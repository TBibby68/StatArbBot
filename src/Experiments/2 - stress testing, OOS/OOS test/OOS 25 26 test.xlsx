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tbibb\StatArbBot\src\Experiments\2 - stress testing, OOS\OOS test\"/>
    </mc:Choice>
  </mc:AlternateContent>
  <xr:revisionPtr revIDLastSave="0" documentId="13_ncr:1_{BEA3C81D-A88E-441B-85C6-C3D773036A1A}" xr6:coauthVersionLast="47" xr6:coauthVersionMax="47" xr10:uidLastSave="{00000000-0000-0000-0000-000000000000}"/>
  <bookViews>
    <workbookView xWindow="-120" yWindow="-16320" windowWidth="29040" windowHeight="15720" activeTab="3" xr2:uid="{00000000-000D-0000-FFFF-FFFF00000000}"/>
  </bookViews>
  <sheets>
    <sheet name="Trades" sheetId="1" r:id="rId1"/>
    <sheet name="trades edited" sheetId="2" r:id="rId2"/>
    <sheet name="Analysis" sheetId="3" r:id="rId3"/>
    <sheet name="Comparison with multiple" sheetId="4" r:id="rId4"/>
  </sheets>
  <externalReferences>
    <externalReference r:id="rId5"/>
    <externalReference r:id="rId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4" l="1" a="1"/>
  <c r="J4" i="4" s="1"/>
  <c r="I4" i="4" a="1"/>
  <c r="I4" i="4" s="1"/>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2" i="2"/>
  <c r="C8" i="4"/>
  <c r="C5" i="4"/>
  <c r="C4" i="4"/>
  <c r="C3" i="4"/>
  <c r="E5" i="3"/>
  <c r="AK21" i="2" a="1"/>
  <c r="AK21" i="2" s="1"/>
  <c r="AK13" i="2"/>
  <c r="AL21" i="2" a="1"/>
  <c r="AL21" i="2" s="1"/>
  <c r="AL20" i="2"/>
  <c r="AK20" i="2"/>
  <c r="AL19" i="2"/>
  <c r="AK19" i="2"/>
  <c r="AL18" i="2"/>
  <c r="AK18" i="2"/>
  <c r="AL17" i="2"/>
  <c r="AK17" i="2"/>
  <c r="AL16" i="2"/>
  <c r="AK16" i="2"/>
  <c r="AL15" i="2"/>
  <c r="AK15" i="2"/>
  <c r="AL14" i="2"/>
  <c r="AK14" i="2"/>
  <c r="AL13" i="2"/>
  <c r="AL12" i="2"/>
  <c r="AK12" i="2"/>
  <c r="AL11" i="2"/>
  <c r="AK11" i="2"/>
  <c r="L176" i="3"/>
  <c r="L175" i="3"/>
  <c r="L174" i="3"/>
  <c r="L173" i="3"/>
  <c r="L172" i="3"/>
  <c r="L171" i="3"/>
  <c r="L170" i="3"/>
  <c r="L169" i="3"/>
  <c r="L168" i="3"/>
  <c r="L167" i="3"/>
  <c r="L166" i="3"/>
  <c r="L165" i="3"/>
  <c r="L164" i="3"/>
  <c r="L163" i="3"/>
  <c r="L162" i="3"/>
  <c r="L161" i="3"/>
  <c r="L160" i="3"/>
  <c r="L159" i="3"/>
  <c r="L158" i="3"/>
  <c r="L157" i="3"/>
  <c r="L156" i="3"/>
  <c r="L155" i="3"/>
  <c r="L154" i="3"/>
  <c r="L153" i="3"/>
  <c r="L152" i="3"/>
  <c r="L151" i="3"/>
  <c r="L150" i="3"/>
  <c r="L149" i="3"/>
  <c r="L148" i="3"/>
  <c r="L147" i="3"/>
  <c r="L146" i="3"/>
  <c r="L145" i="3"/>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L41" i="3"/>
  <c r="L40" i="3"/>
  <c r="L39" i="3"/>
  <c r="L38" i="3"/>
  <c r="L37" i="3"/>
  <c r="L36" i="3"/>
  <c r="D36" i="3"/>
  <c r="L35" i="3"/>
  <c r="D35" i="3"/>
  <c r="L34" i="3"/>
  <c r="D34" i="3"/>
  <c r="L33" i="3"/>
  <c r="D33" i="3"/>
  <c r="L32" i="3"/>
  <c r="D32" i="3"/>
  <c r="L31" i="3"/>
  <c r="L30" i="3"/>
  <c r="L29" i="3"/>
  <c r="F29" i="3"/>
  <c r="E29" i="3"/>
  <c r="D29" i="3"/>
  <c r="C29" i="3"/>
  <c r="L28" i="3"/>
  <c r="F28" i="3"/>
  <c r="E28" i="3"/>
  <c r="D28" i="3"/>
  <c r="C28" i="3"/>
  <c r="L27" i="3"/>
  <c r="L26" i="3"/>
  <c r="L25" i="3"/>
  <c r="D25" i="3"/>
  <c r="C25" i="3"/>
  <c r="L24" i="3"/>
  <c r="D24" i="3" a="1"/>
  <c r="D24" i="3" s="1"/>
  <c r="C24" i="3" a="1"/>
  <c r="C24" i="3" s="1"/>
  <c r="L23" i="3"/>
  <c r="D23" i="3"/>
  <c r="C23" i="3"/>
  <c r="L22" i="3"/>
  <c r="D22" i="3"/>
  <c r="C22" i="3"/>
  <c r="L21" i="3"/>
  <c r="D21" i="3" a="1"/>
  <c r="D21" i="3" s="1"/>
  <c r="C21" i="3" a="1"/>
  <c r="C21" i="3" s="1"/>
  <c r="L20" i="3"/>
  <c r="D20" i="3"/>
  <c r="C20" i="3"/>
  <c r="L19" i="3"/>
  <c r="L18" i="3"/>
  <c r="L17" i="3"/>
  <c r="C17" i="3"/>
  <c r="L16" i="3"/>
  <c r="C16" i="3"/>
  <c r="L15" i="3"/>
  <c r="C15" i="3"/>
  <c r="L14" i="3"/>
  <c r="C14" i="3"/>
  <c r="L13" i="3"/>
  <c r="T12" i="3"/>
  <c r="S12" i="3"/>
  <c r="L12" i="3"/>
  <c r="E11" i="3"/>
  <c r="D11" i="3"/>
  <c r="C11" i="3"/>
  <c r="T10" i="3"/>
  <c r="S10" i="3"/>
  <c r="L10" i="3"/>
  <c r="E10" i="3"/>
  <c r="D10" i="3"/>
  <c r="C10" i="3"/>
  <c r="T9" i="3"/>
  <c r="S9" i="3"/>
  <c r="L9" i="3"/>
  <c r="E9" i="3"/>
  <c r="D9" i="3"/>
  <c r="C9" i="3"/>
  <c r="T8" i="3"/>
  <c r="S8" i="3"/>
  <c r="L8" i="3"/>
  <c r="E8" i="3"/>
  <c r="D8" i="3"/>
  <c r="C8" i="3"/>
  <c r="T7" i="3"/>
  <c r="S7" i="3"/>
  <c r="L7" i="3"/>
  <c r="E7" i="3"/>
  <c r="D7" i="3"/>
  <c r="C7" i="3"/>
  <c r="T6" i="3"/>
  <c r="S6" i="3"/>
  <c r="L6" i="3"/>
  <c r="E6" i="3"/>
  <c r="D6" i="3"/>
  <c r="C6" i="3"/>
  <c r="T5" i="3"/>
  <c r="S5" i="3"/>
  <c r="L5" i="3"/>
  <c r="D5" i="3"/>
  <c r="C5" i="3"/>
  <c r="T4" i="3"/>
  <c r="S4" i="3"/>
  <c r="L4" i="3"/>
  <c r="T3" i="3"/>
  <c r="S3" i="3"/>
  <c r="L3" i="3"/>
  <c r="T2" i="3"/>
  <c r="S2" i="3"/>
  <c r="O2" i="3"/>
  <c r="O3" i="3" s="1"/>
  <c r="O4" i="3" s="1"/>
  <c r="O5" i="3" s="1"/>
  <c r="O6" i="3" s="1"/>
  <c r="O7" i="3" s="1"/>
  <c r="O8" i="3" s="1"/>
  <c r="O9" i="3" s="1"/>
  <c r="O10" i="3" s="1"/>
  <c r="O12" i="3" s="1"/>
  <c r="O13" i="3" s="1"/>
  <c r="O14" i="3" s="1"/>
  <c r="O15" i="3" s="1"/>
  <c r="O16" i="3" s="1"/>
  <c r="O17" i="3" s="1"/>
  <c r="O18" i="3" s="1"/>
  <c r="O19" i="3" s="1"/>
  <c r="O20" i="3" s="1"/>
  <c r="O21" i="3" s="1"/>
  <c r="O22" i="3" s="1"/>
  <c r="O23" i="3" s="1"/>
  <c r="O24" i="3" s="1"/>
  <c r="O25" i="3" s="1"/>
  <c r="O26" i="3" s="1"/>
  <c r="O27" i="3" s="1"/>
  <c r="O28" i="3" s="1"/>
  <c r="O29" i="3" s="1"/>
  <c r="O30" i="3" s="1"/>
  <c r="O31" i="3" s="1"/>
  <c r="O32" i="3" s="1"/>
  <c r="O33" i="3" s="1"/>
  <c r="O34" i="3" s="1"/>
  <c r="O35" i="3" s="1"/>
  <c r="O36" i="3" s="1"/>
  <c r="O37" i="3" s="1"/>
  <c r="O38" i="3" s="1"/>
  <c r="O39" i="3" s="1"/>
  <c r="O40" i="3" s="1"/>
  <c r="O41" i="3" s="1"/>
  <c r="O42" i="3" s="1"/>
  <c r="O43" i="3" s="1"/>
  <c r="O44" i="3" s="1"/>
  <c r="O45" i="3" s="1"/>
  <c r="O46" i="3" s="1"/>
  <c r="O47" i="3" s="1"/>
  <c r="O48" i="3" s="1"/>
  <c r="O49" i="3" s="1"/>
  <c r="O50" i="3" s="1"/>
  <c r="O51" i="3" s="1"/>
  <c r="O52" i="3" s="1"/>
  <c r="O53" i="3" s="1"/>
  <c r="O54" i="3" s="1"/>
  <c r="O55" i="3" s="1"/>
  <c r="O56" i="3" s="1"/>
  <c r="O57" i="3" s="1"/>
  <c r="O58" i="3" s="1"/>
  <c r="O59" i="3" s="1"/>
  <c r="O60" i="3" s="1"/>
  <c r="O61" i="3" s="1"/>
  <c r="O62" i="3" s="1"/>
  <c r="O63" i="3" s="1"/>
  <c r="O64" i="3" s="1"/>
  <c r="O65" i="3" s="1"/>
  <c r="O66" i="3" s="1"/>
  <c r="O67" i="3" s="1"/>
  <c r="O68" i="3" s="1"/>
  <c r="O69" i="3" s="1"/>
  <c r="O70" i="3" s="1"/>
  <c r="O71" i="3" s="1"/>
  <c r="O72" i="3" s="1"/>
  <c r="O73" i="3" s="1"/>
  <c r="O74" i="3" s="1"/>
  <c r="O75" i="3" s="1"/>
  <c r="O76" i="3" s="1"/>
  <c r="O77" i="3" s="1"/>
  <c r="O78" i="3" s="1"/>
  <c r="O79" i="3" s="1"/>
  <c r="O80" i="3" s="1"/>
  <c r="O81" i="3" s="1"/>
  <c r="O82" i="3" s="1"/>
  <c r="O83" i="3" s="1"/>
  <c r="O84" i="3" s="1"/>
  <c r="O85" i="3" s="1"/>
  <c r="O86" i="3" s="1"/>
  <c r="O87" i="3" s="1"/>
  <c r="O88" i="3" s="1"/>
  <c r="O89" i="3" s="1"/>
  <c r="O90" i="3" s="1"/>
  <c r="O91" i="3" s="1"/>
  <c r="O92" i="3" s="1"/>
  <c r="O93" i="3" s="1"/>
  <c r="O94" i="3" s="1"/>
  <c r="O95" i="3" s="1"/>
  <c r="O96" i="3" s="1"/>
  <c r="O97" i="3" s="1"/>
  <c r="O98" i="3" s="1"/>
  <c r="O99" i="3" s="1"/>
  <c r="O100" i="3" s="1"/>
  <c r="O101" i="3" s="1"/>
  <c r="O102" i="3" s="1"/>
  <c r="O103" i="3" s="1"/>
  <c r="O104" i="3" s="1"/>
  <c r="O105" i="3" s="1"/>
  <c r="O106" i="3" s="1"/>
  <c r="O107" i="3" s="1"/>
  <c r="O108" i="3" s="1"/>
  <c r="O109" i="3" s="1"/>
  <c r="O110" i="3" s="1"/>
  <c r="O111" i="3" s="1"/>
  <c r="O112" i="3" s="1"/>
  <c r="O113" i="3" s="1"/>
  <c r="O114" i="3" s="1"/>
  <c r="O115" i="3" s="1"/>
  <c r="O116" i="3" s="1"/>
  <c r="O117" i="3" s="1"/>
  <c r="O118" i="3" s="1"/>
  <c r="O119" i="3" s="1"/>
  <c r="O120" i="3" s="1"/>
  <c r="O121" i="3" s="1"/>
  <c r="O122" i="3" s="1"/>
  <c r="O123" i="3" s="1"/>
  <c r="O124" i="3" s="1"/>
  <c r="O125" i="3" s="1"/>
  <c r="O126" i="3" s="1"/>
  <c r="O127" i="3" s="1"/>
  <c r="O128" i="3" s="1"/>
  <c r="O129" i="3" s="1"/>
  <c r="O130" i="3" s="1"/>
  <c r="O131" i="3" s="1"/>
  <c r="O132" i="3" s="1"/>
  <c r="O133" i="3" s="1"/>
  <c r="O134" i="3" s="1"/>
  <c r="O135" i="3" s="1"/>
  <c r="O136" i="3" s="1"/>
  <c r="O137" i="3" s="1"/>
  <c r="O138" i="3" s="1"/>
  <c r="O139" i="3" s="1"/>
  <c r="O140" i="3" s="1"/>
  <c r="O141" i="3" s="1"/>
  <c r="O142" i="3" s="1"/>
  <c r="O143" i="3" s="1"/>
  <c r="O144" i="3" s="1"/>
  <c r="O145" i="3" s="1"/>
  <c r="O146" i="3" s="1"/>
  <c r="O147" i="3" s="1"/>
  <c r="O148" i="3" s="1"/>
  <c r="O149" i="3" s="1"/>
  <c r="O150" i="3" s="1"/>
  <c r="O151" i="3" s="1"/>
  <c r="O152" i="3" s="1"/>
  <c r="O153" i="3" s="1"/>
  <c r="O154" i="3" s="1"/>
  <c r="O155" i="3" s="1"/>
  <c r="O156" i="3" s="1"/>
  <c r="O157" i="3" s="1"/>
  <c r="O158" i="3" s="1"/>
  <c r="O159" i="3" s="1"/>
  <c r="O160" i="3" s="1"/>
  <c r="O161" i="3" s="1"/>
  <c r="O162" i="3" s="1"/>
  <c r="O163" i="3" s="1"/>
  <c r="O164" i="3" s="1"/>
  <c r="O165" i="3" s="1"/>
  <c r="O166" i="3" s="1"/>
  <c r="O167" i="3" s="1"/>
  <c r="O168" i="3" s="1"/>
  <c r="O169" i="3" s="1"/>
  <c r="O170" i="3" s="1"/>
  <c r="O171" i="3" s="1"/>
  <c r="O172" i="3" s="1"/>
  <c r="O173" i="3" s="1"/>
  <c r="O174" i="3" s="1"/>
  <c r="O175" i="3" s="1"/>
  <c r="O176" i="3" s="1"/>
  <c r="N2" i="3"/>
  <c r="N3" i="3" s="1"/>
  <c r="N4" i="3" s="1"/>
  <c r="N5" i="3" s="1"/>
  <c r="N6" i="3" s="1"/>
  <c r="N7" i="3" s="1"/>
  <c r="N8" i="3" s="1"/>
  <c r="N9" i="3" s="1"/>
  <c r="N10"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M2" i="3"/>
  <c r="M3" i="3" s="1"/>
  <c r="M4" i="3" s="1"/>
  <c r="M5" i="3" s="1"/>
  <c r="M6" i="3" s="1"/>
  <c r="M7" i="3" s="1"/>
  <c r="M8" i="3" s="1"/>
  <c r="M9" i="3" s="1"/>
  <c r="M10"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L2" i="3"/>
  <c r="AE776" i="2"/>
  <c r="AE775" i="2"/>
  <c r="AE774" i="2"/>
  <c r="AE773" i="2"/>
  <c r="AE772" i="2"/>
  <c r="AE771" i="2"/>
  <c r="AE770" i="2"/>
  <c r="AE769" i="2"/>
  <c r="AE768" i="2"/>
  <c r="AE767" i="2"/>
  <c r="AE766" i="2"/>
  <c r="AE765" i="2"/>
  <c r="AE764" i="2"/>
  <c r="AE763" i="2"/>
  <c r="AE762" i="2"/>
  <c r="AE761" i="2"/>
  <c r="AE760" i="2"/>
  <c r="AE759" i="2"/>
  <c r="AE758" i="2"/>
  <c r="AE757" i="2"/>
  <c r="AE756" i="2"/>
  <c r="AE755" i="2"/>
  <c r="AE754" i="2"/>
  <c r="AE753" i="2"/>
  <c r="AE752" i="2"/>
  <c r="AE751" i="2"/>
  <c r="AE750" i="2"/>
  <c r="AE749" i="2"/>
  <c r="AE748" i="2"/>
  <c r="AE747" i="2"/>
  <c r="AE746" i="2"/>
  <c r="AE745" i="2"/>
  <c r="AE744" i="2"/>
  <c r="AE743" i="2"/>
  <c r="AE742" i="2"/>
  <c r="AE741" i="2"/>
  <c r="AE740" i="2"/>
  <c r="AE739" i="2"/>
  <c r="AE738" i="2"/>
  <c r="AE737" i="2"/>
  <c r="AE736" i="2"/>
  <c r="AE735" i="2"/>
  <c r="AE734" i="2"/>
  <c r="AE733" i="2"/>
  <c r="AE732" i="2"/>
  <c r="AE731" i="2"/>
  <c r="AE730" i="2"/>
  <c r="AE729" i="2"/>
  <c r="AE728" i="2"/>
  <c r="AE727" i="2"/>
  <c r="AE726" i="2"/>
  <c r="AE725" i="2"/>
  <c r="AE724" i="2"/>
  <c r="AE723" i="2"/>
  <c r="AE722" i="2"/>
  <c r="AE721" i="2"/>
  <c r="AE720" i="2"/>
  <c r="AE719" i="2"/>
  <c r="AE718" i="2"/>
  <c r="AE717" i="2"/>
  <c r="AE716" i="2"/>
  <c r="AE715" i="2"/>
  <c r="AE714" i="2"/>
  <c r="AE713" i="2"/>
  <c r="AE712" i="2"/>
  <c r="AE711" i="2"/>
  <c r="AE710" i="2"/>
  <c r="AE709" i="2"/>
  <c r="AE708" i="2"/>
  <c r="AE707" i="2"/>
  <c r="AE706" i="2"/>
  <c r="AE705" i="2"/>
  <c r="AE704" i="2"/>
  <c r="AE703" i="2"/>
  <c r="AE702" i="2"/>
  <c r="AE701" i="2"/>
  <c r="AE700" i="2"/>
  <c r="AE699" i="2"/>
  <c r="AE698" i="2"/>
  <c r="AE697" i="2"/>
  <c r="AE696" i="2"/>
  <c r="AE695" i="2"/>
  <c r="AE694" i="2"/>
  <c r="AE693" i="2"/>
  <c r="AE692" i="2"/>
  <c r="AE691" i="2"/>
  <c r="AE690" i="2"/>
  <c r="AE689" i="2"/>
  <c r="AE688" i="2"/>
  <c r="AE687" i="2"/>
  <c r="AE686" i="2"/>
  <c r="AE685" i="2"/>
  <c r="AE684" i="2"/>
  <c r="AE683" i="2"/>
  <c r="AE682" i="2"/>
  <c r="AE681" i="2"/>
  <c r="AE680" i="2"/>
  <c r="AE679" i="2"/>
  <c r="AE678" i="2"/>
  <c r="AE677" i="2"/>
  <c r="AE676" i="2"/>
  <c r="AE675" i="2"/>
  <c r="AE674" i="2"/>
  <c r="AE673" i="2"/>
  <c r="AE672" i="2"/>
  <c r="AE671" i="2"/>
  <c r="AE670" i="2"/>
  <c r="AE669" i="2"/>
  <c r="AE668" i="2"/>
  <c r="AE667" i="2"/>
  <c r="AE666" i="2"/>
  <c r="AE665" i="2"/>
  <c r="AE664" i="2"/>
  <c r="AE663" i="2"/>
  <c r="AE662" i="2"/>
  <c r="AE661" i="2"/>
  <c r="AE660" i="2"/>
  <c r="AE659" i="2"/>
  <c r="AE658" i="2"/>
  <c r="AE657" i="2"/>
  <c r="AE656" i="2"/>
  <c r="AE655" i="2"/>
  <c r="AE654" i="2"/>
  <c r="AE653" i="2"/>
  <c r="AE652" i="2"/>
  <c r="AE651" i="2"/>
  <c r="AE650" i="2"/>
  <c r="AE649" i="2"/>
  <c r="AE648" i="2"/>
  <c r="AE647" i="2"/>
  <c r="AE646" i="2"/>
  <c r="AE645" i="2"/>
  <c r="AE644" i="2"/>
  <c r="AE643" i="2"/>
  <c r="AE642" i="2"/>
  <c r="AE641" i="2"/>
  <c r="AE640" i="2"/>
  <c r="AE639" i="2"/>
  <c r="AE638" i="2"/>
  <c r="AE637" i="2"/>
  <c r="AE636" i="2"/>
  <c r="AE635" i="2"/>
  <c r="AE634" i="2"/>
  <c r="AE633" i="2"/>
  <c r="AE632" i="2"/>
  <c r="AE631" i="2"/>
  <c r="AE630" i="2"/>
  <c r="AE629" i="2"/>
  <c r="AE628" i="2"/>
  <c r="AE627" i="2"/>
  <c r="AE626" i="2"/>
  <c r="AE625" i="2"/>
  <c r="AE624" i="2"/>
  <c r="AE623" i="2"/>
  <c r="AE622" i="2"/>
  <c r="AE621" i="2"/>
  <c r="AE620" i="2"/>
  <c r="AE619" i="2"/>
  <c r="AE618" i="2"/>
  <c r="AE617" i="2"/>
  <c r="AE616" i="2"/>
  <c r="AE615" i="2"/>
  <c r="AE614" i="2"/>
  <c r="AE613" i="2"/>
  <c r="AE612" i="2"/>
  <c r="AE611" i="2"/>
  <c r="AE610" i="2"/>
  <c r="AE609" i="2"/>
  <c r="AE608" i="2"/>
  <c r="AE607" i="2"/>
  <c r="AE606" i="2"/>
  <c r="AE605" i="2"/>
  <c r="AE604" i="2"/>
  <c r="AE603" i="2"/>
  <c r="AE602" i="2"/>
  <c r="AE601" i="2"/>
  <c r="AE600" i="2"/>
  <c r="AE599" i="2"/>
  <c r="AE598" i="2"/>
  <c r="AE597" i="2"/>
  <c r="AE596" i="2"/>
  <c r="AE595" i="2"/>
  <c r="AE594" i="2"/>
  <c r="AE593" i="2"/>
  <c r="AE592" i="2"/>
  <c r="AE591" i="2"/>
  <c r="AE590" i="2"/>
  <c r="AE589" i="2"/>
  <c r="AE588" i="2"/>
  <c r="AE587" i="2"/>
  <c r="AE586" i="2"/>
  <c r="AE585" i="2"/>
  <c r="AE584" i="2"/>
  <c r="AE583" i="2"/>
  <c r="AE582" i="2"/>
  <c r="AE581" i="2"/>
  <c r="AE580" i="2"/>
  <c r="AE579" i="2"/>
  <c r="AE578" i="2"/>
  <c r="AE577" i="2"/>
  <c r="AE576" i="2"/>
  <c r="X574" i="2"/>
  <c r="AE575" i="2"/>
  <c r="X573" i="2"/>
  <c r="AE574" i="2"/>
  <c r="X572" i="2"/>
  <c r="AE573" i="2"/>
  <c r="X571" i="2"/>
  <c r="AE572" i="2"/>
  <c r="X570" i="2"/>
  <c r="AE571" i="2"/>
  <c r="X569" i="2"/>
  <c r="AE570" i="2"/>
  <c r="X568" i="2"/>
  <c r="AE569" i="2"/>
  <c r="X567" i="2"/>
  <c r="AE568" i="2"/>
  <c r="X566" i="2"/>
  <c r="AE567" i="2"/>
  <c r="X565" i="2"/>
  <c r="AE566" i="2"/>
  <c r="X564" i="2"/>
  <c r="AE565" i="2"/>
  <c r="X563" i="2"/>
  <c r="AE564" i="2"/>
  <c r="X562" i="2"/>
  <c r="AE563" i="2"/>
  <c r="X561" i="2"/>
  <c r="AE562" i="2"/>
  <c r="X560" i="2"/>
  <c r="AE561" i="2"/>
  <c r="X559" i="2"/>
  <c r="AE560" i="2"/>
  <c r="X558" i="2"/>
  <c r="AE559" i="2"/>
  <c r="X557" i="2"/>
  <c r="AE558" i="2"/>
  <c r="X556" i="2"/>
  <c r="AE557" i="2"/>
  <c r="X555" i="2"/>
  <c r="AE556" i="2"/>
  <c r="X554" i="2"/>
  <c r="AE555" i="2"/>
  <c r="X553" i="2"/>
  <c r="AE554" i="2"/>
  <c r="X552" i="2"/>
  <c r="AE553" i="2"/>
  <c r="X551" i="2"/>
  <c r="AE552" i="2"/>
  <c r="X550" i="2"/>
  <c r="AE551" i="2"/>
  <c r="X549" i="2"/>
  <c r="AE550" i="2"/>
  <c r="X548" i="2"/>
  <c r="AE549" i="2"/>
  <c r="X547" i="2"/>
  <c r="AE548" i="2"/>
  <c r="X546" i="2"/>
  <c r="AE547" i="2"/>
  <c r="X545" i="2"/>
  <c r="AE546" i="2"/>
  <c r="X544" i="2"/>
  <c r="AE545" i="2"/>
  <c r="X543" i="2"/>
  <c r="AE544" i="2"/>
  <c r="X542" i="2"/>
  <c r="AE543" i="2"/>
  <c r="X541" i="2"/>
  <c r="AE542" i="2"/>
  <c r="X540" i="2"/>
  <c r="AE541" i="2"/>
  <c r="X539" i="2"/>
  <c r="AE540" i="2"/>
  <c r="X538" i="2"/>
  <c r="AE539" i="2"/>
  <c r="X537" i="2"/>
  <c r="AE538" i="2"/>
  <c r="X536" i="2"/>
  <c r="AE537" i="2"/>
  <c r="X535" i="2"/>
  <c r="AE536" i="2"/>
  <c r="X534" i="2"/>
  <c r="AE535" i="2"/>
  <c r="X533" i="2"/>
  <c r="AE534" i="2"/>
  <c r="X532" i="2"/>
  <c r="AE533" i="2"/>
  <c r="X531" i="2"/>
  <c r="AE532" i="2"/>
  <c r="X530" i="2"/>
  <c r="AE531" i="2"/>
  <c r="X529" i="2"/>
  <c r="AE530" i="2"/>
  <c r="X528" i="2"/>
  <c r="AE529" i="2"/>
  <c r="X527" i="2"/>
  <c r="AE528" i="2"/>
  <c r="X526" i="2"/>
  <c r="AE527" i="2"/>
  <c r="X525" i="2"/>
  <c r="AE526" i="2"/>
  <c r="X524" i="2"/>
  <c r="AE525" i="2"/>
  <c r="X523" i="2"/>
  <c r="AE524" i="2"/>
  <c r="X522" i="2"/>
  <c r="AE523" i="2"/>
  <c r="X521" i="2"/>
  <c r="AE522" i="2"/>
  <c r="X520" i="2"/>
  <c r="AE521" i="2"/>
  <c r="X519" i="2"/>
  <c r="AE520" i="2"/>
  <c r="X518" i="2"/>
  <c r="AE519" i="2"/>
  <c r="X517" i="2"/>
  <c r="AE518" i="2"/>
  <c r="X516" i="2"/>
  <c r="AE517" i="2"/>
  <c r="X515" i="2"/>
  <c r="AE516" i="2"/>
  <c r="X514" i="2"/>
  <c r="AE515" i="2"/>
  <c r="X513" i="2"/>
  <c r="AE514" i="2"/>
  <c r="X512" i="2"/>
  <c r="AE513" i="2"/>
  <c r="X511" i="2"/>
  <c r="AE512" i="2"/>
  <c r="X510" i="2"/>
  <c r="AE511" i="2"/>
  <c r="X509" i="2"/>
  <c r="AE510" i="2"/>
  <c r="X508" i="2"/>
  <c r="AE509" i="2"/>
  <c r="X507" i="2"/>
  <c r="AE508" i="2"/>
  <c r="X506" i="2"/>
  <c r="AE507" i="2"/>
  <c r="X505" i="2"/>
  <c r="AE506" i="2"/>
  <c r="X504" i="2"/>
  <c r="AE505" i="2"/>
  <c r="X503" i="2"/>
  <c r="AE504" i="2"/>
  <c r="X502" i="2"/>
  <c r="AE503" i="2"/>
  <c r="X501" i="2"/>
  <c r="AE502" i="2"/>
  <c r="X500" i="2"/>
  <c r="AE501" i="2"/>
  <c r="X499" i="2"/>
  <c r="AE500" i="2"/>
  <c r="X498" i="2"/>
  <c r="AE499" i="2"/>
  <c r="X497" i="2"/>
  <c r="AE498" i="2"/>
  <c r="X496" i="2"/>
  <c r="AE497" i="2"/>
  <c r="X495" i="2"/>
  <c r="AE496" i="2"/>
  <c r="X494" i="2"/>
  <c r="AE495" i="2"/>
  <c r="X493" i="2"/>
  <c r="AE494" i="2"/>
  <c r="X492" i="2"/>
  <c r="AE493" i="2"/>
  <c r="X491" i="2"/>
  <c r="AE492" i="2"/>
  <c r="X490" i="2"/>
  <c r="AE491" i="2"/>
  <c r="X489" i="2"/>
  <c r="AE490" i="2"/>
  <c r="X488" i="2"/>
  <c r="AE489" i="2"/>
  <c r="X487" i="2"/>
  <c r="AE488" i="2"/>
  <c r="X486" i="2"/>
  <c r="AE487" i="2"/>
  <c r="X485" i="2"/>
  <c r="AE486" i="2"/>
  <c r="X484" i="2"/>
  <c r="AE485" i="2"/>
  <c r="X483" i="2"/>
  <c r="AE484" i="2"/>
  <c r="X482" i="2"/>
  <c r="AE483" i="2"/>
  <c r="X481" i="2"/>
  <c r="AE482" i="2"/>
  <c r="X480" i="2"/>
  <c r="AE481" i="2"/>
  <c r="X479" i="2"/>
  <c r="AE480" i="2"/>
  <c r="X478" i="2"/>
  <c r="AE479" i="2"/>
  <c r="X477" i="2"/>
  <c r="AE478" i="2"/>
  <c r="X476" i="2"/>
  <c r="AE477" i="2"/>
  <c r="X475" i="2"/>
  <c r="AE476" i="2"/>
  <c r="X474" i="2"/>
  <c r="AE475" i="2"/>
  <c r="X473" i="2"/>
  <c r="AE474" i="2"/>
  <c r="X472" i="2"/>
  <c r="AE473" i="2"/>
  <c r="X471" i="2"/>
  <c r="AE472" i="2"/>
  <c r="X470" i="2"/>
  <c r="AE471" i="2"/>
  <c r="X469" i="2"/>
  <c r="AE470" i="2"/>
  <c r="X468" i="2"/>
  <c r="AE469" i="2"/>
  <c r="X467" i="2"/>
  <c r="AE468" i="2"/>
  <c r="X466" i="2"/>
  <c r="AE467" i="2"/>
  <c r="X465" i="2"/>
  <c r="AE466" i="2"/>
  <c r="X464" i="2"/>
  <c r="AE465" i="2"/>
  <c r="X463" i="2"/>
  <c r="AE464" i="2"/>
  <c r="X462" i="2"/>
  <c r="AE463" i="2"/>
  <c r="X461" i="2"/>
  <c r="AE462" i="2"/>
  <c r="X460" i="2"/>
  <c r="AE461" i="2"/>
  <c r="X459" i="2"/>
  <c r="AE460" i="2"/>
  <c r="X458" i="2"/>
  <c r="AE459" i="2"/>
  <c r="X457" i="2"/>
  <c r="AE458" i="2"/>
  <c r="X456" i="2"/>
  <c r="AE457" i="2"/>
  <c r="X455" i="2"/>
  <c r="AE456" i="2"/>
  <c r="X454" i="2"/>
  <c r="AE455" i="2"/>
  <c r="X453" i="2"/>
  <c r="AE454" i="2"/>
  <c r="X452" i="2"/>
  <c r="AE453" i="2"/>
  <c r="X451" i="2"/>
  <c r="AE452" i="2"/>
  <c r="X450" i="2"/>
  <c r="AE451" i="2"/>
  <c r="X449" i="2"/>
  <c r="AE450" i="2"/>
  <c r="X448" i="2"/>
  <c r="AE449" i="2"/>
  <c r="X447" i="2"/>
  <c r="AE448" i="2"/>
  <c r="X446" i="2"/>
  <c r="AE447" i="2"/>
  <c r="X445" i="2"/>
  <c r="AE446" i="2"/>
  <c r="X444" i="2"/>
  <c r="AE445" i="2"/>
  <c r="X443" i="2"/>
  <c r="AE444" i="2"/>
  <c r="X442" i="2"/>
  <c r="AE443" i="2"/>
  <c r="X441" i="2"/>
  <c r="AE442" i="2"/>
  <c r="X440" i="2"/>
  <c r="AE441" i="2"/>
  <c r="X439" i="2"/>
  <c r="AE440" i="2"/>
  <c r="X438" i="2"/>
  <c r="AE439" i="2"/>
  <c r="X437" i="2"/>
  <c r="AE438" i="2"/>
  <c r="X436" i="2"/>
  <c r="AE437" i="2"/>
  <c r="X435" i="2"/>
  <c r="AE436" i="2"/>
  <c r="X434" i="2"/>
  <c r="AE435" i="2"/>
  <c r="X433" i="2"/>
  <c r="AE434" i="2"/>
  <c r="X432" i="2"/>
  <c r="AE433" i="2"/>
  <c r="X431" i="2"/>
  <c r="AE432" i="2"/>
  <c r="X430" i="2"/>
  <c r="AE431" i="2"/>
  <c r="X429" i="2"/>
  <c r="AE430" i="2"/>
  <c r="X428" i="2"/>
  <c r="AE429" i="2"/>
  <c r="X427" i="2"/>
  <c r="AE428" i="2"/>
  <c r="X426" i="2"/>
  <c r="AE427" i="2"/>
  <c r="X425" i="2"/>
  <c r="AE426" i="2"/>
  <c r="X424" i="2"/>
  <c r="AE425" i="2"/>
  <c r="X423" i="2"/>
  <c r="AE424" i="2"/>
  <c r="X422" i="2"/>
  <c r="AE423" i="2"/>
  <c r="X421" i="2"/>
  <c r="AE422" i="2"/>
  <c r="X420" i="2"/>
  <c r="AE421" i="2"/>
  <c r="X419" i="2"/>
  <c r="AE420" i="2"/>
  <c r="X418" i="2"/>
  <c r="AE419" i="2"/>
  <c r="X417" i="2"/>
  <c r="AE418" i="2"/>
  <c r="X416" i="2"/>
  <c r="AE417" i="2"/>
  <c r="X415" i="2"/>
  <c r="AE416" i="2"/>
  <c r="X414" i="2"/>
  <c r="AE415" i="2"/>
  <c r="X413" i="2"/>
  <c r="AE414" i="2"/>
  <c r="X412" i="2"/>
  <c r="AE413" i="2"/>
  <c r="X411" i="2"/>
  <c r="AE412" i="2"/>
  <c r="X410" i="2"/>
  <c r="AE411" i="2"/>
  <c r="X409" i="2"/>
  <c r="AE410" i="2"/>
  <c r="X408" i="2"/>
  <c r="AE409" i="2"/>
  <c r="X407" i="2"/>
  <c r="AE408" i="2"/>
  <c r="X406" i="2"/>
  <c r="AE407" i="2"/>
  <c r="X405" i="2"/>
  <c r="AE406" i="2"/>
  <c r="X404" i="2"/>
  <c r="AE405" i="2"/>
  <c r="X403" i="2"/>
  <c r="AE404" i="2"/>
  <c r="X402" i="2"/>
  <c r="AE403" i="2"/>
  <c r="X401" i="2"/>
  <c r="AE402" i="2"/>
  <c r="X400" i="2"/>
  <c r="AE401" i="2"/>
  <c r="X399" i="2"/>
  <c r="AE400" i="2"/>
  <c r="X398" i="2"/>
  <c r="AE399" i="2"/>
  <c r="X397" i="2"/>
  <c r="AE398" i="2"/>
  <c r="X396" i="2"/>
  <c r="AE397" i="2"/>
  <c r="X395" i="2"/>
  <c r="AE396" i="2"/>
  <c r="X394" i="2"/>
  <c r="AE395" i="2"/>
  <c r="X393" i="2"/>
  <c r="AE394" i="2"/>
  <c r="X392" i="2"/>
  <c r="AE393" i="2"/>
  <c r="X391" i="2"/>
  <c r="AE392" i="2"/>
  <c r="X390" i="2"/>
  <c r="AE391" i="2"/>
  <c r="X389" i="2"/>
  <c r="AE390" i="2"/>
  <c r="X388" i="2"/>
  <c r="AE389" i="2"/>
  <c r="X387" i="2"/>
  <c r="AE388" i="2"/>
  <c r="X386" i="2"/>
  <c r="AE387" i="2"/>
  <c r="X385" i="2"/>
  <c r="AE386" i="2"/>
  <c r="X384" i="2"/>
  <c r="AE385" i="2"/>
  <c r="X383" i="2"/>
  <c r="AE384" i="2"/>
  <c r="X382" i="2"/>
  <c r="AE383" i="2"/>
  <c r="X381" i="2"/>
  <c r="AE382" i="2"/>
  <c r="X380" i="2"/>
  <c r="AE381" i="2"/>
  <c r="X379" i="2"/>
  <c r="AE380" i="2"/>
  <c r="X378" i="2"/>
  <c r="AE379" i="2"/>
  <c r="X377" i="2"/>
  <c r="AE378" i="2"/>
  <c r="X376" i="2"/>
  <c r="AE377" i="2"/>
  <c r="X375" i="2"/>
  <c r="AE376" i="2"/>
  <c r="X374" i="2"/>
  <c r="AE375" i="2"/>
  <c r="X373" i="2"/>
  <c r="AE374" i="2"/>
  <c r="X372" i="2"/>
  <c r="AE373" i="2"/>
  <c r="X371" i="2"/>
  <c r="AE372" i="2"/>
  <c r="X370" i="2"/>
  <c r="AE371" i="2"/>
  <c r="X369" i="2"/>
  <c r="AE370" i="2"/>
  <c r="X368" i="2"/>
  <c r="AE369" i="2"/>
  <c r="X367" i="2"/>
  <c r="AE368" i="2"/>
  <c r="X366" i="2"/>
  <c r="AE367" i="2"/>
  <c r="X365" i="2"/>
  <c r="AE366" i="2"/>
  <c r="X364" i="2"/>
  <c r="AE365" i="2"/>
  <c r="X363" i="2"/>
  <c r="AE364" i="2"/>
  <c r="X362" i="2"/>
  <c r="AE363" i="2"/>
  <c r="X361" i="2"/>
  <c r="AE362" i="2"/>
  <c r="X360" i="2"/>
  <c r="AE361" i="2"/>
  <c r="X359" i="2"/>
  <c r="AE360" i="2"/>
  <c r="X358" i="2"/>
  <c r="AE359" i="2"/>
  <c r="X357" i="2"/>
  <c r="AE358" i="2"/>
  <c r="X356" i="2"/>
  <c r="AE357" i="2"/>
  <c r="X355" i="2"/>
  <c r="AE356" i="2"/>
  <c r="X354" i="2"/>
  <c r="AE355" i="2"/>
  <c r="X353" i="2"/>
  <c r="AE354" i="2"/>
  <c r="X352" i="2"/>
  <c r="AE353" i="2"/>
  <c r="X351" i="2"/>
  <c r="AE352" i="2"/>
  <c r="X350" i="2"/>
  <c r="AE351" i="2"/>
  <c r="X349" i="2"/>
  <c r="AE350" i="2"/>
  <c r="X348" i="2"/>
  <c r="AE349" i="2"/>
  <c r="X347" i="2"/>
  <c r="AE348" i="2"/>
  <c r="X346" i="2"/>
  <c r="AE347" i="2"/>
  <c r="X345" i="2"/>
  <c r="AE346" i="2"/>
  <c r="X344" i="2"/>
  <c r="AE345" i="2"/>
  <c r="X343" i="2"/>
  <c r="AE344" i="2"/>
  <c r="X342" i="2"/>
  <c r="AE343" i="2"/>
  <c r="X341" i="2"/>
  <c r="AE342" i="2"/>
  <c r="X340" i="2"/>
  <c r="AE341" i="2"/>
  <c r="X339" i="2"/>
  <c r="AE340" i="2"/>
  <c r="X338" i="2"/>
  <c r="AE339" i="2"/>
  <c r="X337" i="2"/>
  <c r="AE338" i="2"/>
  <c r="X336" i="2"/>
  <c r="AE337" i="2"/>
  <c r="X335" i="2"/>
  <c r="AE336" i="2"/>
  <c r="X334" i="2"/>
  <c r="AE335" i="2"/>
  <c r="X333" i="2"/>
  <c r="AE334" i="2"/>
  <c r="X332" i="2"/>
  <c r="AE333" i="2"/>
  <c r="X331" i="2"/>
  <c r="AE332" i="2"/>
  <c r="X330" i="2"/>
  <c r="AE331" i="2"/>
  <c r="X329" i="2"/>
  <c r="AE330" i="2"/>
  <c r="X328" i="2"/>
  <c r="AE329" i="2"/>
  <c r="X327" i="2"/>
  <c r="AE328" i="2"/>
  <c r="X326" i="2"/>
  <c r="AE327" i="2"/>
  <c r="X325" i="2"/>
  <c r="AE326" i="2"/>
  <c r="X324" i="2"/>
  <c r="AE325" i="2"/>
  <c r="X323" i="2"/>
  <c r="AE324" i="2"/>
  <c r="X322" i="2"/>
  <c r="AE323" i="2"/>
  <c r="X321" i="2"/>
  <c r="AE322" i="2"/>
  <c r="X320" i="2"/>
  <c r="AE321" i="2"/>
  <c r="X319" i="2"/>
  <c r="AE320" i="2"/>
  <c r="X318" i="2"/>
  <c r="AE319" i="2"/>
  <c r="X317" i="2"/>
  <c r="AE318" i="2"/>
  <c r="X316" i="2"/>
  <c r="AE317" i="2"/>
  <c r="X315" i="2"/>
  <c r="AE316" i="2"/>
  <c r="X314" i="2"/>
  <c r="AE315" i="2"/>
  <c r="X313" i="2"/>
  <c r="AE314" i="2"/>
  <c r="X312" i="2"/>
  <c r="AE313" i="2"/>
  <c r="X311" i="2"/>
  <c r="AE312" i="2"/>
  <c r="X310" i="2"/>
  <c r="AE311" i="2"/>
  <c r="X309" i="2"/>
  <c r="AE310" i="2"/>
  <c r="X308" i="2"/>
  <c r="AE309" i="2"/>
  <c r="X307" i="2"/>
  <c r="AE308" i="2"/>
  <c r="X306" i="2"/>
  <c r="AE307" i="2"/>
  <c r="X305" i="2"/>
  <c r="AE306" i="2"/>
  <c r="X304" i="2"/>
  <c r="AE305" i="2"/>
  <c r="X303" i="2"/>
  <c r="AE304" i="2"/>
  <c r="X302" i="2"/>
  <c r="AE303" i="2"/>
  <c r="X301" i="2"/>
  <c r="AE302" i="2"/>
  <c r="X300" i="2"/>
  <c r="AE301" i="2"/>
  <c r="X299" i="2"/>
  <c r="AE300" i="2"/>
  <c r="X298" i="2"/>
  <c r="AE299" i="2"/>
  <c r="X297" i="2"/>
  <c r="AE298" i="2"/>
  <c r="X296" i="2"/>
  <c r="AE297" i="2"/>
  <c r="X295" i="2"/>
  <c r="AE296" i="2"/>
  <c r="X294" i="2"/>
  <c r="AE295" i="2"/>
  <c r="X293" i="2"/>
  <c r="AE294" i="2"/>
  <c r="X292" i="2"/>
  <c r="AE293" i="2"/>
  <c r="X291" i="2"/>
  <c r="AE292" i="2"/>
  <c r="X290" i="2"/>
  <c r="AE291" i="2"/>
  <c r="X289" i="2"/>
  <c r="AE290" i="2"/>
  <c r="X288" i="2"/>
  <c r="AE289" i="2"/>
  <c r="X287" i="2"/>
  <c r="AE288" i="2"/>
  <c r="X286" i="2"/>
  <c r="AE287" i="2"/>
  <c r="X285" i="2"/>
  <c r="AE286" i="2"/>
  <c r="X284" i="2"/>
  <c r="AE285" i="2"/>
  <c r="X283" i="2"/>
  <c r="AE284" i="2"/>
  <c r="X282" i="2"/>
  <c r="AE283" i="2"/>
  <c r="X281" i="2"/>
  <c r="AE282" i="2"/>
  <c r="X280" i="2"/>
  <c r="AE281" i="2"/>
  <c r="X279" i="2"/>
  <c r="AE280" i="2"/>
  <c r="X278" i="2"/>
  <c r="AE279" i="2"/>
  <c r="X277" i="2"/>
  <c r="AE278" i="2"/>
  <c r="X276" i="2"/>
  <c r="AE277" i="2"/>
  <c r="X275" i="2"/>
  <c r="AE276" i="2"/>
  <c r="X274" i="2"/>
  <c r="AE275" i="2"/>
  <c r="X273" i="2"/>
  <c r="AE274" i="2"/>
  <c r="X272" i="2"/>
  <c r="AE273" i="2"/>
  <c r="X271" i="2"/>
  <c r="AE272" i="2"/>
  <c r="X270" i="2"/>
  <c r="AE271" i="2"/>
  <c r="X269" i="2"/>
  <c r="AE270" i="2"/>
  <c r="X268" i="2"/>
  <c r="AE269" i="2"/>
  <c r="X267" i="2"/>
  <c r="AE268" i="2"/>
  <c r="X266" i="2"/>
  <c r="AE267" i="2"/>
  <c r="X265" i="2"/>
  <c r="AE266" i="2"/>
  <c r="X264" i="2"/>
  <c r="AE265" i="2"/>
  <c r="X263" i="2"/>
  <c r="AE264" i="2"/>
  <c r="X262" i="2"/>
  <c r="AE263" i="2"/>
  <c r="X261" i="2"/>
  <c r="AE262" i="2"/>
  <c r="X260" i="2"/>
  <c r="AE261" i="2"/>
  <c r="X259" i="2"/>
  <c r="AE260" i="2"/>
  <c r="X258" i="2"/>
  <c r="AE259" i="2"/>
  <c r="X257" i="2"/>
  <c r="AE258" i="2"/>
  <c r="X256" i="2"/>
  <c r="AE257" i="2"/>
  <c r="X255" i="2"/>
  <c r="AE256" i="2"/>
  <c r="X254" i="2"/>
  <c r="AE255" i="2"/>
  <c r="X253" i="2"/>
  <c r="AE254" i="2"/>
  <c r="X252" i="2"/>
  <c r="AE253" i="2"/>
  <c r="X251" i="2"/>
  <c r="AE252" i="2"/>
  <c r="X250" i="2"/>
  <c r="AE251" i="2"/>
  <c r="X249" i="2"/>
  <c r="AE250" i="2"/>
  <c r="X248" i="2"/>
  <c r="AE249" i="2"/>
  <c r="X247" i="2"/>
  <c r="AE248" i="2"/>
  <c r="X246" i="2"/>
  <c r="AE247" i="2"/>
  <c r="X245" i="2"/>
  <c r="AE246" i="2"/>
  <c r="X244" i="2"/>
  <c r="AE245" i="2"/>
  <c r="X243" i="2"/>
  <c r="AE244" i="2"/>
  <c r="X242" i="2"/>
  <c r="AE243" i="2"/>
  <c r="X241" i="2"/>
  <c r="AE242" i="2"/>
  <c r="X240" i="2"/>
  <c r="AE241" i="2"/>
  <c r="X239" i="2"/>
  <c r="AE240" i="2"/>
  <c r="X238" i="2"/>
  <c r="AE239" i="2"/>
  <c r="X237" i="2"/>
  <c r="AE238" i="2"/>
  <c r="X236" i="2"/>
  <c r="AE237" i="2"/>
  <c r="X235" i="2"/>
  <c r="AE236" i="2"/>
  <c r="X234" i="2"/>
  <c r="AE235" i="2"/>
  <c r="X233" i="2"/>
  <c r="AE234" i="2"/>
  <c r="X232" i="2"/>
  <c r="AE233" i="2"/>
  <c r="X231" i="2"/>
  <c r="AE232" i="2"/>
  <c r="X230" i="2"/>
  <c r="AE231" i="2"/>
  <c r="X229" i="2"/>
  <c r="AE230" i="2"/>
  <c r="X228" i="2"/>
  <c r="AE229" i="2"/>
  <c r="X227" i="2"/>
  <c r="AE228" i="2"/>
  <c r="X226" i="2"/>
  <c r="AE227" i="2"/>
  <c r="X225" i="2"/>
  <c r="AE226" i="2"/>
  <c r="X224" i="2"/>
  <c r="AE225" i="2"/>
  <c r="X223" i="2"/>
  <c r="AE224" i="2"/>
  <c r="X222" i="2"/>
  <c r="AE223" i="2"/>
  <c r="X221" i="2"/>
  <c r="AE222" i="2"/>
  <c r="X220" i="2"/>
  <c r="AE221" i="2"/>
  <c r="X219" i="2"/>
  <c r="AE220" i="2"/>
  <c r="X218" i="2"/>
  <c r="AE219" i="2"/>
  <c r="X217" i="2"/>
  <c r="AE218" i="2"/>
  <c r="X216" i="2"/>
  <c r="AE217" i="2"/>
  <c r="X215" i="2"/>
  <c r="AE216" i="2"/>
  <c r="X214" i="2"/>
  <c r="AE215" i="2"/>
  <c r="X213" i="2"/>
  <c r="AE214" i="2"/>
  <c r="X212" i="2"/>
  <c r="AE213" i="2"/>
  <c r="X211" i="2"/>
  <c r="AE212" i="2"/>
  <c r="X210" i="2"/>
  <c r="AE211" i="2"/>
  <c r="X209" i="2"/>
  <c r="AE210" i="2"/>
  <c r="X208" i="2"/>
  <c r="AE209" i="2"/>
  <c r="X207" i="2"/>
  <c r="AE208" i="2"/>
  <c r="X206" i="2"/>
  <c r="AE207" i="2"/>
  <c r="X205" i="2"/>
  <c r="AE206" i="2"/>
  <c r="X204" i="2"/>
  <c r="AE205" i="2"/>
  <c r="X203" i="2"/>
  <c r="AE204" i="2"/>
  <c r="X202" i="2"/>
  <c r="AE203" i="2"/>
  <c r="X201" i="2"/>
  <c r="AE202" i="2"/>
  <c r="X200" i="2"/>
  <c r="AE201" i="2"/>
  <c r="X199" i="2"/>
  <c r="AE200" i="2"/>
  <c r="X198" i="2"/>
  <c r="AE199" i="2"/>
  <c r="X197" i="2"/>
  <c r="AE198" i="2"/>
  <c r="X196" i="2"/>
  <c r="AE197" i="2"/>
  <c r="X195" i="2"/>
  <c r="AE196" i="2"/>
  <c r="X194" i="2"/>
  <c r="AE195" i="2"/>
  <c r="X193" i="2"/>
  <c r="AE194" i="2"/>
  <c r="X192" i="2"/>
  <c r="AE193" i="2"/>
  <c r="X191" i="2"/>
  <c r="AE192" i="2"/>
  <c r="X190" i="2"/>
  <c r="AE191" i="2"/>
  <c r="X189" i="2"/>
  <c r="AE190" i="2"/>
  <c r="X188" i="2"/>
  <c r="AE189" i="2"/>
  <c r="X187" i="2"/>
  <c r="AE188" i="2"/>
  <c r="X186" i="2"/>
  <c r="AE187" i="2"/>
  <c r="X185" i="2"/>
  <c r="AE186" i="2"/>
  <c r="X184" i="2"/>
  <c r="AE185" i="2"/>
  <c r="X183" i="2"/>
  <c r="AE184" i="2"/>
  <c r="X182" i="2"/>
  <c r="AE183" i="2"/>
  <c r="X181" i="2"/>
  <c r="AE182" i="2"/>
  <c r="X180" i="2"/>
  <c r="AE181" i="2"/>
  <c r="X179" i="2"/>
  <c r="AE180" i="2"/>
  <c r="X178" i="2"/>
  <c r="AE179" i="2"/>
  <c r="X177" i="2"/>
  <c r="AE178" i="2"/>
  <c r="X176" i="2"/>
  <c r="AE177" i="2"/>
  <c r="X175" i="2"/>
  <c r="AE176" i="2"/>
  <c r="X174" i="2"/>
  <c r="AE175" i="2"/>
  <c r="AE174" i="2"/>
  <c r="AE173" i="2"/>
  <c r="X173" i="2"/>
  <c r="AE172" i="2"/>
  <c r="X172" i="2"/>
  <c r="AE171" i="2"/>
  <c r="X171" i="2"/>
  <c r="AE170" i="2"/>
  <c r="X170" i="2"/>
  <c r="AE169" i="2"/>
  <c r="X169" i="2"/>
  <c r="AE168" i="2"/>
  <c r="X168" i="2"/>
  <c r="AE167" i="2"/>
  <c r="X167" i="2"/>
  <c r="AE166" i="2"/>
  <c r="X166" i="2"/>
  <c r="AE165" i="2"/>
  <c r="X165" i="2"/>
  <c r="AE164" i="2"/>
  <c r="X164" i="2"/>
  <c r="AE163" i="2"/>
  <c r="X163" i="2"/>
  <c r="AE162" i="2"/>
  <c r="X162" i="2"/>
  <c r="AE161" i="2"/>
  <c r="X161" i="2"/>
  <c r="AE160" i="2"/>
  <c r="X160" i="2"/>
  <c r="AE159" i="2"/>
  <c r="X159" i="2"/>
  <c r="AE158" i="2"/>
  <c r="X158" i="2"/>
  <c r="AE157" i="2"/>
  <c r="X157" i="2"/>
  <c r="AE156" i="2"/>
  <c r="X156" i="2"/>
  <c r="AE155" i="2"/>
  <c r="X155" i="2"/>
  <c r="AE154" i="2"/>
  <c r="X154" i="2"/>
  <c r="AE153" i="2"/>
  <c r="X153" i="2"/>
  <c r="AE152" i="2"/>
  <c r="X152" i="2"/>
  <c r="AE151" i="2"/>
  <c r="X151" i="2"/>
  <c r="AE150" i="2"/>
  <c r="X150" i="2"/>
  <c r="AE149" i="2"/>
  <c r="X149" i="2"/>
  <c r="AE148" i="2"/>
  <c r="X148" i="2"/>
  <c r="AE147" i="2"/>
  <c r="X147" i="2"/>
  <c r="AE146" i="2"/>
  <c r="X146" i="2"/>
  <c r="AE145" i="2"/>
  <c r="X145" i="2"/>
  <c r="AE144" i="2"/>
  <c r="X144" i="2"/>
  <c r="AE143" i="2"/>
  <c r="X143" i="2"/>
  <c r="AE142" i="2"/>
  <c r="X142" i="2"/>
  <c r="AE141" i="2"/>
  <c r="X141" i="2"/>
  <c r="AE140" i="2"/>
  <c r="X140" i="2"/>
  <c r="AE139" i="2"/>
  <c r="X139" i="2"/>
  <c r="AE138" i="2"/>
  <c r="X138" i="2"/>
  <c r="AE137" i="2"/>
  <c r="X137" i="2"/>
  <c r="AE136" i="2"/>
  <c r="X136" i="2"/>
  <c r="AE135" i="2"/>
  <c r="X135" i="2"/>
  <c r="AE134" i="2"/>
  <c r="X134" i="2"/>
  <c r="AE133" i="2"/>
  <c r="X133" i="2"/>
  <c r="AE132" i="2"/>
  <c r="X132" i="2"/>
  <c r="AE131" i="2"/>
  <c r="X131" i="2"/>
  <c r="AE130" i="2"/>
  <c r="X130" i="2"/>
  <c r="AE129" i="2"/>
  <c r="X129" i="2"/>
  <c r="AE128" i="2"/>
  <c r="X128" i="2"/>
  <c r="AE127" i="2"/>
  <c r="X127" i="2"/>
  <c r="AE126" i="2"/>
  <c r="X126" i="2"/>
  <c r="AE125" i="2"/>
  <c r="X125" i="2"/>
  <c r="AE124" i="2"/>
  <c r="X124" i="2"/>
  <c r="AE123" i="2"/>
  <c r="X123" i="2"/>
  <c r="AE122" i="2"/>
  <c r="X122" i="2"/>
  <c r="AE121" i="2"/>
  <c r="X121" i="2"/>
  <c r="AE120" i="2"/>
  <c r="X120" i="2"/>
  <c r="AE119" i="2"/>
  <c r="X119" i="2"/>
  <c r="AE118" i="2"/>
  <c r="X118" i="2"/>
  <c r="AE117" i="2"/>
  <c r="X117" i="2"/>
  <c r="AE116" i="2"/>
  <c r="X116" i="2"/>
  <c r="AE115" i="2"/>
  <c r="X115" i="2"/>
  <c r="AE114" i="2"/>
  <c r="X114" i="2"/>
  <c r="AE113" i="2"/>
  <c r="X113" i="2"/>
  <c r="AE112" i="2"/>
  <c r="X112" i="2"/>
  <c r="AE111" i="2"/>
  <c r="X111" i="2"/>
  <c r="AE110" i="2"/>
  <c r="X110" i="2"/>
  <c r="AE109" i="2"/>
  <c r="X109" i="2"/>
  <c r="AE108" i="2"/>
  <c r="X108" i="2"/>
  <c r="AE107" i="2"/>
  <c r="X107" i="2"/>
  <c r="AE106" i="2"/>
  <c r="X106" i="2"/>
  <c r="AE105" i="2"/>
  <c r="X105" i="2"/>
  <c r="AE104" i="2"/>
  <c r="X104" i="2"/>
  <c r="AE103" i="2"/>
  <c r="X103" i="2"/>
  <c r="AE102" i="2"/>
  <c r="X102" i="2"/>
  <c r="AE101" i="2"/>
  <c r="X101" i="2"/>
  <c r="AE100" i="2"/>
  <c r="X100" i="2"/>
  <c r="AE99" i="2"/>
  <c r="X99" i="2"/>
  <c r="AE98" i="2"/>
  <c r="X98" i="2"/>
  <c r="AE97" i="2"/>
  <c r="X97" i="2"/>
  <c r="AE96" i="2"/>
  <c r="X96" i="2"/>
  <c r="AE95" i="2"/>
  <c r="X95" i="2"/>
  <c r="AE94" i="2"/>
  <c r="X94" i="2"/>
  <c r="AE93" i="2"/>
  <c r="X93" i="2"/>
  <c r="AE92" i="2"/>
  <c r="X92" i="2"/>
  <c r="AE91" i="2"/>
  <c r="X91" i="2"/>
  <c r="AE90" i="2"/>
  <c r="X90" i="2"/>
  <c r="AE89" i="2"/>
  <c r="X89" i="2"/>
  <c r="AE88" i="2"/>
  <c r="X88" i="2"/>
  <c r="AE87" i="2"/>
  <c r="X87" i="2"/>
  <c r="AE86" i="2"/>
  <c r="X86" i="2"/>
  <c r="AE85" i="2"/>
  <c r="X85" i="2"/>
  <c r="AE84" i="2"/>
  <c r="X84" i="2"/>
  <c r="AE83" i="2"/>
  <c r="X83" i="2"/>
  <c r="AE82" i="2"/>
  <c r="X82" i="2"/>
  <c r="AE81" i="2"/>
  <c r="X81" i="2"/>
  <c r="AE80" i="2"/>
  <c r="X80" i="2"/>
  <c r="AE79" i="2"/>
  <c r="X79" i="2"/>
  <c r="AE78" i="2"/>
  <c r="X78" i="2"/>
  <c r="AE77" i="2"/>
  <c r="X77" i="2"/>
  <c r="AE76" i="2"/>
  <c r="X76" i="2"/>
  <c r="AE75" i="2"/>
  <c r="X75" i="2"/>
  <c r="AE74" i="2"/>
  <c r="X74" i="2"/>
  <c r="AE73" i="2"/>
  <c r="X73" i="2"/>
  <c r="AE72" i="2"/>
  <c r="X72" i="2"/>
  <c r="AE71" i="2"/>
  <c r="X71" i="2"/>
  <c r="AE70" i="2"/>
  <c r="X70" i="2"/>
  <c r="AE69" i="2"/>
  <c r="X69" i="2"/>
  <c r="AE68" i="2"/>
  <c r="X68" i="2"/>
  <c r="AE67" i="2"/>
  <c r="X67" i="2"/>
  <c r="AE66" i="2"/>
  <c r="X66" i="2"/>
  <c r="AE65" i="2"/>
  <c r="X65" i="2"/>
  <c r="AE64" i="2"/>
  <c r="X64" i="2"/>
  <c r="AE63" i="2"/>
  <c r="X63" i="2"/>
  <c r="AE62" i="2"/>
  <c r="X62" i="2"/>
  <c r="AE61" i="2"/>
  <c r="X61" i="2"/>
  <c r="AE60" i="2"/>
  <c r="X60" i="2"/>
  <c r="AE59" i="2"/>
  <c r="X59" i="2"/>
  <c r="AE58" i="2"/>
  <c r="X58" i="2"/>
  <c r="AE57" i="2"/>
  <c r="X57" i="2"/>
  <c r="AE56" i="2"/>
  <c r="X56" i="2"/>
  <c r="AE55" i="2"/>
  <c r="X55" i="2"/>
  <c r="AE54" i="2"/>
  <c r="X54" i="2"/>
  <c r="AE53" i="2"/>
  <c r="X53" i="2"/>
  <c r="AE52" i="2"/>
  <c r="X52" i="2"/>
  <c r="AE51" i="2"/>
  <c r="X51" i="2"/>
  <c r="AE50" i="2"/>
  <c r="X50" i="2"/>
  <c r="AE49" i="2"/>
  <c r="X49" i="2"/>
  <c r="AE48" i="2"/>
  <c r="X48" i="2"/>
  <c r="AE47" i="2"/>
  <c r="X47" i="2"/>
  <c r="AE46" i="2"/>
  <c r="X46" i="2"/>
  <c r="AE45" i="2"/>
  <c r="X45" i="2"/>
  <c r="AE44" i="2"/>
  <c r="X44" i="2"/>
  <c r="AE43" i="2"/>
  <c r="X43" i="2"/>
  <c r="AE42" i="2"/>
  <c r="X42" i="2"/>
  <c r="AE41" i="2"/>
  <c r="X41" i="2"/>
  <c r="AE40" i="2"/>
  <c r="X40" i="2"/>
  <c r="AE39" i="2"/>
  <c r="X39" i="2"/>
  <c r="AE38" i="2"/>
  <c r="X38" i="2"/>
  <c r="AE37" i="2"/>
  <c r="X37" i="2"/>
  <c r="AE36" i="2"/>
  <c r="X36" i="2"/>
  <c r="AE35" i="2"/>
  <c r="X35" i="2"/>
  <c r="AE34" i="2"/>
  <c r="X34" i="2"/>
  <c r="AE33" i="2"/>
  <c r="X33" i="2"/>
  <c r="AE32" i="2"/>
  <c r="X32" i="2"/>
  <c r="AE31" i="2"/>
  <c r="X31" i="2"/>
  <c r="AE30" i="2"/>
  <c r="X30" i="2"/>
  <c r="AE29" i="2"/>
  <c r="X29" i="2"/>
  <c r="AE28" i="2"/>
  <c r="X28" i="2"/>
  <c r="AE27" i="2"/>
  <c r="X27" i="2"/>
  <c r="AE26" i="2"/>
  <c r="X26" i="2"/>
  <c r="AE25" i="2"/>
  <c r="X25" i="2"/>
  <c r="AE24" i="2"/>
  <c r="X24" i="2"/>
  <c r="AE23" i="2"/>
  <c r="X23" i="2"/>
  <c r="AE22" i="2"/>
  <c r="X22" i="2"/>
  <c r="AE21" i="2"/>
  <c r="X21" i="2"/>
  <c r="AE20" i="2"/>
  <c r="X20" i="2"/>
  <c r="AE19" i="2"/>
  <c r="X19" i="2"/>
  <c r="AE18" i="2"/>
  <c r="X18" i="2"/>
  <c r="AE17" i="2"/>
  <c r="X17" i="2"/>
  <c r="AE16" i="2"/>
  <c r="X16" i="2"/>
  <c r="AE15" i="2"/>
  <c r="X15" i="2"/>
  <c r="AE14" i="2"/>
  <c r="X14" i="2"/>
  <c r="AE13" i="2"/>
  <c r="X13" i="2"/>
  <c r="AE12" i="2"/>
  <c r="X12" i="2"/>
  <c r="AE11" i="2"/>
  <c r="X11" i="2"/>
  <c r="AE10" i="2"/>
  <c r="X10" i="2"/>
  <c r="AE9" i="2"/>
  <c r="X9" i="2"/>
  <c r="AE8" i="2"/>
  <c r="X8" i="2"/>
  <c r="AE7" i="2"/>
  <c r="X7" i="2"/>
  <c r="AE6" i="2"/>
  <c r="X6" i="2"/>
  <c r="AE5" i="2"/>
  <c r="X5" i="2"/>
  <c r="AE4" i="2"/>
  <c r="X4" i="2"/>
  <c r="AE3" i="2"/>
  <c r="X3" i="2"/>
  <c r="AE2" i="2"/>
  <c r="X2" i="2"/>
  <c r="C7" i="4" l="1"/>
  <c r="C6" i="4"/>
  <c r="Z2" i="2" a="1"/>
  <c r="Z2" i="2" s="1"/>
  <c r="Z8" i="2" a="1"/>
  <c r="Z8" i="2" s="1"/>
  <c r="C9" i="4"/>
  <c r="Z46" i="2" a="1"/>
  <c r="Z46" i="2" s="1"/>
  <c r="Z315" i="2" a="1"/>
  <c r="Z315" i="2" s="1"/>
  <c r="Z4" i="2" a="1"/>
  <c r="Z4" i="2" s="1"/>
  <c r="Z10" i="2" a="1"/>
  <c r="Z10" i="2" s="1"/>
  <c r="Z16" i="2" a="1"/>
  <c r="Z16" i="2" s="1"/>
  <c r="Z34" i="2" a="1"/>
  <c r="Z34" i="2" s="1"/>
  <c r="Z23" i="2" a="1"/>
  <c r="Z23" i="2" s="1"/>
  <c r="Z95" i="2" a="1"/>
  <c r="Z95" i="2" s="1"/>
  <c r="Z190" i="2" a="1"/>
  <c r="Z190" i="2" s="1"/>
  <c r="Z214" i="2" a="1"/>
  <c r="Z214" i="2" s="1"/>
  <c r="Z226" i="2" a="1"/>
  <c r="Z226" i="2" s="1"/>
  <c r="Z250" i="2" a="1"/>
  <c r="Z250" i="2" s="1"/>
  <c r="Z262" i="2" a="1"/>
  <c r="Z262" i="2" s="1"/>
  <c r="Z334" i="2" a="1"/>
  <c r="Z334" i="2" s="1"/>
  <c r="Z17" i="2" a="1"/>
  <c r="Z17" i="2" s="1"/>
  <c r="Z47" i="2" a="1"/>
  <c r="Z47" i="2" s="1"/>
  <c r="Z119" i="2" a="1"/>
  <c r="Z119" i="2" s="1"/>
  <c r="Z168" i="2" a="1"/>
  <c r="Z168" i="2" s="1"/>
  <c r="Z293" i="2" a="1"/>
  <c r="Z293" i="2" s="1"/>
  <c r="Z29" i="2" a="1"/>
  <c r="Z29" i="2" s="1"/>
  <c r="Z11" i="2" a="1"/>
  <c r="Z11" i="2" s="1"/>
  <c r="Z83" i="2" a="1"/>
  <c r="Z83" i="2" s="1"/>
  <c r="Z7" i="2" a="1"/>
  <c r="Z7" i="2" s="1"/>
  <c r="Z25" i="2" a="1"/>
  <c r="Z25" i="2" s="1"/>
  <c r="Z49" i="2" a="1"/>
  <c r="Z49" i="2" s="1"/>
  <c r="Z330" i="2" a="1"/>
  <c r="Z330" i="2" s="1"/>
  <c r="Z5" i="2" a="1"/>
  <c r="Z5" i="2" s="1"/>
  <c r="Z59" i="2" a="1"/>
  <c r="Z59" i="2" s="1"/>
  <c r="Z13" i="2" a="1"/>
  <c r="Z13" i="2" s="1"/>
  <c r="Z37" i="2" a="1"/>
  <c r="Z37" i="2" s="1"/>
  <c r="Z14" i="2" a="1"/>
  <c r="Z14" i="2" s="1"/>
  <c r="Z32" i="2" a="1"/>
  <c r="Z32" i="2" s="1"/>
  <c r="Z56" i="2" a="1"/>
  <c r="Z56" i="2" s="1"/>
  <c r="Z80" i="2" a="1"/>
  <c r="Z80" i="2" s="1"/>
  <c r="Z92" i="2" a="1"/>
  <c r="Z92" i="2" s="1"/>
  <c r="Z116" i="2" a="1"/>
  <c r="Z116" i="2" s="1"/>
  <c r="Z205" i="2" a="1"/>
  <c r="Z205" i="2" s="1"/>
  <c r="Z223" i="2" a="1"/>
  <c r="Z223" i="2" s="1"/>
  <c r="Z229" i="2" a="1"/>
  <c r="Z229" i="2" s="1"/>
  <c r="Z265" i="2" a="1"/>
  <c r="Z265" i="2" s="1"/>
  <c r="Z20" i="2" a="1"/>
  <c r="Z20" i="2" s="1"/>
  <c r="Z44" i="2" a="1"/>
  <c r="Z44" i="2" s="1"/>
  <c r="Z50" i="2" a="1"/>
  <c r="Z50" i="2" s="1"/>
  <c r="Z68" i="2" a="1"/>
  <c r="Z68" i="2" s="1"/>
  <c r="Z86" i="2" a="1"/>
  <c r="Z86" i="2" s="1"/>
  <c r="Z104" i="2" a="1"/>
  <c r="Z104" i="2" s="1"/>
  <c r="Z193" i="2" a="1"/>
  <c r="Z193" i="2" s="1"/>
  <c r="Z337" i="2" a="1"/>
  <c r="Z337" i="2" s="1"/>
  <c r="Z71" i="2" a="1"/>
  <c r="Z71" i="2" s="1"/>
  <c r="Z22" i="2" a="1"/>
  <c r="Z22" i="2" s="1"/>
  <c r="Z52" i="2" a="1"/>
  <c r="Z52" i="2" s="1"/>
  <c r="Z78" i="2" a="1"/>
  <c r="Z78" i="2" s="1"/>
  <c r="Z124" i="2" a="1"/>
  <c r="Z124" i="2" s="1"/>
  <c r="Z171" i="2" a="1"/>
  <c r="Z171" i="2" s="1"/>
  <c r="Z180" i="2" a="1"/>
  <c r="Z180" i="2" s="1"/>
  <c r="Z199" i="2" a="1"/>
  <c r="Z199" i="2" s="1"/>
  <c r="Z217" i="2" a="1"/>
  <c r="Z217" i="2" s="1"/>
  <c r="Z240" i="2" a="1"/>
  <c r="Z240" i="2" s="1"/>
  <c r="Z244" i="2" a="1"/>
  <c r="Z244" i="2" s="1"/>
  <c r="Z295" i="2" a="1"/>
  <c r="Z295" i="2" s="1"/>
  <c r="Z304" i="2" a="1"/>
  <c r="Z304" i="2" s="1"/>
  <c r="Z319" i="2" a="1"/>
  <c r="Z319" i="2" s="1"/>
  <c r="Z345" i="2" a="1"/>
  <c r="Z345" i="2" s="1"/>
  <c r="Z401" i="2" a="1"/>
  <c r="Z401" i="2" s="1"/>
  <c r="Z65" i="2" a="1"/>
  <c r="Z65" i="2" s="1"/>
  <c r="Z114" i="2" a="1"/>
  <c r="Z114" i="2" s="1"/>
  <c r="Z150" i="2" a="1"/>
  <c r="Z150" i="2" s="1"/>
  <c r="Z62" i="2" a="1"/>
  <c r="Z62" i="2" s="1"/>
  <c r="Z75" i="2" a="1"/>
  <c r="Z75" i="2" s="1"/>
  <c r="Z85" i="2" a="1"/>
  <c r="Z85" i="2" s="1"/>
  <c r="Z98" i="2" a="1"/>
  <c r="Z98" i="2" s="1"/>
  <c r="Z111" i="2" a="1"/>
  <c r="Z111" i="2" s="1"/>
  <c r="Z121" i="2" a="1"/>
  <c r="Z121" i="2" s="1"/>
  <c r="Z134" i="2" a="1"/>
  <c r="Z134" i="2" s="1"/>
  <c r="Z147" i="2" a="1"/>
  <c r="Z147" i="2" s="1"/>
  <c r="Z157" i="2" a="1"/>
  <c r="Z157" i="2" s="1"/>
  <c r="Z164" i="2" a="1"/>
  <c r="Z164" i="2" s="1"/>
  <c r="Z177" i="2" a="1"/>
  <c r="Z177" i="2" s="1"/>
  <c r="Z184" i="2" a="1"/>
  <c r="Z184" i="2" s="1"/>
  <c r="Z195" i="2" a="1"/>
  <c r="Z195" i="2" s="1"/>
  <c r="Z206" i="2" a="1"/>
  <c r="Z206" i="2" s="1"/>
  <c r="Z221" i="2" a="1"/>
  <c r="Z221" i="2" s="1"/>
  <c r="Z253" i="2" a="1"/>
  <c r="Z253" i="2" s="1"/>
  <c r="Z257" i="2" a="1"/>
  <c r="Z257" i="2" s="1"/>
  <c r="Z270" i="2" a="1"/>
  <c r="Z270" i="2" s="1"/>
  <c r="Z278" i="2" a="1"/>
  <c r="Z278" i="2" s="1"/>
  <c r="Z356" i="2" a="1"/>
  <c r="Z356" i="2" s="1"/>
  <c r="Z373" i="2" a="1"/>
  <c r="Z373" i="2" s="1"/>
  <c r="Z424" i="2" a="1"/>
  <c r="Z424" i="2" s="1"/>
  <c r="Z457" i="2" a="1"/>
  <c r="Z457" i="2" s="1"/>
  <c r="Z36" i="2" a="1"/>
  <c r="Z36" i="2" s="1"/>
  <c r="Z72" i="2" a="1"/>
  <c r="Z72" i="2" s="1"/>
  <c r="Z82" i="2" a="1"/>
  <c r="Z82" i="2" s="1"/>
  <c r="Z108" i="2" a="1"/>
  <c r="Z108" i="2" s="1"/>
  <c r="Z118" i="2" a="1"/>
  <c r="Z118" i="2" s="1"/>
  <c r="Z131" i="2" a="1"/>
  <c r="Z131" i="2" s="1"/>
  <c r="Z144" i="2" a="1"/>
  <c r="Z144" i="2" s="1"/>
  <c r="Z154" i="2" a="1"/>
  <c r="Z154" i="2" s="1"/>
  <c r="Z203" i="2" a="1"/>
  <c r="Z203" i="2" s="1"/>
  <c r="Z241" i="2" a="1"/>
  <c r="Z241" i="2" s="1"/>
  <c r="Z266" i="2" a="1"/>
  <c r="Z266" i="2" s="1"/>
  <c r="Z283" i="2" a="1"/>
  <c r="Z283" i="2" s="1"/>
  <c r="Z291" i="2" a="1"/>
  <c r="Z291" i="2" s="1"/>
  <c r="Z296" i="2" a="1"/>
  <c r="Z296" i="2" s="1"/>
  <c r="Z300" i="2" a="1"/>
  <c r="Z300" i="2" s="1"/>
  <c r="Z351" i="2" a="1"/>
  <c r="Z351" i="2" s="1"/>
  <c r="Z396" i="2" a="1"/>
  <c r="Z396" i="2" s="1"/>
  <c r="Z509" i="2" a="1"/>
  <c r="Z509" i="2" s="1"/>
  <c r="Z532" i="2" a="1"/>
  <c r="Z532" i="2" s="1"/>
  <c r="Z33" i="2" a="1"/>
  <c r="Z33" i="2" s="1"/>
  <c r="Z43" i="2" a="1"/>
  <c r="Z43" i="2" s="1"/>
  <c r="Z69" i="2" a="1"/>
  <c r="Z69" i="2" s="1"/>
  <c r="Z79" i="2" a="1"/>
  <c r="Z79" i="2" s="1"/>
  <c r="Z105" i="2" a="1"/>
  <c r="Z105" i="2" s="1"/>
  <c r="Z115" i="2" a="1"/>
  <c r="Z115" i="2" s="1"/>
  <c r="Z128" i="2" a="1"/>
  <c r="Z128" i="2" s="1"/>
  <c r="Z141" i="2" a="1"/>
  <c r="Z141" i="2" s="1"/>
  <c r="Z151" i="2" a="1"/>
  <c r="Z151" i="2" s="1"/>
  <c r="Z165" i="2" a="1"/>
  <c r="Z165" i="2" s="1"/>
  <c r="Z181" i="2" a="1"/>
  <c r="Z181" i="2" s="1"/>
  <c r="Z192" i="2" a="1"/>
  <c r="Z192" i="2" s="1"/>
  <c r="Z211" i="2" a="1"/>
  <c r="Z211" i="2" s="1"/>
  <c r="Z245" i="2" a="1"/>
  <c r="Z245" i="2" s="1"/>
  <c r="Z271" i="2" a="1"/>
  <c r="Z271" i="2" s="1"/>
  <c r="Z275" i="2" a="1"/>
  <c r="Z275" i="2" s="1"/>
  <c r="Z341" i="2" a="1"/>
  <c r="Z341" i="2" s="1"/>
  <c r="Z346" i="2" a="1"/>
  <c r="Z346" i="2" s="1"/>
  <c r="Z374" i="2" a="1"/>
  <c r="Z374" i="2" s="1"/>
  <c r="Z486" i="2" a="1"/>
  <c r="Z486" i="2" s="1"/>
  <c r="Z42" i="2" a="1"/>
  <c r="Z42" i="2" s="1"/>
  <c r="Z101" i="2" a="1"/>
  <c r="Z101" i="2" s="1"/>
  <c r="Z137" i="2" a="1"/>
  <c r="Z137" i="2" s="1"/>
  <c r="Z26" i="2" a="1"/>
  <c r="Z26" i="2" s="1"/>
  <c r="Z30" i="2" a="1"/>
  <c r="Z30" i="2" s="1"/>
  <c r="Z40" i="2" a="1"/>
  <c r="Z40" i="2" s="1"/>
  <c r="Z53" i="2" a="1"/>
  <c r="Z53" i="2" s="1"/>
  <c r="Z66" i="2" a="1"/>
  <c r="Z66" i="2" s="1"/>
  <c r="Z76" i="2" a="1"/>
  <c r="Z76" i="2" s="1"/>
  <c r="Z89" i="2" a="1"/>
  <c r="Z89" i="2" s="1"/>
  <c r="Z102" i="2" a="1"/>
  <c r="Z102" i="2" s="1"/>
  <c r="Z112" i="2" a="1"/>
  <c r="Z112" i="2" s="1"/>
  <c r="Z125" i="2" a="1"/>
  <c r="Z125" i="2" s="1"/>
  <c r="Z138" i="2" a="1"/>
  <c r="Z138" i="2" s="1"/>
  <c r="Z148" i="2" a="1"/>
  <c r="Z148" i="2" s="1"/>
  <c r="Z161" i="2" a="1"/>
  <c r="Z161" i="2" s="1"/>
  <c r="Z172" i="2" a="1"/>
  <c r="Z172" i="2" s="1"/>
  <c r="Z178" i="2" a="1"/>
  <c r="Z178" i="2" s="1"/>
  <c r="Z185" i="2" a="1"/>
  <c r="Z185" i="2" s="1"/>
  <c r="Z196" i="2" a="1"/>
  <c r="Z196" i="2" s="1"/>
  <c r="Z200" i="2" a="1"/>
  <c r="Z200" i="2" s="1"/>
  <c r="Z207" i="2" a="1"/>
  <c r="Z207" i="2" s="1"/>
  <c r="Z218" i="2" a="1"/>
  <c r="Z218" i="2" s="1"/>
  <c r="Z222" i="2" a="1"/>
  <c r="Z222" i="2" s="1"/>
  <c r="Z238" i="2" a="1"/>
  <c r="Z238" i="2" s="1"/>
  <c r="Z258" i="2" a="1"/>
  <c r="Z258" i="2" s="1"/>
  <c r="Z279" i="2" a="1"/>
  <c r="Z279" i="2" s="1"/>
  <c r="Z288" i="2" a="1"/>
  <c r="Z288" i="2" s="1"/>
  <c r="Z297" i="2" a="1"/>
  <c r="Z297" i="2" s="1"/>
  <c r="Z310" i="2" a="1"/>
  <c r="Z310" i="2" s="1"/>
  <c r="Z331" i="2" a="1"/>
  <c r="Z331" i="2" s="1"/>
  <c r="Z27" i="2" a="1"/>
  <c r="Z27" i="2" s="1"/>
  <c r="Z63" i="2" a="1"/>
  <c r="Z63" i="2" s="1"/>
  <c r="Z73" i="2" a="1"/>
  <c r="Z73" i="2" s="1"/>
  <c r="Z99" i="2" a="1"/>
  <c r="Z99" i="2" s="1"/>
  <c r="Z109" i="2" a="1"/>
  <c r="Z109" i="2" s="1"/>
  <c r="Z122" i="2" a="1"/>
  <c r="Z122" i="2" s="1"/>
  <c r="Z135" i="2" a="1"/>
  <c r="Z135" i="2" s="1"/>
  <c r="Z145" i="2" a="1"/>
  <c r="Z145" i="2" s="1"/>
  <c r="Z158" i="2" a="1"/>
  <c r="Z158" i="2" s="1"/>
  <c r="Z169" i="2" a="1"/>
  <c r="Z169" i="2" s="1"/>
  <c r="Z215" i="2" a="1"/>
  <c r="Z215" i="2" s="1"/>
  <c r="Z230" i="2" a="1"/>
  <c r="Z230" i="2" s="1"/>
  <c r="Z234" i="2" a="1"/>
  <c r="Z234" i="2" s="1"/>
  <c r="Z306" i="2" a="1"/>
  <c r="Z306" i="2" s="1"/>
  <c r="Z326" i="2" a="1"/>
  <c r="Z326" i="2" s="1"/>
  <c r="Z369" i="2" a="1"/>
  <c r="Z369" i="2" s="1"/>
  <c r="Z392" i="2" a="1"/>
  <c r="Z392" i="2" s="1"/>
  <c r="Z409" i="2" a="1"/>
  <c r="Z409" i="2" s="1"/>
  <c r="Z448" i="2" a="1"/>
  <c r="Z448" i="2" s="1"/>
  <c r="Z481" i="2" a="1"/>
  <c r="Z481" i="2" s="1"/>
  <c r="Z493" i="2" a="1"/>
  <c r="Z493" i="2" s="1"/>
  <c r="Z516" i="2" a="1"/>
  <c r="Z516" i="2" s="1"/>
  <c r="Z522" i="2" a="1"/>
  <c r="Z522" i="2" s="1"/>
  <c r="Z6" i="2" a="1"/>
  <c r="Z6" i="2" s="1"/>
  <c r="Z9" i="2" a="1"/>
  <c r="Z9" i="2" s="1"/>
  <c r="Z12" i="2" a="1"/>
  <c r="Z12" i="2" s="1"/>
  <c r="Z15" i="2" a="1"/>
  <c r="Z15" i="2" s="1"/>
  <c r="Z18" i="2" a="1"/>
  <c r="Z18" i="2" s="1"/>
  <c r="Z21" i="2" a="1"/>
  <c r="Z21" i="2" s="1"/>
  <c r="Z24" i="2" a="1"/>
  <c r="Z24" i="2" s="1"/>
  <c r="Z60" i="2" a="1"/>
  <c r="Z60" i="2" s="1"/>
  <c r="Z70" i="2" a="1"/>
  <c r="Z70" i="2" s="1"/>
  <c r="Z96" i="2" a="1"/>
  <c r="Z96" i="2" s="1"/>
  <c r="Z106" i="2" a="1"/>
  <c r="Z106" i="2" s="1"/>
  <c r="Z132" i="2" a="1"/>
  <c r="Z132" i="2" s="1"/>
  <c r="Z142" i="2" a="1"/>
  <c r="Z142" i="2" s="1"/>
  <c r="Z155" i="2" a="1"/>
  <c r="Z155" i="2" s="1"/>
  <c r="Z175" i="2" a="1"/>
  <c r="Z175" i="2" s="1"/>
  <c r="Z204" i="2" a="1"/>
  <c r="Z204" i="2" s="1"/>
  <c r="Z242" i="2" a="1"/>
  <c r="Z242" i="2" s="1"/>
  <c r="Z259" i="2" a="1"/>
  <c r="Z259" i="2" s="1"/>
  <c r="Z263" i="2" a="1"/>
  <c r="Z263" i="2" s="1"/>
  <c r="Z302" i="2" a="1"/>
  <c r="Z302" i="2" s="1"/>
  <c r="Z311" i="2" a="1"/>
  <c r="Z311" i="2" s="1"/>
  <c r="Z322" i="2" a="1"/>
  <c r="Z322" i="2" s="1"/>
  <c r="Z342" i="2" a="1"/>
  <c r="Z342" i="2" s="1"/>
  <c r="Z364" i="2" a="1"/>
  <c r="Z364" i="2" s="1"/>
  <c r="Z421" i="2" a="1"/>
  <c r="Z421" i="2" s="1"/>
  <c r="Z31" i="2" a="1"/>
  <c r="Z31" i="2" s="1"/>
  <c r="Z57" i="2" a="1"/>
  <c r="Z57" i="2" s="1"/>
  <c r="Z67" i="2" a="1"/>
  <c r="Z67" i="2" s="1"/>
  <c r="Z93" i="2" a="1"/>
  <c r="Z93" i="2" s="1"/>
  <c r="Z103" i="2" a="1"/>
  <c r="Z103" i="2" s="1"/>
  <c r="Z129" i="2" a="1"/>
  <c r="Z129" i="2" s="1"/>
  <c r="Z139" i="2" a="1"/>
  <c r="Z139" i="2" s="1"/>
  <c r="Z152" i="2" a="1"/>
  <c r="Z152" i="2" s="1"/>
  <c r="Z162" i="2" a="1"/>
  <c r="Z162" i="2" s="1"/>
  <c r="Z166" i="2" a="1"/>
  <c r="Z166" i="2" s="1"/>
  <c r="Z173" i="2" a="1"/>
  <c r="Z173" i="2" s="1"/>
  <c r="Z182" i="2" a="1"/>
  <c r="Z182" i="2" s="1"/>
  <c r="Z186" i="2" a="1"/>
  <c r="Z186" i="2" s="1"/>
  <c r="Z208" i="2" a="1"/>
  <c r="Z208" i="2" s="1"/>
  <c r="Z235" i="2" a="1"/>
  <c r="Z235" i="2" s="1"/>
  <c r="Z276" i="2" a="1"/>
  <c r="Z276" i="2" s="1"/>
  <c r="Z280" i="2" a="1"/>
  <c r="Z280" i="2" s="1"/>
  <c r="Z289" i="2" a="1"/>
  <c r="Z289" i="2" s="1"/>
  <c r="Z298" i="2" a="1"/>
  <c r="Z298" i="2" s="1"/>
  <c r="Z307" i="2" a="1"/>
  <c r="Z307" i="2" s="1"/>
  <c r="Z410" i="2" a="1"/>
  <c r="Z410" i="2" s="1"/>
  <c r="Z88" i="2" a="1"/>
  <c r="Z88" i="2" s="1"/>
  <c r="Z160" i="2" a="1"/>
  <c r="Z160" i="2" s="1"/>
  <c r="Z39" i="2" a="1"/>
  <c r="Z39" i="2" s="1"/>
  <c r="Z561" i="2" a="1"/>
  <c r="Z561" i="2" s="1"/>
  <c r="Z571" i="2" a="1"/>
  <c r="Z571" i="2" s="1"/>
  <c r="Z550" i="2" a="1"/>
  <c r="Z550" i="2" s="1"/>
  <c r="Z535" i="2" a="1"/>
  <c r="Z535" i="2" s="1"/>
  <c r="Z527" i="2" a="1"/>
  <c r="Z527" i="2" s="1"/>
  <c r="Z515" i="2" a="1"/>
  <c r="Z515" i="2" s="1"/>
  <c r="Z496" i="2" a="1"/>
  <c r="Z496" i="2" s="1"/>
  <c r="Z566" i="2" a="1"/>
  <c r="Z566" i="2" s="1"/>
  <c r="Z562" i="2" a="1"/>
  <c r="Z562" i="2" s="1"/>
  <c r="Z542" i="2" a="1"/>
  <c r="Z542" i="2" s="1"/>
  <c r="Z519" i="2" a="1"/>
  <c r="Z519" i="2" s="1"/>
  <c r="Z553" i="2" a="1"/>
  <c r="Z553" i="2" s="1"/>
  <c r="Z538" i="2" a="1"/>
  <c r="Z538" i="2" s="1"/>
  <c r="Z530" i="2" a="1"/>
  <c r="Z530" i="2" s="1"/>
  <c r="Z511" i="2" a="1"/>
  <c r="Z511" i="2" s="1"/>
  <c r="Z503" i="2" a="1"/>
  <c r="Z503" i="2" s="1"/>
  <c r="Z488" i="2" a="1"/>
  <c r="Z488" i="2" s="1"/>
  <c r="Z570" i="2" a="1"/>
  <c r="Z570" i="2" s="1"/>
  <c r="Z549" i="2" a="1"/>
  <c r="Z549" i="2" s="1"/>
  <c r="Z534" i="2" a="1"/>
  <c r="Z534" i="2" s="1"/>
  <c r="Z514" i="2" a="1"/>
  <c r="Z514" i="2" s="1"/>
  <c r="Z499" i="2" a="1"/>
  <c r="Z499" i="2" s="1"/>
  <c r="Z491" i="2" a="1"/>
  <c r="Z491" i="2" s="1"/>
  <c r="Z352" i="2" a="1"/>
  <c r="Z352" i="2" s="1"/>
  <c r="Z475" i="2" a="1"/>
  <c r="Z475" i="2" s="1"/>
  <c r="Z463" i="2" a="1"/>
  <c r="Z463" i="2" s="1"/>
  <c r="Z552" i="2" a="1"/>
  <c r="Z552" i="2" s="1"/>
  <c r="Z529" i="2" a="1"/>
  <c r="Z529" i="2" s="1"/>
  <c r="Z548" i="2" a="1"/>
  <c r="Z548" i="2" s="1"/>
  <c r="Z517" i="2" a="1"/>
  <c r="Z517" i="2" s="1"/>
  <c r="Z502" i="2" a="1"/>
  <c r="Z502" i="2" s="1"/>
  <c r="Z540" i="2" a="1"/>
  <c r="Z540" i="2" s="1"/>
  <c r="Z525" i="2" a="1"/>
  <c r="Z525" i="2" s="1"/>
  <c r="Z478" i="2" a="1"/>
  <c r="Z478" i="2" s="1"/>
  <c r="Z466" i="2" a="1"/>
  <c r="Z466" i="2" s="1"/>
  <c r="Z563" i="2" a="1"/>
  <c r="Z563" i="2" s="1"/>
  <c r="Z524" i="2" a="1"/>
  <c r="Z524" i="2" s="1"/>
  <c r="Z469" i="2" a="1"/>
  <c r="Z469" i="2" s="1"/>
  <c r="Z284" i="2" a="1"/>
  <c r="Z284" i="2" s="1"/>
  <c r="Z261" i="2" a="1"/>
  <c r="Z261" i="2" s="1"/>
  <c r="Z248" i="2" a="1"/>
  <c r="Z248" i="2" s="1"/>
  <c r="Z225" i="2" a="1"/>
  <c r="Z225" i="2" s="1"/>
  <c r="Z212" i="2" a="1"/>
  <c r="Z212" i="2" s="1"/>
  <c r="Z189" i="2" a="1"/>
  <c r="Z189" i="2" s="1"/>
  <c r="Z176" i="2" a="1"/>
  <c r="Z176" i="2" s="1"/>
  <c r="Z335" i="2" a="1"/>
  <c r="Z335" i="2" s="1"/>
  <c r="Z327" i="2" a="1"/>
  <c r="Z327" i="2" s="1"/>
  <c r="Z287" i="2" a="1"/>
  <c r="Z287" i="2" s="1"/>
  <c r="Z264" i="2" a="1"/>
  <c r="Z264" i="2" s="1"/>
  <c r="Z251" i="2" a="1"/>
  <c r="Z251" i="2" s="1"/>
  <c r="Z228" i="2" a="1"/>
  <c r="Z228" i="2" s="1"/>
  <c r="Z539" i="2" a="1"/>
  <c r="Z539" i="2" s="1"/>
  <c r="Z393" i="2" a="1"/>
  <c r="Z393" i="2" s="1"/>
  <c r="Z384" i="2" a="1"/>
  <c r="Z384" i="2" s="1"/>
  <c r="Z357" i="2" a="1"/>
  <c r="Z357" i="2" s="1"/>
  <c r="Z316" i="2" a="1"/>
  <c r="Z316" i="2" s="1"/>
  <c r="Z290" i="2" a="1"/>
  <c r="Z290" i="2" s="1"/>
  <c r="Z267" i="2" a="1"/>
  <c r="Z267" i="2" s="1"/>
  <c r="Z254" i="2" a="1"/>
  <c r="Z254" i="2" s="1"/>
  <c r="Z231" i="2" a="1"/>
  <c r="Z231" i="2" s="1"/>
  <c r="Z512" i="2" a="1"/>
  <c r="Z512" i="2" s="1"/>
  <c r="Z468" i="2" a="1"/>
  <c r="Z468" i="2" s="1"/>
  <c r="Z444" i="2" a="1"/>
  <c r="Z444" i="2" s="1"/>
  <c r="Z420" i="2" a="1"/>
  <c r="Z420" i="2" s="1"/>
  <c r="Z397" i="2" a="1"/>
  <c r="Z397" i="2" s="1"/>
  <c r="Z388" i="2" a="1"/>
  <c r="Z388" i="2" s="1"/>
  <c r="Z361" i="2" a="1"/>
  <c r="Z361" i="2" s="1"/>
  <c r="Z349" i="2" a="1"/>
  <c r="Z349" i="2" s="1"/>
  <c r="Z338" i="2" a="1"/>
  <c r="Z338" i="2" s="1"/>
  <c r="Z312" i="2" a="1"/>
  <c r="Z312" i="2" s="1"/>
  <c r="Z301" i="2" a="1"/>
  <c r="Z301" i="2" s="1"/>
  <c r="Z477" i="2" a="1"/>
  <c r="Z477" i="2" s="1"/>
  <c r="Z453" i="2" a="1"/>
  <c r="Z453" i="2" s="1"/>
  <c r="Z429" i="2" a="1"/>
  <c r="Z429" i="2" s="1"/>
  <c r="Z273" i="2" a="1"/>
  <c r="Z273" i="2" s="1"/>
  <c r="Z260" i="2" a="1"/>
  <c r="Z260" i="2" s="1"/>
  <c r="Z237" i="2" a="1"/>
  <c r="Z237" i="2" s="1"/>
  <c r="Z224" i="2" a="1"/>
  <c r="Z224" i="2" s="1"/>
  <c r="Z201" i="2" a="1"/>
  <c r="Z201" i="2" s="1"/>
  <c r="Z188" i="2" a="1"/>
  <c r="Z188" i="2" s="1"/>
  <c r="Z167" i="2" a="1"/>
  <c r="Z167" i="2" s="1"/>
  <c r="Z282" i="2" a="1"/>
  <c r="Z282" i="2" s="1"/>
  <c r="Z269" i="2" a="1"/>
  <c r="Z269" i="2" s="1"/>
  <c r="Z246" i="2" a="1"/>
  <c r="Z246" i="2" s="1"/>
  <c r="Z233" i="2" a="1"/>
  <c r="Z233" i="2" s="1"/>
  <c r="Z210" i="2" a="1"/>
  <c r="Z210" i="2" s="1"/>
  <c r="Z197" i="2" a="1"/>
  <c r="Z197" i="2" s="1"/>
  <c r="Z174" i="2" a="1"/>
  <c r="Z174" i="2" s="1"/>
  <c r="Z163" i="2" a="1"/>
  <c r="Z163" i="2" s="1"/>
  <c r="Z547" i="2" a="1"/>
  <c r="Z547" i="2" s="1"/>
  <c r="Z340" i="2" a="1"/>
  <c r="Z340" i="2" s="1"/>
  <c r="Z314" i="2" a="1"/>
  <c r="Z314" i="2" s="1"/>
  <c r="Z303" i="2" a="1"/>
  <c r="Z303" i="2" s="1"/>
  <c r="Z285" i="2" a="1"/>
  <c r="Z285" i="2" s="1"/>
  <c r="Z272" i="2" a="1"/>
  <c r="Z272" i="2" s="1"/>
  <c r="Z249" i="2" a="1"/>
  <c r="Z249" i="2" s="1"/>
  <c r="Z494" i="2" a="1"/>
  <c r="Z494" i="2" s="1"/>
  <c r="Z480" i="2" a="1"/>
  <c r="Z480" i="2" s="1"/>
  <c r="Z456" i="2" a="1"/>
  <c r="Z456" i="2" s="1"/>
  <c r="Z432" i="2" a="1"/>
  <c r="Z432" i="2" s="1"/>
  <c r="Z336" i="2" a="1"/>
  <c r="Z336" i="2" s="1"/>
  <c r="Z325" i="2" a="1"/>
  <c r="Z325" i="2" s="1"/>
  <c r="Z465" i="2" a="1"/>
  <c r="Z465" i="2" s="1"/>
  <c r="Z441" i="2" a="1"/>
  <c r="Z441" i="2" s="1"/>
  <c r="Z417" i="2" a="1"/>
  <c r="Z417" i="2" s="1"/>
  <c r="Z408" i="2" a="1"/>
  <c r="Z408" i="2" s="1"/>
  <c r="Z381" i="2" a="1"/>
  <c r="Z381" i="2" s="1"/>
  <c r="Z372" i="2" a="1"/>
  <c r="Z372" i="2" s="1"/>
  <c r="Z347" i="2" a="1"/>
  <c r="Z347" i="2" s="1"/>
  <c r="Z551" i="2" a="1"/>
  <c r="Z551" i="2" s="1"/>
  <c r="Z504" i="2" a="1"/>
  <c r="Z504" i="2" s="1"/>
  <c r="Z489" i="2" a="1"/>
  <c r="Z489" i="2" s="1"/>
  <c r="Z460" i="2" a="1"/>
  <c r="Z460" i="2" s="1"/>
  <c r="Z436" i="2" a="1"/>
  <c r="Z436" i="2" s="1"/>
  <c r="Z412" i="2" a="1"/>
  <c r="Z412" i="2" s="1"/>
  <c r="Z385" i="2" a="1"/>
  <c r="Z385" i="2" s="1"/>
  <c r="Z376" i="2" a="1"/>
  <c r="Z376" i="2" s="1"/>
  <c r="Z350" i="2" a="1"/>
  <c r="Z350" i="2" s="1"/>
  <c r="Z339" i="2" a="1"/>
  <c r="Z339" i="2" s="1"/>
  <c r="Z321" i="2" a="1"/>
  <c r="Z321" i="2" s="1"/>
  <c r="Z317" i="2" a="1"/>
  <c r="Z317" i="2" s="1"/>
  <c r="Z28" i="2" a="1"/>
  <c r="Z28" i="2" s="1"/>
  <c r="Z41" i="2" a="1"/>
  <c r="Z41" i="2" s="1"/>
  <c r="Z54" i="2" a="1"/>
  <c r="Z54" i="2" s="1"/>
  <c r="Z64" i="2" a="1"/>
  <c r="Z64" i="2" s="1"/>
  <c r="Z77" i="2" a="1"/>
  <c r="Z77" i="2" s="1"/>
  <c r="Z90" i="2" a="1"/>
  <c r="Z90" i="2" s="1"/>
  <c r="Z100" i="2" a="1"/>
  <c r="Z100" i="2" s="1"/>
  <c r="Z113" i="2" a="1"/>
  <c r="Z113" i="2" s="1"/>
  <c r="Z126" i="2" a="1"/>
  <c r="Z126" i="2" s="1"/>
  <c r="Z136" i="2" a="1"/>
  <c r="Z136" i="2" s="1"/>
  <c r="Z149" i="2" a="1"/>
  <c r="Z149" i="2" s="1"/>
  <c r="Z179" i="2" a="1"/>
  <c r="Z179" i="2" s="1"/>
  <c r="Z219" i="2" a="1"/>
  <c r="Z219" i="2" s="1"/>
  <c r="Z227" i="2" a="1"/>
  <c r="Z227" i="2" s="1"/>
  <c r="Z239" i="2" a="1"/>
  <c r="Z239" i="2" s="1"/>
  <c r="Z247" i="2" a="1"/>
  <c r="Z247" i="2" s="1"/>
  <c r="Z255" i="2" a="1"/>
  <c r="Z255" i="2" s="1"/>
  <c r="Z268" i="2" a="1"/>
  <c r="Z268" i="2" s="1"/>
  <c r="Z323" i="2" a="1"/>
  <c r="Z323" i="2" s="1"/>
  <c r="Z348" i="2" a="1"/>
  <c r="Z348" i="2" s="1"/>
  <c r="Z354" i="2" a="1"/>
  <c r="Z354" i="2" s="1"/>
  <c r="Z365" i="2" a="1"/>
  <c r="Z365" i="2" s="1"/>
  <c r="Z565" i="2" a="1"/>
  <c r="Z565" i="2" s="1"/>
  <c r="Z3" i="2" a="1"/>
  <c r="Z3" i="2" s="1"/>
  <c r="Z38" i="2" a="1"/>
  <c r="Z38" i="2" s="1"/>
  <c r="Z51" i="2" a="1"/>
  <c r="Z51" i="2" s="1"/>
  <c r="Z61" i="2" a="1"/>
  <c r="Z61" i="2" s="1"/>
  <c r="Z74" i="2" a="1"/>
  <c r="Z74" i="2" s="1"/>
  <c r="Z87" i="2" a="1"/>
  <c r="Z87" i="2" s="1"/>
  <c r="Z97" i="2" a="1"/>
  <c r="Z97" i="2" s="1"/>
  <c r="Z110" i="2" a="1"/>
  <c r="Z110" i="2" s="1"/>
  <c r="Z123" i="2" a="1"/>
  <c r="Z123" i="2" s="1"/>
  <c r="Z133" i="2" a="1"/>
  <c r="Z133" i="2" s="1"/>
  <c r="Z146" i="2" a="1"/>
  <c r="Z146" i="2" s="1"/>
  <c r="Z159" i="2" a="1"/>
  <c r="Z159" i="2" s="1"/>
  <c r="Z170" i="2" a="1"/>
  <c r="Z170" i="2" s="1"/>
  <c r="Z194" i="2" a="1"/>
  <c r="Z194" i="2" s="1"/>
  <c r="Z216" i="2" a="1"/>
  <c r="Z216" i="2" s="1"/>
  <c r="Z243" i="2" a="1"/>
  <c r="Z243" i="2" s="1"/>
  <c r="Z277" i="2" a="1"/>
  <c r="Z277" i="2" s="1"/>
  <c r="Z294" i="2" a="1"/>
  <c r="Z294" i="2" s="1"/>
  <c r="Z405" i="2" a="1"/>
  <c r="Z405" i="2" s="1"/>
  <c r="Z433" i="2" a="1"/>
  <c r="Z433" i="2" s="1"/>
  <c r="Z472" i="2" a="1"/>
  <c r="Z472" i="2" s="1"/>
  <c r="Z19" i="2" a="1"/>
  <c r="Z19" i="2" s="1"/>
  <c r="Z35" i="2" a="1"/>
  <c r="Z35" i="2" s="1"/>
  <c r="Z48" i="2" a="1"/>
  <c r="Z48" i="2" s="1"/>
  <c r="Z58" i="2" a="1"/>
  <c r="Z58" i="2" s="1"/>
  <c r="Z84" i="2" a="1"/>
  <c r="Z84" i="2" s="1"/>
  <c r="Z94" i="2" a="1"/>
  <c r="Z94" i="2" s="1"/>
  <c r="Z107" i="2" a="1"/>
  <c r="Z107" i="2" s="1"/>
  <c r="Z120" i="2" a="1"/>
  <c r="Z120" i="2" s="1"/>
  <c r="Z130" i="2" a="1"/>
  <c r="Z130" i="2" s="1"/>
  <c r="Z143" i="2" a="1"/>
  <c r="Z143" i="2" s="1"/>
  <c r="Z156" i="2" a="1"/>
  <c r="Z156" i="2" s="1"/>
  <c r="Z187" i="2" a="1"/>
  <c r="Z187" i="2" s="1"/>
  <c r="Z198" i="2" a="1"/>
  <c r="Z198" i="2" s="1"/>
  <c r="Z202" i="2" a="1"/>
  <c r="Z202" i="2" s="1"/>
  <c r="Z209" i="2" a="1"/>
  <c r="Z209" i="2" s="1"/>
  <c r="Z213" i="2" a="1"/>
  <c r="Z213" i="2" s="1"/>
  <c r="Z220" i="2" a="1"/>
  <c r="Z220" i="2" s="1"/>
  <c r="Z252" i="2" a="1"/>
  <c r="Z252" i="2" s="1"/>
  <c r="Z256" i="2" a="1"/>
  <c r="Z256" i="2" s="1"/>
  <c r="Z281" i="2" a="1"/>
  <c r="Z281" i="2" s="1"/>
  <c r="Z286" i="2" a="1"/>
  <c r="Z286" i="2" s="1"/>
  <c r="Z313" i="2" a="1"/>
  <c r="Z313" i="2" s="1"/>
  <c r="Z318" i="2" a="1"/>
  <c r="Z318" i="2" s="1"/>
  <c r="Z344" i="2" a="1"/>
  <c r="Z344" i="2" s="1"/>
  <c r="Z355" i="2" a="1"/>
  <c r="Z355" i="2" s="1"/>
  <c r="Z360" i="2" a="1"/>
  <c r="Z360" i="2" s="1"/>
  <c r="Z383" i="2" a="1"/>
  <c r="Z383" i="2" s="1"/>
  <c r="Z400" i="2" a="1"/>
  <c r="Z400" i="2" s="1"/>
  <c r="Z445" i="2" a="1"/>
  <c r="Z445" i="2" s="1"/>
  <c r="Z501" i="2" a="1"/>
  <c r="Z501" i="2" s="1"/>
  <c r="Z560" i="2" a="1"/>
  <c r="Z560" i="2" s="1"/>
  <c r="Z45" i="2" a="1"/>
  <c r="Z45" i="2" s="1"/>
  <c r="Z55" i="2" a="1"/>
  <c r="Z55" i="2" s="1"/>
  <c r="Z81" i="2" a="1"/>
  <c r="Z81" i="2" s="1"/>
  <c r="Z91" i="2" a="1"/>
  <c r="Z91" i="2" s="1"/>
  <c r="Z117" i="2" a="1"/>
  <c r="Z117" i="2" s="1"/>
  <c r="Z127" i="2" a="1"/>
  <c r="Z127" i="2" s="1"/>
  <c r="Z140" i="2" a="1"/>
  <c r="Z140" i="2" s="1"/>
  <c r="Z153" i="2" a="1"/>
  <c r="Z153" i="2" s="1"/>
  <c r="Z183" i="2" a="1"/>
  <c r="Z183" i="2" s="1"/>
  <c r="Z191" i="2" a="1"/>
  <c r="Z191" i="2" s="1"/>
  <c r="Z232" i="2" a="1"/>
  <c r="Z232" i="2" s="1"/>
  <c r="Z236" i="2" a="1"/>
  <c r="Z236" i="2" s="1"/>
  <c r="Z274" i="2" a="1"/>
  <c r="Z274" i="2" s="1"/>
  <c r="Z299" i="2" a="1"/>
  <c r="Z299" i="2" s="1"/>
  <c r="Z308" i="2" a="1"/>
  <c r="Z308" i="2" s="1"/>
  <c r="Z324" i="2" a="1"/>
  <c r="Z324" i="2" s="1"/>
  <c r="Z329" i="2" a="1"/>
  <c r="Z329" i="2" s="1"/>
  <c r="Z328" i="2" a="1"/>
  <c r="Z328" i="2" s="1"/>
  <c r="Z363" i="2" a="1"/>
  <c r="Z363" i="2" s="1"/>
  <c r="Z390" i="2" a="1"/>
  <c r="Z390" i="2" s="1"/>
  <c r="Z399" i="2" a="1"/>
  <c r="Z399" i="2" s="1"/>
  <c r="Z573" i="2" a="1"/>
  <c r="Z573" i="2" s="1"/>
  <c r="Z359" i="2" a="1"/>
  <c r="Z359" i="2" s="1"/>
  <c r="Z368" i="2" a="1"/>
  <c r="Z368" i="2" s="1"/>
  <c r="Z395" i="2" a="1"/>
  <c r="Z395" i="2" s="1"/>
  <c r="Z404" i="2" a="1"/>
  <c r="Z404" i="2" s="1"/>
  <c r="Z422" i="2" a="1"/>
  <c r="Z422" i="2" s="1"/>
  <c r="Z427" i="2" a="1"/>
  <c r="Z427" i="2" s="1"/>
  <c r="Z446" i="2" a="1"/>
  <c r="Z446" i="2" s="1"/>
  <c r="Z451" i="2" a="1"/>
  <c r="Z451" i="2" s="1"/>
  <c r="Z470" i="2" a="1"/>
  <c r="Z470" i="2" s="1"/>
  <c r="Z485" i="2" a="1"/>
  <c r="Z485" i="2" s="1"/>
  <c r="Z333" i="2" a="1"/>
  <c r="Z333" i="2" s="1"/>
  <c r="Z377" i="2" a="1"/>
  <c r="Z377" i="2" s="1"/>
  <c r="Z386" i="2" a="1"/>
  <c r="Z386" i="2" s="1"/>
  <c r="Z413" i="2" a="1"/>
  <c r="Z413" i="2" s="1"/>
  <c r="Z437" i="2" a="1"/>
  <c r="Z437" i="2" s="1"/>
  <c r="Z461" i="2" a="1"/>
  <c r="Z461" i="2" s="1"/>
  <c r="Z490" i="2" a="1"/>
  <c r="Z490" i="2" s="1"/>
  <c r="Z505" i="2" a="1"/>
  <c r="Z505" i="2" s="1"/>
  <c r="Z558" i="2" a="1"/>
  <c r="Z558" i="2" s="1"/>
  <c r="Z292" i="2" a="1"/>
  <c r="Z292" i="2" s="1"/>
  <c r="Z382" i="2" a="1"/>
  <c r="Z382" i="2" s="1"/>
  <c r="Z391" i="2" a="1"/>
  <c r="Z391" i="2" s="1"/>
  <c r="Z418" i="2" a="1"/>
  <c r="Z418" i="2" s="1"/>
  <c r="Z423" i="2" a="1"/>
  <c r="Z423" i="2" s="1"/>
  <c r="Z442" i="2" a="1"/>
  <c r="Z442" i="2" s="1"/>
  <c r="Z447" i="2" a="1"/>
  <c r="Z447" i="2" s="1"/>
  <c r="Z471" i="2" a="1"/>
  <c r="Z471" i="2" s="1"/>
  <c r="Z521" i="2" a="1"/>
  <c r="Z521" i="2" s="1"/>
  <c r="Z526" i="2" a="1"/>
  <c r="Z526" i="2" s="1"/>
  <c r="Z378" i="2" a="1"/>
  <c r="Z378" i="2" s="1"/>
  <c r="Z387" i="2" a="1"/>
  <c r="Z387" i="2" s="1"/>
  <c r="Z414" i="2" a="1"/>
  <c r="Z414" i="2" s="1"/>
  <c r="Z438" i="2" a="1"/>
  <c r="Z438" i="2" s="1"/>
  <c r="Z462" i="2" a="1"/>
  <c r="Z462" i="2" s="1"/>
  <c r="Z506" i="2" a="1"/>
  <c r="Z506" i="2" s="1"/>
  <c r="Z537" i="2" a="1"/>
  <c r="Z537" i="2" s="1"/>
  <c r="Z320" i="2" a="1"/>
  <c r="Z320" i="2" s="1"/>
  <c r="Z353" i="2" a="1"/>
  <c r="Z353" i="2" s="1"/>
  <c r="Z370" i="2" a="1"/>
  <c r="Z370" i="2" s="1"/>
  <c r="Z379" i="2" a="1"/>
  <c r="Z379" i="2" s="1"/>
  <c r="Z406" i="2" a="1"/>
  <c r="Z406" i="2" s="1"/>
  <c r="Z415" i="2" a="1"/>
  <c r="Z415" i="2" s="1"/>
  <c r="Z434" i="2" a="1"/>
  <c r="Z434" i="2" s="1"/>
  <c r="Z439" i="2" a="1"/>
  <c r="Z439" i="2" s="1"/>
  <c r="Z458" i="2" a="1"/>
  <c r="Z458" i="2" s="1"/>
  <c r="Z482" i="2" a="1"/>
  <c r="Z482" i="2" s="1"/>
  <c r="Z528" i="2" a="1"/>
  <c r="Z528" i="2" s="1"/>
  <c r="Z305" i="2" a="1"/>
  <c r="Z305" i="2" s="1"/>
  <c r="Z309" i="2" a="1"/>
  <c r="Z309" i="2" s="1"/>
  <c r="Z366" i="2" a="1"/>
  <c r="Z366" i="2" s="1"/>
  <c r="Z375" i="2" a="1"/>
  <c r="Z375" i="2" s="1"/>
  <c r="Z402" i="2" a="1"/>
  <c r="Z402" i="2" s="1"/>
  <c r="Z411" i="2" a="1"/>
  <c r="Z411" i="2" s="1"/>
  <c r="Z425" i="2" a="1"/>
  <c r="Z425" i="2" s="1"/>
  <c r="Z449" i="2" a="1"/>
  <c r="Z449" i="2" s="1"/>
  <c r="Z473" i="2" a="1"/>
  <c r="Z473" i="2" s="1"/>
  <c r="Z497" i="2" a="1"/>
  <c r="Z497" i="2" s="1"/>
  <c r="Z555" i="2" a="1"/>
  <c r="Z555" i="2" s="1"/>
  <c r="Z371" i="2" a="1"/>
  <c r="Z371" i="2" s="1"/>
  <c r="Z380" i="2" a="1"/>
  <c r="Z380" i="2" s="1"/>
  <c r="Z407" i="2" a="1"/>
  <c r="Z407" i="2" s="1"/>
  <c r="Z430" i="2" a="1"/>
  <c r="Z430" i="2" s="1"/>
  <c r="Z435" i="2" a="1"/>
  <c r="Z435" i="2" s="1"/>
  <c r="Z454" i="2" a="1"/>
  <c r="Z454" i="2" s="1"/>
  <c r="Z459" i="2" a="1"/>
  <c r="Z459" i="2" s="1"/>
  <c r="Z483" i="2" a="1"/>
  <c r="Z483" i="2" s="1"/>
  <c r="Z362" i="2" a="1"/>
  <c r="Z362" i="2" s="1"/>
  <c r="Z389" i="2" a="1"/>
  <c r="Z389" i="2" s="1"/>
  <c r="Z398" i="2" a="1"/>
  <c r="Z398" i="2" s="1"/>
  <c r="Z426" i="2" a="1"/>
  <c r="Z426" i="2" s="1"/>
  <c r="Z450" i="2" a="1"/>
  <c r="Z450" i="2" s="1"/>
  <c r="Z474" i="2" a="1"/>
  <c r="Z474" i="2" s="1"/>
  <c r="Z498" i="2" a="1"/>
  <c r="Z498" i="2" s="1"/>
  <c r="Z513" i="2" a="1"/>
  <c r="Z513" i="2" s="1"/>
  <c r="Z545" i="2" a="1"/>
  <c r="Z545" i="2" s="1"/>
  <c r="Z556" i="2" a="1"/>
  <c r="Z556" i="2" s="1"/>
  <c r="Z332" i="2" a="1"/>
  <c r="Z332" i="2" s="1"/>
  <c r="Z343" i="2" a="1"/>
  <c r="Z343" i="2" s="1"/>
  <c r="Z358" i="2" a="1"/>
  <c r="Z358" i="2" s="1"/>
  <c r="Z367" i="2" a="1"/>
  <c r="Z367" i="2" s="1"/>
  <c r="Z394" i="2" a="1"/>
  <c r="Z394" i="2" s="1"/>
  <c r="Z403" i="2" a="1"/>
  <c r="Z403" i="2" s="1"/>
  <c r="Z536" i="2" a="1"/>
  <c r="Z536" i="2" s="1"/>
  <c r="Z544" i="2" a="1"/>
  <c r="Z544" i="2" s="1"/>
  <c r="Z568" i="2" a="1"/>
  <c r="Z568" i="2" s="1"/>
  <c r="Z487" i="2" a="1"/>
  <c r="Z487" i="2" s="1"/>
  <c r="Z564" i="2" a="1"/>
  <c r="Z564" i="2" s="1"/>
  <c r="Z510" i="2" a="1"/>
  <c r="Z510" i="2" s="1"/>
  <c r="Z533" i="2" a="1"/>
  <c r="Z533" i="2" s="1"/>
  <c r="Z557" i="2" a="1"/>
  <c r="Z557" i="2" s="1"/>
  <c r="Z569" i="2" a="1"/>
  <c r="Z569" i="2" s="1"/>
  <c r="Z419" i="2" a="1"/>
  <c r="Z419" i="2" s="1"/>
  <c r="Z431" i="2" a="1"/>
  <c r="Z431" i="2" s="1"/>
  <c r="Z443" i="2" a="1"/>
  <c r="Z443" i="2" s="1"/>
  <c r="Z455" i="2" a="1"/>
  <c r="Z455" i="2" s="1"/>
  <c r="Z467" i="2" a="1"/>
  <c r="Z467" i="2" s="1"/>
  <c r="Z479" i="2" a="1"/>
  <c r="Z479" i="2" s="1"/>
  <c r="Z541" i="2" a="1"/>
  <c r="Z541" i="2" s="1"/>
  <c r="Z574" i="2" a="1"/>
  <c r="Z574" i="2" s="1"/>
  <c r="Z495" i="2" a="1"/>
  <c r="Z495" i="2" s="1"/>
  <c r="Z518" i="2" a="1"/>
  <c r="Z518" i="2" s="1"/>
  <c r="Z484" i="2" a="1"/>
  <c r="Z484" i="2" s="1"/>
  <c r="Z507" i="2" a="1"/>
  <c r="Z507" i="2" s="1"/>
  <c r="Z523" i="2" a="1"/>
  <c r="Z523" i="2" s="1"/>
  <c r="Z416" i="2" a="1"/>
  <c r="Z416" i="2" s="1"/>
  <c r="Z428" i="2" a="1"/>
  <c r="Z428" i="2" s="1"/>
  <c r="Z440" i="2" a="1"/>
  <c r="Z440" i="2" s="1"/>
  <c r="Z452" i="2" a="1"/>
  <c r="Z452" i="2" s="1"/>
  <c r="Z464" i="2" a="1"/>
  <c r="Z464" i="2" s="1"/>
  <c r="Z476" i="2" a="1"/>
  <c r="Z476" i="2" s="1"/>
  <c r="Z546" i="2" a="1"/>
  <c r="Z546" i="2" s="1"/>
  <c r="Z492" i="2" a="1"/>
  <c r="Z492" i="2" s="1"/>
  <c r="Z500" i="2" a="1"/>
  <c r="Z500" i="2" s="1"/>
  <c r="Z508" i="2" a="1"/>
  <c r="Z508" i="2" s="1"/>
  <c r="Z531" i="2" a="1"/>
  <c r="Z531" i="2" s="1"/>
  <c r="Z554" i="2" a="1"/>
  <c r="Z554" i="2" s="1"/>
  <c r="Z559" i="2" a="1"/>
  <c r="Z559" i="2" s="1"/>
  <c r="Z520" i="2" a="1"/>
  <c r="Z520" i="2" s="1"/>
  <c r="Z543" i="2" a="1"/>
  <c r="Z543" i="2" s="1"/>
  <c r="Z567" i="2" a="1"/>
  <c r="Z567" i="2" s="1"/>
  <c r="Z572" i="2" a="1"/>
  <c r="Z572" i="2" s="1"/>
  <c r="AM3" i="2" l="1"/>
  <c r="AL3" i="2"/>
  <c r="AM5" i="2"/>
  <c r="AN5" i="2"/>
  <c r="AN3" i="2"/>
  <c r="AL4" i="2"/>
  <c r="AM4" i="2"/>
  <c r="AN4" i="2"/>
  <c r="AL5" i="2"/>
  <c r="AK3" i="2" l="1"/>
  <c r="AK4" i="2"/>
  <c r="AK5"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<sst xmlns="http://schemas.openxmlformats.org/spreadsheetml/2006/main" count="1670" uniqueCount="270">
  <si>
    <t>window_id</t>
  </si>
  <si>
    <t>stock1</t>
  </si>
  <si>
    <t>stock2</t>
  </si>
  <si>
    <t>entry_timestamp</t>
  </si>
  <si>
    <t>entry_price_1</t>
  </si>
  <si>
    <t>entry_price_2</t>
  </si>
  <si>
    <t>entry_price_1_slipped</t>
  </si>
  <si>
    <t>entry_price_2_slipped</t>
  </si>
  <si>
    <t>entry_zscore</t>
  </si>
  <si>
    <t>hedge_ratio_entry</t>
  </si>
  <si>
    <t>position_size_1</t>
  </si>
  <si>
    <t>position_size_2</t>
  </si>
  <si>
    <t>direction</t>
  </si>
  <si>
    <t>holding_minutes</t>
  </si>
  <si>
    <t>exit_reason</t>
  </si>
  <si>
    <t>exit_timestamp</t>
  </si>
  <si>
    <t>exit_price_1</t>
  </si>
  <si>
    <t>exit_price_2</t>
  </si>
  <si>
    <t>exit_zscore</t>
  </si>
  <si>
    <t>gross_pnl</t>
  </si>
  <si>
    <t>gross_pnl_slipped</t>
  </si>
  <si>
    <t>transaction_costs</t>
  </si>
  <si>
    <t>net_pnl</t>
  </si>
  <si>
    <t>JPM</t>
  </si>
  <si>
    <t>GS</t>
  </si>
  <si>
    <t>SHORT</t>
  </si>
  <si>
    <t>signal</t>
  </si>
  <si>
    <t>LONG</t>
  </si>
  <si>
    <t>BAC</t>
  </si>
  <si>
    <t>WFC</t>
  </si>
  <si>
    <t>USB</t>
  </si>
  <si>
    <t>PNC</t>
  </si>
  <si>
    <t>TFC</t>
  </si>
  <si>
    <t>Entry day</t>
  </si>
  <si>
    <t>VIX on entry</t>
  </si>
  <si>
    <t>UK Date</t>
  </si>
  <si>
    <t>US DATE</t>
  </si>
  <si>
    <t>VIX ON ENTRY</t>
  </si>
  <si>
    <t>VIX at entry</t>
  </si>
  <si>
    <t>Net PnL</t>
  </si>
  <si>
    <t>Trades</t>
  </si>
  <si>
    <t>Avg Net P&amp;L</t>
  </si>
  <si>
    <t>Win rate</t>
  </si>
  <si>
    <t>&lt;15</t>
  </si>
  <si>
    <t>15–20</t>
  </si>
  <si>
    <t>&gt;=20</t>
  </si>
  <si>
    <t>08/13/2025</t>
  </si>
  <si>
    <t>Metric</t>
  </si>
  <si>
    <t>OOS H1</t>
  </si>
  <si>
    <t>OOS H2</t>
  </si>
  <si>
    <t>08/14/2025</t>
  </si>
  <si>
    <t>08/15/2025</t>
  </si>
  <si>
    <t>Gross P&amp;L</t>
  </si>
  <si>
    <t>08/18/2025</t>
  </si>
  <si>
    <t>Net P&amp;L</t>
  </si>
  <si>
    <t>08/19/2025</t>
  </si>
  <si>
    <t>Avg gross P&amp;L/trade</t>
  </si>
  <si>
    <t>08/20/2025</t>
  </si>
  <si>
    <t>Avg net P&amp;L/trade</t>
  </si>
  <si>
    <t>08/21/2025</t>
  </si>
  <si>
    <t>Net PF</t>
  </si>
  <si>
    <t>08/22/2025</t>
  </si>
  <si>
    <t>08/25/2025</t>
  </si>
  <si>
    <t>Avg winner</t>
  </si>
  <si>
    <t>08/26/2025</t>
  </si>
  <si>
    <t>Avg loser</t>
  </si>
  <si>
    <t>08/27/2025</t>
  </si>
  <si>
    <t>Avg holding time</t>
  </si>
  <si>
    <t>08/28/2025</t>
  </si>
  <si>
    <t>Avg |entry Z|</t>
  </si>
  <si>
    <t>08/29/2025</t>
  </si>
  <si>
    <t>09/15/2025</t>
  </si>
  <si>
    <t>09/16/2025</t>
  </si>
  <si>
    <t>09/17/2025</t>
  </si>
  <si>
    <t>09/18/2025</t>
  </si>
  <si>
    <t>09/19/2025</t>
  </si>
  <si>
    <t>09/22/2025</t>
  </si>
  <si>
    <t>09/23/2025</t>
  </si>
  <si>
    <t>09/24/2025</t>
  </si>
  <si>
    <t>09/25/2025</t>
  </si>
  <si>
    <t>09/26/2025</t>
  </si>
  <si>
    <t>09/29/2025</t>
  </si>
  <si>
    <t>09/30/2025</t>
  </si>
  <si>
    <t>10/13/2025</t>
  </si>
  <si>
    <t>10/14/2025</t>
  </si>
  <si>
    <t>10/15/2025</t>
  </si>
  <si>
    <t>10/16/2025</t>
  </si>
  <si>
    <t>10/17/2025</t>
  </si>
  <si>
    <t>10/20/2025</t>
  </si>
  <si>
    <t>10/21/2025</t>
  </si>
  <si>
    <t>10/22/2025</t>
  </si>
  <si>
    <t>10/23/2025</t>
  </si>
  <si>
    <t>10/24/2025</t>
  </si>
  <si>
    <t>10/27/2025</t>
  </si>
  <si>
    <t>10/28/2025</t>
  </si>
  <si>
    <t>10/29/2025</t>
  </si>
  <si>
    <t>10/30/2025</t>
  </si>
  <si>
    <t>10/31/2025</t>
  </si>
  <si>
    <t>11/13/2025</t>
  </si>
  <si>
    <t>11/14/2025</t>
  </si>
  <si>
    <t>11/17/2025</t>
  </si>
  <si>
    <t>11/18/2025</t>
  </si>
  <si>
    <t>11/19/2025</t>
  </si>
  <si>
    <t>11/20/2025</t>
  </si>
  <si>
    <t>11/21/2025</t>
  </si>
  <si>
    <t>11/24/2025</t>
  </si>
  <si>
    <t>11/25/2025</t>
  </si>
  <si>
    <t>11/26/2025</t>
  </si>
  <si>
    <t>11/27/2025</t>
  </si>
  <si>
    <t>11/28/2025</t>
  </si>
  <si>
    <t>12/15/2025</t>
  </si>
  <si>
    <t>12/16/2025</t>
  </si>
  <si>
    <t>12/17/2025</t>
  </si>
  <si>
    <t>12/18/2025</t>
  </si>
  <si>
    <t>12/19/2025</t>
  </si>
  <si>
    <t>12/22/2025</t>
  </si>
  <si>
    <t>12/23/2025</t>
  </si>
  <si>
    <t>12/24/2025</t>
  </si>
  <si>
    <t>12/26/2025</t>
  </si>
  <si>
    <t>12/29/2025</t>
  </si>
  <si>
    <t>12/30/2025</t>
  </si>
  <si>
    <t>12/31/2025</t>
  </si>
  <si>
    <t>01/13/2026</t>
  </si>
  <si>
    <t>01/14/2026</t>
  </si>
  <si>
    <t>01/15/2026</t>
  </si>
  <si>
    <t>01/16/2026</t>
  </si>
  <si>
    <t>01/19/2026</t>
  </si>
  <si>
    <t>01/20/2026</t>
  </si>
  <si>
    <t>01/21/2026</t>
  </si>
  <si>
    <t>01/22/2026</t>
  </si>
  <si>
    <t>01/23/2026</t>
  </si>
  <si>
    <t>01/26/2026</t>
  </si>
  <si>
    <t>01/27/2026</t>
  </si>
  <si>
    <t>01/28/2026</t>
  </si>
  <si>
    <t>01/29/2026</t>
  </si>
  <si>
    <t>01/30/2026</t>
  </si>
  <si>
    <t>02/13/2026</t>
  </si>
  <si>
    <t>02/16/2026</t>
  </si>
  <si>
    <t>02/17/2026</t>
  </si>
  <si>
    <t>02/18/2026</t>
  </si>
  <si>
    <t>02/19/2026</t>
  </si>
  <si>
    <t>02/20/2026</t>
  </si>
  <si>
    <t>02/23/2026</t>
  </si>
  <si>
    <t>02/24/2026</t>
  </si>
  <si>
    <t>02/25/2026</t>
  </si>
  <si>
    <t>02/26/2026</t>
  </si>
  <si>
    <t>02/27/2026</t>
  </si>
  <si>
    <t>03/13/2026</t>
  </si>
  <si>
    <t>03/16/2026</t>
  </si>
  <si>
    <t>03/17/2026</t>
  </si>
  <si>
    <t>03/18/2026</t>
  </si>
  <si>
    <t>03/19/2026</t>
  </si>
  <si>
    <t>03/20/2026</t>
  </si>
  <si>
    <t>03/23/2026</t>
  </si>
  <si>
    <t>03/24/2026</t>
  </si>
  <si>
    <t>03/25/2026</t>
  </si>
  <si>
    <t>03/26/2026</t>
  </si>
  <si>
    <t>03/27/2026</t>
  </si>
  <si>
    <t>03/30/2026</t>
  </si>
  <si>
    <t>03/31/2026</t>
  </si>
  <si>
    <t>04/13/2026</t>
  </si>
  <si>
    <t>04/14/2026</t>
  </si>
  <si>
    <t>04/15/2026</t>
  </si>
  <si>
    <t>04/16/2026</t>
  </si>
  <si>
    <t>04/17/2026</t>
  </si>
  <si>
    <t>04/20/2026</t>
  </si>
  <si>
    <t>04/21/2026</t>
  </si>
  <si>
    <t>04/22/2026</t>
  </si>
  <si>
    <t>04/23/2026</t>
  </si>
  <si>
    <t>04/24/2026</t>
  </si>
  <si>
    <t>04/27/2026</t>
  </si>
  <si>
    <t>04/28/2026</t>
  </si>
  <si>
    <t>04/29/2026</t>
  </si>
  <si>
    <t>04/30/2026</t>
  </si>
  <si>
    <t>05/13/2026</t>
  </si>
  <si>
    <t>05/14/2026</t>
  </si>
  <si>
    <t>05/15/2026</t>
  </si>
  <si>
    <t>05/18/2026</t>
  </si>
  <si>
    <t>05/19/2026</t>
  </si>
  <si>
    <t>05/20/2026</t>
  </si>
  <si>
    <t>05/21/2026</t>
  </si>
  <si>
    <t>05/22/2026</t>
  </si>
  <si>
    <t>05/25/2026</t>
  </si>
  <si>
    <t>05/26/2026</t>
  </si>
  <si>
    <t>05/27/2026</t>
  </si>
  <si>
    <t>05/28/2026</t>
  </si>
  <si>
    <t>05/29/2026</t>
  </si>
  <si>
    <t>06/15/2026</t>
  </si>
  <si>
    <t>06/16/2026</t>
  </si>
  <si>
    <t>06/17/2026</t>
  </si>
  <si>
    <t>06/18/2026</t>
  </si>
  <si>
    <t>06/19/2026</t>
  </si>
  <si>
    <t>06/22/2026</t>
  </si>
  <si>
    <t>06/23/2026</t>
  </si>
  <si>
    <t>06/24/2026</t>
  </si>
  <si>
    <t>06/25/2026</t>
  </si>
  <si>
    <t>06/26/2026</t>
  </si>
  <si>
    <t>06/29/2026</t>
  </si>
  <si>
    <t>06/30/2026</t>
  </si>
  <si>
    <t>07/13/2026</t>
  </si>
  <si>
    <t>07/14/2026</t>
  </si>
  <si>
    <t>07/15/2026</t>
  </si>
  <si>
    <t>07/16/2026</t>
  </si>
  <si>
    <t>07/17/2026</t>
  </si>
  <si>
    <t>07/20/2026</t>
  </si>
  <si>
    <t>07/21/2026</t>
  </si>
  <si>
    <t>07/22/2026</t>
  </si>
  <si>
    <t>07/23/2026</t>
  </si>
  <si>
    <t>07/24/2026</t>
  </si>
  <si>
    <t>07/27/2026</t>
  </si>
  <si>
    <t>07/28/2026</t>
  </si>
  <si>
    <t>07/29/2026</t>
  </si>
  <si>
    <t>07/30/2026</t>
  </si>
  <si>
    <t>07/31/2026</t>
  </si>
  <si>
    <t>Exit timestamp</t>
  </si>
  <si>
    <t>Cumulative Gross PnL</t>
  </si>
  <si>
    <t>Cumulative Slipped PnL</t>
  </si>
  <si>
    <t>Cumulative Net PnL</t>
  </si>
  <si>
    <t>min holding minutes</t>
  </si>
  <si>
    <t>max holding minutes</t>
  </si>
  <si>
    <t>Mean Net PnL</t>
  </si>
  <si>
    <t>Number of trades</t>
  </si>
  <si>
    <t>Rough Analysis of the baseline strategy</t>
  </si>
  <si>
    <t>Figures</t>
  </si>
  <si>
    <t>Column1</t>
  </si>
  <si>
    <t>Gross</t>
  </si>
  <si>
    <t>Slipped</t>
  </si>
  <si>
    <t>Net (Transaction costs)</t>
  </si>
  <si>
    <t>Overall PnL</t>
  </si>
  <si>
    <t>Mean PnL</t>
  </si>
  <si>
    <t>Median PnL</t>
  </si>
  <si>
    <t>Max drawdown</t>
  </si>
  <si>
    <t>Biggest Winner</t>
  </si>
  <si>
    <t>Profit Factor</t>
  </si>
  <si>
    <t>Column2</t>
  </si>
  <si>
    <t>Number of Trades</t>
  </si>
  <si>
    <t>Mean holding time</t>
  </si>
  <si>
    <t>Median holding time</t>
  </si>
  <si>
    <t>Max holding time</t>
  </si>
  <si>
    <t>Positive</t>
  </si>
  <si>
    <t>Negative</t>
  </si>
  <si>
    <t>Mean entry z score</t>
  </si>
  <si>
    <t>Median entry z score</t>
  </si>
  <si>
    <t>max entry z score</t>
  </si>
  <si>
    <t>Mean exit z score</t>
  </si>
  <si>
    <t>Median exit z score</t>
  </si>
  <si>
    <t>max exit z score</t>
  </si>
  <si>
    <t>Edge is there, but wiped out by costs</t>
  </si>
  <si>
    <t>Long</t>
  </si>
  <si>
    <t>Short</t>
  </si>
  <si>
    <t>Signal</t>
  </si>
  <si>
    <t>Forced</t>
  </si>
  <si>
    <t>PnL (gross)</t>
  </si>
  <si>
    <t>Number</t>
  </si>
  <si>
    <t>min Holding time</t>
  </si>
  <si>
    <t>Max Holding time</t>
  </si>
  <si>
    <t>Conclusion:</t>
  </si>
  <si>
    <t>"The baseline strategy exhibits a positive gross trading edge, but this edge is insufficient to overcome the assumed transaction costs and slippage. Under the baseline execution assumptions, implementation frictions are the primary driver of the strategy's negative net performance."</t>
  </si>
  <si>
    <t>shorter trades are significantly more profitiable</t>
  </si>
  <si>
    <t>most trades are short, but with a long tail</t>
  </si>
  <si>
    <t>Value</t>
  </si>
  <si>
    <t>P&amp;L/trade</t>
  </si>
  <si>
    <t>Daily P&amp;L volatility</t>
  </si>
  <si>
    <t>Max drawdown / total P&amp;L</t>
  </si>
  <si>
    <t>Worst day</t>
  </si>
  <si>
    <t>Max concurrent positions</t>
  </si>
  <si>
    <t>Max gross exposure</t>
  </si>
  <si>
    <t>Daily PnL table</t>
  </si>
  <si>
    <t>Exit Day</t>
  </si>
  <si>
    <t>Sharpe-like measure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</si>
</sst>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Red]\(0.00000\);\-"/>
    <numFmt numFmtId="165" formatCode="0.00000"/>
  </numFmts>
  <fonts count="9">
    <font>
      <sz val="11"/>
      <color theme="1"/>
      <name val="Calibri"/>
      <family val="2"/>
      <scheme val="minor"/>
    </font>
    <font>
      <sz val="11"/>
      <color theme="1"/>
      <name val="Calibri"/>
      <family val="2"/>
    </font>
    <font>
      <sz val="11"/>
      <color theme="1"/>
      <name val="Calibri"/>
      <family val="2"/>
    </font>
    <font>
      <b/>
      <sz val="11"/>
      <color rgb="FFFFFFFF"/>
      <name val="Calibri"/>
      <family val="2"/>
    </font>
    <font>
      <b/>
      <sz val="11"/>
      <color theme="1"/>
      <name val="Calibri"/>
      <family val="2"/>
    </font>
    <font>
      <b/>
      <sz val="11"/>
      <color theme="1"/>
      <name val="Calibri"/>
      <family val="2"/>
      <scheme val="minor"/>
    </font>
    <font>
      <b/>
      <sz val="11"/>
      <name val="Calibri"/>
      <family val="2"/>
    </font>
    <font>
      <b/>
      <sz val="11"/>
      <name val="Calibri"/>
      <family val="2"/>
    </font>
    <font>
      <sz val="10"/>
      <color theme="1"/>
      <name val="Arial Unicode MS"/>
    </font>
  </fonts>
  <fills count="3">
    <fill>
      <patternFill patternType="none"/>
    </fill>
    <fill>
      <patternFill patternType="gray125"/>
    </fill>
    <fill>
      <patternFill patternType="solid">
        <fgColor rgb="FF1F4E78"/>
      </patternFill>
    </fill>
  </fills>
  <borders count="18">
    <border>
      <left/>
      <right/>
      <top/>
      <bottom/>
      <diagonal/>
    </border>
    <border>
      <left style="thin">
        <color auto="1"/>
      </left>
      <right style="thin">
        <color auto="1"/>
      </right>
      <top style="thin">
        <color auto="1"/>
      </top>
      <bottom style="thin">
        <color auto="1"/>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xf numFmtId="0" fontId="2" fillId="0" borderId="0"/>
    <xf numFmtId="9" fontId="1" fillId="0" borderId="0"/>
  </cellStyleXfs>
  <cellXfs count="40">
    <xf numFmtId="0" fontId="0" fillId="0" borderId="0" xfId="0"/>
    <xf numFmtId="0" fontId="2" fillId="0" borderId="0" xfId="1"/>
    <xf numFmtId="0" fontId="3" fillId="2" borderId="2" xfId="1" applyFont="1" applyFill="1" applyBorder="1" applyAlignment="1">
      <alignment horizontal="center"/>
    </xf>
    <xf numFmtId="0" fontId="3" fillId="2" borderId="3" xfId="1" applyFont="1" applyFill="1" applyBorder="1" applyAlignment="1">
      <alignment horizontal="center"/>
    </xf>
    <xf numFmtId="0" fontId="3" fillId="2" borderId="4" xfId="1" applyFont="1" applyFill="1" applyBorder="1" applyAlignment="1">
      <alignment horizontal="center"/>
    </xf>
    <xf numFmtId="0" fontId="3" fillId="2" borderId="0" xfId="1" applyFont="1" applyFill="1" applyAlignment="1">
      <alignment horizontal="center"/>
    </xf>
    <xf numFmtId="1" fontId="2" fillId="0" borderId="0" xfId="1" applyNumberFormat="1"/>
    <xf numFmtId="164" fontId="2" fillId="0" borderId="0" xfId="1" applyNumberFormat="1"/>
    <xf numFmtId="165" fontId="2" fillId="0" borderId="0" xfId="1" applyNumberFormat="1"/>
    <xf numFmtId="9" fontId="4" fillId="0" borderId="0" xfId="2" applyFont="1"/>
    <xf numFmtId="9" fontId="0" fillId="0" borderId="0" xfId="2" applyFont="1"/>
    <xf numFmtId="0" fontId="1" fillId="0" borderId="0" xfId="1" applyFont="1"/>
    <xf numFmtId="165" fontId="0" fillId="0" borderId="0" xfId="2" applyNumberFormat="1" applyFont="1"/>
    <xf numFmtId="9" fontId="4" fillId="0" borderId="0" xfId="1" applyNumberFormat="1" applyFont="1"/>
    <xf numFmtId="0" fontId="4" fillId="0" borderId="0" xfId="1" applyFont="1"/>
    <xf numFmtId="0" fontId="1" fillId="0" borderId="1" xfId="1" applyFont="1" applyBorder="1"/>
    <xf numFmtId="0" fontId="0" fillId="0" borderId="0" xfId="0" applyAlignment="1">
      <alignment horizontal="right" vertical="center" wrapText="1"/>
    </xf>
    <xf numFmtId="0" fontId="0" fillId="0" borderId="0" xfId="0" applyAlignment="1">
      <alignment vertical="center" wrapText="1"/>
    </xf>
    <xf numFmtId="0" fontId="5" fillId="0" borderId="0" xfId="0" applyFont="1" applyAlignment="1">
      <alignment horizontal="center" vertical="center"/>
    </xf>
    <xf numFmtId="0" fontId="5" fillId="0" borderId="0" xfId="0" applyFont="1" applyAlignment="1">
      <alignment horizontal="right" vertical="center"/>
    </xf>
    <xf numFmtId="0" fontId="6" fillId="0" borderId="15" xfId="0" applyFont="1" applyBorder="1" applyAlignment="1">
      <alignment horizontal="center" vertical="top"/>
    </xf>
    <xf numFmtId="14" fontId="0" fillId="0" borderId="0" xfId="0" applyNumberFormat="1"/>
    <xf numFmtId="49" fontId="0" fillId="0" borderId="0" xfId="0" applyNumberFormat="1" applyAlignment="1">
      <alignment vertical="center" wrapText="1"/>
    </xf>
    <xf numFmtId="0" fontId="0" fillId="0" borderId="0" xfId="0" applyAlignment="1">
      <alignment vertical="center"/>
    </xf>
    <xf numFmtId="0" fontId="0" fillId="0" borderId="0" xfId="0" applyAlignment="1">
      <alignment horizontal="right" vertical="center"/>
    </xf>
    <xf numFmtId="0" fontId="7" fillId="0" borderId="16" xfId="0" applyFont="1" applyBorder="1" applyAlignment="1">
      <alignment horizontal="center" vertical="top"/>
    </xf>
    <xf numFmtId="0" fontId="8" fillId="0" borderId="0" xfId="0" applyFont="1" applyAlignment="1">
      <alignment vertical="center" wrapText="1"/>
    </xf>
    <xf numFmtId="0" fontId="2" fillId="0" borderId="14" xfId="1" applyBorder="1" applyAlignment="1">
      <alignment horizontal="center"/>
    </xf>
    <xf numFmtId="0" fontId="0" fillId="0" borderId="5" xfId="0" applyBorder="1"/>
    <xf numFmtId="0" fontId="0" fillId="0" borderId="6" xfId="0" applyBorder="1"/>
    <xf numFmtId="0" fontId="1" fillId="0" borderId="14" xfId="1" applyFont="1" applyBorder="1" applyAlignment="1">
      <alignment horizontal="left" vertical="top" wrapText="1"/>
    </xf>
    <xf numFmtId="0" fontId="0" fillId="0" borderId="7" xfId="0" applyBorder="1"/>
    <xf numFmtId="0" fontId="0" fillId="0" borderId="8" xfId="0" applyBorder="1"/>
    <xf numFmtId="0" fontId="0" fillId="0" borderId="9" xfId="0" applyBorder="1"/>
    <xf numFmtId="0" fontId="2" fillId="0" borderId="0" xfId="1"/>
    <xf numFmtId="0" fontId="0" fillId="0" borderId="10" xfId="0" applyBorder="1"/>
    <xf numFmtId="0" fontId="0" fillId="0" borderId="11" xfId="0" applyBorder="1"/>
    <xf numFmtId="0" fontId="0" fillId="0" borderId="12" xfId="0" applyBorder="1"/>
    <xf numFmtId="0" fontId="0" fillId="0" borderId="13" xfId="0" applyBorder="1"/>
    <xf numFmtId="0" fontId="7" fillId="0" borderId="17" xfId="0" applyFont="1" applyBorder="1" applyAlignment="1">
      <alignment horizontal="center" vertical="top"/>
    </xf>
  </cellXfs>
  <cellStyles count="3">
    <cellStyle name="Normal" xfId="0" builtinId="0"/>
    <cellStyle name="Normal 2" xfId="1" xr:uid="{00000000-0005-0000-0000-000001000000}"/>
    <cellStyle name="Per cent 2" xfId="2" xr:uid="{00000000-0005-0000-0000-000002000000}"/>
  </cellStyles>
  <dxfs count="6">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numFmt numFmtId="165" formatCode="0.00000"/>
    </dxf>
    <dxf>
      <numFmt numFmtId="165" formatCode="0.00000"/>
    </dxf>
    <dxf>
      <numFmt numFmtId="165" formatCode="0.00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GB" sz="975"/>
              <a:t>Cumulative PnL over Exit Time</a:t>
            </a:r>
          </a:p>
        </c:rich>
      </c:tx>
      <c:overlay val="0"/>
    </c:title>
    <c:autoTitleDeleted val="0"/>
    <c:plotArea>
      <c:layout/>
      <c:lineChart>
        <c:grouping val="standard"/>
        <c:varyColors val="0"/>
        <c:ser>
          <c:idx val="0"/>
          <c:order val="0"/>
          <c:tx>
            <c:v>Cumulative Gross PnL</c:v>
          </c:tx>
          <c:spPr>
            <a:ln>
              <a:prstDash val="solid"/>
            </a:ln>
          </c:spPr>
          <c:marker>
            <c:symbol val="none"/>
          </c:marker>
          <c:cat>
            <c:numRef>
              <c:f>Analysis!$L$2:$L$176</c:f>
              <c:numCache>
                <c:formatCode>0</c:formatCode>
                <c:ptCount val="175"/>
                <c:pt idx="0">
                  <c:v>24214</c:v>
                </c:pt>
                <c:pt idx="1">
                  <c:v>24606</c:v>
                </c:pt>
                <c:pt idx="2">
                  <c:v>24848</c:v>
                </c:pt>
                <c:pt idx="3">
                  <c:v>24996</c:v>
                </c:pt>
                <c:pt idx="4">
                  <c:v>25392</c:v>
                </c:pt>
                <c:pt idx="5">
                  <c:v>25731</c:v>
                </c:pt>
                <c:pt idx="6">
                  <c:v>25758</c:v>
                </c:pt>
                <c:pt idx="7">
                  <c:v>26942</c:v>
                </c:pt>
                <c:pt idx="8">
                  <c:v>27332</c:v>
                </c:pt>
                <c:pt idx="10">
                  <c:v>27725</c:v>
                </c:pt>
                <c:pt idx="11">
                  <c:v>27924</c:v>
                </c:pt>
                <c:pt idx="12">
                  <c:v>28504</c:v>
                </c:pt>
                <c:pt idx="13">
                  <c:v>28639</c:v>
                </c:pt>
                <c:pt idx="14">
                  <c:v>28735</c:v>
                </c:pt>
                <c:pt idx="15">
                  <c:v>29599</c:v>
                </c:pt>
                <c:pt idx="16">
                  <c:v>29691</c:v>
                </c:pt>
                <c:pt idx="17">
                  <c:v>30065</c:v>
                </c:pt>
                <c:pt idx="18">
                  <c:v>31227</c:v>
                </c:pt>
                <c:pt idx="19">
                  <c:v>31824</c:v>
                </c:pt>
                <c:pt idx="20">
                  <c:v>32055</c:v>
                </c:pt>
                <c:pt idx="21">
                  <c:v>32218</c:v>
                </c:pt>
                <c:pt idx="22">
                  <c:v>32631</c:v>
                </c:pt>
                <c:pt idx="23">
                  <c:v>33015</c:v>
                </c:pt>
                <c:pt idx="24">
                  <c:v>34564</c:v>
                </c:pt>
                <c:pt idx="25">
                  <c:v>35310</c:v>
                </c:pt>
                <c:pt idx="26">
                  <c:v>35725</c:v>
                </c:pt>
                <c:pt idx="27">
                  <c:v>36516</c:v>
                </c:pt>
                <c:pt idx="28">
                  <c:v>37315</c:v>
                </c:pt>
                <c:pt idx="29">
                  <c:v>37701</c:v>
                </c:pt>
                <c:pt idx="30">
                  <c:v>38206</c:v>
                </c:pt>
                <c:pt idx="31">
                  <c:v>38333</c:v>
                </c:pt>
                <c:pt idx="32">
                  <c:v>38674</c:v>
                </c:pt>
                <c:pt idx="33">
                  <c:v>39068</c:v>
                </c:pt>
                <c:pt idx="34">
                  <c:v>39472</c:v>
                </c:pt>
                <c:pt idx="35">
                  <c:v>39624</c:v>
                </c:pt>
                <c:pt idx="36">
                  <c:v>39854</c:v>
                </c:pt>
                <c:pt idx="37">
                  <c:v>41036</c:v>
                </c:pt>
                <c:pt idx="38">
                  <c:v>41209</c:v>
                </c:pt>
                <c:pt idx="39">
                  <c:v>41414</c:v>
                </c:pt>
                <c:pt idx="40">
                  <c:v>41825</c:v>
                </c:pt>
                <c:pt idx="41">
                  <c:v>42181</c:v>
                </c:pt>
                <c:pt idx="42">
                  <c:v>42965</c:v>
                </c:pt>
                <c:pt idx="43">
                  <c:v>43338</c:v>
                </c:pt>
                <c:pt idx="44">
                  <c:v>43524</c:v>
                </c:pt>
                <c:pt idx="45">
                  <c:v>43755</c:v>
                </c:pt>
                <c:pt idx="46">
                  <c:v>44024</c:v>
                </c:pt>
                <c:pt idx="47">
                  <c:v>44544</c:v>
                </c:pt>
                <c:pt idx="48">
                  <c:v>44948</c:v>
                </c:pt>
                <c:pt idx="49">
                  <c:v>45534</c:v>
                </c:pt>
                <c:pt idx="50">
                  <c:v>45725</c:v>
                </c:pt>
                <c:pt idx="51">
                  <c:v>45815</c:v>
                </c:pt>
                <c:pt idx="52">
                  <c:v>46118</c:v>
                </c:pt>
                <c:pt idx="53">
                  <c:v>46496</c:v>
                </c:pt>
                <c:pt idx="54">
                  <c:v>47299</c:v>
                </c:pt>
                <c:pt idx="55">
                  <c:v>47424</c:v>
                </c:pt>
                <c:pt idx="56">
                  <c:v>47667</c:v>
                </c:pt>
                <c:pt idx="57">
                  <c:v>47973</c:v>
                </c:pt>
                <c:pt idx="58">
                  <c:v>48243</c:v>
                </c:pt>
                <c:pt idx="59">
                  <c:v>48835</c:v>
                </c:pt>
                <c:pt idx="60">
                  <c:v>49254</c:v>
                </c:pt>
                <c:pt idx="61">
                  <c:v>49618</c:v>
                </c:pt>
                <c:pt idx="62">
                  <c:v>50031</c:v>
                </c:pt>
                <c:pt idx="63">
                  <c:v>50395</c:v>
                </c:pt>
                <c:pt idx="64">
                  <c:v>50810</c:v>
                </c:pt>
                <c:pt idx="65">
                  <c:v>51195</c:v>
                </c:pt>
                <c:pt idx="66">
                  <c:v>51324</c:v>
                </c:pt>
                <c:pt idx="67">
                  <c:v>51579</c:v>
                </c:pt>
                <c:pt idx="68">
                  <c:v>52356</c:v>
                </c:pt>
                <c:pt idx="69">
                  <c:v>53145</c:v>
                </c:pt>
                <c:pt idx="70">
                  <c:v>53383</c:v>
                </c:pt>
                <c:pt idx="71">
                  <c:v>53535</c:v>
                </c:pt>
                <c:pt idx="72">
                  <c:v>53791</c:v>
                </c:pt>
                <c:pt idx="73">
                  <c:v>53929</c:v>
                </c:pt>
                <c:pt idx="74">
                  <c:v>54324</c:v>
                </c:pt>
                <c:pt idx="75">
                  <c:v>55224</c:v>
                </c:pt>
                <c:pt idx="76">
                  <c:v>55503</c:v>
                </c:pt>
                <c:pt idx="77">
                  <c:v>56250</c:v>
                </c:pt>
                <c:pt idx="78">
                  <c:v>56647</c:v>
                </c:pt>
                <c:pt idx="79">
                  <c:v>57049</c:v>
                </c:pt>
                <c:pt idx="80">
                  <c:v>57428</c:v>
                </c:pt>
                <c:pt idx="81">
                  <c:v>57831</c:v>
                </c:pt>
                <c:pt idx="82">
                  <c:v>58222</c:v>
                </c:pt>
                <c:pt idx="83">
                  <c:v>58490</c:v>
                </c:pt>
                <c:pt idx="84">
                  <c:v>58607</c:v>
                </c:pt>
                <c:pt idx="85">
                  <c:v>59003</c:v>
                </c:pt>
                <c:pt idx="86">
                  <c:v>59124</c:v>
                </c:pt>
                <c:pt idx="87">
                  <c:v>60167</c:v>
                </c:pt>
                <c:pt idx="88">
                  <c:v>60519</c:v>
                </c:pt>
                <c:pt idx="89">
                  <c:v>60566</c:v>
                </c:pt>
                <c:pt idx="90">
                  <c:v>61358</c:v>
                </c:pt>
                <c:pt idx="91">
                  <c:v>61737</c:v>
                </c:pt>
                <c:pt idx="92">
                  <c:v>62130</c:v>
                </c:pt>
                <c:pt idx="93">
                  <c:v>62597</c:v>
                </c:pt>
                <c:pt idx="94">
                  <c:v>62907</c:v>
                </c:pt>
                <c:pt idx="95">
                  <c:v>63024</c:v>
                </c:pt>
                <c:pt idx="96">
                  <c:v>63289</c:v>
                </c:pt>
                <c:pt idx="97">
                  <c:v>63477</c:v>
                </c:pt>
                <c:pt idx="98">
                  <c:v>63678</c:v>
                </c:pt>
                <c:pt idx="99">
                  <c:v>64258</c:v>
                </c:pt>
                <c:pt idx="100">
                  <c:v>64468</c:v>
                </c:pt>
                <c:pt idx="101">
                  <c:v>64726</c:v>
                </c:pt>
                <c:pt idx="102">
                  <c:v>64850</c:v>
                </c:pt>
                <c:pt idx="103">
                  <c:v>65251</c:v>
                </c:pt>
                <c:pt idx="104">
                  <c:v>65806</c:v>
                </c:pt>
                <c:pt idx="105">
                  <c:v>65877</c:v>
                </c:pt>
                <c:pt idx="106">
                  <c:v>66028</c:v>
                </c:pt>
                <c:pt idx="107">
                  <c:v>66409</c:v>
                </c:pt>
                <c:pt idx="108">
                  <c:v>66551</c:v>
                </c:pt>
                <c:pt idx="109">
                  <c:v>66924</c:v>
                </c:pt>
                <c:pt idx="110">
                  <c:v>67203</c:v>
                </c:pt>
                <c:pt idx="111">
                  <c:v>67528</c:v>
                </c:pt>
                <c:pt idx="112">
                  <c:v>67621</c:v>
                </c:pt>
                <c:pt idx="113">
                  <c:v>68021</c:v>
                </c:pt>
                <c:pt idx="114">
                  <c:v>68392</c:v>
                </c:pt>
                <c:pt idx="115">
                  <c:v>68774</c:v>
                </c:pt>
                <c:pt idx="116">
                  <c:v>69319</c:v>
                </c:pt>
                <c:pt idx="117">
                  <c:v>69400</c:v>
                </c:pt>
                <c:pt idx="118">
                  <c:v>69518</c:v>
                </c:pt>
                <c:pt idx="119">
                  <c:v>69561</c:v>
                </c:pt>
                <c:pt idx="120">
                  <c:v>70554</c:v>
                </c:pt>
                <c:pt idx="121">
                  <c:v>70735</c:v>
                </c:pt>
                <c:pt idx="122">
                  <c:v>70824</c:v>
                </c:pt>
                <c:pt idx="123">
                  <c:v>71121</c:v>
                </c:pt>
                <c:pt idx="124">
                  <c:v>71516</c:v>
                </c:pt>
                <c:pt idx="125">
                  <c:v>71897</c:v>
                </c:pt>
                <c:pt idx="126">
                  <c:v>72060</c:v>
                </c:pt>
                <c:pt idx="127">
                  <c:v>72292</c:v>
                </c:pt>
                <c:pt idx="128">
                  <c:v>72578</c:v>
                </c:pt>
                <c:pt idx="129">
                  <c:v>72680</c:v>
                </c:pt>
                <c:pt idx="130">
                  <c:v>73088</c:v>
                </c:pt>
                <c:pt idx="131">
                  <c:v>73766</c:v>
                </c:pt>
                <c:pt idx="132">
                  <c:v>73858</c:v>
                </c:pt>
                <c:pt idx="133">
                  <c:v>74724</c:v>
                </c:pt>
                <c:pt idx="134">
                  <c:v>75628</c:v>
                </c:pt>
                <c:pt idx="135">
                  <c:v>75823</c:v>
                </c:pt>
                <c:pt idx="136">
                  <c:v>76211</c:v>
                </c:pt>
                <c:pt idx="137">
                  <c:v>76588</c:v>
                </c:pt>
                <c:pt idx="138">
                  <c:v>77307</c:v>
                </c:pt>
                <c:pt idx="139">
                  <c:v>77370</c:v>
                </c:pt>
                <c:pt idx="140">
                  <c:v>77763</c:v>
                </c:pt>
                <c:pt idx="141">
                  <c:v>78146</c:v>
                </c:pt>
                <c:pt idx="142">
                  <c:v>78625</c:v>
                </c:pt>
                <c:pt idx="143">
                  <c:v>78927</c:v>
                </c:pt>
                <c:pt idx="144">
                  <c:v>79321</c:v>
                </c:pt>
                <c:pt idx="145">
                  <c:v>79680</c:v>
                </c:pt>
                <c:pt idx="146">
                  <c:v>80113</c:v>
                </c:pt>
                <c:pt idx="147">
                  <c:v>80490</c:v>
                </c:pt>
                <c:pt idx="148">
                  <c:v>81280</c:v>
                </c:pt>
                <c:pt idx="149">
                  <c:v>81433</c:v>
                </c:pt>
                <c:pt idx="150">
                  <c:v>81663</c:v>
                </c:pt>
                <c:pt idx="151">
                  <c:v>82452</c:v>
                </c:pt>
                <c:pt idx="152">
                  <c:v>82524</c:v>
                </c:pt>
                <c:pt idx="153">
                  <c:v>82792</c:v>
                </c:pt>
                <c:pt idx="154">
                  <c:v>82839</c:v>
                </c:pt>
                <c:pt idx="155">
                  <c:v>83142</c:v>
                </c:pt>
                <c:pt idx="156">
                  <c:v>83676</c:v>
                </c:pt>
                <c:pt idx="157">
                  <c:v>84022</c:v>
                </c:pt>
                <c:pt idx="158">
                  <c:v>84229</c:v>
                </c:pt>
                <c:pt idx="159">
                  <c:v>84788</c:v>
                </c:pt>
                <c:pt idx="160">
                  <c:v>85194</c:v>
                </c:pt>
                <c:pt idx="161">
                  <c:v>85896</c:v>
                </c:pt>
                <c:pt idx="162">
                  <c:v>86348</c:v>
                </c:pt>
                <c:pt idx="163">
                  <c:v>86424</c:v>
                </c:pt>
                <c:pt idx="164">
                  <c:v>86751</c:v>
                </c:pt>
                <c:pt idx="165">
                  <c:v>87177</c:v>
                </c:pt>
                <c:pt idx="166">
                  <c:v>87550</c:v>
                </c:pt>
                <c:pt idx="167">
                  <c:v>87887</c:v>
                </c:pt>
                <c:pt idx="168">
                  <c:v>88316</c:v>
                </c:pt>
                <c:pt idx="169">
                  <c:v>88707</c:v>
                </c:pt>
                <c:pt idx="170">
                  <c:v>89488</c:v>
                </c:pt>
                <c:pt idx="171">
                  <c:v>89896</c:v>
                </c:pt>
                <c:pt idx="172">
                  <c:v>90290</c:v>
                </c:pt>
                <c:pt idx="173">
                  <c:v>0</c:v>
                </c:pt>
                <c:pt idx="174">
                  <c:v>0</c:v>
                </c:pt>
              </c:numCache>
            </c:numRef>
          </c:cat>
          <c:val>
            <c:numRef>
              <c:f>Analysis!$M$2:$M$176</c:f>
              <c:numCache>
                <c:formatCode>0.00000;[Red]\(0.00000\);\-</c:formatCode>
                <c:ptCount val="175"/>
                <c:pt idx="0">
                  <c:v>2.4154983597460759E-2</c:v>
                </c:pt>
                <c:pt idx="1">
                  <c:v>6.7822223641431922E-2</c:v>
                </c:pt>
                <c:pt idx="2">
                  <c:v>7.2054022294906012E-2</c:v>
                </c:pt>
                <c:pt idx="3">
                  <c:v>0.10989765832320822</c:v>
                </c:pt>
                <c:pt idx="4">
                  <c:v>0.14071718810098172</c:v>
                </c:pt>
                <c:pt idx="5">
                  <c:v>0.12499990810589964</c:v>
                </c:pt>
                <c:pt idx="6">
                  <c:v>0.13581127214435745</c:v>
                </c:pt>
                <c:pt idx="7">
                  <c:v>0.16614086503040157</c:v>
                </c:pt>
                <c:pt idx="8">
                  <c:v>0.19014346306098065</c:v>
                </c:pt>
                <c:pt idx="10">
                  <c:v>0.20793840132603078</c:v>
                </c:pt>
                <c:pt idx="11">
                  <c:v>0.22286537698817735</c:v>
                </c:pt>
                <c:pt idx="12">
                  <c:v>0.25930309113961558</c:v>
                </c:pt>
                <c:pt idx="13">
                  <c:v>0.29182340827646713</c:v>
                </c:pt>
                <c:pt idx="14">
                  <c:v>0.28796932873987646</c:v>
                </c:pt>
                <c:pt idx="15">
                  <c:v>0.31468688599178507</c:v>
                </c:pt>
                <c:pt idx="16">
                  <c:v>0.288728832969328</c:v>
                </c:pt>
                <c:pt idx="17">
                  <c:v>0.32089860931862713</c:v>
                </c:pt>
                <c:pt idx="18">
                  <c:v>0.34256177823113931</c:v>
                </c:pt>
                <c:pt idx="19">
                  <c:v>0.33955469714827768</c:v>
                </c:pt>
                <c:pt idx="20">
                  <c:v>0.26376453565742819</c:v>
                </c:pt>
                <c:pt idx="21">
                  <c:v>0.28591620658502076</c:v>
                </c:pt>
                <c:pt idx="22">
                  <c:v>0.29704249800862925</c:v>
                </c:pt>
                <c:pt idx="23">
                  <c:v>0.2993266652606642</c:v>
                </c:pt>
                <c:pt idx="24">
                  <c:v>0.33131965176522327</c:v>
                </c:pt>
                <c:pt idx="25">
                  <c:v>0.39184873145185456</c:v>
                </c:pt>
                <c:pt idx="26">
                  <c:v>0.34908833122248001</c:v>
                </c:pt>
                <c:pt idx="27">
                  <c:v>0.42457391475079753</c:v>
                </c:pt>
                <c:pt idx="28">
                  <c:v>0.47391020216208202</c:v>
                </c:pt>
                <c:pt idx="29">
                  <c:v>0.46854692165055545</c:v>
                </c:pt>
                <c:pt idx="30">
                  <c:v>0.46803659315086066</c:v>
                </c:pt>
                <c:pt idx="31">
                  <c:v>0.46572662357152372</c:v>
                </c:pt>
                <c:pt idx="32">
                  <c:v>0.47411326992374053</c:v>
                </c:pt>
                <c:pt idx="33">
                  <c:v>0.4900650934007974</c:v>
                </c:pt>
                <c:pt idx="34">
                  <c:v>0.48895605413801208</c:v>
                </c:pt>
                <c:pt idx="35">
                  <c:v>0.48939196095122894</c:v>
                </c:pt>
                <c:pt idx="36">
                  <c:v>0.50577913691952214</c:v>
                </c:pt>
                <c:pt idx="37">
                  <c:v>0.43575967533788262</c:v>
                </c:pt>
                <c:pt idx="38">
                  <c:v>0.45162358057737323</c:v>
                </c:pt>
                <c:pt idx="39">
                  <c:v>0.49614059560335494</c:v>
                </c:pt>
                <c:pt idx="40">
                  <c:v>0.47364815794149112</c:v>
                </c:pt>
                <c:pt idx="41">
                  <c:v>0.50644907968852437</c:v>
                </c:pt>
                <c:pt idx="42">
                  <c:v>0.58492767324925321</c:v>
                </c:pt>
                <c:pt idx="43">
                  <c:v>0.59627367749300331</c:v>
                </c:pt>
                <c:pt idx="44">
                  <c:v>0.6102500351450626</c:v>
                </c:pt>
                <c:pt idx="45">
                  <c:v>0.60441415166650969</c:v>
                </c:pt>
                <c:pt idx="46">
                  <c:v>0.58563592173338075</c:v>
                </c:pt>
                <c:pt idx="47">
                  <c:v>0.62362232467173406</c:v>
                </c:pt>
                <c:pt idx="48">
                  <c:v>0.64556355961899115</c:v>
                </c:pt>
                <c:pt idx="49">
                  <c:v>0.65055513203605697</c:v>
                </c:pt>
                <c:pt idx="50">
                  <c:v>0.68541144612542371</c:v>
                </c:pt>
                <c:pt idx="51">
                  <c:v>0.69719542153964909</c:v>
                </c:pt>
                <c:pt idx="52">
                  <c:v>0.67830864546040093</c:v>
                </c:pt>
                <c:pt idx="53">
                  <c:v>0.69611105658109851</c:v>
                </c:pt>
                <c:pt idx="54">
                  <c:v>0.68064227380000586</c:v>
                </c:pt>
                <c:pt idx="55">
                  <c:v>0.68538795404334629</c:v>
                </c:pt>
                <c:pt idx="56">
                  <c:v>0.66934401822858203</c:v>
                </c:pt>
                <c:pt idx="57">
                  <c:v>0.69622047179630164</c:v>
                </c:pt>
                <c:pt idx="58">
                  <c:v>0.7025059252787178</c:v>
                </c:pt>
                <c:pt idx="59">
                  <c:v>0.74527590466049731</c:v>
                </c:pt>
                <c:pt idx="60">
                  <c:v>0.68884292868792441</c:v>
                </c:pt>
                <c:pt idx="61">
                  <c:v>0.72784484495961632</c:v>
                </c:pt>
                <c:pt idx="62">
                  <c:v>0.64077673824060288</c:v>
                </c:pt>
                <c:pt idx="63">
                  <c:v>0.67711557822440216</c:v>
                </c:pt>
                <c:pt idx="64">
                  <c:v>0.66043255152775615</c:v>
                </c:pt>
                <c:pt idx="65">
                  <c:v>0.62379767691626409</c:v>
                </c:pt>
                <c:pt idx="66">
                  <c:v>0.63271985767113936</c:v>
                </c:pt>
                <c:pt idx="67">
                  <c:v>0.65030551865641617</c:v>
                </c:pt>
                <c:pt idx="68">
                  <c:v>0.70981931061131942</c:v>
                </c:pt>
                <c:pt idx="69">
                  <c:v>0.7449227910265146</c:v>
                </c:pt>
                <c:pt idx="70">
                  <c:v>0.75793816219029042</c:v>
                </c:pt>
                <c:pt idx="71">
                  <c:v>0.74157913944179898</c:v>
                </c:pt>
                <c:pt idx="72">
                  <c:v>0.77925503439484178</c:v>
                </c:pt>
                <c:pt idx="73">
                  <c:v>0.75883940393088833</c:v>
                </c:pt>
                <c:pt idx="74">
                  <c:v>0.69641343628684271</c:v>
                </c:pt>
                <c:pt idx="75">
                  <c:v>0.69363473514811991</c:v>
                </c:pt>
                <c:pt idx="76">
                  <c:v>0.65726356638479411</c:v>
                </c:pt>
                <c:pt idx="77">
                  <c:v>0.85424474571280395</c:v>
                </c:pt>
                <c:pt idx="78">
                  <c:v>0.88117066314011105</c:v>
                </c:pt>
                <c:pt idx="79">
                  <c:v>0.8844876964552032</c:v>
                </c:pt>
                <c:pt idx="80">
                  <c:v>1.1915142077344232</c:v>
                </c:pt>
                <c:pt idx="81">
                  <c:v>1.2228306200335259</c:v>
                </c:pt>
                <c:pt idx="82">
                  <c:v>1.2533061411844022</c:v>
                </c:pt>
                <c:pt idx="83">
                  <c:v>1.2740112700742898</c:v>
                </c:pt>
                <c:pt idx="84">
                  <c:v>1.3112115507667328</c:v>
                </c:pt>
                <c:pt idx="85">
                  <c:v>1.3282044334211622</c:v>
                </c:pt>
                <c:pt idx="86">
                  <c:v>1.3149725889474082</c:v>
                </c:pt>
                <c:pt idx="87">
                  <c:v>1.3307388343913744</c:v>
                </c:pt>
                <c:pt idx="88">
                  <c:v>1.3387935726252216</c:v>
                </c:pt>
                <c:pt idx="89">
                  <c:v>1.3654611084952593</c:v>
                </c:pt>
                <c:pt idx="90">
                  <c:v>1.3766196673200828</c:v>
                </c:pt>
                <c:pt idx="91">
                  <c:v>1.4174736348302068</c:v>
                </c:pt>
                <c:pt idx="92">
                  <c:v>1.4278749246601281</c:v>
                </c:pt>
                <c:pt idx="93">
                  <c:v>1.4400181650052355</c:v>
                </c:pt>
                <c:pt idx="94">
                  <c:v>1.4666606317376236</c:v>
                </c:pt>
                <c:pt idx="95">
                  <c:v>1.4432083942367082</c:v>
                </c:pt>
                <c:pt idx="96">
                  <c:v>1.4604018171497197</c:v>
                </c:pt>
                <c:pt idx="97">
                  <c:v>1.4787517546055808</c:v>
                </c:pt>
                <c:pt idx="98">
                  <c:v>1.5506554332576268</c:v>
                </c:pt>
                <c:pt idx="99">
                  <c:v>1.5805820598263607</c:v>
                </c:pt>
                <c:pt idx="100">
                  <c:v>1.6525108881436039</c:v>
                </c:pt>
                <c:pt idx="101">
                  <c:v>1.6712156525865416</c:v>
                </c:pt>
                <c:pt idx="102">
                  <c:v>1.7838833803896166</c:v>
                </c:pt>
                <c:pt idx="103">
                  <c:v>1.8198213786922439</c:v>
                </c:pt>
                <c:pt idx="104">
                  <c:v>1.8220456756049417</c:v>
                </c:pt>
                <c:pt idx="105">
                  <c:v>1.8532510776765356</c:v>
                </c:pt>
                <c:pt idx="106">
                  <c:v>1.8249759043707572</c:v>
                </c:pt>
                <c:pt idx="107">
                  <c:v>1.8752283105258842</c:v>
                </c:pt>
                <c:pt idx="108">
                  <c:v>1.8927228239474043</c:v>
                </c:pt>
                <c:pt idx="109">
                  <c:v>1.8856788897481622</c:v>
                </c:pt>
                <c:pt idx="110">
                  <c:v>1.9158981802592581</c:v>
                </c:pt>
                <c:pt idx="111">
                  <c:v>1.9263126181664363</c:v>
                </c:pt>
                <c:pt idx="112">
                  <c:v>1.8869855704787</c:v>
                </c:pt>
                <c:pt idx="113">
                  <c:v>1.9825678100597719</c:v>
                </c:pt>
                <c:pt idx="114">
                  <c:v>2.065102436905633</c:v>
                </c:pt>
                <c:pt idx="115">
                  <c:v>2.1667809760025212</c:v>
                </c:pt>
                <c:pt idx="116">
                  <c:v>2.1836149531848346</c:v>
                </c:pt>
                <c:pt idx="117">
                  <c:v>2.2001173786019783</c:v>
                </c:pt>
                <c:pt idx="118">
                  <c:v>2.2060060083448154</c:v>
                </c:pt>
                <c:pt idx="119">
                  <c:v>2.2529287198252059</c:v>
                </c:pt>
                <c:pt idx="120">
                  <c:v>2.2773925085695392</c:v>
                </c:pt>
                <c:pt idx="121">
                  <c:v>2.3161587214003436</c:v>
                </c:pt>
                <c:pt idx="122">
                  <c:v>2.3077856377232</c:v>
                </c:pt>
                <c:pt idx="123">
                  <c:v>2.3482401364786183</c:v>
                </c:pt>
                <c:pt idx="124">
                  <c:v>2.3562680039968646</c:v>
                </c:pt>
                <c:pt idx="125">
                  <c:v>2.3989878331175487</c:v>
                </c:pt>
                <c:pt idx="126">
                  <c:v>2.4234237732878992</c:v>
                </c:pt>
                <c:pt idx="127">
                  <c:v>2.4741854981876661</c:v>
                </c:pt>
                <c:pt idx="128">
                  <c:v>2.4770620797166316</c:v>
                </c:pt>
                <c:pt idx="129">
                  <c:v>2.523010521345165</c:v>
                </c:pt>
                <c:pt idx="130">
                  <c:v>2.5317868400003243</c:v>
                </c:pt>
                <c:pt idx="131">
                  <c:v>2.547064133431153</c:v>
                </c:pt>
                <c:pt idx="132">
                  <c:v>2.6761483447308323</c:v>
                </c:pt>
                <c:pt idx="133">
                  <c:v>2.6891219609052985</c:v>
                </c:pt>
                <c:pt idx="134">
                  <c:v>2.6891368668450575</c:v>
                </c:pt>
                <c:pt idx="135">
                  <c:v>2.6864629119999339</c:v>
                </c:pt>
                <c:pt idx="136">
                  <c:v>2.7956337395848672</c:v>
                </c:pt>
                <c:pt idx="137">
                  <c:v>2.8523849230491187</c:v>
                </c:pt>
                <c:pt idx="138">
                  <c:v>2.8872607421902865</c:v>
                </c:pt>
                <c:pt idx="139">
                  <c:v>2.9322145828808495</c:v>
                </c:pt>
                <c:pt idx="140">
                  <c:v>2.9578314523966034</c:v>
                </c:pt>
                <c:pt idx="141">
                  <c:v>2.9928213387750526</c:v>
                </c:pt>
                <c:pt idx="142">
                  <c:v>2.999976202808107</c:v>
                </c:pt>
                <c:pt idx="143">
                  <c:v>3.0811739833564866</c:v>
                </c:pt>
                <c:pt idx="144">
                  <c:v>3.1118709858844755</c:v>
                </c:pt>
                <c:pt idx="145">
                  <c:v>3.1256167766467273</c:v>
                </c:pt>
                <c:pt idx="146">
                  <c:v>3.1258284340432718</c:v>
                </c:pt>
                <c:pt idx="147">
                  <c:v>3.2659050575796811</c:v>
                </c:pt>
                <c:pt idx="148">
                  <c:v>3.3104852038039567</c:v>
                </c:pt>
                <c:pt idx="149">
                  <c:v>3.3350400464013394</c:v>
                </c:pt>
                <c:pt idx="150">
                  <c:v>3.4586873441000612</c:v>
                </c:pt>
                <c:pt idx="151">
                  <c:v>3.5086962742661623</c:v>
                </c:pt>
                <c:pt idx="152">
                  <c:v>3.4839755998942978</c:v>
                </c:pt>
                <c:pt idx="153">
                  <c:v>3.4868512803228331</c:v>
                </c:pt>
                <c:pt idx="154">
                  <c:v>3.5168514153107462</c:v>
                </c:pt>
                <c:pt idx="155">
                  <c:v>3.5327849520787704</c:v>
                </c:pt>
                <c:pt idx="156">
                  <c:v>3.5075735400141399</c:v>
                </c:pt>
                <c:pt idx="157">
                  <c:v>3.4881982231364517</c:v>
                </c:pt>
                <c:pt idx="158">
                  <c:v>3.4924611611533325</c:v>
                </c:pt>
                <c:pt idx="159">
                  <c:v>3.4716180508363013</c:v>
                </c:pt>
                <c:pt idx="160">
                  <c:v>3.4634454744731835</c:v>
                </c:pt>
                <c:pt idx="161">
                  <c:v>3.4503687909576519</c:v>
                </c:pt>
                <c:pt idx="162">
                  <c:v>3.4657640306298005</c:v>
                </c:pt>
                <c:pt idx="163">
                  <c:v>3.4450396644847818</c:v>
                </c:pt>
                <c:pt idx="164">
                  <c:v>3.5039876778369123</c:v>
                </c:pt>
                <c:pt idx="165">
                  <c:v>3.4278152905753414</c:v>
                </c:pt>
                <c:pt idx="166">
                  <c:v>3.3877926252046464</c:v>
                </c:pt>
                <c:pt idx="167">
                  <c:v>3.4006131678522786</c:v>
                </c:pt>
                <c:pt idx="168">
                  <c:v>3.463607160351081</c:v>
                </c:pt>
                <c:pt idx="169">
                  <c:v>3.5109110115373703</c:v>
                </c:pt>
                <c:pt idx="170">
                  <c:v>3.5708620873777743</c:v>
                </c:pt>
                <c:pt idx="171">
                  <c:v>3.5581397364393523</c:v>
                </c:pt>
                <c:pt idx="172">
                  <c:v>3.4931890468685598</c:v>
                </c:pt>
                <c:pt idx="173">
                  <c:v>3.4931890468685598</c:v>
                </c:pt>
                <c:pt idx="174">
                  <c:v>3.4931890468685598</c:v>
                </c:pt>
              </c:numCache>
            </c:numRef>
          </c:val>
          <c:smooth val="0"/>
          <c:extLst>
            <c:ext xmlns:c16="http://schemas.microsoft.com/office/drawing/2014/chart" uri="{C3380CC4-5D6E-409C-BE32-E72D297353CC}">
              <c16:uniqueId val="{00000000-6E85-4153-B065-407CD9A38C19}"/>
            </c:ext>
          </c:extLst>
        </c:ser>
        <c:ser>
          <c:idx val="1"/>
          <c:order val="1"/>
          <c:tx>
            <c:v>Cumulative Slipped PnL</c:v>
          </c:tx>
          <c:spPr>
            <a:ln>
              <a:prstDash val="solid"/>
            </a:ln>
          </c:spPr>
          <c:marker>
            <c:symbol val="none"/>
          </c:marker>
          <c:cat>
            <c:numRef>
              <c:f>Analysis!$L$2:$L$176</c:f>
              <c:numCache>
                <c:formatCode>0</c:formatCode>
                <c:ptCount val="175"/>
                <c:pt idx="0">
                  <c:v>24214</c:v>
                </c:pt>
                <c:pt idx="1">
                  <c:v>24606</c:v>
                </c:pt>
                <c:pt idx="2">
                  <c:v>24848</c:v>
                </c:pt>
                <c:pt idx="3">
                  <c:v>24996</c:v>
                </c:pt>
                <c:pt idx="4">
                  <c:v>25392</c:v>
                </c:pt>
                <c:pt idx="5">
                  <c:v>25731</c:v>
                </c:pt>
                <c:pt idx="6">
                  <c:v>25758</c:v>
                </c:pt>
                <c:pt idx="7">
                  <c:v>26942</c:v>
                </c:pt>
                <c:pt idx="8">
                  <c:v>27332</c:v>
                </c:pt>
                <c:pt idx="10">
                  <c:v>27725</c:v>
                </c:pt>
                <c:pt idx="11">
                  <c:v>27924</c:v>
                </c:pt>
                <c:pt idx="12">
                  <c:v>28504</c:v>
                </c:pt>
                <c:pt idx="13">
                  <c:v>28639</c:v>
                </c:pt>
                <c:pt idx="14">
                  <c:v>28735</c:v>
                </c:pt>
                <c:pt idx="15">
                  <c:v>29599</c:v>
                </c:pt>
                <c:pt idx="16">
                  <c:v>29691</c:v>
                </c:pt>
                <c:pt idx="17">
                  <c:v>30065</c:v>
                </c:pt>
                <c:pt idx="18">
                  <c:v>31227</c:v>
                </c:pt>
                <c:pt idx="19">
                  <c:v>31824</c:v>
                </c:pt>
                <c:pt idx="20">
                  <c:v>32055</c:v>
                </c:pt>
                <c:pt idx="21">
                  <c:v>32218</c:v>
                </c:pt>
                <c:pt idx="22">
                  <c:v>32631</c:v>
                </c:pt>
                <c:pt idx="23">
                  <c:v>33015</c:v>
                </c:pt>
                <c:pt idx="24">
                  <c:v>34564</c:v>
                </c:pt>
                <c:pt idx="25">
                  <c:v>35310</c:v>
                </c:pt>
                <c:pt idx="26">
                  <c:v>35725</c:v>
                </c:pt>
                <c:pt idx="27">
                  <c:v>36516</c:v>
                </c:pt>
                <c:pt idx="28">
                  <c:v>37315</c:v>
                </c:pt>
                <c:pt idx="29">
                  <c:v>37701</c:v>
                </c:pt>
                <c:pt idx="30">
                  <c:v>38206</c:v>
                </c:pt>
                <c:pt idx="31">
                  <c:v>38333</c:v>
                </c:pt>
                <c:pt idx="32">
                  <c:v>38674</c:v>
                </c:pt>
                <c:pt idx="33">
                  <c:v>39068</c:v>
                </c:pt>
                <c:pt idx="34">
                  <c:v>39472</c:v>
                </c:pt>
                <c:pt idx="35">
                  <c:v>39624</c:v>
                </c:pt>
                <c:pt idx="36">
                  <c:v>39854</c:v>
                </c:pt>
                <c:pt idx="37">
                  <c:v>41036</c:v>
                </c:pt>
                <c:pt idx="38">
                  <c:v>41209</c:v>
                </c:pt>
                <c:pt idx="39">
                  <c:v>41414</c:v>
                </c:pt>
                <c:pt idx="40">
                  <c:v>41825</c:v>
                </c:pt>
                <c:pt idx="41">
                  <c:v>42181</c:v>
                </c:pt>
                <c:pt idx="42">
                  <c:v>42965</c:v>
                </c:pt>
                <c:pt idx="43">
                  <c:v>43338</c:v>
                </c:pt>
                <c:pt idx="44">
                  <c:v>43524</c:v>
                </c:pt>
                <c:pt idx="45">
                  <c:v>43755</c:v>
                </c:pt>
                <c:pt idx="46">
                  <c:v>44024</c:v>
                </c:pt>
                <c:pt idx="47">
                  <c:v>44544</c:v>
                </c:pt>
                <c:pt idx="48">
                  <c:v>44948</c:v>
                </c:pt>
                <c:pt idx="49">
                  <c:v>45534</c:v>
                </c:pt>
                <c:pt idx="50">
                  <c:v>45725</c:v>
                </c:pt>
                <c:pt idx="51">
                  <c:v>45815</c:v>
                </c:pt>
                <c:pt idx="52">
                  <c:v>46118</c:v>
                </c:pt>
                <c:pt idx="53">
                  <c:v>46496</c:v>
                </c:pt>
                <c:pt idx="54">
                  <c:v>47299</c:v>
                </c:pt>
                <c:pt idx="55">
                  <c:v>47424</c:v>
                </c:pt>
                <c:pt idx="56">
                  <c:v>47667</c:v>
                </c:pt>
                <c:pt idx="57">
                  <c:v>47973</c:v>
                </c:pt>
                <c:pt idx="58">
                  <c:v>48243</c:v>
                </c:pt>
                <c:pt idx="59">
                  <c:v>48835</c:v>
                </c:pt>
                <c:pt idx="60">
                  <c:v>49254</c:v>
                </c:pt>
                <c:pt idx="61">
                  <c:v>49618</c:v>
                </c:pt>
                <c:pt idx="62">
                  <c:v>50031</c:v>
                </c:pt>
                <c:pt idx="63">
                  <c:v>50395</c:v>
                </c:pt>
                <c:pt idx="64">
                  <c:v>50810</c:v>
                </c:pt>
                <c:pt idx="65">
                  <c:v>51195</c:v>
                </c:pt>
                <c:pt idx="66">
                  <c:v>51324</c:v>
                </c:pt>
                <c:pt idx="67">
                  <c:v>51579</c:v>
                </c:pt>
                <c:pt idx="68">
                  <c:v>52356</c:v>
                </c:pt>
                <c:pt idx="69">
                  <c:v>53145</c:v>
                </c:pt>
                <c:pt idx="70">
                  <c:v>53383</c:v>
                </c:pt>
                <c:pt idx="71">
                  <c:v>53535</c:v>
                </c:pt>
                <c:pt idx="72">
                  <c:v>53791</c:v>
                </c:pt>
                <c:pt idx="73">
                  <c:v>53929</c:v>
                </c:pt>
                <c:pt idx="74">
                  <c:v>54324</c:v>
                </c:pt>
                <c:pt idx="75">
                  <c:v>55224</c:v>
                </c:pt>
                <c:pt idx="76">
                  <c:v>55503</c:v>
                </c:pt>
                <c:pt idx="77">
                  <c:v>56250</c:v>
                </c:pt>
                <c:pt idx="78">
                  <c:v>56647</c:v>
                </c:pt>
                <c:pt idx="79">
                  <c:v>57049</c:v>
                </c:pt>
                <c:pt idx="80">
                  <c:v>57428</c:v>
                </c:pt>
                <c:pt idx="81">
                  <c:v>57831</c:v>
                </c:pt>
                <c:pt idx="82">
                  <c:v>58222</c:v>
                </c:pt>
                <c:pt idx="83">
                  <c:v>58490</c:v>
                </c:pt>
                <c:pt idx="84">
                  <c:v>58607</c:v>
                </c:pt>
                <c:pt idx="85">
                  <c:v>59003</c:v>
                </c:pt>
                <c:pt idx="86">
                  <c:v>59124</c:v>
                </c:pt>
                <c:pt idx="87">
                  <c:v>60167</c:v>
                </c:pt>
                <c:pt idx="88">
                  <c:v>60519</c:v>
                </c:pt>
                <c:pt idx="89">
                  <c:v>60566</c:v>
                </c:pt>
                <c:pt idx="90">
                  <c:v>61358</c:v>
                </c:pt>
                <c:pt idx="91">
                  <c:v>61737</c:v>
                </c:pt>
                <c:pt idx="92">
                  <c:v>62130</c:v>
                </c:pt>
                <c:pt idx="93">
                  <c:v>62597</c:v>
                </c:pt>
                <c:pt idx="94">
                  <c:v>62907</c:v>
                </c:pt>
                <c:pt idx="95">
                  <c:v>63024</c:v>
                </c:pt>
                <c:pt idx="96">
                  <c:v>63289</c:v>
                </c:pt>
                <c:pt idx="97">
                  <c:v>63477</c:v>
                </c:pt>
                <c:pt idx="98">
                  <c:v>63678</c:v>
                </c:pt>
                <c:pt idx="99">
                  <c:v>64258</c:v>
                </c:pt>
                <c:pt idx="100">
                  <c:v>64468</c:v>
                </c:pt>
                <c:pt idx="101">
                  <c:v>64726</c:v>
                </c:pt>
                <c:pt idx="102">
                  <c:v>64850</c:v>
                </c:pt>
                <c:pt idx="103">
                  <c:v>65251</c:v>
                </c:pt>
                <c:pt idx="104">
                  <c:v>65806</c:v>
                </c:pt>
                <c:pt idx="105">
                  <c:v>65877</c:v>
                </c:pt>
                <c:pt idx="106">
                  <c:v>66028</c:v>
                </c:pt>
                <c:pt idx="107">
                  <c:v>66409</c:v>
                </c:pt>
                <c:pt idx="108">
                  <c:v>66551</c:v>
                </c:pt>
                <c:pt idx="109">
                  <c:v>66924</c:v>
                </c:pt>
                <c:pt idx="110">
                  <c:v>67203</c:v>
                </c:pt>
                <c:pt idx="111">
                  <c:v>67528</c:v>
                </c:pt>
                <c:pt idx="112">
                  <c:v>67621</c:v>
                </c:pt>
                <c:pt idx="113">
                  <c:v>68021</c:v>
                </c:pt>
                <c:pt idx="114">
                  <c:v>68392</c:v>
                </c:pt>
                <c:pt idx="115">
                  <c:v>68774</c:v>
                </c:pt>
                <c:pt idx="116">
                  <c:v>69319</c:v>
                </c:pt>
                <c:pt idx="117">
                  <c:v>69400</c:v>
                </c:pt>
                <c:pt idx="118">
                  <c:v>69518</c:v>
                </c:pt>
                <c:pt idx="119">
                  <c:v>69561</c:v>
                </c:pt>
                <c:pt idx="120">
                  <c:v>70554</c:v>
                </c:pt>
                <c:pt idx="121">
                  <c:v>70735</c:v>
                </c:pt>
                <c:pt idx="122">
                  <c:v>70824</c:v>
                </c:pt>
                <c:pt idx="123">
                  <c:v>71121</c:v>
                </c:pt>
                <c:pt idx="124">
                  <c:v>71516</c:v>
                </c:pt>
                <c:pt idx="125">
                  <c:v>71897</c:v>
                </c:pt>
                <c:pt idx="126">
                  <c:v>72060</c:v>
                </c:pt>
                <c:pt idx="127">
                  <c:v>72292</c:v>
                </c:pt>
                <c:pt idx="128">
                  <c:v>72578</c:v>
                </c:pt>
                <c:pt idx="129">
                  <c:v>72680</c:v>
                </c:pt>
                <c:pt idx="130">
                  <c:v>73088</c:v>
                </c:pt>
                <c:pt idx="131">
                  <c:v>73766</c:v>
                </c:pt>
                <c:pt idx="132">
                  <c:v>73858</c:v>
                </c:pt>
                <c:pt idx="133">
                  <c:v>74724</c:v>
                </c:pt>
                <c:pt idx="134">
                  <c:v>75628</c:v>
                </c:pt>
                <c:pt idx="135">
                  <c:v>75823</c:v>
                </c:pt>
                <c:pt idx="136">
                  <c:v>76211</c:v>
                </c:pt>
                <c:pt idx="137">
                  <c:v>76588</c:v>
                </c:pt>
                <c:pt idx="138">
                  <c:v>77307</c:v>
                </c:pt>
                <c:pt idx="139">
                  <c:v>77370</c:v>
                </c:pt>
                <c:pt idx="140">
                  <c:v>77763</c:v>
                </c:pt>
                <c:pt idx="141">
                  <c:v>78146</c:v>
                </c:pt>
                <c:pt idx="142">
                  <c:v>78625</c:v>
                </c:pt>
                <c:pt idx="143">
                  <c:v>78927</c:v>
                </c:pt>
                <c:pt idx="144">
                  <c:v>79321</c:v>
                </c:pt>
                <c:pt idx="145">
                  <c:v>79680</c:v>
                </c:pt>
                <c:pt idx="146">
                  <c:v>80113</c:v>
                </c:pt>
                <c:pt idx="147">
                  <c:v>80490</c:v>
                </c:pt>
                <c:pt idx="148">
                  <c:v>81280</c:v>
                </c:pt>
                <c:pt idx="149">
                  <c:v>81433</c:v>
                </c:pt>
                <c:pt idx="150">
                  <c:v>81663</c:v>
                </c:pt>
                <c:pt idx="151">
                  <c:v>82452</c:v>
                </c:pt>
                <c:pt idx="152">
                  <c:v>82524</c:v>
                </c:pt>
                <c:pt idx="153">
                  <c:v>82792</c:v>
                </c:pt>
                <c:pt idx="154">
                  <c:v>82839</c:v>
                </c:pt>
                <c:pt idx="155">
                  <c:v>83142</c:v>
                </c:pt>
                <c:pt idx="156">
                  <c:v>83676</c:v>
                </c:pt>
                <c:pt idx="157">
                  <c:v>84022</c:v>
                </c:pt>
                <c:pt idx="158">
                  <c:v>84229</c:v>
                </c:pt>
                <c:pt idx="159">
                  <c:v>84788</c:v>
                </c:pt>
                <c:pt idx="160">
                  <c:v>85194</c:v>
                </c:pt>
                <c:pt idx="161">
                  <c:v>85896</c:v>
                </c:pt>
                <c:pt idx="162">
                  <c:v>86348</c:v>
                </c:pt>
                <c:pt idx="163">
                  <c:v>86424</c:v>
                </c:pt>
                <c:pt idx="164">
                  <c:v>86751</c:v>
                </c:pt>
                <c:pt idx="165">
                  <c:v>87177</c:v>
                </c:pt>
                <c:pt idx="166">
                  <c:v>87550</c:v>
                </c:pt>
                <c:pt idx="167">
                  <c:v>87887</c:v>
                </c:pt>
                <c:pt idx="168">
                  <c:v>88316</c:v>
                </c:pt>
                <c:pt idx="169">
                  <c:v>88707</c:v>
                </c:pt>
                <c:pt idx="170">
                  <c:v>89488</c:v>
                </c:pt>
                <c:pt idx="171">
                  <c:v>89896</c:v>
                </c:pt>
                <c:pt idx="172">
                  <c:v>90290</c:v>
                </c:pt>
                <c:pt idx="173">
                  <c:v>0</c:v>
                </c:pt>
                <c:pt idx="174">
                  <c:v>0</c:v>
                </c:pt>
              </c:numCache>
            </c:numRef>
          </c:cat>
          <c:val>
            <c:numRef>
              <c:f>Analysis!$N$2:$N$176</c:f>
              <c:numCache>
                <c:formatCode>0.00000;[Red]\(0.00000\);\-</c:formatCode>
                <c:ptCount val="175"/>
                <c:pt idx="0">
                  <c:v>2.0822538799591561E-2</c:v>
                </c:pt>
                <c:pt idx="1">
                  <c:v>6.1157159291379673E-2</c:v>
                </c:pt>
                <c:pt idx="2">
                  <c:v>6.2055967232023557E-2</c:v>
                </c:pt>
                <c:pt idx="3">
                  <c:v>9.6564378684048657E-2</c:v>
                </c:pt>
                <c:pt idx="4">
                  <c:v>0.12404061424334759</c:v>
                </c:pt>
                <c:pt idx="5">
                  <c:v>0.10498528230938253</c:v>
                </c:pt>
                <c:pt idx="6">
                  <c:v>0.11246473431369826</c:v>
                </c:pt>
                <c:pt idx="7">
                  <c:v>0.13944670556770186</c:v>
                </c:pt>
                <c:pt idx="8">
                  <c:v>0.16012330455078794</c:v>
                </c:pt>
                <c:pt idx="10">
                  <c:v>0.17456115923416643</c:v>
                </c:pt>
                <c:pt idx="11">
                  <c:v>0.18618113767912919</c:v>
                </c:pt>
                <c:pt idx="12">
                  <c:v>0.21931620094598239</c:v>
                </c:pt>
                <c:pt idx="13">
                  <c:v>0.24852756748714372</c:v>
                </c:pt>
                <c:pt idx="14">
                  <c:v>0.24136687099213974</c:v>
                </c:pt>
                <c:pt idx="15">
                  <c:v>0.26477929369782965</c:v>
                </c:pt>
                <c:pt idx="16">
                  <c:v>0.23550579149779258</c:v>
                </c:pt>
                <c:pt idx="17">
                  <c:v>0.26436159863742603</c:v>
                </c:pt>
                <c:pt idx="18">
                  <c:v>0.28271006624999023</c:v>
                </c:pt>
                <c:pt idx="19">
                  <c:v>0.27622552031451753</c:v>
                </c:pt>
                <c:pt idx="20">
                  <c:v>0.19694353052848873</c:v>
                </c:pt>
                <c:pt idx="21">
                  <c:v>0.2156196919929157</c:v>
                </c:pt>
                <c:pt idx="22">
                  <c:v>0.22327425114998878</c:v>
                </c:pt>
                <c:pt idx="23">
                  <c:v>0.22207258306405872</c:v>
                </c:pt>
                <c:pt idx="24">
                  <c:v>0.25059168700686185</c:v>
                </c:pt>
                <c:pt idx="25">
                  <c:v>0.3076364865800213</c:v>
                </c:pt>
                <c:pt idx="26">
                  <c:v>0.26140099580512732</c:v>
                </c:pt>
                <c:pt idx="27">
                  <c:v>0.33352922508657867</c:v>
                </c:pt>
                <c:pt idx="28">
                  <c:v>0.37950105237352449</c:v>
                </c:pt>
                <c:pt idx="29">
                  <c:v>0.37078081726825907</c:v>
                </c:pt>
                <c:pt idx="30">
                  <c:v>0.3669180350285543</c:v>
                </c:pt>
                <c:pt idx="31">
                  <c:v>0.36125783373793974</c:v>
                </c:pt>
                <c:pt idx="32">
                  <c:v>0.36629174389918945</c:v>
                </c:pt>
                <c:pt idx="33">
                  <c:v>0.37889391417724677</c:v>
                </c:pt>
                <c:pt idx="34">
                  <c:v>0.37444046607337456</c:v>
                </c:pt>
                <c:pt idx="35">
                  <c:v>0.37157092214298815</c:v>
                </c:pt>
                <c:pt idx="36">
                  <c:v>0.38465968226993824</c:v>
                </c:pt>
                <c:pt idx="37">
                  <c:v>0.31130821511592305</c:v>
                </c:pt>
                <c:pt idx="38">
                  <c:v>0.32386596009268631</c:v>
                </c:pt>
                <c:pt idx="39">
                  <c:v>0.3650816461287546</c:v>
                </c:pt>
                <c:pt idx="40">
                  <c:v>0.3392986434940331</c:v>
                </c:pt>
                <c:pt idx="41">
                  <c:v>0.36878933913144069</c:v>
                </c:pt>
                <c:pt idx="42">
                  <c:v>0.44397670765181285</c:v>
                </c:pt>
                <c:pt idx="43">
                  <c:v>0.45201690192229427</c:v>
                </c:pt>
                <c:pt idx="44">
                  <c:v>0.46278079037186232</c:v>
                </c:pt>
                <c:pt idx="45">
                  <c:v>0.45377303926369245</c:v>
                </c:pt>
                <c:pt idx="46">
                  <c:v>0.43177770721479813</c:v>
                </c:pt>
                <c:pt idx="47">
                  <c:v>0.46656030225066059</c:v>
                </c:pt>
                <c:pt idx="48">
                  <c:v>0.48527559906939588</c:v>
                </c:pt>
                <c:pt idx="49">
                  <c:v>0.48705458399430401</c:v>
                </c:pt>
                <c:pt idx="50">
                  <c:v>0.51868676697657334</c:v>
                </c:pt>
                <c:pt idx="51">
                  <c:v>0.52725613668375393</c:v>
                </c:pt>
                <c:pt idx="52">
                  <c:v>0.50515578968078612</c:v>
                </c:pt>
                <c:pt idx="53">
                  <c:v>0.51973914596320103</c:v>
                </c:pt>
                <c:pt idx="54">
                  <c:v>0.50105462853486638</c:v>
                </c:pt>
                <c:pt idx="55">
                  <c:v>0.50170170913662282</c:v>
                </c:pt>
                <c:pt idx="56">
                  <c:v>0.4815312538908007</c:v>
                </c:pt>
                <c:pt idx="57">
                  <c:v>0.50430636587058564</c:v>
                </c:pt>
                <c:pt idx="58">
                  <c:v>0.50649590365916775</c:v>
                </c:pt>
                <c:pt idx="59">
                  <c:v>0.54517517711520536</c:v>
                </c:pt>
                <c:pt idx="60">
                  <c:v>0.48464311677557637</c:v>
                </c:pt>
                <c:pt idx="61">
                  <c:v>0.51955552384516035</c:v>
                </c:pt>
                <c:pt idx="62">
                  <c:v>0.42836370141826563</c:v>
                </c:pt>
                <c:pt idx="63">
                  <c:v>0.46060808543040332</c:v>
                </c:pt>
                <c:pt idx="64">
                  <c:v>0.43983143289638982</c:v>
                </c:pt>
                <c:pt idx="65">
                  <c:v>0.39911733941606853</c:v>
                </c:pt>
                <c:pt idx="66">
                  <c:v>0.40402510999868846</c:v>
                </c:pt>
                <c:pt idx="67">
                  <c:v>0.4175884607449829</c:v>
                </c:pt>
                <c:pt idx="68">
                  <c:v>0.47307467921269403</c:v>
                </c:pt>
                <c:pt idx="69">
                  <c:v>0.50415053503059692</c:v>
                </c:pt>
                <c:pt idx="70">
                  <c:v>0.51313754286133217</c:v>
                </c:pt>
                <c:pt idx="71">
                  <c:v>0.49277045953969589</c:v>
                </c:pt>
                <c:pt idx="72">
                  <c:v>0.52641774433022159</c:v>
                </c:pt>
                <c:pt idx="73">
                  <c:v>0.50200288853040576</c:v>
                </c:pt>
                <c:pt idx="74">
                  <c:v>0.43557048675128551</c:v>
                </c:pt>
                <c:pt idx="75">
                  <c:v>0.42886175637904977</c:v>
                </c:pt>
                <c:pt idx="76">
                  <c:v>0.38859163842394284</c:v>
                </c:pt>
                <c:pt idx="77">
                  <c:v>0.5816597303701293</c:v>
                </c:pt>
                <c:pt idx="78">
                  <c:v>0.60465311520325593</c:v>
                </c:pt>
                <c:pt idx="79">
                  <c:v>0.60402925073369129</c:v>
                </c:pt>
                <c:pt idx="80">
                  <c:v>0.90714890881751464</c:v>
                </c:pt>
                <c:pt idx="81">
                  <c:v>0.9345355740507465</c:v>
                </c:pt>
                <c:pt idx="82">
                  <c:v>0.96107972208145631</c:v>
                </c:pt>
                <c:pt idx="83">
                  <c:v>0.97784857746711906</c:v>
                </c:pt>
                <c:pt idx="84">
                  <c:v>1.0111104176929897</c:v>
                </c:pt>
                <c:pt idx="85">
                  <c:v>1.0241743760104349</c:v>
                </c:pt>
                <c:pt idx="86">
                  <c:v>1.0073040053340248</c:v>
                </c:pt>
                <c:pt idx="87">
                  <c:v>1.0194302850163883</c:v>
                </c:pt>
                <c:pt idx="88">
                  <c:v>1.0238570392043158</c:v>
                </c:pt>
                <c:pt idx="89">
                  <c:v>1.0468887163467766</c:v>
                </c:pt>
                <c:pt idx="90">
                  <c:v>1.0544203645910093</c:v>
                </c:pt>
                <c:pt idx="91">
                  <c:v>1.0916045453614931</c:v>
                </c:pt>
                <c:pt idx="92">
                  <c:v>1.0983659246307131</c:v>
                </c:pt>
                <c:pt idx="93">
                  <c:v>1.1068839958254049</c:v>
                </c:pt>
                <c:pt idx="94">
                  <c:v>1.1298939029440107</c:v>
                </c:pt>
                <c:pt idx="95">
                  <c:v>1.1026340584966052</c:v>
                </c:pt>
                <c:pt idx="96">
                  <c:v>1.1160387783705605</c:v>
                </c:pt>
                <c:pt idx="97">
                  <c:v>1.1305806733284489</c:v>
                </c:pt>
                <c:pt idx="98">
                  <c:v>1.1986738835909083</c:v>
                </c:pt>
                <c:pt idx="99">
                  <c:v>1.2247849011355634</c:v>
                </c:pt>
                <c:pt idx="100">
                  <c:v>1.2929125592366626</c:v>
                </c:pt>
                <c:pt idx="101">
                  <c:v>1.3078102635738564</c:v>
                </c:pt>
                <c:pt idx="102">
                  <c:v>1.4166807024467287</c:v>
                </c:pt>
                <c:pt idx="103">
                  <c:v>1.4488088066728648</c:v>
                </c:pt>
                <c:pt idx="104">
                  <c:v>1.4472256411266198</c:v>
                </c:pt>
                <c:pt idx="105">
                  <c:v>1.4746219860639302</c:v>
                </c:pt>
                <c:pt idx="106">
                  <c:v>1.4424769290269805</c:v>
                </c:pt>
                <c:pt idx="107">
                  <c:v>1.4889220074797145</c:v>
                </c:pt>
                <c:pt idx="108">
                  <c:v>1.5026064083509172</c:v>
                </c:pt>
                <c:pt idx="109">
                  <c:v>1.4916939277071108</c:v>
                </c:pt>
                <c:pt idx="110">
                  <c:v>1.5180473259974816</c:v>
                </c:pt>
                <c:pt idx="111">
                  <c:v>1.5245919866913986</c:v>
                </c:pt>
                <c:pt idx="112">
                  <c:v>1.4814107101226206</c:v>
                </c:pt>
                <c:pt idx="113">
                  <c:v>1.5731493795174982</c:v>
                </c:pt>
                <c:pt idx="114">
                  <c:v>1.6518044488887207</c:v>
                </c:pt>
                <c:pt idx="115">
                  <c:v>1.7495983742188961</c:v>
                </c:pt>
                <c:pt idx="116">
                  <c:v>1.7625661111521891</c:v>
                </c:pt>
                <c:pt idx="117">
                  <c:v>1.7752017968626923</c:v>
                </c:pt>
                <c:pt idx="118">
                  <c:v>1.7772229749100599</c:v>
                </c:pt>
                <c:pt idx="119">
                  <c:v>1.8202631918551986</c:v>
                </c:pt>
                <c:pt idx="120">
                  <c:v>1.8408636891123775</c:v>
                </c:pt>
                <c:pt idx="121">
                  <c:v>1.8757613522041063</c:v>
                </c:pt>
                <c:pt idx="122">
                  <c:v>1.8635025307934507</c:v>
                </c:pt>
                <c:pt idx="123">
                  <c:v>1.9000595131874045</c:v>
                </c:pt>
                <c:pt idx="124">
                  <c:v>1.9041974079296478</c:v>
                </c:pt>
                <c:pt idx="125">
                  <c:v>1.9430248560861234</c:v>
                </c:pt>
                <c:pt idx="126">
                  <c:v>1.9635706320388926</c:v>
                </c:pt>
                <c:pt idx="127">
                  <c:v>2.0104339064174135</c:v>
                </c:pt>
                <c:pt idx="128">
                  <c:v>2.0094194430018479</c:v>
                </c:pt>
                <c:pt idx="129">
                  <c:v>2.0514804711667685</c:v>
                </c:pt>
                <c:pt idx="130">
                  <c:v>2.0563623732740064</c:v>
                </c:pt>
                <c:pt idx="131">
                  <c:v>2.0677496703789866</c:v>
                </c:pt>
                <c:pt idx="132">
                  <c:v>2.1929229527718173</c:v>
                </c:pt>
                <c:pt idx="133">
                  <c:v>2.2019707245421438</c:v>
                </c:pt>
                <c:pt idx="134">
                  <c:v>2.1980493465129154</c:v>
                </c:pt>
                <c:pt idx="135">
                  <c:v>2.191449718686965</c:v>
                </c:pt>
                <c:pt idx="136">
                  <c:v>2.2966794040731155</c:v>
                </c:pt>
                <c:pt idx="137">
                  <c:v>2.3495005672629254</c:v>
                </c:pt>
                <c:pt idx="138">
                  <c:v>2.3804436057610583</c:v>
                </c:pt>
                <c:pt idx="139">
                  <c:v>2.4214811471570417</c:v>
                </c:pt>
                <c:pt idx="140">
                  <c:v>2.4431657908097582</c:v>
                </c:pt>
                <c:pt idx="141">
                  <c:v>2.4742364571625823</c:v>
                </c:pt>
                <c:pt idx="142">
                  <c:v>2.4774255223025543</c:v>
                </c:pt>
                <c:pt idx="143">
                  <c:v>2.5546475815399243</c:v>
                </c:pt>
                <c:pt idx="144">
                  <c:v>2.5813811393886792</c:v>
                </c:pt>
                <c:pt idx="145">
                  <c:v>2.5911588628964926</c:v>
                </c:pt>
                <c:pt idx="146">
                  <c:v>2.5874056359724706</c:v>
                </c:pt>
                <c:pt idx="147">
                  <c:v>2.7235304933953421</c:v>
                </c:pt>
                <c:pt idx="148">
                  <c:v>2.7641511021203833</c:v>
                </c:pt>
                <c:pt idx="149">
                  <c:v>2.7847405747155936</c:v>
                </c:pt>
                <c:pt idx="150">
                  <c:v>2.9044011953102586</c:v>
                </c:pt>
                <c:pt idx="151">
                  <c:v>2.9504486119898932</c:v>
                </c:pt>
                <c:pt idx="152">
                  <c:v>2.9222947595559945</c:v>
                </c:pt>
                <c:pt idx="153">
                  <c:v>2.9217365221825209</c:v>
                </c:pt>
                <c:pt idx="154">
                  <c:v>2.9482965952749134</c:v>
                </c:pt>
                <c:pt idx="155">
                  <c:v>2.9607944735022151</c:v>
                </c:pt>
                <c:pt idx="156">
                  <c:v>2.9321518118461558</c:v>
                </c:pt>
                <c:pt idx="157">
                  <c:v>2.909336022929315</c:v>
                </c:pt>
                <c:pt idx="158">
                  <c:v>2.9101650505879033</c:v>
                </c:pt>
                <c:pt idx="159">
                  <c:v>2.8858960615664127</c:v>
                </c:pt>
                <c:pt idx="160">
                  <c:v>2.8742782312217514</c:v>
                </c:pt>
                <c:pt idx="161">
                  <c:v>2.8577655687001076</c:v>
                </c:pt>
                <c:pt idx="162">
                  <c:v>2.869727831168519</c:v>
                </c:pt>
                <c:pt idx="163">
                  <c:v>2.8445958327055259</c:v>
                </c:pt>
                <c:pt idx="164">
                  <c:v>2.8991451149119962</c:v>
                </c:pt>
                <c:pt idx="165">
                  <c:v>2.8185444281780736</c:v>
                </c:pt>
                <c:pt idx="166">
                  <c:v>2.7741307871408285</c:v>
                </c:pt>
                <c:pt idx="167">
                  <c:v>2.7825489862194912</c:v>
                </c:pt>
                <c:pt idx="168">
                  <c:v>2.8411531948333058</c:v>
                </c:pt>
                <c:pt idx="169">
                  <c:v>2.8840491929365362</c:v>
                </c:pt>
                <c:pt idx="170">
                  <c:v>2.9395906420000939</c:v>
                </c:pt>
                <c:pt idx="171">
                  <c:v>2.9224624351353135</c:v>
                </c:pt>
                <c:pt idx="172">
                  <c:v>2.8531147547744116</c:v>
                </c:pt>
                <c:pt idx="173">
                  <c:v>2.8531147547744116</c:v>
                </c:pt>
                <c:pt idx="174">
                  <c:v>2.8531147547744116</c:v>
                </c:pt>
              </c:numCache>
            </c:numRef>
          </c:val>
          <c:smooth val="0"/>
          <c:extLst>
            <c:ext xmlns:c16="http://schemas.microsoft.com/office/drawing/2014/chart" uri="{C3380CC4-5D6E-409C-BE32-E72D297353CC}">
              <c16:uniqueId val="{00000001-6E85-4153-B065-407CD9A38C19}"/>
            </c:ext>
          </c:extLst>
        </c:ser>
        <c:ser>
          <c:idx val="2"/>
          <c:order val="2"/>
          <c:tx>
            <c:v>Cumulative Net PnL</c:v>
          </c:tx>
          <c:spPr>
            <a:ln>
              <a:prstDash val="solid"/>
            </a:ln>
          </c:spPr>
          <c:marker>
            <c:symbol val="none"/>
          </c:marker>
          <c:cat>
            <c:numRef>
              <c:f>Analysis!$L$2:$L$176</c:f>
              <c:numCache>
                <c:formatCode>0</c:formatCode>
                <c:ptCount val="175"/>
                <c:pt idx="0">
                  <c:v>24214</c:v>
                </c:pt>
                <c:pt idx="1">
                  <c:v>24606</c:v>
                </c:pt>
                <c:pt idx="2">
                  <c:v>24848</c:v>
                </c:pt>
                <c:pt idx="3">
                  <c:v>24996</c:v>
                </c:pt>
                <c:pt idx="4">
                  <c:v>25392</c:v>
                </c:pt>
                <c:pt idx="5">
                  <c:v>25731</c:v>
                </c:pt>
                <c:pt idx="6">
                  <c:v>25758</c:v>
                </c:pt>
                <c:pt idx="7">
                  <c:v>26942</c:v>
                </c:pt>
                <c:pt idx="8">
                  <c:v>27332</c:v>
                </c:pt>
                <c:pt idx="10">
                  <c:v>27725</c:v>
                </c:pt>
                <c:pt idx="11">
                  <c:v>27924</c:v>
                </c:pt>
                <c:pt idx="12">
                  <c:v>28504</c:v>
                </c:pt>
                <c:pt idx="13">
                  <c:v>28639</c:v>
                </c:pt>
                <c:pt idx="14">
                  <c:v>28735</c:v>
                </c:pt>
                <c:pt idx="15">
                  <c:v>29599</c:v>
                </c:pt>
                <c:pt idx="16">
                  <c:v>29691</c:v>
                </c:pt>
                <c:pt idx="17">
                  <c:v>30065</c:v>
                </c:pt>
                <c:pt idx="18">
                  <c:v>31227</c:v>
                </c:pt>
                <c:pt idx="19">
                  <c:v>31824</c:v>
                </c:pt>
                <c:pt idx="20">
                  <c:v>32055</c:v>
                </c:pt>
                <c:pt idx="21">
                  <c:v>32218</c:v>
                </c:pt>
                <c:pt idx="22">
                  <c:v>32631</c:v>
                </c:pt>
                <c:pt idx="23">
                  <c:v>33015</c:v>
                </c:pt>
                <c:pt idx="24">
                  <c:v>34564</c:v>
                </c:pt>
                <c:pt idx="25">
                  <c:v>35310</c:v>
                </c:pt>
                <c:pt idx="26">
                  <c:v>35725</c:v>
                </c:pt>
                <c:pt idx="27">
                  <c:v>36516</c:v>
                </c:pt>
                <c:pt idx="28">
                  <c:v>37315</c:v>
                </c:pt>
                <c:pt idx="29">
                  <c:v>37701</c:v>
                </c:pt>
                <c:pt idx="30">
                  <c:v>38206</c:v>
                </c:pt>
                <c:pt idx="31">
                  <c:v>38333</c:v>
                </c:pt>
                <c:pt idx="32">
                  <c:v>38674</c:v>
                </c:pt>
                <c:pt idx="33">
                  <c:v>39068</c:v>
                </c:pt>
                <c:pt idx="34">
                  <c:v>39472</c:v>
                </c:pt>
                <c:pt idx="35">
                  <c:v>39624</c:v>
                </c:pt>
                <c:pt idx="36">
                  <c:v>39854</c:v>
                </c:pt>
                <c:pt idx="37">
                  <c:v>41036</c:v>
                </c:pt>
                <c:pt idx="38">
                  <c:v>41209</c:v>
                </c:pt>
                <c:pt idx="39">
                  <c:v>41414</c:v>
                </c:pt>
                <c:pt idx="40">
                  <c:v>41825</c:v>
                </c:pt>
                <c:pt idx="41">
                  <c:v>42181</c:v>
                </c:pt>
                <c:pt idx="42">
                  <c:v>42965</c:v>
                </c:pt>
                <c:pt idx="43">
                  <c:v>43338</c:v>
                </c:pt>
                <c:pt idx="44">
                  <c:v>43524</c:v>
                </c:pt>
                <c:pt idx="45">
                  <c:v>43755</c:v>
                </c:pt>
                <c:pt idx="46">
                  <c:v>44024</c:v>
                </c:pt>
                <c:pt idx="47">
                  <c:v>44544</c:v>
                </c:pt>
                <c:pt idx="48">
                  <c:v>44948</c:v>
                </c:pt>
                <c:pt idx="49">
                  <c:v>45534</c:v>
                </c:pt>
                <c:pt idx="50">
                  <c:v>45725</c:v>
                </c:pt>
                <c:pt idx="51">
                  <c:v>45815</c:v>
                </c:pt>
                <c:pt idx="52">
                  <c:v>46118</c:v>
                </c:pt>
                <c:pt idx="53">
                  <c:v>46496</c:v>
                </c:pt>
                <c:pt idx="54">
                  <c:v>47299</c:v>
                </c:pt>
                <c:pt idx="55">
                  <c:v>47424</c:v>
                </c:pt>
                <c:pt idx="56">
                  <c:v>47667</c:v>
                </c:pt>
                <c:pt idx="57">
                  <c:v>47973</c:v>
                </c:pt>
                <c:pt idx="58">
                  <c:v>48243</c:v>
                </c:pt>
                <c:pt idx="59">
                  <c:v>48835</c:v>
                </c:pt>
                <c:pt idx="60">
                  <c:v>49254</c:v>
                </c:pt>
                <c:pt idx="61">
                  <c:v>49618</c:v>
                </c:pt>
                <c:pt idx="62">
                  <c:v>50031</c:v>
                </c:pt>
                <c:pt idx="63">
                  <c:v>50395</c:v>
                </c:pt>
                <c:pt idx="64">
                  <c:v>50810</c:v>
                </c:pt>
                <c:pt idx="65">
                  <c:v>51195</c:v>
                </c:pt>
                <c:pt idx="66">
                  <c:v>51324</c:v>
                </c:pt>
                <c:pt idx="67">
                  <c:v>51579</c:v>
                </c:pt>
                <c:pt idx="68">
                  <c:v>52356</c:v>
                </c:pt>
                <c:pt idx="69">
                  <c:v>53145</c:v>
                </c:pt>
                <c:pt idx="70">
                  <c:v>53383</c:v>
                </c:pt>
                <c:pt idx="71">
                  <c:v>53535</c:v>
                </c:pt>
                <c:pt idx="72">
                  <c:v>53791</c:v>
                </c:pt>
                <c:pt idx="73">
                  <c:v>53929</c:v>
                </c:pt>
                <c:pt idx="74">
                  <c:v>54324</c:v>
                </c:pt>
                <c:pt idx="75">
                  <c:v>55224</c:v>
                </c:pt>
                <c:pt idx="76">
                  <c:v>55503</c:v>
                </c:pt>
                <c:pt idx="77">
                  <c:v>56250</c:v>
                </c:pt>
                <c:pt idx="78">
                  <c:v>56647</c:v>
                </c:pt>
                <c:pt idx="79">
                  <c:v>57049</c:v>
                </c:pt>
                <c:pt idx="80">
                  <c:v>57428</c:v>
                </c:pt>
                <c:pt idx="81">
                  <c:v>57831</c:v>
                </c:pt>
                <c:pt idx="82">
                  <c:v>58222</c:v>
                </c:pt>
                <c:pt idx="83">
                  <c:v>58490</c:v>
                </c:pt>
                <c:pt idx="84">
                  <c:v>58607</c:v>
                </c:pt>
                <c:pt idx="85">
                  <c:v>59003</c:v>
                </c:pt>
                <c:pt idx="86">
                  <c:v>59124</c:v>
                </c:pt>
                <c:pt idx="87">
                  <c:v>60167</c:v>
                </c:pt>
                <c:pt idx="88">
                  <c:v>60519</c:v>
                </c:pt>
                <c:pt idx="89">
                  <c:v>60566</c:v>
                </c:pt>
                <c:pt idx="90">
                  <c:v>61358</c:v>
                </c:pt>
                <c:pt idx="91">
                  <c:v>61737</c:v>
                </c:pt>
                <c:pt idx="92">
                  <c:v>62130</c:v>
                </c:pt>
                <c:pt idx="93">
                  <c:v>62597</c:v>
                </c:pt>
                <c:pt idx="94">
                  <c:v>62907</c:v>
                </c:pt>
                <c:pt idx="95">
                  <c:v>63024</c:v>
                </c:pt>
                <c:pt idx="96">
                  <c:v>63289</c:v>
                </c:pt>
                <c:pt idx="97">
                  <c:v>63477</c:v>
                </c:pt>
                <c:pt idx="98">
                  <c:v>63678</c:v>
                </c:pt>
                <c:pt idx="99">
                  <c:v>64258</c:v>
                </c:pt>
                <c:pt idx="100">
                  <c:v>64468</c:v>
                </c:pt>
                <c:pt idx="101">
                  <c:v>64726</c:v>
                </c:pt>
                <c:pt idx="102">
                  <c:v>64850</c:v>
                </c:pt>
                <c:pt idx="103">
                  <c:v>65251</c:v>
                </c:pt>
                <c:pt idx="104">
                  <c:v>65806</c:v>
                </c:pt>
                <c:pt idx="105">
                  <c:v>65877</c:v>
                </c:pt>
                <c:pt idx="106">
                  <c:v>66028</c:v>
                </c:pt>
                <c:pt idx="107">
                  <c:v>66409</c:v>
                </c:pt>
                <c:pt idx="108">
                  <c:v>66551</c:v>
                </c:pt>
                <c:pt idx="109">
                  <c:v>66924</c:v>
                </c:pt>
                <c:pt idx="110">
                  <c:v>67203</c:v>
                </c:pt>
                <c:pt idx="111">
                  <c:v>67528</c:v>
                </c:pt>
                <c:pt idx="112">
                  <c:v>67621</c:v>
                </c:pt>
                <c:pt idx="113">
                  <c:v>68021</c:v>
                </c:pt>
                <c:pt idx="114">
                  <c:v>68392</c:v>
                </c:pt>
                <c:pt idx="115">
                  <c:v>68774</c:v>
                </c:pt>
                <c:pt idx="116">
                  <c:v>69319</c:v>
                </c:pt>
                <c:pt idx="117">
                  <c:v>69400</c:v>
                </c:pt>
                <c:pt idx="118">
                  <c:v>69518</c:v>
                </c:pt>
                <c:pt idx="119">
                  <c:v>69561</c:v>
                </c:pt>
                <c:pt idx="120">
                  <c:v>70554</c:v>
                </c:pt>
                <c:pt idx="121">
                  <c:v>70735</c:v>
                </c:pt>
                <c:pt idx="122">
                  <c:v>70824</c:v>
                </c:pt>
                <c:pt idx="123">
                  <c:v>71121</c:v>
                </c:pt>
                <c:pt idx="124">
                  <c:v>71516</c:v>
                </c:pt>
                <c:pt idx="125">
                  <c:v>71897</c:v>
                </c:pt>
                <c:pt idx="126">
                  <c:v>72060</c:v>
                </c:pt>
                <c:pt idx="127">
                  <c:v>72292</c:v>
                </c:pt>
                <c:pt idx="128">
                  <c:v>72578</c:v>
                </c:pt>
                <c:pt idx="129">
                  <c:v>72680</c:v>
                </c:pt>
                <c:pt idx="130">
                  <c:v>73088</c:v>
                </c:pt>
                <c:pt idx="131">
                  <c:v>73766</c:v>
                </c:pt>
                <c:pt idx="132">
                  <c:v>73858</c:v>
                </c:pt>
                <c:pt idx="133">
                  <c:v>74724</c:v>
                </c:pt>
                <c:pt idx="134">
                  <c:v>75628</c:v>
                </c:pt>
                <c:pt idx="135">
                  <c:v>75823</c:v>
                </c:pt>
                <c:pt idx="136">
                  <c:v>76211</c:v>
                </c:pt>
                <c:pt idx="137">
                  <c:v>76588</c:v>
                </c:pt>
                <c:pt idx="138">
                  <c:v>77307</c:v>
                </c:pt>
                <c:pt idx="139">
                  <c:v>77370</c:v>
                </c:pt>
                <c:pt idx="140">
                  <c:v>77763</c:v>
                </c:pt>
                <c:pt idx="141">
                  <c:v>78146</c:v>
                </c:pt>
                <c:pt idx="142">
                  <c:v>78625</c:v>
                </c:pt>
                <c:pt idx="143">
                  <c:v>78927</c:v>
                </c:pt>
                <c:pt idx="144">
                  <c:v>79321</c:v>
                </c:pt>
                <c:pt idx="145">
                  <c:v>79680</c:v>
                </c:pt>
                <c:pt idx="146">
                  <c:v>80113</c:v>
                </c:pt>
                <c:pt idx="147">
                  <c:v>80490</c:v>
                </c:pt>
                <c:pt idx="148">
                  <c:v>81280</c:v>
                </c:pt>
                <c:pt idx="149">
                  <c:v>81433</c:v>
                </c:pt>
                <c:pt idx="150">
                  <c:v>81663</c:v>
                </c:pt>
                <c:pt idx="151">
                  <c:v>82452</c:v>
                </c:pt>
                <c:pt idx="152">
                  <c:v>82524</c:v>
                </c:pt>
                <c:pt idx="153">
                  <c:v>82792</c:v>
                </c:pt>
                <c:pt idx="154">
                  <c:v>82839</c:v>
                </c:pt>
                <c:pt idx="155">
                  <c:v>83142</c:v>
                </c:pt>
                <c:pt idx="156">
                  <c:v>83676</c:v>
                </c:pt>
                <c:pt idx="157">
                  <c:v>84022</c:v>
                </c:pt>
                <c:pt idx="158">
                  <c:v>84229</c:v>
                </c:pt>
                <c:pt idx="159">
                  <c:v>84788</c:v>
                </c:pt>
                <c:pt idx="160">
                  <c:v>85194</c:v>
                </c:pt>
                <c:pt idx="161">
                  <c:v>85896</c:v>
                </c:pt>
                <c:pt idx="162">
                  <c:v>86348</c:v>
                </c:pt>
                <c:pt idx="163">
                  <c:v>86424</c:v>
                </c:pt>
                <c:pt idx="164">
                  <c:v>86751</c:v>
                </c:pt>
                <c:pt idx="165">
                  <c:v>87177</c:v>
                </c:pt>
                <c:pt idx="166">
                  <c:v>87550</c:v>
                </c:pt>
                <c:pt idx="167">
                  <c:v>87887</c:v>
                </c:pt>
                <c:pt idx="168">
                  <c:v>88316</c:v>
                </c:pt>
                <c:pt idx="169">
                  <c:v>88707</c:v>
                </c:pt>
                <c:pt idx="170">
                  <c:v>89488</c:v>
                </c:pt>
                <c:pt idx="171">
                  <c:v>89896</c:v>
                </c:pt>
                <c:pt idx="172">
                  <c:v>90290</c:v>
                </c:pt>
                <c:pt idx="173">
                  <c:v>0</c:v>
                </c:pt>
                <c:pt idx="174">
                  <c:v>0</c:v>
                </c:pt>
              </c:numCache>
            </c:numRef>
          </c:cat>
          <c:val>
            <c:numRef>
              <c:f>Analysis!$O$2:$O$176</c:f>
              <c:numCache>
                <c:formatCode>0.00000;[Red]\(0.00000\);\-</c:formatCode>
                <c:ptCount val="175"/>
                <c:pt idx="0">
                  <c:v>1.7487745017332121E-2</c:v>
                </c:pt>
                <c:pt idx="1">
                  <c:v>5.4487571726860792E-2</c:v>
                </c:pt>
                <c:pt idx="2">
                  <c:v>5.2051585885245236E-2</c:v>
                </c:pt>
                <c:pt idx="3">
                  <c:v>8.322507052707015E-2</c:v>
                </c:pt>
                <c:pt idx="4">
                  <c:v>0.10736637927616889</c:v>
                </c:pt>
                <c:pt idx="5">
                  <c:v>8.4976253559944398E-2</c:v>
                </c:pt>
                <c:pt idx="6">
                  <c:v>8.9120911782000684E-2</c:v>
                </c:pt>
                <c:pt idx="7">
                  <c:v>0.1127679562258041</c:v>
                </c:pt>
                <c:pt idx="8">
                  <c:v>0.13010976142663072</c:v>
                </c:pt>
                <c:pt idx="10">
                  <c:v>0.14121268929980901</c:v>
                </c:pt>
                <c:pt idx="11">
                  <c:v>0.1495249306621978</c:v>
                </c:pt>
                <c:pt idx="12">
                  <c:v>0.17935225684647702</c:v>
                </c:pt>
                <c:pt idx="13">
                  <c:v>0.20525574786632475</c:v>
                </c:pt>
                <c:pt idx="14">
                  <c:v>0.19478717585000718</c:v>
                </c:pt>
                <c:pt idx="15">
                  <c:v>0.21489186147312311</c:v>
                </c:pt>
                <c:pt idx="16">
                  <c:v>0.18231062219051206</c:v>
                </c:pt>
                <c:pt idx="17">
                  <c:v>0.20785855380883189</c:v>
                </c:pt>
                <c:pt idx="18">
                  <c:v>0.22289914590008247</c:v>
                </c:pt>
                <c:pt idx="19">
                  <c:v>0.21293738353652009</c:v>
                </c:pt>
                <c:pt idx="20">
                  <c:v>0.1301782818895727</c:v>
                </c:pt>
                <c:pt idx="21">
                  <c:v>0.14537722692590996</c:v>
                </c:pt>
                <c:pt idx="22">
                  <c:v>0.14955456965489333</c:v>
                </c:pt>
                <c:pt idx="23">
                  <c:v>0.14487578970804466</c:v>
                </c:pt>
                <c:pt idx="24">
                  <c:v>0.1699177817899292</c:v>
                </c:pt>
                <c:pt idx="25">
                  <c:v>0.22348536493499893</c:v>
                </c:pt>
                <c:pt idx="26">
                  <c:v>0.17377276229918637</c:v>
                </c:pt>
                <c:pt idx="27">
                  <c:v>0.24255003277957204</c:v>
                </c:pt>
                <c:pt idx="28">
                  <c:v>0.28517090126545219</c:v>
                </c:pt>
                <c:pt idx="29">
                  <c:v>0.27309983718034297</c:v>
                </c:pt>
                <c:pt idx="30">
                  <c:v>0.26588622596079442</c:v>
                </c:pt>
                <c:pt idx="31">
                  <c:v>0.25687506586911413</c:v>
                </c:pt>
                <c:pt idx="32">
                  <c:v>0.25855801722929816</c:v>
                </c:pt>
                <c:pt idx="33">
                  <c:v>0.2678093585275117</c:v>
                </c:pt>
                <c:pt idx="34">
                  <c:v>0.26000495162257375</c:v>
                </c:pt>
                <c:pt idx="35">
                  <c:v>0.25382880781519013</c:v>
                </c:pt>
                <c:pt idx="36">
                  <c:v>0.263610968065143</c:v>
                </c:pt>
                <c:pt idx="37">
                  <c:v>0.18695290103413059</c:v>
                </c:pt>
                <c:pt idx="38">
                  <c:v>0.19620404613389664</c:v>
                </c:pt>
                <c:pt idx="39">
                  <c:v>0.23411313229296773</c:v>
                </c:pt>
                <c:pt idx="40">
                  <c:v>0.20502339111509102</c:v>
                </c:pt>
                <c:pt idx="41">
                  <c:v>0.23120734820934341</c:v>
                </c:pt>
                <c:pt idx="42">
                  <c:v>0.30308797818656036</c:v>
                </c:pt>
                <c:pt idx="43">
                  <c:v>0.30782157258004456</c:v>
                </c:pt>
                <c:pt idx="44">
                  <c:v>0.31537154435390197</c:v>
                </c:pt>
                <c:pt idx="45">
                  <c:v>0.30314971936907664</c:v>
                </c:pt>
                <c:pt idx="46">
                  <c:v>0.27794047064447164</c:v>
                </c:pt>
                <c:pt idx="47">
                  <c:v>0.30950914900462345</c:v>
                </c:pt>
                <c:pt idx="48">
                  <c:v>0.32501037194670335</c:v>
                </c:pt>
                <c:pt idx="49">
                  <c:v>0.32357544019590084</c:v>
                </c:pt>
                <c:pt idx="50">
                  <c:v>0.35199370650245942</c:v>
                </c:pt>
                <c:pt idx="51">
                  <c:v>0.35734915953392937</c:v>
                </c:pt>
                <c:pt idx="52">
                  <c:v>0.33203473865430616</c:v>
                </c:pt>
                <c:pt idx="53">
                  <c:v>0.34340417826101038</c:v>
                </c:pt>
                <c:pt idx="54">
                  <c:v>0.32150558695602027</c:v>
                </c:pt>
                <c:pt idx="55">
                  <c:v>0.31805459905957378</c:v>
                </c:pt>
                <c:pt idx="56">
                  <c:v>0.29378609492728719</c:v>
                </c:pt>
                <c:pt idx="57">
                  <c:v>0.31246315802060759</c:v>
                </c:pt>
                <c:pt idx="58">
                  <c:v>0.31055464692272527</c:v>
                </c:pt>
                <c:pt idx="59">
                  <c:v>0.34513585188055995</c:v>
                </c:pt>
                <c:pt idx="60">
                  <c:v>0.28050574265446648</c:v>
                </c:pt>
                <c:pt idx="61">
                  <c:v>0.31132010083758599</c:v>
                </c:pt>
                <c:pt idx="62">
                  <c:v>0.21603020991248834</c:v>
                </c:pt>
                <c:pt idx="63">
                  <c:v>0.24417654503816152</c:v>
                </c:pt>
                <c:pt idx="64">
                  <c:v>0.21930182400594508</c:v>
                </c:pt>
                <c:pt idx="65">
                  <c:v>0.17448966202742083</c:v>
                </c:pt>
                <c:pt idx="66">
                  <c:v>0.17537713661481222</c:v>
                </c:pt>
                <c:pt idx="67">
                  <c:v>0.18492019136587817</c:v>
                </c:pt>
                <c:pt idx="68">
                  <c:v>0.23638611789715391</c:v>
                </c:pt>
                <c:pt idx="69">
                  <c:v>0.26344167771982829</c:v>
                </c:pt>
                <c:pt idx="70">
                  <c:v>0.26840839361412816</c:v>
                </c:pt>
                <c:pt idx="71">
                  <c:v>0.24402101429726333</c:v>
                </c:pt>
                <c:pt idx="72">
                  <c:v>0.27364800309256049</c:v>
                </c:pt>
                <c:pt idx="73">
                  <c:v>0.24521285535630929</c:v>
                </c:pt>
                <c:pt idx="74">
                  <c:v>0.17476015758196051</c:v>
                </c:pt>
                <c:pt idx="75">
                  <c:v>0.16411387760761317</c:v>
                </c:pt>
                <c:pt idx="76">
                  <c:v>0.11990621005039465</c:v>
                </c:pt>
                <c:pt idx="77">
                  <c:v>0.30903675239446954</c:v>
                </c:pt>
                <c:pt idx="78">
                  <c:v>0.32809258762548454</c:v>
                </c:pt>
                <c:pt idx="79">
                  <c:v>0.32353117355380828</c:v>
                </c:pt>
                <c:pt idx="80">
                  <c:v>0.6227132820355199</c:v>
                </c:pt>
                <c:pt idx="81">
                  <c:v>0.64616239766664019</c:v>
                </c:pt>
                <c:pt idx="82">
                  <c:v>0.66876898360640769</c:v>
                </c:pt>
                <c:pt idx="83">
                  <c:v>0.68160027690112812</c:v>
                </c:pt>
                <c:pt idx="84">
                  <c:v>0.7109245675248872</c:v>
                </c:pt>
                <c:pt idx="85">
                  <c:v>0.72005097624022074</c:v>
                </c:pt>
                <c:pt idx="86">
                  <c:v>0.69955174857402525</c:v>
                </c:pt>
                <c:pt idx="87">
                  <c:v>0.70804917126660349</c:v>
                </c:pt>
                <c:pt idx="88">
                  <c:v>0.7088469942435659</c:v>
                </c:pt>
                <c:pt idx="89">
                  <c:v>0.72824974017506161</c:v>
                </c:pt>
                <c:pt idx="90">
                  <c:v>0.73215245720832911</c:v>
                </c:pt>
                <c:pt idx="91">
                  <c:v>0.76570770676784772</c:v>
                </c:pt>
                <c:pt idx="92">
                  <c:v>0.76884015482610257</c:v>
                </c:pt>
                <c:pt idx="93">
                  <c:v>0.77372936903100897</c:v>
                </c:pt>
                <c:pt idx="94">
                  <c:v>0.79311034493864974</c:v>
                </c:pt>
                <c:pt idx="95">
                  <c:v>0.76204211822857792</c:v>
                </c:pt>
                <c:pt idx="96">
                  <c:v>0.77163845583986701</c:v>
                </c:pt>
                <c:pt idx="97">
                  <c:v>0.78237200686246922</c:v>
                </c:pt>
                <c:pt idx="98">
                  <c:v>0.84665687318964244</c:v>
                </c:pt>
                <c:pt idx="99">
                  <c:v>0.86895954679901133</c:v>
                </c:pt>
                <c:pt idx="100">
                  <c:v>0.9332788609648246</c:v>
                </c:pt>
                <c:pt idx="101">
                  <c:v>0.94436818303935222</c:v>
                </c:pt>
                <c:pt idx="102">
                  <c:v>1.0494302396495581</c:v>
                </c:pt>
                <c:pt idx="103">
                  <c:v>1.0777499999404081</c:v>
                </c:pt>
                <c:pt idx="104">
                  <c:v>1.072358490458877</c:v>
                </c:pt>
                <c:pt idx="105">
                  <c:v>1.0959464914609014</c:v>
                </c:pt>
                <c:pt idx="106">
                  <c:v>1.0599930904886656</c:v>
                </c:pt>
                <c:pt idx="107">
                  <c:v>1.1026297866787333</c:v>
                </c:pt>
                <c:pt idx="108">
                  <c:v>1.11250584361465</c:v>
                </c:pt>
                <c:pt idx="109">
                  <c:v>1.0977244357124809</c:v>
                </c:pt>
                <c:pt idx="110">
                  <c:v>1.1202089067444889</c:v>
                </c:pt>
                <c:pt idx="111">
                  <c:v>1.1228846663972134</c:v>
                </c:pt>
                <c:pt idx="112">
                  <c:v>1.0758344625700726</c:v>
                </c:pt>
                <c:pt idx="113">
                  <c:v>1.1637042047065875</c:v>
                </c:pt>
                <c:pt idx="114">
                  <c:v>1.2384903468194473</c:v>
                </c:pt>
                <c:pt idx="115">
                  <c:v>1.3324153711084299</c:v>
                </c:pt>
                <c:pt idx="116">
                  <c:v>1.3415142070005301</c:v>
                </c:pt>
                <c:pt idx="117">
                  <c:v>1.3502809654526706</c:v>
                </c:pt>
                <c:pt idx="118">
                  <c:v>1.3484332162416754</c:v>
                </c:pt>
                <c:pt idx="119">
                  <c:v>1.3876045321456214</c:v>
                </c:pt>
                <c:pt idx="120">
                  <c:v>1.4043361021444374</c:v>
                </c:pt>
                <c:pt idx="121">
                  <c:v>1.4353648641949737</c:v>
                </c:pt>
                <c:pt idx="122">
                  <c:v>1.4192179226139208</c:v>
                </c:pt>
                <c:pt idx="123">
                  <c:v>1.451886807215681</c:v>
                </c:pt>
                <c:pt idx="124">
                  <c:v>1.4521366041657306</c:v>
                </c:pt>
                <c:pt idx="125">
                  <c:v>1.4870759321518088</c:v>
                </c:pt>
                <c:pt idx="126">
                  <c:v>1.5037335879341807</c:v>
                </c:pt>
                <c:pt idx="127">
                  <c:v>1.5467087421423042</c:v>
                </c:pt>
                <c:pt idx="128">
                  <c:v>1.5418061809345449</c:v>
                </c:pt>
                <c:pt idx="129">
                  <c:v>1.5799790889290681</c:v>
                </c:pt>
                <c:pt idx="130">
                  <c:v>1.5809728708659088</c:v>
                </c:pt>
                <c:pt idx="131">
                  <c:v>1.5884720701786954</c:v>
                </c:pt>
                <c:pt idx="132">
                  <c:v>1.7097572547793323</c:v>
                </c:pt>
                <c:pt idx="133">
                  <c:v>1.7148749813358763</c:v>
                </c:pt>
                <c:pt idx="134">
                  <c:v>1.7070235720852223</c:v>
                </c:pt>
                <c:pt idx="135">
                  <c:v>1.6964938990454896</c:v>
                </c:pt>
                <c:pt idx="136">
                  <c:v>1.7977935532102145</c:v>
                </c:pt>
                <c:pt idx="137">
                  <c:v>1.8466846711862424</c:v>
                </c:pt>
                <c:pt idx="138">
                  <c:v>1.8736976784629493</c:v>
                </c:pt>
                <c:pt idx="139">
                  <c:v>1.9108051746451504</c:v>
                </c:pt>
                <c:pt idx="140">
                  <c:v>1.928559787076441</c:v>
                </c:pt>
                <c:pt idx="141">
                  <c:v>1.9557004222078396</c:v>
                </c:pt>
                <c:pt idx="142">
                  <c:v>1.9549229696197643</c:v>
                </c:pt>
                <c:pt idx="143">
                  <c:v>2.0281785178262113</c:v>
                </c:pt>
                <c:pt idx="144">
                  <c:v>2.0509455646440435</c:v>
                </c:pt>
                <c:pt idx="145">
                  <c:v>2.0567567704238097</c:v>
                </c:pt>
                <c:pt idx="146">
                  <c:v>2.0490370324688647</c:v>
                </c:pt>
                <c:pt idx="147">
                  <c:v>2.181195372163689</c:v>
                </c:pt>
                <c:pt idx="148">
                  <c:v>2.2178494698578071</c:v>
                </c:pt>
                <c:pt idx="149">
                  <c:v>2.2344724247249701</c:v>
                </c:pt>
                <c:pt idx="150">
                  <c:v>2.3501665342887121</c:v>
                </c:pt>
                <c:pt idx="151">
                  <c:v>2.3922474399374236</c:v>
                </c:pt>
                <c:pt idx="152">
                  <c:v>2.3606601600906281</c:v>
                </c:pt>
                <c:pt idx="153">
                  <c:v>2.3566683820010708</c:v>
                </c:pt>
                <c:pt idx="154">
                  <c:v>2.3797950276805668</c:v>
                </c:pt>
                <c:pt idx="155">
                  <c:v>2.3888593651917844</c:v>
                </c:pt>
                <c:pt idx="156">
                  <c:v>2.356783162819641</c:v>
                </c:pt>
                <c:pt idx="157">
                  <c:v>2.3305339464899033</c:v>
                </c:pt>
                <c:pt idx="158">
                  <c:v>2.3279294334324074</c:v>
                </c:pt>
                <c:pt idx="159">
                  <c:v>2.3002270169980199</c:v>
                </c:pt>
                <c:pt idx="160">
                  <c:v>2.2851757592404618</c:v>
                </c:pt>
                <c:pt idx="161">
                  <c:v>2.2652296693059211</c:v>
                </c:pt>
                <c:pt idx="162">
                  <c:v>2.2737585043614357</c:v>
                </c:pt>
                <c:pt idx="163">
                  <c:v>2.2442227228120002</c:v>
                </c:pt>
                <c:pt idx="164">
                  <c:v>2.2943681411673351</c:v>
                </c:pt>
                <c:pt idx="165">
                  <c:v>2.2093636713469706</c:v>
                </c:pt>
                <c:pt idx="166">
                  <c:v>2.1605462472232837</c:v>
                </c:pt>
                <c:pt idx="167">
                  <c:v>2.1645605824508105</c:v>
                </c:pt>
                <c:pt idx="168">
                  <c:v>2.2187609272134892</c:v>
                </c:pt>
                <c:pt idx="169">
                  <c:v>2.2572530614655841</c:v>
                </c:pt>
                <c:pt idx="170">
                  <c:v>2.3083907274427</c:v>
                </c:pt>
                <c:pt idx="171">
                  <c:v>2.2868586567267837</c:v>
                </c:pt>
                <c:pt idx="172">
                  <c:v>2.2131071125147459</c:v>
                </c:pt>
                <c:pt idx="173">
                  <c:v>2.2131071125147459</c:v>
                </c:pt>
                <c:pt idx="174">
                  <c:v>2.2131071125147459</c:v>
                </c:pt>
              </c:numCache>
            </c:numRef>
          </c:val>
          <c:smooth val="0"/>
          <c:extLst>
            <c:ext xmlns:c16="http://schemas.microsoft.com/office/drawing/2014/chart" uri="{C3380CC4-5D6E-409C-BE32-E72D297353CC}">
              <c16:uniqueId val="{00000002-6E85-4153-B065-407CD9A38C19}"/>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noFill/>
              <a:prstDash val="dash"/>
            </a:ln>
          </c:spPr>
        </c:majorGridlines>
        <c:title>
          <c:tx>
            <c:rich>
              <a:bodyPr/>
              <a:lstStyle/>
              <a:p>
                <a:r>
                  <a:rPr lang="en-GB"/>
                  <a:t>Exit timestamp</a:t>
                </a:r>
              </a:p>
            </c:rich>
          </c:tx>
          <c:overlay val="0"/>
        </c:title>
        <c:numFmt formatCode="0"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title>
          <c:tx>
            <c:rich>
              <a:bodyPr/>
              <a:lstStyle/>
              <a:p>
                <a:r>
                  <a:rPr lang="en-GB"/>
                  <a:t>Cumulative PnL</a:t>
                </a:r>
              </a:p>
            </c:rich>
          </c:tx>
          <c:overlay val="0"/>
        </c:title>
        <c:numFmt formatCode="0.00000;[Red]\(0.00000\);\-" sourceLinked="1"/>
        <c:majorTickMark val="none"/>
        <c:minorTickMark val="none"/>
        <c:tickLblPos val="nextTo"/>
        <c:crossAx val="48650112"/>
        <c:crosses val="autoZero"/>
        <c:crossBetween val="between"/>
      </c:valAx>
    </c:plotArea>
    <c:legend>
      <c:legendPos val="b"/>
      <c:overlay val="0"/>
    </c:legend>
    <c:plotVisOnly val="0"/>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GB"/>
              <a:t>None</a:t>
            </a:r>
          </a:p>
        </c:rich>
      </c:tx>
      <c:overlay val="0"/>
      <c:spPr>
        <a:noFill/>
        <a:ln>
          <a:noFill/>
          <a:prstDash val="solid"/>
        </a:ln>
      </c:spPr>
    </c:title>
    <c:autoTitleDeleted val="0"/>
    <c:plotArea>
      <c:layout/>
      <c:scatterChart>
        <c:scatterStyle val="lineMarker"/>
        <c:varyColors val="0"/>
        <c:ser>
          <c:idx val="2"/>
          <c:order val="0"/>
          <c:tx>
            <c:strRef>
              <c:f>Analysis!$S$1</c:f>
              <c:strCache>
                <c:ptCount val="1"/>
                <c:pt idx="0">
                  <c:v>Mean Net PnL</c:v>
                </c:pt>
              </c:strCache>
            </c:strRef>
          </c:tx>
          <c:spPr>
            <a:ln w="25400" cap="rnd">
              <a:noFill/>
              <a:prstDash val="solid"/>
              <a:round/>
            </a:ln>
          </c:spPr>
          <c:marker>
            <c:symbol val="circle"/>
            <c:size val="5"/>
            <c:spPr>
              <a:solidFill>
                <a:schemeClr val="accent3"/>
              </a:solidFill>
              <a:ln w="9525">
                <a:solidFill>
                  <a:schemeClr val="accent3"/>
                </a:solidFill>
                <a:prstDash val="solid"/>
              </a:ln>
            </c:spPr>
          </c:marker>
          <c:xVal>
            <c:numRef>
              <c:f>Analysis!$R$2:$R$9653</c:f>
              <c:numCache>
                <c:formatCode>General</c:formatCode>
                <c:ptCount val="9652"/>
                <c:pt idx="0">
                  <c:v>3</c:v>
                </c:pt>
                <c:pt idx="1">
                  <c:v>7</c:v>
                </c:pt>
                <c:pt idx="2">
                  <c:v>11</c:v>
                </c:pt>
                <c:pt idx="3">
                  <c:v>15</c:v>
                </c:pt>
                <c:pt idx="4">
                  <c:v>19</c:v>
                </c:pt>
                <c:pt idx="5">
                  <c:v>23</c:v>
                </c:pt>
                <c:pt idx="6">
                  <c:v>27</c:v>
                </c:pt>
                <c:pt idx="7">
                  <c:v>34</c:v>
                </c:pt>
                <c:pt idx="8">
                  <c:v>40</c:v>
                </c:pt>
                <c:pt idx="10">
                  <c:v>47</c:v>
                </c:pt>
              </c:numCache>
            </c:numRef>
          </c:xVal>
          <c:yVal>
            <c:numRef>
              <c:f>Analysis!$S$2:$S$9653</c:f>
              <c:numCache>
                <c:formatCode>General</c:formatCode>
                <c:ptCount val="9652"/>
                <c:pt idx="0">
                  <c:v>6.5848140539837965E-2</c:v>
                </c:pt>
                <c:pt idx="1">
                  <c:v>3.2396840469536295E-2</c:v>
                </c:pt>
                <c:pt idx="2">
                  <c:v>2.4198473827108456E-2</c:v>
                </c:pt>
                <c:pt idx="3">
                  <c:v>1.9780891200440499E-2</c:v>
                </c:pt>
                <c:pt idx="4">
                  <c:v>-3.8241362997671695E-3</c:v>
                </c:pt>
                <c:pt idx="5">
                  <c:v>-8.0220136551117493E-3</c:v>
                </c:pt>
                <c:pt idx="6">
                  <c:v>-2.2393822732818106E-2</c:v>
                </c:pt>
                <c:pt idx="7">
                  <c:v>-1.6174125643953159E-2</c:v>
                </c:pt>
                <c:pt idx="8">
                  <c:v>-4.5173001067921034E-2</c:v>
                </c:pt>
                <c:pt idx="10">
                  <c:v>-3.2076202372143321E-2</c:v>
                </c:pt>
              </c:numCache>
            </c:numRef>
          </c:yVal>
          <c:smooth val="0"/>
          <c:extLst>
            <c:ext xmlns:c16="http://schemas.microsoft.com/office/drawing/2014/chart" uri="{C3380CC4-5D6E-409C-BE32-E72D297353CC}">
              <c16:uniqueId val="{00000000-95B2-4F6C-BBAE-F7356EF9D39C}"/>
            </c:ext>
          </c:extLst>
        </c:ser>
        <c:dLbls>
          <c:showLegendKey val="0"/>
          <c:showVal val="0"/>
          <c:showCatName val="0"/>
          <c:showSerName val="0"/>
          <c:showPercent val="0"/>
          <c:showBubbleSize val="0"/>
        </c:dLbls>
        <c:axId val="677142816"/>
        <c:axId val="677145216"/>
      </c:scatterChart>
      <c:valAx>
        <c:axId val="677142816"/>
        <c:scaling>
          <c:orientation val="minMax"/>
        </c:scaling>
        <c:delete val="0"/>
        <c:axPos val="b"/>
        <c:majorGridlines>
          <c:spPr>
            <a:ln w="9525" cap="flat" cmpd="sng" algn="ctr">
              <a:solidFill>
                <a:schemeClr val="tx1">
                  <a:lumMod val="15000"/>
                  <a:lumOff val="85000"/>
                </a:schemeClr>
              </a:solidFill>
              <a:prstDash val="solid"/>
              <a:round/>
            </a:ln>
          </c:spPr>
        </c:majorGridlines>
        <c:title>
          <c:tx>
            <c:rich>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GB"/>
                  <a:t>Position Holding</a:t>
                </a:r>
                <a:r>
                  <a:rPr lang="en-GB" baseline="0"/>
                  <a:t> Time</a:t>
                </a:r>
                <a:endParaRPr lang="en-GB"/>
              </a:p>
            </c:rich>
          </c:tx>
          <c:overlay val="0"/>
          <c:spPr>
            <a:noFill/>
            <a:ln>
              <a:noFill/>
              <a:prstDash val="solid"/>
            </a:ln>
          </c:spPr>
        </c:title>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677145216"/>
        <c:crosses val="autoZero"/>
        <c:crossBetween val="midCat"/>
      </c:valAx>
      <c:valAx>
        <c:axId val="677145216"/>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GB"/>
                  <a:t>PnL</a:t>
                </a:r>
              </a:p>
            </c:rich>
          </c:tx>
          <c:overlay val="0"/>
          <c:spPr>
            <a:noFill/>
            <a:ln>
              <a:noFill/>
              <a:prstDash val="solid"/>
            </a:ln>
          </c:spPr>
        </c:title>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677142816"/>
        <c:crosses val="autoZero"/>
        <c:crossBetween val="midCat"/>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385482</xdr:colOff>
      <xdr:row>2</xdr:row>
      <xdr:rowOff>89087</xdr:rowOff>
    </xdr:from>
    <xdr:to>
      <xdr:col>29</xdr:col>
      <xdr:colOff>437030</xdr:colOff>
      <xdr:row>23</xdr:row>
      <xdr:rowOff>174812</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114299</xdr:colOff>
      <xdr:row>28</xdr:row>
      <xdr:rowOff>9525</xdr:rowOff>
    </xdr:from>
    <xdr:to>
      <xdr:col>24</xdr:col>
      <xdr:colOff>161924</xdr:colOff>
      <xdr:row>44</xdr:row>
      <xdr:rowOff>61912</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des"/>
      <sheetName val="Analysis"/>
      <sheetName val="Baseline Analysis"/>
    </sheetNames>
    <sheetDataSet>
      <sheetData sheetId="0">
        <row r="1">
          <cell r="N1" t="str">
            <v>holding_minutes</v>
          </cell>
        </row>
      </sheetData>
      <sheetData sheetId="1">
        <row r="1">
          <cell r="S1" t="str">
            <v>Mean Net PnL</v>
          </cell>
        </row>
      </sheetData>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des"/>
      <sheetName val="Analysis"/>
    </sheetNames>
    <sheetDataSet>
      <sheetData sheetId="0">
        <row r="1">
          <cell r="N1" t="str">
            <v>holding_minutes</v>
          </cell>
        </row>
      </sheetData>
      <sheetData sheetId="1">
        <row r="1">
          <cell r="S1" t="str">
            <v>Mean Net PnL</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E1DCEDF-3026-4273-A4E2-FB26A7CC836A}" name="Table7" displayName="Table7" ref="A1:W173" totalsRowShown="0" headerRowDxfId="0" headerRowBorderDxfId="1" tableBorderDxfId="2">
  <autoFilter ref="A1:W173" xr:uid="{0E1DCEDF-3026-4273-A4E2-FB26A7CC836A}">
    <filterColumn colId="0">
      <filters>
        <filter val="1"/>
      </filters>
    </filterColumn>
  </autoFilter>
  <tableColumns count="23">
    <tableColumn id="1" xr3:uid="{B9811B2A-DE79-423A-9BED-AAD99DD453A9}" name="window_id"/>
    <tableColumn id="2" xr3:uid="{40563EDC-C8AE-405C-9B8D-42F35E474A33}" name="stock1"/>
    <tableColumn id="3" xr3:uid="{147785A3-13B4-466E-BB9B-8672BF658420}" name="stock2"/>
    <tableColumn id="4" xr3:uid="{1ED2D534-6952-4EE9-AED0-7C15A2573ADF}" name="entry_timestamp"/>
    <tableColumn id="5" xr3:uid="{960D8DD7-5315-474A-9171-FF0087A59689}" name="entry_price_1"/>
    <tableColumn id="6" xr3:uid="{E2967EC9-927F-4765-AFC3-21BB65696BB1}" name="entry_price_2"/>
    <tableColumn id="7" xr3:uid="{27FB1A03-419A-48B3-B6E9-155E163439E0}" name="entry_price_1_slipped"/>
    <tableColumn id="8" xr3:uid="{3471729A-0995-4898-9AA6-F99315DD81A0}" name="entry_price_2_slipped"/>
    <tableColumn id="9" xr3:uid="{F6C42729-DCCB-4BCC-BE06-80DCAE9392D9}" name="entry_zscore"/>
    <tableColumn id="10" xr3:uid="{8A83632E-4DC2-4561-8771-E48CEB88107F}" name="hedge_ratio_entry"/>
    <tableColumn id="11" xr3:uid="{F6E5B654-ECED-404E-9E6A-32AA5BC7D704}" name="position_size_1"/>
    <tableColumn id="12" xr3:uid="{BF14E75F-3B4A-4A5B-99E9-60E9724923C9}" name="position_size_2"/>
    <tableColumn id="13" xr3:uid="{E504B1E8-8C22-4C0B-89BC-E2E7E02F0541}" name="direction"/>
    <tableColumn id="14" xr3:uid="{1080B7E1-FB18-4CDF-8184-8EF36698E26A}" name="holding_minutes"/>
    <tableColumn id="15" xr3:uid="{8CE8797B-2F7F-4BF9-8E87-09AC262153D4}" name="exit_reason"/>
    <tableColumn id="16" xr3:uid="{345D92D5-FA36-4082-9896-C6B9B7EB6FEE}" name="exit_timestamp"/>
    <tableColumn id="17" xr3:uid="{73DAA3C5-317E-45D3-B42A-FE03ABA95A7A}" name="exit_price_1"/>
    <tableColumn id="18" xr3:uid="{C237EE0F-D8D3-4A4F-86B3-1CAF367B0B0D}" name="exit_price_2"/>
    <tableColumn id="19" xr3:uid="{F7C2C8E4-B198-4B41-846D-4345C56529BA}" name="exit_zscore"/>
    <tableColumn id="20" xr3:uid="{1099A38C-3374-4F41-8E04-42F17098FA0E}" name="gross_pnl"/>
    <tableColumn id="21" xr3:uid="{22D8D52B-099F-49D6-A37C-F297C01F7187}" name="gross_pnl_slipped"/>
    <tableColumn id="22" xr3:uid="{206493D8-531B-452B-9A49-14525D100ABB}" name="transaction_costs"/>
    <tableColumn id="23" xr3:uid="{43507048-B51F-4B29-BE5E-DB9B801D8A92}" name="net_pnl"/>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B4:E11" totalsRowShown="0">
  <autoFilter ref="B4:E11" xr:uid="{00000000-0009-0000-0100-000001000000}"/>
  <tableColumns count="4">
    <tableColumn id="1" xr3:uid="{00000000-0010-0000-0000-000001000000}" name="Column1"/>
    <tableColumn id="2" xr3:uid="{00000000-0010-0000-0000-000002000000}" name="Gross" dataDxfId="5"/>
    <tableColumn id="3" xr3:uid="{00000000-0010-0000-0000-000003000000}" name="Slipped" dataDxfId="4"/>
    <tableColumn id="4" xr3:uid="{00000000-0010-0000-0000-000004000000}" name="Net (Transaction costs)" dataDxfId="3"/>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3" displayName="Table3" ref="B13:C17" totalsRowShown="0">
  <autoFilter ref="B13:C17" xr:uid="{00000000-0009-0000-0100-000002000000}"/>
  <tableColumns count="2">
    <tableColumn id="1" xr3:uid="{00000000-0010-0000-0100-000001000000}" name="Column1"/>
    <tableColumn id="2" xr3:uid="{00000000-0010-0000-0100-000002000000}" name="Column2"/>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4" displayName="Table4" ref="B19:D25" totalsRowShown="0">
  <autoFilter ref="B19:D25" xr:uid="{00000000-0009-0000-0100-000003000000}"/>
  <tableColumns count="3">
    <tableColumn id="1" xr3:uid="{00000000-0010-0000-0200-000001000000}" name="Column1"/>
    <tableColumn id="2" xr3:uid="{00000000-0010-0000-0200-000002000000}" name="Positive"/>
    <tableColumn id="3" xr3:uid="{00000000-0010-0000-0200-000003000000}" name="Negative"/>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5" displayName="Table5" ref="B27:F29" totalsRowShown="0">
  <autoFilter ref="B27:F29" xr:uid="{00000000-0009-0000-0100-000004000000}"/>
  <tableColumns count="5">
    <tableColumn id="1" xr3:uid="{00000000-0010-0000-0300-000001000000}" name="Column1"/>
    <tableColumn id="2" xr3:uid="{00000000-0010-0000-0300-000002000000}" name="Long">
      <calculatedColumnFormula>COUNTIF([1]Trades!M:M,"LONG")</calculatedColumnFormula>
    </tableColumn>
    <tableColumn id="3" xr3:uid="{00000000-0010-0000-0300-000003000000}" name="Short">
      <calculatedColumnFormula>COUNTIF([1]Trades!M:M,"SHORT")</calculatedColumnFormula>
    </tableColumn>
    <tableColumn id="4" xr3:uid="{00000000-0010-0000-0300-000004000000}" name="Signal">
      <calculatedColumnFormula>COUNTIF([1]Trades!O:O,"Signal")</calculatedColumnFormula>
    </tableColumn>
    <tableColumn id="5" xr3:uid="{00000000-0010-0000-0300-000005000000}" name="Forced">
      <calculatedColumnFormula>COUNTIF([1]Trades!O:O,"Forced")</calculatedColumnFormula>
    </tableColum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6" displayName="Table6" ref="B31:D36" totalsRowShown="0">
  <autoFilter ref="B31:D36" xr:uid="{00000000-0009-0000-0100-000005000000}"/>
  <tableColumns count="3">
    <tableColumn id="1" xr3:uid="{00000000-0010-0000-0400-000001000000}" name="min Holding time"/>
    <tableColumn id="2" xr3:uid="{00000000-0010-0000-0400-000002000000}" name="Max Holding time"/>
    <tableColumn id="3" xr3:uid="{00000000-0010-0000-0400-000003000000}" name="Win rate">
      <calculatedColumnFormula>COUNTIFS([2]Trades!N:N,"&gt;="&amp;B32,[2]Trades!N:N,"&lt;="&amp;C32,[2]Trades!T:T,"&gt;0")/(COUNTIFS([2]Trades!N:N,"&gt;="&amp;B32,[2]Trades!N:N,"&lt;="&amp;C32,[2]Trades!T:T,"&gt;0")+COUNTIFS([2]Trades!N:N,"&gt;="&amp;B32,[2]Trades!N:N,"&lt;="&amp;C32,[2]Trades!T:T,"&lt;0"))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73"/>
  <sheetViews>
    <sheetView workbookViewId="0">
      <selection activeCell="B17" sqref="B17"/>
    </sheetView>
  </sheetViews>
  <sheetFormatPr defaultRowHeight="14.4"/>
  <cols>
    <col min="1" max="1" width="12.109375" customWidth="1"/>
    <col min="4" max="4" width="17.33203125" customWidth="1"/>
    <col min="5" max="6" width="14.44140625" customWidth="1"/>
    <col min="7" max="8" width="21.44140625" customWidth="1"/>
    <col min="9" max="9" width="13.5546875" customWidth="1"/>
    <col min="10" max="10" width="18.44140625" customWidth="1"/>
    <col min="11" max="12" width="15.6640625" customWidth="1"/>
    <col min="13" max="13" width="10.33203125" customWidth="1"/>
    <col min="14" max="14" width="17" customWidth="1"/>
    <col min="15" max="15" width="12.5546875" customWidth="1"/>
    <col min="16" max="16" width="15.88671875" customWidth="1"/>
    <col min="17" max="18" width="13" customWidth="1"/>
    <col min="19" max="19" width="12.109375" customWidth="1"/>
    <col min="20" max="20" width="10.88671875" customWidth="1"/>
    <col min="21" max="21" width="17.88671875" customWidth="1"/>
    <col min="22" max="22" width="17.5546875" customWidth="1"/>
    <col min="23" max="23" width="9.33203125" customWidth="1"/>
  </cols>
  <sheetData>
    <row r="1" spans="1:23">
      <c r="A1" s="39" t="s">
        <v>0</v>
      </c>
      <c r="B1" s="39" t="s">
        <v>1</v>
      </c>
      <c r="C1" s="39" t="s">
        <v>2</v>
      </c>
      <c r="D1" s="39" t="s">
        <v>3</v>
      </c>
      <c r="E1" s="39" t="s">
        <v>4</v>
      </c>
      <c r="F1" s="39" t="s">
        <v>5</v>
      </c>
      <c r="G1" s="39" t="s">
        <v>6</v>
      </c>
      <c r="H1" s="39" t="s">
        <v>7</v>
      </c>
      <c r="I1" s="39" t="s">
        <v>8</v>
      </c>
      <c r="J1" s="39" t="s">
        <v>9</v>
      </c>
      <c r="K1" s="39" t="s">
        <v>10</v>
      </c>
      <c r="L1" s="39" t="s">
        <v>11</v>
      </c>
      <c r="M1" s="39" t="s">
        <v>12</v>
      </c>
      <c r="N1" s="39" t="s">
        <v>13</v>
      </c>
      <c r="O1" s="39" t="s">
        <v>14</v>
      </c>
      <c r="P1" s="39" t="s">
        <v>15</v>
      </c>
      <c r="Q1" s="39" t="s">
        <v>16</v>
      </c>
      <c r="R1" s="39" t="s">
        <v>17</v>
      </c>
      <c r="S1" s="39" t="s">
        <v>18</v>
      </c>
      <c r="T1" s="39" t="s">
        <v>19</v>
      </c>
      <c r="U1" s="39" t="s">
        <v>20</v>
      </c>
      <c r="V1" s="39" t="s">
        <v>21</v>
      </c>
      <c r="W1" s="39" t="s">
        <v>22</v>
      </c>
    </row>
    <row r="2" spans="1:23" hidden="1">
      <c r="A2">
        <v>0</v>
      </c>
      <c r="B2" t="s">
        <v>23</v>
      </c>
      <c r="C2" t="s">
        <v>24</v>
      </c>
      <c r="D2">
        <v>24207</v>
      </c>
      <c r="E2">
        <v>306.35500000000002</v>
      </c>
      <c r="F2">
        <v>782.97500000000002</v>
      </c>
      <c r="G2">
        <v>306.3243645</v>
      </c>
      <c r="H2">
        <v>783.05329749999999</v>
      </c>
      <c r="I2">
        <v>3.5945309709117739</v>
      </c>
      <c r="J2">
        <v>0.66743014811490775</v>
      </c>
      <c r="K2">
        <v>-3.2641869726297922E-2</v>
      </c>
      <c r="L2">
        <v>8.5242842761889936E-3</v>
      </c>
      <c r="M2" t="s">
        <v>25</v>
      </c>
      <c r="N2">
        <v>7</v>
      </c>
      <c r="O2" t="s">
        <v>26</v>
      </c>
      <c r="P2">
        <v>24214</v>
      </c>
      <c r="Q2">
        <v>305.61500000000001</v>
      </c>
      <c r="R2">
        <v>782.97500000000002</v>
      </c>
      <c r="S2">
        <v>0.36824447044600628</v>
      </c>
      <c r="T2">
        <v>2.4154983597460759E-2</v>
      </c>
      <c r="U2">
        <v>2.0822538799591561E-2</v>
      </c>
      <c r="V2">
        <v>3.334793782259439E-3</v>
      </c>
      <c r="W2">
        <v>1.7487745017332121E-2</v>
      </c>
    </row>
    <row r="3" spans="1:23" hidden="1">
      <c r="A3">
        <v>0</v>
      </c>
      <c r="B3" t="s">
        <v>23</v>
      </c>
      <c r="C3" t="s">
        <v>24</v>
      </c>
      <c r="D3">
        <v>24601</v>
      </c>
      <c r="E3">
        <v>310.255</v>
      </c>
      <c r="F3">
        <v>784.85</v>
      </c>
      <c r="G3">
        <v>310.2239745</v>
      </c>
      <c r="H3">
        <v>784.92848500000002</v>
      </c>
      <c r="I3">
        <v>3.7200374396416791</v>
      </c>
      <c r="J3">
        <v>0.66743014811490775</v>
      </c>
      <c r="K3">
        <v>-3.2231551465729813E-2</v>
      </c>
      <c r="L3">
        <v>8.5039198332790694E-3</v>
      </c>
      <c r="M3" t="s">
        <v>25</v>
      </c>
      <c r="N3">
        <v>5</v>
      </c>
      <c r="O3" t="s">
        <v>26</v>
      </c>
      <c r="P3">
        <v>24606</v>
      </c>
      <c r="Q3">
        <v>309.23</v>
      </c>
      <c r="R3">
        <v>786.1</v>
      </c>
      <c r="S3">
        <v>0.45860297430085828</v>
      </c>
      <c r="T3">
        <v>4.3667240043971163E-2</v>
      </c>
      <c r="U3">
        <v>4.0334620491788112E-2</v>
      </c>
      <c r="V3">
        <v>3.334793782259439E-3</v>
      </c>
      <c r="W3">
        <v>3.6999826709528671E-2</v>
      </c>
    </row>
    <row r="4" spans="1:23" hidden="1">
      <c r="A4">
        <v>0</v>
      </c>
      <c r="B4" t="s">
        <v>23</v>
      </c>
      <c r="C4" t="s">
        <v>24</v>
      </c>
      <c r="D4">
        <v>24832</v>
      </c>
      <c r="E4">
        <v>309.67</v>
      </c>
      <c r="F4">
        <v>784.45</v>
      </c>
      <c r="G4">
        <v>309.63903299999998</v>
      </c>
      <c r="H4">
        <v>784.52844500000003</v>
      </c>
      <c r="I4">
        <v>3.9794319830467719</v>
      </c>
      <c r="J4">
        <v>0.66743014811490775</v>
      </c>
      <c r="K4">
        <v>-3.2292440339716469E-2</v>
      </c>
      <c r="L4">
        <v>8.5082560789713525E-3</v>
      </c>
      <c r="M4" t="s">
        <v>25</v>
      </c>
      <c r="N4">
        <v>16</v>
      </c>
      <c r="O4" t="s">
        <v>26</v>
      </c>
      <c r="P4">
        <v>24848</v>
      </c>
      <c r="Q4">
        <v>309.315</v>
      </c>
      <c r="R4">
        <v>783.6</v>
      </c>
      <c r="S4">
        <v>0.3857815709424145</v>
      </c>
      <c r="T4">
        <v>4.231798653474091E-3</v>
      </c>
      <c r="U4">
        <v>8.988079406438837E-4</v>
      </c>
      <c r="V4">
        <v>3.334793782259439E-3</v>
      </c>
      <c r="W4">
        <v>-2.4359858416155549E-3</v>
      </c>
    </row>
    <row r="5" spans="1:23" hidden="1">
      <c r="A5">
        <v>0</v>
      </c>
      <c r="B5" t="s">
        <v>23</v>
      </c>
      <c r="C5" t="s">
        <v>24</v>
      </c>
      <c r="D5">
        <v>24987</v>
      </c>
      <c r="E5">
        <v>310.94499999999999</v>
      </c>
      <c r="F5">
        <v>792.31</v>
      </c>
      <c r="G5">
        <v>310.97609449999999</v>
      </c>
      <c r="H5">
        <v>792.23076900000001</v>
      </c>
      <c r="I5">
        <v>-4.4660854829666734</v>
      </c>
      <c r="J5">
        <v>0.66743014811490775</v>
      </c>
      <c r="K5">
        <v>3.2160028300824907E-2</v>
      </c>
      <c r="L5">
        <v>-8.4238511203305246E-3</v>
      </c>
      <c r="M5" t="s">
        <v>27</v>
      </c>
      <c r="N5">
        <v>9</v>
      </c>
      <c r="O5" t="s">
        <v>26</v>
      </c>
      <c r="P5">
        <v>24996</v>
      </c>
      <c r="Q5">
        <v>311.58999999999997</v>
      </c>
      <c r="R5">
        <v>790.28</v>
      </c>
      <c r="S5">
        <v>0.26723450070590632</v>
      </c>
      <c r="T5">
        <v>3.7843636028302208E-2</v>
      </c>
      <c r="U5">
        <v>3.4508411452025108E-2</v>
      </c>
      <c r="V5">
        <v>3.3349268102001932E-3</v>
      </c>
      <c r="W5">
        <v>3.117348464182491E-2</v>
      </c>
    </row>
    <row r="6" spans="1:23" hidden="1">
      <c r="A6">
        <v>0</v>
      </c>
      <c r="B6" t="s">
        <v>23</v>
      </c>
      <c r="C6" t="s">
        <v>24</v>
      </c>
      <c r="D6">
        <v>25380</v>
      </c>
      <c r="E6">
        <v>305.66500000000002</v>
      </c>
      <c r="F6">
        <v>775.68</v>
      </c>
      <c r="G6">
        <v>305.69556649999998</v>
      </c>
      <c r="H6">
        <v>775.60243199999991</v>
      </c>
      <c r="I6">
        <v>-3.6905638528624789</v>
      </c>
      <c r="J6">
        <v>0.66743014811490775</v>
      </c>
      <c r="K6">
        <v>3.2715554610439533E-2</v>
      </c>
      <c r="L6">
        <v>-8.6044521982635604E-3</v>
      </c>
      <c r="M6" t="s">
        <v>27</v>
      </c>
      <c r="N6">
        <v>12</v>
      </c>
      <c r="O6" t="s">
        <v>26</v>
      </c>
      <c r="P6">
        <v>25392</v>
      </c>
      <c r="Q6">
        <v>307.42500000000001</v>
      </c>
      <c r="R6">
        <v>778.79</v>
      </c>
      <c r="S6">
        <v>0.21702581558396941</v>
      </c>
      <c r="T6">
        <v>3.081952977777349E-2</v>
      </c>
      <c r="U6">
        <v>2.7476235559298932E-2</v>
      </c>
      <c r="V6">
        <v>3.3349268102001932E-3</v>
      </c>
      <c r="W6">
        <v>2.4141308749098742E-2</v>
      </c>
    </row>
    <row r="7" spans="1:23" hidden="1">
      <c r="A7">
        <v>0</v>
      </c>
      <c r="B7" t="s">
        <v>23</v>
      </c>
      <c r="C7" t="s">
        <v>24</v>
      </c>
      <c r="D7">
        <v>25694</v>
      </c>
      <c r="E7">
        <v>308.60500000000002</v>
      </c>
      <c r="F7">
        <v>791.07</v>
      </c>
      <c r="G7">
        <v>308.5741395</v>
      </c>
      <c r="H7">
        <v>791.14910700000007</v>
      </c>
      <c r="I7">
        <v>3.628948559961215</v>
      </c>
      <c r="J7">
        <v>0.66743014811490775</v>
      </c>
      <c r="K7">
        <v>-3.2403881985061812E-2</v>
      </c>
      <c r="L7">
        <v>8.4370554832683287E-3</v>
      </c>
      <c r="M7" t="s">
        <v>25</v>
      </c>
      <c r="N7">
        <v>37</v>
      </c>
      <c r="O7" t="s">
        <v>26</v>
      </c>
      <c r="P7">
        <v>25731</v>
      </c>
      <c r="Q7">
        <v>309.33999999999997</v>
      </c>
      <c r="R7">
        <v>792.03</v>
      </c>
      <c r="S7">
        <v>0.2139687807957743</v>
      </c>
      <c r="T7">
        <v>-1.571727999508208E-2</v>
      </c>
      <c r="U7">
        <v>-1.9055331933965049E-2</v>
      </c>
      <c r="V7">
        <v>3.3347937822594382E-3</v>
      </c>
      <c r="W7">
        <v>-2.239012571622449E-2</v>
      </c>
    </row>
    <row r="8" spans="1:23" hidden="1">
      <c r="A8">
        <v>0</v>
      </c>
      <c r="B8" t="s">
        <v>23</v>
      </c>
      <c r="C8" t="s">
        <v>24</v>
      </c>
      <c r="D8">
        <v>25752</v>
      </c>
      <c r="E8">
        <v>310.22000000000003</v>
      </c>
      <c r="F8">
        <v>793.57</v>
      </c>
      <c r="G8">
        <v>310.18897800000002</v>
      </c>
      <c r="H8">
        <v>793.64935700000001</v>
      </c>
      <c r="I8">
        <v>3.5870449807148499</v>
      </c>
      <c r="J8">
        <v>0.66743014811490775</v>
      </c>
      <c r="K8">
        <v>-3.2235187931145638E-2</v>
      </c>
      <c r="L8">
        <v>8.4104760527100031E-3</v>
      </c>
      <c r="M8" t="s">
        <v>25</v>
      </c>
      <c r="N8">
        <v>6</v>
      </c>
      <c r="O8" t="s">
        <v>26</v>
      </c>
      <c r="P8">
        <v>25758</v>
      </c>
      <c r="Q8">
        <v>309.59500000000003</v>
      </c>
      <c r="R8">
        <v>792.46</v>
      </c>
      <c r="S8">
        <v>0.10046320854857881</v>
      </c>
      <c r="T8">
        <v>1.081136403845781E-2</v>
      </c>
      <c r="U8">
        <v>7.4794520043157276E-3</v>
      </c>
      <c r="V8">
        <v>3.334793782259439E-3</v>
      </c>
      <c r="W8">
        <v>4.144658222056289E-3</v>
      </c>
    </row>
    <row r="9" spans="1:23" hidden="1">
      <c r="A9">
        <v>0</v>
      </c>
      <c r="B9" t="s">
        <v>23</v>
      </c>
      <c r="C9" t="s">
        <v>24</v>
      </c>
      <c r="D9">
        <v>26937</v>
      </c>
      <c r="E9">
        <v>316.57</v>
      </c>
      <c r="F9">
        <v>798.58</v>
      </c>
      <c r="G9">
        <v>316.60165699999999</v>
      </c>
      <c r="H9">
        <v>798.5001420000001</v>
      </c>
      <c r="I9">
        <v>-3.6665214631979861</v>
      </c>
      <c r="J9">
        <v>0.66743014811490775</v>
      </c>
      <c r="K9">
        <v>3.1588590201219319E-2</v>
      </c>
      <c r="L9">
        <v>-8.3577117898633538E-3</v>
      </c>
      <c r="M9" t="s">
        <v>27</v>
      </c>
      <c r="N9">
        <v>5</v>
      </c>
      <c r="O9" t="s">
        <v>26</v>
      </c>
      <c r="P9">
        <v>26942</v>
      </c>
      <c r="Q9">
        <v>319.07</v>
      </c>
      <c r="R9">
        <v>804.4</v>
      </c>
      <c r="S9">
        <v>-0.2207053507198746</v>
      </c>
      <c r="T9">
        <v>3.0329592886044109E-2</v>
      </c>
      <c r="U9">
        <v>2.69819712540036E-2</v>
      </c>
      <c r="V9">
        <v>3.3349268102001932E-3</v>
      </c>
      <c r="W9">
        <v>2.364704444380341E-2</v>
      </c>
    </row>
    <row r="10" spans="1:23" hidden="1">
      <c r="A10">
        <v>0</v>
      </c>
      <c r="B10" t="s">
        <v>23</v>
      </c>
      <c r="C10" t="s">
        <v>24</v>
      </c>
      <c r="D10">
        <v>27327</v>
      </c>
      <c r="E10">
        <v>318.78500000000003</v>
      </c>
      <c r="F10">
        <v>801.62</v>
      </c>
      <c r="G10">
        <v>318.75312150000002</v>
      </c>
      <c r="H10">
        <v>801.70016199999998</v>
      </c>
      <c r="I10">
        <v>3.8655946781604049</v>
      </c>
      <c r="J10">
        <v>0.66743014811490775</v>
      </c>
      <c r="K10">
        <v>-3.1369104568910081E-2</v>
      </c>
      <c r="L10">
        <v>8.3260166676842867E-3</v>
      </c>
      <c r="M10" t="s">
        <v>25</v>
      </c>
      <c r="N10">
        <v>5</v>
      </c>
      <c r="O10" t="s">
        <v>26</v>
      </c>
      <c r="P10">
        <v>27332</v>
      </c>
      <c r="Q10">
        <v>316.99</v>
      </c>
      <c r="R10">
        <v>797.74</v>
      </c>
      <c r="S10">
        <v>9.1473394528701013E-2</v>
      </c>
      <c r="T10">
        <v>2.4002598030579091E-2</v>
      </c>
      <c r="U10">
        <v>2.0676598983086079E-2</v>
      </c>
      <c r="V10">
        <v>3.334793782259439E-3</v>
      </c>
      <c r="W10">
        <v>1.7341805200826631E-2</v>
      </c>
    </row>
    <row r="11" spans="1:23" hidden="1">
      <c r="A11">
        <v>0</v>
      </c>
      <c r="B11" t="s">
        <v>23</v>
      </c>
      <c r="C11" t="s">
        <v>24</v>
      </c>
      <c r="D11">
        <v>27717</v>
      </c>
      <c r="E11">
        <v>316.63</v>
      </c>
      <c r="F11">
        <v>816.83</v>
      </c>
      <c r="G11">
        <v>316.66166299999998</v>
      </c>
      <c r="H11">
        <v>816.74831700000004</v>
      </c>
      <c r="I11">
        <v>-4.1191154444316576</v>
      </c>
      <c r="J11">
        <v>0.66743014811490775</v>
      </c>
      <c r="K11">
        <v>3.1582604301550708E-2</v>
      </c>
      <c r="L11">
        <v>-8.1709798625773759E-3</v>
      </c>
      <c r="M11" t="s">
        <v>27</v>
      </c>
      <c r="N11">
        <v>8</v>
      </c>
      <c r="O11" t="s">
        <v>26</v>
      </c>
      <c r="P11">
        <v>27725</v>
      </c>
      <c r="Q11">
        <v>320.43</v>
      </c>
      <c r="R11">
        <v>829.34</v>
      </c>
      <c r="S11">
        <v>-9.1250948730464645E-2</v>
      </c>
      <c r="T11">
        <v>1.7794938265050141E-2</v>
      </c>
      <c r="U11">
        <v>1.4437854683378489E-2</v>
      </c>
      <c r="V11">
        <v>3.3349268102001932E-3</v>
      </c>
      <c r="W11">
        <v>1.1102927873178301E-2</v>
      </c>
    </row>
    <row r="12" spans="1:23">
      <c r="A12">
        <v>1</v>
      </c>
      <c r="B12" t="s">
        <v>23</v>
      </c>
      <c r="C12" t="s">
        <v>24</v>
      </c>
      <c r="D12">
        <v>27901</v>
      </c>
      <c r="E12">
        <v>321.49</v>
      </c>
      <c r="F12">
        <v>832.19</v>
      </c>
      <c r="G12">
        <v>321.45785100000001</v>
      </c>
      <c r="H12">
        <v>832.27321900000004</v>
      </c>
      <c r="I12">
        <v>5.2836492708917744</v>
      </c>
      <c r="J12">
        <v>0.65390315097189344</v>
      </c>
      <c r="K12">
        <v>-3.1105166568166968E-2</v>
      </c>
      <c r="L12">
        <v>7.8576184641955971E-3</v>
      </c>
      <c r="M12" t="s">
        <v>25</v>
      </c>
      <c r="N12">
        <v>23</v>
      </c>
      <c r="O12" t="s">
        <v>26</v>
      </c>
      <c r="P12">
        <v>27924</v>
      </c>
      <c r="Q12">
        <v>321.12</v>
      </c>
      <c r="R12">
        <v>832.625</v>
      </c>
      <c r="S12">
        <v>0.47150670739245332</v>
      </c>
      <c r="T12">
        <v>1.4926975662146579E-2</v>
      </c>
      <c r="U12">
        <v>1.161997844496275E-2</v>
      </c>
      <c r="V12">
        <v>3.3077370825739809E-3</v>
      </c>
      <c r="W12">
        <v>8.3122413623887732E-3</v>
      </c>
    </row>
    <row r="13" spans="1:23">
      <c r="A13">
        <v>1</v>
      </c>
      <c r="B13" t="s">
        <v>23</v>
      </c>
      <c r="C13" t="s">
        <v>24</v>
      </c>
      <c r="D13">
        <v>28497</v>
      </c>
      <c r="E13">
        <v>305.70999999999998</v>
      </c>
      <c r="F13">
        <v>787.29</v>
      </c>
      <c r="G13">
        <v>305.67942900000003</v>
      </c>
      <c r="H13">
        <v>787.36872899999992</v>
      </c>
      <c r="I13">
        <v>3.961248784974861</v>
      </c>
      <c r="J13">
        <v>0.65390315097189344</v>
      </c>
      <c r="K13">
        <v>-3.2710738935592558E-2</v>
      </c>
      <c r="L13">
        <v>8.3057469416846844E-3</v>
      </c>
      <c r="M13" t="s">
        <v>25</v>
      </c>
      <c r="N13">
        <v>7</v>
      </c>
      <c r="O13" t="s">
        <v>26</v>
      </c>
      <c r="P13">
        <v>28504</v>
      </c>
      <c r="Q13">
        <v>304.36500000000001</v>
      </c>
      <c r="R13">
        <v>786.38</v>
      </c>
      <c r="S13">
        <v>3.0918090914119251E-2</v>
      </c>
      <c r="T13">
        <v>3.6437714151438233E-2</v>
      </c>
      <c r="U13">
        <v>3.3135063266853192E-2</v>
      </c>
      <c r="V13">
        <v>3.3077370825739809E-3</v>
      </c>
      <c r="W13">
        <v>2.9827326184279211E-2</v>
      </c>
    </row>
    <row r="14" spans="1:23">
      <c r="A14">
        <v>1</v>
      </c>
      <c r="B14" t="s">
        <v>23</v>
      </c>
      <c r="C14" t="s">
        <v>24</v>
      </c>
      <c r="D14">
        <v>28630</v>
      </c>
      <c r="E14">
        <v>304.8</v>
      </c>
      <c r="F14">
        <v>797.31500000000005</v>
      </c>
      <c r="G14">
        <v>304.83048000000002</v>
      </c>
      <c r="H14">
        <v>797.23526850000007</v>
      </c>
      <c r="I14">
        <v>-3.626108387612347</v>
      </c>
      <c r="J14">
        <v>0.65390315097189344</v>
      </c>
      <c r="K14">
        <v>3.2808398950131233E-2</v>
      </c>
      <c r="L14">
        <v>-8.2013150507878746E-3</v>
      </c>
      <c r="M14" t="s">
        <v>27</v>
      </c>
      <c r="N14">
        <v>9</v>
      </c>
      <c r="O14" t="s">
        <v>26</v>
      </c>
      <c r="P14">
        <v>28639</v>
      </c>
      <c r="Q14">
        <v>305.47000000000003</v>
      </c>
      <c r="R14">
        <v>796.03</v>
      </c>
      <c r="S14">
        <v>0.26313252588381159</v>
      </c>
      <c r="T14">
        <v>3.2520317136851537E-2</v>
      </c>
      <c r="U14">
        <v>2.921136654116133E-2</v>
      </c>
      <c r="V14">
        <v>3.307875521313593E-3</v>
      </c>
      <c r="W14">
        <v>2.5903491019847739E-2</v>
      </c>
    </row>
    <row r="15" spans="1:23">
      <c r="A15">
        <v>1</v>
      </c>
      <c r="B15" t="s">
        <v>23</v>
      </c>
      <c r="C15" t="s">
        <v>24</v>
      </c>
      <c r="D15">
        <v>28708</v>
      </c>
      <c r="E15">
        <v>304.81</v>
      </c>
      <c r="F15">
        <v>797.11</v>
      </c>
      <c r="G15">
        <v>304.84048100000001</v>
      </c>
      <c r="H15">
        <v>797.03028900000004</v>
      </c>
      <c r="I15">
        <v>-3.5560199780060682</v>
      </c>
      <c r="J15">
        <v>0.65390315097189344</v>
      </c>
      <c r="K15">
        <v>3.2807322594403068E-2</v>
      </c>
      <c r="L15">
        <v>-8.2034242572780851E-3</v>
      </c>
      <c r="M15" t="s">
        <v>27</v>
      </c>
      <c r="N15">
        <v>27</v>
      </c>
      <c r="O15" t="s">
        <v>26</v>
      </c>
      <c r="P15">
        <v>28735</v>
      </c>
      <c r="Q15">
        <v>304.57</v>
      </c>
      <c r="R15">
        <v>796.62</v>
      </c>
      <c r="S15">
        <v>0.12160767258253349</v>
      </c>
      <c r="T15">
        <v>-3.8540795365906988E-3</v>
      </c>
      <c r="U15">
        <v>-7.1606964950039851E-3</v>
      </c>
      <c r="V15">
        <v>3.3078755213135922E-3</v>
      </c>
      <c r="W15">
        <v>-1.046857201631758E-2</v>
      </c>
    </row>
    <row r="16" spans="1:23">
      <c r="A16">
        <v>1</v>
      </c>
      <c r="B16" t="s">
        <v>23</v>
      </c>
      <c r="C16" t="s">
        <v>24</v>
      </c>
      <c r="D16">
        <v>29594</v>
      </c>
      <c r="E16">
        <v>301.3</v>
      </c>
      <c r="F16">
        <v>781.25</v>
      </c>
      <c r="G16">
        <v>301.26987000000003</v>
      </c>
      <c r="H16">
        <v>781.328125</v>
      </c>
      <c r="I16">
        <v>3.5359515155939381</v>
      </c>
      <c r="J16">
        <v>0.65390315097189344</v>
      </c>
      <c r="K16">
        <v>-3.3189512114171919E-2</v>
      </c>
      <c r="L16">
        <v>8.369960332440236E-3</v>
      </c>
      <c r="M16" t="s">
        <v>25</v>
      </c>
      <c r="N16">
        <v>5</v>
      </c>
      <c r="O16" t="s">
        <v>26</v>
      </c>
      <c r="P16">
        <v>29599</v>
      </c>
      <c r="Q16">
        <v>300.495</v>
      </c>
      <c r="R16">
        <v>781.25</v>
      </c>
      <c r="S16">
        <v>-0.42317359330307769</v>
      </c>
      <c r="T16">
        <v>2.6717557251908618E-2</v>
      </c>
      <c r="U16">
        <v>2.3412422705689901E-2</v>
      </c>
      <c r="V16">
        <v>3.3077370825739809E-3</v>
      </c>
      <c r="W16">
        <v>2.0104685623115921E-2</v>
      </c>
    </row>
    <row r="17" spans="1:23">
      <c r="A17">
        <v>1</v>
      </c>
      <c r="B17" t="s">
        <v>23</v>
      </c>
      <c r="C17" t="s">
        <v>24</v>
      </c>
      <c r="D17">
        <v>29667</v>
      </c>
      <c r="E17">
        <v>300.82</v>
      </c>
      <c r="F17">
        <v>776.07</v>
      </c>
      <c r="G17">
        <v>300.789918</v>
      </c>
      <c r="H17">
        <v>776.14760699999999</v>
      </c>
      <c r="I17">
        <v>4.3180526865916153</v>
      </c>
      <c r="J17">
        <v>0.65390315097189344</v>
      </c>
      <c r="K17">
        <v>-3.324247058041354E-2</v>
      </c>
      <c r="L17">
        <v>8.4258269353523953E-3</v>
      </c>
      <c r="M17" t="s">
        <v>25</v>
      </c>
      <c r="N17">
        <v>24</v>
      </c>
      <c r="O17" t="s">
        <v>26</v>
      </c>
      <c r="P17">
        <v>29691</v>
      </c>
      <c r="Q17">
        <v>302.36</v>
      </c>
      <c r="R17">
        <v>779.06500000000005</v>
      </c>
      <c r="S17">
        <v>0.36508654889452202</v>
      </c>
      <c r="T17">
        <v>-2.5958053022457069E-2</v>
      </c>
      <c r="U17">
        <v>-2.9273502200037081E-2</v>
      </c>
      <c r="V17">
        <v>3.3077370825739809E-3</v>
      </c>
      <c r="W17">
        <v>-3.2581239282611058E-2</v>
      </c>
    </row>
    <row r="18" spans="1:23">
      <c r="A18">
        <v>1</v>
      </c>
      <c r="B18" t="s">
        <v>23</v>
      </c>
      <c r="C18" t="s">
        <v>24</v>
      </c>
      <c r="D18">
        <v>30059</v>
      </c>
      <c r="E18">
        <v>307.04000000000002</v>
      </c>
      <c r="F18">
        <v>805.745</v>
      </c>
      <c r="G18">
        <v>307.07070399999998</v>
      </c>
      <c r="H18">
        <v>805.66442549999999</v>
      </c>
      <c r="I18">
        <v>-3.861825877035987</v>
      </c>
      <c r="J18">
        <v>0.65390315097189344</v>
      </c>
      <c r="K18">
        <v>3.2569046378322038E-2</v>
      </c>
      <c r="L18">
        <v>-8.1155098818099201E-3</v>
      </c>
      <c r="M18" t="s">
        <v>27</v>
      </c>
      <c r="N18">
        <v>6</v>
      </c>
      <c r="O18" t="s">
        <v>26</v>
      </c>
      <c r="P18">
        <v>30065</v>
      </c>
      <c r="Q18">
        <v>308.48</v>
      </c>
      <c r="R18">
        <v>807.56</v>
      </c>
      <c r="S18">
        <v>-0.31972299532199389</v>
      </c>
      <c r="T18">
        <v>3.2169776349299142E-2</v>
      </c>
      <c r="U18">
        <v>2.885580713963343E-2</v>
      </c>
      <c r="V18">
        <v>3.3078755213135922E-3</v>
      </c>
      <c r="W18">
        <v>2.5547931618319839E-2</v>
      </c>
    </row>
    <row r="19" spans="1:23">
      <c r="A19">
        <v>1</v>
      </c>
      <c r="B19" t="s">
        <v>23</v>
      </c>
      <c r="C19" t="s">
        <v>24</v>
      </c>
      <c r="D19">
        <v>31217</v>
      </c>
      <c r="E19">
        <v>297.97000000000003</v>
      </c>
      <c r="F19">
        <v>792.37</v>
      </c>
      <c r="G19">
        <v>297.999797</v>
      </c>
      <c r="H19">
        <v>792.29076299999997</v>
      </c>
      <c r="I19">
        <v>-3.5745619995039339</v>
      </c>
      <c r="J19">
        <v>0.65390315097189344</v>
      </c>
      <c r="K19">
        <v>3.356042554619592E-2</v>
      </c>
      <c r="L19">
        <v>-8.2524975828450527E-3</v>
      </c>
      <c r="M19" t="s">
        <v>27</v>
      </c>
      <c r="N19">
        <v>10</v>
      </c>
      <c r="O19" t="s">
        <v>26</v>
      </c>
      <c r="P19">
        <v>31227</v>
      </c>
      <c r="Q19">
        <v>299.32</v>
      </c>
      <c r="R19">
        <v>795.23500000000001</v>
      </c>
      <c r="S19">
        <v>-0.43617297553798712</v>
      </c>
      <c r="T19">
        <v>2.1663168912512191E-2</v>
      </c>
      <c r="U19">
        <v>1.834846761256418E-2</v>
      </c>
      <c r="V19">
        <v>3.3078755213135922E-3</v>
      </c>
      <c r="W19">
        <v>1.5040592091250591E-2</v>
      </c>
    </row>
    <row r="20" spans="1:23" hidden="1">
      <c r="A20">
        <v>2</v>
      </c>
      <c r="B20" t="s">
        <v>28</v>
      </c>
      <c r="C20" t="s">
        <v>29</v>
      </c>
      <c r="D20">
        <v>31801</v>
      </c>
      <c r="E20">
        <v>53.09</v>
      </c>
      <c r="F20">
        <v>85.965000000000003</v>
      </c>
      <c r="G20">
        <v>53.095309</v>
      </c>
      <c r="H20">
        <v>85.956403500000008</v>
      </c>
      <c r="I20">
        <v>-5.2946208284457406</v>
      </c>
      <c r="J20">
        <v>0.73858207225207795</v>
      </c>
      <c r="K20">
        <v>0.18835938971557731</v>
      </c>
      <c r="L20">
        <v>-8.5916602367484204E-2</v>
      </c>
      <c r="M20" t="s">
        <v>27</v>
      </c>
      <c r="N20">
        <v>23</v>
      </c>
      <c r="O20" t="s">
        <v>26</v>
      </c>
      <c r="P20">
        <v>31824</v>
      </c>
      <c r="Q20">
        <v>53.09</v>
      </c>
      <c r="R20">
        <v>86</v>
      </c>
      <c r="S20">
        <v>-0.49061198670242301</v>
      </c>
      <c r="T20">
        <v>-3.0070810828616542E-3</v>
      </c>
      <c r="U20">
        <v>-6.484545935472685E-3</v>
      </c>
      <c r="V20">
        <v>3.477216428089706E-3</v>
      </c>
      <c r="W20">
        <v>-9.961762363562391E-3</v>
      </c>
    </row>
    <row r="21" spans="1:23" hidden="1">
      <c r="A21">
        <v>2</v>
      </c>
      <c r="B21" t="s">
        <v>28</v>
      </c>
      <c r="C21" t="s">
        <v>29</v>
      </c>
      <c r="D21">
        <v>32007</v>
      </c>
      <c r="E21">
        <v>53.05</v>
      </c>
      <c r="F21">
        <v>85.48</v>
      </c>
      <c r="G21">
        <v>53.044694999999997</v>
      </c>
      <c r="H21">
        <v>85.488548000000009</v>
      </c>
      <c r="I21">
        <v>4.5358081524885527</v>
      </c>
      <c r="J21">
        <v>0.73858207225207795</v>
      </c>
      <c r="K21">
        <v>-0.1885014137606032</v>
      </c>
      <c r="L21">
        <v>8.6404079580261806E-2</v>
      </c>
      <c r="M21" t="s">
        <v>25</v>
      </c>
      <c r="N21">
        <v>48</v>
      </c>
      <c r="O21" t="s">
        <v>26</v>
      </c>
      <c r="P21">
        <v>32055</v>
      </c>
      <c r="Q21">
        <v>53.64</v>
      </c>
      <c r="R21">
        <v>85.89</v>
      </c>
      <c r="S21">
        <v>0.45483686562535858</v>
      </c>
      <c r="T21">
        <v>-7.5790161490849495E-2</v>
      </c>
      <c r="U21">
        <v>-7.9281989786028781E-2</v>
      </c>
      <c r="V21">
        <v>3.4771118609186061E-3</v>
      </c>
      <c r="W21">
        <v>-8.2759101646947386E-2</v>
      </c>
    </row>
    <row r="22" spans="1:23" hidden="1">
      <c r="A22">
        <v>2</v>
      </c>
      <c r="B22" t="s">
        <v>28</v>
      </c>
      <c r="C22" t="s">
        <v>29</v>
      </c>
      <c r="D22">
        <v>32217</v>
      </c>
      <c r="E22">
        <v>53.524999999999999</v>
      </c>
      <c r="F22">
        <v>85.885000000000005</v>
      </c>
      <c r="G22">
        <v>53.530352499999999</v>
      </c>
      <c r="H22">
        <v>85.876411500000003</v>
      </c>
      <c r="I22">
        <v>-4.2270288898543331</v>
      </c>
      <c r="J22">
        <v>0.73858207225207795</v>
      </c>
      <c r="K22">
        <v>0.18682858477347031</v>
      </c>
      <c r="L22">
        <v>-8.5996631804398663E-2</v>
      </c>
      <c r="M22" t="s">
        <v>27</v>
      </c>
      <c r="N22">
        <v>1</v>
      </c>
      <c r="O22" t="s">
        <v>26</v>
      </c>
      <c r="P22">
        <v>32218</v>
      </c>
      <c r="Q22">
        <v>53.54</v>
      </c>
      <c r="R22">
        <v>85.66</v>
      </c>
      <c r="S22">
        <v>0.16301467559101179</v>
      </c>
      <c r="T22">
        <v>2.2151670927592591E-2</v>
      </c>
      <c r="U22">
        <v>1.867616146442698E-2</v>
      </c>
      <c r="V22">
        <v>3.4772164280897052E-3</v>
      </c>
      <c r="W22">
        <v>1.519894503633727E-2</v>
      </c>
    </row>
    <row r="23" spans="1:23" hidden="1">
      <c r="A23">
        <v>2</v>
      </c>
      <c r="B23" t="s">
        <v>28</v>
      </c>
      <c r="C23" t="s">
        <v>29</v>
      </c>
      <c r="D23">
        <v>32614</v>
      </c>
      <c r="E23">
        <v>53.25</v>
      </c>
      <c r="F23">
        <v>85.77</v>
      </c>
      <c r="G23">
        <v>53.255324999999999</v>
      </c>
      <c r="H23">
        <v>85.761422999999994</v>
      </c>
      <c r="I23">
        <v>-3.6888173964009101</v>
      </c>
      <c r="J23">
        <v>0.73858207225207795</v>
      </c>
      <c r="K23">
        <v>0.18779342723004691</v>
      </c>
      <c r="L23">
        <v>-8.6111935671222814E-2</v>
      </c>
      <c r="M23" t="s">
        <v>27</v>
      </c>
      <c r="N23">
        <v>17</v>
      </c>
      <c r="O23" t="s">
        <v>26</v>
      </c>
      <c r="P23">
        <v>32631</v>
      </c>
      <c r="Q23">
        <v>53.134999999999998</v>
      </c>
      <c r="R23">
        <v>85.39</v>
      </c>
      <c r="S23">
        <v>-0.28159100552270649</v>
      </c>
      <c r="T23">
        <v>1.1126291423608509E-2</v>
      </c>
      <c r="U23">
        <v>7.6545591570730846E-3</v>
      </c>
      <c r="V23">
        <v>3.477216428089706E-3</v>
      </c>
      <c r="W23">
        <v>4.1773427289833794E-3</v>
      </c>
    </row>
    <row r="24" spans="1:23" hidden="1">
      <c r="A24">
        <v>2</v>
      </c>
      <c r="B24" t="s">
        <v>28</v>
      </c>
      <c r="C24" t="s">
        <v>29</v>
      </c>
      <c r="D24">
        <v>32998</v>
      </c>
      <c r="E24">
        <v>53.3</v>
      </c>
      <c r="F24">
        <v>86.31</v>
      </c>
      <c r="G24">
        <v>53.294670000000004</v>
      </c>
      <c r="H24">
        <v>86.318630999999996</v>
      </c>
      <c r="I24">
        <v>4.1634247093211707</v>
      </c>
      <c r="J24">
        <v>0.73858207225207795</v>
      </c>
      <c r="K24">
        <v>-0.18761726078799251</v>
      </c>
      <c r="L24">
        <v>8.5573174864103582E-2</v>
      </c>
      <c r="M24" t="s">
        <v>25</v>
      </c>
      <c r="N24">
        <v>17</v>
      </c>
      <c r="O24" t="s">
        <v>26</v>
      </c>
      <c r="P24">
        <v>33015</v>
      </c>
      <c r="Q24">
        <v>53.524999999999999</v>
      </c>
      <c r="R24">
        <v>86.83</v>
      </c>
      <c r="S24">
        <v>0.47469369829974212</v>
      </c>
      <c r="T24">
        <v>2.2841672520349451E-3</v>
      </c>
      <c r="U24">
        <v>-1.2016680859300651E-3</v>
      </c>
      <c r="V24">
        <v>3.4771118609186061E-3</v>
      </c>
      <c r="W24">
        <v>-4.6787799468486707E-3</v>
      </c>
    </row>
    <row r="25" spans="1:23" hidden="1">
      <c r="A25">
        <v>2</v>
      </c>
      <c r="B25" t="s">
        <v>28</v>
      </c>
      <c r="C25" t="s">
        <v>29</v>
      </c>
      <c r="D25">
        <v>34559</v>
      </c>
      <c r="E25">
        <v>54.005000000000003</v>
      </c>
      <c r="F25">
        <v>89.76</v>
      </c>
      <c r="G25">
        <v>53.999599500000002</v>
      </c>
      <c r="H25">
        <v>89.768976000000009</v>
      </c>
      <c r="I25">
        <v>3.5672352167586561</v>
      </c>
      <c r="J25">
        <v>0.73858207225207795</v>
      </c>
      <c r="K25">
        <v>-0.18516803999629661</v>
      </c>
      <c r="L25">
        <v>8.2284098958564839E-2</v>
      </c>
      <c r="M25" t="s">
        <v>25</v>
      </c>
      <c r="N25">
        <v>5</v>
      </c>
      <c r="O25" t="s">
        <v>26</v>
      </c>
      <c r="P25">
        <v>34564</v>
      </c>
      <c r="Q25">
        <v>53.83</v>
      </c>
      <c r="R25">
        <v>89.754999999999995</v>
      </c>
      <c r="S25">
        <v>0.1189470488794544</v>
      </c>
      <c r="T25">
        <v>3.1992986504559083E-2</v>
      </c>
      <c r="U25">
        <v>2.8519103942803142E-2</v>
      </c>
      <c r="V25">
        <v>3.477111860918607E-3</v>
      </c>
      <c r="W25">
        <v>2.5041992081884529E-2</v>
      </c>
    </row>
    <row r="26" spans="1:23" hidden="1">
      <c r="A26">
        <v>2</v>
      </c>
      <c r="B26" t="s">
        <v>28</v>
      </c>
      <c r="C26" t="s">
        <v>29</v>
      </c>
      <c r="D26">
        <v>35304</v>
      </c>
      <c r="E26">
        <v>53.914999999999999</v>
      </c>
      <c r="F26">
        <v>90.32</v>
      </c>
      <c r="G26">
        <v>53.920391500000001</v>
      </c>
      <c r="H26">
        <v>90.310967999999988</v>
      </c>
      <c r="I26">
        <v>-3.5605367620328692</v>
      </c>
      <c r="J26">
        <v>0.73858207225207795</v>
      </c>
      <c r="K26">
        <v>0.18547713994250209</v>
      </c>
      <c r="L26">
        <v>-8.177392296856488E-2</v>
      </c>
      <c r="M26" t="s">
        <v>27</v>
      </c>
      <c r="N26">
        <v>6</v>
      </c>
      <c r="O26" t="s">
        <v>26</v>
      </c>
      <c r="P26">
        <v>35310</v>
      </c>
      <c r="Q26">
        <v>54.27</v>
      </c>
      <c r="R26">
        <v>90.385000000000005</v>
      </c>
      <c r="S26">
        <v>5.9936538940913317E-2</v>
      </c>
      <c r="T26">
        <v>6.0529079686631279E-2</v>
      </c>
      <c r="U26">
        <v>5.704479957315943E-2</v>
      </c>
      <c r="V26">
        <v>3.4772164280897052E-3</v>
      </c>
      <c r="W26">
        <v>5.3567583145069722E-2</v>
      </c>
    </row>
    <row r="27" spans="1:23" hidden="1">
      <c r="A27">
        <v>2</v>
      </c>
      <c r="B27" t="s">
        <v>28</v>
      </c>
      <c r="C27" t="s">
        <v>29</v>
      </c>
      <c r="D27">
        <v>35659</v>
      </c>
      <c r="E27">
        <v>54.484999999999999</v>
      </c>
      <c r="F27">
        <v>93.055000000000007</v>
      </c>
      <c r="G27">
        <v>54.479551499999999</v>
      </c>
      <c r="H27">
        <v>93.064305500000003</v>
      </c>
      <c r="I27">
        <v>3.9191208143867051</v>
      </c>
      <c r="J27">
        <v>0.73858207225207795</v>
      </c>
      <c r="K27">
        <v>-0.18353675323483529</v>
      </c>
      <c r="L27">
        <v>7.9370487588208902E-2</v>
      </c>
      <c r="M27" t="s">
        <v>25</v>
      </c>
      <c r="N27">
        <v>66</v>
      </c>
      <c r="O27" t="s">
        <v>26</v>
      </c>
      <c r="P27">
        <v>35725</v>
      </c>
      <c r="Q27">
        <v>54.545000000000002</v>
      </c>
      <c r="R27">
        <v>92.655000000000001</v>
      </c>
      <c r="S27">
        <v>0.45326715002031898</v>
      </c>
      <c r="T27">
        <v>-4.2760400229374537E-2</v>
      </c>
      <c r="U27">
        <v>-4.6235490774893952E-2</v>
      </c>
      <c r="V27">
        <v>3.4771118609186061E-3</v>
      </c>
      <c r="W27">
        <v>-4.9712602635812557E-2</v>
      </c>
    </row>
    <row r="28" spans="1:23" hidden="1">
      <c r="A28">
        <v>3</v>
      </c>
      <c r="B28" t="s">
        <v>28</v>
      </c>
      <c r="C28" t="s">
        <v>29</v>
      </c>
      <c r="D28">
        <v>36509</v>
      </c>
      <c r="E28">
        <v>54.965000000000003</v>
      </c>
      <c r="F28">
        <v>93.105000000000004</v>
      </c>
      <c r="G28">
        <v>54.970496500000003</v>
      </c>
      <c r="H28">
        <v>93.095689500000006</v>
      </c>
      <c r="I28">
        <v>-4.8712868232379254</v>
      </c>
      <c r="J28">
        <v>0.67544694522736837</v>
      </c>
      <c r="K28">
        <v>0.18193395797325571</v>
      </c>
      <c r="L28">
        <v>-7.2546796114856163E-2</v>
      </c>
      <c r="M28" t="s">
        <v>27</v>
      </c>
      <c r="N28">
        <v>7</v>
      </c>
      <c r="O28" t="s">
        <v>26</v>
      </c>
      <c r="P28">
        <v>36516</v>
      </c>
      <c r="Q28">
        <v>55.35</v>
      </c>
      <c r="R28">
        <v>93.03</v>
      </c>
      <c r="S28">
        <v>-0.41313051329431483</v>
      </c>
      <c r="T28">
        <v>7.5485583528317496E-2</v>
      </c>
      <c r="U28">
        <v>7.212822928145135E-2</v>
      </c>
      <c r="V28">
        <v>3.350958801065691E-3</v>
      </c>
      <c r="W28">
        <v>6.8777270480385663E-2</v>
      </c>
    </row>
    <row r="29" spans="1:23" hidden="1">
      <c r="A29">
        <v>3</v>
      </c>
      <c r="B29" t="s">
        <v>28</v>
      </c>
      <c r="C29" t="s">
        <v>29</v>
      </c>
      <c r="D29">
        <v>37290</v>
      </c>
      <c r="E29">
        <v>54.594999999999999</v>
      </c>
      <c r="F29">
        <v>93.11</v>
      </c>
      <c r="G29">
        <v>54.600459499999999</v>
      </c>
      <c r="H29">
        <v>93.100689000000003</v>
      </c>
      <c r="I29">
        <v>-3.9272584295802511</v>
      </c>
      <c r="J29">
        <v>0.67544694522736837</v>
      </c>
      <c r="K29">
        <v>0.18316695668101471</v>
      </c>
      <c r="L29">
        <v>-7.2542900357358858E-2</v>
      </c>
      <c r="M29" t="s">
        <v>27</v>
      </c>
      <c r="N29">
        <v>25</v>
      </c>
      <c r="O29" t="s">
        <v>26</v>
      </c>
      <c r="P29">
        <v>37315</v>
      </c>
      <c r="Q29">
        <v>55.1</v>
      </c>
      <c r="R29">
        <v>93.704999999999998</v>
      </c>
      <c r="S29">
        <v>0.1467806767397242</v>
      </c>
      <c r="T29">
        <v>4.9336287411284471E-2</v>
      </c>
      <c r="U29">
        <v>4.5971827286945807E-2</v>
      </c>
      <c r="V29">
        <v>3.350958801065691E-3</v>
      </c>
      <c r="W29">
        <v>4.262086848588012E-2</v>
      </c>
    </row>
    <row r="30" spans="1:23" hidden="1">
      <c r="A30">
        <v>3</v>
      </c>
      <c r="B30" t="s">
        <v>28</v>
      </c>
      <c r="C30" t="s">
        <v>29</v>
      </c>
      <c r="D30">
        <v>37679</v>
      </c>
      <c r="E30">
        <v>54.57</v>
      </c>
      <c r="F30">
        <v>91.7</v>
      </c>
      <c r="G30">
        <v>54.564543</v>
      </c>
      <c r="H30">
        <v>91.70917</v>
      </c>
      <c r="I30">
        <v>4.6807257199290877</v>
      </c>
      <c r="J30">
        <v>0.67544694522736837</v>
      </c>
      <c r="K30">
        <v>-0.1832508704416346</v>
      </c>
      <c r="L30">
        <v>7.3658336447913669E-2</v>
      </c>
      <c r="M30" t="s">
        <v>25</v>
      </c>
      <c r="N30">
        <v>22</v>
      </c>
      <c r="O30" t="s">
        <v>26</v>
      </c>
      <c r="P30">
        <v>37701</v>
      </c>
      <c r="Q30">
        <v>54.75</v>
      </c>
      <c r="R30">
        <v>92.075000000000003</v>
      </c>
      <c r="S30">
        <v>0.41292147259224332</v>
      </c>
      <c r="T30">
        <v>-5.3632805115265518E-3</v>
      </c>
      <c r="U30">
        <v>-8.720235105265435E-3</v>
      </c>
      <c r="V30">
        <v>3.3508289798437822E-3</v>
      </c>
      <c r="W30">
        <v>-1.2071064085109219E-2</v>
      </c>
    </row>
    <row r="31" spans="1:23" hidden="1">
      <c r="A31">
        <v>3</v>
      </c>
      <c r="B31" t="s">
        <v>28</v>
      </c>
      <c r="C31" t="s">
        <v>29</v>
      </c>
      <c r="D31">
        <v>38190</v>
      </c>
      <c r="E31">
        <v>55.87</v>
      </c>
      <c r="F31">
        <v>94.01</v>
      </c>
      <c r="G31">
        <v>55.864412999999999</v>
      </c>
      <c r="H31">
        <v>94.019401000000002</v>
      </c>
      <c r="I31">
        <v>3.6342178099281259</v>
      </c>
      <c r="J31">
        <v>0.67544694522736837</v>
      </c>
      <c r="K31">
        <v>-0.1789869339538214</v>
      </c>
      <c r="L31">
        <v>7.1848414554554652E-2</v>
      </c>
      <c r="M31" t="s">
        <v>25</v>
      </c>
      <c r="N31">
        <v>16</v>
      </c>
      <c r="O31" t="s">
        <v>26</v>
      </c>
      <c r="P31">
        <v>38206</v>
      </c>
      <c r="Q31">
        <v>55.914999999999999</v>
      </c>
      <c r="R31">
        <v>94.114999999999995</v>
      </c>
      <c r="S31">
        <v>0.4871990736000601</v>
      </c>
      <c r="T31">
        <v>-5.1032849969476386E-4</v>
      </c>
      <c r="U31">
        <v>-3.8627822397047621E-3</v>
      </c>
      <c r="V31">
        <v>3.3508289798437822E-3</v>
      </c>
      <c r="W31">
        <v>-7.2136112195485443E-3</v>
      </c>
    </row>
    <row r="32" spans="1:23" hidden="1">
      <c r="A32">
        <v>3</v>
      </c>
      <c r="B32" t="s">
        <v>28</v>
      </c>
      <c r="C32" t="s">
        <v>29</v>
      </c>
      <c r="D32">
        <v>38306</v>
      </c>
      <c r="E32">
        <v>55.98</v>
      </c>
      <c r="F32">
        <v>93.99</v>
      </c>
      <c r="G32">
        <v>55.985598000000003</v>
      </c>
      <c r="H32">
        <v>93.980600999999993</v>
      </c>
      <c r="I32">
        <v>-4.0638487169769828</v>
      </c>
      <c r="J32">
        <v>0.67544694522736837</v>
      </c>
      <c r="K32">
        <v>0.17863522686673811</v>
      </c>
      <c r="L32">
        <v>-7.1863703077707036E-2</v>
      </c>
      <c r="M32" t="s">
        <v>27</v>
      </c>
      <c r="N32">
        <v>27</v>
      </c>
      <c r="O32" t="s">
        <v>26</v>
      </c>
      <c r="P32">
        <v>38333</v>
      </c>
      <c r="Q32">
        <v>55.954999999999998</v>
      </c>
      <c r="R32">
        <v>93.96</v>
      </c>
      <c r="S32">
        <v>1.747268571627382E-2</v>
      </c>
      <c r="T32">
        <v>-2.3099695793369068E-3</v>
      </c>
      <c r="U32">
        <v>-5.6602012906145829E-3</v>
      </c>
      <c r="V32">
        <v>3.350958801065691E-3</v>
      </c>
      <c r="W32">
        <v>-9.0111600916802752E-3</v>
      </c>
    </row>
    <row r="33" spans="1:23" hidden="1">
      <c r="A33">
        <v>3</v>
      </c>
      <c r="B33" t="s">
        <v>28</v>
      </c>
      <c r="C33" t="s">
        <v>29</v>
      </c>
      <c r="D33">
        <v>38659</v>
      </c>
      <c r="E33">
        <v>55.95</v>
      </c>
      <c r="F33">
        <v>94.22</v>
      </c>
      <c r="G33">
        <v>55.955595000000002</v>
      </c>
      <c r="H33">
        <v>94.210577999999998</v>
      </c>
      <c r="I33">
        <v>-3.6283825468592101</v>
      </c>
      <c r="J33">
        <v>0.67544694522736837</v>
      </c>
      <c r="K33">
        <v>0.17873100983020551</v>
      </c>
      <c r="L33">
        <v>-7.1688276929247327E-2</v>
      </c>
      <c r="M33" t="s">
        <v>27</v>
      </c>
      <c r="N33">
        <v>15</v>
      </c>
      <c r="O33" t="s">
        <v>26</v>
      </c>
      <c r="P33">
        <v>38674</v>
      </c>
      <c r="Q33">
        <v>56.024999999999999</v>
      </c>
      <c r="R33">
        <v>94.29</v>
      </c>
      <c r="S33">
        <v>0.17646003124991719</v>
      </c>
      <c r="T33">
        <v>8.3866463522168123E-3</v>
      </c>
      <c r="U33">
        <v>5.0339101612497167E-3</v>
      </c>
      <c r="V33">
        <v>3.350958801065691E-3</v>
      </c>
      <c r="W33">
        <v>1.682951360184025E-3</v>
      </c>
    </row>
    <row r="34" spans="1:23" hidden="1">
      <c r="A34">
        <v>3</v>
      </c>
      <c r="B34" t="s">
        <v>28</v>
      </c>
      <c r="C34" t="s">
        <v>29</v>
      </c>
      <c r="D34">
        <v>39059</v>
      </c>
      <c r="E34">
        <v>56.42</v>
      </c>
      <c r="F34">
        <v>95.27</v>
      </c>
      <c r="G34">
        <v>56.414358</v>
      </c>
      <c r="H34">
        <v>95.279527000000002</v>
      </c>
      <c r="I34">
        <v>3.7111055443046821</v>
      </c>
      <c r="J34">
        <v>0.67544694522736837</v>
      </c>
      <c r="K34">
        <v>-0.1772421127259837</v>
      </c>
      <c r="L34">
        <v>7.0898178359123376E-2</v>
      </c>
      <c r="M34" t="s">
        <v>25</v>
      </c>
      <c r="N34">
        <v>9</v>
      </c>
      <c r="O34" t="s">
        <v>26</v>
      </c>
      <c r="P34">
        <v>39068</v>
      </c>
      <c r="Q34">
        <v>56.34</v>
      </c>
      <c r="R34">
        <v>95.295000000000002</v>
      </c>
      <c r="S34">
        <v>0.16521923481350759</v>
      </c>
      <c r="T34">
        <v>1.5951823477056881E-2</v>
      </c>
      <c r="U34">
        <v>1.26021702780573E-2</v>
      </c>
      <c r="V34">
        <v>3.3508289798437822E-3</v>
      </c>
      <c r="W34">
        <v>9.2513412982135178E-3</v>
      </c>
    </row>
    <row r="35" spans="1:23" hidden="1">
      <c r="A35">
        <v>3</v>
      </c>
      <c r="B35" t="s">
        <v>28</v>
      </c>
      <c r="C35" t="s">
        <v>29</v>
      </c>
      <c r="D35">
        <v>39449</v>
      </c>
      <c r="E35">
        <v>56.094999999999999</v>
      </c>
      <c r="F35">
        <v>95.37</v>
      </c>
      <c r="G35">
        <v>56.100609499999997</v>
      </c>
      <c r="H35">
        <v>95.36046300000001</v>
      </c>
      <c r="I35">
        <v>-3.6509998603878122</v>
      </c>
      <c r="J35">
        <v>0.67544694522736837</v>
      </c>
      <c r="K35">
        <v>0.17826900793297079</v>
      </c>
      <c r="L35">
        <v>-7.0823838232921085E-2</v>
      </c>
      <c r="M35" t="s">
        <v>27</v>
      </c>
      <c r="N35">
        <v>23</v>
      </c>
      <c r="O35" t="s">
        <v>26</v>
      </c>
      <c r="P35">
        <v>39472</v>
      </c>
      <c r="Q35">
        <v>55.91</v>
      </c>
      <c r="R35">
        <v>94.92</v>
      </c>
      <c r="S35">
        <v>-0.4882463594947018</v>
      </c>
      <c r="T35">
        <v>-1.109039262785327E-3</v>
      </c>
      <c r="U35">
        <v>-4.4534481038722316E-3</v>
      </c>
      <c r="V35">
        <v>3.350958801065691E-3</v>
      </c>
      <c r="W35">
        <v>-7.8044069049379239E-3</v>
      </c>
    </row>
    <row r="36" spans="1:23" hidden="1">
      <c r="A36">
        <v>4</v>
      </c>
      <c r="B36" t="s">
        <v>28</v>
      </c>
      <c r="C36" t="s">
        <v>29</v>
      </c>
      <c r="D36">
        <v>39601</v>
      </c>
      <c r="E36">
        <v>55.465000000000003</v>
      </c>
      <c r="F36">
        <v>94.534999999999997</v>
      </c>
      <c r="G36">
        <v>55.459453500000002</v>
      </c>
      <c r="H36">
        <v>94.544453499999989</v>
      </c>
      <c r="I36">
        <v>5.2938913177704396</v>
      </c>
      <c r="J36">
        <v>0.6533346050381017</v>
      </c>
      <c r="K36">
        <v>-0.18029387902280719</v>
      </c>
      <c r="L36">
        <v>6.9110340618617622E-2</v>
      </c>
      <c r="M36" t="s">
        <v>25</v>
      </c>
      <c r="N36">
        <v>23</v>
      </c>
      <c r="O36" t="s">
        <v>26</v>
      </c>
      <c r="P36">
        <v>39624</v>
      </c>
      <c r="Q36">
        <v>55.43</v>
      </c>
      <c r="R36">
        <v>94.45</v>
      </c>
      <c r="S36">
        <v>0.48129622673129091</v>
      </c>
      <c r="T36">
        <v>4.3590681321685129E-4</v>
      </c>
      <c r="U36">
        <v>-2.8695439303864159E-3</v>
      </c>
      <c r="V36">
        <v>3.3065998769972109E-3</v>
      </c>
      <c r="W36">
        <v>-6.1761438073836272E-3</v>
      </c>
    </row>
    <row r="37" spans="1:23" hidden="1">
      <c r="A37">
        <v>4</v>
      </c>
      <c r="B37" t="s">
        <v>28</v>
      </c>
      <c r="C37" t="s">
        <v>29</v>
      </c>
      <c r="D37">
        <v>39839</v>
      </c>
      <c r="E37">
        <v>55.6</v>
      </c>
      <c r="F37">
        <v>94.82</v>
      </c>
      <c r="G37">
        <v>55.594439999999999</v>
      </c>
      <c r="H37">
        <v>94.829481999999999</v>
      </c>
      <c r="I37">
        <v>5.0316061210214436</v>
      </c>
      <c r="J37">
        <v>0.6533346050381017</v>
      </c>
      <c r="K37">
        <v>-0.17985611510791369</v>
      </c>
      <c r="L37">
        <v>6.8902616013299056E-2</v>
      </c>
      <c r="M37" t="s">
        <v>25</v>
      </c>
      <c r="N37">
        <v>15</v>
      </c>
      <c r="O37" t="s">
        <v>26</v>
      </c>
      <c r="P37">
        <v>39854</v>
      </c>
      <c r="Q37">
        <v>55.325000000000003</v>
      </c>
      <c r="R37">
        <v>94.34</v>
      </c>
      <c r="S37">
        <v>-8.6236820989901611E-2</v>
      </c>
      <c r="T37">
        <v>1.6387175968293161E-2</v>
      </c>
      <c r="U37">
        <v>1.3088760126950091E-2</v>
      </c>
      <c r="V37">
        <v>3.30659987699721E-3</v>
      </c>
      <c r="W37">
        <v>9.7821602499528829E-3</v>
      </c>
    </row>
    <row r="38" spans="1:23" hidden="1">
      <c r="A38">
        <v>4</v>
      </c>
      <c r="B38" t="s">
        <v>28</v>
      </c>
      <c r="C38" t="s">
        <v>29</v>
      </c>
      <c r="D38">
        <v>41009</v>
      </c>
      <c r="E38">
        <v>56.28</v>
      </c>
      <c r="F38">
        <v>95.5</v>
      </c>
      <c r="G38">
        <v>56.274372</v>
      </c>
      <c r="H38">
        <v>95.509550000000004</v>
      </c>
      <c r="I38">
        <v>5.022828063570846</v>
      </c>
      <c r="J38">
        <v>0.6533346050381017</v>
      </c>
      <c r="K38">
        <v>-0.177683013503909</v>
      </c>
      <c r="L38">
        <v>6.8412000527549907E-2</v>
      </c>
      <c r="M38" t="s">
        <v>25</v>
      </c>
      <c r="N38">
        <v>27</v>
      </c>
      <c r="O38" t="s">
        <v>26</v>
      </c>
      <c r="P38">
        <v>41036</v>
      </c>
      <c r="Q38">
        <v>57.19</v>
      </c>
      <c r="R38">
        <v>96.84</v>
      </c>
      <c r="S38">
        <v>0.39209776972051469</v>
      </c>
      <c r="T38">
        <v>-7.0019461581639506E-2</v>
      </c>
      <c r="U38">
        <v>-7.3351467154015193E-2</v>
      </c>
      <c r="V38">
        <v>3.3065998769972109E-3</v>
      </c>
      <c r="W38">
        <v>-7.6658067031012411E-2</v>
      </c>
    </row>
    <row r="39" spans="1:23" hidden="1">
      <c r="A39">
        <v>4</v>
      </c>
      <c r="B39" t="s">
        <v>28</v>
      </c>
      <c r="C39" t="s">
        <v>29</v>
      </c>
      <c r="D39">
        <v>41201</v>
      </c>
      <c r="E39">
        <v>57.27</v>
      </c>
      <c r="F39">
        <v>97.02</v>
      </c>
      <c r="G39">
        <v>57.264273000000003</v>
      </c>
      <c r="H39">
        <v>97.029702</v>
      </c>
      <c r="I39">
        <v>3.6553077959710518</v>
      </c>
      <c r="J39">
        <v>0.6533346050381017</v>
      </c>
      <c r="K39">
        <v>-0.17461148943600491</v>
      </c>
      <c r="L39">
        <v>6.7340198416625613E-2</v>
      </c>
      <c r="M39" t="s">
        <v>25</v>
      </c>
      <c r="N39">
        <v>8</v>
      </c>
      <c r="O39" t="s">
        <v>26</v>
      </c>
      <c r="P39">
        <v>41209</v>
      </c>
      <c r="Q39">
        <v>57.21</v>
      </c>
      <c r="R39">
        <v>97.1</v>
      </c>
      <c r="S39">
        <v>0.1047635235052741</v>
      </c>
      <c r="T39">
        <v>1.5863905239490619E-2</v>
      </c>
      <c r="U39">
        <v>1.255774497676327E-2</v>
      </c>
      <c r="V39">
        <v>3.3065998769972109E-3</v>
      </c>
      <c r="W39">
        <v>9.2511450997660588E-3</v>
      </c>
    </row>
    <row r="40" spans="1:23" hidden="1">
      <c r="A40">
        <v>4</v>
      </c>
      <c r="B40" t="s">
        <v>28</v>
      </c>
      <c r="C40" t="s">
        <v>29</v>
      </c>
      <c r="D40">
        <v>41399</v>
      </c>
      <c r="E40">
        <v>57.19</v>
      </c>
      <c r="F40">
        <v>95.59</v>
      </c>
      <c r="G40">
        <v>57.184280999999999</v>
      </c>
      <c r="H40">
        <v>95.599558999999999</v>
      </c>
      <c r="I40">
        <v>5.011156350320273</v>
      </c>
      <c r="J40">
        <v>0.6533346050381017</v>
      </c>
      <c r="K40">
        <v>-0.17485574401119081</v>
      </c>
      <c r="L40">
        <v>6.8347589186954869E-2</v>
      </c>
      <c r="M40" t="s">
        <v>25</v>
      </c>
      <c r="N40">
        <v>15</v>
      </c>
      <c r="O40" t="s">
        <v>26</v>
      </c>
      <c r="P40">
        <v>41414</v>
      </c>
      <c r="Q40">
        <v>56.91</v>
      </c>
      <c r="R40">
        <v>95.525000000000006</v>
      </c>
      <c r="S40">
        <v>0.46103593375211049</v>
      </c>
      <c r="T40">
        <v>4.451701502598171E-2</v>
      </c>
      <c r="U40">
        <v>4.1215686036068309E-2</v>
      </c>
      <c r="V40">
        <v>3.3065998769972109E-3</v>
      </c>
      <c r="W40">
        <v>3.7909086159071098E-2</v>
      </c>
    </row>
    <row r="41" spans="1:23" hidden="1">
      <c r="A41">
        <v>4</v>
      </c>
      <c r="B41" t="s">
        <v>28</v>
      </c>
      <c r="C41" t="s">
        <v>29</v>
      </c>
      <c r="D41">
        <v>41790</v>
      </c>
      <c r="E41">
        <v>56.664999999999999</v>
      </c>
      <c r="F41">
        <v>95.724999999999994</v>
      </c>
      <c r="G41">
        <v>56.670666500000003</v>
      </c>
      <c r="H41">
        <v>95.71542749999999</v>
      </c>
      <c r="I41">
        <v>-4.5347558837523056</v>
      </c>
      <c r="J41">
        <v>0.6533346050381017</v>
      </c>
      <c r="K41">
        <v>0.1764757786993735</v>
      </c>
      <c r="L41">
        <v>-6.8251199272718902E-2</v>
      </c>
      <c r="M41" t="s">
        <v>27</v>
      </c>
      <c r="N41">
        <v>35</v>
      </c>
      <c r="O41" t="s">
        <v>26</v>
      </c>
      <c r="P41">
        <v>41825</v>
      </c>
      <c r="Q41">
        <v>56.145000000000003</v>
      </c>
      <c r="R41">
        <v>94.71</v>
      </c>
      <c r="S41">
        <v>-6.4708702039577279E-2</v>
      </c>
      <c r="T41">
        <v>-2.24924376618638E-2</v>
      </c>
      <c r="U41">
        <v>-2.5783002634721511E-2</v>
      </c>
      <c r="V41">
        <v>3.3067385431551962E-3</v>
      </c>
      <c r="W41">
        <v>-2.9089741177876709E-2</v>
      </c>
    </row>
    <row r="42" spans="1:23" hidden="1">
      <c r="A42">
        <v>4</v>
      </c>
      <c r="B42" t="s">
        <v>28</v>
      </c>
      <c r="C42" t="s">
        <v>29</v>
      </c>
      <c r="D42">
        <v>42180</v>
      </c>
      <c r="E42">
        <v>55.58</v>
      </c>
      <c r="F42">
        <v>94.41</v>
      </c>
      <c r="G42">
        <v>55.585557999999999</v>
      </c>
      <c r="H42">
        <v>94.400559000000001</v>
      </c>
      <c r="I42">
        <v>-4.0714174166949224</v>
      </c>
      <c r="J42">
        <v>0.6533346050381017</v>
      </c>
      <c r="K42">
        <v>0.1799208348326736</v>
      </c>
      <c r="L42">
        <v>-6.9201843558743953E-2</v>
      </c>
      <c r="M42" t="s">
        <v>27</v>
      </c>
      <c r="N42">
        <v>1</v>
      </c>
      <c r="O42" t="s">
        <v>26</v>
      </c>
      <c r="P42">
        <v>42181</v>
      </c>
      <c r="Q42">
        <v>55.77</v>
      </c>
      <c r="R42">
        <v>94.43</v>
      </c>
      <c r="S42">
        <v>0.1184626704445758</v>
      </c>
      <c r="T42">
        <v>3.2800921747033272E-2</v>
      </c>
      <c r="U42">
        <v>2.94906956374076E-2</v>
      </c>
      <c r="V42">
        <v>3.3067385431551962E-3</v>
      </c>
      <c r="W42">
        <v>2.6183957094252398E-2</v>
      </c>
    </row>
    <row r="43" spans="1:23" hidden="1">
      <c r="A43">
        <v>4</v>
      </c>
      <c r="B43" t="s">
        <v>28</v>
      </c>
      <c r="C43" t="s">
        <v>29</v>
      </c>
      <c r="D43">
        <v>42960</v>
      </c>
      <c r="E43">
        <v>55.29</v>
      </c>
      <c r="F43">
        <v>95.93</v>
      </c>
      <c r="G43">
        <v>55.295529000000002</v>
      </c>
      <c r="H43">
        <v>95.920407000000012</v>
      </c>
      <c r="I43">
        <v>-5.0836437631205458</v>
      </c>
      <c r="J43">
        <v>0.6533346050381017</v>
      </c>
      <c r="K43">
        <v>0.18086453246518361</v>
      </c>
      <c r="L43">
        <v>-6.8105348174512831E-2</v>
      </c>
      <c r="M43" t="s">
        <v>27</v>
      </c>
      <c r="N43">
        <v>5</v>
      </c>
      <c r="O43" t="s">
        <v>26</v>
      </c>
      <c r="P43">
        <v>42965</v>
      </c>
      <c r="Q43">
        <v>55.08</v>
      </c>
      <c r="R43">
        <v>94.22</v>
      </c>
      <c r="S43">
        <v>-0.47005701311377912</v>
      </c>
      <c r="T43">
        <v>7.8478593560728782E-2</v>
      </c>
      <c r="U43">
        <v>7.5187368520372139E-2</v>
      </c>
      <c r="V43">
        <v>3.3067385431551962E-3</v>
      </c>
      <c r="W43">
        <v>7.1880629977216948E-2</v>
      </c>
    </row>
    <row r="44" spans="1:23" hidden="1">
      <c r="A44">
        <v>4</v>
      </c>
      <c r="B44" t="s">
        <v>28</v>
      </c>
      <c r="C44" t="s">
        <v>29</v>
      </c>
      <c r="D44">
        <v>43332</v>
      </c>
      <c r="E44">
        <v>55.17</v>
      </c>
      <c r="F44">
        <v>94.905000000000001</v>
      </c>
      <c r="G44">
        <v>55.164482999999997</v>
      </c>
      <c r="H44">
        <v>94.914490499999999</v>
      </c>
      <c r="I44">
        <v>3.729497213089267</v>
      </c>
      <c r="J44">
        <v>0.6533346050381017</v>
      </c>
      <c r="K44">
        <v>-0.18125793003443899</v>
      </c>
      <c r="L44">
        <v>6.8840904592814042E-2</v>
      </c>
      <c r="M44" t="s">
        <v>25</v>
      </c>
      <c r="N44">
        <v>6</v>
      </c>
      <c r="O44" t="s">
        <v>26</v>
      </c>
      <c r="P44">
        <v>43338</v>
      </c>
      <c r="Q44">
        <v>55.115000000000002</v>
      </c>
      <c r="R44">
        <v>94.924999999999997</v>
      </c>
      <c r="S44">
        <v>0.1938784814554087</v>
      </c>
      <c r="T44">
        <v>1.13460042437501E-2</v>
      </c>
      <c r="U44">
        <v>8.0401942704814294E-3</v>
      </c>
      <c r="V44">
        <v>3.3065998769972109E-3</v>
      </c>
      <c r="W44">
        <v>4.7335943934842181E-3</v>
      </c>
    </row>
    <row r="45" spans="1:23" hidden="1">
      <c r="A45">
        <v>5</v>
      </c>
      <c r="B45" t="s">
        <v>28</v>
      </c>
      <c r="C45" t="s">
        <v>29</v>
      </c>
      <c r="D45">
        <v>43501</v>
      </c>
      <c r="E45">
        <v>54.725000000000001</v>
      </c>
      <c r="F45">
        <v>94.52</v>
      </c>
      <c r="G45">
        <v>54.719527500000012</v>
      </c>
      <c r="H45">
        <v>94.529451999999992</v>
      </c>
      <c r="I45">
        <v>5.2936414129398344</v>
      </c>
      <c r="J45">
        <v>0.60699763809152618</v>
      </c>
      <c r="K45">
        <v>-0.18273184102329831</v>
      </c>
      <c r="L45">
        <v>6.4218962980483088E-2</v>
      </c>
      <c r="M45" t="s">
        <v>25</v>
      </c>
      <c r="N45">
        <v>23</v>
      </c>
      <c r="O45" t="s">
        <v>26</v>
      </c>
      <c r="P45">
        <v>43524</v>
      </c>
      <c r="Q45">
        <v>54.645000000000003</v>
      </c>
      <c r="R45">
        <v>94.51</v>
      </c>
      <c r="S45">
        <v>0.47600914809084272</v>
      </c>
      <c r="T45">
        <v>1.3976357652059309E-2</v>
      </c>
      <c r="U45">
        <v>1.0763888449568061E-2</v>
      </c>
      <c r="V45">
        <v>3.2139166757106708E-3</v>
      </c>
      <c r="W45">
        <v>7.5499717738573887E-3</v>
      </c>
    </row>
    <row r="46" spans="1:23" hidden="1">
      <c r="A46">
        <v>5</v>
      </c>
      <c r="B46" t="s">
        <v>28</v>
      </c>
      <c r="C46" t="s">
        <v>29</v>
      </c>
      <c r="D46">
        <v>43742</v>
      </c>
      <c r="E46">
        <v>53.85</v>
      </c>
      <c r="F46">
        <v>93.51</v>
      </c>
      <c r="G46">
        <v>53.855384999999998</v>
      </c>
      <c r="H46">
        <v>93.50064900000001</v>
      </c>
      <c r="I46">
        <v>-5.037267741262113</v>
      </c>
      <c r="J46">
        <v>0.60699763809152618</v>
      </c>
      <c r="K46">
        <v>0.18570102135561739</v>
      </c>
      <c r="L46">
        <v>-6.4912590962627109E-2</v>
      </c>
      <c r="M46" t="s">
        <v>27</v>
      </c>
      <c r="N46">
        <v>13</v>
      </c>
      <c r="O46" t="s">
        <v>26</v>
      </c>
      <c r="P46">
        <v>43755</v>
      </c>
      <c r="Q46">
        <v>52.7</v>
      </c>
      <c r="R46">
        <v>90.31</v>
      </c>
      <c r="S46">
        <v>-0.44386940904684691</v>
      </c>
      <c r="T46">
        <v>-5.8358834785528779E-3</v>
      </c>
      <c r="U46">
        <v>-9.0077511081698702E-3</v>
      </c>
      <c r="V46">
        <v>3.214073876655434E-3</v>
      </c>
      <c r="W46">
        <v>-1.22218249848253E-2</v>
      </c>
    </row>
    <row r="47" spans="1:23" hidden="1">
      <c r="A47">
        <v>5</v>
      </c>
      <c r="B47" t="s">
        <v>28</v>
      </c>
      <c r="C47" t="s">
        <v>29</v>
      </c>
      <c r="D47">
        <v>44003</v>
      </c>
      <c r="E47">
        <v>52.16</v>
      </c>
      <c r="F47">
        <v>88.9</v>
      </c>
      <c r="G47">
        <v>52.154783999999999</v>
      </c>
      <c r="H47">
        <v>88.90889</v>
      </c>
      <c r="I47">
        <v>3.5004358448484649</v>
      </c>
      <c r="J47">
        <v>0.60699763809152618</v>
      </c>
      <c r="K47">
        <v>-0.19171779141104289</v>
      </c>
      <c r="L47">
        <v>6.8278699447865701E-2</v>
      </c>
      <c r="M47" t="s">
        <v>25</v>
      </c>
      <c r="N47">
        <v>21</v>
      </c>
      <c r="O47" t="s">
        <v>26</v>
      </c>
      <c r="P47">
        <v>44024</v>
      </c>
      <c r="Q47">
        <v>52.29</v>
      </c>
      <c r="R47">
        <v>88.99</v>
      </c>
      <c r="S47">
        <v>0.49471769269850158</v>
      </c>
      <c r="T47">
        <v>-1.8778229933128901E-2</v>
      </c>
      <c r="U47">
        <v>-2.1995332048894329E-2</v>
      </c>
      <c r="V47">
        <v>3.2139166757106708E-3</v>
      </c>
      <c r="W47">
        <v>-2.5209248724605001E-2</v>
      </c>
    </row>
    <row r="48" spans="1:23" hidden="1">
      <c r="A48">
        <v>5</v>
      </c>
      <c r="B48" t="s">
        <v>28</v>
      </c>
      <c r="C48" t="s">
        <v>29</v>
      </c>
      <c r="D48">
        <v>44541</v>
      </c>
      <c r="E48">
        <v>52.91</v>
      </c>
      <c r="F48">
        <v>89.31</v>
      </c>
      <c r="G48">
        <v>52.904708999999997</v>
      </c>
      <c r="H48">
        <v>89.318931000000006</v>
      </c>
      <c r="I48">
        <v>4.4053721713600078</v>
      </c>
      <c r="J48">
        <v>0.60699763809152618</v>
      </c>
      <c r="K48">
        <v>-0.189000189000189</v>
      </c>
      <c r="L48">
        <v>6.7965248918545079E-2</v>
      </c>
      <c r="M48" t="s">
        <v>25</v>
      </c>
      <c r="N48">
        <v>3</v>
      </c>
      <c r="O48" t="s">
        <v>26</v>
      </c>
      <c r="P48">
        <v>44544</v>
      </c>
      <c r="Q48">
        <v>52.54</v>
      </c>
      <c r="R48">
        <v>88.84</v>
      </c>
      <c r="S48">
        <v>-3.1865355660327693E-2</v>
      </c>
      <c r="T48">
        <v>3.7986402938353342E-2</v>
      </c>
      <c r="U48">
        <v>3.4782595035862458E-2</v>
      </c>
      <c r="V48">
        <v>3.2139166757106708E-3</v>
      </c>
      <c r="W48">
        <v>3.1568678360151793E-2</v>
      </c>
    </row>
    <row r="49" spans="1:23" hidden="1">
      <c r="A49">
        <v>5</v>
      </c>
      <c r="B49" t="s">
        <v>28</v>
      </c>
      <c r="C49" t="s">
        <v>29</v>
      </c>
      <c r="D49">
        <v>44934</v>
      </c>
      <c r="E49">
        <v>52.344999999999999</v>
      </c>
      <c r="F49">
        <v>87.17</v>
      </c>
      <c r="G49">
        <v>52.350234499999999</v>
      </c>
      <c r="H49">
        <v>87.161282999999997</v>
      </c>
      <c r="I49">
        <v>-3.7539574893101659</v>
      </c>
      <c r="J49">
        <v>0.60699763809152618</v>
      </c>
      <c r="K49">
        <v>0.19104021396503959</v>
      </c>
      <c r="L49">
        <v>-6.9633777456868898E-2</v>
      </c>
      <c r="M49" t="s">
        <v>27</v>
      </c>
      <c r="N49">
        <v>14</v>
      </c>
      <c r="O49" t="s">
        <v>26</v>
      </c>
      <c r="P49">
        <v>44948</v>
      </c>
      <c r="Q49">
        <v>52.715000000000003</v>
      </c>
      <c r="R49">
        <v>87.87</v>
      </c>
      <c r="S49">
        <v>-0.18276601188841479</v>
      </c>
      <c r="T49">
        <v>2.194123494725711E-2</v>
      </c>
      <c r="U49">
        <v>1.8715296818735312E-2</v>
      </c>
      <c r="V49">
        <v>3.214073876655434E-3</v>
      </c>
      <c r="W49">
        <v>1.5501222942079869E-2</v>
      </c>
    </row>
    <row r="50" spans="1:23" hidden="1">
      <c r="A50">
        <v>5</v>
      </c>
      <c r="B50" t="s">
        <v>28</v>
      </c>
      <c r="C50" t="s">
        <v>29</v>
      </c>
      <c r="D50">
        <v>45515</v>
      </c>
      <c r="E50">
        <v>52.44</v>
      </c>
      <c r="F50">
        <v>86.844999999999999</v>
      </c>
      <c r="G50">
        <v>52.434756</v>
      </c>
      <c r="H50">
        <v>86.8536845</v>
      </c>
      <c r="I50">
        <v>3.7192283561869961</v>
      </c>
      <c r="J50">
        <v>0.60699763809152618</v>
      </c>
      <c r="K50">
        <v>-0.1906941266209001</v>
      </c>
      <c r="L50">
        <v>6.9894367907366708E-2</v>
      </c>
      <c r="M50" t="s">
        <v>25</v>
      </c>
      <c r="N50">
        <v>19</v>
      </c>
      <c r="O50" t="s">
        <v>26</v>
      </c>
      <c r="P50">
        <v>45534</v>
      </c>
      <c r="Q50">
        <v>52.39</v>
      </c>
      <c r="R50">
        <v>86.78</v>
      </c>
      <c r="S50">
        <v>0.22693364320808621</v>
      </c>
      <c r="T50">
        <v>4.9915724170657844E-3</v>
      </c>
      <c r="U50">
        <v>1.778984924908152E-3</v>
      </c>
      <c r="V50">
        <v>3.2139166757106708E-3</v>
      </c>
      <c r="W50">
        <v>-1.4349317508025191E-3</v>
      </c>
    </row>
    <row r="51" spans="1:23" hidden="1">
      <c r="A51">
        <v>5</v>
      </c>
      <c r="B51" t="s">
        <v>28</v>
      </c>
      <c r="C51" t="s">
        <v>29</v>
      </c>
      <c r="D51">
        <v>45712</v>
      </c>
      <c r="E51">
        <v>52.63</v>
      </c>
      <c r="F51">
        <v>86.45</v>
      </c>
      <c r="G51">
        <v>52.624737000000003</v>
      </c>
      <c r="H51">
        <v>86.458645000000004</v>
      </c>
      <c r="I51">
        <v>4.7581024503827214</v>
      </c>
      <c r="J51">
        <v>0.60699763809152618</v>
      </c>
      <c r="K51">
        <v>-0.1900057001710051</v>
      </c>
      <c r="L51">
        <v>7.0213723318857849E-2</v>
      </c>
      <c r="M51" t="s">
        <v>25</v>
      </c>
      <c r="N51">
        <v>13</v>
      </c>
      <c r="O51" t="s">
        <v>26</v>
      </c>
      <c r="P51">
        <v>45725</v>
      </c>
      <c r="Q51">
        <v>52.805</v>
      </c>
      <c r="R51">
        <v>87.42</v>
      </c>
      <c r="S51">
        <v>0.28526969170980321</v>
      </c>
      <c r="T51">
        <v>3.485631408936668E-2</v>
      </c>
      <c r="U51">
        <v>3.1632182982269282E-2</v>
      </c>
      <c r="V51">
        <v>3.2139166757106708E-3</v>
      </c>
      <c r="W51">
        <v>2.8418266306558609E-2</v>
      </c>
    </row>
    <row r="52" spans="1:23" hidden="1">
      <c r="A52">
        <v>5</v>
      </c>
      <c r="B52" t="s">
        <v>28</v>
      </c>
      <c r="C52" t="s">
        <v>29</v>
      </c>
      <c r="D52">
        <v>45806</v>
      </c>
      <c r="E52">
        <v>52.82</v>
      </c>
      <c r="F52">
        <v>88.224999999999994</v>
      </c>
      <c r="G52">
        <v>52.814717999999999</v>
      </c>
      <c r="H52">
        <v>88.233822499999988</v>
      </c>
      <c r="I52">
        <v>3.5419216132306008</v>
      </c>
      <c r="J52">
        <v>0.60699763809152618</v>
      </c>
      <c r="K52">
        <v>-0.18932222642938279</v>
      </c>
      <c r="L52">
        <v>6.8801092444491493E-2</v>
      </c>
      <c r="M52" t="s">
        <v>25</v>
      </c>
      <c r="N52">
        <v>9</v>
      </c>
      <c r="O52" t="s">
        <v>26</v>
      </c>
      <c r="P52">
        <v>45815</v>
      </c>
      <c r="Q52">
        <v>52.805</v>
      </c>
      <c r="R52">
        <v>88.355000000000004</v>
      </c>
      <c r="S52">
        <v>0.2694315323905429</v>
      </c>
      <c r="T52">
        <v>1.178397541422541E-2</v>
      </c>
      <c r="U52">
        <v>8.569369707180613E-3</v>
      </c>
      <c r="V52">
        <v>3.2139166757106708E-3</v>
      </c>
      <c r="W52">
        <v>5.3554530314699426E-3</v>
      </c>
    </row>
    <row r="53" spans="1:23" hidden="1">
      <c r="A53">
        <v>5</v>
      </c>
      <c r="B53" t="s">
        <v>28</v>
      </c>
      <c r="C53" t="s">
        <v>29</v>
      </c>
      <c r="D53">
        <v>46105</v>
      </c>
      <c r="E53">
        <v>51.88</v>
      </c>
      <c r="F53">
        <v>87.05</v>
      </c>
      <c r="G53">
        <v>51.885187999999999</v>
      </c>
      <c r="H53">
        <v>87.041295000000005</v>
      </c>
      <c r="I53">
        <v>-3.8454865415351742</v>
      </c>
      <c r="J53">
        <v>0.60699763809152618</v>
      </c>
      <c r="K53">
        <v>0.19275250578257519</v>
      </c>
      <c r="L53">
        <v>-6.9729768878980608E-2</v>
      </c>
      <c r="M53" t="s">
        <v>27</v>
      </c>
      <c r="N53">
        <v>13</v>
      </c>
      <c r="O53" t="s">
        <v>26</v>
      </c>
      <c r="P53">
        <v>46118</v>
      </c>
      <c r="Q53">
        <v>51.82</v>
      </c>
      <c r="R53">
        <v>87.155000000000001</v>
      </c>
      <c r="S53">
        <v>-0.46359031874689971</v>
      </c>
      <c r="T53">
        <v>-1.8886776079248189E-2</v>
      </c>
      <c r="U53">
        <v>-2.2100347002967761E-2</v>
      </c>
      <c r="V53">
        <v>3.214073876655434E-3</v>
      </c>
      <c r="W53">
        <v>-2.5314420879623191E-2</v>
      </c>
    </row>
    <row r="54" spans="1:23" hidden="1">
      <c r="A54">
        <v>5</v>
      </c>
      <c r="B54" t="s">
        <v>28</v>
      </c>
      <c r="C54" t="s">
        <v>29</v>
      </c>
      <c r="D54">
        <v>46492</v>
      </c>
      <c r="E54">
        <v>51.84</v>
      </c>
      <c r="F54">
        <v>86.97</v>
      </c>
      <c r="G54">
        <v>51.834816000000004</v>
      </c>
      <c r="H54">
        <v>86.978696999999997</v>
      </c>
      <c r="I54">
        <v>3.7090223895453591</v>
      </c>
      <c r="J54">
        <v>0.60699763809152618</v>
      </c>
      <c r="K54">
        <v>-0.1929012345679012</v>
      </c>
      <c r="L54">
        <v>6.9793910324425223E-2</v>
      </c>
      <c r="M54" t="s">
        <v>25</v>
      </c>
      <c r="N54">
        <v>4</v>
      </c>
      <c r="O54" t="s">
        <v>26</v>
      </c>
      <c r="P54">
        <v>46496</v>
      </c>
      <c r="Q54">
        <v>51.924999999999997</v>
      </c>
      <c r="R54">
        <v>87.46</v>
      </c>
      <c r="S54">
        <v>0.40797625768877821</v>
      </c>
      <c r="T54">
        <v>1.7802411120697609E-2</v>
      </c>
      <c r="U54">
        <v>1.4583356282414899E-2</v>
      </c>
      <c r="V54">
        <v>3.2139166757106708E-3</v>
      </c>
      <c r="W54">
        <v>1.1369439606704231E-2</v>
      </c>
    </row>
    <row r="55" spans="1:23" hidden="1">
      <c r="A55">
        <v>5</v>
      </c>
      <c r="B55" t="s">
        <v>28</v>
      </c>
      <c r="C55" t="s">
        <v>29</v>
      </c>
      <c r="D55">
        <v>47273</v>
      </c>
      <c r="E55">
        <v>51.95</v>
      </c>
      <c r="F55">
        <v>88.66</v>
      </c>
      <c r="G55">
        <v>51.955195000000003</v>
      </c>
      <c r="H55">
        <v>88.651133999999999</v>
      </c>
      <c r="I55">
        <v>-4.0212474086193817</v>
      </c>
      <c r="J55">
        <v>0.60699763809152618</v>
      </c>
      <c r="K55">
        <v>0.19249278152069299</v>
      </c>
      <c r="L55">
        <v>-6.8463527869560808E-2</v>
      </c>
      <c r="M55" t="s">
        <v>27</v>
      </c>
      <c r="N55">
        <v>26</v>
      </c>
      <c r="O55" t="s">
        <v>26</v>
      </c>
      <c r="P55">
        <v>47299</v>
      </c>
      <c r="Q55">
        <v>51.954999999999998</v>
      </c>
      <c r="R55">
        <v>88.9</v>
      </c>
      <c r="S55">
        <v>-0.30297441161081379</v>
      </c>
      <c r="T55">
        <v>-1.546878278109263E-2</v>
      </c>
      <c r="U55">
        <v>-1.8684517428334671E-2</v>
      </c>
      <c r="V55">
        <v>3.214073876655434E-3</v>
      </c>
      <c r="W55">
        <v>-2.1898591304990112E-2</v>
      </c>
    </row>
    <row r="56" spans="1:23" hidden="1">
      <c r="A56">
        <v>6</v>
      </c>
      <c r="B56" t="s">
        <v>23</v>
      </c>
      <c r="C56" t="s">
        <v>28</v>
      </c>
      <c r="D56">
        <v>47401</v>
      </c>
      <c r="E56">
        <v>301.29000000000002</v>
      </c>
      <c r="F56">
        <v>51.65</v>
      </c>
      <c r="G56">
        <v>301.25987099999998</v>
      </c>
      <c r="H56">
        <v>51.655164999999997</v>
      </c>
      <c r="I56">
        <v>5.2942469059277961</v>
      </c>
      <c r="J56">
        <v>1.049029346166849</v>
      </c>
      <c r="K56">
        <v>-3.3190613694447209E-2</v>
      </c>
      <c r="L56">
        <v>0.20310345521139381</v>
      </c>
      <c r="M56" t="s">
        <v>25</v>
      </c>
      <c r="N56">
        <v>23</v>
      </c>
      <c r="O56" t="s">
        <v>26</v>
      </c>
      <c r="P56">
        <v>47424</v>
      </c>
      <c r="Q56">
        <v>301.3</v>
      </c>
      <c r="R56">
        <v>51.674999999999997</v>
      </c>
      <c r="S56">
        <v>0.49052089181308289</v>
      </c>
      <c r="T56">
        <v>4.7456802433403873E-3</v>
      </c>
      <c r="U56">
        <v>6.4708060175645626E-4</v>
      </c>
      <c r="V56">
        <v>4.0980684982029319E-3</v>
      </c>
      <c r="W56">
        <v>-3.4509878964464761E-3</v>
      </c>
    </row>
    <row r="57" spans="1:23" hidden="1">
      <c r="A57">
        <v>6</v>
      </c>
      <c r="B57" t="s">
        <v>23</v>
      </c>
      <c r="C57" t="s">
        <v>28</v>
      </c>
      <c r="D57">
        <v>47638</v>
      </c>
      <c r="E57">
        <v>300.86</v>
      </c>
      <c r="F57">
        <v>51.64</v>
      </c>
      <c r="G57">
        <v>300.890086</v>
      </c>
      <c r="H57">
        <v>51.634836</v>
      </c>
      <c r="I57">
        <v>-3.5518788122017551</v>
      </c>
      <c r="J57">
        <v>1.049029346166849</v>
      </c>
      <c r="K57">
        <v>3.3238050920694012E-2</v>
      </c>
      <c r="L57">
        <v>-0.20314278585725201</v>
      </c>
      <c r="M57" t="s">
        <v>27</v>
      </c>
      <c r="N57">
        <v>29</v>
      </c>
      <c r="O57" t="s">
        <v>26</v>
      </c>
      <c r="P57">
        <v>47667</v>
      </c>
      <c r="Q57">
        <v>304.89999999999998</v>
      </c>
      <c r="R57">
        <v>52.38</v>
      </c>
      <c r="S57">
        <v>0.14843382503864511</v>
      </c>
      <c r="T57">
        <v>-1.6043935814764269E-2</v>
      </c>
      <c r="U57">
        <v>-2.0170455245822141E-2</v>
      </c>
      <c r="V57">
        <v>4.098048886464466E-3</v>
      </c>
      <c r="W57">
        <v>-2.4268504132286609E-2</v>
      </c>
    </row>
    <row r="58" spans="1:23" hidden="1">
      <c r="A58">
        <v>6</v>
      </c>
      <c r="B58" t="s">
        <v>23</v>
      </c>
      <c r="C58" t="s">
        <v>28</v>
      </c>
      <c r="D58">
        <v>47964</v>
      </c>
      <c r="E58">
        <v>304.83</v>
      </c>
      <c r="F58">
        <v>52.87</v>
      </c>
      <c r="G58">
        <v>304.86048299999999</v>
      </c>
      <c r="H58">
        <v>52.864712999999988</v>
      </c>
      <c r="I58">
        <v>-4.1516297174629004</v>
      </c>
      <c r="J58">
        <v>1.049029346166849</v>
      </c>
      <c r="K58">
        <v>3.2805170094806942E-2</v>
      </c>
      <c r="L58">
        <v>-0.19841674790369759</v>
      </c>
      <c r="M58" t="s">
        <v>27</v>
      </c>
      <c r="N58">
        <v>9</v>
      </c>
      <c r="O58" t="s">
        <v>26</v>
      </c>
      <c r="P58">
        <v>47973</v>
      </c>
      <c r="Q58">
        <v>305.74</v>
      </c>
      <c r="R58">
        <v>52.884999999999998</v>
      </c>
      <c r="S58">
        <v>0.40576483883895809</v>
      </c>
      <c r="T58">
        <v>2.687645356771956E-2</v>
      </c>
      <c r="U58">
        <v>2.2775111979784889E-2</v>
      </c>
      <c r="V58">
        <v>4.0980488864644643E-3</v>
      </c>
      <c r="W58">
        <v>1.8677063093320422E-2</v>
      </c>
    </row>
    <row r="59" spans="1:23" hidden="1">
      <c r="A59">
        <v>6</v>
      </c>
      <c r="B59" t="s">
        <v>23</v>
      </c>
      <c r="C59" t="s">
        <v>28</v>
      </c>
      <c r="D59">
        <v>48224</v>
      </c>
      <c r="E59">
        <v>303.74</v>
      </c>
      <c r="F59">
        <v>52.99</v>
      </c>
      <c r="G59">
        <v>303.770374</v>
      </c>
      <c r="H59">
        <v>52.984701000000001</v>
      </c>
      <c r="I59">
        <v>-3.5960148268180601</v>
      </c>
      <c r="J59">
        <v>1.049029346166849</v>
      </c>
      <c r="K59">
        <v>3.2922894580891551E-2</v>
      </c>
      <c r="L59">
        <v>-0.1979674176574541</v>
      </c>
      <c r="M59" t="s">
        <v>27</v>
      </c>
      <c r="N59">
        <v>19</v>
      </c>
      <c r="O59" t="s">
        <v>26</v>
      </c>
      <c r="P59">
        <v>48243</v>
      </c>
      <c r="Q59">
        <v>303.51</v>
      </c>
      <c r="R59">
        <v>52.92</v>
      </c>
      <c r="S59">
        <v>2.9467072457728439E-2</v>
      </c>
      <c r="T59">
        <v>6.2854534824161859E-3</v>
      </c>
      <c r="U59">
        <v>2.1895377885821458E-3</v>
      </c>
      <c r="V59">
        <v>4.0980488864644652E-3</v>
      </c>
      <c r="W59">
        <v>-1.9085110978823189E-3</v>
      </c>
    </row>
    <row r="60" spans="1:23" hidden="1">
      <c r="A60">
        <v>6</v>
      </c>
      <c r="B60" t="s">
        <v>23</v>
      </c>
      <c r="C60" t="s">
        <v>28</v>
      </c>
      <c r="D60">
        <v>48834</v>
      </c>
      <c r="E60">
        <v>312.99</v>
      </c>
      <c r="F60">
        <v>54.57</v>
      </c>
      <c r="G60">
        <v>312.95870100000002</v>
      </c>
      <c r="H60">
        <v>54.575457</v>
      </c>
      <c r="I60">
        <v>3.5632040514477912</v>
      </c>
      <c r="J60">
        <v>1.049029346166849</v>
      </c>
      <c r="K60">
        <v>-3.1949902552797213E-2</v>
      </c>
      <c r="L60">
        <v>0.19223554080389391</v>
      </c>
      <c r="M60" t="s">
        <v>25</v>
      </c>
      <c r="N60">
        <v>1</v>
      </c>
      <c r="O60" t="s">
        <v>26</v>
      </c>
      <c r="P60">
        <v>48835</v>
      </c>
      <c r="Q60">
        <v>311.17</v>
      </c>
      <c r="R60">
        <v>54.49</v>
      </c>
      <c r="S60">
        <v>2.96945488582755E-2</v>
      </c>
      <c r="T60">
        <v>4.2769979381779517E-2</v>
      </c>
      <c r="U60">
        <v>3.8679273456037638E-2</v>
      </c>
      <c r="V60">
        <v>4.0980684982029319E-3</v>
      </c>
      <c r="W60">
        <v>3.4581204957834698E-2</v>
      </c>
    </row>
    <row r="61" spans="1:23" hidden="1">
      <c r="A61">
        <v>6</v>
      </c>
      <c r="B61" t="s">
        <v>23</v>
      </c>
      <c r="C61" t="s">
        <v>28</v>
      </c>
      <c r="D61">
        <v>49223</v>
      </c>
      <c r="E61">
        <v>316.18</v>
      </c>
      <c r="F61">
        <v>55.055</v>
      </c>
      <c r="G61">
        <v>316.21161799999999</v>
      </c>
      <c r="H61">
        <v>55.049494500000002</v>
      </c>
      <c r="I61">
        <v>-4.859089007060053</v>
      </c>
      <c r="J61">
        <v>1.049029346166849</v>
      </c>
      <c r="K61">
        <v>3.1627553924979443E-2</v>
      </c>
      <c r="L61">
        <v>-0.19054206632764489</v>
      </c>
      <c r="M61" t="s">
        <v>27</v>
      </c>
      <c r="N61">
        <v>31</v>
      </c>
      <c r="O61" t="s">
        <v>26</v>
      </c>
      <c r="P61">
        <v>49254</v>
      </c>
      <c r="Q61">
        <v>315.45</v>
      </c>
      <c r="R61">
        <v>55.23</v>
      </c>
      <c r="S61">
        <v>-0.18965137323514589</v>
      </c>
      <c r="T61">
        <v>-5.6432975972572887E-2</v>
      </c>
      <c r="U61">
        <v>-6.0532060339628997E-2</v>
      </c>
      <c r="V61">
        <v>4.0980488864644652E-3</v>
      </c>
      <c r="W61">
        <v>-6.4630109226093468E-2</v>
      </c>
    </row>
    <row r="62" spans="1:23" hidden="1">
      <c r="A62">
        <v>6</v>
      </c>
      <c r="B62" t="s">
        <v>23</v>
      </c>
      <c r="C62" t="s">
        <v>28</v>
      </c>
      <c r="D62">
        <v>49616</v>
      </c>
      <c r="E62">
        <v>311.875</v>
      </c>
      <c r="F62">
        <v>54.77</v>
      </c>
      <c r="G62">
        <v>311.90618749999999</v>
      </c>
      <c r="H62">
        <v>54.764522999999997</v>
      </c>
      <c r="I62">
        <v>-3.8976025459049848</v>
      </c>
      <c r="J62">
        <v>1.049029346166849</v>
      </c>
      <c r="K62">
        <v>3.2064128256513023E-2</v>
      </c>
      <c r="L62">
        <v>-0.1915335669466586</v>
      </c>
      <c r="M62" t="s">
        <v>27</v>
      </c>
      <c r="N62">
        <v>2</v>
      </c>
      <c r="O62" t="s">
        <v>26</v>
      </c>
      <c r="P62">
        <v>49618</v>
      </c>
      <c r="Q62">
        <v>311.14999999999998</v>
      </c>
      <c r="R62">
        <v>54.445</v>
      </c>
      <c r="S62">
        <v>-0.18436969319392729</v>
      </c>
      <c r="T62">
        <v>3.900191627169191E-2</v>
      </c>
      <c r="U62">
        <v>3.4912407069583963E-2</v>
      </c>
      <c r="V62">
        <v>4.0980488864644652E-3</v>
      </c>
      <c r="W62">
        <v>3.0814358183119499E-2</v>
      </c>
    </row>
    <row r="63" spans="1:23" hidden="1">
      <c r="A63">
        <v>6</v>
      </c>
      <c r="B63" t="s">
        <v>23</v>
      </c>
      <c r="C63" t="s">
        <v>28</v>
      </c>
      <c r="D63">
        <v>50004</v>
      </c>
      <c r="E63">
        <v>316.02999999999997</v>
      </c>
      <c r="F63">
        <v>55.7</v>
      </c>
      <c r="G63">
        <v>315.99839700000001</v>
      </c>
      <c r="H63">
        <v>55.705570000000002</v>
      </c>
      <c r="I63">
        <v>3.6230947294132791</v>
      </c>
      <c r="J63">
        <v>1.049029346166849</v>
      </c>
      <c r="K63">
        <v>-3.1642565579217158E-2</v>
      </c>
      <c r="L63">
        <v>0.1883356097247485</v>
      </c>
      <c r="M63" t="s">
        <v>25</v>
      </c>
      <c r="N63">
        <v>27</v>
      </c>
      <c r="O63" t="s">
        <v>26</v>
      </c>
      <c r="P63">
        <v>50031</v>
      </c>
      <c r="Q63">
        <v>321.45999999999998</v>
      </c>
      <c r="R63">
        <v>56.15</v>
      </c>
      <c r="S63">
        <v>0.17975243519388259</v>
      </c>
      <c r="T63">
        <v>-8.7068106719013411E-2</v>
      </c>
      <c r="U63">
        <v>-9.119182242689472E-2</v>
      </c>
      <c r="V63">
        <v>4.0980684982029319E-3</v>
      </c>
      <c r="W63">
        <v>-9.5289890925097653E-2</v>
      </c>
    </row>
    <row r="64" spans="1:23" hidden="1">
      <c r="A64">
        <v>6</v>
      </c>
      <c r="B64" t="s">
        <v>23</v>
      </c>
      <c r="C64" t="s">
        <v>28</v>
      </c>
      <c r="D64">
        <v>50394</v>
      </c>
      <c r="E64">
        <v>320.89</v>
      </c>
      <c r="F64">
        <v>56.534999999999997</v>
      </c>
      <c r="G64">
        <v>320.92208900000003</v>
      </c>
      <c r="H64">
        <v>56.529346500000003</v>
      </c>
      <c r="I64">
        <v>-4.3146824282382417</v>
      </c>
      <c r="J64">
        <v>1.049029346166849</v>
      </c>
      <c r="K64">
        <v>3.116332699679018E-2</v>
      </c>
      <c r="L64">
        <v>-0.18555396589136811</v>
      </c>
      <c r="M64" t="s">
        <v>27</v>
      </c>
      <c r="N64">
        <v>1</v>
      </c>
      <c r="O64" t="s">
        <v>26</v>
      </c>
      <c r="P64">
        <v>50395</v>
      </c>
      <c r="Q64">
        <v>320.89499999999998</v>
      </c>
      <c r="R64">
        <v>56.34</v>
      </c>
      <c r="S64">
        <v>-0.46827256733414369</v>
      </c>
      <c r="T64">
        <v>3.6338839983799318E-2</v>
      </c>
      <c r="U64">
        <v>3.2244384012137667E-2</v>
      </c>
      <c r="V64">
        <v>4.0980488864644652E-3</v>
      </c>
      <c r="W64">
        <v>2.8146335125673199E-2</v>
      </c>
    </row>
    <row r="65" spans="1:23" hidden="1">
      <c r="A65">
        <v>6</v>
      </c>
      <c r="B65" t="s">
        <v>23</v>
      </c>
      <c r="C65" t="s">
        <v>28</v>
      </c>
      <c r="D65">
        <v>50785</v>
      </c>
      <c r="E65">
        <v>325.55</v>
      </c>
      <c r="F65">
        <v>56.74</v>
      </c>
      <c r="G65">
        <v>325.51744500000001</v>
      </c>
      <c r="H65">
        <v>56.745674000000001</v>
      </c>
      <c r="I65">
        <v>4.0609214064613957</v>
      </c>
      <c r="J65">
        <v>1.049029346166849</v>
      </c>
      <c r="K65">
        <v>-3.0717247734602979E-2</v>
      </c>
      <c r="L65">
        <v>0.18488356471040701</v>
      </c>
      <c r="M65" t="s">
        <v>25</v>
      </c>
      <c r="N65">
        <v>25</v>
      </c>
      <c r="O65" t="s">
        <v>26</v>
      </c>
      <c r="P65">
        <v>50810</v>
      </c>
      <c r="Q65">
        <v>325.10000000000002</v>
      </c>
      <c r="R65">
        <v>56.575000000000003</v>
      </c>
      <c r="S65">
        <v>0.30658079857563819</v>
      </c>
      <c r="T65">
        <v>-1.6683026696646001E-2</v>
      </c>
      <c r="U65">
        <v>-2.0776652534013521E-2</v>
      </c>
      <c r="V65">
        <v>4.0980684982029319E-3</v>
      </c>
      <c r="W65">
        <v>-2.4874721032216451E-2</v>
      </c>
    </row>
    <row r="66" spans="1:23" hidden="1">
      <c r="A66">
        <v>6</v>
      </c>
      <c r="B66" t="s">
        <v>23</v>
      </c>
      <c r="C66" t="s">
        <v>28</v>
      </c>
      <c r="D66">
        <v>51174</v>
      </c>
      <c r="E66">
        <v>323.52999999999997</v>
      </c>
      <c r="F66">
        <v>55.94</v>
      </c>
      <c r="G66">
        <v>323.49764699999997</v>
      </c>
      <c r="H66">
        <v>55.945594</v>
      </c>
      <c r="I66">
        <v>4.6345613147110241</v>
      </c>
      <c r="J66">
        <v>1.049029346166849</v>
      </c>
      <c r="K66">
        <v>-3.0909034710845981E-2</v>
      </c>
      <c r="L66">
        <v>0.1875275913776992</v>
      </c>
      <c r="M66" t="s">
        <v>25</v>
      </c>
      <c r="N66">
        <v>21</v>
      </c>
      <c r="O66" t="s">
        <v>26</v>
      </c>
      <c r="P66">
        <v>51195</v>
      </c>
      <c r="Q66">
        <v>321.07499999999999</v>
      </c>
      <c r="R66">
        <v>55.34</v>
      </c>
      <c r="S66">
        <v>0.29875456474032003</v>
      </c>
      <c r="T66">
        <v>-3.6634874611492042E-2</v>
      </c>
      <c r="U66">
        <v>-4.0714093480321317E-2</v>
      </c>
      <c r="V66">
        <v>4.0980684982029319E-3</v>
      </c>
      <c r="W66">
        <v>-4.4812161978524251E-2</v>
      </c>
    </row>
    <row r="67" spans="1:23" hidden="1">
      <c r="A67">
        <v>7</v>
      </c>
      <c r="B67" t="s">
        <v>23</v>
      </c>
      <c r="C67" t="s">
        <v>28</v>
      </c>
      <c r="D67">
        <v>51301</v>
      </c>
      <c r="E67">
        <v>315.82</v>
      </c>
      <c r="F67">
        <v>54.64</v>
      </c>
      <c r="G67">
        <v>315.78841799999998</v>
      </c>
      <c r="H67">
        <v>54.645463999999997</v>
      </c>
      <c r="I67">
        <v>5.2898091939323457</v>
      </c>
      <c r="J67">
        <v>1.010146982915971</v>
      </c>
      <c r="K67">
        <v>-3.1663605851434358E-2</v>
      </c>
      <c r="L67">
        <v>0.1848731667122934</v>
      </c>
      <c r="M67" t="s">
        <v>25</v>
      </c>
      <c r="N67">
        <v>23</v>
      </c>
      <c r="O67" t="s">
        <v>26</v>
      </c>
      <c r="P67">
        <v>51324</v>
      </c>
      <c r="Q67">
        <v>314.75</v>
      </c>
      <c r="R67">
        <v>54.505000000000003</v>
      </c>
      <c r="S67">
        <v>0.48829574690187438</v>
      </c>
      <c r="T67">
        <v>8.9221807548753099E-3</v>
      </c>
      <c r="U67">
        <v>4.9077705826199164E-3</v>
      </c>
      <c r="V67">
        <v>4.0202959952285256E-3</v>
      </c>
      <c r="W67">
        <v>8.8747458739139081E-4</v>
      </c>
    </row>
    <row r="68" spans="1:23" hidden="1">
      <c r="A68">
        <v>7</v>
      </c>
      <c r="B68" t="s">
        <v>23</v>
      </c>
      <c r="C68" t="s">
        <v>28</v>
      </c>
      <c r="D68">
        <v>51565</v>
      </c>
      <c r="E68">
        <v>310.43</v>
      </c>
      <c r="F68">
        <v>53.52</v>
      </c>
      <c r="G68">
        <v>310.398957</v>
      </c>
      <c r="H68">
        <v>53.525352000000012</v>
      </c>
      <c r="I68">
        <v>4.075568730273786</v>
      </c>
      <c r="J68">
        <v>1.010146982915971</v>
      </c>
      <c r="K68">
        <v>-3.2213381438649623E-2</v>
      </c>
      <c r="L68">
        <v>0.18874196242824581</v>
      </c>
      <c r="M68" t="s">
        <v>25</v>
      </c>
      <c r="N68">
        <v>14</v>
      </c>
      <c r="O68" t="s">
        <v>26</v>
      </c>
      <c r="P68">
        <v>51579</v>
      </c>
      <c r="Q68">
        <v>310.47000000000003</v>
      </c>
      <c r="R68">
        <v>53.62</v>
      </c>
      <c r="S68">
        <v>7.7876738339145699E-2</v>
      </c>
      <c r="T68">
        <v>1.758566098527686E-2</v>
      </c>
      <c r="U68">
        <v>1.3563350746294471E-2</v>
      </c>
      <c r="V68">
        <v>4.0202959952285256E-3</v>
      </c>
      <c r="W68">
        <v>9.543054751065946E-3</v>
      </c>
    </row>
    <row r="69" spans="1:23" hidden="1">
      <c r="A69">
        <v>7</v>
      </c>
      <c r="B69" t="s">
        <v>23</v>
      </c>
      <c r="C69" t="s">
        <v>28</v>
      </c>
      <c r="D69">
        <v>52344</v>
      </c>
      <c r="E69">
        <v>304.58999999999997</v>
      </c>
      <c r="F69">
        <v>53.24</v>
      </c>
      <c r="G69">
        <v>304.62045899999998</v>
      </c>
      <c r="H69">
        <v>53.234676</v>
      </c>
      <c r="I69">
        <v>-4.9584326804218293</v>
      </c>
      <c r="J69">
        <v>1.010146982915971</v>
      </c>
      <c r="K69">
        <v>3.283101874651171E-2</v>
      </c>
      <c r="L69">
        <v>-0.1897345948377106</v>
      </c>
      <c r="M69" t="s">
        <v>27</v>
      </c>
      <c r="N69">
        <v>12</v>
      </c>
      <c r="O69" t="s">
        <v>26</v>
      </c>
      <c r="P69">
        <v>52356</v>
      </c>
      <c r="Q69">
        <v>306.60500000000002</v>
      </c>
      <c r="R69">
        <v>53.274999999999999</v>
      </c>
      <c r="S69">
        <v>-0.14343058562202879</v>
      </c>
      <c r="T69">
        <v>5.9513791954903278E-2</v>
      </c>
      <c r="U69">
        <v>5.5486218467711103E-2</v>
      </c>
      <c r="V69">
        <v>4.0202919364353594E-3</v>
      </c>
      <c r="W69">
        <v>5.1465926531275727E-2</v>
      </c>
    </row>
    <row r="70" spans="1:23" hidden="1">
      <c r="A70">
        <v>7</v>
      </c>
      <c r="B70" t="s">
        <v>23</v>
      </c>
      <c r="C70" t="s">
        <v>28</v>
      </c>
      <c r="D70">
        <v>53127</v>
      </c>
      <c r="E70">
        <v>306.26</v>
      </c>
      <c r="F70">
        <v>52.18</v>
      </c>
      <c r="G70">
        <v>306.22937400000001</v>
      </c>
      <c r="H70">
        <v>52.185217999999999</v>
      </c>
      <c r="I70">
        <v>4.6566311301594041</v>
      </c>
      <c r="J70">
        <v>1.010146982915971</v>
      </c>
      <c r="K70">
        <v>-3.2651995036896753E-2</v>
      </c>
      <c r="L70">
        <v>0.19358891968493119</v>
      </c>
      <c r="M70" t="s">
        <v>25</v>
      </c>
      <c r="N70">
        <v>18</v>
      </c>
      <c r="O70" t="s">
        <v>26</v>
      </c>
      <c r="P70">
        <v>53145</v>
      </c>
      <c r="Q70">
        <v>306.84500000000003</v>
      </c>
      <c r="R70">
        <v>52.46</v>
      </c>
      <c r="S70">
        <v>0.36883765175630667</v>
      </c>
      <c r="T70">
        <v>3.5103480415195183E-2</v>
      </c>
      <c r="U70">
        <v>3.1075855817902918E-2</v>
      </c>
      <c r="V70">
        <v>4.0202959952285256E-3</v>
      </c>
      <c r="W70">
        <v>2.7055559822674401E-2</v>
      </c>
    </row>
    <row r="71" spans="1:23" hidden="1">
      <c r="A71">
        <v>7</v>
      </c>
      <c r="B71" t="s">
        <v>23</v>
      </c>
      <c r="C71" t="s">
        <v>28</v>
      </c>
      <c r="D71">
        <v>53372</v>
      </c>
      <c r="E71">
        <v>305.2</v>
      </c>
      <c r="F71">
        <v>52.24</v>
      </c>
      <c r="G71">
        <v>305.23052000000001</v>
      </c>
      <c r="H71">
        <v>52.234775999999997</v>
      </c>
      <c r="I71">
        <v>-3.7749881529900149</v>
      </c>
      <c r="J71">
        <v>1.010146982915971</v>
      </c>
      <c r="K71">
        <v>3.2765399737876802E-2</v>
      </c>
      <c r="L71">
        <v>-0.19336657406507871</v>
      </c>
      <c r="M71" t="s">
        <v>27</v>
      </c>
      <c r="N71">
        <v>11</v>
      </c>
      <c r="O71" t="s">
        <v>26</v>
      </c>
      <c r="P71">
        <v>53383</v>
      </c>
      <c r="Q71">
        <v>306.63</v>
      </c>
      <c r="R71">
        <v>52.414999999999999</v>
      </c>
      <c r="S71">
        <v>-0.25681306697959139</v>
      </c>
      <c r="T71">
        <v>1.3015371163775821E-2</v>
      </c>
      <c r="U71">
        <v>8.9870078307352427E-3</v>
      </c>
      <c r="V71">
        <v>4.0202919364353603E-3</v>
      </c>
      <c r="W71">
        <v>4.9667158942998824E-3</v>
      </c>
    </row>
    <row r="72" spans="1:23" hidden="1">
      <c r="A72">
        <v>7</v>
      </c>
      <c r="B72" t="s">
        <v>23</v>
      </c>
      <c r="C72" t="s">
        <v>28</v>
      </c>
      <c r="D72">
        <v>53517</v>
      </c>
      <c r="E72">
        <v>307.62</v>
      </c>
      <c r="F72">
        <v>52.44</v>
      </c>
      <c r="G72">
        <v>307.58923800000002</v>
      </c>
      <c r="H72">
        <v>52.445244000000002</v>
      </c>
      <c r="I72">
        <v>4.0646379047212484</v>
      </c>
      <c r="J72">
        <v>1.010146982915971</v>
      </c>
      <c r="K72">
        <v>-3.2507639295234383E-2</v>
      </c>
      <c r="L72">
        <v>0.19262909666589839</v>
      </c>
      <c r="M72" t="s">
        <v>25</v>
      </c>
      <c r="N72">
        <v>18</v>
      </c>
      <c r="O72" t="s">
        <v>26</v>
      </c>
      <c r="P72">
        <v>53535</v>
      </c>
      <c r="Q72">
        <v>305.99</v>
      </c>
      <c r="R72">
        <v>52.08</v>
      </c>
      <c r="S72">
        <v>0.27083471387508978</v>
      </c>
      <c r="T72">
        <v>-1.635902274849144E-2</v>
      </c>
      <c r="U72">
        <v>-2.0367083321636309E-2</v>
      </c>
      <c r="V72">
        <v>4.0202959952285256E-3</v>
      </c>
      <c r="W72">
        <v>-2.438737931686483E-2</v>
      </c>
    </row>
    <row r="73" spans="1:23" hidden="1">
      <c r="A73">
        <v>7</v>
      </c>
      <c r="B73" t="s">
        <v>23</v>
      </c>
      <c r="C73" t="s">
        <v>28</v>
      </c>
      <c r="D73">
        <v>53762</v>
      </c>
      <c r="E73">
        <v>309.98500000000001</v>
      </c>
      <c r="F73">
        <v>52.664999999999999</v>
      </c>
      <c r="G73">
        <v>309.9540015</v>
      </c>
      <c r="H73">
        <v>52.670266499999997</v>
      </c>
      <c r="I73">
        <v>4.2167222232767623</v>
      </c>
      <c r="J73">
        <v>1.010146982915971</v>
      </c>
      <c r="K73">
        <v>-3.2259625465748343E-2</v>
      </c>
      <c r="L73">
        <v>0.19180612986157239</v>
      </c>
      <c r="M73" t="s">
        <v>25</v>
      </c>
      <c r="N73">
        <v>29</v>
      </c>
      <c r="O73" t="s">
        <v>26</v>
      </c>
      <c r="P73">
        <v>53791</v>
      </c>
      <c r="Q73">
        <v>310.69</v>
      </c>
      <c r="R73">
        <v>52.98</v>
      </c>
      <c r="S73">
        <v>-0.45026262429605401</v>
      </c>
      <c r="T73">
        <v>3.7675894953042813E-2</v>
      </c>
      <c r="U73">
        <v>3.3647284790525693E-2</v>
      </c>
      <c r="V73">
        <v>4.0202959952285256E-3</v>
      </c>
      <c r="W73">
        <v>2.9626988795297161E-2</v>
      </c>
    </row>
    <row r="74" spans="1:23" hidden="1">
      <c r="A74">
        <v>7</v>
      </c>
      <c r="B74" t="s">
        <v>23</v>
      </c>
      <c r="C74" t="s">
        <v>28</v>
      </c>
      <c r="D74">
        <v>53907</v>
      </c>
      <c r="E74">
        <v>309.82</v>
      </c>
      <c r="F74">
        <v>53.09</v>
      </c>
      <c r="G74">
        <v>309.85098199999999</v>
      </c>
      <c r="H74">
        <v>53.084691000000007</v>
      </c>
      <c r="I74">
        <v>-4.3878530153906263</v>
      </c>
      <c r="J74">
        <v>1.010146982915971</v>
      </c>
      <c r="K74">
        <v>3.2276805887289393E-2</v>
      </c>
      <c r="L74">
        <v>-0.19027066922508409</v>
      </c>
      <c r="M74" t="s">
        <v>27</v>
      </c>
      <c r="N74">
        <v>22</v>
      </c>
      <c r="O74" t="s">
        <v>26</v>
      </c>
      <c r="P74">
        <v>53929</v>
      </c>
      <c r="Q74">
        <v>306.24</v>
      </c>
      <c r="R74">
        <v>52.59</v>
      </c>
      <c r="S74">
        <v>-0.28515227122360992</v>
      </c>
      <c r="T74">
        <v>-2.041563046395348E-2</v>
      </c>
      <c r="U74">
        <v>-2.4414855799815841E-2</v>
      </c>
      <c r="V74">
        <v>4.0202919364353594E-3</v>
      </c>
      <c r="W74">
        <v>-2.84351477362512E-2</v>
      </c>
    </row>
    <row r="75" spans="1:23" hidden="1">
      <c r="A75">
        <v>7</v>
      </c>
      <c r="B75" t="s">
        <v>23</v>
      </c>
      <c r="C75" t="s">
        <v>28</v>
      </c>
      <c r="D75">
        <v>54298</v>
      </c>
      <c r="E75">
        <v>294.07</v>
      </c>
      <c r="F75">
        <v>50.25</v>
      </c>
      <c r="G75">
        <v>294.040593</v>
      </c>
      <c r="H75">
        <v>50.255025000000003</v>
      </c>
      <c r="I75">
        <v>3.6402653643952072</v>
      </c>
      <c r="J75">
        <v>1.010146982915971</v>
      </c>
      <c r="K75">
        <v>-3.4005508892440577E-2</v>
      </c>
      <c r="L75">
        <v>0.20102427520715849</v>
      </c>
      <c r="M75" t="s">
        <v>25</v>
      </c>
      <c r="N75">
        <v>26</v>
      </c>
      <c r="O75" t="s">
        <v>26</v>
      </c>
      <c r="P75">
        <v>54324</v>
      </c>
      <c r="Q75">
        <v>292.95</v>
      </c>
      <c r="R75">
        <v>49.75</v>
      </c>
      <c r="S75">
        <v>0.32317564303634372</v>
      </c>
      <c r="T75">
        <v>-6.2425967644045628E-2</v>
      </c>
      <c r="U75">
        <v>-6.6432401779120256E-2</v>
      </c>
      <c r="V75">
        <v>4.0202959952285256E-3</v>
      </c>
      <c r="W75">
        <v>-7.0452697774348788E-2</v>
      </c>
    </row>
    <row r="76" spans="1:23" hidden="1">
      <c r="A76">
        <v>8</v>
      </c>
      <c r="B76" t="s">
        <v>23</v>
      </c>
      <c r="C76" t="s">
        <v>28</v>
      </c>
      <c r="D76">
        <v>55201</v>
      </c>
      <c r="E76">
        <v>306.26</v>
      </c>
      <c r="F76">
        <v>52.134999999999998</v>
      </c>
      <c r="G76">
        <v>306.22937400000001</v>
      </c>
      <c r="H76">
        <v>52.140213499999987</v>
      </c>
      <c r="I76">
        <v>5.2893751873921389</v>
      </c>
      <c r="J76">
        <v>0.96877792326346956</v>
      </c>
      <c r="K76">
        <v>-3.2651995036896753E-2</v>
      </c>
      <c r="L76">
        <v>0.18582102680799259</v>
      </c>
      <c r="M76" t="s">
        <v>25</v>
      </c>
      <c r="N76">
        <v>23</v>
      </c>
      <c r="O76" t="s">
        <v>26</v>
      </c>
      <c r="P76">
        <v>55224</v>
      </c>
      <c r="Q76">
        <v>305.14999999999998</v>
      </c>
      <c r="R76">
        <v>51.924999999999997</v>
      </c>
      <c r="S76">
        <v>0.49429642635938292</v>
      </c>
      <c r="T76">
        <v>-2.7787011387227709E-3</v>
      </c>
      <c r="U76">
        <v>-6.7087303722357453E-3</v>
      </c>
      <c r="V76">
        <v>3.9375496021115926E-3</v>
      </c>
      <c r="W76">
        <v>-1.064627997434734E-2</v>
      </c>
    </row>
    <row r="77" spans="1:23" hidden="1">
      <c r="A77">
        <v>8</v>
      </c>
      <c r="B77" t="s">
        <v>23</v>
      </c>
      <c r="C77" t="s">
        <v>28</v>
      </c>
      <c r="D77">
        <v>55468</v>
      </c>
      <c r="E77">
        <v>302.83499999999998</v>
      </c>
      <c r="F77">
        <v>51.37</v>
      </c>
      <c r="G77">
        <v>302.80471649999998</v>
      </c>
      <c r="H77">
        <v>51.375137000000002</v>
      </c>
      <c r="I77">
        <v>3.934397936976795</v>
      </c>
      <c r="J77">
        <v>0.96877792326346956</v>
      </c>
      <c r="K77">
        <v>-3.3021282216388462E-2</v>
      </c>
      <c r="L77">
        <v>0.18858826615991231</v>
      </c>
      <c r="M77" t="s">
        <v>25</v>
      </c>
      <c r="N77">
        <v>35</v>
      </c>
      <c r="O77" t="s">
        <v>26</v>
      </c>
      <c r="P77">
        <v>55503</v>
      </c>
      <c r="Q77">
        <v>297.54000000000002</v>
      </c>
      <c r="R77">
        <v>50.25</v>
      </c>
      <c r="S77">
        <v>5.749173956535495E-2</v>
      </c>
      <c r="T77">
        <v>-3.6371168763325801E-2</v>
      </c>
      <c r="U77">
        <v>-4.0270117955106932E-2</v>
      </c>
      <c r="V77">
        <v>3.9375496021115926E-3</v>
      </c>
      <c r="W77">
        <v>-4.4207667557218527E-2</v>
      </c>
    </row>
    <row r="78" spans="1:23" hidden="1">
      <c r="A78">
        <v>8</v>
      </c>
      <c r="B78" t="s">
        <v>23</v>
      </c>
      <c r="C78" t="s">
        <v>28</v>
      </c>
      <c r="D78">
        <v>56249</v>
      </c>
      <c r="E78">
        <v>297.51</v>
      </c>
      <c r="F78">
        <v>48.74</v>
      </c>
      <c r="G78">
        <v>297.48024900000001</v>
      </c>
      <c r="H78">
        <v>48.744874000000003</v>
      </c>
      <c r="I78">
        <v>5.2490396190657274</v>
      </c>
      <c r="J78">
        <v>0.96877792326346956</v>
      </c>
      <c r="K78">
        <v>-3.3612315552418413E-2</v>
      </c>
      <c r="L78">
        <v>0.1987644487614833</v>
      </c>
      <c r="M78" t="s">
        <v>25</v>
      </c>
      <c r="N78">
        <v>1</v>
      </c>
      <c r="O78" t="s">
        <v>26</v>
      </c>
      <c r="P78">
        <v>56250</v>
      </c>
      <c r="Q78">
        <v>290.94</v>
      </c>
      <c r="R78">
        <v>48.62</v>
      </c>
      <c r="S78">
        <v>2.4799705182040371E-2</v>
      </c>
      <c r="T78">
        <v>0.19698117932800979</v>
      </c>
      <c r="U78">
        <v>0.19306809194618649</v>
      </c>
      <c r="V78">
        <v>3.9375496021115926E-3</v>
      </c>
      <c r="W78">
        <v>0.18913054234407489</v>
      </c>
    </row>
    <row r="79" spans="1:23" hidden="1">
      <c r="A79">
        <v>8</v>
      </c>
      <c r="B79" t="s">
        <v>23</v>
      </c>
      <c r="C79" t="s">
        <v>28</v>
      </c>
      <c r="D79">
        <v>56633</v>
      </c>
      <c r="E79">
        <v>300.68</v>
      </c>
      <c r="F79">
        <v>49.88</v>
      </c>
      <c r="G79">
        <v>300.64993199999998</v>
      </c>
      <c r="H79">
        <v>49.884988</v>
      </c>
      <c r="I79">
        <v>3.5957734442424671</v>
      </c>
      <c r="J79">
        <v>0.96877792326346956</v>
      </c>
      <c r="K79">
        <v>-3.3257948649727281E-2</v>
      </c>
      <c r="L79">
        <v>0.194221716772949</v>
      </c>
      <c r="M79" t="s">
        <v>25</v>
      </c>
      <c r="N79">
        <v>14</v>
      </c>
      <c r="O79" t="s">
        <v>26</v>
      </c>
      <c r="P79">
        <v>56647</v>
      </c>
      <c r="Q79">
        <v>299.52</v>
      </c>
      <c r="R79">
        <v>49.82</v>
      </c>
      <c r="S79">
        <v>0.37164097552966741</v>
      </c>
      <c r="T79">
        <v>2.69259174273071E-2</v>
      </c>
      <c r="U79">
        <v>2.2993384833126618E-2</v>
      </c>
      <c r="V79">
        <v>3.9375496021115926E-3</v>
      </c>
      <c r="W79">
        <v>1.905583523101503E-2</v>
      </c>
    </row>
    <row r="80" spans="1:23" hidden="1">
      <c r="A80">
        <v>8</v>
      </c>
      <c r="B80" t="s">
        <v>23</v>
      </c>
      <c r="C80" t="s">
        <v>28</v>
      </c>
      <c r="D80">
        <v>57037</v>
      </c>
      <c r="E80">
        <v>298.98</v>
      </c>
      <c r="F80">
        <v>50.104999999999997</v>
      </c>
      <c r="G80">
        <v>298.95010200000002</v>
      </c>
      <c r="H80">
        <v>50.110010499999987</v>
      </c>
      <c r="I80">
        <v>4.033613404581768</v>
      </c>
      <c r="J80">
        <v>0.96877792326346956</v>
      </c>
      <c r="K80">
        <v>-3.344705331460298E-2</v>
      </c>
      <c r="L80">
        <v>0.19334955059644141</v>
      </c>
      <c r="M80" t="s">
        <v>25</v>
      </c>
      <c r="N80">
        <v>12</v>
      </c>
      <c r="O80" t="s">
        <v>26</v>
      </c>
      <c r="P80">
        <v>57049</v>
      </c>
      <c r="Q80">
        <v>299.43</v>
      </c>
      <c r="R80">
        <v>50.2</v>
      </c>
      <c r="S80">
        <v>0.1896668712687502</v>
      </c>
      <c r="T80">
        <v>3.3170333150921278E-3</v>
      </c>
      <c r="U80">
        <v>-6.2386446956467015E-4</v>
      </c>
      <c r="V80">
        <v>3.9375496021115917E-3</v>
      </c>
      <c r="W80">
        <v>-4.5614140716762619E-3</v>
      </c>
    </row>
    <row r="81" spans="1:23" hidden="1">
      <c r="A81">
        <v>8</v>
      </c>
      <c r="B81" t="s">
        <v>23</v>
      </c>
      <c r="C81" t="s">
        <v>28</v>
      </c>
      <c r="D81">
        <v>57426</v>
      </c>
      <c r="E81">
        <v>293.45999999999998</v>
      </c>
      <c r="F81">
        <v>48.3</v>
      </c>
      <c r="G81">
        <v>293.430654</v>
      </c>
      <c r="H81">
        <v>48.304830000000003</v>
      </c>
      <c r="I81">
        <v>5.2507635355201172</v>
      </c>
      <c r="J81">
        <v>0.96877792326346956</v>
      </c>
      <c r="K81">
        <v>-3.407619437061269E-2</v>
      </c>
      <c r="L81">
        <v>0.20057513939202271</v>
      </c>
      <c r="M81" t="s">
        <v>25</v>
      </c>
      <c r="N81">
        <v>2</v>
      </c>
      <c r="O81" t="s">
        <v>26</v>
      </c>
      <c r="P81">
        <v>57428</v>
      </c>
      <c r="Q81">
        <v>284.45</v>
      </c>
      <c r="R81">
        <v>48.3</v>
      </c>
      <c r="S81">
        <v>-0.43248274821176041</v>
      </c>
      <c r="T81">
        <v>0.30702651127921998</v>
      </c>
      <c r="U81">
        <v>0.3031196580838233</v>
      </c>
      <c r="V81">
        <v>3.9375496021115926E-3</v>
      </c>
      <c r="W81">
        <v>0.29918210848171167</v>
      </c>
    </row>
    <row r="82" spans="1:23" hidden="1">
      <c r="A82">
        <v>8</v>
      </c>
      <c r="B82" t="s">
        <v>23</v>
      </c>
      <c r="C82" t="s">
        <v>28</v>
      </c>
      <c r="D82">
        <v>57818</v>
      </c>
      <c r="E82">
        <v>286.09500000000003</v>
      </c>
      <c r="F82">
        <v>47.64</v>
      </c>
      <c r="G82">
        <v>286.06639050000001</v>
      </c>
      <c r="H82">
        <v>47.644764000000002</v>
      </c>
      <c r="I82">
        <v>4.8158246540165557</v>
      </c>
      <c r="J82">
        <v>0.96877792326346956</v>
      </c>
      <c r="K82">
        <v>-3.4953424561771439E-2</v>
      </c>
      <c r="L82">
        <v>0.20335388817453179</v>
      </c>
      <c r="M82" t="s">
        <v>25</v>
      </c>
      <c r="N82">
        <v>13</v>
      </c>
      <c r="O82" t="s">
        <v>26</v>
      </c>
      <c r="P82">
        <v>57831</v>
      </c>
      <c r="Q82">
        <v>284.52999999999997</v>
      </c>
      <c r="R82">
        <v>47.524999999999999</v>
      </c>
      <c r="S82">
        <v>0.35677660429548941</v>
      </c>
      <c r="T82">
        <v>3.1316412299102647E-2</v>
      </c>
      <c r="U82">
        <v>2.7386665233231858E-2</v>
      </c>
      <c r="V82">
        <v>3.9375496021115926E-3</v>
      </c>
      <c r="W82">
        <v>2.344911563112027E-2</v>
      </c>
    </row>
    <row r="83" spans="1:23" hidden="1">
      <c r="A83">
        <v>8</v>
      </c>
      <c r="B83" t="s">
        <v>23</v>
      </c>
      <c r="C83" t="s">
        <v>28</v>
      </c>
      <c r="D83">
        <v>58208</v>
      </c>
      <c r="E83">
        <v>290.255</v>
      </c>
      <c r="F83">
        <v>48.28</v>
      </c>
      <c r="G83">
        <v>290.28402549999998</v>
      </c>
      <c r="H83">
        <v>48.275171999999998</v>
      </c>
      <c r="I83">
        <v>-4.3455249506303142</v>
      </c>
      <c r="J83">
        <v>0.96877792326346956</v>
      </c>
      <c r="K83">
        <v>3.4452464212502802E-2</v>
      </c>
      <c r="L83">
        <v>-0.20065822768506</v>
      </c>
      <c r="M83" t="s">
        <v>27</v>
      </c>
      <c r="N83">
        <v>14</v>
      </c>
      <c r="O83" t="s">
        <v>26</v>
      </c>
      <c r="P83">
        <v>58222</v>
      </c>
      <c r="Q83">
        <v>289.8</v>
      </c>
      <c r="R83">
        <v>48.05</v>
      </c>
      <c r="S83">
        <v>-0.45764643065864019</v>
      </c>
      <c r="T83">
        <v>3.0475521150876369E-2</v>
      </c>
      <c r="U83">
        <v>2.6544148030709831E-2</v>
      </c>
      <c r="V83">
        <v>3.9375620909422862E-3</v>
      </c>
      <c r="W83">
        <v>2.260658593976754E-2</v>
      </c>
    </row>
    <row r="84" spans="1:23" hidden="1">
      <c r="A84">
        <v>8</v>
      </c>
      <c r="B84" t="s">
        <v>23</v>
      </c>
      <c r="C84" t="s">
        <v>28</v>
      </c>
      <c r="D84">
        <v>58467</v>
      </c>
      <c r="E84">
        <v>291.815</v>
      </c>
      <c r="F84">
        <v>49.12</v>
      </c>
      <c r="G84">
        <v>291.84418149999999</v>
      </c>
      <c r="H84">
        <v>49.115088</v>
      </c>
      <c r="I84">
        <v>-3.727536180721426</v>
      </c>
      <c r="J84">
        <v>0.96877792326346956</v>
      </c>
      <c r="K84">
        <v>3.4268286414337851E-2</v>
      </c>
      <c r="L84">
        <v>-0.19722677590868681</v>
      </c>
      <c r="M84" t="s">
        <v>27</v>
      </c>
      <c r="N84">
        <v>23</v>
      </c>
      <c r="O84" t="s">
        <v>26</v>
      </c>
      <c r="P84">
        <v>58490</v>
      </c>
      <c r="Q84">
        <v>291.93</v>
      </c>
      <c r="R84">
        <v>49.034999999999997</v>
      </c>
      <c r="S84">
        <v>-0.23788929543751439</v>
      </c>
      <c r="T84">
        <v>2.0705128889887708E-2</v>
      </c>
      <c r="U84">
        <v>1.6768855385662779E-2</v>
      </c>
      <c r="V84">
        <v>3.9375620909422862E-3</v>
      </c>
      <c r="W84">
        <v>1.283129329472049E-2</v>
      </c>
    </row>
    <row r="85" spans="1:23" hidden="1">
      <c r="A85">
        <v>8</v>
      </c>
      <c r="B85" t="s">
        <v>23</v>
      </c>
      <c r="C85" t="s">
        <v>28</v>
      </c>
      <c r="D85">
        <v>58598</v>
      </c>
      <c r="E85">
        <v>289.2</v>
      </c>
      <c r="F85">
        <v>48.39</v>
      </c>
      <c r="G85">
        <v>289.17108000000002</v>
      </c>
      <c r="H85">
        <v>48.394838999999997</v>
      </c>
      <c r="I85">
        <v>3.989190328545241</v>
      </c>
      <c r="J85">
        <v>0.96877792326346956</v>
      </c>
      <c r="K85">
        <v>-3.4578146611341627E-2</v>
      </c>
      <c r="L85">
        <v>0.20020209201559611</v>
      </c>
      <c r="M85" t="s">
        <v>25</v>
      </c>
      <c r="N85">
        <v>9</v>
      </c>
      <c r="O85" t="s">
        <v>26</v>
      </c>
      <c r="P85">
        <v>58607</v>
      </c>
      <c r="Q85">
        <v>288.79000000000002</v>
      </c>
      <c r="R85">
        <v>48.505000000000003</v>
      </c>
      <c r="S85">
        <v>-9.1354239169039366E-3</v>
      </c>
      <c r="T85">
        <v>3.7200280692442918E-2</v>
      </c>
      <c r="U85">
        <v>3.3261840225870608E-2</v>
      </c>
      <c r="V85">
        <v>3.9375496021115926E-3</v>
      </c>
      <c r="W85">
        <v>2.932429062375902E-2</v>
      </c>
    </row>
    <row r="86" spans="1:23" hidden="1">
      <c r="A86">
        <v>8</v>
      </c>
      <c r="B86" t="s">
        <v>23</v>
      </c>
      <c r="C86" t="s">
        <v>28</v>
      </c>
      <c r="D86">
        <v>58990</v>
      </c>
      <c r="E86">
        <v>282.64999999999998</v>
      </c>
      <c r="F86">
        <v>47.515000000000001</v>
      </c>
      <c r="G86">
        <v>282.621735</v>
      </c>
      <c r="H86">
        <v>47.519751499999998</v>
      </c>
      <c r="I86">
        <v>3.5310655190632612</v>
      </c>
      <c r="J86">
        <v>0.96877792326346956</v>
      </c>
      <c r="K86">
        <v>-3.5379444542720677E-2</v>
      </c>
      <c r="L86">
        <v>0.20388886104671569</v>
      </c>
      <c r="M86" t="s">
        <v>25</v>
      </c>
      <c r="N86">
        <v>13</v>
      </c>
      <c r="O86" t="s">
        <v>26</v>
      </c>
      <c r="P86">
        <v>59003</v>
      </c>
      <c r="Q86">
        <v>281.19</v>
      </c>
      <c r="R86">
        <v>47.344999999999999</v>
      </c>
      <c r="S86">
        <v>0.24275071841649179</v>
      </c>
      <c r="T86">
        <v>1.6992882654429459E-2</v>
      </c>
      <c r="U86">
        <v>1.306395831744519E-2</v>
      </c>
      <c r="V86">
        <v>3.9375496021115926E-3</v>
      </c>
      <c r="W86">
        <v>9.126408715333597E-3</v>
      </c>
    </row>
    <row r="87" spans="1:23" hidden="1">
      <c r="A87">
        <v>9</v>
      </c>
      <c r="B87" t="s">
        <v>23</v>
      </c>
      <c r="C87" t="s">
        <v>28</v>
      </c>
      <c r="D87">
        <v>59101</v>
      </c>
      <c r="E87">
        <v>280.23</v>
      </c>
      <c r="F87">
        <v>47.05</v>
      </c>
      <c r="G87">
        <v>280.201977</v>
      </c>
      <c r="H87">
        <v>47.054704999999998</v>
      </c>
      <c r="I87">
        <v>5.2944451711566058</v>
      </c>
      <c r="J87">
        <v>0.81444705018759989</v>
      </c>
      <c r="K87">
        <v>-3.5684973057845341E-2</v>
      </c>
      <c r="L87">
        <v>0.1731024548751541</v>
      </c>
      <c r="M87" t="s">
        <v>25</v>
      </c>
      <c r="N87">
        <v>23</v>
      </c>
      <c r="O87" t="s">
        <v>26</v>
      </c>
      <c r="P87">
        <v>59124</v>
      </c>
      <c r="Q87">
        <v>281.76499999999999</v>
      </c>
      <c r="R87">
        <v>47.29</v>
      </c>
      <c r="S87">
        <v>0.49406678838135981</v>
      </c>
      <c r="T87">
        <v>-1.323184447375414E-2</v>
      </c>
      <c r="U87">
        <v>-1.6870370676410201E-2</v>
      </c>
      <c r="V87">
        <v>3.628856989785237E-3</v>
      </c>
      <c r="W87">
        <v>-2.0499227666195441E-2</v>
      </c>
    </row>
    <row r="88" spans="1:23" hidden="1">
      <c r="A88">
        <v>9</v>
      </c>
      <c r="B88" t="s">
        <v>23</v>
      </c>
      <c r="C88" t="s">
        <v>28</v>
      </c>
      <c r="D88">
        <v>60161</v>
      </c>
      <c r="E88">
        <v>289.625</v>
      </c>
      <c r="F88">
        <v>47.65</v>
      </c>
      <c r="G88">
        <v>289.59603750000002</v>
      </c>
      <c r="H88">
        <v>47.654764999999998</v>
      </c>
      <c r="I88">
        <v>3.682555493572631</v>
      </c>
      <c r="J88">
        <v>0.81444705018759989</v>
      </c>
      <c r="K88">
        <v>-3.4527406128614588E-2</v>
      </c>
      <c r="L88">
        <v>0.17092278073192019</v>
      </c>
      <c r="M88" t="s">
        <v>25</v>
      </c>
      <c r="N88">
        <v>6</v>
      </c>
      <c r="O88" t="s">
        <v>26</v>
      </c>
      <c r="P88">
        <v>60167</v>
      </c>
      <c r="Q88">
        <v>291</v>
      </c>
      <c r="R88">
        <v>48.02</v>
      </c>
      <c r="S88">
        <v>0.39314071275139079</v>
      </c>
      <c r="T88">
        <v>1.5766245443966199E-2</v>
      </c>
      <c r="U88">
        <v>1.212627968236352E-2</v>
      </c>
      <c r="V88">
        <v>3.628856989785237E-3</v>
      </c>
      <c r="W88">
        <v>8.4974226925782874E-3</v>
      </c>
    </row>
    <row r="89" spans="1:23" hidden="1">
      <c r="A89">
        <v>9</v>
      </c>
      <c r="B89" t="s">
        <v>23</v>
      </c>
      <c r="C89" t="s">
        <v>28</v>
      </c>
      <c r="D89">
        <v>60506</v>
      </c>
      <c r="E89">
        <v>286.86</v>
      </c>
      <c r="F89">
        <v>47.475000000000001</v>
      </c>
      <c r="G89">
        <v>286.88868600000001</v>
      </c>
      <c r="H89">
        <v>47.470252500000001</v>
      </c>
      <c r="I89">
        <v>-4.4312396332796542</v>
      </c>
      <c r="J89">
        <v>0.81444705018759989</v>
      </c>
      <c r="K89">
        <v>3.4860210555671747E-2</v>
      </c>
      <c r="L89">
        <v>-0.17155282784362291</v>
      </c>
      <c r="M89" t="s">
        <v>27</v>
      </c>
      <c r="N89">
        <v>13</v>
      </c>
      <c r="O89" t="s">
        <v>26</v>
      </c>
      <c r="P89">
        <v>60519</v>
      </c>
      <c r="Q89">
        <v>286.84500000000003</v>
      </c>
      <c r="R89">
        <v>47.424999999999997</v>
      </c>
      <c r="S89">
        <v>-0.23845242360756061</v>
      </c>
      <c r="T89">
        <v>8.0547382338472771E-3</v>
      </c>
      <c r="U89">
        <v>4.4267541879275379E-3</v>
      </c>
      <c r="V89">
        <v>3.6289312109651622E-3</v>
      </c>
      <c r="W89">
        <v>7.978229769623757E-4</v>
      </c>
    </row>
    <row r="90" spans="1:23" hidden="1">
      <c r="A90">
        <v>9</v>
      </c>
      <c r="B90" t="s">
        <v>23</v>
      </c>
      <c r="C90" t="s">
        <v>28</v>
      </c>
      <c r="D90">
        <v>60554</v>
      </c>
      <c r="E90">
        <v>285.52499999999998</v>
      </c>
      <c r="F90">
        <v>47.375</v>
      </c>
      <c r="G90">
        <v>285.55355250000002</v>
      </c>
      <c r="H90">
        <v>47.370262500000003</v>
      </c>
      <c r="I90">
        <v>-3.7668691164191461</v>
      </c>
      <c r="J90">
        <v>0.81444705018759989</v>
      </c>
      <c r="K90">
        <v>3.5023202871902637E-2</v>
      </c>
      <c r="L90">
        <v>-0.17191494463062801</v>
      </c>
      <c r="M90" t="s">
        <v>27</v>
      </c>
      <c r="N90">
        <v>12</v>
      </c>
      <c r="O90" t="s">
        <v>26</v>
      </c>
      <c r="P90">
        <v>60566</v>
      </c>
      <c r="Q90">
        <v>286.89999999999998</v>
      </c>
      <c r="R90">
        <v>47.5</v>
      </c>
      <c r="S90">
        <v>-0.36593961571871192</v>
      </c>
      <c r="T90">
        <v>2.6667535870037631E-2</v>
      </c>
      <c r="U90">
        <v>2.3031677142460839E-2</v>
      </c>
      <c r="V90">
        <v>3.6289312109651622E-3</v>
      </c>
      <c r="W90">
        <v>1.9402745931495682E-2</v>
      </c>
    </row>
    <row r="91" spans="1:23" hidden="1">
      <c r="A91">
        <v>9</v>
      </c>
      <c r="B91" t="s">
        <v>23</v>
      </c>
      <c r="C91" t="s">
        <v>28</v>
      </c>
      <c r="D91">
        <v>61331</v>
      </c>
      <c r="E91">
        <v>288.13</v>
      </c>
      <c r="F91">
        <v>47.3</v>
      </c>
      <c r="G91">
        <v>288.15881300000001</v>
      </c>
      <c r="H91">
        <v>47.295270000000002</v>
      </c>
      <c r="I91">
        <v>-4.796941551264422</v>
      </c>
      <c r="J91">
        <v>0.81444705018759989</v>
      </c>
      <c r="K91">
        <v>3.4706556068441329E-2</v>
      </c>
      <c r="L91">
        <v>-0.17218753703754761</v>
      </c>
      <c r="M91" t="s">
        <v>27</v>
      </c>
      <c r="N91">
        <v>27</v>
      </c>
      <c r="O91" t="s">
        <v>26</v>
      </c>
      <c r="P91">
        <v>61358</v>
      </c>
      <c r="Q91">
        <v>288.005</v>
      </c>
      <c r="R91">
        <v>47.21</v>
      </c>
      <c r="S91">
        <v>5.6809218071837003E-3</v>
      </c>
      <c r="T91">
        <v>1.1158558824823479E-2</v>
      </c>
      <c r="U91">
        <v>7.5316482442326447E-3</v>
      </c>
      <c r="V91">
        <v>3.6289312109651622E-3</v>
      </c>
      <c r="W91">
        <v>3.9027170332674829E-3</v>
      </c>
    </row>
    <row r="92" spans="1:23" hidden="1">
      <c r="A92">
        <v>9</v>
      </c>
      <c r="B92" t="s">
        <v>23</v>
      </c>
      <c r="C92" t="s">
        <v>28</v>
      </c>
      <c r="D92">
        <v>61711</v>
      </c>
      <c r="E92">
        <v>285.69499999999999</v>
      </c>
      <c r="F92">
        <v>46.91</v>
      </c>
      <c r="G92">
        <v>285.7235695</v>
      </c>
      <c r="H92">
        <v>46.905309000000003</v>
      </c>
      <c r="I92">
        <v>-3.7985191049783231</v>
      </c>
      <c r="J92">
        <v>0.81444705018759989</v>
      </c>
      <c r="K92">
        <v>3.5002362659479508E-2</v>
      </c>
      <c r="L92">
        <v>-0.17361906846889791</v>
      </c>
      <c r="M92" t="s">
        <v>27</v>
      </c>
      <c r="N92">
        <v>26</v>
      </c>
      <c r="O92" t="s">
        <v>26</v>
      </c>
      <c r="P92">
        <v>61737</v>
      </c>
      <c r="Q92">
        <v>292.12</v>
      </c>
      <c r="R92">
        <v>47.97</v>
      </c>
      <c r="S92">
        <v>1.0318508698612221E-2</v>
      </c>
      <c r="T92">
        <v>4.0853967510124128E-2</v>
      </c>
      <c r="U92">
        <v>3.7184180770483799E-2</v>
      </c>
      <c r="V92">
        <v>3.6289312109651622E-3</v>
      </c>
      <c r="W92">
        <v>3.3555249559518642E-2</v>
      </c>
    </row>
    <row r="93" spans="1:23" hidden="1">
      <c r="A93">
        <v>9</v>
      </c>
      <c r="B93" t="s">
        <v>23</v>
      </c>
      <c r="C93" t="s">
        <v>28</v>
      </c>
      <c r="D93">
        <v>62112</v>
      </c>
      <c r="E93">
        <v>286.98</v>
      </c>
      <c r="F93">
        <v>47.35</v>
      </c>
      <c r="G93">
        <v>287.00869799999998</v>
      </c>
      <c r="H93">
        <v>47.345264999999998</v>
      </c>
      <c r="I93">
        <v>-4.3256654332070488</v>
      </c>
      <c r="J93">
        <v>0.81444705018759989</v>
      </c>
      <c r="K93">
        <v>3.4845633842079587E-2</v>
      </c>
      <c r="L93">
        <v>-0.17200571281681101</v>
      </c>
      <c r="M93" t="s">
        <v>27</v>
      </c>
      <c r="N93">
        <v>18</v>
      </c>
      <c r="O93" t="s">
        <v>26</v>
      </c>
      <c r="P93">
        <v>62130</v>
      </c>
      <c r="Q93">
        <v>288.70999999999998</v>
      </c>
      <c r="R93">
        <v>47.64</v>
      </c>
      <c r="S93">
        <v>-0.34533234217353581</v>
      </c>
      <c r="T93">
        <v>1.040128982992131E-2</v>
      </c>
      <c r="U93">
        <v>6.7613792692200331E-3</v>
      </c>
      <c r="V93">
        <v>3.628931210965163E-3</v>
      </c>
      <c r="W93">
        <v>3.13244805825487E-3</v>
      </c>
    </row>
    <row r="94" spans="1:23" hidden="1">
      <c r="A94">
        <v>9</v>
      </c>
      <c r="B94" t="s">
        <v>23</v>
      </c>
      <c r="C94" t="s">
        <v>28</v>
      </c>
      <c r="D94">
        <v>62589</v>
      </c>
      <c r="E94">
        <v>295.58999999999997</v>
      </c>
      <c r="F94">
        <v>48.66</v>
      </c>
      <c r="G94">
        <v>295.56044100000003</v>
      </c>
      <c r="H94">
        <v>48.664866000000004</v>
      </c>
      <c r="I94">
        <v>3.5881352196890308</v>
      </c>
      <c r="J94">
        <v>0.81444705018759989</v>
      </c>
      <c r="K94">
        <v>-3.3830643797151463E-2</v>
      </c>
      <c r="L94">
        <v>0.16737506169083441</v>
      </c>
      <c r="M94" t="s">
        <v>25</v>
      </c>
      <c r="N94">
        <v>8</v>
      </c>
      <c r="O94" t="s">
        <v>26</v>
      </c>
      <c r="P94">
        <v>62597</v>
      </c>
      <c r="Q94">
        <v>294.86</v>
      </c>
      <c r="R94">
        <v>48.585000000000001</v>
      </c>
      <c r="S94">
        <v>8.2929969426686956E-2</v>
      </c>
      <c r="T94">
        <v>1.2143240345107401E-2</v>
      </c>
      <c r="U94">
        <v>8.518071194691652E-3</v>
      </c>
      <c r="V94">
        <v>3.628856989785237E-3</v>
      </c>
      <c r="W94">
        <v>4.889214204906415E-3</v>
      </c>
    </row>
    <row r="95" spans="1:23" hidden="1">
      <c r="A95">
        <v>9</v>
      </c>
      <c r="B95" t="s">
        <v>23</v>
      </c>
      <c r="C95" t="s">
        <v>28</v>
      </c>
      <c r="D95">
        <v>62894</v>
      </c>
      <c r="E95">
        <v>293.85000000000002</v>
      </c>
      <c r="F95">
        <v>48.805</v>
      </c>
      <c r="G95">
        <v>293.87938500000001</v>
      </c>
      <c r="H95">
        <v>48.800119500000001</v>
      </c>
      <c r="I95">
        <v>-4.2488124499288347</v>
      </c>
      <c r="J95">
        <v>0.81444705018759989</v>
      </c>
      <c r="K95">
        <v>3.403096818104475E-2</v>
      </c>
      <c r="L95">
        <v>-0.16687778919938531</v>
      </c>
      <c r="M95" t="s">
        <v>27</v>
      </c>
      <c r="N95">
        <v>13</v>
      </c>
      <c r="O95" t="s">
        <v>26</v>
      </c>
      <c r="P95">
        <v>62907</v>
      </c>
      <c r="Q95">
        <v>294.77999999999997</v>
      </c>
      <c r="R95">
        <v>48.835000000000001</v>
      </c>
      <c r="S95">
        <v>-0.49528238982585743</v>
      </c>
      <c r="T95">
        <v>2.6642466732388171E-2</v>
      </c>
      <c r="U95">
        <v>2.300990711860592E-2</v>
      </c>
      <c r="V95">
        <v>3.628931210965163E-3</v>
      </c>
      <c r="W95">
        <v>1.9380975907640759E-2</v>
      </c>
    </row>
    <row r="96" spans="1:23" hidden="1">
      <c r="A96">
        <v>10</v>
      </c>
      <c r="B96" t="s">
        <v>30</v>
      </c>
      <c r="C96" t="s">
        <v>31</v>
      </c>
      <c r="D96">
        <v>63001</v>
      </c>
      <c r="E96">
        <v>51.59</v>
      </c>
      <c r="F96">
        <v>204.84</v>
      </c>
      <c r="G96">
        <v>51.595159000000002</v>
      </c>
      <c r="H96">
        <v>204.81951599999999</v>
      </c>
      <c r="I96">
        <v>-5.2946500306393149</v>
      </c>
      <c r="J96">
        <v>0.90418154948810281</v>
      </c>
      <c r="K96">
        <v>0.19383601473153711</v>
      </c>
      <c r="L96">
        <v>-4.4140868457728119E-2</v>
      </c>
      <c r="M96" t="s">
        <v>27</v>
      </c>
      <c r="N96">
        <v>23</v>
      </c>
      <c r="O96" t="s">
        <v>26</v>
      </c>
      <c r="P96">
        <v>63024</v>
      </c>
      <c r="Q96">
        <v>51.51</v>
      </c>
      <c r="R96">
        <v>205.02</v>
      </c>
      <c r="S96">
        <v>-0.49208829152589623</v>
      </c>
      <c r="T96">
        <v>-2.3452237500915379E-2</v>
      </c>
      <c r="U96">
        <v>-2.7259844447405542E-2</v>
      </c>
      <c r="V96">
        <v>3.8083822626663079E-3</v>
      </c>
      <c r="W96">
        <v>-3.1068226710071849E-2</v>
      </c>
    </row>
    <row r="97" spans="1:23" hidden="1">
      <c r="A97">
        <v>10</v>
      </c>
      <c r="B97" t="s">
        <v>30</v>
      </c>
      <c r="C97" t="s">
        <v>31</v>
      </c>
      <c r="D97">
        <v>63283</v>
      </c>
      <c r="E97">
        <v>51.28</v>
      </c>
      <c r="F97">
        <v>205.54</v>
      </c>
      <c r="G97">
        <v>51.285128</v>
      </c>
      <c r="H97">
        <v>205.51944599999999</v>
      </c>
      <c r="I97">
        <v>-3.873463425613366</v>
      </c>
      <c r="J97">
        <v>0.90418154948810281</v>
      </c>
      <c r="K97">
        <v>0.19500780031201251</v>
      </c>
      <c r="L97">
        <v>-4.3990539529439668E-2</v>
      </c>
      <c r="M97" t="s">
        <v>27</v>
      </c>
      <c r="N97">
        <v>6</v>
      </c>
      <c r="O97" t="s">
        <v>26</v>
      </c>
      <c r="P97">
        <v>63289</v>
      </c>
      <c r="Q97">
        <v>50.82</v>
      </c>
      <c r="R97">
        <v>203.11</v>
      </c>
      <c r="S97">
        <v>-0.3608469167561773</v>
      </c>
      <c r="T97">
        <v>1.7193422913011531E-2</v>
      </c>
      <c r="U97">
        <v>1.340471987395535E-2</v>
      </c>
      <c r="V97">
        <v>3.8083822626663079E-3</v>
      </c>
      <c r="W97">
        <v>9.5963376112890401E-3</v>
      </c>
    </row>
    <row r="98" spans="1:23" hidden="1">
      <c r="A98">
        <v>10</v>
      </c>
      <c r="B98" t="s">
        <v>30</v>
      </c>
      <c r="C98" t="s">
        <v>31</v>
      </c>
      <c r="D98">
        <v>63459</v>
      </c>
      <c r="E98">
        <v>51.03</v>
      </c>
      <c r="F98">
        <v>203</v>
      </c>
      <c r="G98">
        <v>51.024897000000003</v>
      </c>
      <c r="H98">
        <v>203.02029999999999</v>
      </c>
      <c r="I98">
        <v>3.5523458610373102</v>
      </c>
      <c r="J98">
        <v>0.90418154948810281</v>
      </c>
      <c r="K98">
        <v>-0.1959631589261219</v>
      </c>
      <c r="L98">
        <v>4.4540963028970593E-2</v>
      </c>
      <c r="M98" t="s">
        <v>25</v>
      </c>
      <c r="N98">
        <v>18</v>
      </c>
      <c r="O98" t="s">
        <v>26</v>
      </c>
      <c r="P98">
        <v>63477</v>
      </c>
      <c r="Q98">
        <v>50.975000000000001</v>
      </c>
      <c r="R98">
        <v>203.17</v>
      </c>
      <c r="S98">
        <v>0.1338196310140963</v>
      </c>
      <c r="T98">
        <v>1.8349937455861089E-2</v>
      </c>
      <c r="U98">
        <v>1.4541894957888331E-2</v>
      </c>
      <c r="V98">
        <v>3.8083439352861038E-3</v>
      </c>
      <c r="W98">
        <v>1.073355102260222E-2</v>
      </c>
    </row>
    <row r="99" spans="1:23" hidden="1">
      <c r="A99">
        <v>10</v>
      </c>
      <c r="B99" t="s">
        <v>30</v>
      </c>
      <c r="C99" t="s">
        <v>31</v>
      </c>
      <c r="D99">
        <v>63673</v>
      </c>
      <c r="E99">
        <v>51.13</v>
      </c>
      <c r="F99">
        <v>202.32</v>
      </c>
      <c r="G99">
        <v>51.124887000000001</v>
      </c>
      <c r="H99">
        <v>202.34023199999999</v>
      </c>
      <c r="I99">
        <v>4.0184543283837391</v>
      </c>
      <c r="J99">
        <v>0.90418154948810281</v>
      </c>
      <c r="K99">
        <v>-0.195579894386857</v>
      </c>
      <c r="L99">
        <v>4.4690665751685593E-2</v>
      </c>
      <c r="M99" t="s">
        <v>25</v>
      </c>
      <c r="N99">
        <v>5</v>
      </c>
      <c r="O99" t="s">
        <v>26</v>
      </c>
      <c r="P99">
        <v>63678</v>
      </c>
      <c r="Q99">
        <v>51</v>
      </c>
      <c r="R99">
        <v>203.36</v>
      </c>
      <c r="S99">
        <v>-0.12648133375496251</v>
      </c>
      <c r="T99">
        <v>7.1903678652045847E-2</v>
      </c>
      <c r="U99">
        <v>6.8093210262459375E-2</v>
      </c>
      <c r="V99">
        <v>3.8083439352861038E-3</v>
      </c>
      <c r="W99">
        <v>6.4284866327173271E-2</v>
      </c>
    </row>
    <row r="100" spans="1:23" hidden="1">
      <c r="A100">
        <v>10</v>
      </c>
      <c r="B100" t="s">
        <v>30</v>
      </c>
      <c r="C100" t="s">
        <v>31</v>
      </c>
      <c r="D100">
        <v>64254</v>
      </c>
      <c r="E100">
        <v>51.725000000000001</v>
      </c>
      <c r="F100">
        <v>205.76499999999999</v>
      </c>
      <c r="G100">
        <v>51.719827500000001</v>
      </c>
      <c r="H100">
        <v>205.78557649999999</v>
      </c>
      <c r="I100">
        <v>3.88209231152267</v>
      </c>
      <c r="J100">
        <v>0.90418154948810281</v>
      </c>
      <c r="K100">
        <v>-0.19333011116481391</v>
      </c>
      <c r="L100">
        <v>4.3942436735504242E-2</v>
      </c>
      <c r="M100" t="s">
        <v>25</v>
      </c>
      <c r="N100">
        <v>4</v>
      </c>
      <c r="O100" t="s">
        <v>26</v>
      </c>
      <c r="P100">
        <v>64258</v>
      </c>
      <c r="Q100">
        <v>51.835000000000001</v>
      </c>
      <c r="R100">
        <v>206.93</v>
      </c>
      <c r="S100">
        <v>0.21192774522584029</v>
      </c>
      <c r="T100">
        <v>2.9926626568733909E-2</v>
      </c>
      <c r="U100">
        <v>2.611101754465496E-2</v>
      </c>
      <c r="V100">
        <v>3.8083439352861038E-3</v>
      </c>
      <c r="W100">
        <v>2.2302673609368859E-2</v>
      </c>
    </row>
    <row r="101" spans="1:23" hidden="1">
      <c r="A101">
        <v>10</v>
      </c>
      <c r="B101" t="s">
        <v>30</v>
      </c>
      <c r="C101" t="s">
        <v>31</v>
      </c>
      <c r="D101">
        <v>64455</v>
      </c>
      <c r="E101">
        <v>52.83</v>
      </c>
      <c r="F101">
        <v>208.07</v>
      </c>
      <c r="G101">
        <v>52.824717</v>
      </c>
      <c r="H101">
        <v>208.09080700000001</v>
      </c>
      <c r="I101">
        <v>5.1466095746623628</v>
      </c>
      <c r="J101">
        <v>0.90418154948810281</v>
      </c>
      <c r="K101">
        <v>-0.18928639030853681</v>
      </c>
      <c r="L101">
        <v>4.3455642307305371E-2</v>
      </c>
      <c r="M101" t="s">
        <v>25</v>
      </c>
      <c r="N101">
        <v>13</v>
      </c>
      <c r="O101" t="s">
        <v>26</v>
      </c>
      <c r="P101">
        <v>64468</v>
      </c>
      <c r="Q101">
        <v>52.45</v>
      </c>
      <c r="R101">
        <v>208.07</v>
      </c>
      <c r="S101">
        <v>0.33066042495449588</v>
      </c>
      <c r="T101">
        <v>7.1928828317243135E-2</v>
      </c>
      <c r="U101">
        <v>6.8127658101099331E-2</v>
      </c>
      <c r="V101">
        <v>3.8083439352861038E-3</v>
      </c>
      <c r="W101">
        <v>6.4319314165813227E-2</v>
      </c>
    </row>
    <row r="102" spans="1:23" hidden="1">
      <c r="A102">
        <v>10</v>
      </c>
      <c r="B102" t="s">
        <v>30</v>
      </c>
      <c r="C102" t="s">
        <v>31</v>
      </c>
      <c r="D102">
        <v>64722</v>
      </c>
      <c r="E102">
        <v>52.865000000000002</v>
      </c>
      <c r="F102">
        <v>210.84</v>
      </c>
      <c r="G102">
        <v>52.870286499999999</v>
      </c>
      <c r="H102">
        <v>210.818916</v>
      </c>
      <c r="I102">
        <v>-3.8590103261116311</v>
      </c>
      <c r="J102">
        <v>0.90418154948810281</v>
      </c>
      <c r="K102">
        <v>0.18916107065165991</v>
      </c>
      <c r="L102">
        <v>-4.2884725359898637E-2</v>
      </c>
      <c r="M102" t="s">
        <v>27</v>
      </c>
      <c r="N102">
        <v>4</v>
      </c>
      <c r="O102" t="s">
        <v>26</v>
      </c>
      <c r="P102">
        <v>64726</v>
      </c>
      <c r="Q102">
        <v>52.88</v>
      </c>
      <c r="R102">
        <v>210.47</v>
      </c>
      <c r="S102">
        <v>5.4271450886599168E-2</v>
      </c>
      <c r="T102">
        <v>1.8704764442937699E-2</v>
      </c>
      <c r="U102">
        <v>1.489770433719388E-2</v>
      </c>
      <c r="V102">
        <v>3.8083822626663079E-3</v>
      </c>
      <c r="W102">
        <v>1.108932207452757E-2</v>
      </c>
    </row>
    <row r="103" spans="1:23" hidden="1">
      <c r="A103">
        <v>10</v>
      </c>
      <c r="B103" t="s">
        <v>30</v>
      </c>
      <c r="C103" t="s">
        <v>31</v>
      </c>
      <c r="D103">
        <v>64846</v>
      </c>
      <c r="E103">
        <v>51.92</v>
      </c>
      <c r="F103">
        <v>209.24</v>
      </c>
      <c r="G103">
        <v>51.925192000000003</v>
      </c>
      <c r="H103">
        <v>209.219076</v>
      </c>
      <c r="I103">
        <v>-5.0723224491822858</v>
      </c>
      <c r="J103">
        <v>0.90418154948810281</v>
      </c>
      <c r="K103">
        <v>0.19260400616332821</v>
      </c>
      <c r="L103">
        <v>-4.3212652909964767E-2</v>
      </c>
      <c r="M103" t="s">
        <v>27</v>
      </c>
      <c r="N103">
        <v>4</v>
      </c>
      <c r="O103" t="s">
        <v>26</v>
      </c>
      <c r="P103">
        <v>64850</v>
      </c>
      <c r="Q103">
        <v>51.924999999999997</v>
      </c>
      <c r="R103">
        <v>206.655</v>
      </c>
      <c r="S103">
        <v>-0.24394293720547611</v>
      </c>
      <c r="T103">
        <v>0.112667727803075</v>
      </c>
      <c r="U103">
        <v>0.10887043887287221</v>
      </c>
      <c r="V103">
        <v>3.8083822626663079E-3</v>
      </c>
      <c r="W103">
        <v>0.1050620566102059</v>
      </c>
    </row>
    <row r="104" spans="1:23" hidden="1">
      <c r="A104">
        <v>10</v>
      </c>
      <c r="B104" t="s">
        <v>30</v>
      </c>
      <c r="C104" t="s">
        <v>31</v>
      </c>
      <c r="D104">
        <v>65242</v>
      </c>
      <c r="E104">
        <v>53.325000000000003</v>
      </c>
      <c r="F104">
        <v>211.72</v>
      </c>
      <c r="G104">
        <v>53.319667500000001</v>
      </c>
      <c r="H104">
        <v>211.74117200000001</v>
      </c>
      <c r="I104">
        <v>3.5283094695702362</v>
      </c>
      <c r="J104">
        <v>0.90418154948810281</v>
      </c>
      <c r="K104">
        <v>-0.18752930145335209</v>
      </c>
      <c r="L104">
        <v>4.2706477871155432E-2</v>
      </c>
      <c r="M104" t="s">
        <v>25</v>
      </c>
      <c r="N104">
        <v>9</v>
      </c>
      <c r="O104" t="s">
        <v>26</v>
      </c>
      <c r="P104">
        <v>65251</v>
      </c>
      <c r="Q104">
        <v>53.27</v>
      </c>
      <c r="R104">
        <v>212.32</v>
      </c>
      <c r="S104">
        <v>0.40382193561864049</v>
      </c>
      <c r="T104">
        <v>3.5937998302627318E-2</v>
      </c>
      <c r="U104">
        <v>3.2128104226136142E-2</v>
      </c>
      <c r="V104">
        <v>3.8083439352861038E-3</v>
      </c>
      <c r="W104">
        <v>2.8319760290850031E-2</v>
      </c>
    </row>
    <row r="105" spans="1:23" hidden="1">
      <c r="A105">
        <v>10</v>
      </c>
      <c r="B105" t="s">
        <v>30</v>
      </c>
      <c r="C105" t="s">
        <v>31</v>
      </c>
      <c r="D105">
        <v>65779</v>
      </c>
      <c r="E105">
        <v>53.424999999999997</v>
      </c>
      <c r="F105">
        <v>213.31</v>
      </c>
      <c r="G105">
        <v>53.4196575</v>
      </c>
      <c r="H105">
        <v>213.33133100000001</v>
      </c>
      <c r="I105">
        <v>3.5378142745057541</v>
      </c>
      <c r="J105">
        <v>0.90418154948810281</v>
      </c>
      <c r="K105">
        <v>-0.18717828731867101</v>
      </c>
      <c r="L105">
        <v>4.2388146335760303E-2</v>
      </c>
      <c r="M105" t="s">
        <v>25</v>
      </c>
      <c r="N105">
        <v>27</v>
      </c>
      <c r="O105" t="s">
        <v>26</v>
      </c>
      <c r="P105">
        <v>65806</v>
      </c>
      <c r="Q105">
        <v>53.395000000000003</v>
      </c>
      <c r="R105">
        <v>213.23</v>
      </c>
      <c r="S105">
        <v>0.46336470984441153</v>
      </c>
      <c r="T105">
        <v>2.2242969126976598E-3</v>
      </c>
      <c r="U105">
        <v>-1.5831655462450391E-3</v>
      </c>
      <c r="V105">
        <v>3.8083439352861038E-3</v>
      </c>
      <c r="W105">
        <v>-5.3915094815311423E-3</v>
      </c>
    </row>
    <row r="106" spans="1:23" hidden="1">
      <c r="A106">
        <v>10</v>
      </c>
      <c r="B106" t="s">
        <v>30</v>
      </c>
      <c r="C106" t="s">
        <v>31</v>
      </c>
      <c r="D106">
        <v>65872</v>
      </c>
      <c r="E106">
        <v>53.575000000000003</v>
      </c>
      <c r="F106">
        <v>213.33</v>
      </c>
      <c r="G106">
        <v>53.5696425</v>
      </c>
      <c r="H106">
        <v>213.35133300000001</v>
      </c>
      <c r="I106">
        <v>3.633571010706512</v>
      </c>
      <c r="J106">
        <v>0.90418154948810281</v>
      </c>
      <c r="K106">
        <v>-0.18665422305179649</v>
      </c>
      <c r="L106">
        <v>4.2384172384948328E-2</v>
      </c>
      <c r="M106" t="s">
        <v>25</v>
      </c>
      <c r="N106">
        <v>5</v>
      </c>
      <c r="O106" t="s">
        <v>26</v>
      </c>
      <c r="P106">
        <v>65877</v>
      </c>
      <c r="Q106">
        <v>53.51</v>
      </c>
      <c r="R106">
        <v>213.78</v>
      </c>
      <c r="S106">
        <v>-0.42482070908762037</v>
      </c>
      <c r="T106">
        <v>3.120540207159395E-2</v>
      </c>
      <c r="U106">
        <v>2.739634493731042E-2</v>
      </c>
      <c r="V106">
        <v>3.8083439352861038E-3</v>
      </c>
      <c r="W106">
        <v>2.3588001002024319E-2</v>
      </c>
    </row>
    <row r="107" spans="1:23" hidden="1">
      <c r="A107">
        <v>10</v>
      </c>
      <c r="B107" t="s">
        <v>30</v>
      </c>
      <c r="C107" t="s">
        <v>31</v>
      </c>
      <c r="D107">
        <v>66010</v>
      </c>
      <c r="E107">
        <v>53.77</v>
      </c>
      <c r="F107">
        <v>214.595</v>
      </c>
      <c r="G107">
        <v>53.764623</v>
      </c>
      <c r="H107">
        <v>214.61645949999999</v>
      </c>
      <c r="I107">
        <v>3.6411829482452172</v>
      </c>
      <c r="J107">
        <v>0.90418154948810281</v>
      </c>
      <c r="K107">
        <v>-0.1859773107680863</v>
      </c>
      <c r="L107">
        <v>4.2134325100216821E-2</v>
      </c>
      <c r="M107" t="s">
        <v>25</v>
      </c>
      <c r="N107">
        <v>18</v>
      </c>
      <c r="O107" t="s">
        <v>26</v>
      </c>
      <c r="P107">
        <v>66028</v>
      </c>
      <c r="Q107">
        <v>55.5</v>
      </c>
      <c r="R107">
        <v>221.56</v>
      </c>
      <c r="S107">
        <v>0.26064238289366709</v>
      </c>
      <c r="T107">
        <v>-2.8275173305778441E-2</v>
      </c>
      <c r="U107">
        <v>-3.2145057036949698E-2</v>
      </c>
      <c r="V107">
        <v>3.8083439352861038E-3</v>
      </c>
      <c r="W107">
        <v>-3.5953400972235802E-2</v>
      </c>
    </row>
    <row r="108" spans="1:23" hidden="1">
      <c r="A108">
        <v>10</v>
      </c>
      <c r="B108" t="s">
        <v>30</v>
      </c>
      <c r="C108" t="s">
        <v>31</v>
      </c>
      <c r="D108">
        <v>66408</v>
      </c>
      <c r="E108">
        <v>55.14</v>
      </c>
      <c r="F108">
        <v>220.8</v>
      </c>
      <c r="G108">
        <v>55.145513999999999</v>
      </c>
      <c r="H108">
        <v>220.77791999999999</v>
      </c>
      <c r="I108">
        <v>-4.166335002827581</v>
      </c>
      <c r="J108">
        <v>0.90418154948810281</v>
      </c>
      <c r="K108">
        <v>0.18135654697134571</v>
      </c>
      <c r="L108">
        <v>-4.0950251335511903E-2</v>
      </c>
      <c r="M108" t="s">
        <v>27</v>
      </c>
      <c r="N108">
        <v>1</v>
      </c>
      <c r="O108" t="s">
        <v>26</v>
      </c>
      <c r="P108">
        <v>66409</v>
      </c>
      <c r="Q108">
        <v>55.25</v>
      </c>
      <c r="R108">
        <v>220.06</v>
      </c>
      <c r="S108">
        <v>-0.13808778420271969</v>
      </c>
      <c r="T108">
        <v>5.0252406155127098E-2</v>
      </c>
      <c r="U108">
        <v>4.6445078452733921E-2</v>
      </c>
      <c r="V108">
        <v>3.8083822626663079E-3</v>
      </c>
      <c r="W108">
        <v>4.2636696190067623E-2</v>
      </c>
    </row>
    <row r="109" spans="1:23" hidden="1">
      <c r="A109">
        <v>10</v>
      </c>
      <c r="B109" t="s">
        <v>30</v>
      </c>
      <c r="C109" t="s">
        <v>31</v>
      </c>
      <c r="D109">
        <v>66538</v>
      </c>
      <c r="E109">
        <v>56.18</v>
      </c>
      <c r="F109">
        <v>222.24</v>
      </c>
      <c r="G109">
        <v>56.174382000000001</v>
      </c>
      <c r="H109">
        <v>222.262224</v>
      </c>
      <c r="I109">
        <v>4.0678942296955141</v>
      </c>
      <c r="J109">
        <v>0.90418154948810281</v>
      </c>
      <c r="K109">
        <v>-0.17799928800284801</v>
      </c>
      <c r="L109">
        <v>4.0684914933769932E-2</v>
      </c>
      <c r="M109" t="s">
        <v>25</v>
      </c>
      <c r="N109">
        <v>13</v>
      </c>
      <c r="O109" t="s">
        <v>26</v>
      </c>
      <c r="P109">
        <v>66551</v>
      </c>
      <c r="Q109">
        <v>56.18</v>
      </c>
      <c r="R109">
        <v>222.67</v>
      </c>
      <c r="S109">
        <v>0.38411161075719069</v>
      </c>
      <c r="T109">
        <v>1.749451342152019E-2</v>
      </c>
      <c r="U109">
        <v>1.3684400871202681E-2</v>
      </c>
      <c r="V109">
        <v>3.8083439352861038E-3</v>
      </c>
      <c r="W109">
        <v>9.8760569359165745E-3</v>
      </c>
    </row>
    <row r="110" spans="1:23" hidden="1">
      <c r="A110">
        <v>11</v>
      </c>
      <c r="B110" t="s">
        <v>30</v>
      </c>
      <c r="C110" t="s">
        <v>31</v>
      </c>
      <c r="D110">
        <v>66901</v>
      </c>
      <c r="E110">
        <v>55.965000000000003</v>
      </c>
      <c r="F110">
        <v>222.035</v>
      </c>
      <c r="G110">
        <v>55.970596500000013</v>
      </c>
      <c r="H110">
        <v>222.01279650000001</v>
      </c>
      <c r="I110">
        <v>-5.2943140945277474</v>
      </c>
      <c r="J110">
        <v>0.93445707488887586</v>
      </c>
      <c r="K110">
        <v>0.17868310551237379</v>
      </c>
      <c r="L110">
        <v>-4.2086025846775323E-2</v>
      </c>
      <c r="M110" t="s">
        <v>27</v>
      </c>
      <c r="N110">
        <v>23</v>
      </c>
      <c r="O110" t="s">
        <v>26</v>
      </c>
      <c r="P110">
        <v>66924</v>
      </c>
      <c r="Q110">
        <v>55.935000000000002</v>
      </c>
      <c r="R110">
        <v>222.07499999999999</v>
      </c>
      <c r="S110">
        <v>-0.49975108101308469</v>
      </c>
      <c r="T110">
        <v>-7.043934199242095E-3</v>
      </c>
      <c r="U110">
        <v>-1.0912480643806399E-2</v>
      </c>
      <c r="V110">
        <v>3.8689272583627742E-3</v>
      </c>
      <c r="W110">
        <v>-1.478140790216918E-2</v>
      </c>
    </row>
    <row r="111" spans="1:23" hidden="1">
      <c r="A111">
        <v>11</v>
      </c>
      <c r="B111" t="s">
        <v>30</v>
      </c>
      <c r="C111" t="s">
        <v>31</v>
      </c>
      <c r="D111">
        <v>67199</v>
      </c>
      <c r="E111">
        <v>55.06</v>
      </c>
      <c r="F111">
        <v>219.55</v>
      </c>
      <c r="G111">
        <v>55.065505999999999</v>
      </c>
      <c r="H111">
        <v>219.52804499999999</v>
      </c>
      <c r="I111">
        <v>-3.8426630156980628</v>
      </c>
      <c r="J111">
        <v>0.93445707488887586</v>
      </c>
      <c r="K111">
        <v>0.18162005085361421</v>
      </c>
      <c r="L111">
        <v>-4.2562381001542957E-2</v>
      </c>
      <c r="M111" t="s">
        <v>27</v>
      </c>
      <c r="N111">
        <v>4</v>
      </c>
      <c r="O111" t="s">
        <v>26</v>
      </c>
      <c r="P111">
        <v>67203</v>
      </c>
      <c r="Q111">
        <v>55.06</v>
      </c>
      <c r="R111">
        <v>218.84</v>
      </c>
      <c r="S111">
        <v>0.1324499817146908</v>
      </c>
      <c r="T111">
        <v>3.0219290511095839E-2</v>
      </c>
      <c r="U111">
        <v>2.63533982903707E-2</v>
      </c>
      <c r="V111">
        <v>3.8689272583627742E-3</v>
      </c>
      <c r="W111">
        <v>2.248447103200792E-2</v>
      </c>
    </row>
    <row r="112" spans="1:23" hidden="1">
      <c r="A112">
        <v>11</v>
      </c>
      <c r="B112" t="s">
        <v>30</v>
      </c>
      <c r="C112" t="s">
        <v>31</v>
      </c>
      <c r="D112">
        <v>67526</v>
      </c>
      <c r="E112">
        <v>56.06</v>
      </c>
      <c r="F112">
        <v>220.79499999999999</v>
      </c>
      <c r="G112">
        <v>56.054394000000002</v>
      </c>
      <c r="H112">
        <v>220.81707950000001</v>
      </c>
      <c r="I112">
        <v>3.6632248598909172</v>
      </c>
      <c r="J112">
        <v>0.93445707488887586</v>
      </c>
      <c r="K112">
        <v>-0.1783803068141277</v>
      </c>
      <c r="L112">
        <v>4.2322383880471742E-2</v>
      </c>
      <c r="M112" t="s">
        <v>25</v>
      </c>
      <c r="N112">
        <v>2</v>
      </c>
      <c r="O112" t="s">
        <v>26</v>
      </c>
      <c r="P112">
        <v>67528</v>
      </c>
      <c r="Q112">
        <v>56.055</v>
      </c>
      <c r="R112">
        <v>221.02</v>
      </c>
      <c r="S112">
        <v>0.12602292135027909</v>
      </c>
      <c r="T112">
        <v>1.0414437907178199E-2</v>
      </c>
      <c r="U112">
        <v>6.544660693917119E-3</v>
      </c>
      <c r="V112">
        <v>3.868901041192729E-3</v>
      </c>
      <c r="W112">
        <v>2.6757596527243899E-3</v>
      </c>
    </row>
    <row r="113" spans="1:23" hidden="1">
      <c r="A113">
        <v>11</v>
      </c>
      <c r="B113" t="s">
        <v>30</v>
      </c>
      <c r="C113" t="s">
        <v>31</v>
      </c>
      <c r="D113">
        <v>67596</v>
      </c>
      <c r="E113">
        <v>55.86</v>
      </c>
      <c r="F113">
        <v>220.74</v>
      </c>
      <c r="G113">
        <v>55.865586</v>
      </c>
      <c r="H113">
        <v>220.71792600000001</v>
      </c>
      <c r="I113">
        <v>-3.6861653480315608</v>
      </c>
      <c r="J113">
        <v>0.93445707488887586</v>
      </c>
      <c r="K113">
        <v>0.17901897601145719</v>
      </c>
      <c r="L113">
        <v>-4.2332929006472578E-2</v>
      </c>
      <c r="M113" t="s">
        <v>27</v>
      </c>
      <c r="N113">
        <v>25</v>
      </c>
      <c r="O113" t="s">
        <v>26</v>
      </c>
      <c r="P113">
        <v>67621</v>
      </c>
      <c r="Q113">
        <v>55.34</v>
      </c>
      <c r="R113">
        <v>219.47</v>
      </c>
      <c r="S113">
        <v>-0.18402809430865691</v>
      </c>
      <c r="T113">
        <v>-3.9327047687736427E-2</v>
      </c>
      <c r="U113">
        <v>-4.3181276568778078E-2</v>
      </c>
      <c r="V113">
        <v>3.8689272583627742E-3</v>
      </c>
      <c r="W113">
        <v>-4.7050203827140862E-2</v>
      </c>
    </row>
    <row r="114" spans="1:23" hidden="1">
      <c r="A114">
        <v>11</v>
      </c>
      <c r="B114" t="s">
        <v>30</v>
      </c>
      <c r="C114" t="s">
        <v>31</v>
      </c>
      <c r="D114">
        <v>67988</v>
      </c>
      <c r="E114">
        <v>56.38</v>
      </c>
      <c r="F114">
        <v>224.095</v>
      </c>
      <c r="G114">
        <v>56.385638</v>
      </c>
      <c r="H114">
        <v>224.07259049999999</v>
      </c>
      <c r="I114">
        <v>-4.8642061366331379</v>
      </c>
      <c r="J114">
        <v>0.93445707488887586</v>
      </c>
      <c r="K114">
        <v>0.17736786094359699</v>
      </c>
      <c r="L114">
        <v>-4.1699148793541828E-2</v>
      </c>
      <c r="M114" t="s">
        <v>27</v>
      </c>
      <c r="N114">
        <v>33</v>
      </c>
      <c r="O114" t="s">
        <v>26</v>
      </c>
      <c r="P114">
        <v>68021</v>
      </c>
      <c r="Q114">
        <v>55.935000000000002</v>
      </c>
      <c r="R114">
        <v>219.91</v>
      </c>
      <c r="S114">
        <v>0.49306683379546712</v>
      </c>
      <c r="T114">
        <v>9.5582239581071954E-2</v>
      </c>
      <c r="U114">
        <v>9.1738669394877584E-2</v>
      </c>
      <c r="V114">
        <v>3.8689272583627742E-3</v>
      </c>
      <c r="W114">
        <v>8.7869742136514814E-2</v>
      </c>
    </row>
    <row r="115" spans="1:23" hidden="1">
      <c r="A115">
        <v>11</v>
      </c>
      <c r="B115" t="s">
        <v>30</v>
      </c>
      <c r="C115" t="s">
        <v>31</v>
      </c>
      <c r="D115">
        <v>68382</v>
      </c>
      <c r="E115">
        <v>55.564999999999998</v>
      </c>
      <c r="F115">
        <v>222.875</v>
      </c>
      <c r="G115">
        <v>55.570556500000002</v>
      </c>
      <c r="H115">
        <v>222.8527125</v>
      </c>
      <c r="I115">
        <v>-3.5660628191703179</v>
      </c>
      <c r="J115">
        <v>0.93445707488887586</v>
      </c>
      <c r="K115">
        <v>0.17996940520111579</v>
      </c>
      <c r="L115">
        <v>-4.1927406613073509E-2</v>
      </c>
      <c r="M115" t="s">
        <v>27</v>
      </c>
      <c r="N115">
        <v>10</v>
      </c>
      <c r="O115" t="s">
        <v>26</v>
      </c>
      <c r="P115">
        <v>68392</v>
      </c>
      <c r="Q115">
        <v>56.09</v>
      </c>
      <c r="R115">
        <v>223.16</v>
      </c>
      <c r="S115">
        <v>-0.374839292860145</v>
      </c>
      <c r="T115">
        <v>8.253462684586102E-2</v>
      </c>
      <c r="U115">
        <v>7.8655069371222533E-2</v>
      </c>
      <c r="V115">
        <v>3.8689272583627742E-3</v>
      </c>
      <c r="W115">
        <v>7.4786142112859763E-2</v>
      </c>
    </row>
    <row r="116" spans="1:23" hidden="1">
      <c r="A116">
        <v>11</v>
      </c>
      <c r="B116" t="s">
        <v>30</v>
      </c>
      <c r="C116" t="s">
        <v>31</v>
      </c>
      <c r="D116">
        <v>68770</v>
      </c>
      <c r="E116">
        <v>56.04</v>
      </c>
      <c r="F116">
        <v>220</v>
      </c>
      <c r="G116">
        <v>56.034396000000001</v>
      </c>
      <c r="H116">
        <v>220.02199999999999</v>
      </c>
      <c r="I116">
        <v>4.6787648366697976</v>
      </c>
      <c r="J116">
        <v>0.93445707488887586</v>
      </c>
      <c r="K116">
        <v>-0.1784439685938615</v>
      </c>
      <c r="L116">
        <v>4.2475321585857991E-2</v>
      </c>
      <c r="M116" t="s">
        <v>25</v>
      </c>
      <c r="N116">
        <v>4</v>
      </c>
      <c r="O116" t="s">
        <v>26</v>
      </c>
      <c r="P116">
        <v>68774</v>
      </c>
      <c r="Q116">
        <v>56.195</v>
      </c>
      <c r="R116">
        <v>223.04499999999999</v>
      </c>
      <c r="S116">
        <v>3.9158459174475939E-3</v>
      </c>
      <c r="T116">
        <v>0.1016785390968883</v>
      </c>
      <c r="U116">
        <v>9.779392533017528E-2</v>
      </c>
      <c r="V116">
        <v>3.8689010411927299E-3</v>
      </c>
      <c r="W116">
        <v>9.3925024288982556E-2</v>
      </c>
    </row>
    <row r="117" spans="1:23" hidden="1">
      <c r="A117">
        <v>11</v>
      </c>
      <c r="B117" t="s">
        <v>30</v>
      </c>
      <c r="C117" t="s">
        <v>31</v>
      </c>
      <c r="D117">
        <v>69317</v>
      </c>
      <c r="E117">
        <v>57.375</v>
      </c>
      <c r="F117">
        <v>226.42</v>
      </c>
      <c r="G117">
        <v>57.369262499999998</v>
      </c>
      <c r="H117">
        <v>226.44264200000001</v>
      </c>
      <c r="I117">
        <v>3.6364574033479982</v>
      </c>
      <c r="J117">
        <v>0.93445707488887586</v>
      </c>
      <c r="K117">
        <v>-0.17429193899782139</v>
      </c>
      <c r="L117">
        <v>4.1270959936793389E-2</v>
      </c>
      <c r="M117" t="s">
        <v>25</v>
      </c>
      <c r="N117">
        <v>2</v>
      </c>
      <c r="O117" t="s">
        <v>26</v>
      </c>
      <c r="P117">
        <v>69319</v>
      </c>
      <c r="Q117">
        <v>57.25</v>
      </c>
      <c r="R117">
        <v>226.3</v>
      </c>
      <c r="S117">
        <v>0.2031159867385792</v>
      </c>
      <c r="T117">
        <v>1.6833977182313449E-2</v>
      </c>
      <c r="U117">
        <v>1.2967736933293049E-2</v>
      </c>
      <c r="V117">
        <v>3.8689010411927299E-3</v>
      </c>
      <c r="W117">
        <v>9.0988358921003203E-3</v>
      </c>
    </row>
    <row r="118" spans="1:23" hidden="1">
      <c r="A118">
        <v>11</v>
      </c>
      <c r="B118" t="s">
        <v>30</v>
      </c>
      <c r="C118" t="s">
        <v>31</v>
      </c>
      <c r="D118">
        <v>69392</v>
      </c>
      <c r="E118">
        <v>57.23</v>
      </c>
      <c r="F118">
        <v>227.22</v>
      </c>
      <c r="G118">
        <v>57.235722999999993</v>
      </c>
      <c r="H118">
        <v>227.19727800000001</v>
      </c>
      <c r="I118">
        <v>-3.6486710820134909</v>
      </c>
      <c r="J118">
        <v>0.93445707488887586</v>
      </c>
      <c r="K118">
        <v>0.1747335313646689</v>
      </c>
      <c r="L118">
        <v>-4.1125652446478117E-2</v>
      </c>
      <c r="M118" t="s">
        <v>27</v>
      </c>
      <c r="N118">
        <v>8</v>
      </c>
      <c r="O118" t="s">
        <v>26</v>
      </c>
      <c r="P118">
        <v>69400</v>
      </c>
      <c r="Q118">
        <v>57.215000000000003</v>
      </c>
      <c r="R118">
        <v>226.755</v>
      </c>
      <c r="S118">
        <v>0.35772578207039879</v>
      </c>
      <c r="T118">
        <v>1.6502425417143571E-2</v>
      </c>
      <c r="U118">
        <v>1.263568571050319E-2</v>
      </c>
      <c r="V118">
        <v>3.8689272583627742E-3</v>
      </c>
      <c r="W118">
        <v>8.7667584521404184E-3</v>
      </c>
    </row>
    <row r="119" spans="1:23" hidden="1">
      <c r="A119">
        <v>11</v>
      </c>
      <c r="B119" t="s">
        <v>30</v>
      </c>
      <c r="C119" t="s">
        <v>31</v>
      </c>
      <c r="D119">
        <v>69500</v>
      </c>
      <c r="E119">
        <v>57.234999999999999</v>
      </c>
      <c r="F119">
        <v>227.77</v>
      </c>
      <c r="G119">
        <v>57.240723500000001</v>
      </c>
      <c r="H119">
        <v>227.74722299999999</v>
      </c>
      <c r="I119">
        <v>-3.7803756811253311</v>
      </c>
      <c r="J119">
        <v>0.93445707488887586</v>
      </c>
      <c r="K119">
        <v>0.17471826679479341</v>
      </c>
      <c r="L119">
        <v>-4.1026345650826523E-2</v>
      </c>
      <c r="M119" t="s">
        <v>27</v>
      </c>
      <c r="N119">
        <v>18</v>
      </c>
      <c r="O119" t="s">
        <v>26</v>
      </c>
      <c r="P119">
        <v>69518</v>
      </c>
      <c r="Q119">
        <v>57.21</v>
      </c>
      <c r="R119">
        <v>227.52</v>
      </c>
      <c r="S119">
        <v>-0.31248890318602818</v>
      </c>
      <c r="T119">
        <v>5.8886297428370439E-3</v>
      </c>
      <c r="U119">
        <v>2.021178047367496E-3</v>
      </c>
      <c r="V119">
        <v>3.8689272583627742E-3</v>
      </c>
      <c r="W119">
        <v>-1.847749210995278E-3</v>
      </c>
    </row>
    <row r="120" spans="1:23" hidden="1">
      <c r="A120">
        <v>11</v>
      </c>
      <c r="B120" t="s">
        <v>30</v>
      </c>
      <c r="C120" t="s">
        <v>31</v>
      </c>
      <c r="D120">
        <v>69553</v>
      </c>
      <c r="E120">
        <v>57.38</v>
      </c>
      <c r="F120">
        <v>227.06</v>
      </c>
      <c r="G120">
        <v>57.374262000000002</v>
      </c>
      <c r="H120">
        <v>227.082706</v>
      </c>
      <c r="I120">
        <v>4.6679679746924823</v>
      </c>
      <c r="J120">
        <v>0.93445707488887586</v>
      </c>
      <c r="K120">
        <v>-0.17427675148135241</v>
      </c>
      <c r="L120">
        <v>4.1154632030691272E-2</v>
      </c>
      <c r="M120" t="s">
        <v>25</v>
      </c>
      <c r="N120">
        <v>8</v>
      </c>
      <c r="O120" t="s">
        <v>26</v>
      </c>
      <c r="P120">
        <v>69561</v>
      </c>
      <c r="Q120">
        <v>57.634999999999998</v>
      </c>
      <c r="R120">
        <v>229.28</v>
      </c>
      <c r="S120">
        <v>-2.75149091945401E-2</v>
      </c>
      <c r="T120">
        <v>4.6922711480390497E-2</v>
      </c>
      <c r="U120">
        <v>4.304021694513864E-2</v>
      </c>
      <c r="V120">
        <v>3.8689010411927299E-3</v>
      </c>
      <c r="W120">
        <v>3.9171315903945909E-2</v>
      </c>
    </row>
    <row r="121" spans="1:23" hidden="1">
      <c r="A121">
        <v>11</v>
      </c>
      <c r="B121" t="s">
        <v>30</v>
      </c>
      <c r="C121" t="s">
        <v>31</v>
      </c>
      <c r="D121">
        <v>70545</v>
      </c>
      <c r="E121">
        <v>56.67</v>
      </c>
      <c r="F121">
        <v>225.82499999999999</v>
      </c>
      <c r="G121">
        <v>56.675666999999997</v>
      </c>
      <c r="H121">
        <v>225.80241749999999</v>
      </c>
      <c r="I121">
        <v>-3.520115427300714</v>
      </c>
      <c r="J121">
        <v>0.93445707488887586</v>
      </c>
      <c r="K121">
        <v>0.1764602082230457</v>
      </c>
      <c r="L121">
        <v>-4.1379699984008672E-2</v>
      </c>
      <c r="M121" t="s">
        <v>27</v>
      </c>
      <c r="N121">
        <v>9</v>
      </c>
      <c r="O121" t="s">
        <v>26</v>
      </c>
      <c r="P121">
        <v>70554</v>
      </c>
      <c r="Q121">
        <v>56.58</v>
      </c>
      <c r="R121">
        <v>224.85</v>
      </c>
      <c r="S121">
        <v>8.675707785119743E-3</v>
      </c>
      <c r="T121">
        <v>2.4463788744333512E-2</v>
      </c>
      <c r="U121">
        <v>2.0600497257178829E-2</v>
      </c>
      <c r="V121">
        <v>3.8689272583627742E-3</v>
      </c>
      <c r="W121">
        <v>1.6731569998816049E-2</v>
      </c>
    </row>
    <row r="122" spans="1:23" hidden="1">
      <c r="A122">
        <v>11</v>
      </c>
      <c r="B122" t="s">
        <v>30</v>
      </c>
      <c r="C122" t="s">
        <v>31</v>
      </c>
      <c r="D122">
        <v>70726</v>
      </c>
      <c r="E122">
        <v>56.59</v>
      </c>
      <c r="F122">
        <v>223.49</v>
      </c>
      <c r="G122">
        <v>56.584341000000002</v>
      </c>
      <c r="H122">
        <v>223.512349</v>
      </c>
      <c r="I122">
        <v>4.7001284441657303</v>
      </c>
      <c r="J122">
        <v>0.93445707488887586</v>
      </c>
      <c r="K122">
        <v>-0.1767096660187312</v>
      </c>
      <c r="L122">
        <v>4.1812030734658188E-2</v>
      </c>
      <c r="M122" t="s">
        <v>25</v>
      </c>
      <c r="N122">
        <v>9</v>
      </c>
      <c r="O122" t="s">
        <v>26</v>
      </c>
      <c r="P122">
        <v>70735</v>
      </c>
      <c r="Q122">
        <v>56.47</v>
      </c>
      <c r="R122">
        <v>223.91</v>
      </c>
      <c r="S122">
        <v>0.211877086786004</v>
      </c>
      <c r="T122">
        <v>3.8766212830804461E-2</v>
      </c>
      <c r="U122">
        <v>3.4897663091728919E-2</v>
      </c>
      <c r="V122">
        <v>3.8689010411927299E-3</v>
      </c>
      <c r="W122">
        <v>3.1028762050536191E-2</v>
      </c>
    </row>
    <row r="123" spans="1:23" hidden="1">
      <c r="A123">
        <v>12</v>
      </c>
      <c r="B123" t="s">
        <v>30</v>
      </c>
      <c r="C123" t="s">
        <v>31</v>
      </c>
      <c r="D123">
        <v>70801</v>
      </c>
      <c r="E123">
        <v>56.1</v>
      </c>
      <c r="F123">
        <v>221.56</v>
      </c>
      <c r="G123">
        <v>56.105609999999999</v>
      </c>
      <c r="H123">
        <v>221.53784400000001</v>
      </c>
      <c r="I123">
        <v>-5.2857677027929286</v>
      </c>
      <c r="J123">
        <v>0.94405449064772462</v>
      </c>
      <c r="K123">
        <v>0.17825311942958999</v>
      </c>
      <c r="L123">
        <v>-4.2609428175109432E-2</v>
      </c>
      <c r="M123" t="s">
        <v>27</v>
      </c>
      <c r="N123">
        <v>23</v>
      </c>
      <c r="O123" t="s">
        <v>26</v>
      </c>
      <c r="P123">
        <v>70824</v>
      </c>
      <c r="Q123">
        <v>56.01</v>
      </c>
      <c r="R123">
        <v>221.38</v>
      </c>
      <c r="S123">
        <v>-0.4580609406768828</v>
      </c>
      <c r="T123">
        <v>-8.373083677143723E-3</v>
      </c>
      <c r="U123">
        <v>-1.225882141065554E-2</v>
      </c>
      <c r="V123">
        <v>3.8881201703973201E-3</v>
      </c>
      <c r="W123">
        <v>-1.614694158105286E-2</v>
      </c>
    </row>
    <row r="124" spans="1:23" hidden="1">
      <c r="A124">
        <v>12</v>
      </c>
      <c r="B124" t="s">
        <v>30</v>
      </c>
      <c r="C124" t="s">
        <v>31</v>
      </c>
      <c r="D124">
        <v>71114</v>
      </c>
      <c r="E124">
        <v>55.95</v>
      </c>
      <c r="F124">
        <v>220.35</v>
      </c>
      <c r="G124">
        <v>55.944405000000003</v>
      </c>
      <c r="H124">
        <v>220.37203500000001</v>
      </c>
      <c r="I124">
        <v>3.8584047850779659</v>
      </c>
      <c r="J124">
        <v>0.94405449064772462</v>
      </c>
      <c r="K124">
        <v>-0.17873100983020551</v>
      </c>
      <c r="L124">
        <v>4.2843407789776473E-2</v>
      </c>
      <c r="M124" t="s">
        <v>25</v>
      </c>
      <c r="N124">
        <v>7</v>
      </c>
      <c r="O124" t="s">
        <v>26</v>
      </c>
      <c r="P124">
        <v>71121</v>
      </c>
      <c r="Q124">
        <v>56.1</v>
      </c>
      <c r="R124">
        <v>221.92</v>
      </c>
      <c r="S124">
        <v>-0.20461089945307109</v>
      </c>
      <c r="T124">
        <v>4.0454498755418199E-2</v>
      </c>
      <c r="U124">
        <v>3.6556982393953823E-2</v>
      </c>
      <c r="V124">
        <v>3.888097792193579E-3</v>
      </c>
      <c r="W124">
        <v>3.2668884601760227E-2</v>
      </c>
    </row>
    <row r="125" spans="1:23" hidden="1">
      <c r="A125">
        <v>12</v>
      </c>
      <c r="B125" t="s">
        <v>30</v>
      </c>
      <c r="C125" t="s">
        <v>31</v>
      </c>
      <c r="D125">
        <v>71504</v>
      </c>
      <c r="E125">
        <v>56.55</v>
      </c>
      <c r="F125">
        <v>223.04</v>
      </c>
      <c r="G125">
        <v>56.544345</v>
      </c>
      <c r="H125">
        <v>223.06230400000001</v>
      </c>
      <c r="I125">
        <v>3.7118362261002611</v>
      </c>
      <c r="J125">
        <v>0.94405449064772462</v>
      </c>
      <c r="K125">
        <v>-0.17683465959328029</v>
      </c>
      <c r="L125">
        <v>4.2326689860461113E-2</v>
      </c>
      <c r="M125" t="s">
        <v>25</v>
      </c>
      <c r="N125">
        <v>12</v>
      </c>
      <c r="O125" t="s">
        <v>26</v>
      </c>
      <c r="P125">
        <v>71516</v>
      </c>
      <c r="Q125">
        <v>56.58</v>
      </c>
      <c r="R125">
        <v>223.35499999999999</v>
      </c>
      <c r="S125">
        <v>0.28678400683238942</v>
      </c>
      <c r="T125">
        <v>8.0278675182465439E-3</v>
      </c>
      <c r="U125">
        <v>4.1378947422432491E-3</v>
      </c>
      <c r="V125">
        <v>3.888097792193579E-3</v>
      </c>
      <c r="W125">
        <v>2.4979695004967011E-4</v>
      </c>
    </row>
    <row r="126" spans="1:23" hidden="1">
      <c r="A126">
        <v>12</v>
      </c>
      <c r="B126" t="s">
        <v>30</v>
      </c>
      <c r="C126" t="s">
        <v>31</v>
      </c>
      <c r="D126">
        <v>71896</v>
      </c>
      <c r="E126">
        <v>56.18</v>
      </c>
      <c r="F126">
        <v>221.73</v>
      </c>
      <c r="G126">
        <v>56.185617999999998</v>
      </c>
      <c r="H126">
        <v>221.70782700000001</v>
      </c>
      <c r="I126">
        <v>-3.7173685191356829</v>
      </c>
      <c r="J126">
        <v>0.94405449064772462</v>
      </c>
      <c r="K126">
        <v>0.17799928800284801</v>
      </c>
      <c r="L126">
        <v>-4.25767596016653E-2</v>
      </c>
      <c r="M126" t="s">
        <v>27</v>
      </c>
      <c r="N126">
        <v>1</v>
      </c>
      <c r="O126" t="s">
        <v>26</v>
      </c>
      <c r="P126">
        <v>71897</v>
      </c>
      <c r="Q126">
        <v>56.42</v>
      </c>
      <c r="R126">
        <v>221.73</v>
      </c>
      <c r="S126">
        <v>0.30732377143313272</v>
      </c>
      <c r="T126">
        <v>4.2719829120683873E-2</v>
      </c>
      <c r="U126">
        <v>3.8827448156475548E-2</v>
      </c>
      <c r="V126">
        <v>3.8881201703973201E-3</v>
      </c>
      <c r="W126">
        <v>3.4939327986078232E-2</v>
      </c>
    </row>
    <row r="127" spans="1:23" hidden="1">
      <c r="A127">
        <v>12</v>
      </c>
      <c r="B127" t="s">
        <v>30</v>
      </c>
      <c r="C127" t="s">
        <v>31</v>
      </c>
      <c r="D127">
        <v>72054</v>
      </c>
      <c r="E127">
        <v>55.57</v>
      </c>
      <c r="F127">
        <v>218.78</v>
      </c>
      <c r="G127">
        <v>55.575557000000003</v>
      </c>
      <c r="H127">
        <v>218.75812199999999</v>
      </c>
      <c r="I127">
        <v>-3.5022308892687222</v>
      </c>
      <c r="J127">
        <v>0.94405449064772462</v>
      </c>
      <c r="K127">
        <v>0.17995321216483709</v>
      </c>
      <c r="L127">
        <v>-4.3150858883249127E-2</v>
      </c>
      <c r="M127" t="s">
        <v>27</v>
      </c>
      <c r="N127">
        <v>6</v>
      </c>
      <c r="O127" t="s">
        <v>26</v>
      </c>
      <c r="P127">
        <v>72060</v>
      </c>
      <c r="Q127">
        <v>55.695</v>
      </c>
      <c r="R127">
        <v>218.73500000000001</v>
      </c>
      <c r="S127">
        <v>0.29640827913932299</v>
      </c>
      <c r="T127">
        <v>2.443594017035031E-2</v>
      </c>
      <c r="U127">
        <v>2.0545775952769151E-2</v>
      </c>
      <c r="V127">
        <v>3.8881201703973201E-3</v>
      </c>
      <c r="W127">
        <v>1.6657655782371831E-2</v>
      </c>
    </row>
    <row r="128" spans="1:23" hidden="1">
      <c r="A128">
        <v>12</v>
      </c>
      <c r="B128" t="s">
        <v>30</v>
      </c>
      <c r="C128" t="s">
        <v>31</v>
      </c>
      <c r="D128">
        <v>72284</v>
      </c>
      <c r="E128">
        <v>55.78</v>
      </c>
      <c r="F128">
        <v>218.74</v>
      </c>
      <c r="G128">
        <v>55.785578000000001</v>
      </c>
      <c r="H128">
        <v>218.71812600000001</v>
      </c>
      <c r="I128">
        <v>-4.5146704251436152</v>
      </c>
      <c r="J128">
        <v>0.94405449064772462</v>
      </c>
      <c r="K128">
        <v>0.17927572606669059</v>
      </c>
      <c r="L128">
        <v>-4.3158749686738801E-2</v>
      </c>
      <c r="M128" t="s">
        <v>27</v>
      </c>
      <c r="N128">
        <v>8</v>
      </c>
      <c r="O128" t="s">
        <v>26</v>
      </c>
      <c r="P128">
        <v>72292</v>
      </c>
      <c r="Q128">
        <v>56.21</v>
      </c>
      <c r="R128">
        <v>219.35</v>
      </c>
      <c r="S128">
        <v>-0.22136105130708919</v>
      </c>
      <c r="T128">
        <v>5.0761724899766873E-2</v>
      </c>
      <c r="U128">
        <v>4.6863274378520843E-2</v>
      </c>
      <c r="V128">
        <v>3.8881201703973192E-3</v>
      </c>
      <c r="W128">
        <v>4.2975154208123527E-2</v>
      </c>
    </row>
    <row r="129" spans="1:23" hidden="1">
      <c r="A129">
        <v>12</v>
      </c>
      <c r="B129" t="s">
        <v>30</v>
      </c>
      <c r="C129" t="s">
        <v>31</v>
      </c>
      <c r="D129">
        <v>72560</v>
      </c>
      <c r="E129">
        <v>56.64</v>
      </c>
      <c r="F129">
        <v>222.57</v>
      </c>
      <c r="G129">
        <v>56.634335999999998</v>
      </c>
      <c r="H129">
        <v>222.59225699999999</v>
      </c>
      <c r="I129">
        <v>3.700470940687608</v>
      </c>
      <c r="J129">
        <v>0.94405449064772462</v>
      </c>
      <c r="K129">
        <v>-0.17655367231638419</v>
      </c>
      <c r="L129">
        <v>4.2416070928145061E-2</v>
      </c>
      <c r="M129" t="s">
        <v>25</v>
      </c>
      <c r="N129">
        <v>18</v>
      </c>
      <c r="O129" t="s">
        <v>26</v>
      </c>
      <c r="P129">
        <v>72578</v>
      </c>
      <c r="Q129">
        <v>56.715000000000003</v>
      </c>
      <c r="R129">
        <v>222.95</v>
      </c>
      <c r="S129">
        <v>-1.71753934551769E-4</v>
      </c>
      <c r="T129">
        <v>2.8765815289656139E-3</v>
      </c>
      <c r="U129">
        <v>-1.0144634155656721E-3</v>
      </c>
      <c r="V129">
        <v>3.888097792193579E-3</v>
      </c>
      <c r="W129">
        <v>-4.9025612077592514E-3</v>
      </c>
    </row>
    <row r="130" spans="1:23" hidden="1">
      <c r="A130">
        <v>12</v>
      </c>
      <c r="B130" t="s">
        <v>30</v>
      </c>
      <c r="C130" t="s">
        <v>31</v>
      </c>
      <c r="D130">
        <v>72675</v>
      </c>
      <c r="E130">
        <v>56.42</v>
      </c>
      <c r="F130">
        <v>223.06</v>
      </c>
      <c r="G130">
        <v>56.425642000000003</v>
      </c>
      <c r="H130">
        <v>223.03769399999999</v>
      </c>
      <c r="I130">
        <v>-4.3198245695592616</v>
      </c>
      <c r="J130">
        <v>0.94405449064772462</v>
      </c>
      <c r="K130">
        <v>0.1772421127259837</v>
      </c>
      <c r="L130">
        <v>-4.2322894765880241E-2</v>
      </c>
      <c r="M130" t="s">
        <v>27</v>
      </c>
      <c r="N130">
        <v>5</v>
      </c>
      <c r="O130" t="s">
        <v>26</v>
      </c>
      <c r="P130">
        <v>72680</v>
      </c>
      <c r="Q130">
        <v>56.53</v>
      </c>
      <c r="R130">
        <v>222.435</v>
      </c>
      <c r="S130">
        <v>0.37175208715218239</v>
      </c>
      <c r="T130">
        <v>4.594844162853326E-2</v>
      </c>
      <c r="U130">
        <v>4.206102816492048E-2</v>
      </c>
      <c r="V130">
        <v>3.8881201703973209E-3</v>
      </c>
      <c r="W130">
        <v>3.8172907994523157E-2</v>
      </c>
    </row>
    <row r="131" spans="1:23" hidden="1">
      <c r="A131">
        <v>12</v>
      </c>
      <c r="B131" t="s">
        <v>30</v>
      </c>
      <c r="C131" t="s">
        <v>31</v>
      </c>
      <c r="D131">
        <v>73065</v>
      </c>
      <c r="E131">
        <v>55.67</v>
      </c>
      <c r="F131">
        <v>219.065</v>
      </c>
      <c r="G131">
        <v>55.675567000000001</v>
      </c>
      <c r="H131">
        <v>219.0430935</v>
      </c>
      <c r="I131">
        <v>-4.4109964921465226</v>
      </c>
      <c r="J131">
        <v>0.94405449064772462</v>
      </c>
      <c r="K131">
        <v>0.17962996227770789</v>
      </c>
      <c r="L131">
        <v>-4.3094720318066541E-2</v>
      </c>
      <c r="M131" t="s">
        <v>27</v>
      </c>
      <c r="N131">
        <v>23</v>
      </c>
      <c r="O131" t="s">
        <v>26</v>
      </c>
      <c r="P131">
        <v>73088</v>
      </c>
      <c r="Q131">
        <v>55.87</v>
      </c>
      <c r="R131">
        <v>219.69499999999999</v>
      </c>
      <c r="S131">
        <v>-0.41828776250499489</v>
      </c>
      <c r="T131">
        <v>8.7763186551590919E-3</v>
      </c>
      <c r="U131">
        <v>4.8819021072379759E-3</v>
      </c>
      <c r="V131">
        <v>3.8881201703973201E-3</v>
      </c>
      <c r="W131">
        <v>9.9378193684065584E-4</v>
      </c>
    </row>
    <row r="132" spans="1:23" hidden="1">
      <c r="A132">
        <v>12</v>
      </c>
      <c r="B132" t="s">
        <v>30</v>
      </c>
      <c r="C132" t="s">
        <v>31</v>
      </c>
      <c r="D132">
        <v>73749</v>
      </c>
      <c r="E132">
        <v>55.615000000000002</v>
      </c>
      <c r="F132">
        <v>221.15</v>
      </c>
      <c r="G132">
        <v>55.609438500000003</v>
      </c>
      <c r="H132">
        <v>221.17211499999999</v>
      </c>
      <c r="I132">
        <v>3.613041336473191</v>
      </c>
      <c r="J132">
        <v>0.94405449064772462</v>
      </c>
      <c r="K132">
        <v>-0.17980760586172789</v>
      </c>
      <c r="L132">
        <v>4.2688423723614047E-2</v>
      </c>
      <c r="M132" t="s">
        <v>25</v>
      </c>
      <c r="N132">
        <v>17</v>
      </c>
      <c r="O132" t="s">
        <v>26</v>
      </c>
      <c r="P132">
        <v>73766</v>
      </c>
      <c r="Q132">
        <v>55.625</v>
      </c>
      <c r="R132">
        <v>221.55</v>
      </c>
      <c r="S132">
        <v>-0.1384319637405409</v>
      </c>
      <c r="T132">
        <v>1.5277293430828939E-2</v>
      </c>
      <c r="U132">
        <v>1.138729710498026E-2</v>
      </c>
      <c r="V132">
        <v>3.888097792193579E-3</v>
      </c>
      <c r="W132">
        <v>7.4991993127866774E-3</v>
      </c>
    </row>
    <row r="133" spans="1:23" hidden="1">
      <c r="A133">
        <v>12</v>
      </c>
      <c r="B133" t="s">
        <v>30</v>
      </c>
      <c r="C133" t="s">
        <v>31</v>
      </c>
      <c r="D133">
        <v>73845</v>
      </c>
      <c r="E133">
        <v>56.5</v>
      </c>
      <c r="F133">
        <v>221.69</v>
      </c>
      <c r="G133">
        <v>56.494349999999997</v>
      </c>
      <c r="H133">
        <v>221.71216899999999</v>
      </c>
      <c r="I133">
        <v>5.2325717931209716</v>
      </c>
      <c r="J133">
        <v>0.94405449064772462</v>
      </c>
      <c r="K133">
        <v>-0.1769911504424779</v>
      </c>
      <c r="L133">
        <v>4.2584441817300041E-2</v>
      </c>
      <c r="M133" t="s">
        <v>25</v>
      </c>
      <c r="N133">
        <v>13</v>
      </c>
      <c r="O133" t="s">
        <v>26</v>
      </c>
      <c r="P133">
        <v>73858</v>
      </c>
      <c r="Q133">
        <v>56.78</v>
      </c>
      <c r="R133">
        <v>225.88499999999999</v>
      </c>
      <c r="S133">
        <v>0.37455789632458791</v>
      </c>
      <c r="T133">
        <v>0.1290842112996794</v>
      </c>
      <c r="U133">
        <v>0.12517328239283049</v>
      </c>
      <c r="V133">
        <v>3.8880977921935782E-3</v>
      </c>
      <c r="W133">
        <v>0.12128518460063691</v>
      </c>
    </row>
    <row r="134" spans="1:23" hidden="1">
      <c r="A134">
        <v>13</v>
      </c>
      <c r="B134" t="s">
        <v>30</v>
      </c>
      <c r="C134" t="s">
        <v>31</v>
      </c>
      <c r="D134">
        <v>74701</v>
      </c>
      <c r="E134">
        <v>55.24</v>
      </c>
      <c r="F134">
        <v>219.67500000000001</v>
      </c>
      <c r="G134">
        <v>55.245524000000003</v>
      </c>
      <c r="H134">
        <v>219.65303249999999</v>
      </c>
      <c r="I134">
        <v>-5.2845603453299734</v>
      </c>
      <c r="J134">
        <v>0.96501910880198527</v>
      </c>
      <c r="K134">
        <v>0.18102824040550319</v>
      </c>
      <c r="L134">
        <v>-4.3929400651052018E-2</v>
      </c>
      <c r="M134" t="s">
        <v>27</v>
      </c>
      <c r="N134">
        <v>23</v>
      </c>
      <c r="O134" t="s">
        <v>26</v>
      </c>
      <c r="P134">
        <v>74724</v>
      </c>
      <c r="Q134">
        <v>55.16</v>
      </c>
      <c r="R134">
        <v>219.05</v>
      </c>
      <c r="S134">
        <v>-0.4888053066347452</v>
      </c>
      <c r="T134">
        <v>1.297361617446628E-2</v>
      </c>
      <c r="U134">
        <v>9.0477717703263578E-3</v>
      </c>
      <c r="V134">
        <v>3.9300452137822108E-3</v>
      </c>
      <c r="W134">
        <v>5.1177265565441471E-3</v>
      </c>
    </row>
    <row r="135" spans="1:23" hidden="1">
      <c r="A135">
        <v>13</v>
      </c>
      <c r="B135" t="s">
        <v>30</v>
      </c>
      <c r="C135" t="s">
        <v>31</v>
      </c>
      <c r="D135">
        <v>75608</v>
      </c>
      <c r="E135">
        <v>54.45</v>
      </c>
      <c r="F135">
        <v>214.715</v>
      </c>
      <c r="G135">
        <v>54.444555000000001</v>
      </c>
      <c r="H135">
        <v>214.73647149999999</v>
      </c>
      <c r="I135">
        <v>3.6354004325012448</v>
      </c>
      <c r="J135">
        <v>0.96501910880198527</v>
      </c>
      <c r="K135">
        <v>-0.18365472910927461</v>
      </c>
      <c r="L135">
        <v>4.4944186889690298E-2</v>
      </c>
      <c r="M135" t="s">
        <v>25</v>
      </c>
      <c r="N135">
        <v>20</v>
      </c>
      <c r="O135" t="s">
        <v>26</v>
      </c>
      <c r="P135">
        <v>75628</v>
      </c>
      <c r="Q135">
        <v>54.62</v>
      </c>
      <c r="R135">
        <v>215.41</v>
      </c>
      <c r="S135">
        <v>0.44565455766834738</v>
      </c>
      <c r="T135">
        <v>1.4905939758769891E-5</v>
      </c>
      <c r="U135">
        <v>-3.9213780292283312E-3</v>
      </c>
      <c r="V135">
        <v>3.9300312214257307E-3</v>
      </c>
      <c r="W135">
        <v>-7.8514092506540619E-3</v>
      </c>
    </row>
    <row r="136" spans="1:23" hidden="1">
      <c r="A136">
        <v>13</v>
      </c>
      <c r="B136" t="s">
        <v>30</v>
      </c>
      <c r="C136" t="s">
        <v>31</v>
      </c>
      <c r="D136">
        <v>75803</v>
      </c>
      <c r="E136">
        <v>53.965000000000003</v>
      </c>
      <c r="F136">
        <v>214.3</v>
      </c>
      <c r="G136">
        <v>53.9703965</v>
      </c>
      <c r="H136">
        <v>214.27857</v>
      </c>
      <c r="I136">
        <v>-3.894545598021919</v>
      </c>
      <c r="J136">
        <v>0.96501910880198527</v>
      </c>
      <c r="K136">
        <v>0.1853052904660428</v>
      </c>
      <c r="L136">
        <v>-4.5031222995892912E-2</v>
      </c>
      <c r="M136" t="s">
        <v>27</v>
      </c>
      <c r="N136">
        <v>20</v>
      </c>
      <c r="O136" t="s">
        <v>26</v>
      </c>
      <c r="P136">
        <v>75823</v>
      </c>
      <c r="Q136">
        <v>53.84</v>
      </c>
      <c r="R136">
        <v>213.845</v>
      </c>
      <c r="S136">
        <v>-0.47533808501658281</v>
      </c>
      <c r="T136">
        <v>-2.6739548451235121E-3</v>
      </c>
      <c r="U136">
        <v>-6.5996278259504368E-3</v>
      </c>
      <c r="V136">
        <v>3.9300452137822099E-3</v>
      </c>
      <c r="W136">
        <v>-1.0529673039732649E-2</v>
      </c>
    </row>
    <row r="137" spans="1:23" hidden="1">
      <c r="A137">
        <v>13</v>
      </c>
      <c r="B137" t="s">
        <v>30</v>
      </c>
      <c r="C137" t="s">
        <v>31</v>
      </c>
      <c r="D137">
        <v>76191</v>
      </c>
      <c r="E137">
        <v>53.505000000000003</v>
      </c>
      <c r="F137">
        <v>209.91</v>
      </c>
      <c r="G137">
        <v>53.499649499999997</v>
      </c>
      <c r="H137">
        <v>209.93099100000001</v>
      </c>
      <c r="I137">
        <v>5.2150281813887016</v>
      </c>
      <c r="J137">
        <v>0.96501910880198527</v>
      </c>
      <c r="K137">
        <v>-0.186898420708345</v>
      </c>
      <c r="L137">
        <v>4.5972993606878433E-2</v>
      </c>
      <c r="M137" t="s">
        <v>25</v>
      </c>
      <c r="N137">
        <v>20</v>
      </c>
      <c r="O137" t="s">
        <v>26</v>
      </c>
      <c r="P137">
        <v>76211</v>
      </c>
      <c r="Q137">
        <v>53.51</v>
      </c>
      <c r="R137">
        <v>212.30500000000001</v>
      </c>
      <c r="S137">
        <v>-0.48522066756618032</v>
      </c>
      <c r="T137">
        <v>0.10917082758493341</v>
      </c>
      <c r="U137">
        <v>0.1052296853861505</v>
      </c>
      <c r="V137">
        <v>3.9300312214257324E-3</v>
      </c>
      <c r="W137">
        <v>0.10129965416472481</v>
      </c>
    </row>
    <row r="138" spans="1:23" hidden="1">
      <c r="A138">
        <v>13</v>
      </c>
      <c r="B138" t="s">
        <v>30</v>
      </c>
      <c r="C138" t="s">
        <v>31</v>
      </c>
      <c r="D138">
        <v>76583</v>
      </c>
      <c r="E138">
        <v>53.03</v>
      </c>
      <c r="F138">
        <v>213.58</v>
      </c>
      <c r="G138">
        <v>53.035302999999999</v>
      </c>
      <c r="H138">
        <v>213.55864199999999</v>
      </c>
      <c r="I138">
        <v>-4.1596963848877166</v>
      </c>
      <c r="J138">
        <v>0.96501910880198527</v>
      </c>
      <c r="K138">
        <v>0.1885725061286064</v>
      </c>
      <c r="L138">
        <v>-4.5183027849142493E-2</v>
      </c>
      <c r="M138" t="s">
        <v>27</v>
      </c>
      <c r="N138">
        <v>5</v>
      </c>
      <c r="O138" t="s">
        <v>26</v>
      </c>
      <c r="P138">
        <v>76588</v>
      </c>
      <c r="Q138">
        <v>53.18</v>
      </c>
      <c r="R138">
        <v>212.95</v>
      </c>
      <c r="S138">
        <v>-0.15759450154934621</v>
      </c>
      <c r="T138">
        <v>5.6751183464251537E-2</v>
      </c>
      <c r="U138">
        <v>5.2821163189809991E-2</v>
      </c>
      <c r="V138">
        <v>3.9300452137822108E-3</v>
      </c>
      <c r="W138">
        <v>4.8891117976027777E-2</v>
      </c>
    </row>
    <row r="139" spans="1:23" hidden="1">
      <c r="A139">
        <v>13</v>
      </c>
      <c r="B139" t="s">
        <v>30</v>
      </c>
      <c r="C139" t="s">
        <v>31</v>
      </c>
      <c r="D139">
        <v>77305</v>
      </c>
      <c r="E139">
        <v>53.68</v>
      </c>
      <c r="F139">
        <v>213.76</v>
      </c>
      <c r="G139">
        <v>53.674632000000003</v>
      </c>
      <c r="H139">
        <v>213.78137599999999</v>
      </c>
      <c r="I139">
        <v>3.740328380464673</v>
      </c>
      <c r="J139">
        <v>0.96501910880198527</v>
      </c>
      <c r="K139">
        <v>-0.1862891207153502</v>
      </c>
      <c r="L139">
        <v>4.5144980763565927E-2</v>
      </c>
      <c r="M139" t="s">
        <v>25</v>
      </c>
      <c r="N139">
        <v>2</v>
      </c>
      <c r="O139" t="s">
        <v>26</v>
      </c>
      <c r="P139">
        <v>77307</v>
      </c>
      <c r="Q139">
        <v>53.66</v>
      </c>
      <c r="R139">
        <v>214.45</v>
      </c>
      <c r="S139">
        <v>-5.5096645983412733E-2</v>
      </c>
      <c r="T139">
        <v>3.4875819141167982E-2</v>
      </c>
      <c r="U139">
        <v>3.0943038498132711E-2</v>
      </c>
      <c r="V139">
        <v>3.9300312214257324E-3</v>
      </c>
      <c r="W139">
        <v>2.7013007276706979E-2</v>
      </c>
    </row>
    <row r="140" spans="1:23" hidden="1">
      <c r="A140">
        <v>13</v>
      </c>
      <c r="B140" t="s">
        <v>30</v>
      </c>
      <c r="C140" t="s">
        <v>31</v>
      </c>
      <c r="D140">
        <v>77363</v>
      </c>
      <c r="E140">
        <v>53.01</v>
      </c>
      <c r="F140">
        <v>213.81</v>
      </c>
      <c r="G140">
        <v>53.015301000000001</v>
      </c>
      <c r="H140">
        <v>213.78861900000001</v>
      </c>
      <c r="I140">
        <v>-4.6222573982750603</v>
      </c>
      <c r="J140">
        <v>0.96501910880198527</v>
      </c>
      <c r="K140">
        <v>0.18864365214110551</v>
      </c>
      <c r="L140">
        <v>-4.5134423497590628E-2</v>
      </c>
      <c r="M140" t="s">
        <v>27</v>
      </c>
      <c r="N140">
        <v>7</v>
      </c>
      <c r="O140" t="s">
        <v>26</v>
      </c>
      <c r="P140">
        <v>77370</v>
      </c>
      <c r="Q140">
        <v>52.765000000000001</v>
      </c>
      <c r="R140">
        <v>211.79</v>
      </c>
      <c r="S140">
        <v>-0.44007995022552482</v>
      </c>
      <c r="T140">
        <v>4.4953840690563171E-2</v>
      </c>
      <c r="U140">
        <v>4.1037541395983361E-2</v>
      </c>
      <c r="V140">
        <v>3.9300452137822108E-3</v>
      </c>
      <c r="W140">
        <v>3.7107496182201147E-2</v>
      </c>
    </row>
    <row r="141" spans="1:23" hidden="1">
      <c r="A141">
        <v>13</v>
      </c>
      <c r="B141" t="s">
        <v>30</v>
      </c>
      <c r="C141" t="s">
        <v>31</v>
      </c>
      <c r="D141">
        <v>77753</v>
      </c>
      <c r="E141">
        <v>53.47</v>
      </c>
      <c r="F141">
        <v>213.35</v>
      </c>
      <c r="G141">
        <v>53.464652999999998</v>
      </c>
      <c r="H141">
        <v>213.37133499999999</v>
      </c>
      <c r="I141">
        <v>4.0842757255555622</v>
      </c>
      <c r="J141">
        <v>0.96501910880198527</v>
      </c>
      <c r="K141">
        <v>-0.1870207593042828</v>
      </c>
      <c r="L141">
        <v>4.5231736995640273E-2</v>
      </c>
      <c r="M141" t="s">
        <v>25</v>
      </c>
      <c r="N141">
        <v>10</v>
      </c>
      <c r="O141" t="s">
        <v>26</v>
      </c>
      <c r="P141">
        <v>77763</v>
      </c>
      <c r="Q141">
        <v>53.46</v>
      </c>
      <c r="R141">
        <v>213.875</v>
      </c>
      <c r="S141">
        <v>-0.27669785825482962</v>
      </c>
      <c r="T141">
        <v>2.561686951575385E-2</v>
      </c>
      <c r="U141">
        <v>2.168464365271644E-2</v>
      </c>
      <c r="V141">
        <v>3.9300312214257307E-3</v>
      </c>
      <c r="W141">
        <v>1.7754612431290711E-2</v>
      </c>
    </row>
    <row r="142" spans="1:23" hidden="1">
      <c r="A142">
        <v>13</v>
      </c>
      <c r="B142" t="s">
        <v>30</v>
      </c>
      <c r="C142" t="s">
        <v>31</v>
      </c>
      <c r="D142">
        <v>78143</v>
      </c>
      <c r="E142">
        <v>54.48</v>
      </c>
      <c r="F142">
        <v>216.23</v>
      </c>
      <c r="G142">
        <v>54.474552000000003</v>
      </c>
      <c r="H142">
        <v>216.251623</v>
      </c>
      <c r="I142">
        <v>4.2960134960350116</v>
      </c>
      <c r="J142">
        <v>0.96501910880198527</v>
      </c>
      <c r="K142">
        <v>-0.18355359765051399</v>
      </c>
      <c r="L142">
        <v>4.4629288664939433E-2</v>
      </c>
      <c r="M142" t="s">
        <v>25</v>
      </c>
      <c r="N142">
        <v>3</v>
      </c>
      <c r="O142" t="s">
        <v>26</v>
      </c>
      <c r="P142">
        <v>78146</v>
      </c>
      <c r="Q142">
        <v>54.09</v>
      </c>
      <c r="R142">
        <v>215.41</v>
      </c>
      <c r="S142">
        <v>-0.25577907223841179</v>
      </c>
      <c r="T142">
        <v>3.4989886378449221E-2</v>
      </c>
      <c r="U142">
        <v>3.1070666352824319E-2</v>
      </c>
      <c r="V142">
        <v>3.9300312214257324E-3</v>
      </c>
      <c r="W142">
        <v>2.7140635131398579E-2</v>
      </c>
    </row>
    <row r="143" spans="1:23" hidden="1">
      <c r="A143">
        <v>14</v>
      </c>
      <c r="B143" t="s">
        <v>30</v>
      </c>
      <c r="C143" t="s">
        <v>31</v>
      </c>
      <c r="D143">
        <v>78601</v>
      </c>
      <c r="E143">
        <v>54.924999999999997</v>
      </c>
      <c r="F143">
        <v>219.88</v>
      </c>
      <c r="G143">
        <v>54.9304925</v>
      </c>
      <c r="H143">
        <v>219.858012</v>
      </c>
      <c r="I143">
        <v>-5.2845788834833556</v>
      </c>
      <c r="J143">
        <v>0.98325718974251342</v>
      </c>
      <c r="K143">
        <v>0.18206645425580339</v>
      </c>
      <c r="L143">
        <v>-4.4717900206590569E-2</v>
      </c>
      <c r="M143" t="s">
        <v>27</v>
      </c>
      <c r="N143">
        <v>24</v>
      </c>
      <c r="O143" t="s">
        <v>26</v>
      </c>
      <c r="P143">
        <v>78625</v>
      </c>
      <c r="Q143">
        <v>54.924999999999997</v>
      </c>
      <c r="R143">
        <v>219.72</v>
      </c>
      <c r="S143">
        <v>-0.451626910045764</v>
      </c>
      <c r="T143">
        <v>7.1548640330543383E-3</v>
      </c>
      <c r="U143">
        <v>3.189065139971753E-3</v>
      </c>
      <c r="V143">
        <v>3.9665177280470776E-3</v>
      </c>
      <c r="W143">
        <v>-7.7745258807532551E-4</v>
      </c>
    </row>
    <row r="144" spans="1:23" hidden="1">
      <c r="A144">
        <v>14</v>
      </c>
      <c r="B144" t="s">
        <v>30</v>
      </c>
      <c r="C144" t="s">
        <v>31</v>
      </c>
      <c r="D144">
        <v>78925</v>
      </c>
      <c r="E144">
        <v>55.19</v>
      </c>
      <c r="F144">
        <v>219.61500000000001</v>
      </c>
      <c r="G144">
        <v>55.184480999999998</v>
      </c>
      <c r="H144">
        <v>219.63696150000001</v>
      </c>
      <c r="I144">
        <v>4.3505656785406286</v>
      </c>
      <c r="J144">
        <v>0.98325718974251342</v>
      </c>
      <c r="K144">
        <v>-0.18119224497191519</v>
      </c>
      <c r="L144">
        <v>4.4771859378572212E-2</v>
      </c>
      <c r="M144" t="s">
        <v>25</v>
      </c>
      <c r="N144">
        <v>2</v>
      </c>
      <c r="O144" t="s">
        <v>26</v>
      </c>
      <c r="P144">
        <v>78927</v>
      </c>
      <c r="Q144">
        <v>55.22</v>
      </c>
      <c r="R144">
        <v>221.55</v>
      </c>
      <c r="S144">
        <v>-0.48167809617385199</v>
      </c>
      <c r="T144">
        <v>8.1197780548379644E-2</v>
      </c>
      <c r="U144">
        <v>7.7222059237370133E-2</v>
      </c>
      <c r="V144">
        <v>3.9665110309229758E-3</v>
      </c>
      <c r="W144">
        <v>7.3255548206447155E-2</v>
      </c>
    </row>
    <row r="145" spans="1:23" hidden="1">
      <c r="A145">
        <v>14</v>
      </c>
      <c r="B145" t="s">
        <v>30</v>
      </c>
      <c r="C145" t="s">
        <v>31</v>
      </c>
      <c r="D145">
        <v>79315</v>
      </c>
      <c r="E145">
        <v>55.38</v>
      </c>
      <c r="F145">
        <v>221.05</v>
      </c>
      <c r="G145">
        <v>55.374462000000001</v>
      </c>
      <c r="H145">
        <v>221.07210499999999</v>
      </c>
      <c r="I145">
        <v>4.0847078409820554</v>
      </c>
      <c r="J145">
        <v>0.98325718974251342</v>
      </c>
      <c r="K145">
        <v>-0.18057060310581441</v>
      </c>
      <c r="L145">
        <v>4.4481211931350982E-2</v>
      </c>
      <c r="M145" t="s">
        <v>25</v>
      </c>
      <c r="N145">
        <v>6</v>
      </c>
      <c r="O145" t="s">
        <v>26</v>
      </c>
      <c r="P145">
        <v>79321</v>
      </c>
      <c r="Q145">
        <v>55.21</v>
      </c>
      <c r="R145">
        <v>221.05</v>
      </c>
      <c r="S145">
        <v>0.36452729952486668</v>
      </c>
      <c r="T145">
        <v>3.0697002527988751E-2</v>
      </c>
      <c r="U145">
        <v>2.673355784875504E-2</v>
      </c>
      <c r="V145">
        <v>3.9665110309229758E-3</v>
      </c>
      <c r="W145">
        <v>2.2767046817832069E-2</v>
      </c>
    </row>
    <row r="146" spans="1:23" hidden="1">
      <c r="A146">
        <v>14</v>
      </c>
      <c r="B146" t="s">
        <v>30</v>
      </c>
      <c r="C146" t="s">
        <v>31</v>
      </c>
      <c r="D146">
        <v>79671</v>
      </c>
      <c r="E146">
        <v>54.655000000000001</v>
      </c>
      <c r="F146">
        <v>220.59</v>
      </c>
      <c r="G146">
        <v>54.660465500000001</v>
      </c>
      <c r="H146">
        <v>220.56794099999999</v>
      </c>
      <c r="I146">
        <v>-3.546703690253675</v>
      </c>
      <c r="J146">
        <v>0.98325718974251342</v>
      </c>
      <c r="K146">
        <v>0.1829658768639649</v>
      </c>
      <c r="L146">
        <v>-4.4573969343239199E-2</v>
      </c>
      <c r="M146" t="s">
        <v>27</v>
      </c>
      <c r="N146">
        <v>9</v>
      </c>
      <c r="O146" t="s">
        <v>26</v>
      </c>
      <c r="P146">
        <v>79680</v>
      </c>
      <c r="Q146">
        <v>54.734999999999999</v>
      </c>
      <c r="R146">
        <v>220.61</v>
      </c>
      <c r="S146">
        <v>-0.1125305510698298</v>
      </c>
      <c r="T146">
        <v>1.3745790762251639E-2</v>
      </c>
      <c r="U146">
        <v>9.7777235078132657E-3</v>
      </c>
      <c r="V146">
        <v>3.9665177280470776E-3</v>
      </c>
      <c r="W146">
        <v>5.8112057797661872E-3</v>
      </c>
    </row>
    <row r="147" spans="1:23" hidden="1">
      <c r="A147">
        <v>14</v>
      </c>
      <c r="B147" t="s">
        <v>30</v>
      </c>
      <c r="C147" t="s">
        <v>31</v>
      </c>
      <c r="D147">
        <v>80085</v>
      </c>
      <c r="E147">
        <v>54.505000000000003</v>
      </c>
      <c r="F147">
        <v>220.01</v>
      </c>
      <c r="G147">
        <v>54.499549500000001</v>
      </c>
      <c r="H147">
        <v>220.03200100000001</v>
      </c>
      <c r="I147">
        <v>3.803645536516358</v>
      </c>
      <c r="J147">
        <v>0.98325718974251342</v>
      </c>
      <c r="K147">
        <v>-0.18346940647647</v>
      </c>
      <c r="L147">
        <v>4.4691477193878157E-2</v>
      </c>
      <c r="M147" t="s">
        <v>25</v>
      </c>
      <c r="N147">
        <v>28</v>
      </c>
      <c r="O147" t="s">
        <v>26</v>
      </c>
      <c r="P147">
        <v>80113</v>
      </c>
      <c r="Q147">
        <v>54.46</v>
      </c>
      <c r="R147">
        <v>219.83</v>
      </c>
      <c r="S147">
        <v>0.34310790310208888</v>
      </c>
      <c r="T147">
        <v>2.116573965443586E-4</v>
      </c>
      <c r="U147">
        <v>-3.753226924022014E-3</v>
      </c>
      <c r="V147">
        <v>3.9665110309229749E-3</v>
      </c>
      <c r="W147">
        <v>-7.7197379549449894E-3</v>
      </c>
    </row>
    <row r="148" spans="1:23" hidden="1">
      <c r="A148">
        <v>14</v>
      </c>
      <c r="B148" t="s">
        <v>30</v>
      </c>
      <c r="C148" t="s">
        <v>31</v>
      </c>
      <c r="D148">
        <v>80489</v>
      </c>
      <c r="E148">
        <v>54.01</v>
      </c>
      <c r="F148">
        <v>221.23</v>
      </c>
      <c r="G148">
        <v>54.015400999999997</v>
      </c>
      <c r="H148">
        <v>221.207877</v>
      </c>
      <c r="I148">
        <v>-5.1599561220203842</v>
      </c>
      <c r="J148">
        <v>0.98325718974251342</v>
      </c>
      <c r="K148">
        <v>0.18515089798185519</v>
      </c>
      <c r="L148">
        <v>-4.444502055519204E-2</v>
      </c>
      <c r="M148" t="s">
        <v>27</v>
      </c>
      <c r="N148">
        <v>1</v>
      </c>
      <c r="O148" t="s">
        <v>26</v>
      </c>
      <c r="P148">
        <v>80490</v>
      </c>
      <c r="Q148">
        <v>53.99</v>
      </c>
      <c r="R148">
        <v>217.995</v>
      </c>
      <c r="S148">
        <v>-8.9186258548039674E-2</v>
      </c>
      <c r="T148">
        <v>0.14007662353640921</v>
      </c>
      <c r="U148">
        <v>0.13612485742287139</v>
      </c>
      <c r="V148">
        <v>3.9665177280470776E-3</v>
      </c>
      <c r="W148">
        <v>0.13215833969482429</v>
      </c>
    </row>
    <row r="149" spans="1:23" hidden="1">
      <c r="A149">
        <v>14</v>
      </c>
      <c r="B149" t="s">
        <v>30</v>
      </c>
      <c r="C149" t="s">
        <v>31</v>
      </c>
      <c r="D149">
        <v>81270</v>
      </c>
      <c r="E149">
        <v>54.22</v>
      </c>
      <c r="F149">
        <v>218.6</v>
      </c>
      <c r="G149">
        <v>54.214578000000003</v>
      </c>
      <c r="H149">
        <v>218.62186</v>
      </c>
      <c r="I149">
        <v>4.1876319731760443</v>
      </c>
      <c r="J149">
        <v>0.98325718974251342</v>
      </c>
      <c r="K149">
        <v>-0.18443378827001111</v>
      </c>
      <c r="L149">
        <v>4.4979743355101257E-2</v>
      </c>
      <c r="M149" t="s">
        <v>25</v>
      </c>
      <c r="N149">
        <v>10</v>
      </c>
      <c r="O149" t="s">
        <v>26</v>
      </c>
      <c r="P149">
        <v>81280</v>
      </c>
      <c r="Q149">
        <v>53.91</v>
      </c>
      <c r="R149">
        <v>218.32</v>
      </c>
      <c r="S149">
        <v>-0.42062306388679288</v>
      </c>
      <c r="T149">
        <v>4.4580146224275453E-2</v>
      </c>
      <c r="U149">
        <v>4.0620608725041259E-2</v>
      </c>
      <c r="V149">
        <v>3.9665110309229758E-3</v>
      </c>
      <c r="W149">
        <v>3.665409769411828E-2</v>
      </c>
    </row>
    <row r="150" spans="1:23" hidden="1">
      <c r="A150">
        <v>14</v>
      </c>
      <c r="B150" t="s">
        <v>30</v>
      </c>
      <c r="C150" t="s">
        <v>31</v>
      </c>
      <c r="D150">
        <v>81427</v>
      </c>
      <c r="E150">
        <v>53.39</v>
      </c>
      <c r="F150">
        <v>218.51</v>
      </c>
      <c r="G150">
        <v>53.395339</v>
      </c>
      <c r="H150">
        <v>218.48814899999999</v>
      </c>
      <c r="I150">
        <v>-4.3337169448103214</v>
      </c>
      <c r="J150">
        <v>0.98325718974251342</v>
      </c>
      <c r="K150">
        <v>0.18730099269526129</v>
      </c>
      <c r="L150">
        <v>-4.4998269632626132E-2</v>
      </c>
      <c r="M150" t="s">
        <v>27</v>
      </c>
      <c r="N150">
        <v>6</v>
      </c>
      <c r="O150" t="s">
        <v>26</v>
      </c>
      <c r="P150">
        <v>81433</v>
      </c>
      <c r="Q150">
        <v>53.424999999999997</v>
      </c>
      <c r="R150">
        <v>218.11</v>
      </c>
      <c r="S150">
        <v>0.15007989150364229</v>
      </c>
      <c r="T150">
        <v>2.4554842597382932E-2</v>
      </c>
      <c r="U150">
        <v>2.0589472595210101E-2</v>
      </c>
      <c r="V150">
        <v>3.9665177280470776E-3</v>
      </c>
      <c r="W150">
        <v>1.6622954867163021E-2</v>
      </c>
    </row>
    <row r="151" spans="1:23" hidden="1">
      <c r="A151">
        <v>14</v>
      </c>
      <c r="B151" t="s">
        <v>30</v>
      </c>
      <c r="C151" t="s">
        <v>31</v>
      </c>
      <c r="D151">
        <v>81660</v>
      </c>
      <c r="E151">
        <v>53.86</v>
      </c>
      <c r="F151">
        <v>218.25</v>
      </c>
      <c r="G151">
        <v>53.854613999999998</v>
      </c>
      <c r="H151">
        <v>218.27182500000001</v>
      </c>
      <c r="I151">
        <v>4.7132087829337701</v>
      </c>
      <c r="J151">
        <v>0.98325718974251342</v>
      </c>
      <c r="K151">
        <v>-0.18566654288897139</v>
      </c>
      <c r="L151">
        <v>4.5051875818671858E-2</v>
      </c>
      <c r="M151" t="s">
        <v>25</v>
      </c>
      <c r="N151">
        <v>3</v>
      </c>
      <c r="O151" t="s">
        <v>26</v>
      </c>
      <c r="P151">
        <v>81663</v>
      </c>
      <c r="Q151">
        <v>54.07</v>
      </c>
      <c r="R151">
        <v>221.86</v>
      </c>
      <c r="S151">
        <v>-0.16441479308253129</v>
      </c>
      <c r="T151">
        <v>0.1236472976987219</v>
      </c>
      <c r="U151">
        <v>0.1196606205946652</v>
      </c>
      <c r="V151">
        <v>3.9665110309229758E-3</v>
      </c>
      <c r="W151">
        <v>0.1156941095637422</v>
      </c>
    </row>
    <row r="152" spans="1:23" hidden="1">
      <c r="A152">
        <v>14</v>
      </c>
      <c r="B152" t="s">
        <v>30</v>
      </c>
      <c r="C152" t="s">
        <v>31</v>
      </c>
      <c r="D152">
        <v>82445</v>
      </c>
      <c r="E152">
        <v>55.99</v>
      </c>
      <c r="F152">
        <v>228.31</v>
      </c>
      <c r="G152">
        <v>55.984401000000013</v>
      </c>
      <c r="H152">
        <v>228.332831</v>
      </c>
      <c r="I152">
        <v>4.4188733455300788</v>
      </c>
      <c r="J152">
        <v>0.98325718974251342</v>
      </c>
      <c r="K152">
        <v>-0.17860332202178961</v>
      </c>
      <c r="L152">
        <v>4.3066759657593337E-2</v>
      </c>
      <c r="M152" t="s">
        <v>25</v>
      </c>
      <c r="N152">
        <v>7</v>
      </c>
      <c r="O152" t="s">
        <v>26</v>
      </c>
      <c r="P152">
        <v>82452</v>
      </c>
      <c r="Q152">
        <v>55.71</v>
      </c>
      <c r="R152">
        <v>228.31</v>
      </c>
      <c r="S152">
        <v>0.25563224746374058</v>
      </c>
      <c r="T152">
        <v>5.0008930166101292E-2</v>
      </c>
      <c r="U152">
        <v>4.6047416679634467E-2</v>
      </c>
      <c r="V152">
        <v>3.9665110309229758E-3</v>
      </c>
      <c r="W152">
        <v>4.2080905648711489E-2</v>
      </c>
    </row>
    <row r="153" spans="1:23" hidden="1">
      <c r="A153">
        <v>15</v>
      </c>
      <c r="B153" t="s">
        <v>30</v>
      </c>
      <c r="C153" t="s">
        <v>32</v>
      </c>
      <c r="D153">
        <v>82501</v>
      </c>
      <c r="E153">
        <v>55.4</v>
      </c>
      <c r="F153">
        <v>49.02</v>
      </c>
      <c r="G153">
        <v>55.394460000000002</v>
      </c>
      <c r="H153">
        <v>49.024901999999997</v>
      </c>
      <c r="I153">
        <v>5.2946421827665366</v>
      </c>
      <c r="J153">
        <v>0.71674203224516841</v>
      </c>
      <c r="K153">
        <v>-0.18050541516245491</v>
      </c>
      <c r="L153">
        <v>0.14621420486437539</v>
      </c>
      <c r="M153" t="s">
        <v>25</v>
      </c>
      <c r="N153">
        <v>23</v>
      </c>
      <c r="O153" t="s">
        <v>26</v>
      </c>
      <c r="P153">
        <v>82524</v>
      </c>
      <c r="Q153">
        <v>55.46</v>
      </c>
      <c r="R153">
        <v>48.924999999999997</v>
      </c>
      <c r="S153">
        <v>0.49184093876936258</v>
      </c>
      <c r="T153">
        <v>-2.4720674371864239E-2</v>
      </c>
      <c r="U153">
        <v>-2.8153852433898861E-2</v>
      </c>
      <c r="V153">
        <v>3.433427412896786E-3</v>
      </c>
      <c r="W153">
        <v>-3.1587279846795643E-2</v>
      </c>
    </row>
    <row r="154" spans="1:23" hidden="1">
      <c r="A154">
        <v>15</v>
      </c>
      <c r="B154" t="s">
        <v>30</v>
      </c>
      <c r="C154" t="s">
        <v>32</v>
      </c>
      <c r="D154">
        <v>82775</v>
      </c>
      <c r="E154">
        <v>55.454999999999998</v>
      </c>
      <c r="F154">
        <v>49.034999999999997</v>
      </c>
      <c r="G154">
        <v>55.460545499999988</v>
      </c>
      <c r="H154">
        <v>49.030096499999999</v>
      </c>
      <c r="I154">
        <v>-3.618709709195238</v>
      </c>
      <c r="J154">
        <v>0.71674203224516841</v>
      </c>
      <c r="K154">
        <v>0.18032639076728879</v>
      </c>
      <c r="L154">
        <v>-0.14616947736212271</v>
      </c>
      <c r="M154" t="s">
        <v>27</v>
      </c>
      <c r="N154">
        <v>17</v>
      </c>
      <c r="O154" t="s">
        <v>26</v>
      </c>
      <c r="P154">
        <v>82792</v>
      </c>
      <c r="Q154">
        <v>55.475000000000001</v>
      </c>
      <c r="R154">
        <v>49.04</v>
      </c>
      <c r="S154">
        <v>-0.32664993217280558</v>
      </c>
      <c r="T154">
        <v>2.875680428535352E-3</v>
      </c>
      <c r="U154">
        <v>-5.5823737347344971E-4</v>
      </c>
      <c r="V154">
        <v>3.433540716083888E-3</v>
      </c>
      <c r="W154">
        <v>-3.9917780895573369E-3</v>
      </c>
    </row>
    <row r="155" spans="1:23" hidden="1">
      <c r="A155">
        <v>15</v>
      </c>
      <c r="B155" t="s">
        <v>30</v>
      </c>
      <c r="C155" t="s">
        <v>32</v>
      </c>
      <c r="D155">
        <v>82834</v>
      </c>
      <c r="E155">
        <v>55.9</v>
      </c>
      <c r="F155">
        <v>49.39</v>
      </c>
      <c r="G155">
        <v>55.894410000000001</v>
      </c>
      <c r="H155">
        <v>49.394939000000001</v>
      </c>
      <c r="I155">
        <v>3.616000328049747</v>
      </c>
      <c r="J155">
        <v>0.71674203224516841</v>
      </c>
      <c r="K155">
        <v>-0.1788908765652952</v>
      </c>
      <c r="L155">
        <v>0.1451188564983131</v>
      </c>
      <c r="M155" t="s">
        <v>25</v>
      </c>
      <c r="N155">
        <v>5</v>
      </c>
      <c r="O155" t="s">
        <v>26</v>
      </c>
      <c r="P155">
        <v>82839</v>
      </c>
      <c r="Q155">
        <v>56</v>
      </c>
      <c r="R155">
        <v>49.72</v>
      </c>
      <c r="S155">
        <v>-0.28239712615868451</v>
      </c>
      <c r="T155">
        <v>3.0000134987913301E-2</v>
      </c>
      <c r="U155">
        <v>2.656007309239267E-2</v>
      </c>
      <c r="V155">
        <v>3.433427412896786E-3</v>
      </c>
      <c r="W155">
        <v>2.3126645679495881E-2</v>
      </c>
    </row>
    <row r="156" spans="1:23" hidden="1">
      <c r="A156">
        <v>15</v>
      </c>
      <c r="B156" t="s">
        <v>30</v>
      </c>
      <c r="C156" t="s">
        <v>32</v>
      </c>
      <c r="D156">
        <v>83127</v>
      </c>
      <c r="E156">
        <v>55.734999999999999</v>
      </c>
      <c r="F156">
        <v>49.335000000000001</v>
      </c>
      <c r="G156">
        <v>55.740573500000004</v>
      </c>
      <c r="H156">
        <v>49.330066500000001</v>
      </c>
      <c r="I156">
        <v>-3.9384352450546358</v>
      </c>
      <c r="J156">
        <v>0.71674203224516841</v>
      </c>
      <c r="K156">
        <v>0.17942047187584101</v>
      </c>
      <c r="L156">
        <v>-0.14528063894702919</v>
      </c>
      <c r="M156" t="s">
        <v>27</v>
      </c>
      <c r="N156">
        <v>15</v>
      </c>
      <c r="O156" t="s">
        <v>26</v>
      </c>
      <c r="P156">
        <v>83142</v>
      </c>
      <c r="Q156">
        <v>55.84</v>
      </c>
      <c r="R156">
        <v>49.354999999999997</v>
      </c>
      <c r="S156">
        <v>-0.28138329554464592</v>
      </c>
      <c r="T156">
        <v>1.5933536768024021E-2</v>
      </c>
      <c r="U156">
        <v>1.2497878227301539E-2</v>
      </c>
      <c r="V156">
        <v>3.433540716083888E-3</v>
      </c>
      <c r="W156">
        <v>9.0643375112176554E-3</v>
      </c>
    </row>
    <row r="157" spans="1:23" hidden="1">
      <c r="A157">
        <v>15</v>
      </c>
      <c r="B157" t="s">
        <v>30</v>
      </c>
      <c r="C157" t="s">
        <v>32</v>
      </c>
      <c r="D157">
        <v>83635</v>
      </c>
      <c r="E157">
        <v>56.774999999999999</v>
      </c>
      <c r="F157">
        <v>50.005000000000003</v>
      </c>
      <c r="G157">
        <v>56.780677500000003</v>
      </c>
      <c r="H157">
        <v>49.999999500000001</v>
      </c>
      <c r="I157">
        <v>-3.732359997184135</v>
      </c>
      <c r="J157">
        <v>0.71674203224516841</v>
      </c>
      <c r="K157">
        <v>0.17613386173491849</v>
      </c>
      <c r="L157">
        <v>-0.14333407304172949</v>
      </c>
      <c r="M157" t="s">
        <v>27</v>
      </c>
      <c r="N157">
        <v>41</v>
      </c>
      <c r="O157" t="s">
        <v>26</v>
      </c>
      <c r="P157">
        <v>83676</v>
      </c>
      <c r="Q157">
        <v>56.64</v>
      </c>
      <c r="R157">
        <v>50.015000000000001</v>
      </c>
      <c r="S157">
        <v>-0.36151531318020619</v>
      </c>
      <c r="T157">
        <v>-2.5211412064630661E-2</v>
      </c>
      <c r="U157">
        <v>-2.8642661656059439E-2</v>
      </c>
      <c r="V157">
        <v>3.433540716083888E-3</v>
      </c>
      <c r="W157">
        <v>-3.2076202372143321E-2</v>
      </c>
    </row>
    <row r="158" spans="1:23" hidden="1">
      <c r="A158">
        <v>15</v>
      </c>
      <c r="B158" t="s">
        <v>30</v>
      </c>
      <c r="C158" t="s">
        <v>32</v>
      </c>
      <c r="D158">
        <v>84005</v>
      </c>
      <c r="E158">
        <v>58.26</v>
      </c>
      <c r="F158">
        <v>51.09</v>
      </c>
      <c r="G158">
        <v>58.254173999999999</v>
      </c>
      <c r="H158">
        <v>51.095109000000001</v>
      </c>
      <c r="I158">
        <v>4.7237316780747456</v>
      </c>
      <c r="J158">
        <v>0.71674203224516841</v>
      </c>
      <c r="K158">
        <v>-0.17164435290078961</v>
      </c>
      <c r="L158">
        <v>0.14029008264732201</v>
      </c>
      <c r="M158" t="s">
        <v>25</v>
      </c>
      <c r="N158">
        <v>17</v>
      </c>
      <c r="O158" t="s">
        <v>26</v>
      </c>
      <c r="P158">
        <v>84022</v>
      </c>
      <c r="Q158">
        <v>58.52</v>
      </c>
      <c r="R158">
        <v>51.27</v>
      </c>
      <c r="S158">
        <v>0.47374405302859091</v>
      </c>
      <c r="T158">
        <v>-1.9375316877688242E-2</v>
      </c>
      <c r="U158">
        <v>-2.2815788916840881E-2</v>
      </c>
      <c r="V158">
        <v>3.433427412896786E-3</v>
      </c>
      <c r="W158">
        <v>-2.624921632973766E-2</v>
      </c>
    </row>
    <row r="159" spans="1:23" hidden="1">
      <c r="A159">
        <v>15</v>
      </c>
      <c r="B159" t="s">
        <v>30</v>
      </c>
      <c r="C159" t="s">
        <v>32</v>
      </c>
      <c r="D159">
        <v>84213</v>
      </c>
      <c r="E159">
        <v>58.645000000000003</v>
      </c>
      <c r="F159">
        <v>51.414999999999999</v>
      </c>
      <c r="G159">
        <v>58.650864499999997</v>
      </c>
      <c r="H159">
        <v>51.409858499999999</v>
      </c>
      <c r="I159">
        <v>-3.6589472426244378</v>
      </c>
      <c r="J159">
        <v>0.71674203224516841</v>
      </c>
      <c r="K159">
        <v>0.17051752067524939</v>
      </c>
      <c r="L159">
        <v>-0.1394032932500571</v>
      </c>
      <c r="M159" t="s">
        <v>27</v>
      </c>
      <c r="N159">
        <v>16</v>
      </c>
      <c r="O159" t="s">
        <v>26</v>
      </c>
      <c r="P159">
        <v>84229</v>
      </c>
      <c r="Q159">
        <v>58.67</v>
      </c>
      <c r="R159">
        <v>51.414999999999999</v>
      </c>
      <c r="S159">
        <v>-0.23370122353748371</v>
      </c>
      <c r="T159">
        <v>4.2629380168809914E-3</v>
      </c>
      <c r="U159">
        <v>8.2902765858823752E-4</v>
      </c>
      <c r="V159">
        <v>3.433540716083888E-3</v>
      </c>
      <c r="W159">
        <v>-2.6045130574956499E-3</v>
      </c>
    </row>
    <row r="160" spans="1:23" hidden="1">
      <c r="A160">
        <v>15</v>
      </c>
      <c r="B160" t="s">
        <v>30</v>
      </c>
      <c r="C160" t="s">
        <v>32</v>
      </c>
      <c r="D160">
        <v>84760</v>
      </c>
      <c r="E160">
        <v>57.96</v>
      </c>
      <c r="F160">
        <v>48.82</v>
      </c>
      <c r="G160">
        <v>57.954203999999997</v>
      </c>
      <c r="H160">
        <v>48.824882000000002</v>
      </c>
      <c r="I160">
        <v>3.558018281985321</v>
      </c>
      <c r="J160">
        <v>0.71674203224516841</v>
      </c>
      <c r="K160">
        <v>-0.17253278122843341</v>
      </c>
      <c r="L160">
        <v>0.1468131979199444</v>
      </c>
      <c r="M160" t="s">
        <v>25</v>
      </c>
      <c r="N160">
        <v>28</v>
      </c>
      <c r="O160" t="s">
        <v>26</v>
      </c>
      <c r="P160">
        <v>84788</v>
      </c>
      <c r="Q160">
        <v>57.8</v>
      </c>
      <c r="R160">
        <v>48.49</v>
      </c>
      <c r="S160">
        <v>0.44409772618093141</v>
      </c>
      <c r="T160">
        <v>-2.084311031703141E-2</v>
      </c>
      <c r="U160">
        <v>-2.426898902149071E-2</v>
      </c>
      <c r="V160">
        <v>3.433427412896786E-3</v>
      </c>
      <c r="W160">
        <v>-2.7702416434387499E-2</v>
      </c>
    </row>
    <row r="161" spans="1:23" hidden="1">
      <c r="A161">
        <v>15</v>
      </c>
      <c r="B161" t="s">
        <v>30</v>
      </c>
      <c r="C161" t="s">
        <v>32</v>
      </c>
      <c r="D161">
        <v>85173</v>
      </c>
      <c r="E161">
        <v>58.79</v>
      </c>
      <c r="F161">
        <v>49.08</v>
      </c>
      <c r="G161">
        <v>58.784120999999999</v>
      </c>
      <c r="H161">
        <v>49.084907999999999</v>
      </c>
      <c r="I161">
        <v>3.9061094348266341</v>
      </c>
      <c r="J161">
        <v>0.71674203224516841</v>
      </c>
      <c r="K161">
        <v>-0.1700969552645008</v>
      </c>
      <c r="L161">
        <v>0.14603545889265859</v>
      </c>
      <c r="M161" t="s">
        <v>25</v>
      </c>
      <c r="N161">
        <v>21</v>
      </c>
      <c r="O161" t="s">
        <v>26</v>
      </c>
      <c r="P161">
        <v>85194</v>
      </c>
      <c r="Q161">
        <v>59.16</v>
      </c>
      <c r="R161">
        <v>49.454999999999998</v>
      </c>
      <c r="S161">
        <v>0.2423977271380959</v>
      </c>
      <c r="T161">
        <v>-8.1725763631178699E-3</v>
      </c>
      <c r="U161">
        <v>-1.161783034466113E-2</v>
      </c>
      <c r="V161">
        <v>3.433427412896786E-3</v>
      </c>
      <c r="W161">
        <v>-1.5051257757557911E-2</v>
      </c>
    </row>
    <row r="162" spans="1:23" hidden="1">
      <c r="A162">
        <v>15</v>
      </c>
      <c r="B162" t="s">
        <v>30</v>
      </c>
      <c r="C162" t="s">
        <v>32</v>
      </c>
      <c r="D162">
        <v>85875</v>
      </c>
      <c r="E162">
        <v>57.854999999999997</v>
      </c>
      <c r="F162">
        <v>48.295000000000002</v>
      </c>
      <c r="G162">
        <v>57.849214500000002</v>
      </c>
      <c r="H162">
        <v>48.299829500000001</v>
      </c>
      <c r="I162">
        <v>3.595451202139242</v>
      </c>
      <c r="J162">
        <v>0.71674203224516841</v>
      </c>
      <c r="K162">
        <v>-0.17284590787313109</v>
      </c>
      <c r="L162">
        <v>0.14840915876284669</v>
      </c>
      <c r="M162" t="s">
        <v>25</v>
      </c>
      <c r="N162">
        <v>21</v>
      </c>
      <c r="O162" t="s">
        <v>26</v>
      </c>
      <c r="P162">
        <v>85896</v>
      </c>
      <c r="Q162">
        <v>57.965000000000003</v>
      </c>
      <c r="R162">
        <v>48.335000000000001</v>
      </c>
      <c r="S162">
        <v>0.4200184629734931</v>
      </c>
      <c r="T162">
        <v>-1.307668351553181E-2</v>
      </c>
      <c r="U162">
        <v>-1.6512662521643968E-2</v>
      </c>
      <c r="V162">
        <v>3.433427412896786E-3</v>
      </c>
      <c r="W162">
        <v>-1.9946089934540751E-2</v>
      </c>
    </row>
    <row r="163" spans="1:23" hidden="1">
      <c r="A163">
        <v>15</v>
      </c>
      <c r="B163" t="s">
        <v>30</v>
      </c>
      <c r="C163" t="s">
        <v>32</v>
      </c>
      <c r="D163">
        <v>86343</v>
      </c>
      <c r="E163">
        <v>58.64</v>
      </c>
      <c r="F163">
        <v>48.585000000000001</v>
      </c>
      <c r="G163">
        <v>58.634135999999998</v>
      </c>
      <c r="H163">
        <v>48.589858499999998</v>
      </c>
      <c r="I163">
        <v>4.1714586811520622</v>
      </c>
      <c r="J163">
        <v>0.71674203224516841</v>
      </c>
      <c r="K163">
        <v>-0.1705320600272851</v>
      </c>
      <c r="L163">
        <v>0.14752331630033311</v>
      </c>
      <c r="M163" t="s">
        <v>25</v>
      </c>
      <c r="N163">
        <v>5</v>
      </c>
      <c r="O163" t="s">
        <v>26</v>
      </c>
      <c r="P163">
        <v>86348</v>
      </c>
      <c r="Q163">
        <v>58.58</v>
      </c>
      <c r="R163">
        <v>48.62</v>
      </c>
      <c r="S163">
        <v>0.36700134310946292</v>
      </c>
      <c r="T163">
        <v>1.5395239672148651E-2</v>
      </c>
      <c r="U163">
        <v>1.196226246841158E-2</v>
      </c>
      <c r="V163">
        <v>3.433427412896786E-3</v>
      </c>
      <c r="W163">
        <v>8.5288350555147927E-3</v>
      </c>
    </row>
    <row r="164" spans="1:23" hidden="1">
      <c r="A164">
        <v>16</v>
      </c>
      <c r="B164" t="s">
        <v>28</v>
      </c>
      <c r="C164" t="s">
        <v>30</v>
      </c>
      <c r="D164">
        <v>86401</v>
      </c>
      <c r="E164">
        <v>57.59</v>
      </c>
      <c r="F164">
        <v>59.265000000000001</v>
      </c>
      <c r="G164">
        <v>57.595759000000001</v>
      </c>
      <c r="H164">
        <v>59.2590735</v>
      </c>
      <c r="I164">
        <v>-5.2945718363465026</v>
      </c>
      <c r="J164">
        <v>1.201911734394435</v>
      </c>
      <c r="K164">
        <v>0.17364125716270179</v>
      </c>
      <c r="L164">
        <v>-0.2028029586424423</v>
      </c>
      <c r="M164" t="s">
        <v>27</v>
      </c>
      <c r="N164">
        <v>23</v>
      </c>
      <c r="O164" t="s">
        <v>26</v>
      </c>
      <c r="P164">
        <v>86424</v>
      </c>
      <c r="Q164">
        <v>57.64</v>
      </c>
      <c r="R164">
        <v>59.41</v>
      </c>
      <c r="S164">
        <v>-0.49247933447619952</v>
      </c>
      <c r="T164">
        <v>-2.0724366145018731E-2</v>
      </c>
      <c r="U164">
        <v>-2.5131998462993389E-2</v>
      </c>
      <c r="V164">
        <v>4.4037830864419904E-3</v>
      </c>
      <c r="W164">
        <v>-2.953578154943538E-2</v>
      </c>
    </row>
    <row r="165" spans="1:23" hidden="1">
      <c r="A165">
        <v>16</v>
      </c>
      <c r="B165" t="s">
        <v>28</v>
      </c>
      <c r="C165" t="s">
        <v>30</v>
      </c>
      <c r="D165">
        <v>86746</v>
      </c>
      <c r="E165">
        <v>58.25</v>
      </c>
      <c r="F165">
        <v>59.91</v>
      </c>
      <c r="G165">
        <v>58.244174999999998</v>
      </c>
      <c r="H165">
        <v>59.915990999999998</v>
      </c>
      <c r="I165">
        <v>4.3389704654171926</v>
      </c>
      <c r="J165">
        <v>1.201911734394435</v>
      </c>
      <c r="K165">
        <v>-0.1716738197424893</v>
      </c>
      <c r="L165">
        <v>0.2006195517266624</v>
      </c>
      <c r="M165" t="s">
        <v>25</v>
      </c>
      <c r="N165">
        <v>5</v>
      </c>
      <c r="O165" t="s">
        <v>26</v>
      </c>
      <c r="P165">
        <v>86751</v>
      </c>
      <c r="Q165">
        <v>57.93</v>
      </c>
      <c r="R165">
        <v>59.93</v>
      </c>
      <c r="S165">
        <v>0.20509554850200451</v>
      </c>
      <c r="T165">
        <v>5.8948013352130478E-2</v>
      </c>
      <c r="U165">
        <v>5.4549282206470533E-2</v>
      </c>
      <c r="V165">
        <v>4.4038638511357479E-3</v>
      </c>
      <c r="W165">
        <v>5.014541835533478E-2</v>
      </c>
    </row>
    <row r="166" spans="1:23" hidden="1">
      <c r="A166">
        <v>16</v>
      </c>
      <c r="B166" t="s">
        <v>28</v>
      </c>
      <c r="C166" t="s">
        <v>30</v>
      </c>
      <c r="D166">
        <v>87138</v>
      </c>
      <c r="E166">
        <v>58.13</v>
      </c>
      <c r="F166">
        <v>60.67</v>
      </c>
      <c r="G166">
        <v>58.135812999999999</v>
      </c>
      <c r="H166">
        <v>60.663933</v>
      </c>
      <c r="I166">
        <v>-3.522880514364541</v>
      </c>
      <c r="J166">
        <v>1.201911734394435</v>
      </c>
      <c r="K166">
        <v>0.17202821262687079</v>
      </c>
      <c r="L166">
        <v>-0.19810643388733051</v>
      </c>
      <c r="M166" t="s">
        <v>27</v>
      </c>
      <c r="N166">
        <v>39</v>
      </c>
      <c r="O166" t="s">
        <v>26</v>
      </c>
      <c r="P166">
        <v>87177</v>
      </c>
      <c r="Q166">
        <v>58.62</v>
      </c>
      <c r="R166">
        <v>61.48</v>
      </c>
      <c r="S166">
        <v>-0.43782017639025422</v>
      </c>
      <c r="T166">
        <v>-7.6172387261570954E-2</v>
      </c>
      <c r="U166">
        <v>-8.0600686733922428E-2</v>
      </c>
      <c r="V166">
        <v>4.4037830864419904E-3</v>
      </c>
      <c r="W166">
        <v>-8.5004469820364414E-2</v>
      </c>
    </row>
    <row r="167" spans="1:23" hidden="1">
      <c r="A167">
        <v>16</v>
      </c>
      <c r="B167" t="s">
        <v>28</v>
      </c>
      <c r="C167" t="s">
        <v>30</v>
      </c>
      <c r="D167">
        <v>87522</v>
      </c>
      <c r="E167">
        <v>58.16</v>
      </c>
      <c r="F167">
        <v>61.145000000000003</v>
      </c>
      <c r="G167">
        <v>58.165815999999992</v>
      </c>
      <c r="H167">
        <v>61.138885500000001</v>
      </c>
      <c r="I167">
        <v>-3.5860799766382758</v>
      </c>
      <c r="J167">
        <v>1.201911734394435</v>
      </c>
      <c r="K167">
        <v>0.17193947730398901</v>
      </c>
      <c r="L167">
        <v>-0.1965674600367053</v>
      </c>
      <c r="M167" t="s">
        <v>27</v>
      </c>
      <c r="N167">
        <v>28</v>
      </c>
      <c r="O167" t="s">
        <v>26</v>
      </c>
      <c r="P167">
        <v>87550</v>
      </c>
      <c r="Q167">
        <v>57.67</v>
      </c>
      <c r="R167">
        <v>60.92</v>
      </c>
      <c r="S167">
        <v>-0.35084928073749111</v>
      </c>
      <c r="T167">
        <v>-4.0022665370694772E-2</v>
      </c>
      <c r="U167">
        <v>-4.441364103724494E-2</v>
      </c>
      <c r="V167">
        <v>4.4037830864419904E-3</v>
      </c>
      <c r="W167">
        <v>-4.8817424123686927E-2</v>
      </c>
    </row>
    <row r="168" spans="1:23" hidden="1">
      <c r="A168">
        <v>16</v>
      </c>
      <c r="B168" t="s">
        <v>28</v>
      </c>
      <c r="C168" t="s">
        <v>30</v>
      </c>
      <c r="D168">
        <v>87882</v>
      </c>
      <c r="E168">
        <v>57.93</v>
      </c>
      <c r="F168">
        <v>60.75</v>
      </c>
      <c r="G168">
        <v>57.924207000000003</v>
      </c>
      <c r="H168">
        <v>60.756075000000003</v>
      </c>
      <c r="I168">
        <v>3.54188539804279</v>
      </c>
      <c r="J168">
        <v>1.201911734394435</v>
      </c>
      <c r="K168">
        <v>-0.17262213015708611</v>
      </c>
      <c r="L168">
        <v>0.1978455529867382</v>
      </c>
      <c r="M168" t="s">
        <v>25</v>
      </c>
      <c r="N168">
        <v>5</v>
      </c>
      <c r="O168" t="s">
        <v>26</v>
      </c>
      <c r="P168">
        <v>87887</v>
      </c>
      <c r="Q168">
        <v>57.85</v>
      </c>
      <c r="R168">
        <v>60.744999999999997</v>
      </c>
      <c r="S168">
        <v>0.30870253405584758</v>
      </c>
      <c r="T168">
        <v>1.28205426476324E-2</v>
      </c>
      <c r="U168">
        <v>8.4181990786625725E-3</v>
      </c>
      <c r="V168">
        <v>4.4038638511357479E-3</v>
      </c>
      <c r="W168">
        <v>4.0143352275268246E-3</v>
      </c>
    </row>
    <row r="169" spans="1:23" hidden="1">
      <c r="A169">
        <v>16</v>
      </c>
      <c r="B169" t="s">
        <v>28</v>
      </c>
      <c r="C169" t="s">
        <v>30</v>
      </c>
      <c r="D169">
        <v>88309</v>
      </c>
      <c r="E169">
        <v>57.524999999999999</v>
      </c>
      <c r="F169">
        <v>60.56</v>
      </c>
      <c r="G169">
        <v>57.519247499999999</v>
      </c>
      <c r="H169">
        <v>60.566056000000003</v>
      </c>
      <c r="I169">
        <v>4.4308710802388962</v>
      </c>
      <c r="J169">
        <v>1.201911734394435</v>
      </c>
      <c r="K169">
        <v>-0.17383746197305519</v>
      </c>
      <c r="L169">
        <v>0.1984662705406926</v>
      </c>
      <c r="M169" t="s">
        <v>25</v>
      </c>
      <c r="N169">
        <v>7</v>
      </c>
      <c r="O169" t="s">
        <v>26</v>
      </c>
      <c r="P169">
        <v>88316</v>
      </c>
      <c r="Q169">
        <v>56.94</v>
      </c>
      <c r="R169">
        <v>60.365000000000002</v>
      </c>
      <c r="S169">
        <v>-0.14683431632167659</v>
      </c>
      <c r="T169">
        <v>6.2993992498802318E-2</v>
      </c>
      <c r="U169">
        <v>5.8604208613814469E-2</v>
      </c>
      <c r="V169">
        <v>4.4038638511357479E-3</v>
      </c>
      <c r="W169">
        <v>5.4200344762678723E-2</v>
      </c>
    </row>
    <row r="170" spans="1:23" hidden="1">
      <c r="A170">
        <v>16</v>
      </c>
      <c r="B170" t="s">
        <v>28</v>
      </c>
      <c r="C170" t="s">
        <v>30</v>
      </c>
      <c r="D170">
        <v>88699</v>
      </c>
      <c r="E170">
        <v>57.08</v>
      </c>
      <c r="F170">
        <v>60.37</v>
      </c>
      <c r="G170">
        <v>57.074292</v>
      </c>
      <c r="H170">
        <v>60.376036999999997</v>
      </c>
      <c r="I170">
        <v>3.6100370481743691</v>
      </c>
      <c r="J170">
        <v>1.201911734394435</v>
      </c>
      <c r="K170">
        <v>-0.17519271198318151</v>
      </c>
      <c r="L170">
        <v>0.19909089521193221</v>
      </c>
      <c r="M170" t="s">
        <v>25</v>
      </c>
      <c r="N170">
        <v>8</v>
      </c>
      <c r="O170" t="s">
        <v>26</v>
      </c>
      <c r="P170">
        <v>88707</v>
      </c>
      <c r="Q170">
        <v>57.06</v>
      </c>
      <c r="R170">
        <v>60.59</v>
      </c>
      <c r="S170">
        <v>-0.34701371399519709</v>
      </c>
      <c r="T170">
        <v>4.7303851186289207E-2</v>
      </c>
      <c r="U170">
        <v>4.2895998103230602E-2</v>
      </c>
      <c r="V170">
        <v>4.4038638511357479E-3</v>
      </c>
      <c r="W170">
        <v>3.8492134252094849E-2</v>
      </c>
    </row>
    <row r="171" spans="1:23" hidden="1">
      <c r="A171">
        <v>16</v>
      </c>
      <c r="B171" t="s">
        <v>28</v>
      </c>
      <c r="C171" t="s">
        <v>30</v>
      </c>
      <c r="D171">
        <v>89479</v>
      </c>
      <c r="E171">
        <v>59.33</v>
      </c>
      <c r="F171">
        <v>62.664999999999999</v>
      </c>
      <c r="G171">
        <v>59.335932999999997</v>
      </c>
      <c r="H171">
        <v>62.658733499999997</v>
      </c>
      <c r="I171">
        <v>-4.5666412551678306</v>
      </c>
      <c r="J171">
        <v>1.201911734394435</v>
      </c>
      <c r="K171">
        <v>0.16854879487611671</v>
      </c>
      <c r="L171">
        <v>-0.19179952675248299</v>
      </c>
      <c r="M171" t="s">
        <v>27</v>
      </c>
      <c r="N171">
        <v>9</v>
      </c>
      <c r="O171" t="s">
        <v>26</v>
      </c>
      <c r="P171">
        <v>89488</v>
      </c>
      <c r="Q171">
        <v>59.68</v>
      </c>
      <c r="R171">
        <v>62.66</v>
      </c>
      <c r="S171">
        <v>-0.46461982834872612</v>
      </c>
      <c r="T171">
        <v>5.9951075840403982E-2</v>
      </c>
      <c r="U171">
        <v>5.5541449063557728E-2</v>
      </c>
      <c r="V171">
        <v>4.4037830864419904E-3</v>
      </c>
      <c r="W171">
        <v>5.1137665977115727E-2</v>
      </c>
    </row>
    <row r="172" spans="1:23" hidden="1">
      <c r="A172">
        <v>16</v>
      </c>
      <c r="B172" t="s">
        <v>28</v>
      </c>
      <c r="C172" t="s">
        <v>30</v>
      </c>
      <c r="D172">
        <v>89870</v>
      </c>
      <c r="E172">
        <v>60.52</v>
      </c>
      <c r="F172">
        <v>63.24</v>
      </c>
      <c r="G172">
        <v>60.513948000000013</v>
      </c>
      <c r="H172">
        <v>63.246324000000001</v>
      </c>
      <c r="I172">
        <v>3.8878682652601979</v>
      </c>
      <c r="J172">
        <v>1.201911734394435</v>
      </c>
      <c r="K172">
        <v>-0.1652346331791143</v>
      </c>
      <c r="L172">
        <v>0.190055618974452</v>
      </c>
      <c r="M172" t="s">
        <v>25</v>
      </c>
      <c r="N172">
        <v>26</v>
      </c>
      <c r="O172" t="s">
        <v>26</v>
      </c>
      <c r="P172">
        <v>89896</v>
      </c>
      <c r="Q172">
        <v>60.62</v>
      </c>
      <c r="R172">
        <v>63.26</v>
      </c>
      <c r="S172">
        <v>0.46160954296843731</v>
      </c>
      <c r="T172">
        <v>-1.272235093842221E-2</v>
      </c>
      <c r="U172">
        <v>-1.7128206864780431E-2</v>
      </c>
      <c r="V172">
        <v>4.4038638511357479E-3</v>
      </c>
      <c r="W172">
        <v>-2.1532070715916181E-2</v>
      </c>
    </row>
    <row r="173" spans="1:23" hidden="1">
      <c r="A173">
        <v>16</v>
      </c>
      <c r="B173" t="s">
        <v>28</v>
      </c>
      <c r="C173" t="s">
        <v>30</v>
      </c>
      <c r="D173">
        <v>90259</v>
      </c>
      <c r="E173">
        <v>59.24</v>
      </c>
      <c r="F173">
        <v>62.225000000000001</v>
      </c>
      <c r="G173">
        <v>59.234076000000002</v>
      </c>
      <c r="H173">
        <v>62.231222500000001</v>
      </c>
      <c r="I173">
        <v>3.9383759778718939</v>
      </c>
      <c r="J173">
        <v>1.201911734394435</v>
      </c>
      <c r="K173">
        <v>-0.16880486158001351</v>
      </c>
      <c r="L173">
        <v>0.19315576285969219</v>
      </c>
      <c r="M173" t="s">
        <v>25</v>
      </c>
      <c r="N173">
        <v>31</v>
      </c>
      <c r="O173" t="s">
        <v>26</v>
      </c>
      <c r="P173">
        <v>90290</v>
      </c>
      <c r="Q173">
        <v>59.23</v>
      </c>
      <c r="R173">
        <v>61.88</v>
      </c>
      <c r="S173">
        <v>0.1933589485578765</v>
      </c>
      <c r="T173">
        <v>-6.4950689570792572E-2</v>
      </c>
      <c r="U173">
        <v>-6.9347680360901998E-2</v>
      </c>
      <c r="V173">
        <v>4.4038638511357479E-3</v>
      </c>
      <c r="W173">
        <v>-7.3751544212037751E-2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9250"/>
  <sheetViews>
    <sheetView topLeftCell="M1" workbookViewId="0">
      <selection activeCell="W2" sqref="W2"/>
    </sheetView>
  </sheetViews>
  <sheetFormatPr defaultRowHeight="14.4"/>
  <cols>
    <col min="1" max="1" width="10.21875" bestFit="1" customWidth="1"/>
    <col min="2" max="3" width="6.44140625" bestFit="1" customWidth="1"/>
    <col min="4" max="4" width="15.5546875" bestFit="1" customWidth="1"/>
    <col min="5" max="6" width="12.5546875" bestFit="1" customWidth="1"/>
    <col min="7" max="8" width="19.77734375" bestFit="1" customWidth="1"/>
    <col min="9" max="9" width="12.6640625" bestFit="1" customWidth="1"/>
    <col min="10" max="10" width="16.6640625" bestFit="1" customWidth="1"/>
    <col min="11" max="12" width="13.88671875" bestFit="1" customWidth="1"/>
    <col min="13" max="13" width="8.44140625" bestFit="1" customWidth="1"/>
    <col min="14" max="14" width="15.21875" bestFit="1" customWidth="1"/>
    <col min="15" max="15" width="10.6640625" bestFit="1" customWidth="1"/>
    <col min="16" max="16" width="14.109375" bestFit="1" customWidth="1"/>
    <col min="17" max="18" width="11.109375" bestFit="1" customWidth="1"/>
    <col min="19" max="20" width="12.6640625" bestFit="1" customWidth="1"/>
    <col min="21" max="21" width="16.109375" bestFit="1" customWidth="1"/>
    <col min="22" max="22" width="15.77734375" bestFit="1" customWidth="1"/>
    <col min="23" max="23" width="12.6640625" bestFit="1" customWidth="1"/>
    <col min="24" max="25" width="10.5546875" bestFit="1" customWidth="1"/>
    <col min="26" max="26" width="11.44140625" bestFit="1" customWidth="1"/>
    <col min="31" max="32" width="10.5546875" bestFit="1" customWidth="1"/>
    <col min="33" max="33" width="12.6640625" bestFit="1" customWidth="1"/>
    <col min="36" max="36" width="17.5546875" bestFit="1" customWidth="1"/>
    <col min="37" max="37" width="12.21875" bestFit="1" customWidth="1"/>
    <col min="38" max="38" width="12.6640625" bestFit="1" customWidth="1"/>
    <col min="39" max="40" width="11.5546875" bestFit="1" customWidth="1"/>
  </cols>
  <sheetData>
    <row r="1" spans="1:40">
      <c r="A1" s="25" t="s">
        <v>0</v>
      </c>
      <c r="B1" s="25" t="s">
        <v>1</v>
      </c>
      <c r="C1" s="25" t="s">
        <v>2</v>
      </c>
      <c r="D1" s="25" t="s">
        <v>3</v>
      </c>
      <c r="E1" s="25" t="s">
        <v>4</v>
      </c>
      <c r="F1" s="25" t="s">
        <v>5</v>
      </c>
      <c r="G1" s="25" t="s">
        <v>6</v>
      </c>
      <c r="H1" s="25" t="s">
        <v>7</v>
      </c>
      <c r="I1" s="25" t="s">
        <v>8</v>
      </c>
      <c r="J1" s="25" t="s">
        <v>9</v>
      </c>
      <c r="K1" s="25" t="s">
        <v>10</v>
      </c>
      <c r="L1" s="25" t="s">
        <v>11</v>
      </c>
      <c r="M1" s="25" t="s">
        <v>12</v>
      </c>
      <c r="N1" s="25" t="s">
        <v>13</v>
      </c>
      <c r="O1" s="25" t="s">
        <v>14</v>
      </c>
      <c r="P1" s="25" t="s">
        <v>15</v>
      </c>
      <c r="Q1" s="25" t="s">
        <v>16</v>
      </c>
      <c r="R1" s="25" t="s">
        <v>17</v>
      </c>
      <c r="S1" s="25" t="s">
        <v>18</v>
      </c>
      <c r="T1" s="25" t="s">
        <v>19</v>
      </c>
      <c r="U1" s="25" t="s">
        <v>20</v>
      </c>
      <c r="V1" s="25" t="s">
        <v>21</v>
      </c>
      <c r="W1" s="25" t="s">
        <v>22</v>
      </c>
      <c r="X1" s="20" t="s">
        <v>33</v>
      </c>
      <c r="Y1" s="20" t="s">
        <v>268</v>
      </c>
      <c r="Z1" s="20" t="s">
        <v>34</v>
      </c>
      <c r="AE1" t="s">
        <v>35</v>
      </c>
      <c r="AF1" t="s">
        <v>36</v>
      </c>
      <c r="AG1" t="s">
        <v>37</v>
      </c>
    </row>
    <row r="2" spans="1:40">
      <c r="A2">
        <v>0</v>
      </c>
      <c r="B2" t="s">
        <v>23</v>
      </c>
      <c r="C2" t="s">
        <v>24</v>
      </c>
      <c r="D2">
        <v>24207</v>
      </c>
      <c r="E2">
        <v>306.35500000000002</v>
      </c>
      <c r="F2">
        <v>782.97500000000002</v>
      </c>
      <c r="G2">
        <v>306.3243645</v>
      </c>
      <c r="H2">
        <v>783.05329749999999</v>
      </c>
      <c r="I2">
        <v>3.5945309709117739</v>
      </c>
      <c r="J2">
        <v>0.66743014811490775</v>
      </c>
      <c r="K2">
        <v>-3.2641869726297922E-2</v>
      </c>
      <c r="L2">
        <v>8.5242842761889936E-3</v>
      </c>
      <c r="M2" t="s">
        <v>25</v>
      </c>
      <c r="N2">
        <v>7</v>
      </c>
      <c r="O2" t="s">
        <v>26</v>
      </c>
      <c r="P2">
        <v>24214</v>
      </c>
      <c r="Q2">
        <v>305.61500000000001</v>
      </c>
      <c r="R2">
        <v>782.97500000000002</v>
      </c>
      <c r="S2">
        <v>0.36824447044600628</v>
      </c>
      <c r="T2">
        <v>2.4154983597460759E-2</v>
      </c>
      <c r="U2">
        <v>2.0822538799591561E-2</v>
      </c>
      <c r="V2">
        <v>3.334793782259439E-3</v>
      </c>
      <c r="W2">
        <v>1.7487745017332121E-2</v>
      </c>
      <c r="X2" s="21">
        <f t="shared" ref="X2:X65" si="0">WORKDAY(DATE(2025,8,2),INT(D2/390))</f>
        <v>45958</v>
      </c>
      <c r="Y2" s="21">
        <f>WORKDAY(DATE(2025,8,2),INT(P2/390))</f>
        <v>45958</v>
      </c>
      <c r="Z2">
        <f t="array" ref="Z2">_xlfn.XLOOKUP(INT(X2),INT($AE$2:$AE$1000),$AG$2:$AG$1000,"")</f>
        <v>16.420000000000002</v>
      </c>
      <c r="AE2" s="21">
        <f t="shared" ref="AE2:AE65" si="1">IF(ISNUMBER(AF2),DATE(YEAR(AF2),DAY(AF2),MONTH(AF2)),DATE(RIGHT(AF2,4),LEFT(AF2,2),MID(AF2,4,2)))</f>
        <v>45870</v>
      </c>
      <c r="AF2" s="21">
        <v>45665</v>
      </c>
      <c r="AG2">
        <v>20.38</v>
      </c>
      <c r="AJ2" s="18" t="s">
        <v>38</v>
      </c>
      <c r="AK2" s="18" t="s">
        <v>39</v>
      </c>
      <c r="AL2" s="19" t="s">
        <v>40</v>
      </c>
      <c r="AM2" s="19" t="s">
        <v>41</v>
      </c>
      <c r="AN2" s="19" t="s">
        <v>42</v>
      </c>
    </row>
    <row r="3" spans="1:40">
      <c r="A3">
        <v>0</v>
      </c>
      <c r="B3" t="s">
        <v>23</v>
      </c>
      <c r="C3" t="s">
        <v>24</v>
      </c>
      <c r="D3">
        <v>24601</v>
      </c>
      <c r="E3">
        <v>310.255</v>
      </c>
      <c r="F3">
        <v>784.85</v>
      </c>
      <c r="G3">
        <v>310.2239745</v>
      </c>
      <c r="H3">
        <v>784.92848500000002</v>
      </c>
      <c r="I3">
        <v>3.7200374396416791</v>
      </c>
      <c r="J3">
        <v>0.66743014811490775</v>
      </c>
      <c r="K3">
        <v>-3.2231551465729813E-2</v>
      </c>
      <c r="L3">
        <v>8.5039198332790694E-3</v>
      </c>
      <c r="M3" t="s">
        <v>25</v>
      </c>
      <c r="N3">
        <v>5</v>
      </c>
      <c r="O3" t="s">
        <v>26</v>
      </c>
      <c r="P3">
        <v>24606</v>
      </c>
      <c r="Q3">
        <v>309.23</v>
      </c>
      <c r="R3">
        <v>786.1</v>
      </c>
      <c r="S3">
        <v>0.45860297430085828</v>
      </c>
      <c r="T3">
        <v>4.3667240043971163E-2</v>
      </c>
      <c r="U3">
        <v>4.0334620491788112E-2</v>
      </c>
      <c r="V3">
        <v>3.334793782259439E-3</v>
      </c>
      <c r="W3">
        <v>3.6999826709528671E-2</v>
      </c>
      <c r="X3" s="21">
        <f t="shared" si="0"/>
        <v>45959</v>
      </c>
      <c r="Y3" s="21">
        <f t="shared" ref="Y3:Y66" si="2">WORKDAY(DATE(2025,8,2),INT(P3/390))</f>
        <v>45959</v>
      </c>
      <c r="Z3">
        <f t="array" ref="Z3">_xlfn.XLOOKUP(INT(X3),INT($AE$2:$AE$1000),$AG$2:$AG$1000,"")</f>
        <v>16.920000000000002</v>
      </c>
      <c r="AE3" s="21">
        <f t="shared" si="1"/>
        <v>45873</v>
      </c>
      <c r="AF3" s="21">
        <v>45755</v>
      </c>
      <c r="AG3">
        <v>17.52</v>
      </c>
      <c r="AJ3" s="22" t="s">
        <v>43</v>
      </c>
      <c r="AK3" s="17">
        <f>AL3*AM3</f>
        <v>3.4883676357253417E-2</v>
      </c>
      <c r="AL3">
        <f>COUNTIF(Z:Z,"&lt;15")</f>
        <v>15</v>
      </c>
      <c r="AM3" s="16">
        <f>AVERAGEIF(Z:Z,"&lt;15",W:W)</f>
        <v>2.3255784238168944E-3</v>
      </c>
      <c r="AN3" s="16">
        <f>COUNTIFS(Z:Z,"&lt;15",T:T,"&gt;0")/COUNTIFS(Z:Z,"&lt;15")</f>
        <v>0.66666666666666663</v>
      </c>
    </row>
    <row r="4" spans="1:40">
      <c r="A4">
        <v>0</v>
      </c>
      <c r="B4" t="s">
        <v>23</v>
      </c>
      <c r="C4" t="s">
        <v>24</v>
      </c>
      <c r="D4">
        <v>24832</v>
      </c>
      <c r="E4">
        <v>309.67</v>
      </c>
      <c r="F4">
        <v>784.45</v>
      </c>
      <c r="G4">
        <v>309.63903299999998</v>
      </c>
      <c r="H4">
        <v>784.52844500000003</v>
      </c>
      <c r="I4">
        <v>3.9794319830467719</v>
      </c>
      <c r="J4">
        <v>0.66743014811490775</v>
      </c>
      <c r="K4">
        <v>-3.2292440339716469E-2</v>
      </c>
      <c r="L4">
        <v>8.5082560789713525E-3</v>
      </c>
      <c r="M4" t="s">
        <v>25</v>
      </c>
      <c r="N4">
        <v>16</v>
      </c>
      <c r="O4" t="s">
        <v>26</v>
      </c>
      <c r="P4">
        <v>24848</v>
      </c>
      <c r="Q4">
        <v>309.315</v>
      </c>
      <c r="R4">
        <v>783.6</v>
      </c>
      <c r="S4">
        <v>0.3857815709424145</v>
      </c>
      <c r="T4">
        <v>4.231798653474091E-3</v>
      </c>
      <c r="U4">
        <v>8.988079406438837E-4</v>
      </c>
      <c r="V4">
        <v>3.334793782259439E-3</v>
      </c>
      <c r="W4">
        <v>-2.4359858416155549E-3</v>
      </c>
      <c r="X4" s="21">
        <f t="shared" si="0"/>
        <v>45959</v>
      </c>
      <c r="Y4" s="21">
        <f t="shared" si="2"/>
        <v>45959</v>
      </c>
      <c r="Z4">
        <f t="array" ref="Z4">_xlfn.XLOOKUP(INT(X4),INT($AE$2:$AE$1000),$AG$2:$AG$1000,"")</f>
        <v>16.920000000000002</v>
      </c>
      <c r="AE4" s="21">
        <f t="shared" si="1"/>
        <v>45874</v>
      </c>
      <c r="AF4" s="21">
        <v>45785</v>
      </c>
      <c r="AG4">
        <v>17.850000000000001</v>
      </c>
      <c r="AJ4" s="17" t="s">
        <v>44</v>
      </c>
      <c r="AK4" s="17">
        <f>AL4*AM4</f>
        <v>1.5033115407694737</v>
      </c>
      <c r="AL4" s="16">
        <f>COUNTIFS(Z:Z,"&gt;=15",Z:Z,"&lt;20")</f>
        <v>108</v>
      </c>
      <c r="AM4" s="16">
        <f>AVERAGEIFS(W:W,Z:Z,"&gt;=15",Z:Z,"&lt;20")</f>
        <v>1.3919551303421053E-2</v>
      </c>
      <c r="AN4" s="16">
        <f>COUNTIFS(Z:Z,"&gt;=15",Z:Z,"&lt;20",T:T,"&gt;0")/COUNTIFS(Z:Z,"&gt;=15",Z:Z,"&lt;20")</f>
        <v>0.7592592592592593</v>
      </c>
    </row>
    <row r="5" spans="1:40">
      <c r="A5">
        <v>0</v>
      </c>
      <c r="B5" t="s">
        <v>23</v>
      </c>
      <c r="C5" t="s">
        <v>24</v>
      </c>
      <c r="D5">
        <v>24987</v>
      </c>
      <c r="E5">
        <v>310.94499999999999</v>
      </c>
      <c r="F5">
        <v>792.31</v>
      </c>
      <c r="G5">
        <v>310.97609449999999</v>
      </c>
      <c r="H5">
        <v>792.23076900000001</v>
      </c>
      <c r="I5">
        <v>-4.4660854829666734</v>
      </c>
      <c r="J5">
        <v>0.66743014811490775</v>
      </c>
      <c r="K5">
        <v>3.2160028300824907E-2</v>
      </c>
      <c r="L5">
        <v>-8.4238511203305246E-3</v>
      </c>
      <c r="M5" t="s">
        <v>27</v>
      </c>
      <c r="N5">
        <v>9</v>
      </c>
      <c r="O5" t="s">
        <v>26</v>
      </c>
      <c r="P5">
        <v>24996</v>
      </c>
      <c r="Q5">
        <v>311.58999999999997</v>
      </c>
      <c r="R5">
        <v>790.28</v>
      </c>
      <c r="S5">
        <v>0.26723450070590632</v>
      </c>
      <c r="T5">
        <v>3.7843636028302208E-2</v>
      </c>
      <c r="U5">
        <v>3.4508411452025108E-2</v>
      </c>
      <c r="V5">
        <v>3.3349268102001932E-3</v>
      </c>
      <c r="W5">
        <v>3.117348464182491E-2</v>
      </c>
      <c r="X5" s="21">
        <f t="shared" si="0"/>
        <v>45960</v>
      </c>
      <c r="Y5" s="21">
        <f t="shared" si="2"/>
        <v>45960</v>
      </c>
      <c r="Z5">
        <f t="array" ref="Z5">_xlfn.XLOOKUP(INT(X5),INT($AE$2:$AE$1000),$AG$2:$AG$1000,"")</f>
        <v>16.91</v>
      </c>
      <c r="AE5" s="21">
        <f t="shared" si="1"/>
        <v>45875</v>
      </c>
      <c r="AF5" s="21">
        <v>45816</v>
      </c>
      <c r="AG5">
        <v>16.77</v>
      </c>
      <c r="AJ5" s="17" t="s">
        <v>45</v>
      </c>
      <c r="AK5" s="17">
        <f>AL5*AM5</f>
        <v>0.60012575327515871</v>
      </c>
      <c r="AL5" s="16">
        <f>COUNTIFS(Z:Z,"&gt;=20")</f>
        <v>48</v>
      </c>
      <c r="AM5" s="16">
        <f>AVERAGEIFS(W:W,Z:Z,"&gt;=20")</f>
        <v>1.2502619859899139E-2</v>
      </c>
      <c r="AN5" s="16">
        <f>COUNTIFS(Z:Z,"&gt;=20",T:T,"&gt;0")/COUNTIFS(Z:Z,"&gt;=20")</f>
        <v>0.72916666666666663</v>
      </c>
    </row>
    <row r="6" spans="1:40">
      <c r="A6">
        <v>0</v>
      </c>
      <c r="B6" t="s">
        <v>23</v>
      </c>
      <c r="C6" t="s">
        <v>24</v>
      </c>
      <c r="D6">
        <v>25380</v>
      </c>
      <c r="E6">
        <v>305.66500000000002</v>
      </c>
      <c r="F6">
        <v>775.68</v>
      </c>
      <c r="G6">
        <v>305.69556649999998</v>
      </c>
      <c r="H6">
        <v>775.60243199999991</v>
      </c>
      <c r="I6">
        <v>-3.6905638528624789</v>
      </c>
      <c r="J6">
        <v>0.66743014811490775</v>
      </c>
      <c r="K6">
        <v>3.2715554610439533E-2</v>
      </c>
      <c r="L6">
        <v>-8.6044521982635604E-3</v>
      </c>
      <c r="M6" t="s">
        <v>27</v>
      </c>
      <c r="N6">
        <v>12</v>
      </c>
      <c r="O6" t="s">
        <v>26</v>
      </c>
      <c r="P6">
        <v>25392</v>
      </c>
      <c r="Q6">
        <v>307.42500000000001</v>
      </c>
      <c r="R6">
        <v>778.79</v>
      </c>
      <c r="S6">
        <v>0.21702581558396941</v>
      </c>
      <c r="T6">
        <v>3.081952977777349E-2</v>
      </c>
      <c r="U6">
        <v>2.7476235559298932E-2</v>
      </c>
      <c r="V6">
        <v>3.3349268102001932E-3</v>
      </c>
      <c r="W6">
        <v>2.4141308749098742E-2</v>
      </c>
      <c r="X6" s="21">
        <f t="shared" si="0"/>
        <v>45961</v>
      </c>
      <c r="Y6" s="21">
        <f t="shared" si="2"/>
        <v>45961</v>
      </c>
      <c r="Z6">
        <f t="array" ref="Z6">_xlfn.XLOOKUP(INT(X6),INT($AE$2:$AE$1000),$AG$2:$AG$1000,"")</f>
        <v>17.440000000000001</v>
      </c>
      <c r="AE6" s="21">
        <f t="shared" si="1"/>
        <v>45876</v>
      </c>
      <c r="AF6" s="21">
        <v>45846</v>
      </c>
      <c r="AG6">
        <v>16.57</v>
      </c>
    </row>
    <row r="7" spans="1:40">
      <c r="A7">
        <v>0</v>
      </c>
      <c r="B7" t="s">
        <v>23</v>
      </c>
      <c r="C7" t="s">
        <v>24</v>
      </c>
      <c r="D7">
        <v>25694</v>
      </c>
      <c r="E7">
        <v>308.60500000000002</v>
      </c>
      <c r="F7">
        <v>791.07</v>
      </c>
      <c r="G7">
        <v>308.5741395</v>
      </c>
      <c r="H7">
        <v>791.14910700000007</v>
      </c>
      <c r="I7">
        <v>3.628948559961215</v>
      </c>
      <c r="J7">
        <v>0.66743014811490775</v>
      </c>
      <c r="K7">
        <v>-3.2403881985061812E-2</v>
      </c>
      <c r="L7">
        <v>8.4370554832683287E-3</v>
      </c>
      <c r="M7" t="s">
        <v>25</v>
      </c>
      <c r="N7">
        <v>37</v>
      </c>
      <c r="O7" t="s">
        <v>26</v>
      </c>
      <c r="P7">
        <v>25731</v>
      </c>
      <c r="Q7">
        <v>309.33999999999997</v>
      </c>
      <c r="R7">
        <v>792.03</v>
      </c>
      <c r="S7">
        <v>0.2139687807957743</v>
      </c>
      <c r="T7">
        <v>-1.571727999508208E-2</v>
      </c>
      <c r="U7">
        <v>-1.9055331933965049E-2</v>
      </c>
      <c r="V7">
        <v>3.3347937822594382E-3</v>
      </c>
      <c r="W7">
        <v>-2.239012571622449E-2</v>
      </c>
      <c r="X7" s="21">
        <f t="shared" si="0"/>
        <v>45961</v>
      </c>
      <c r="Y7" s="21">
        <f t="shared" si="2"/>
        <v>45961</v>
      </c>
      <c r="Z7">
        <f t="array" ref="Z7">_xlfn.XLOOKUP(INT(X7),INT($AE$2:$AE$1000),$AG$2:$AG$1000,"")</f>
        <v>17.440000000000001</v>
      </c>
      <c r="AE7" s="21">
        <f t="shared" si="1"/>
        <v>45877</v>
      </c>
      <c r="AF7" s="21">
        <v>45877</v>
      </c>
      <c r="AG7">
        <v>15.15</v>
      </c>
    </row>
    <row r="8" spans="1:40">
      <c r="A8">
        <v>0</v>
      </c>
      <c r="B8" t="s">
        <v>23</v>
      </c>
      <c r="C8" t="s">
        <v>24</v>
      </c>
      <c r="D8">
        <v>25752</v>
      </c>
      <c r="E8">
        <v>310.22000000000003</v>
      </c>
      <c r="F8">
        <v>793.57</v>
      </c>
      <c r="G8">
        <v>310.18897800000002</v>
      </c>
      <c r="H8">
        <v>793.64935700000001</v>
      </c>
      <c r="I8">
        <v>3.5870449807148499</v>
      </c>
      <c r="J8">
        <v>0.66743014811490775</v>
      </c>
      <c r="K8">
        <v>-3.2235187931145638E-2</v>
      </c>
      <c r="L8">
        <v>8.4104760527100031E-3</v>
      </c>
      <c r="M8" t="s">
        <v>25</v>
      </c>
      <c r="N8">
        <v>6</v>
      </c>
      <c r="O8" t="s">
        <v>26</v>
      </c>
      <c r="P8">
        <v>25758</v>
      </c>
      <c r="Q8">
        <v>309.59500000000003</v>
      </c>
      <c r="R8">
        <v>792.46</v>
      </c>
      <c r="S8">
        <v>0.10046320854857881</v>
      </c>
      <c r="T8">
        <v>1.081136403845781E-2</v>
      </c>
      <c r="U8">
        <v>7.4794520043157276E-3</v>
      </c>
      <c r="V8">
        <v>3.334793782259439E-3</v>
      </c>
      <c r="W8">
        <v>4.144658222056289E-3</v>
      </c>
      <c r="X8" s="21">
        <f t="shared" si="0"/>
        <v>45964</v>
      </c>
      <c r="Y8" s="21">
        <f t="shared" si="2"/>
        <v>45964</v>
      </c>
      <c r="Z8">
        <f t="array" ref="Z8">_xlfn.XLOOKUP(INT(X8),INT($AE$2:$AE$1000),$AG$2:$AG$1000,"")</f>
        <v>17.170000000000002</v>
      </c>
      <c r="AE8" s="21">
        <f t="shared" si="1"/>
        <v>45880</v>
      </c>
      <c r="AF8" s="21">
        <v>45969</v>
      </c>
      <c r="AG8">
        <v>16.25</v>
      </c>
    </row>
    <row r="9" spans="1:40">
      <c r="A9">
        <v>0</v>
      </c>
      <c r="B9" t="s">
        <v>23</v>
      </c>
      <c r="C9" t="s">
        <v>24</v>
      </c>
      <c r="D9">
        <v>26937</v>
      </c>
      <c r="E9">
        <v>316.57</v>
      </c>
      <c r="F9">
        <v>798.58</v>
      </c>
      <c r="G9">
        <v>316.60165699999999</v>
      </c>
      <c r="H9">
        <v>798.5001420000001</v>
      </c>
      <c r="I9">
        <v>-3.6665214631979861</v>
      </c>
      <c r="J9">
        <v>0.66743014811490775</v>
      </c>
      <c r="K9">
        <v>3.1588590201219319E-2</v>
      </c>
      <c r="L9">
        <v>-8.3577117898633538E-3</v>
      </c>
      <c r="M9" t="s">
        <v>27</v>
      </c>
      <c r="N9">
        <v>5</v>
      </c>
      <c r="O9" t="s">
        <v>26</v>
      </c>
      <c r="P9">
        <v>26942</v>
      </c>
      <c r="Q9">
        <v>319.07</v>
      </c>
      <c r="R9">
        <v>804.4</v>
      </c>
      <c r="S9">
        <v>-0.2207053507198746</v>
      </c>
      <c r="T9">
        <v>3.0329592886044109E-2</v>
      </c>
      <c r="U9">
        <v>2.69819712540036E-2</v>
      </c>
      <c r="V9">
        <v>3.3349268102001932E-3</v>
      </c>
      <c r="W9">
        <v>2.364704444380341E-2</v>
      </c>
      <c r="X9" s="21">
        <f t="shared" si="0"/>
        <v>45967</v>
      </c>
      <c r="Y9" s="21">
        <f t="shared" si="2"/>
        <v>45967</v>
      </c>
      <c r="Z9">
        <f t="array" ref="Z9">_xlfn.XLOOKUP(INT(X9),INT($AE$2:$AE$1000),$AG$2:$AG$1000,"")</f>
        <v>19.5</v>
      </c>
      <c r="AE9" s="21">
        <f t="shared" si="1"/>
        <v>45881</v>
      </c>
      <c r="AF9" s="21">
        <v>45999</v>
      </c>
      <c r="AG9">
        <v>14.73</v>
      </c>
    </row>
    <row r="10" spans="1:40">
      <c r="A10">
        <v>0</v>
      </c>
      <c r="B10" t="s">
        <v>23</v>
      </c>
      <c r="C10" t="s">
        <v>24</v>
      </c>
      <c r="D10">
        <v>27327</v>
      </c>
      <c r="E10">
        <v>318.78500000000003</v>
      </c>
      <c r="F10">
        <v>801.62</v>
      </c>
      <c r="G10">
        <v>318.75312150000002</v>
      </c>
      <c r="H10">
        <v>801.70016199999998</v>
      </c>
      <c r="I10">
        <v>3.8655946781604049</v>
      </c>
      <c r="J10">
        <v>0.66743014811490775</v>
      </c>
      <c r="K10">
        <v>-3.1369104568910081E-2</v>
      </c>
      <c r="L10">
        <v>8.3260166676842867E-3</v>
      </c>
      <c r="M10" t="s">
        <v>25</v>
      </c>
      <c r="N10">
        <v>5</v>
      </c>
      <c r="O10" t="s">
        <v>26</v>
      </c>
      <c r="P10">
        <v>27332</v>
      </c>
      <c r="Q10">
        <v>316.99</v>
      </c>
      <c r="R10">
        <v>797.74</v>
      </c>
      <c r="S10">
        <v>9.1473394528701013E-2</v>
      </c>
      <c r="T10">
        <v>2.4002598030579091E-2</v>
      </c>
      <c r="U10">
        <v>2.0676598983086079E-2</v>
      </c>
      <c r="V10">
        <v>3.334793782259439E-3</v>
      </c>
      <c r="W10">
        <v>1.7341805200826631E-2</v>
      </c>
      <c r="X10" s="21">
        <f t="shared" si="0"/>
        <v>45968</v>
      </c>
      <c r="Y10" s="21">
        <f t="shared" si="2"/>
        <v>45968</v>
      </c>
      <c r="Z10">
        <f t="array" ref="Z10">_xlfn.XLOOKUP(INT(X10),INT($AE$2:$AE$1000),$AG$2:$AG$1000,"")</f>
        <v>19.079999999999998</v>
      </c>
      <c r="AE10" s="21">
        <f t="shared" si="1"/>
        <v>45882</v>
      </c>
      <c r="AF10" t="s">
        <v>46</v>
      </c>
      <c r="AG10">
        <v>14.49</v>
      </c>
      <c r="AJ10" s="18" t="s">
        <v>47</v>
      </c>
      <c r="AK10" s="19" t="s">
        <v>48</v>
      </c>
      <c r="AL10" s="19" t="s">
        <v>49</v>
      </c>
    </row>
    <row r="11" spans="1:40">
      <c r="A11">
        <v>0</v>
      </c>
      <c r="B11" t="s">
        <v>23</v>
      </c>
      <c r="C11" t="s">
        <v>24</v>
      </c>
      <c r="D11">
        <v>27717</v>
      </c>
      <c r="E11">
        <v>316.63</v>
      </c>
      <c r="F11">
        <v>816.83</v>
      </c>
      <c r="G11">
        <v>316.66166299999998</v>
      </c>
      <c r="H11">
        <v>816.74831700000004</v>
      </c>
      <c r="I11">
        <v>-4.1191154444316576</v>
      </c>
      <c r="J11">
        <v>0.66743014811490775</v>
      </c>
      <c r="K11">
        <v>3.1582604301550708E-2</v>
      </c>
      <c r="L11">
        <v>-8.1709798625773759E-3</v>
      </c>
      <c r="M11" t="s">
        <v>27</v>
      </c>
      <c r="N11">
        <v>8</v>
      </c>
      <c r="O11" t="s">
        <v>26</v>
      </c>
      <c r="P11">
        <v>27725</v>
      </c>
      <c r="Q11">
        <v>320.43</v>
      </c>
      <c r="R11">
        <v>829.34</v>
      </c>
      <c r="S11">
        <v>-9.1250948730464645E-2</v>
      </c>
      <c r="T11">
        <v>1.7794938265050141E-2</v>
      </c>
      <c r="U11">
        <v>1.4437854683378489E-2</v>
      </c>
      <c r="V11">
        <v>3.3349268102001932E-3</v>
      </c>
      <c r="W11">
        <v>1.1102927873178301E-2</v>
      </c>
      <c r="X11" s="21">
        <f t="shared" si="0"/>
        <v>45971</v>
      </c>
      <c r="Y11" s="21">
        <f t="shared" si="2"/>
        <v>45971</v>
      </c>
      <c r="Z11">
        <f t="array" ref="Z11">_xlfn.XLOOKUP(INT(X11),INT($AE$2:$AE$1000),$AG$2:$AG$1000,"")</f>
        <v>17.600000000000001</v>
      </c>
      <c r="AE11" s="21">
        <f t="shared" si="1"/>
        <v>45883</v>
      </c>
      <c r="AF11" t="s">
        <v>50</v>
      </c>
      <c r="AG11">
        <v>14.83</v>
      </c>
      <c r="AJ11" s="23" t="s">
        <v>40</v>
      </c>
      <c r="AK11" s="26">
        <f>COUNTIF(D:D,"&lt;55503")</f>
        <v>76</v>
      </c>
      <c r="AL11" s="24">
        <f>COUNTIF(D:D,"&gt;=55503")</f>
        <v>96</v>
      </c>
    </row>
    <row r="12" spans="1:40">
      <c r="A12">
        <v>1</v>
      </c>
      <c r="B12" t="s">
        <v>23</v>
      </c>
      <c r="C12" t="s">
        <v>24</v>
      </c>
      <c r="D12">
        <v>27901</v>
      </c>
      <c r="E12">
        <v>321.49</v>
      </c>
      <c r="F12">
        <v>832.19</v>
      </c>
      <c r="G12">
        <v>321.45785100000001</v>
      </c>
      <c r="H12">
        <v>832.27321900000004</v>
      </c>
      <c r="I12">
        <v>5.2836492708917744</v>
      </c>
      <c r="J12">
        <v>0.65390315097189344</v>
      </c>
      <c r="K12">
        <v>-3.1105166568166968E-2</v>
      </c>
      <c r="L12">
        <v>7.8576184641955971E-3</v>
      </c>
      <c r="M12" t="s">
        <v>25</v>
      </c>
      <c r="N12">
        <v>23</v>
      </c>
      <c r="O12" t="s">
        <v>26</v>
      </c>
      <c r="P12">
        <v>27924</v>
      </c>
      <c r="Q12">
        <v>321.12</v>
      </c>
      <c r="R12">
        <v>832.625</v>
      </c>
      <c r="S12">
        <v>0.47150670739245332</v>
      </c>
      <c r="T12">
        <v>1.4926975662146579E-2</v>
      </c>
      <c r="U12">
        <v>1.161997844496275E-2</v>
      </c>
      <c r="V12">
        <v>3.3077370825739809E-3</v>
      </c>
      <c r="W12">
        <v>8.3122413623887732E-3</v>
      </c>
      <c r="X12" s="21">
        <f t="shared" si="0"/>
        <v>45971</v>
      </c>
      <c r="Y12" s="21">
        <f t="shared" si="2"/>
        <v>45971</v>
      </c>
      <c r="Z12">
        <f t="array" ref="Z12">_xlfn.XLOOKUP(INT(X12),INT($AE$2:$AE$1000),$AG$2:$AG$1000,"")</f>
        <v>17.600000000000001</v>
      </c>
      <c r="AE12" s="21">
        <f t="shared" si="1"/>
        <v>45884</v>
      </c>
      <c r="AF12" t="s">
        <v>51</v>
      </c>
      <c r="AG12">
        <v>15.09</v>
      </c>
      <c r="AJ12" s="23" t="s">
        <v>52</v>
      </c>
      <c r="AK12" s="26">
        <f>SUMIF(D:D,"&lt;55503",T:T)</f>
        <v>0.65726356638479411</v>
      </c>
      <c r="AL12" s="24">
        <f>SUMIF(D:D,"&gt;=55503",T:T)</f>
        <v>2.8359254804837657</v>
      </c>
    </row>
    <row r="13" spans="1:40">
      <c r="A13">
        <v>1</v>
      </c>
      <c r="B13" t="s">
        <v>23</v>
      </c>
      <c r="C13" t="s">
        <v>24</v>
      </c>
      <c r="D13">
        <v>28497</v>
      </c>
      <c r="E13">
        <v>305.70999999999998</v>
      </c>
      <c r="F13">
        <v>787.29</v>
      </c>
      <c r="G13">
        <v>305.67942900000003</v>
      </c>
      <c r="H13">
        <v>787.36872899999992</v>
      </c>
      <c r="I13">
        <v>3.961248784974861</v>
      </c>
      <c r="J13">
        <v>0.65390315097189344</v>
      </c>
      <c r="K13">
        <v>-3.2710738935592558E-2</v>
      </c>
      <c r="L13">
        <v>8.3057469416846844E-3</v>
      </c>
      <c r="M13" t="s">
        <v>25</v>
      </c>
      <c r="N13">
        <v>7</v>
      </c>
      <c r="O13" t="s">
        <v>26</v>
      </c>
      <c r="P13">
        <v>28504</v>
      </c>
      <c r="Q13">
        <v>304.36500000000001</v>
      </c>
      <c r="R13">
        <v>786.38</v>
      </c>
      <c r="S13">
        <v>3.0918090914119251E-2</v>
      </c>
      <c r="T13">
        <v>3.6437714151438233E-2</v>
      </c>
      <c r="U13">
        <v>3.3135063266853192E-2</v>
      </c>
      <c r="V13">
        <v>3.3077370825739809E-3</v>
      </c>
      <c r="W13">
        <v>2.9827326184279211E-2</v>
      </c>
      <c r="X13" s="21">
        <f t="shared" si="0"/>
        <v>45973</v>
      </c>
      <c r="Y13" s="21">
        <f t="shared" si="2"/>
        <v>45973</v>
      </c>
      <c r="Z13">
        <f t="array" ref="Z13">_xlfn.XLOOKUP(INT(X13),INT($AE$2:$AE$1000),$AG$2:$AG$1000,"")</f>
        <v>17.510000000000002</v>
      </c>
      <c r="AE13" s="21">
        <f t="shared" si="1"/>
        <v>45887</v>
      </c>
      <c r="AF13" t="s">
        <v>53</v>
      </c>
      <c r="AG13">
        <v>14.99</v>
      </c>
      <c r="AJ13" s="23" t="s">
        <v>54</v>
      </c>
      <c r="AK13" s="26">
        <f>SUMIF(D:D,"&lt;55503",U:U)</f>
        <v>0.38859163842394284</v>
      </c>
      <c r="AL13" s="24">
        <f>SUMIF(D:D,"&gt;=55503",U:U)</f>
        <v>2.4645231163504673</v>
      </c>
    </row>
    <row r="14" spans="1:40">
      <c r="A14">
        <v>1</v>
      </c>
      <c r="B14" t="s">
        <v>23</v>
      </c>
      <c r="C14" t="s">
        <v>24</v>
      </c>
      <c r="D14">
        <v>28630</v>
      </c>
      <c r="E14">
        <v>304.8</v>
      </c>
      <c r="F14">
        <v>797.31500000000005</v>
      </c>
      <c r="G14">
        <v>304.83048000000002</v>
      </c>
      <c r="H14">
        <v>797.23526850000007</v>
      </c>
      <c r="I14">
        <v>-3.626108387612347</v>
      </c>
      <c r="J14">
        <v>0.65390315097189344</v>
      </c>
      <c r="K14">
        <v>3.2808398950131233E-2</v>
      </c>
      <c r="L14">
        <v>-8.2013150507878746E-3</v>
      </c>
      <c r="M14" t="s">
        <v>27</v>
      </c>
      <c r="N14">
        <v>9</v>
      </c>
      <c r="O14" t="s">
        <v>26</v>
      </c>
      <c r="P14">
        <v>28639</v>
      </c>
      <c r="Q14">
        <v>305.47000000000003</v>
      </c>
      <c r="R14">
        <v>796.03</v>
      </c>
      <c r="S14">
        <v>0.26313252588381159</v>
      </c>
      <c r="T14">
        <v>3.2520317136851537E-2</v>
      </c>
      <c r="U14">
        <v>2.921136654116133E-2</v>
      </c>
      <c r="V14">
        <v>3.307875521313593E-3</v>
      </c>
      <c r="W14">
        <v>2.5903491019847739E-2</v>
      </c>
      <c r="X14" s="21">
        <f t="shared" si="0"/>
        <v>45973</v>
      </c>
      <c r="Y14" s="21">
        <f t="shared" si="2"/>
        <v>45973</v>
      </c>
      <c r="Z14">
        <f t="array" ref="Z14">_xlfn.XLOOKUP(INT(X14),INT($AE$2:$AE$1000),$AG$2:$AG$1000,"")</f>
        <v>17.510000000000002</v>
      </c>
      <c r="AE14" s="21">
        <f t="shared" si="1"/>
        <v>45888</v>
      </c>
      <c r="AF14" t="s">
        <v>55</v>
      </c>
      <c r="AG14">
        <v>15.57</v>
      </c>
      <c r="AJ14" s="23" t="s">
        <v>56</v>
      </c>
      <c r="AK14" s="26">
        <f>AVERAGEIF(D:D,"&lt;55503",T:T)</f>
        <v>8.6482048208525539E-3</v>
      </c>
      <c r="AL14" s="24">
        <f>AVERAGEIF(D:D,"&gt;=55503",T:T)</f>
        <v>2.9540890421705893E-2</v>
      </c>
    </row>
    <row r="15" spans="1:40">
      <c r="A15">
        <v>1</v>
      </c>
      <c r="B15" t="s">
        <v>23</v>
      </c>
      <c r="C15" t="s">
        <v>24</v>
      </c>
      <c r="D15">
        <v>28708</v>
      </c>
      <c r="E15">
        <v>304.81</v>
      </c>
      <c r="F15">
        <v>797.11</v>
      </c>
      <c r="G15">
        <v>304.84048100000001</v>
      </c>
      <c r="H15">
        <v>797.03028900000004</v>
      </c>
      <c r="I15">
        <v>-3.5560199780060682</v>
      </c>
      <c r="J15">
        <v>0.65390315097189344</v>
      </c>
      <c r="K15">
        <v>3.2807322594403068E-2</v>
      </c>
      <c r="L15">
        <v>-8.2034242572780851E-3</v>
      </c>
      <c r="M15" t="s">
        <v>27</v>
      </c>
      <c r="N15">
        <v>27</v>
      </c>
      <c r="O15" t="s">
        <v>26</v>
      </c>
      <c r="P15">
        <v>28735</v>
      </c>
      <c r="Q15">
        <v>304.57</v>
      </c>
      <c r="R15">
        <v>796.62</v>
      </c>
      <c r="S15">
        <v>0.12160767258253349</v>
      </c>
      <c r="T15">
        <v>-3.8540795365906988E-3</v>
      </c>
      <c r="U15">
        <v>-7.1606964950039851E-3</v>
      </c>
      <c r="V15">
        <v>3.3078755213135922E-3</v>
      </c>
      <c r="W15">
        <v>-1.046857201631758E-2</v>
      </c>
      <c r="X15" s="21">
        <f t="shared" si="0"/>
        <v>45973</v>
      </c>
      <c r="Y15" s="21">
        <f t="shared" si="2"/>
        <v>45973</v>
      </c>
      <c r="Z15">
        <f t="array" ref="Z15">_xlfn.XLOOKUP(INT(X15),INT($AE$2:$AE$1000),$AG$2:$AG$1000,"")</f>
        <v>17.510000000000002</v>
      </c>
      <c r="AE15" s="21">
        <f t="shared" si="1"/>
        <v>45889</v>
      </c>
      <c r="AF15" t="s">
        <v>57</v>
      </c>
      <c r="AG15">
        <v>15.69</v>
      </c>
      <c r="AJ15" s="23" t="s">
        <v>58</v>
      </c>
      <c r="AK15" s="26">
        <f>AVERAGEIF(D:D,"&lt;55503",U:U)</f>
        <v>5.1130478739992479E-3</v>
      </c>
      <c r="AL15" s="24">
        <f>AVERAGEIF(D:D,"&gt;=55503",U:U)</f>
        <v>2.5672115795317366E-2</v>
      </c>
    </row>
    <row r="16" spans="1:40">
      <c r="A16">
        <v>1</v>
      </c>
      <c r="B16" t="s">
        <v>23</v>
      </c>
      <c r="C16" t="s">
        <v>24</v>
      </c>
      <c r="D16">
        <v>29594</v>
      </c>
      <c r="E16">
        <v>301.3</v>
      </c>
      <c r="F16">
        <v>781.25</v>
      </c>
      <c r="G16">
        <v>301.26987000000003</v>
      </c>
      <c r="H16">
        <v>781.328125</v>
      </c>
      <c r="I16">
        <v>3.5359515155939381</v>
      </c>
      <c r="J16">
        <v>0.65390315097189344</v>
      </c>
      <c r="K16">
        <v>-3.3189512114171919E-2</v>
      </c>
      <c r="L16">
        <v>8.369960332440236E-3</v>
      </c>
      <c r="M16" t="s">
        <v>25</v>
      </c>
      <c r="N16">
        <v>5</v>
      </c>
      <c r="O16" t="s">
        <v>26</v>
      </c>
      <c r="P16">
        <v>29599</v>
      </c>
      <c r="Q16">
        <v>300.495</v>
      </c>
      <c r="R16">
        <v>781.25</v>
      </c>
      <c r="S16">
        <v>-0.42317359330307769</v>
      </c>
      <c r="T16">
        <v>2.6717557251908618E-2</v>
      </c>
      <c r="U16">
        <v>2.3412422705689901E-2</v>
      </c>
      <c r="V16">
        <v>3.3077370825739809E-3</v>
      </c>
      <c r="W16">
        <v>2.0104685623115921E-2</v>
      </c>
      <c r="X16" s="21">
        <f t="shared" si="0"/>
        <v>45975</v>
      </c>
      <c r="Y16" s="21">
        <f t="shared" si="2"/>
        <v>45975</v>
      </c>
      <c r="Z16">
        <f t="array" ref="Z16">_xlfn.XLOOKUP(INT(X16),INT($AE$2:$AE$1000),$AG$2:$AG$1000,"")</f>
        <v>19.829999999999998</v>
      </c>
      <c r="AE16" s="21">
        <f t="shared" si="1"/>
        <v>45890</v>
      </c>
      <c r="AF16" t="s">
        <v>59</v>
      </c>
      <c r="AG16">
        <v>16.600000000000001</v>
      </c>
      <c r="AJ16" s="23" t="s">
        <v>60</v>
      </c>
      <c r="AK16" s="26">
        <f>SUMIFS(U:U,D:D,"&lt;55503",U:U,"&gt;0")/ABS(SUMIFS(U:U,D:D,"&lt;55503",U:U,"&lt;0"))</f>
        <v>1.5002723816018411</v>
      </c>
      <c r="AL16" s="24">
        <f>SUMIFS(U:U,D:D,"&gt;=55503",U:U,"&gt;0")/ABS(SUMIFS(U:U,D:D,"&gt;=55503",U:U,"&lt;0"))</f>
        <v>5.6560542064186423</v>
      </c>
    </row>
    <row r="17" spans="1:38">
      <c r="A17">
        <v>1</v>
      </c>
      <c r="B17" t="s">
        <v>23</v>
      </c>
      <c r="C17" t="s">
        <v>24</v>
      </c>
      <c r="D17">
        <v>29667</v>
      </c>
      <c r="E17">
        <v>300.82</v>
      </c>
      <c r="F17">
        <v>776.07</v>
      </c>
      <c r="G17">
        <v>300.789918</v>
      </c>
      <c r="H17">
        <v>776.14760699999999</v>
      </c>
      <c r="I17">
        <v>4.3180526865916153</v>
      </c>
      <c r="J17">
        <v>0.65390315097189344</v>
      </c>
      <c r="K17">
        <v>-3.324247058041354E-2</v>
      </c>
      <c r="L17">
        <v>8.4258269353523953E-3</v>
      </c>
      <c r="M17" t="s">
        <v>25</v>
      </c>
      <c r="N17">
        <v>24</v>
      </c>
      <c r="O17" t="s">
        <v>26</v>
      </c>
      <c r="P17">
        <v>29691</v>
      </c>
      <c r="Q17">
        <v>302.36</v>
      </c>
      <c r="R17">
        <v>779.06500000000005</v>
      </c>
      <c r="S17">
        <v>0.36508654889452202</v>
      </c>
      <c r="T17">
        <v>-2.5958053022457069E-2</v>
      </c>
      <c r="U17">
        <v>-2.9273502200037081E-2</v>
      </c>
      <c r="V17">
        <v>3.3077370825739809E-3</v>
      </c>
      <c r="W17">
        <v>-3.2581239282611058E-2</v>
      </c>
      <c r="X17" s="21">
        <f t="shared" si="0"/>
        <v>45978</v>
      </c>
      <c r="Y17" s="21">
        <f t="shared" si="2"/>
        <v>45978</v>
      </c>
      <c r="Z17">
        <f t="array" ref="Z17">_xlfn.XLOOKUP(INT(X17),INT($AE$2:$AE$1000),$AG$2:$AG$1000,"")</f>
        <v>22.38</v>
      </c>
      <c r="AE17" s="21">
        <f t="shared" si="1"/>
        <v>45891</v>
      </c>
      <c r="AF17" t="s">
        <v>61</v>
      </c>
      <c r="AG17">
        <v>14.22</v>
      </c>
      <c r="AJ17" s="23" t="s">
        <v>42</v>
      </c>
      <c r="AK17" s="26">
        <f>COUNTIFS(D:D,"&lt;55503",U:U,"&gt;0")/COUNTIF(D:D,"&lt;55503")</f>
        <v>0.63157894736842102</v>
      </c>
      <c r="AL17" s="24">
        <f>COUNTIFS(D:D,"&gt;=55503",U:U,"&gt;0")/COUNTIF(D:D,"&gt;=55503")</f>
        <v>0.75</v>
      </c>
    </row>
    <row r="18" spans="1:38">
      <c r="A18">
        <v>1</v>
      </c>
      <c r="B18" t="s">
        <v>23</v>
      </c>
      <c r="C18" t="s">
        <v>24</v>
      </c>
      <c r="D18">
        <v>30059</v>
      </c>
      <c r="E18">
        <v>307.04000000000002</v>
      </c>
      <c r="F18">
        <v>805.745</v>
      </c>
      <c r="G18">
        <v>307.07070399999998</v>
      </c>
      <c r="H18">
        <v>805.66442549999999</v>
      </c>
      <c r="I18">
        <v>-3.861825877035987</v>
      </c>
      <c r="J18">
        <v>0.65390315097189344</v>
      </c>
      <c r="K18">
        <v>3.2569046378322038E-2</v>
      </c>
      <c r="L18">
        <v>-8.1155098818099201E-3</v>
      </c>
      <c r="M18" t="s">
        <v>27</v>
      </c>
      <c r="N18">
        <v>6</v>
      </c>
      <c r="O18" t="s">
        <v>26</v>
      </c>
      <c r="P18">
        <v>30065</v>
      </c>
      <c r="Q18">
        <v>308.48</v>
      </c>
      <c r="R18">
        <v>807.56</v>
      </c>
      <c r="S18">
        <v>-0.31972299532199389</v>
      </c>
      <c r="T18">
        <v>3.2169776349299142E-2</v>
      </c>
      <c r="U18">
        <v>2.885580713963343E-2</v>
      </c>
      <c r="V18">
        <v>3.3078755213135922E-3</v>
      </c>
      <c r="W18">
        <v>2.5547931618319839E-2</v>
      </c>
      <c r="X18" s="21">
        <f t="shared" si="0"/>
        <v>45979</v>
      </c>
      <c r="Y18" s="21">
        <f t="shared" si="2"/>
        <v>45979</v>
      </c>
      <c r="Z18">
        <f t="array" ref="Z18">_xlfn.XLOOKUP(INT(X18),INT($AE$2:$AE$1000),$AG$2:$AG$1000,"")</f>
        <v>24.69</v>
      </c>
      <c r="AE18" s="21">
        <f t="shared" si="1"/>
        <v>45894</v>
      </c>
      <c r="AF18" t="s">
        <v>62</v>
      </c>
      <c r="AG18">
        <v>14.79</v>
      </c>
      <c r="AJ18" s="23" t="s">
        <v>63</v>
      </c>
      <c r="AK18" s="26">
        <f>AVERAGEIFS(U:U,D:D,"&lt;55503",U:U,"&gt;0")</f>
        <v>2.4278161769517016E-2</v>
      </c>
      <c r="AL18" s="24">
        <f>AVERAGEIFS(U:U,D:D,"&gt;=55503",U:U,"&gt;0")</f>
        <v>4.158109623712445E-2</v>
      </c>
    </row>
    <row r="19" spans="1:38">
      <c r="A19">
        <v>1</v>
      </c>
      <c r="B19" t="s">
        <v>23</v>
      </c>
      <c r="C19" t="s">
        <v>24</v>
      </c>
      <c r="D19">
        <v>31217</v>
      </c>
      <c r="E19">
        <v>297.97000000000003</v>
      </c>
      <c r="F19">
        <v>792.37</v>
      </c>
      <c r="G19">
        <v>297.999797</v>
      </c>
      <c r="H19">
        <v>792.29076299999997</v>
      </c>
      <c r="I19">
        <v>-3.5745619995039339</v>
      </c>
      <c r="J19">
        <v>0.65390315097189344</v>
      </c>
      <c r="K19">
        <v>3.356042554619592E-2</v>
      </c>
      <c r="L19">
        <v>-8.2524975828450527E-3</v>
      </c>
      <c r="M19" t="s">
        <v>27</v>
      </c>
      <c r="N19">
        <v>10</v>
      </c>
      <c r="O19" t="s">
        <v>26</v>
      </c>
      <c r="P19">
        <v>31227</v>
      </c>
      <c r="Q19">
        <v>299.32</v>
      </c>
      <c r="R19">
        <v>795.23500000000001</v>
      </c>
      <c r="S19">
        <v>-0.43617297553798712</v>
      </c>
      <c r="T19">
        <v>2.1663168912512191E-2</v>
      </c>
      <c r="U19">
        <v>1.834846761256418E-2</v>
      </c>
      <c r="V19">
        <v>3.3078755213135922E-3</v>
      </c>
      <c r="W19">
        <v>1.5040592091250591E-2</v>
      </c>
      <c r="X19" s="21">
        <f t="shared" si="0"/>
        <v>45982</v>
      </c>
      <c r="Y19" s="21">
        <f t="shared" si="2"/>
        <v>45982</v>
      </c>
      <c r="Z19">
        <f t="array" ref="Z19">_xlfn.XLOOKUP(INT(X19),INT($AE$2:$AE$1000),$AG$2:$AG$1000,"")</f>
        <v>23.43</v>
      </c>
      <c r="AE19" s="21">
        <f t="shared" si="1"/>
        <v>45895</v>
      </c>
      <c r="AF19" t="s">
        <v>64</v>
      </c>
      <c r="AG19">
        <v>14.62</v>
      </c>
      <c r="AJ19" s="23" t="s">
        <v>65</v>
      </c>
      <c r="AK19" s="26">
        <f>AVERAGEIFS(U:U,D:D,"&lt;55503",U:U,"&lt;0")</f>
        <v>-2.7741433089745499E-2</v>
      </c>
      <c r="AL19" s="24">
        <f>AVERAGEIFS(U:U,D:D,"&gt;=55503",U:U,"&lt;0")</f>
        <v>-2.2054825530103888E-2</v>
      </c>
    </row>
    <row r="20" spans="1:38">
      <c r="A20">
        <v>2</v>
      </c>
      <c r="B20" t="s">
        <v>28</v>
      </c>
      <c r="C20" t="s">
        <v>29</v>
      </c>
      <c r="D20">
        <v>31801</v>
      </c>
      <c r="E20">
        <v>53.09</v>
      </c>
      <c r="F20">
        <v>85.965000000000003</v>
      </c>
      <c r="G20">
        <v>53.095309</v>
      </c>
      <c r="H20">
        <v>85.956403500000008</v>
      </c>
      <c r="I20">
        <v>-5.2946208284457406</v>
      </c>
      <c r="J20">
        <v>0.73858207225207795</v>
      </c>
      <c r="K20">
        <v>0.18835938971557731</v>
      </c>
      <c r="L20">
        <v>-8.5916602367484204E-2</v>
      </c>
      <c r="M20" t="s">
        <v>27</v>
      </c>
      <c r="N20">
        <v>23</v>
      </c>
      <c r="O20" t="s">
        <v>26</v>
      </c>
      <c r="P20">
        <v>31824</v>
      </c>
      <c r="Q20">
        <v>53.09</v>
      </c>
      <c r="R20">
        <v>86</v>
      </c>
      <c r="S20">
        <v>-0.49061198670242301</v>
      </c>
      <c r="T20">
        <v>-3.0070810828616542E-3</v>
      </c>
      <c r="U20">
        <v>-6.484545935472685E-3</v>
      </c>
      <c r="V20">
        <v>3.477216428089706E-3</v>
      </c>
      <c r="W20">
        <v>-9.961762363562391E-3</v>
      </c>
      <c r="X20" s="21">
        <f t="shared" si="0"/>
        <v>45985</v>
      </c>
      <c r="Y20" s="21">
        <f t="shared" si="2"/>
        <v>45985</v>
      </c>
      <c r="Z20">
        <f t="array" ref="Z20">_xlfn.XLOOKUP(INT(X20),INT($AE$2:$AE$1000),$AG$2:$AG$1000,"")</f>
        <v>20.52</v>
      </c>
      <c r="AE20" s="21">
        <f t="shared" si="1"/>
        <v>45896</v>
      </c>
      <c r="AF20" t="s">
        <v>66</v>
      </c>
      <c r="AG20">
        <v>14.85</v>
      </c>
      <c r="AJ20" s="23" t="s">
        <v>67</v>
      </c>
      <c r="AK20" s="26">
        <f>AVERAGEIF(D:D,"&lt;55503",N:N)</f>
        <v>16.578947368421051</v>
      </c>
      <c r="AL20" s="24">
        <f>AVERAGEIF(D:D,"&gt;=55503",N:N)</f>
        <v>13.34375</v>
      </c>
    </row>
    <row r="21" spans="1:38">
      <c r="A21">
        <v>2</v>
      </c>
      <c r="B21" t="s">
        <v>28</v>
      </c>
      <c r="C21" t="s">
        <v>29</v>
      </c>
      <c r="D21">
        <v>32007</v>
      </c>
      <c r="E21">
        <v>53.05</v>
      </c>
      <c r="F21">
        <v>85.48</v>
      </c>
      <c r="G21">
        <v>53.044694999999997</v>
      </c>
      <c r="H21">
        <v>85.488548000000009</v>
      </c>
      <c r="I21">
        <v>4.5358081524885527</v>
      </c>
      <c r="J21">
        <v>0.73858207225207795</v>
      </c>
      <c r="K21">
        <v>-0.1885014137606032</v>
      </c>
      <c r="L21">
        <v>8.6404079580261806E-2</v>
      </c>
      <c r="M21" t="s">
        <v>25</v>
      </c>
      <c r="N21">
        <v>48</v>
      </c>
      <c r="O21" t="s">
        <v>26</v>
      </c>
      <c r="P21">
        <v>32055</v>
      </c>
      <c r="Q21">
        <v>53.64</v>
      </c>
      <c r="R21">
        <v>85.89</v>
      </c>
      <c r="S21">
        <v>0.45483686562535858</v>
      </c>
      <c r="T21">
        <v>-7.5790161490849495E-2</v>
      </c>
      <c r="U21">
        <v>-7.9281989786028781E-2</v>
      </c>
      <c r="V21">
        <v>3.4771118609186061E-3</v>
      </c>
      <c r="W21">
        <v>-8.2759101646947386E-2</v>
      </c>
      <c r="X21" s="21">
        <f t="shared" si="0"/>
        <v>45986</v>
      </c>
      <c r="Y21" s="21">
        <f t="shared" si="2"/>
        <v>45986</v>
      </c>
      <c r="Z21">
        <f t="array" ref="Z21">_xlfn.XLOOKUP(INT(X21),INT($AE$2:$AE$1000),$AG$2:$AG$1000,"")</f>
        <v>18.559999999999999</v>
      </c>
      <c r="AE21" s="21">
        <f t="shared" si="1"/>
        <v>45897</v>
      </c>
      <c r="AF21" t="s">
        <v>68</v>
      </c>
      <c r="AG21">
        <v>14.43</v>
      </c>
      <c r="AJ21" s="23" t="s">
        <v>69</v>
      </c>
      <c r="AK21" s="26" cm="1">
        <f t="array" ref="AK21">SUMPRODUCT((D2:D998&lt;55503)*ABS(I2:I998))/COUNTIF(D2:D998,"&lt;55503")</f>
        <v>4.1580935024619503</v>
      </c>
      <c r="AL21" s="24" cm="1">
        <f t="array" ref="AL21">SUMPRODUCT((D2:D998&gt;=55503)*ABS(I2:I998))/COUNTIF(D2:D998,"&gt;=55503")</f>
        <v>4.1719751187150189</v>
      </c>
    </row>
    <row r="22" spans="1:38">
      <c r="A22">
        <v>2</v>
      </c>
      <c r="B22" t="s">
        <v>28</v>
      </c>
      <c r="C22" t="s">
        <v>29</v>
      </c>
      <c r="D22">
        <v>32217</v>
      </c>
      <c r="E22">
        <v>53.524999999999999</v>
      </c>
      <c r="F22">
        <v>85.885000000000005</v>
      </c>
      <c r="G22">
        <v>53.530352499999999</v>
      </c>
      <c r="H22">
        <v>85.876411500000003</v>
      </c>
      <c r="I22">
        <v>-4.2270288898543331</v>
      </c>
      <c r="J22">
        <v>0.73858207225207795</v>
      </c>
      <c r="K22">
        <v>0.18682858477347031</v>
      </c>
      <c r="L22">
        <v>-8.5996631804398663E-2</v>
      </c>
      <c r="M22" t="s">
        <v>27</v>
      </c>
      <c r="N22">
        <v>1</v>
      </c>
      <c r="O22" t="s">
        <v>26</v>
      </c>
      <c r="P22">
        <v>32218</v>
      </c>
      <c r="Q22">
        <v>53.54</v>
      </c>
      <c r="R22">
        <v>85.66</v>
      </c>
      <c r="S22">
        <v>0.16301467559101179</v>
      </c>
      <c r="T22">
        <v>2.2151670927592591E-2</v>
      </c>
      <c r="U22">
        <v>1.867616146442698E-2</v>
      </c>
      <c r="V22">
        <v>3.4772164280897052E-3</v>
      </c>
      <c r="W22">
        <v>1.519894503633727E-2</v>
      </c>
      <c r="X22" s="21">
        <f t="shared" si="0"/>
        <v>45986</v>
      </c>
      <c r="Y22" s="21">
        <f t="shared" si="2"/>
        <v>45986</v>
      </c>
      <c r="Z22">
        <f t="array" ref="Z22">_xlfn.XLOOKUP(INT(X22),INT($AE$2:$AE$1000),$AG$2:$AG$1000,"")</f>
        <v>18.559999999999999</v>
      </c>
      <c r="AE22" s="21">
        <f t="shared" si="1"/>
        <v>45898</v>
      </c>
      <c r="AF22" t="s">
        <v>70</v>
      </c>
      <c r="AG22">
        <v>15.36</v>
      </c>
    </row>
    <row r="23" spans="1:38">
      <c r="A23">
        <v>2</v>
      </c>
      <c r="B23" t="s">
        <v>28</v>
      </c>
      <c r="C23" t="s">
        <v>29</v>
      </c>
      <c r="D23">
        <v>32614</v>
      </c>
      <c r="E23">
        <v>53.25</v>
      </c>
      <c r="F23">
        <v>85.77</v>
      </c>
      <c r="G23">
        <v>53.255324999999999</v>
      </c>
      <c r="H23">
        <v>85.761422999999994</v>
      </c>
      <c r="I23">
        <v>-3.6888173964009101</v>
      </c>
      <c r="J23">
        <v>0.73858207225207795</v>
      </c>
      <c r="K23">
        <v>0.18779342723004691</v>
      </c>
      <c r="L23">
        <v>-8.6111935671222814E-2</v>
      </c>
      <c r="M23" t="s">
        <v>27</v>
      </c>
      <c r="N23">
        <v>17</v>
      </c>
      <c r="O23" t="s">
        <v>26</v>
      </c>
      <c r="P23">
        <v>32631</v>
      </c>
      <c r="Q23">
        <v>53.134999999999998</v>
      </c>
      <c r="R23">
        <v>85.39</v>
      </c>
      <c r="S23">
        <v>-0.28159100552270649</v>
      </c>
      <c r="T23">
        <v>1.1126291423608509E-2</v>
      </c>
      <c r="U23">
        <v>7.6545591570730846E-3</v>
      </c>
      <c r="V23">
        <v>3.477216428089706E-3</v>
      </c>
      <c r="W23">
        <v>4.1773427289833794E-3</v>
      </c>
      <c r="X23" s="21">
        <f t="shared" si="0"/>
        <v>45987</v>
      </c>
      <c r="Y23" s="21">
        <f t="shared" si="2"/>
        <v>45987</v>
      </c>
      <c r="Z23">
        <f t="array" ref="Z23">_xlfn.XLOOKUP(INT(X23),INT($AE$2:$AE$1000),$AG$2:$AG$1000,"")</f>
        <v>17.190000000000001</v>
      </c>
      <c r="AE23" s="21">
        <f t="shared" si="1"/>
        <v>45901</v>
      </c>
      <c r="AF23" s="21">
        <v>45666</v>
      </c>
      <c r="AG23">
        <v>16.12</v>
      </c>
    </row>
    <row r="24" spans="1:38">
      <c r="A24">
        <v>2</v>
      </c>
      <c r="B24" t="s">
        <v>28</v>
      </c>
      <c r="C24" t="s">
        <v>29</v>
      </c>
      <c r="D24">
        <v>32998</v>
      </c>
      <c r="E24">
        <v>53.3</v>
      </c>
      <c r="F24">
        <v>86.31</v>
      </c>
      <c r="G24">
        <v>53.294670000000004</v>
      </c>
      <c r="H24">
        <v>86.318630999999996</v>
      </c>
      <c r="I24">
        <v>4.1634247093211707</v>
      </c>
      <c r="J24">
        <v>0.73858207225207795</v>
      </c>
      <c r="K24">
        <v>-0.18761726078799251</v>
      </c>
      <c r="L24">
        <v>8.5573174864103582E-2</v>
      </c>
      <c r="M24" t="s">
        <v>25</v>
      </c>
      <c r="N24">
        <v>17</v>
      </c>
      <c r="O24" t="s">
        <v>26</v>
      </c>
      <c r="P24">
        <v>33015</v>
      </c>
      <c r="Q24">
        <v>53.524999999999999</v>
      </c>
      <c r="R24">
        <v>86.83</v>
      </c>
      <c r="S24">
        <v>0.47469369829974212</v>
      </c>
      <c r="T24">
        <v>2.2841672520349451E-3</v>
      </c>
      <c r="U24">
        <v>-1.2016680859300651E-3</v>
      </c>
      <c r="V24">
        <v>3.4771118609186061E-3</v>
      </c>
      <c r="W24">
        <v>-4.6787799468486707E-3</v>
      </c>
      <c r="X24" s="21">
        <f t="shared" si="0"/>
        <v>45988</v>
      </c>
      <c r="Y24" s="21">
        <f t="shared" si="2"/>
        <v>45988</v>
      </c>
      <c r="Z24">
        <f t="array" ref="Z24">_xlfn.XLOOKUP(INT(X24),INT($AE$2:$AE$1000),$AG$2:$AG$1000,"")</f>
        <v>17.21</v>
      </c>
      <c r="AE24" s="21">
        <f t="shared" si="1"/>
        <v>45902</v>
      </c>
      <c r="AF24" s="21">
        <v>45697</v>
      </c>
      <c r="AG24">
        <v>17.170000000000002</v>
      </c>
    </row>
    <row r="25" spans="1:38">
      <c r="A25">
        <v>2</v>
      </c>
      <c r="B25" t="s">
        <v>28</v>
      </c>
      <c r="C25" t="s">
        <v>29</v>
      </c>
      <c r="D25">
        <v>34559</v>
      </c>
      <c r="E25">
        <v>54.005000000000003</v>
      </c>
      <c r="F25">
        <v>89.76</v>
      </c>
      <c r="G25">
        <v>53.999599500000002</v>
      </c>
      <c r="H25">
        <v>89.768976000000009</v>
      </c>
      <c r="I25">
        <v>3.5672352167586561</v>
      </c>
      <c r="J25">
        <v>0.73858207225207795</v>
      </c>
      <c r="K25">
        <v>-0.18516803999629661</v>
      </c>
      <c r="L25">
        <v>8.2284098958564839E-2</v>
      </c>
      <c r="M25" t="s">
        <v>25</v>
      </c>
      <c r="N25">
        <v>5</v>
      </c>
      <c r="O25" t="s">
        <v>26</v>
      </c>
      <c r="P25">
        <v>34564</v>
      </c>
      <c r="Q25">
        <v>53.83</v>
      </c>
      <c r="R25">
        <v>89.754999999999995</v>
      </c>
      <c r="S25">
        <v>0.1189470488794544</v>
      </c>
      <c r="T25">
        <v>3.1992986504559083E-2</v>
      </c>
      <c r="U25">
        <v>2.8519103942803142E-2</v>
      </c>
      <c r="V25">
        <v>3.477111860918607E-3</v>
      </c>
      <c r="W25">
        <v>2.5041992081884529E-2</v>
      </c>
      <c r="X25" s="21">
        <f t="shared" si="0"/>
        <v>45994</v>
      </c>
      <c r="Y25" s="21">
        <f t="shared" si="2"/>
        <v>45994</v>
      </c>
      <c r="Z25">
        <f t="array" ref="Z25">_xlfn.XLOOKUP(INT(X25),INT($AE$2:$AE$1000),$AG$2:$AG$1000,"")</f>
        <v>16.079999999999998</v>
      </c>
      <c r="AE25" s="21">
        <f t="shared" si="1"/>
        <v>45903</v>
      </c>
      <c r="AF25" s="21">
        <v>45725</v>
      </c>
      <c r="AG25">
        <v>16.350000000000001</v>
      </c>
    </row>
    <row r="26" spans="1:38">
      <c r="A26">
        <v>2</v>
      </c>
      <c r="B26" t="s">
        <v>28</v>
      </c>
      <c r="C26" t="s">
        <v>29</v>
      </c>
      <c r="D26">
        <v>35304</v>
      </c>
      <c r="E26">
        <v>53.914999999999999</v>
      </c>
      <c r="F26">
        <v>90.32</v>
      </c>
      <c r="G26">
        <v>53.920391500000001</v>
      </c>
      <c r="H26">
        <v>90.310967999999988</v>
      </c>
      <c r="I26">
        <v>-3.5605367620328692</v>
      </c>
      <c r="J26">
        <v>0.73858207225207795</v>
      </c>
      <c r="K26">
        <v>0.18547713994250209</v>
      </c>
      <c r="L26">
        <v>-8.177392296856488E-2</v>
      </c>
      <c r="M26" t="s">
        <v>27</v>
      </c>
      <c r="N26">
        <v>6</v>
      </c>
      <c r="O26" t="s">
        <v>26</v>
      </c>
      <c r="P26">
        <v>35310</v>
      </c>
      <c r="Q26">
        <v>54.27</v>
      </c>
      <c r="R26">
        <v>90.385000000000005</v>
      </c>
      <c r="S26">
        <v>5.9936538940913317E-2</v>
      </c>
      <c r="T26">
        <v>6.0529079686631279E-2</v>
      </c>
      <c r="U26">
        <v>5.704479957315943E-2</v>
      </c>
      <c r="V26">
        <v>3.4772164280897052E-3</v>
      </c>
      <c r="W26">
        <v>5.3567583145069722E-2</v>
      </c>
      <c r="X26" s="21">
        <f t="shared" si="0"/>
        <v>45996</v>
      </c>
      <c r="Y26" s="21">
        <f t="shared" si="2"/>
        <v>45996</v>
      </c>
      <c r="Z26">
        <f t="array" ref="Z26">_xlfn.XLOOKUP(INT(X26),INT($AE$2:$AE$1000),$AG$2:$AG$1000,"")</f>
        <v>15.41</v>
      </c>
      <c r="AE26" s="21">
        <f t="shared" si="1"/>
        <v>45904</v>
      </c>
      <c r="AF26" s="21">
        <v>45756</v>
      </c>
      <c r="AG26">
        <v>15.3</v>
      </c>
    </row>
    <row r="27" spans="1:38">
      <c r="A27">
        <v>2</v>
      </c>
      <c r="B27" t="s">
        <v>28</v>
      </c>
      <c r="C27" t="s">
        <v>29</v>
      </c>
      <c r="D27">
        <v>35659</v>
      </c>
      <c r="E27">
        <v>54.484999999999999</v>
      </c>
      <c r="F27">
        <v>93.055000000000007</v>
      </c>
      <c r="G27">
        <v>54.479551499999999</v>
      </c>
      <c r="H27">
        <v>93.064305500000003</v>
      </c>
      <c r="I27">
        <v>3.9191208143867051</v>
      </c>
      <c r="J27">
        <v>0.73858207225207795</v>
      </c>
      <c r="K27">
        <v>-0.18353675323483529</v>
      </c>
      <c r="L27">
        <v>7.9370487588208902E-2</v>
      </c>
      <c r="M27" t="s">
        <v>25</v>
      </c>
      <c r="N27">
        <v>66</v>
      </c>
      <c r="O27" t="s">
        <v>26</v>
      </c>
      <c r="P27">
        <v>35725</v>
      </c>
      <c r="Q27">
        <v>54.545000000000002</v>
      </c>
      <c r="R27">
        <v>92.655000000000001</v>
      </c>
      <c r="S27">
        <v>0.45326715002031898</v>
      </c>
      <c r="T27">
        <v>-4.2760400229374537E-2</v>
      </c>
      <c r="U27">
        <v>-4.6235490774893952E-2</v>
      </c>
      <c r="V27">
        <v>3.4771118609186061E-3</v>
      </c>
      <c r="W27">
        <v>-4.9712602635812557E-2</v>
      </c>
      <c r="X27" s="21">
        <f t="shared" si="0"/>
        <v>45999</v>
      </c>
      <c r="Y27" s="21">
        <f t="shared" si="2"/>
        <v>45999</v>
      </c>
      <c r="Z27">
        <f t="array" ref="Z27">_xlfn.XLOOKUP(INT(X27),INT($AE$2:$AE$1000),$AG$2:$AG$1000,"")</f>
        <v>16.66</v>
      </c>
      <c r="AE27" s="21">
        <f t="shared" si="1"/>
        <v>45905</v>
      </c>
      <c r="AF27" s="21">
        <v>45786</v>
      </c>
      <c r="AG27">
        <v>15.18</v>
      </c>
    </row>
    <row r="28" spans="1:38">
      <c r="A28">
        <v>3</v>
      </c>
      <c r="B28" t="s">
        <v>28</v>
      </c>
      <c r="C28" t="s">
        <v>29</v>
      </c>
      <c r="D28">
        <v>36509</v>
      </c>
      <c r="E28">
        <v>54.965000000000003</v>
      </c>
      <c r="F28">
        <v>93.105000000000004</v>
      </c>
      <c r="G28">
        <v>54.970496500000003</v>
      </c>
      <c r="H28">
        <v>93.095689500000006</v>
      </c>
      <c r="I28">
        <v>-4.8712868232379254</v>
      </c>
      <c r="J28">
        <v>0.67544694522736837</v>
      </c>
      <c r="K28">
        <v>0.18193395797325571</v>
      </c>
      <c r="L28">
        <v>-7.2546796114856163E-2</v>
      </c>
      <c r="M28" t="s">
        <v>27</v>
      </c>
      <c r="N28">
        <v>7</v>
      </c>
      <c r="O28" t="s">
        <v>26</v>
      </c>
      <c r="P28">
        <v>36516</v>
      </c>
      <c r="Q28">
        <v>55.35</v>
      </c>
      <c r="R28">
        <v>93.03</v>
      </c>
      <c r="S28">
        <v>-0.41313051329431483</v>
      </c>
      <c r="T28">
        <v>7.5485583528317496E-2</v>
      </c>
      <c r="U28">
        <v>7.212822928145135E-2</v>
      </c>
      <c r="V28">
        <v>3.350958801065691E-3</v>
      </c>
      <c r="W28">
        <v>6.8777270480385663E-2</v>
      </c>
      <c r="X28" s="21">
        <f t="shared" si="0"/>
        <v>46001</v>
      </c>
      <c r="Y28" s="21">
        <f t="shared" si="2"/>
        <v>46001</v>
      </c>
      <c r="Z28">
        <f t="array" ref="Z28">_xlfn.XLOOKUP(INT(X28),INT($AE$2:$AE$1000),$AG$2:$AG$1000,"")</f>
        <v>15.77</v>
      </c>
      <c r="AE28" s="21">
        <f t="shared" si="1"/>
        <v>45908</v>
      </c>
      <c r="AF28" s="21">
        <v>45878</v>
      </c>
      <c r="AG28">
        <v>15.11</v>
      </c>
    </row>
    <row r="29" spans="1:38">
      <c r="A29">
        <v>3</v>
      </c>
      <c r="B29" t="s">
        <v>28</v>
      </c>
      <c r="C29" t="s">
        <v>29</v>
      </c>
      <c r="D29">
        <v>37290</v>
      </c>
      <c r="E29">
        <v>54.594999999999999</v>
      </c>
      <c r="F29">
        <v>93.11</v>
      </c>
      <c r="G29">
        <v>54.600459499999999</v>
      </c>
      <c r="H29">
        <v>93.100689000000003</v>
      </c>
      <c r="I29">
        <v>-3.9272584295802511</v>
      </c>
      <c r="J29">
        <v>0.67544694522736837</v>
      </c>
      <c r="K29">
        <v>0.18316695668101471</v>
      </c>
      <c r="L29">
        <v>-7.2542900357358858E-2</v>
      </c>
      <c r="M29" t="s">
        <v>27</v>
      </c>
      <c r="N29">
        <v>25</v>
      </c>
      <c r="O29" t="s">
        <v>26</v>
      </c>
      <c r="P29">
        <v>37315</v>
      </c>
      <c r="Q29">
        <v>55.1</v>
      </c>
      <c r="R29">
        <v>93.704999999999998</v>
      </c>
      <c r="S29">
        <v>0.1467806767397242</v>
      </c>
      <c r="T29">
        <v>4.9336287411284471E-2</v>
      </c>
      <c r="U29">
        <v>4.5971827286945807E-2</v>
      </c>
      <c r="V29">
        <v>3.350958801065691E-3</v>
      </c>
      <c r="W29">
        <v>4.262086848588012E-2</v>
      </c>
      <c r="X29" s="21">
        <f t="shared" si="0"/>
        <v>46003</v>
      </c>
      <c r="Y29" s="21">
        <f t="shared" si="2"/>
        <v>46003</v>
      </c>
      <c r="Z29">
        <f t="array" ref="Z29">_xlfn.XLOOKUP(INT(X29),INT($AE$2:$AE$1000),$AG$2:$AG$1000,"")</f>
        <v>15.74</v>
      </c>
      <c r="AE29" s="21">
        <f t="shared" si="1"/>
        <v>45909</v>
      </c>
      <c r="AF29" s="21">
        <v>45909</v>
      </c>
      <c r="AG29">
        <v>15.04</v>
      </c>
    </row>
    <row r="30" spans="1:38">
      <c r="A30">
        <v>3</v>
      </c>
      <c r="B30" t="s">
        <v>28</v>
      </c>
      <c r="C30" t="s">
        <v>29</v>
      </c>
      <c r="D30">
        <v>37679</v>
      </c>
      <c r="E30">
        <v>54.57</v>
      </c>
      <c r="F30">
        <v>91.7</v>
      </c>
      <c r="G30">
        <v>54.564543</v>
      </c>
      <c r="H30">
        <v>91.70917</v>
      </c>
      <c r="I30">
        <v>4.6807257199290877</v>
      </c>
      <c r="J30">
        <v>0.67544694522736837</v>
      </c>
      <c r="K30">
        <v>-0.1832508704416346</v>
      </c>
      <c r="L30">
        <v>7.3658336447913669E-2</v>
      </c>
      <c r="M30" t="s">
        <v>25</v>
      </c>
      <c r="N30">
        <v>22</v>
      </c>
      <c r="O30" t="s">
        <v>26</v>
      </c>
      <c r="P30">
        <v>37701</v>
      </c>
      <c r="Q30">
        <v>54.75</v>
      </c>
      <c r="R30">
        <v>92.075000000000003</v>
      </c>
      <c r="S30">
        <v>0.41292147259224332</v>
      </c>
      <c r="T30">
        <v>-5.3632805115265518E-3</v>
      </c>
      <c r="U30">
        <v>-8.720235105265435E-3</v>
      </c>
      <c r="V30">
        <v>3.3508289798437822E-3</v>
      </c>
      <c r="W30">
        <v>-1.2071064085109219E-2</v>
      </c>
      <c r="X30" s="21">
        <f t="shared" si="0"/>
        <v>46006</v>
      </c>
      <c r="Y30" s="21">
        <f t="shared" si="2"/>
        <v>46006</v>
      </c>
      <c r="Z30">
        <f t="array" ref="Z30">_xlfn.XLOOKUP(INT(X30),INT($AE$2:$AE$1000),$AG$2:$AG$1000,"")</f>
        <v>16.5</v>
      </c>
      <c r="AE30" s="21">
        <f t="shared" si="1"/>
        <v>45910</v>
      </c>
      <c r="AF30" s="21">
        <v>45939</v>
      </c>
      <c r="AG30">
        <v>15.35</v>
      </c>
    </row>
    <row r="31" spans="1:38">
      <c r="A31">
        <v>3</v>
      </c>
      <c r="B31" t="s">
        <v>28</v>
      </c>
      <c r="C31" t="s">
        <v>29</v>
      </c>
      <c r="D31">
        <v>38190</v>
      </c>
      <c r="E31">
        <v>55.87</v>
      </c>
      <c r="F31">
        <v>94.01</v>
      </c>
      <c r="G31">
        <v>55.864412999999999</v>
      </c>
      <c r="H31">
        <v>94.019401000000002</v>
      </c>
      <c r="I31">
        <v>3.6342178099281259</v>
      </c>
      <c r="J31">
        <v>0.67544694522736837</v>
      </c>
      <c r="K31">
        <v>-0.1789869339538214</v>
      </c>
      <c r="L31">
        <v>7.1848414554554652E-2</v>
      </c>
      <c r="M31" t="s">
        <v>25</v>
      </c>
      <c r="N31">
        <v>16</v>
      </c>
      <c r="O31" t="s">
        <v>26</v>
      </c>
      <c r="P31">
        <v>38206</v>
      </c>
      <c r="Q31">
        <v>55.914999999999999</v>
      </c>
      <c r="R31">
        <v>94.114999999999995</v>
      </c>
      <c r="S31">
        <v>0.4871990736000601</v>
      </c>
      <c r="T31">
        <v>-5.1032849969476386E-4</v>
      </c>
      <c r="U31">
        <v>-3.8627822397047621E-3</v>
      </c>
      <c r="V31">
        <v>3.3508289798437822E-3</v>
      </c>
      <c r="W31">
        <v>-7.2136112195485443E-3</v>
      </c>
      <c r="X31" s="21">
        <f t="shared" si="0"/>
        <v>46007</v>
      </c>
      <c r="Y31" s="21">
        <f t="shared" si="2"/>
        <v>46007</v>
      </c>
      <c r="Z31">
        <f t="array" ref="Z31">_xlfn.XLOOKUP(INT(X31),INT($AE$2:$AE$1000),$AG$2:$AG$1000,"")</f>
        <v>16.48</v>
      </c>
      <c r="AE31" s="21">
        <f t="shared" si="1"/>
        <v>45911</v>
      </c>
      <c r="AF31" s="21">
        <v>45970</v>
      </c>
      <c r="AG31">
        <v>14.71</v>
      </c>
    </row>
    <row r="32" spans="1:38">
      <c r="A32">
        <v>3</v>
      </c>
      <c r="B32" t="s">
        <v>28</v>
      </c>
      <c r="C32" t="s">
        <v>29</v>
      </c>
      <c r="D32">
        <v>38306</v>
      </c>
      <c r="E32">
        <v>55.98</v>
      </c>
      <c r="F32">
        <v>93.99</v>
      </c>
      <c r="G32">
        <v>55.985598000000003</v>
      </c>
      <c r="H32">
        <v>93.980600999999993</v>
      </c>
      <c r="I32">
        <v>-4.0638487169769828</v>
      </c>
      <c r="J32">
        <v>0.67544694522736837</v>
      </c>
      <c r="K32">
        <v>0.17863522686673811</v>
      </c>
      <c r="L32">
        <v>-7.1863703077707036E-2</v>
      </c>
      <c r="M32" t="s">
        <v>27</v>
      </c>
      <c r="N32">
        <v>27</v>
      </c>
      <c r="O32" t="s">
        <v>26</v>
      </c>
      <c r="P32">
        <v>38333</v>
      </c>
      <c r="Q32">
        <v>55.954999999999998</v>
      </c>
      <c r="R32">
        <v>93.96</v>
      </c>
      <c r="S32">
        <v>1.747268571627382E-2</v>
      </c>
      <c r="T32">
        <v>-2.3099695793369068E-3</v>
      </c>
      <c r="U32">
        <v>-5.6602012906145829E-3</v>
      </c>
      <c r="V32">
        <v>3.350958801065691E-3</v>
      </c>
      <c r="W32">
        <v>-9.0111600916802752E-3</v>
      </c>
      <c r="X32" s="21">
        <f t="shared" si="0"/>
        <v>46008</v>
      </c>
      <c r="Y32" s="21">
        <f t="shared" si="2"/>
        <v>46008</v>
      </c>
      <c r="Z32">
        <f t="array" ref="Z32">_xlfn.XLOOKUP(INT(X32),INT($AE$2:$AE$1000),$AG$2:$AG$1000,"")</f>
        <v>17.62</v>
      </c>
      <c r="AE32" s="21">
        <f t="shared" si="1"/>
        <v>45912</v>
      </c>
      <c r="AF32" s="21">
        <v>46000</v>
      </c>
      <c r="AG32">
        <v>14.76</v>
      </c>
    </row>
    <row r="33" spans="1:33">
      <c r="A33">
        <v>3</v>
      </c>
      <c r="B33" t="s">
        <v>28</v>
      </c>
      <c r="C33" t="s">
        <v>29</v>
      </c>
      <c r="D33">
        <v>38659</v>
      </c>
      <c r="E33">
        <v>55.95</v>
      </c>
      <c r="F33">
        <v>94.22</v>
      </c>
      <c r="G33">
        <v>55.955595000000002</v>
      </c>
      <c r="H33">
        <v>94.210577999999998</v>
      </c>
      <c r="I33">
        <v>-3.6283825468592101</v>
      </c>
      <c r="J33">
        <v>0.67544694522736837</v>
      </c>
      <c r="K33">
        <v>0.17873100983020551</v>
      </c>
      <c r="L33">
        <v>-7.1688276929247327E-2</v>
      </c>
      <c r="M33" t="s">
        <v>27</v>
      </c>
      <c r="N33">
        <v>15</v>
      </c>
      <c r="O33" t="s">
        <v>26</v>
      </c>
      <c r="P33">
        <v>38674</v>
      </c>
      <c r="Q33">
        <v>56.024999999999999</v>
      </c>
      <c r="R33">
        <v>94.29</v>
      </c>
      <c r="S33">
        <v>0.17646003124991719</v>
      </c>
      <c r="T33">
        <v>8.3866463522168123E-3</v>
      </c>
      <c r="U33">
        <v>5.0339101612497167E-3</v>
      </c>
      <c r="V33">
        <v>3.350958801065691E-3</v>
      </c>
      <c r="W33">
        <v>1.682951360184025E-3</v>
      </c>
      <c r="X33" s="21">
        <f t="shared" si="0"/>
        <v>46009</v>
      </c>
      <c r="Y33" s="21">
        <f t="shared" si="2"/>
        <v>46009</v>
      </c>
      <c r="Z33">
        <f t="array" ref="Z33">_xlfn.XLOOKUP(INT(X33),INT($AE$2:$AE$1000),$AG$2:$AG$1000,"")</f>
        <v>16.87</v>
      </c>
      <c r="AE33" s="21">
        <f t="shared" si="1"/>
        <v>45915</v>
      </c>
      <c r="AF33" t="s">
        <v>71</v>
      </c>
      <c r="AG33">
        <v>15.69</v>
      </c>
    </row>
    <row r="34" spans="1:33">
      <c r="A34">
        <v>3</v>
      </c>
      <c r="B34" t="s">
        <v>28</v>
      </c>
      <c r="C34" t="s">
        <v>29</v>
      </c>
      <c r="D34">
        <v>39059</v>
      </c>
      <c r="E34">
        <v>56.42</v>
      </c>
      <c r="F34">
        <v>95.27</v>
      </c>
      <c r="G34">
        <v>56.414358</v>
      </c>
      <c r="H34">
        <v>95.279527000000002</v>
      </c>
      <c r="I34">
        <v>3.7111055443046821</v>
      </c>
      <c r="J34">
        <v>0.67544694522736837</v>
      </c>
      <c r="K34">
        <v>-0.1772421127259837</v>
      </c>
      <c r="L34">
        <v>7.0898178359123376E-2</v>
      </c>
      <c r="M34" t="s">
        <v>25</v>
      </c>
      <c r="N34">
        <v>9</v>
      </c>
      <c r="O34" t="s">
        <v>26</v>
      </c>
      <c r="P34">
        <v>39068</v>
      </c>
      <c r="Q34">
        <v>56.34</v>
      </c>
      <c r="R34">
        <v>95.295000000000002</v>
      </c>
      <c r="S34">
        <v>0.16521923481350759</v>
      </c>
      <c r="T34">
        <v>1.5951823477056881E-2</v>
      </c>
      <c r="U34">
        <v>1.26021702780573E-2</v>
      </c>
      <c r="V34">
        <v>3.3508289798437822E-3</v>
      </c>
      <c r="W34">
        <v>9.2513412982135178E-3</v>
      </c>
      <c r="X34" s="21">
        <f t="shared" si="0"/>
        <v>46010</v>
      </c>
      <c r="Y34" s="21">
        <f t="shared" si="2"/>
        <v>46010</v>
      </c>
      <c r="Z34">
        <f t="array" ref="Z34">_xlfn.XLOOKUP(INT(X34),INT($AE$2:$AE$1000),$AG$2:$AG$1000,"")</f>
        <v>14.91</v>
      </c>
      <c r="AE34" s="21">
        <f t="shared" si="1"/>
        <v>45916</v>
      </c>
      <c r="AF34" t="s">
        <v>72</v>
      </c>
      <c r="AG34">
        <v>16.36</v>
      </c>
    </row>
    <row r="35" spans="1:33">
      <c r="A35">
        <v>3</v>
      </c>
      <c r="B35" t="s">
        <v>28</v>
      </c>
      <c r="C35" t="s">
        <v>29</v>
      </c>
      <c r="D35">
        <v>39449</v>
      </c>
      <c r="E35">
        <v>56.094999999999999</v>
      </c>
      <c r="F35">
        <v>95.37</v>
      </c>
      <c r="G35">
        <v>56.100609499999997</v>
      </c>
      <c r="H35">
        <v>95.36046300000001</v>
      </c>
      <c r="I35">
        <v>-3.6509998603878122</v>
      </c>
      <c r="J35">
        <v>0.67544694522736837</v>
      </c>
      <c r="K35">
        <v>0.17826900793297079</v>
      </c>
      <c r="L35">
        <v>-7.0823838232921085E-2</v>
      </c>
      <c r="M35" t="s">
        <v>27</v>
      </c>
      <c r="N35">
        <v>23</v>
      </c>
      <c r="O35" t="s">
        <v>26</v>
      </c>
      <c r="P35">
        <v>39472</v>
      </c>
      <c r="Q35">
        <v>55.91</v>
      </c>
      <c r="R35">
        <v>94.92</v>
      </c>
      <c r="S35">
        <v>-0.4882463594947018</v>
      </c>
      <c r="T35">
        <v>-1.109039262785327E-3</v>
      </c>
      <c r="U35">
        <v>-4.4534481038722316E-3</v>
      </c>
      <c r="V35">
        <v>3.350958801065691E-3</v>
      </c>
      <c r="W35">
        <v>-7.8044069049379239E-3</v>
      </c>
      <c r="X35" s="21">
        <f t="shared" si="0"/>
        <v>46013</v>
      </c>
      <c r="Y35" s="21">
        <f t="shared" si="2"/>
        <v>46013</v>
      </c>
      <c r="Z35">
        <f t="array" ref="Z35">_xlfn.XLOOKUP(INT(X35),INT($AE$2:$AE$1000),$AG$2:$AG$1000,"")</f>
        <v>14.08</v>
      </c>
      <c r="AE35" s="21">
        <f t="shared" si="1"/>
        <v>45917</v>
      </c>
      <c r="AF35" t="s">
        <v>73</v>
      </c>
      <c r="AG35">
        <v>15.72</v>
      </c>
    </row>
    <row r="36" spans="1:33">
      <c r="A36">
        <v>4</v>
      </c>
      <c r="B36" t="s">
        <v>28</v>
      </c>
      <c r="C36" t="s">
        <v>29</v>
      </c>
      <c r="D36">
        <v>39601</v>
      </c>
      <c r="E36">
        <v>55.465000000000003</v>
      </c>
      <c r="F36">
        <v>94.534999999999997</v>
      </c>
      <c r="G36">
        <v>55.459453500000002</v>
      </c>
      <c r="H36">
        <v>94.544453499999989</v>
      </c>
      <c r="I36">
        <v>5.2938913177704396</v>
      </c>
      <c r="J36">
        <v>0.6533346050381017</v>
      </c>
      <c r="K36">
        <v>-0.18029387902280719</v>
      </c>
      <c r="L36">
        <v>6.9110340618617622E-2</v>
      </c>
      <c r="M36" t="s">
        <v>25</v>
      </c>
      <c r="N36">
        <v>23</v>
      </c>
      <c r="O36" t="s">
        <v>26</v>
      </c>
      <c r="P36">
        <v>39624</v>
      </c>
      <c r="Q36">
        <v>55.43</v>
      </c>
      <c r="R36">
        <v>94.45</v>
      </c>
      <c r="S36">
        <v>0.48129622673129091</v>
      </c>
      <c r="T36">
        <v>4.3590681321685129E-4</v>
      </c>
      <c r="U36">
        <v>-2.8695439303864159E-3</v>
      </c>
      <c r="V36">
        <v>3.3065998769972109E-3</v>
      </c>
      <c r="W36">
        <v>-6.1761438073836272E-3</v>
      </c>
      <c r="X36" s="21">
        <f t="shared" si="0"/>
        <v>46013</v>
      </c>
      <c r="Y36" s="21">
        <f t="shared" si="2"/>
        <v>46013</v>
      </c>
      <c r="Z36">
        <f t="array" ref="Z36">_xlfn.XLOOKUP(INT(X36),INT($AE$2:$AE$1000),$AG$2:$AG$1000,"")</f>
        <v>14.08</v>
      </c>
      <c r="AE36" s="21">
        <f t="shared" si="1"/>
        <v>45918</v>
      </c>
      <c r="AF36" t="s">
        <v>74</v>
      </c>
      <c r="AG36">
        <v>15.7</v>
      </c>
    </row>
    <row r="37" spans="1:33">
      <c r="A37">
        <v>4</v>
      </c>
      <c r="B37" t="s">
        <v>28</v>
      </c>
      <c r="C37" t="s">
        <v>29</v>
      </c>
      <c r="D37">
        <v>39839</v>
      </c>
      <c r="E37">
        <v>55.6</v>
      </c>
      <c r="F37">
        <v>94.82</v>
      </c>
      <c r="G37">
        <v>55.594439999999999</v>
      </c>
      <c r="H37">
        <v>94.829481999999999</v>
      </c>
      <c r="I37">
        <v>5.0316061210214436</v>
      </c>
      <c r="J37">
        <v>0.6533346050381017</v>
      </c>
      <c r="K37">
        <v>-0.17985611510791369</v>
      </c>
      <c r="L37">
        <v>6.8902616013299056E-2</v>
      </c>
      <c r="M37" t="s">
        <v>25</v>
      </c>
      <c r="N37">
        <v>15</v>
      </c>
      <c r="O37" t="s">
        <v>26</v>
      </c>
      <c r="P37">
        <v>39854</v>
      </c>
      <c r="Q37">
        <v>55.325000000000003</v>
      </c>
      <c r="R37">
        <v>94.34</v>
      </c>
      <c r="S37">
        <v>-8.6236820989901611E-2</v>
      </c>
      <c r="T37">
        <v>1.6387175968293161E-2</v>
      </c>
      <c r="U37">
        <v>1.3088760126950091E-2</v>
      </c>
      <c r="V37">
        <v>3.30659987699721E-3</v>
      </c>
      <c r="W37">
        <v>9.7821602499528829E-3</v>
      </c>
      <c r="X37" s="21">
        <f t="shared" si="0"/>
        <v>46014</v>
      </c>
      <c r="Y37" s="21">
        <f t="shared" si="2"/>
        <v>46014</v>
      </c>
      <c r="Z37">
        <f t="array" ref="Z37">_xlfn.XLOOKUP(INT(X37),INT($AE$2:$AE$1000),$AG$2:$AG$1000,"")</f>
        <v>14</v>
      </c>
      <c r="AE37" s="21">
        <f t="shared" si="1"/>
        <v>45919</v>
      </c>
      <c r="AF37" t="s">
        <v>75</v>
      </c>
      <c r="AG37">
        <v>15.45</v>
      </c>
    </row>
    <row r="38" spans="1:33">
      <c r="A38">
        <v>4</v>
      </c>
      <c r="B38" t="s">
        <v>28</v>
      </c>
      <c r="C38" t="s">
        <v>29</v>
      </c>
      <c r="D38">
        <v>41009</v>
      </c>
      <c r="E38">
        <v>56.28</v>
      </c>
      <c r="F38">
        <v>95.5</v>
      </c>
      <c r="G38">
        <v>56.274372</v>
      </c>
      <c r="H38">
        <v>95.509550000000004</v>
      </c>
      <c r="I38">
        <v>5.022828063570846</v>
      </c>
      <c r="J38">
        <v>0.6533346050381017</v>
      </c>
      <c r="K38">
        <v>-0.177683013503909</v>
      </c>
      <c r="L38">
        <v>6.8412000527549907E-2</v>
      </c>
      <c r="M38" t="s">
        <v>25</v>
      </c>
      <c r="N38">
        <v>27</v>
      </c>
      <c r="O38" t="s">
        <v>26</v>
      </c>
      <c r="P38">
        <v>41036</v>
      </c>
      <c r="Q38">
        <v>57.19</v>
      </c>
      <c r="R38">
        <v>96.84</v>
      </c>
      <c r="S38">
        <v>0.39209776972051469</v>
      </c>
      <c r="T38">
        <v>-7.0019461581639506E-2</v>
      </c>
      <c r="U38">
        <v>-7.3351467154015193E-2</v>
      </c>
      <c r="V38">
        <v>3.3065998769972109E-3</v>
      </c>
      <c r="W38">
        <v>-7.6658067031012411E-2</v>
      </c>
      <c r="X38" s="21">
        <f t="shared" si="0"/>
        <v>46017</v>
      </c>
      <c r="Y38" s="21">
        <f t="shared" si="2"/>
        <v>46017</v>
      </c>
      <c r="Z38">
        <f t="array" ref="Z38">_xlfn.XLOOKUP(INT(X38),INT($AE$2:$AE$1000),$AG$2:$AG$1000,"")</f>
        <v>13.6</v>
      </c>
      <c r="AE38" s="21">
        <f t="shared" si="1"/>
        <v>45922</v>
      </c>
      <c r="AF38" t="s">
        <v>76</v>
      </c>
      <c r="AG38">
        <v>16.100000000000001</v>
      </c>
    </row>
    <row r="39" spans="1:33">
      <c r="A39">
        <v>4</v>
      </c>
      <c r="B39" t="s">
        <v>28</v>
      </c>
      <c r="C39" t="s">
        <v>29</v>
      </c>
      <c r="D39">
        <v>41201</v>
      </c>
      <c r="E39">
        <v>57.27</v>
      </c>
      <c r="F39">
        <v>97.02</v>
      </c>
      <c r="G39">
        <v>57.264273000000003</v>
      </c>
      <c r="H39">
        <v>97.029702</v>
      </c>
      <c r="I39">
        <v>3.6553077959710518</v>
      </c>
      <c r="J39">
        <v>0.6533346050381017</v>
      </c>
      <c r="K39">
        <v>-0.17461148943600491</v>
      </c>
      <c r="L39">
        <v>6.7340198416625613E-2</v>
      </c>
      <c r="M39" t="s">
        <v>25</v>
      </c>
      <c r="N39">
        <v>8</v>
      </c>
      <c r="O39" t="s">
        <v>26</v>
      </c>
      <c r="P39">
        <v>41209</v>
      </c>
      <c r="Q39">
        <v>57.21</v>
      </c>
      <c r="R39">
        <v>97.1</v>
      </c>
      <c r="S39">
        <v>0.1047635235052741</v>
      </c>
      <c r="T39">
        <v>1.5863905239490619E-2</v>
      </c>
      <c r="U39">
        <v>1.255774497676327E-2</v>
      </c>
      <c r="V39">
        <v>3.3065998769972109E-3</v>
      </c>
      <c r="W39">
        <v>9.2511450997660588E-3</v>
      </c>
      <c r="X39" s="21">
        <f t="shared" si="0"/>
        <v>46017</v>
      </c>
      <c r="Y39" s="21">
        <f t="shared" si="2"/>
        <v>46017</v>
      </c>
      <c r="Z39">
        <f t="array" ref="Z39">_xlfn.XLOOKUP(INT(X39),INT($AE$2:$AE$1000),$AG$2:$AG$1000,"")</f>
        <v>13.6</v>
      </c>
      <c r="AE39" s="21">
        <f t="shared" si="1"/>
        <v>45923</v>
      </c>
      <c r="AF39" t="s">
        <v>77</v>
      </c>
      <c r="AG39">
        <v>16.64</v>
      </c>
    </row>
    <row r="40" spans="1:33">
      <c r="A40">
        <v>4</v>
      </c>
      <c r="B40" t="s">
        <v>28</v>
      </c>
      <c r="C40" t="s">
        <v>29</v>
      </c>
      <c r="D40">
        <v>41399</v>
      </c>
      <c r="E40">
        <v>57.19</v>
      </c>
      <c r="F40">
        <v>95.59</v>
      </c>
      <c r="G40">
        <v>57.184280999999999</v>
      </c>
      <c r="H40">
        <v>95.599558999999999</v>
      </c>
      <c r="I40">
        <v>5.011156350320273</v>
      </c>
      <c r="J40">
        <v>0.6533346050381017</v>
      </c>
      <c r="K40">
        <v>-0.17485574401119081</v>
      </c>
      <c r="L40">
        <v>6.8347589186954869E-2</v>
      </c>
      <c r="M40" t="s">
        <v>25</v>
      </c>
      <c r="N40">
        <v>15</v>
      </c>
      <c r="O40" t="s">
        <v>26</v>
      </c>
      <c r="P40">
        <v>41414</v>
      </c>
      <c r="Q40">
        <v>56.91</v>
      </c>
      <c r="R40">
        <v>95.525000000000006</v>
      </c>
      <c r="S40">
        <v>0.46103593375211049</v>
      </c>
      <c r="T40">
        <v>4.451701502598171E-2</v>
      </c>
      <c r="U40">
        <v>4.1215686036068309E-2</v>
      </c>
      <c r="V40">
        <v>3.3065998769972109E-3</v>
      </c>
      <c r="W40">
        <v>3.7909086159071098E-2</v>
      </c>
      <c r="X40" s="21">
        <f t="shared" si="0"/>
        <v>46020</v>
      </c>
      <c r="Y40" s="21">
        <f t="shared" si="2"/>
        <v>46020</v>
      </c>
      <c r="Z40">
        <f t="array" ref="Z40">_xlfn.XLOOKUP(INT(X40),INT($AE$2:$AE$1000),$AG$2:$AG$1000,"")</f>
        <v>14.2</v>
      </c>
      <c r="AE40" s="21">
        <f t="shared" si="1"/>
        <v>45924</v>
      </c>
      <c r="AF40" t="s">
        <v>78</v>
      </c>
      <c r="AG40">
        <v>16.18</v>
      </c>
    </row>
    <row r="41" spans="1:33">
      <c r="A41">
        <v>4</v>
      </c>
      <c r="B41" t="s">
        <v>28</v>
      </c>
      <c r="C41" t="s">
        <v>29</v>
      </c>
      <c r="D41">
        <v>41790</v>
      </c>
      <c r="E41">
        <v>56.664999999999999</v>
      </c>
      <c r="F41">
        <v>95.724999999999994</v>
      </c>
      <c r="G41">
        <v>56.670666500000003</v>
      </c>
      <c r="H41">
        <v>95.71542749999999</v>
      </c>
      <c r="I41">
        <v>-4.5347558837523056</v>
      </c>
      <c r="J41">
        <v>0.6533346050381017</v>
      </c>
      <c r="K41">
        <v>0.1764757786993735</v>
      </c>
      <c r="L41">
        <v>-6.8251199272718902E-2</v>
      </c>
      <c r="M41" t="s">
        <v>27</v>
      </c>
      <c r="N41">
        <v>35</v>
      </c>
      <c r="O41" t="s">
        <v>26</v>
      </c>
      <c r="P41">
        <v>41825</v>
      </c>
      <c r="Q41">
        <v>56.145000000000003</v>
      </c>
      <c r="R41">
        <v>94.71</v>
      </c>
      <c r="S41">
        <v>-6.4708702039577279E-2</v>
      </c>
      <c r="T41">
        <v>-2.24924376618638E-2</v>
      </c>
      <c r="U41">
        <v>-2.5783002634721511E-2</v>
      </c>
      <c r="V41">
        <v>3.3067385431551962E-3</v>
      </c>
      <c r="W41">
        <v>-2.9089741177876709E-2</v>
      </c>
      <c r="X41" s="21">
        <f t="shared" si="0"/>
        <v>46021</v>
      </c>
      <c r="Y41" s="21">
        <f t="shared" si="2"/>
        <v>46021</v>
      </c>
      <c r="Z41">
        <f t="array" ref="Z41">_xlfn.XLOOKUP(INT(X41),INT($AE$2:$AE$1000),$AG$2:$AG$1000,"")</f>
        <v>14.33</v>
      </c>
      <c r="AE41" s="21">
        <f t="shared" si="1"/>
        <v>45925</v>
      </c>
      <c r="AF41" t="s">
        <v>79</v>
      </c>
      <c r="AG41">
        <v>16.739999999999998</v>
      </c>
    </row>
    <row r="42" spans="1:33">
      <c r="A42">
        <v>4</v>
      </c>
      <c r="B42" t="s">
        <v>28</v>
      </c>
      <c r="C42" t="s">
        <v>29</v>
      </c>
      <c r="D42">
        <v>42180</v>
      </c>
      <c r="E42">
        <v>55.58</v>
      </c>
      <c r="F42">
        <v>94.41</v>
      </c>
      <c r="G42">
        <v>55.585557999999999</v>
      </c>
      <c r="H42">
        <v>94.400559000000001</v>
      </c>
      <c r="I42">
        <v>-4.0714174166949224</v>
      </c>
      <c r="J42">
        <v>0.6533346050381017</v>
      </c>
      <c r="K42">
        <v>0.1799208348326736</v>
      </c>
      <c r="L42">
        <v>-6.9201843558743953E-2</v>
      </c>
      <c r="M42" t="s">
        <v>27</v>
      </c>
      <c r="N42">
        <v>1</v>
      </c>
      <c r="O42" t="s">
        <v>26</v>
      </c>
      <c r="P42">
        <v>42181</v>
      </c>
      <c r="Q42">
        <v>55.77</v>
      </c>
      <c r="R42">
        <v>94.43</v>
      </c>
      <c r="S42">
        <v>0.1184626704445758</v>
      </c>
      <c r="T42">
        <v>3.2800921747033272E-2</v>
      </c>
      <c r="U42">
        <v>2.94906956374076E-2</v>
      </c>
      <c r="V42">
        <v>3.3067385431551962E-3</v>
      </c>
      <c r="W42">
        <v>2.6183957094252398E-2</v>
      </c>
      <c r="X42" s="21">
        <f t="shared" si="0"/>
        <v>46022</v>
      </c>
      <c r="Y42" s="21">
        <f t="shared" si="2"/>
        <v>46022</v>
      </c>
      <c r="Z42">
        <f t="array" ref="Z42">_xlfn.XLOOKUP(INT(X42),INT($AE$2:$AE$1000),$AG$2:$AG$1000,"")</f>
        <v>14.95</v>
      </c>
      <c r="AE42" s="21">
        <f t="shared" si="1"/>
        <v>45926</v>
      </c>
      <c r="AF42" t="s">
        <v>80</v>
      </c>
      <c r="AG42">
        <v>15.29</v>
      </c>
    </row>
    <row r="43" spans="1:33">
      <c r="A43">
        <v>4</v>
      </c>
      <c r="B43" t="s">
        <v>28</v>
      </c>
      <c r="C43" t="s">
        <v>29</v>
      </c>
      <c r="D43">
        <v>42960</v>
      </c>
      <c r="E43">
        <v>55.29</v>
      </c>
      <c r="F43">
        <v>95.93</v>
      </c>
      <c r="G43">
        <v>55.295529000000002</v>
      </c>
      <c r="H43">
        <v>95.920407000000012</v>
      </c>
      <c r="I43">
        <v>-5.0836437631205458</v>
      </c>
      <c r="J43">
        <v>0.6533346050381017</v>
      </c>
      <c r="K43">
        <v>0.18086453246518361</v>
      </c>
      <c r="L43">
        <v>-6.8105348174512831E-2</v>
      </c>
      <c r="M43" t="s">
        <v>27</v>
      </c>
      <c r="N43">
        <v>5</v>
      </c>
      <c r="O43" t="s">
        <v>26</v>
      </c>
      <c r="P43">
        <v>42965</v>
      </c>
      <c r="Q43">
        <v>55.08</v>
      </c>
      <c r="R43">
        <v>94.22</v>
      </c>
      <c r="S43">
        <v>-0.47005701311377912</v>
      </c>
      <c r="T43">
        <v>7.8478593560728782E-2</v>
      </c>
      <c r="U43">
        <v>7.5187368520372139E-2</v>
      </c>
      <c r="V43">
        <v>3.3067385431551962E-3</v>
      </c>
      <c r="W43">
        <v>7.1880629977216948E-2</v>
      </c>
      <c r="X43" s="21">
        <f t="shared" si="0"/>
        <v>46024</v>
      </c>
      <c r="Y43" s="21">
        <f t="shared" si="2"/>
        <v>46024</v>
      </c>
      <c r="Z43">
        <f t="array" ref="Z43">_xlfn.XLOOKUP(INT(X43),INT($AE$2:$AE$1000),$AG$2:$AG$1000,"")</f>
        <v>14.51</v>
      </c>
      <c r="AE43" s="21">
        <f t="shared" si="1"/>
        <v>45929</v>
      </c>
      <c r="AF43" t="s">
        <v>81</v>
      </c>
      <c r="AG43">
        <v>16.12</v>
      </c>
    </row>
    <row r="44" spans="1:33">
      <c r="A44">
        <v>4</v>
      </c>
      <c r="B44" t="s">
        <v>28</v>
      </c>
      <c r="C44" t="s">
        <v>29</v>
      </c>
      <c r="D44">
        <v>43332</v>
      </c>
      <c r="E44">
        <v>55.17</v>
      </c>
      <c r="F44">
        <v>94.905000000000001</v>
      </c>
      <c r="G44">
        <v>55.164482999999997</v>
      </c>
      <c r="H44">
        <v>94.914490499999999</v>
      </c>
      <c r="I44">
        <v>3.729497213089267</v>
      </c>
      <c r="J44">
        <v>0.6533346050381017</v>
      </c>
      <c r="K44">
        <v>-0.18125793003443899</v>
      </c>
      <c r="L44">
        <v>6.8840904592814042E-2</v>
      </c>
      <c r="M44" t="s">
        <v>25</v>
      </c>
      <c r="N44">
        <v>6</v>
      </c>
      <c r="O44" t="s">
        <v>26</v>
      </c>
      <c r="P44">
        <v>43338</v>
      </c>
      <c r="Q44">
        <v>55.115000000000002</v>
      </c>
      <c r="R44">
        <v>94.924999999999997</v>
      </c>
      <c r="S44">
        <v>0.1938784814554087</v>
      </c>
      <c r="T44">
        <v>1.13460042437501E-2</v>
      </c>
      <c r="U44">
        <v>8.0401942704814294E-3</v>
      </c>
      <c r="V44">
        <v>3.3065998769972109E-3</v>
      </c>
      <c r="W44">
        <v>4.7335943934842181E-3</v>
      </c>
      <c r="X44" s="21">
        <f t="shared" si="0"/>
        <v>46027</v>
      </c>
      <c r="Y44" s="21">
        <f t="shared" si="2"/>
        <v>46027</v>
      </c>
      <c r="Z44">
        <f t="array" ref="Z44">_xlfn.XLOOKUP(INT(X44),INT($AE$2:$AE$1000),$AG$2:$AG$1000,"")</f>
        <v>14.9</v>
      </c>
      <c r="AE44" s="21">
        <f t="shared" si="1"/>
        <v>45930</v>
      </c>
      <c r="AF44" t="s">
        <v>82</v>
      </c>
      <c r="AG44">
        <v>16.28</v>
      </c>
    </row>
    <row r="45" spans="1:33">
      <c r="A45">
        <v>5</v>
      </c>
      <c r="B45" t="s">
        <v>28</v>
      </c>
      <c r="C45" t="s">
        <v>29</v>
      </c>
      <c r="D45">
        <v>43501</v>
      </c>
      <c r="E45">
        <v>54.725000000000001</v>
      </c>
      <c r="F45">
        <v>94.52</v>
      </c>
      <c r="G45">
        <v>54.719527500000012</v>
      </c>
      <c r="H45">
        <v>94.529451999999992</v>
      </c>
      <c r="I45">
        <v>5.2936414129398344</v>
      </c>
      <c r="J45">
        <v>0.60699763809152618</v>
      </c>
      <c r="K45">
        <v>-0.18273184102329831</v>
      </c>
      <c r="L45">
        <v>6.4218962980483088E-2</v>
      </c>
      <c r="M45" t="s">
        <v>25</v>
      </c>
      <c r="N45">
        <v>23</v>
      </c>
      <c r="O45" t="s">
        <v>26</v>
      </c>
      <c r="P45">
        <v>43524</v>
      </c>
      <c r="Q45">
        <v>54.645000000000003</v>
      </c>
      <c r="R45">
        <v>94.51</v>
      </c>
      <c r="S45">
        <v>0.47600914809084272</v>
      </c>
      <c r="T45">
        <v>1.3976357652059309E-2</v>
      </c>
      <c r="U45">
        <v>1.0763888449568061E-2</v>
      </c>
      <c r="V45">
        <v>3.2139166757106708E-3</v>
      </c>
      <c r="W45">
        <v>7.5499717738573887E-3</v>
      </c>
      <c r="X45" s="21">
        <f t="shared" si="0"/>
        <v>46027</v>
      </c>
      <c r="Y45" s="21">
        <f t="shared" si="2"/>
        <v>46027</v>
      </c>
      <c r="Z45">
        <f t="array" ref="Z45">_xlfn.XLOOKUP(INT(X45),INT($AE$2:$AE$1000),$AG$2:$AG$1000,"")</f>
        <v>14.9</v>
      </c>
      <c r="AE45" s="21">
        <f t="shared" si="1"/>
        <v>45931</v>
      </c>
      <c r="AF45" s="21">
        <v>45667</v>
      </c>
      <c r="AG45">
        <v>16.29</v>
      </c>
    </row>
    <row r="46" spans="1:33">
      <c r="A46">
        <v>5</v>
      </c>
      <c r="B46" t="s">
        <v>28</v>
      </c>
      <c r="C46" t="s">
        <v>29</v>
      </c>
      <c r="D46">
        <v>43742</v>
      </c>
      <c r="E46">
        <v>53.85</v>
      </c>
      <c r="F46">
        <v>93.51</v>
      </c>
      <c r="G46">
        <v>53.855384999999998</v>
      </c>
      <c r="H46">
        <v>93.50064900000001</v>
      </c>
      <c r="I46">
        <v>-5.037267741262113</v>
      </c>
      <c r="J46">
        <v>0.60699763809152618</v>
      </c>
      <c r="K46">
        <v>0.18570102135561739</v>
      </c>
      <c r="L46">
        <v>-6.4912590962627109E-2</v>
      </c>
      <c r="M46" t="s">
        <v>27</v>
      </c>
      <c r="N46">
        <v>13</v>
      </c>
      <c r="O46" t="s">
        <v>26</v>
      </c>
      <c r="P46">
        <v>43755</v>
      </c>
      <c r="Q46">
        <v>52.7</v>
      </c>
      <c r="R46">
        <v>90.31</v>
      </c>
      <c r="S46">
        <v>-0.44386940904684691</v>
      </c>
      <c r="T46">
        <v>-5.8358834785528779E-3</v>
      </c>
      <c r="U46">
        <v>-9.0077511081698702E-3</v>
      </c>
      <c r="V46">
        <v>3.214073876655434E-3</v>
      </c>
      <c r="W46">
        <v>-1.22218249848253E-2</v>
      </c>
      <c r="X46" s="21">
        <f t="shared" si="0"/>
        <v>46028</v>
      </c>
      <c r="Y46" s="21">
        <f t="shared" si="2"/>
        <v>46028</v>
      </c>
      <c r="Z46">
        <f t="array" ref="Z46">_xlfn.XLOOKUP(INT(X46),INT($AE$2:$AE$1000),$AG$2:$AG$1000,"")</f>
        <v>14.75</v>
      </c>
      <c r="AE46" s="21">
        <f t="shared" si="1"/>
        <v>45932</v>
      </c>
      <c r="AF46" s="21">
        <v>45698</v>
      </c>
      <c r="AG46">
        <v>16.63</v>
      </c>
    </row>
    <row r="47" spans="1:33">
      <c r="A47">
        <v>5</v>
      </c>
      <c r="B47" t="s">
        <v>28</v>
      </c>
      <c r="C47" t="s">
        <v>29</v>
      </c>
      <c r="D47">
        <v>44003</v>
      </c>
      <c r="E47">
        <v>52.16</v>
      </c>
      <c r="F47">
        <v>88.9</v>
      </c>
      <c r="G47">
        <v>52.154783999999999</v>
      </c>
      <c r="H47">
        <v>88.90889</v>
      </c>
      <c r="I47">
        <v>3.5004358448484649</v>
      </c>
      <c r="J47">
        <v>0.60699763809152618</v>
      </c>
      <c r="K47">
        <v>-0.19171779141104289</v>
      </c>
      <c r="L47">
        <v>6.8278699447865701E-2</v>
      </c>
      <c r="M47" t="s">
        <v>25</v>
      </c>
      <c r="N47">
        <v>21</v>
      </c>
      <c r="O47" t="s">
        <v>26</v>
      </c>
      <c r="P47">
        <v>44024</v>
      </c>
      <c r="Q47">
        <v>52.29</v>
      </c>
      <c r="R47">
        <v>88.99</v>
      </c>
      <c r="S47">
        <v>0.49471769269850158</v>
      </c>
      <c r="T47">
        <v>-1.8778229933128901E-2</v>
      </c>
      <c r="U47">
        <v>-2.1995332048894329E-2</v>
      </c>
      <c r="V47">
        <v>3.2139166757106708E-3</v>
      </c>
      <c r="W47">
        <v>-2.5209248724605001E-2</v>
      </c>
      <c r="X47" s="21">
        <f t="shared" si="0"/>
        <v>46028</v>
      </c>
      <c r="Y47" s="21">
        <f t="shared" si="2"/>
        <v>46028</v>
      </c>
      <c r="Z47">
        <f t="array" ref="Z47">_xlfn.XLOOKUP(INT(X47),INT($AE$2:$AE$1000),$AG$2:$AG$1000,"")</f>
        <v>14.75</v>
      </c>
      <c r="AE47" s="21">
        <f t="shared" si="1"/>
        <v>45933</v>
      </c>
      <c r="AF47" s="21">
        <v>45726</v>
      </c>
      <c r="AG47">
        <v>16.649999999999999</v>
      </c>
    </row>
    <row r="48" spans="1:33">
      <c r="A48">
        <v>5</v>
      </c>
      <c r="B48" t="s">
        <v>28</v>
      </c>
      <c r="C48" t="s">
        <v>29</v>
      </c>
      <c r="D48">
        <v>44541</v>
      </c>
      <c r="E48">
        <v>52.91</v>
      </c>
      <c r="F48">
        <v>89.31</v>
      </c>
      <c r="G48">
        <v>52.904708999999997</v>
      </c>
      <c r="H48">
        <v>89.318931000000006</v>
      </c>
      <c r="I48">
        <v>4.4053721713600078</v>
      </c>
      <c r="J48">
        <v>0.60699763809152618</v>
      </c>
      <c r="K48">
        <v>-0.189000189000189</v>
      </c>
      <c r="L48">
        <v>6.7965248918545079E-2</v>
      </c>
      <c r="M48" t="s">
        <v>25</v>
      </c>
      <c r="N48">
        <v>3</v>
      </c>
      <c r="O48" t="s">
        <v>26</v>
      </c>
      <c r="P48">
        <v>44544</v>
      </c>
      <c r="Q48">
        <v>52.54</v>
      </c>
      <c r="R48">
        <v>88.84</v>
      </c>
      <c r="S48">
        <v>-3.1865355660327693E-2</v>
      </c>
      <c r="T48">
        <v>3.7986402938353342E-2</v>
      </c>
      <c r="U48">
        <v>3.4782595035862458E-2</v>
      </c>
      <c r="V48">
        <v>3.2139166757106708E-3</v>
      </c>
      <c r="W48">
        <v>3.1568678360151793E-2</v>
      </c>
      <c r="X48" s="21">
        <f t="shared" si="0"/>
        <v>46030</v>
      </c>
      <c r="Y48" s="21">
        <f t="shared" si="2"/>
        <v>46030</v>
      </c>
      <c r="Z48">
        <f t="array" ref="Z48">_xlfn.XLOOKUP(INT(X48),INT($AE$2:$AE$1000),$AG$2:$AG$1000,"")</f>
        <v>15.45</v>
      </c>
      <c r="AE48" s="21">
        <f t="shared" si="1"/>
        <v>45936</v>
      </c>
      <c r="AF48" s="21">
        <v>45818</v>
      </c>
      <c r="AG48">
        <v>16.37</v>
      </c>
    </row>
    <row r="49" spans="1:33">
      <c r="A49">
        <v>5</v>
      </c>
      <c r="B49" t="s">
        <v>28</v>
      </c>
      <c r="C49" t="s">
        <v>29</v>
      </c>
      <c r="D49">
        <v>44934</v>
      </c>
      <c r="E49">
        <v>52.344999999999999</v>
      </c>
      <c r="F49">
        <v>87.17</v>
      </c>
      <c r="G49">
        <v>52.350234499999999</v>
      </c>
      <c r="H49">
        <v>87.161282999999997</v>
      </c>
      <c r="I49">
        <v>-3.7539574893101659</v>
      </c>
      <c r="J49">
        <v>0.60699763809152618</v>
      </c>
      <c r="K49">
        <v>0.19104021396503959</v>
      </c>
      <c r="L49">
        <v>-6.9633777456868898E-2</v>
      </c>
      <c r="M49" t="s">
        <v>27</v>
      </c>
      <c r="N49">
        <v>14</v>
      </c>
      <c r="O49" t="s">
        <v>26</v>
      </c>
      <c r="P49">
        <v>44948</v>
      </c>
      <c r="Q49">
        <v>52.715000000000003</v>
      </c>
      <c r="R49">
        <v>87.87</v>
      </c>
      <c r="S49">
        <v>-0.18276601188841479</v>
      </c>
      <c r="T49">
        <v>2.194123494725711E-2</v>
      </c>
      <c r="U49">
        <v>1.8715296818735312E-2</v>
      </c>
      <c r="V49">
        <v>3.214073876655434E-3</v>
      </c>
      <c r="W49">
        <v>1.5501222942079869E-2</v>
      </c>
      <c r="X49" s="21">
        <f t="shared" si="0"/>
        <v>46031</v>
      </c>
      <c r="Y49" s="21">
        <f t="shared" si="2"/>
        <v>46031</v>
      </c>
      <c r="Z49">
        <f t="array" ref="Z49">_xlfn.XLOOKUP(INT(X49),INT($AE$2:$AE$1000),$AG$2:$AG$1000,"")</f>
        <v>14.49</v>
      </c>
      <c r="AE49" s="21">
        <f t="shared" si="1"/>
        <v>45937</v>
      </c>
      <c r="AF49" s="21">
        <v>45848</v>
      </c>
      <c r="AG49">
        <v>17.239999999999998</v>
      </c>
    </row>
    <row r="50" spans="1:33">
      <c r="A50">
        <v>5</v>
      </c>
      <c r="B50" t="s">
        <v>28</v>
      </c>
      <c r="C50" t="s">
        <v>29</v>
      </c>
      <c r="D50">
        <v>45515</v>
      </c>
      <c r="E50">
        <v>52.44</v>
      </c>
      <c r="F50">
        <v>86.844999999999999</v>
      </c>
      <c r="G50">
        <v>52.434756</v>
      </c>
      <c r="H50">
        <v>86.8536845</v>
      </c>
      <c r="I50">
        <v>3.7192283561869961</v>
      </c>
      <c r="J50">
        <v>0.60699763809152618</v>
      </c>
      <c r="K50">
        <v>-0.1906941266209001</v>
      </c>
      <c r="L50">
        <v>6.9894367907366708E-2</v>
      </c>
      <c r="M50" t="s">
        <v>25</v>
      </c>
      <c r="N50">
        <v>19</v>
      </c>
      <c r="O50" t="s">
        <v>26</v>
      </c>
      <c r="P50">
        <v>45534</v>
      </c>
      <c r="Q50">
        <v>52.39</v>
      </c>
      <c r="R50">
        <v>86.78</v>
      </c>
      <c r="S50">
        <v>0.22693364320808621</v>
      </c>
      <c r="T50">
        <v>4.9915724170657844E-3</v>
      </c>
      <c r="U50">
        <v>1.778984924908152E-3</v>
      </c>
      <c r="V50">
        <v>3.2139166757106708E-3</v>
      </c>
      <c r="W50">
        <v>-1.4349317508025191E-3</v>
      </c>
      <c r="X50" s="21">
        <f t="shared" si="0"/>
        <v>46034</v>
      </c>
      <c r="Y50" s="21">
        <f t="shared" si="2"/>
        <v>46034</v>
      </c>
      <c r="Z50">
        <f t="array" ref="Z50">_xlfn.XLOOKUP(INT(X50),INT($AE$2:$AE$1000),$AG$2:$AG$1000,"")</f>
        <v>15.12</v>
      </c>
      <c r="AE50" s="21">
        <f t="shared" si="1"/>
        <v>45938</v>
      </c>
      <c r="AF50" s="21">
        <v>45879</v>
      </c>
      <c r="AG50">
        <v>16.3</v>
      </c>
    </row>
    <row r="51" spans="1:33">
      <c r="A51">
        <v>5</v>
      </c>
      <c r="B51" t="s">
        <v>28</v>
      </c>
      <c r="C51" t="s">
        <v>29</v>
      </c>
      <c r="D51">
        <v>45712</v>
      </c>
      <c r="E51">
        <v>52.63</v>
      </c>
      <c r="F51">
        <v>86.45</v>
      </c>
      <c r="G51">
        <v>52.624737000000003</v>
      </c>
      <c r="H51">
        <v>86.458645000000004</v>
      </c>
      <c r="I51">
        <v>4.7581024503827214</v>
      </c>
      <c r="J51">
        <v>0.60699763809152618</v>
      </c>
      <c r="K51">
        <v>-0.1900057001710051</v>
      </c>
      <c r="L51">
        <v>7.0213723318857849E-2</v>
      </c>
      <c r="M51" t="s">
        <v>25</v>
      </c>
      <c r="N51">
        <v>13</v>
      </c>
      <c r="O51" t="s">
        <v>26</v>
      </c>
      <c r="P51">
        <v>45725</v>
      </c>
      <c r="Q51">
        <v>52.805</v>
      </c>
      <c r="R51">
        <v>87.42</v>
      </c>
      <c r="S51">
        <v>0.28526969170980321</v>
      </c>
      <c r="T51">
        <v>3.485631408936668E-2</v>
      </c>
      <c r="U51">
        <v>3.1632182982269282E-2</v>
      </c>
      <c r="V51">
        <v>3.2139166757106708E-3</v>
      </c>
      <c r="W51">
        <v>2.8418266306558609E-2</v>
      </c>
      <c r="X51" s="21">
        <f t="shared" si="0"/>
        <v>46035</v>
      </c>
      <c r="Y51" s="21">
        <f t="shared" si="2"/>
        <v>46035</v>
      </c>
      <c r="Z51">
        <f t="array" ref="Z51">_xlfn.XLOOKUP(INT(X51),INT($AE$2:$AE$1000),$AG$2:$AG$1000,"")</f>
        <v>15.98</v>
      </c>
      <c r="AE51" s="21">
        <f t="shared" si="1"/>
        <v>45939</v>
      </c>
      <c r="AF51" s="21">
        <v>45910</v>
      </c>
      <c r="AG51">
        <v>16.43</v>
      </c>
    </row>
    <row r="52" spans="1:33">
      <c r="A52">
        <v>5</v>
      </c>
      <c r="B52" t="s">
        <v>28</v>
      </c>
      <c r="C52" t="s">
        <v>29</v>
      </c>
      <c r="D52">
        <v>45806</v>
      </c>
      <c r="E52">
        <v>52.82</v>
      </c>
      <c r="F52">
        <v>88.224999999999994</v>
      </c>
      <c r="G52">
        <v>52.814717999999999</v>
      </c>
      <c r="H52">
        <v>88.233822499999988</v>
      </c>
      <c r="I52">
        <v>3.5419216132306008</v>
      </c>
      <c r="J52">
        <v>0.60699763809152618</v>
      </c>
      <c r="K52">
        <v>-0.18932222642938279</v>
      </c>
      <c r="L52">
        <v>6.8801092444491493E-2</v>
      </c>
      <c r="M52" t="s">
        <v>25</v>
      </c>
      <c r="N52">
        <v>9</v>
      </c>
      <c r="O52" t="s">
        <v>26</v>
      </c>
      <c r="P52">
        <v>45815</v>
      </c>
      <c r="Q52">
        <v>52.805</v>
      </c>
      <c r="R52">
        <v>88.355000000000004</v>
      </c>
      <c r="S52">
        <v>0.2694315323905429</v>
      </c>
      <c r="T52">
        <v>1.178397541422541E-2</v>
      </c>
      <c r="U52">
        <v>8.569369707180613E-3</v>
      </c>
      <c r="V52">
        <v>3.2139166757106708E-3</v>
      </c>
      <c r="W52">
        <v>5.3554530314699426E-3</v>
      </c>
      <c r="X52" s="21">
        <f t="shared" si="0"/>
        <v>46035</v>
      </c>
      <c r="Y52" s="21">
        <f t="shared" si="2"/>
        <v>46035</v>
      </c>
      <c r="Z52">
        <f t="array" ref="Z52">_xlfn.XLOOKUP(INT(X52),INT($AE$2:$AE$1000),$AG$2:$AG$1000,"")</f>
        <v>15.98</v>
      </c>
      <c r="AE52" s="21">
        <f t="shared" si="1"/>
        <v>45940</v>
      </c>
      <c r="AF52" s="21">
        <v>45940</v>
      </c>
      <c r="AG52">
        <v>21.66</v>
      </c>
    </row>
    <row r="53" spans="1:33">
      <c r="A53">
        <v>5</v>
      </c>
      <c r="B53" t="s">
        <v>28</v>
      </c>
      <c r="C53" t="s">
        <v>29</v>
      </c>
      <c r="D53">
        <v>46105</v>
      </c>
      <c r="E53">
        <v>51.88</v>
      </c>
      <c r="F53">
        <v>87.05</v>
      </c>
      <c r="G53">
        <v>51.885187999999999</v>
      </c>
      <c r="H53">
        <v>87.041295000000005</v>
      </c>
      <c r="I53">
        <v>-3.8454865415351742</v>
      </c>
      <c r="J53">
        <v>0.60699763809152618</v>
      </c>
      <c r="K53">
        <v>0.19275250578257519</v>
      </c>
      <c r="L53">
        <v>-6.9729768878980608E-2</v>
      </c>
      <c r="M53" t="s">
        <v>27</v>
      </c>
      <c r="N53">
        <v>13</v>
      </c>
      <c r="O53" t="s">
        <v>26</v>
      </c>
      <c r="P53">
        <v>46118</v>
      </c>
      <c r="Q53">
        <v>51.82</v>
      </c>
      <c r="R53">
        <v>87.155000000000001</v>
      </c>
      <c r="S53">
        <v>-0.46359031874689971</v>
      </c>
      <c r="T53">
        <v>-1.8886776079248189E-2</v>
      </c>
      <c r="U53">
        <v>-2.2100347002967761E-2</v>
      </c>
      <c r="V53">
        <v>3.214073876655434E-3</v>
      </c>
      <c r="W53">
        <v>-2.5314420879623191E-2</v>
      </c>
      <c r="X53" s="21">
        <f t="shared" si="0"/>
        <v>46036</v>
      </c>
      <c r="Y53" s="21">
        <f t="shared" si="2"/>
        <v>46036</v>
      </c>
      <c r="Z53">
        <f t="array" ref="Z53">_xlfn.XLOOKUP(INT(X53),INT($AE$2:$AE$1000),$AG$2:$AG$1000,"")</f>
        <v>16.75</v>
      </c>
      <c r="AE53" s="21">
        <f t="shared" si="1"/>
        <v>45943</v>
      </c>
      <c r="AF53" t="s">
        <v>83</v>
      </c>
      <c r="AG53">
        <v>19.03</v>
      </c>
    </row>
    <row r="54" spans="1:33">
      <c r="A54">
        <v>5</v>
      </c>
      <c r="B54" t="s">
        <v>28</v>
      </c>
      <c r="C54" t="s">
        <v>29</v>
      </c>
      <c r="D54">
        <v>46492</v>
      </c>
      <c r="E54">
        <v>51.84</v>
      </c>
      <c r="F54">
        <v>86.97</v>
      </c>
      <c r="G54">
        <v>51.834816000000004</v>
      </c>
      <c r="H54">
        <v>86.978696999999997</v>
      </c>
      <c r="I54">
        <v>3.7090223895453591</v>
      </c>
      <c r="J54">
        <v>0.60699763809152618</v>
      </c>
      <c r="K54">
        <v>-0.1929012345679012</v>
      </c>
      <c r="L54">
        <v>6.9793910324425223E-2</v>
      </c>
      <c r="M54" t="s">
        <v>25</v>
      </c>
      <c r="N54">
        <v>4</v>
      </c>
      <c r="O54" t="s">
        <v>26</v>
      </c>
      <c r="P54">
        <v>46496</v>
      </c>
      <c r="Q54">
        <v>51.924999999999997</v>
      </c>
      <c r="R54">
        <v>87.46</v>
      </c>
      <c r="S54">
        <v>0.40797625768877821</v>
      </c>
      <c r="T54">
        <v>1.7802411120697609E-2</v>
      </c>
      <c r="U54">
        <v>1.4583356282414899E-2</v>
      </c>
      <c r="V54">
        <v>3.2139166757106708E-3</v>
      </c>
      <c r="W54">
        <v>1.1369439606704231E-2</v>
      </c>
      <c r="X54" s="21">
        <f t="shared" si="0"/>
        <v>46037</v>
      </c>
      <c r="Y54" s="21">
        <f t="shared" si="2"/>
        <v>46037</v>
      </c>
      <c r="Z54">
        <f t="array" ref="Z54">_xlfn.XLOOKUP(INT(X54),INT($AE$2:$AE$1000),$AG$2:$AG$1000,"")</f>
        <v>15.84</v>
      </c>
      <c r="AE54" s="21">
        <f t="shared" si="1"/>
        <v>45944</v>
      </c>
      <c r="AF54" t="s">
        <v>84</v>
      </c>
      <c r="AG54">
        <v>20.81</v>
      </c>
    </row>
    <row r="55" spans="1:33">
      <c r="A55">
        <v>5</v>
      </c>
      <c r="B55" t="s">
        <v>28</v>
      </c>
      <c r="C55" t="s">
        <v>29</v>
      </c>
      <c r="D55">
        <v>47273</v>
      </c>
      <c r="E55">
        <v>51.95</v>
      </c>
      <c r="F55">
        <v>88.66</v>
      </c>
      <c r="G55">
        <v>51.955195000000003</v>
      </c>
      <c r="H55">
        <v>88.651133999999999</v>
      </c>
      <c r="I55">
        <v>-4.0212474086193817</v>
      </c>
      <c r="J55">
        <v>0.60699763809152618</v>
      </c>
      <c r="K55">
        <v>0.19249278152069299</v>
      </c>
      <c r="L55">
        <v>-6.8463527869560808E-2</v>
      </c>
      <c r="M55" t="s">
        <v>27</v>
      </c>
      <c r="N55">
        <v>26</v>
      </c>
      <c r="O55" t="s">
        <v>26</v>
      </c>
      <c r="P55">
        <v>47299</v>
      </c>
      <c r="Q55">
        <v>51.954999999999998</v>
      </c>
      <c r="R55">
        <v>88.9</v>
      </c>
      <c r="S55">
        <v>-0.30297441161081379</v>
      </c>
      <c r="T55">
        <v>-1.546878278109263E-2</v>
      </c>
      <c r="U55">
        <v>-1.8684517428334671E-2</v>
      </c>
      <c r="V55">
        <v>3.214073876655434E-3</v>
      </c>
      <c r="W55">
        <v>-2.1898591304990112E-2</v>
      </c>
      <c r="X55" s="21">
        <f t="shared" si="0"/>
        <v>46041</v>
      </c>
      <c r="Y55" s="21">
        <f t="shared" si="2"/>
        <v>46041</v>
      </c>
      <c r="Z55">
        <f t="array" ref="Z55">_xlfn.XLOOKUP(INT(X55),INT($AE$2:$AE$1000),$AG$2:$AG$1000,"")</f>
        <v>18.84</v>
      </c>
      <c r="AE55" s="21">
        <f t="shared" si="1"/>
        <v>45945</v>
      </c>
      <c r="AF55" t="s">
        <v>85</v>
      </c>
      <c r="AG55">
        <v>20.64</v>
      </c>
    </row>
    <row r="56" spans="1:33">
      <c r="A56">
        <v>6</v>
      </c>
      <c r="B56" t="s">
        <v>23</v>
      </c>
      <c r="C56" t="s">
        <v>28</v>
      </c>
      <c r="D56">
        <v>47401</v>
      </c>
      <c r="E56">
        <v>301.29000000000002</v>
      </c>
      <c r="F56">
        <v>51.65</v>
      </c>
      <c r="G56">
        <v>301.25987099999998</v>
      </c>
      <c r="H56">
        <v>51.655164999999997</v>
      </c>
      <c r="I56">
        <v>5.2942469059277961</v>
      </c>
      <c r="J56">
        <v>1.049029346166849</v>
      </c>
      <c r="K56">
        <v>-3.3190613694447209E-2</v>
      </c>
      <c r="L56">
        <v>0.20310345521139381</v>
      </c>
      <c r="M56" t="s">
        <v>25</v>
      </c>
      <c r="N56">
        <v>23</v>
      </c>
      <c r="O56" t="s">
        <v>26</v>
      </c>
      <c r="P56">
        <v>47424</v>
      </c>
      <c r="Q56">
        <v>301.3</v>
      </c>
      <c r="R56">
        <v>51.674999999999997</v>
      </c>
      <c r="S56">
        <v>0.49052089181308289</v>
      </c>
      <c r="T56">
        <v>4.7456802433403873E-3</v>
      </c>
      <c r="U56">
        <v>6.4708060175645626E-4</v>
      </c>
      <c r="V56">
        <v>4.0980684982029319E-3</v>
      </c>
      <c r="W56">
        <v>-3.4509878964464761E-3</v>
      </c>
      <c r="X56" s="21">
        <f t="shared" si="0"/>
        <v>46041</v>
      </c>
      <c r="Y56" s="21">
        <f t="shared" si="2"/>
        <v>46041</v>
      </c>
      <c r="Z56">
        <f t="array" ref="Z56">_xlfn.XLOOKUP(INT(X56),INT($AE$2:$AE$1000),$AG$2:$AG$1000,"")</f>
        <v>18.84</v>
      </c>
      <c r="AE56" s="21">
        <f t="shared" si="1"/>
        <v>45946</v>
      </c>
      <c r="AF56" t="s">
        <v>86</v>
      </c>
      <c r="AG56">
        <v>25.31</v>
      </c>
    </row>
    <row r="57" spans="1:33">
      <c r="A57">
        <v>6</v>
      </c>
      <c r="B57" t="s">
        <v>23</v>
      </c>
      <c r="C57" t="s">
        <v>28</v>
      </c>
      <c r="D57">
        <v>47638</v>
      </c>
      <c r="E57">
        <v>300.86</v>
      </c>
      <c r="F57">
        <v>51.64</v>
      </c>
      <c r="G57">
        <v>300.890086</v>
      </c>
      <c r="H57">
        <v>51.634836</v>
      </c>
      <c r="I57">
        <v>-3.5518788122017551</v>
      </c>
      <c r="J57">
        <v>1.049029346166849</v>
      </c>
      <c r="K57">
        <v>3.3238050920694012E-2</v>
      </c>
      <c r="L57">
        <v>-0.20314278585725201</v>
      </c>
      <c r="M57" t="s">
        <v>27</v>
      </c>
      <c r="N57">
        <v>29</v>
      </c>
      <c r="O57" t="s">
        <v>26</v>
      </c>
      <c r="P57">
        <v>47667</v>
      </c>
      <c r="Q57">
        <v>304.89999999999998</v>
      </c>
      <c r="R57">
        <v>52.38</v>
      </c>
      <c r="S57">
        <v>0.14843382503864511</v>
      </c>
      <c r="T57">
        <v>-1.6043935814764269E-2</v>
      </c>
      <c r="U57">
        <v>-2.0170455245822141E-2</v>
      </c>
      <c r="V57">
        <v>4.098048886464466E-3</v>
      </c>
      <c r="W57">
        <v>-2.4268504132286609E-2</v>
      </c>
      <c r="X57" s="21">
        <f t="shared" si="0"/>
        <v>46042</v>
      </c>
      <c r="Y57" s="21">
        <f t="shared" si="2"/>
        <v>46042</v>
      </c>
      <c r="Z57">
        <f t="array" ref="Z57">_xlfn.XLOOKUP(INT(X57),INT($AE$2:$AE$1000),$AG$2:$AG$1000,"")</f>
        <v>20.09</v>
      </c>
      <c r="AE57" s="21">
        <f t="shared" si="1"/>
        <v>45947</v>
      </c>
      <c r="AF57" t="s">
        <v>87</v>
      </c>
      <c r="AG57">
        <v>20.78</v>
      </c>
    </row>
    <row r="58" spans="1:33">
      <c r="A58">
        <v>6</v>
      </c>
      <c r="B58" t="s">
        <v>23</v>
      </c>
      <c r="C58" t="s">
        <v>28</v>
      </c>
      <c r="D58">
        <v>47964</v>
      </c>
      <c r="E58">
        <v>304.83</v>
      </c>
      <c r="F58">
        <v>52.87</v>
      </c>
      <c r="G58">
        <v>304.86048299999999</v>
      </c>
      <c r="H58">
        <v>52.864712999999988</v>
      </c>
      <c r="I58">
        <v>-4.1516297174629004</v>
      </c>
      <c r="J58">
        <v>1.049029346166849</v>
      </c>
      <c r="K58">
        <v>3.2805170094806942E-2</v>
      </c>
      <c r="L58">
        <v>-0.19841674790369759</v>
      </c>
      <c r="M58" t="s">
        <v>27</v>
      </c>
      <c r="N58">
        <v>9</v>
      </c>
      <c r="O58" t="s">
        <v>26</v>
      </c>
      <c r="P58">
        <v>47973</v>
      </c>
      <c r="Q58">
        <v>305.74</v>
      </c>
      <c r="R58">
        <v>52.884999999999998</v>
      </c>
      <c r="S58">
        <v>0.40576483883895809</v>
      </c>
      <c r="T58">
        <v>2.687645356771956E-2</v>
      </c>
      <c r="U58">
        <v>2.2775111979784889E-2</v>
      </c>
      <c r="V58">
        <v>4.0980488864644643E-3</v>
      </c>
      <c r="W58">
        <v>1.8677063093320422E-2</v>
      </c>
      <c r="X58" s="21">
        <f t="shared" si="0"/>
        <v>46042</v>
      </c>
      <c r="Y58" s="21">
        <f t="shared" si="2"/>
        <v>46043</v>
      </c>
      <c r="Z58">
        <f t="array" ref="Z58">_xlfn.XLOOKUP(INT(X58),INT($AE$2:$AE$1000),$AG$2:$AG$1000,"")</f>
        <v>20.09</v>
      </c>
      <c r="AE58" s="21">
        <f t="shared" si="1"/>
        <v>45950</v>
      </c>
      <c r="AF58" t="s">
        <v>88</v>
      </c>
      <c r="AG58">
        <v>18.23</v>
      </c>
    </row>
    <row r="59" spans="1:33">
      <c r="A59">
        <v>6</v>
      </c>
      <c r="B59" t="s">
        <v>23</v>
      </c>
      <c r="C59" t="s">
        <v>28</v>
      </c>
      <c r="D59">
        <v>48224</v>
      </c>
      <c r="E59">
        <v>303.74</v>
      </c>
      <c r="F59">
        <v>52.99</v>
      </c>
      <c r="G59">
        <v>303.770374</v>
      </c>
      <c r="H59">
        <v>52.984701000000001</v>
      </c>
      <c r="I59">
        <v>-3.5960148268180601</v>
      </c>
      <c r="J59">
        <v>1.049029346166849</v>
      </c>
      <c r="K59">
        <v>3.2922894580891551E-2</v>
      </c>
      <c r="L59">
        <v>-0.1979674176574541</v>
      </c>
      <c r="M59" t="s">
        <v>27</v>
      </c>
      <c r="N59">
        <v>19</v>
      </c>
      <c r="O59" t="s">
        <v>26</v>
      </c>
      <c r="P59">
        <v>48243</v>
      </c>
      <c r="Q59">
        <v>303.51</v>
      </c>
      <c r="R59">
        <v>52.92</v>
      </c>
      <c r="S59">
        <v>2.9467072457728439E-2</v>
      </c>
      <c r="T59">
        <v>6.2854534824161859E-3</v>
      </c>
      <c r="U59">
        <v>2.1895377885821458E-3</v>
      </c>
      <c r="V59">
        <v>4.0980488864644652E-3</v>
      </c>
      <c r="W59">
        <v>-1.9085110978823189E-3</v>
      </c>
      <c r="X59" s="21">
        <f t="shared" si="0"/>
        <v>46043</v>
      </c>
      <c r="Y59" s="21">
        <f t="shared" si="2"/>
        <v>46043</v>
      </c>
      <c r="Z59">
        <f t="array" ref="Z59">_xlfn.XLOOKUP(INT(X59),INT($AE$2:$AE$1000),$AG$2:$AG$1000,"")</f>
        <v>16.899999999999999</v>
      </c>
      <c r="AE59" s="21">
        <f t="shared" si="1"/>
        <v>45951</v>
      </c>
      <c r="AF59" t="s">
        <v>89</v>
      </c>
      <c r="AG59">
        <v>17.87</v>
      </c>
    </row>
    <row r="60" spans="1:33">
      <c r="A60">
        <v>6</v>
      </c>
      <c r="B60" t="s">
        <v>23</v>
      </c>
      <c r="C60" t="s">
        <v>28</v>
      </c>
      <c r="D60">
        <v>48834</v>
      </c>
      <c r="E60">
        <v>312.99</v>
      </c>
      <c r="F60">
        <v>54.57</v>
      </c>
      <c r="G60">
        <v>312.95870100000002</v>
      </c>
      <c r="H60">
        <v>54.575457</v>
      </c>
      <c r="I60">
        <v>3.5632040514477912</v>
      </c>
      <c r="J60">
        <v>1.049029346166849</v>
      </c>
      <c r="K60">
        <v>-3.1949902552797213E-2</v>
      </c>
      <c r="L60">
        <v>0.19223554080389391</v>
      </c>
      <c r="M60" t="s">
        <v>25</v>
      </c>
      <c r="N60">
        <v>1</v>
      </c>
      <c r="O60" t="s">
        <v>26</v>
      </c>
      <c r="P60">
        <v>48835</v>
      </c>
      <c r="Q60">
        <v>311.17</v>
      </c>
      <c r="R60">
        <v>54.49</v>
      </c>
      <c r="S60">
        <v>2.96945488582755E-2</v>
      </c>
      <c r="T60">
        <v>4.2769979381779517E-2</v>
      </c>
      <c r="U60">
        <v>3.8679273456037638E-2</v>
      </c>
      <c r="V60">
        <v>4.0980684982029319E-3</v>
      </c>
      <c r="W60">
        <v>3.4581204957834698E-2</v>
      </c>
      <c r="X60" s="21">
        <f t="shared" si="0"/>
        <v>46045</v>
      </c>
      <c r="Y60" s="21">
        <f t="shared" si="2"/>
        <v>46045</v>
      </c>
      <c r="Z60">
        <f t="array" ref="Z60">_xlfn.XLOOKUP(INT(X60),INT($AE$2:$AE$1000),$AG$2:$AG$1000,"")</f>
        <v>16.09</v>
      </c>
      <c r="AE60" s="21">
        <f t="shared" si="1"/>
        <v>45952</v>
      </c>
      <c r="AF60" t="s">
        <v>90</v>
      </c>
      <c r="AG60">
        <v>18.600000000000001</v>
      </c>
    </row>
    <row r="61" spans="1:33">
      <c r="A61">
        <v>6</v>
      </c>
      <c r="B61" t="s">
        <v>23</v>
      </c>
      <c r="C61" t="s">
        <v>28</v>
      </c>
      <c r="D61">
        <v>49223</v>
      </c>
      <c r="E61">
        <v>316.18</v>
      </c>
      <c r="F61">
        <v>55.055</v>
      </c>
      <c r="G61">
        <v>316.21161799999999</v>
      </c>
      <c r="H61">
        <v>55.049494500000002</v>
      </c>
      <c r="I61">
        <v>-4.859089007060053</v>
      </c>
      <c r="J61">
        <v>1.049029346166849</v>
      </c>
      <c r="K61">
        <v>3.1627553924979443E-2</v>
      </c>
      <c r="L61">
        <v>-0.19054206632764489</v>
      </c>
      <c r="M61" t="s">
        <v>27</v>
      </c>
      <c r="N61">
        <v>31</v>
      </c>
      <c r="O61" t="s">
        <v>26</v>
      </c>
      <c r="P61">
        <v>49254</v>
      </c>
      <c r="Q61">
        <v>315.45</v>
      </c>
      <c r="R61">
        <v>55.23</v>
      </c>
      <c r="S61">
        <v>-0.18965137323514589</v>
      </c>
      <c r="T61">
        <v>-5.6432975972572887E-2</v>
      </c>
      <c r="U61">
        <v>-6.0532060339628997E-2</v>
      </c>
      <c r="V61">
        <v>4.0980488864644652E-3</v>
      </c>
      <c r="W61">
        <v>-6.4630109226093468E-2</v>
      </c>
      <c r="X61" s="21">
        <f t="shared" si="0"/>
        <v>46048</v>
      </c>
      <c r="Y61" s="21">
        <f t="shared" si="2"/>
        <v>46048</v>
      </c>
      <c r="Z61">
        <f t="array" ref="Z61">_xlfn.XLOOKUP(INT(X61),INT($AE$2:$AE$1000),$AG$2:$AG$1000,"")</f>
        <v>16.149999999999999</v>
      </c>
      <c r="AE61" s="21">
        <f t="shared" si="1"/>
        <v>45953</v>
      </c>
      <c r="AF61" t="s">
        <v>91</v>
      </c>
      <c r="AG61">
        <v>17.3</v>
      </c>
    </row>
    <row r="62" spans="1:33">
      <c r="A62">
        <v>6</v>
      </c>
      <c r="B62" t="s">
        <v>23</v>
      </c>
      <c r="C62" t="s">
        <v>28</v>
      </c>
      <c r="D62">
        <v>49616</v>
      </c>
      <c r="E62">
        <v>311.875</v>
      </c>
      <c r="F62">
        <v>54.77</v>
      </c>
      <c r="G62">
        <v>311.90618749999999</v>
      </c>
      <c r="H62">
        <v>54.764522999999997</v>
      </c>
      <c r="I62">
        <v>-3.8976025459049848</v>
      </c>
      <c r="J62">
        <v>1.049029346166849</v>
      </c>
      <c r="K62">
        <v>3.2064128256513023E-2</v>
      </c>
      <c r="L62">
        <v>-0.1915335669466586</v>
      </c>
      <c r="M62" t="s">
        <v>27</v>
      </c>
      <c r="N62">
        <v>2</v>
      </c>
      <c r="O62" t="s">
        <v>26</v>
      </c>
      <c r="P62">
        <v>49618</v>
      </c>
      <c r="Q62">
        <v>311.14999999999998</v>
      </c>
      <c r="R62">
        <v>54.445</v>
      </c>
      <c r="S62">
        <v>-0.18436969319392729</v>
      </c>
      <c r="T62">
        <v>3.900191627169191E-2</v>
      </c>
      <c r="U62">
        <v>3.4912407069583963E-2</v>
      </c>
      <c r="V62">
        <v>4.0980488864644652E-3</v>
      </c>
      <c r="W62">
        <v>3.0814358183119499E-2</v>
      </c>
      <c r="X62" s="21">
        <f t="shared" si="0"/>
        <v>46049</v>
      </c>
      <c r="Y62" s="21">
        <f t="shared" si="2"/>
        <v>46049</v>
      </c>
      <c r="Z62">
        <f t="array" ref="Z62">_xlfn.XLOOKUP(INT(X62),INT($AE$2:$AE$1000),$AG$2:$AG$1000,"")</f>
        <v>16.350000000000001</v>
      </c>
      <c r="AE62" s="21">
        <f t="shared" si="1"/>
        <v>45954</v>
      </c>
      <c r="AF62" t="s">
        <v>92</v>
      </c>
      <c r="AG62">
        <v>16.37</v>
      </c>
    </row>
    <row r="63" spans="1:33">
      <c r="A63">
        <v>6</v>
      </c>
      <c r="B63" t="s">
        <v>23</v>
      </c>
      <c r="C63" t="s">
        <v>28</v>
      </c>
      <c r="D63">
        <v>50004</v>
      </c>
      <c r="E63">
        <v>316.02999999999997</v>
      </c>
      <c r="F63">
        <v>55.7</v>
      </c>
      <c r="G63">
        <v>315.99839700000001</v>
      </c>
      <c r="H63">
        <v>55.705570000000002</v>
      </c>
      <c r="I63">
        <v>3.6230947294132791</v>
      </c>
      <c r="J63">
        <v>1.049029346166849</v>
      </c>
      <c r="K63">
        <v>-3.1642565579217158E-2</v>
      </c>
      <c r="L63">
        <v>0.1883356097247485</v>
      </c>
      <c r="M63" t="s">
        <v>25</v>
      </c>
      <c r="N63">
        <v>27</v>
      </c>
      <c r="O63" t="s">
        <v>26</v>
      </c>
      <c r="P63">
        <v>50031</v>
      </c>
      <c r="Q63">
        <v>321.45999999999998</v>
      </c>
      <c r="R63">
        <v>56.15</v>
      </c>
      <c r="S63">
        <v>0.17975243519388259</v>
      </c>
      <c r="T63">
        <v>-8.7068106719013411E-2</v>
      </c>
      <c r="U63">
        <v>-9.119182242689472E-2</v>
      </c>
      <c r="V63">
        <v>4.0980684982029319E-3</v>
      </c>
      <c r="W63">
        <v>-9.5289890925097653E-2</v>
      </c>
      <c r="X63" s="21">
        <f t="shared" si="0"/>
        <v>46050</v>
      </c>
      <c r="Y63" s="21">
        <f t="shared" si="2"/>
        <v>46050</v>
      </c>
      <c r="Z63">
        <f t="array" ref="Z63">_xlfn.XLOOKUP(INT(X63),INT($AE$2:$AE$1000),$AG$2:$AG$1000,"")</f>
        <v>16.350000000000001</v>
      </c>
      <c r="AE63" s="21">
        <f t="shared" si="1"/>
        <v>45957</v>
      </c>
      <c r="AF63" t="s">
        <v>93</v>
      </c>
      <c r="AG63">
        <v>15.79</v>
      </c>
    </row>
    <row r="64" spans="1:33">
      <c r="A64">
        <v>6</v>
      </c>
      <c r="B64" t="s">
        <v>23</v>
      </c>
      <c r="C64" t="s">
        <v>28</v>
      </c>
      <c r="D64">
        <v>50394</v>
      </c>
      <c r="E64">
        <v>320.89</v>
      </c>
      <c r="F64">
        <v>56.534999999999997</v>
      </c>
      <c r="G64">
        <v>320.92208900000003</v>
      </c>
      <c r="H64">
        <v>56.529346500000003</v>
      </c>
      <c r="I64">
        <v>-4.3146824282382417</v>
      </c>
      <c r="J64">
        <v>1.049029346166849</v>
      </c>
      <c r="K64">
        <v>3.116332699679018E-2</v>
      </c>
      <c r="L64">
        <v>-0.18555396589136811</v>
      </c>
      <c r="M64" t="s">
        <v>27</v>
      </c>
      <c r="N64">
        <v>1</v>
      </c>
      <c r="O64" t="s">
        <v>26</v>
      </c>
      <c r="P64">
        <v>50395</v>
      </c>
      <c r="Q64">
        <v>320.89499999999998</v>
      </c>
      <c r="R64">
        <v>56.34</v>
      </c>
      <c r="S64">
        <v>-0.46827256733414369</v>
      </c>
      <c r="T64">
        <v>3.6338839983799318E-2</v>
      </c>
      <c r="U64">
        <v>3.2244384012137667E-2</v>
      </c>
      <c r="V64">
        <v>4.0980488864644652E-3</v>
      </c>
      <c r="W64">
        <v>2.8146335125673199E-2</v>
      </c>
      <c r="X64" s="21">
        <f t="shared" si="0"/>
        <v>46051</v>
      </c>
      <c r="Y64" s="21">
        <f t="shared" si="2"/>
        <v>46051</v>
      </c>
      <c r="Z64">
        <f t="array" ref="Z64">_xlfn.XLOOKUP(INT(X64),INT($AE$2:$AE$1000),$AG$2:$AG$1000,"")</f>
        <v>16.88</v>
      </c>
      <c r="AE64" s="21">
        <f t="shared" si="1"/>
        <v>45958</v>
      </c>
      <c r="AF64" t="s">
        <v>94</v>
      </c>
      <c r="AG64">
        <v>16.420000000000002</v>
      </c>
    </row>
    <row r="65" spans="1:33">
      <c r="A65">
        <v>6</v>
      </c>
      <c r="B65" t="s">
        <v>23</v>
      </c>
      <c r="C65" t="s">
        <v>28</v>
      </c>
      <c r="D65">
        <v>50785</v>
      </c>
      <c r="E65">
        <v>325.55</v>
      </c>
      <c r="F65">
        <v>56.74</v>
      </c>
      <c r="G65">
        <v>325.51744500000001</v>
      </c>
      <c r="H65">
        <v>56.745674000000001</v>
      </c>
      <c r="I65">
        <v>4.0609214064613957</v>
      </c>
      <c r="J65">
        <v>1.049029346166849</v>
      </c>
      <c r="K65">
        <v>-3.0717247734602979E-2</v>
      </c>
      <c r="L65">
        <v>0.18488356471040701</v>
      </c>
      <c r="M65" t="s">
        <v>25</v>
      </c>
      <c r="N65">
        <v>25</v>
      </c>
      <c r="O65" t="s">
        <v>26</v>
      </c>
      <c r="P65">
        <v>50810</v>
      </c>
      <c r="Q65">
        <v>325.10000000000002</v>
      </c>
      <c r="R65">
        <v>56.575000000000003</v>
      </c>
      <c r="S65">
        <v>0.30658079857563819</v>
      </c>
      <c r="T65">
        <v>-1.6683026696646001E-2</v>
      </c>
      <c r="U65">
        <v>-2.0776652534013521E-2</v>
      </c>
      <c r="V65">
        <v>4.0980684982029319E-3</v>
      </c>
      <c r="W65">
        <v>-2.4874721032216451E-2</v>
      </c>
      <c r="X65" s="21">
        <f t="shared" si="0"/>
        <v>46052</v>
      </c>
      <c r="Y65" s="21">
        <f t="shared" si="2"/>
        <v>46052</v>
      </c>
      <c r="Z65">
        <f t="array" ref="Z65">_xlfn.XLOOKUP(INT(X65),INT($AE$2:$AE$1000),$AG$2:$AG$1000,"")</f>
        <v>17.440000000000001</v>
      </c>
      <c r="AE65" s="21">
        <f t="shared" si="1"/>
        <v>45959</v>
      </c>
      <c r="AF65" t="s">
        <v>95</v>
      </c>
      <c r="AG65">
        <v>16.920000000000002</v>
      </c>
    </row>
    <row r="66" spans="1:33">
      <c r="A66">
        <v>6</v>
      </c>
      <c r="B66" t="s">
        <v>23</v>
      </c>
      <c r="C66" t="s">
        <v>28</v>
      </c>
      <c r="D66">
        <v>51174</v>
      </c>
      <c r="E66">
        <v>323.52999999999997</v>
      </c>
      <c r="F66">
        <v>55.94</v>
      </c>
      <c r="G66">
        <v>323.49764699999997</v>
      </c>
      <c r="H66">
        <v>55.945594</v>
      </c>
      <c r="I66">
        <v>4.6345613147110241</v>
      </c>
      <c r="J66">
        <v>1.049029346166849</v>
      </c>
      <c r="K66">
        <v>-3.0909034710845981E-2</v>
      </c>
      <c r="L66">
        <v>0.1875275913776992</v>
      </c>
      <c r="M66" t="s">
        <v>25</v>
      </c>
      <c r="N66">
        <v>21</v>
      </c>
      <c r="O66" t="s">
        <v>26</v>
      </c>
      <c r="P66">
        <v>51195</v>
      </c>
      <c r="Q66">
        <v>321.07499999999999</v>
      </c>
      <c r="R66">
        <v>55.34</v>
      </c>
      <c r="S66">
        <v>0.29875456474032003</v>
      </c>
      <c r="T66">
        <v>-3.6634874611492042E-2</v>
      </c>
      <c r="U66">
        <v>-4.0714093480321317E-2</v>
      </c>
      <c r="V66">
        <v>4.0980684982029319E-3</v>
      </c>
      <c r="W66">
        <v>-4.4812161978524251E-2</v>
      </c>
      <c r="X66" s="21">
        <f t="shared" ref="X66:X129" si="3">WORKDAY(DATE(2025,8,2),INT(D66/390))</f>
        <v>46055</v>
      </c>
      <c r="Y66" s="21">
        <f t="shared" si="2"/>
        <v>46055</v>
      </c>
      <c r="Z66">
        <f t="array" ref="Z66">_xlfn.XLOOKUP(INT(X66),INT($AE$2:$AE$1000),$AG$2:$AG$1000,"")</f>
        <v>16.34</v>
      </c>
      <c r="AE66" s="21">
        <f t="shared" ref="AE66:AE129" si="4">IF(ISNUMBER(AF66),DATE(YEAR(AF66),DAY(AF66),MONTH(AF66)),DATE(RIGHT(AF66,4),LEFT(AF66,2),MID(AF66,4,2)))</f>
        <v>45960</v>
      </c>
      <c r="AF66" t="s">
        <v>96</v>
      </c>
      <c r="AG66">
        <v>16.91</v>
      </c>
    </row>
    <row r="67" spans="1:33">
      <c r="A67">
        <v>7</v>
      </c>
      <c r="B67" t="s">
        <v>23</v>
      </c>
      <c r="C67" t="s">
        <v>28</v>
      </c>
      <c r="D67">
        <v>51301</v>
      </c>
      <c r="E67">
        <v>315.82</v>
      </c>
      <c r="F67">
        <v>54.64</v>
      </c>
      <c r="G67">
        <v>315.78841799999998</v>
      </c>
      <c r="H67">
        <v>54.645463999999997</v>
      </c>
      <c r="I67">
        <v>5.2898091939323457</v>
      </c>
      <c r="J67">
        <v>1.010146982915971</v>
      </c>
      <c r="K67">
        <v>-3.1663605851434358E-2</v>
      </c>
      <c r="L67">
        <v>0.1848731667122934</v>
      </c>
      <c r="M67" t="s">
        <v>25</v>
      </c>
      <c r="N67">
        <v>23</v>
      </c>
      <c r="O67" t="s">
        <v>26</v>
      </c>
      <c r="P67">
        <v>51324</v>
      </c>
      <c r="Q67">
        <v>314.75</v>
      </c>
      <c r="R67">
        <v>54.505000000000003</v>
      </c>
      <c r="S67">
        <v>0.48829574690187438</v>
      </c>
      <c r="T67">
        <v>8.9221807548753099E-3</v>
      </c>
      <c r="U67">
        <v>4.9077705826199164E-3</v>
      </c>
      <c r="V67">
        <v>4.0202959952285256E-3</v>
      </c>
      <c r="W67">
        <v>8.8747458739139081E-4</v>
      </c>
      <c r="X67" s="21">
        <f t="shared" si="3"/>
        <v>46055</v>
      </c>
      <c r="Y67" s="21">
        <f t="shared" ref="Y67:Y130" si="5">WORKDAY(DATE(2025,8,2),INT(P67/390))</f>
        <v>46055</v>
      </c>
      <c r="Z67">
        <f t="array" ref="Z67">_xlfn.XLOOKUP(INT(X67),INT($AE$2:$AE$1000),$AG$2:$AG$1000,"")</f>
        <v>16.34</v>
      </c>
      <c r="AE67" s="21">
        <f t="shared" si="4"/>
        <v>45961</v>
      </c>
      <c r="AF67" t="s">
        <v>97</v>
      </c>
      <c r="AG67">
        <v>17.440000000000001</v>
      </c>
    </row>
    <row r="68" spans="1:33">
      <c r="A68">
        <v>7</v>
      </c>
      <c r="B68" t="s">
        <v>23</v>
      </c>
      <c r="C68" t="s">
        <v>28</v>
      </c>
      <c r="D68">
        <v>51565</v>
      </c>
      <c r="E68">
        <v>310.43</v>
      </c>
      <c r="F68">
        <v>53.52</v>
      </c>
      <c r="G68">
        <v>310.398957</v>
      </c>
      <c r="H68">
        <v>53.525352000000012</v>
      </c>
      <c r="I68">
        <v>4.075568730273786</v>
      </c>
      <c r="J68">
        <v>1.010146982915971</v>
      </c>
      <c r="K68">
        <v>-3.2213381438649623E-2</v>
      </c>
      <c r="L68">
        <v>0.18874196242824581</v>
      </c>
      <c r="M68" t="s">
        <v>25</v>
      </c>
      <c r="N68">
        <v>14</v>
      </c>
      <c r="O68" t="s">
        <v>26</v>
      </c>
      <c r="P68">
        <v>51579</v>
      </c>
      <c r="Q68">
        <v>310.47000000000003</v>
      </c>
      <c r="R68">
        <v>53.62</v>
      </c>
      <c r="S68">
        <v>7.7876738339145699E-2</v>
      </c>
      <c r="T68">
        <v>1.758566098527686E-2</v>
      </c>
      <c r="U68">
        <v>1.3563350746294471E-2</v>
      </c>
      <c r="V68">
        <v>4.0202959952285256E-3</v>
      </c>
      <c r="W68">
        <v>9.543054751065946E-3</v>
      </c>
      <c r="X68" s="21">
        <f t="shared" si="3"/>
        <v>46056</v>
      </c>
      <c r="Y68" s="21">
        <f t="shared" si="5"/>
        <v>46056</v>
      </c>
      <c r="Z68">
        <f t="array" ref="Z68">_xlfn.XLOOKUP(INT(X68),INT($AE$2:$AE$1000),$AG$2:$AG$1000,"")</f>
        <v>18</v>
      </c>
      <c r="AE68" s="21">
        <f t="shared" si="4"/>
        <v>45964</v>
      </c>
      <c r="AF68" s="21">
        <v>45727</v>
      </c>
      <c r="AG68">
        <v>17.170000000000002</v>
      </c>
    </row>
    <row r="69" spans="1:33">
      <c r="A69">
        <v>7</v>
      </c>
      <c r="B69" t="s">
        <v>23</v>
      </c>
      <c r="C69" t="s">
        <v>28</v>
      </c>
      <c r="D69">
        <v>52344</v>
      </c>
      <c r="E69">
        <v>304.58999999999997</v>
      </c>
      <c r="F69">
        <v>53.24</v>
      </c>
      <c r="G69">
        <v>304.62045899999998</v>
      </c>
      <c r="H69">
        <v>53.234676</v>
      </c>
      <c r="I69">
        <v>-4.9584326804218293</v>
      </c>
      <c r="J69">
        <v>1.010146982915971</v>
      </c>
      <c r="K69">
        <v>3.283101874651171E-2</v>
      </c>
      <c r="L69">
        <v>-0.1897345948377106</v>
      </c>
      <c r="M69" t="s">
        <v>27</v>
      </c>
      <c r="N69">
        <v>12</v>
      </c>
      <c r="O69" t="s">
        <v>26</v>
      </c>
      <c r="P69">
        <v>52356</v>
      </c>
      <c r="Q69">
        <v>306.60500000000002</v>
      </c>
      <c r="R69">
        <v>53.274999999999999</v>
      </c>
      <c r="S69">
        <v>-0.14343058562202879</v>
      </c>
      <c r="T69">
        <v>5.9513791954903278E-2</v>
      </c>
      <c r="U69">
        <v>5.5486218467711103E-2</v>
      </c>
      <c r="V69">
        <v>4.0202919364353594E-3</v>
      </c>
      <c r="W69">
        <v>5.1465926531275727E-2</v>
      </c>
      <c r="X69" s="21">
        <f t="shared" si="3"/>
        <v>46058</v>
      </c>
      <c r="Y69" s="21">
        <f t="shared" si="5"/>
        <v>46058</v>
      </c>
      <c r="Z69">
        <f t="array" ref="Z69">_xlfn.XLOOKUP(INT(X69),INT($AE$2:$AE$1000),$AG$2:$AG$1000,"")</f>
        <v>21.77</v>
      </c>
      <c r="AE69" s="21">
        <f t="shared" si="4"/>
        <v>45965</v>
      </c>
      <c r="AF69" s="21">
        <v>45758</v>
      </c>
      <c r="AG69">
        <v>19</v>
      </c>
    </row>
    <row r="70" spans="1:33">
      <c r="A70">
        <v>7</v>
      </c>
      <c r="B70" t="s">
        <v>23</v>
      </c>
      <c r="C70" t="s">
        <v>28</v>
      </c>
      <c r="D70">
        <v>53127</v>
      </c>
      <c r="E70">
        <v>306.26</v>
      </c>
      <c r="F70">
        <v>52.18</v>
      </c>
      <c r="G70">
        <v>306.22937400000001</v>
      </c>
      <c r="H70">
        <v>52.185217999999999</v>
      </c>
      <c r="I70">
        <v>4.6566311301594041</v>
      </c>
      <c r="J70">
        <v>1.010146982915971</v>
      </c>
      <c r="K70">
        <v>-3.2651995036896753E-2</v>
      </c>
      <c r="L70">
        <v>0.19358891968493119</v>
      </c>
      <c r="M70" t="s">
        <v>25</v>
      </c>
      <c r="N70">
        <v>18</v>
      </c>
      <c r="O70" t="s">
        <v>26</v>
      </c>
      <c r="P70">
        <v>53145</v>
      </c>
      <c r="Q70">
        <v>306.84500000000003</v>
      </c>
      <c r="R70">
        <v>52.46</v>
      </c>
      <c r="S70">
        <v>0.36883765175630667</v>
      </c>
      <c r="T70">
        <v>3.5103480415195183E-2</v>
      </c>
      <c r="U70">
        <v>3.1075855817902918E-2</v>
      </c>
      <c r="V70">
        <v>4.0202959952285256E-3</v>
      </c>
      <c r="W70">
        <v>2.7055559822674401E-2</v>
      </c>
      <c r="X70" s="21">
        <f t="shared" si="3"/>
        <v>46062</v>
      </c>
      <c r="Y70" s="21">
        <f t="shared" si="5"/>
        <v>46062</v>
      </c>
      <c r="Z70">
        <f t="array" ref="Z70">_xlfn.XLOOKUP(INT(X70),INT($AE$2:$AE$1000),$AG$2:$AG$1000,"")</f>
        <v>17.36</v>
      </c>
      <c r="AE70" s="21">
        <f t="shared" si="4"/>
        <v>45966</v>
      </c>
      <c r="AF70" s="21">
        <v>45788</v>
      </c>
      <c r="AG70">
        <v>18.010000000000002</v>
      </c>
    </row>
    <row r="71" spans="1:33">
      <c r="A71">
        <v>7</v>
      </c>
      <c r="B71" t="s">
        <v>23</v>
      </c>
      <c r="C71" t="s">
        <v>28</v>
      </c>
      <c r="D71">
        <v>53372</v>
      </c>
      <c r="E71">
        <v>305.2</v>
      </c>
      <c r="F71">
        <v>52.24</v>
      </c>
      <c r="G71">
        <v>305.23052000000001</v>
      </c>
      <c r="H71">
        <v>52.234775999999997</v>
      </c>
      <c r="I71">
        <v>-3.7749881529900149</v>
      </c>
      <c r="J71">
        <v>1.010146982915971</v>
      </c>
      <c r="K71">
        <v>3.2765399737876802E-2</v>
      </c>
      <c r="L71">
        <v>-0.19336657406507871</v>
      </c>
      <c r="M71" t="s">
        <v>27</v>
      </c>
      <c r="N71">
        <v>11</v>
      </c>
      <c r="O71" t="s">
        <v>26</v>
      </c>
      <c r="P71">
        <v>53383</v>
      </c>
      <c r="Q71">
        <v>306.63</v>
      </c>
      <c r="R71">
        <v>52.414999999999999</v>
      </c>
      <c r="S71">
        <v>-0.25681306697959139</v>
      </c>
      <c r="T71">
        <v>1.3015371163775821E-2</v>
      </c>
      <c r="U71">
        <v>8.9870078307352427E-3</v>
      </c>
      <c r="V71">
        <v>4.0202919364353603E-3</v>
      </c>
      <c r="W71">
        <v>4.9667158942998824E-3</v>
      </c>
      <c r="X71" s="21">
        <f t="shared" si="3"/>
        <v>46062</v>
      </c>
      <c r="Y71" s="21">
        <f t="shared" si="5"/>
        <v>46062</v>
      </c>
      <c r="Z71">
        <f t="array" ref="Z71">_xlfn.XLOOKUP(INT(X71),INT($AE$2:$AE$1000),$AG$2:$AG$1000,"")</f>
        <v>17.36</v>
      </c>
      <c r="AE71" s="21">
        <f t="shared" si="4"/>
        <v>45967</v>
      </c>
      <c r="AF71" s="21">
        <v>45819</v>
      </c>
      <c r="AG71">
        <v>19.5</v>
      </c>
    </row>
    <row r="72" spans="1:33">
      <c r="A72">
        <v>7</v>
      </c>
      <c r="B72" t="s">
        <v>23</v>
      </c>
      <c r="C72" t="s">
        <v>28</v>
      </c>
      <c r="D72">
        <v>53517</v>
      </c>
      <c r="E72">
        <v>307.62</v>
      </c>
      <c r="F72">
        <v>52.44</v>
      </c>
      <c r="G72">
        <v>307.58923800000002</v>
      </c>
      <c r="H72">
        <v>52.445244000000002</v>
      </c>
      <c r="I72">
        <v>4.0646379047212484</v>
      </c>
      <c r="J72">
        <v>1.010146982915971</v>
      </c>
      <c r="K72">
        <v>-3.2507639295234383E-2</v>
      </c>
      <c r="L72">
        <v>0.19262909666589839</v>
      </c>
      <c r="M72" t="s">
        <v>25</v>
      </c>
      <c r="N72">
        <v>18</v>
      </c>
      <c r="O72" t="s">
        <v>26</v>
      </c>
      <c r="P72">
        <v>53535</v>
      </c>
      <c r="Q72">
        <v>305.99</v>
      </c>
      <c r="R72">
        <v>52.08</v>
      </c>
      <c r="S72">
        <v>0.27083471387508978</v>
      </c>
      <c r="T72">
        <v>-1.635902274849144E-2</v>
      </c>
      <c r="U72">
        <v>-2.0367083321636309E-2</v>
      </c>
      <c r="V72">
        <v>4.0202959952285256E-3</v>
      </c>
      <c r="W72">
        <v>-2.438737931686483E-2</v>
      </c>
      <c r="X72" s="21">
        <f t="shared" si="3"/>
        <v>46063</v>
      </c>
      <c r="Y72" s="21">
        <f t="shared" si="5"/>
        <v>46063</v>
      </c>
      <c r="Z72">
        <f t="array" ref="Z72">_xlfn.XLOOKUP(INT(X72),INT($AE$2:$AE$1000),$AG$2:$AG$1000,"")</f>
        <v>17.79</v>
      </c>
      <c r="AE72" s="21">
        <f t="shared" si="4"/>
        <v>45968</v>
      </c>
      <c r="AF72" s="21">
        <v>45849</v>
      </c>
      <c r="AG72">
        <v>19.079999999999998</v>
      </c>
    </row>
    <row r="73" spans="1:33">
      <c r="A73">
        <v>7</v>
      </c>
      <c r="B73" t="s">
        <v>23</v>
      </c>
      <c r="C73" t="s">
        <v>28</v>
      </c>
      <c r="D73">
        <v>53762</v>
      </c>
      <c r="E73">
        <v>309.98500000000001</v>
      </c>
      <c r="F73">
        <v>52.664999999999999</v>
      </c>
      <c r="G73">
        <v>309.9540015</v>
      </c>
      <c r="H73">
        <v>52.670266499999997</v>
      </c>
      <c r="I73">
        <v>4.2167222232767623</v>
      </c>
      <c r="J73">
        <v>1.010146982915971</v>
      </c>
      <c r="K73">
        <v>-3.2259625465748343E-2</v>
      </c>
      <c r="L73">
        <v>0.19180612986157239</v>
      </c>
      <c r="M73" t="s">
        <v>25</v>
      </c>
      <c r="N73">
        <v>29</v>
      </c>
      <c r="O73" t="s">
        <v>26</v>
      </c>
      <c r="P73">
        <v>53791</v>
      </c>
      <c r="Q73">
        <v>310.69</v>
      </c>
      <c r="R73">
        <v>52.98</v>
      </c>
      <c r="S73">
        <v>-0.45026262429605401</v>
      </c>
      <c r="T73">
        <v>3.7675894953042813E-2</v>
      </c>
      <c r="U73">
        <v>3.3647284790525693E-2</v>
      </c>
      <c r="V73">
        <v>4.0202959952285256E-3</v>
      </c>
      <c r="W73">
        <v>2.9626988795297161E-2</v>
      </c>
      <c r="X73" s="21">
        <f t="shared" si="3"/>
        <v>46063</v>
      </c>
      <c r="Y73" s="21">
        <f t="shared" si="5"/>
        <v>46063</v>
      </c>
      <c r="Z73">
        <f t="array" ref="Z73">_xlfn.XLOOKUP(INT(X73),INT($AE$2:$AE$1000),$AG$2:$AG$1000,"")</f>
        <v>17.79</v>
      </c>
      <c r="AE73" s="21">
        <f t="shared" si="4"/>
        <v>45971</v>
      </c>
      <c r="AF73" s="21">
        <v>45941</v>
      </c>
      <c r="AG73">
        <v>17.600000000000001</v>
      </c>
    </row>
    <row r="74" spans="1:33">
      <c r="A74">
        <v>7</v>
      </c>
      <c r="B74" t="s">
        <v>23</v>
      </c>
      <c r="C74" t="s">
        <v>28</v>
      </c>
      <c r="D74">
        <v>53907</v>
      </c>
      <c r="E74">
        <v>309.82</v>
      </c>
      <c r="F74">
        <v>53.09</v>
      </c>
      <c r="G74">
        <v>309.85098199999999</v>
      </c>
      <c r="H74">
        <v>53.084691000000007</v>
      </c>
      <c r="I74">
        <v>-4.3878530153906263</v>
      </c>
      <c r="J74">
        <v>1.010146982915971</v>
      </c>
      <c r="K74">
        <v>3.2276805887289393E-2</v>
      </c>
      <c r="L74">
        <v>-0.19027066922508409</v>
      </c>
      <c r="M74" t="s">
        <v>27</v>
      </c>
      <c r="N74">
        <v>22</v>
      </c>
      <c r="O74" t="s">
        <v>26</v>
      </c>
      <c r="P74">
        <v>53929</v>
      </c>
      <c r="Q74">
        <v>306.24</v>
      </c>
      <c r="R74">
        <v>52.59</v>
      </c>
      <c r="S74">
        <v>-0.28515227122360992</v>
      </c>
      <c r="T74">
        <v>-2.041563046395348E-2</v>
      </c>
      <c r="U74">
        <v>-2.4414855799815841E-2</v>
      </c>
      <c r="V74">
        <v>4.0202919364353594E-3</v>
      </c>
      <c r="W74">
        <v>-2.84351477362512E-2</v>
      </c>
      <c r="X74" s="21">
        <f t="shared" si="3"/>
        <v>46064</v>
      </c>
      <c r="Y74" s="21">
        <f t="shared" si="5"/>
        <v>46064</v>
      </c>
      <c r="Z74">
        <f t="array" ref="Z74">_xlfn.XLOOKUP(INT(X74),INT($AE$2:$AE$1000),$AG$2:$AG$1000,"")</f>
        <v>17.649999999999999</v>
      </c>
      <c r="AE74" s="21">
        <f t="shared" si="4"/>
        <v>45972</v>
      </c>
      <c r="AF74" s="21">
        <v>45972</v>
      </c>
      <c r="AG74">
        <v>17.28</v>
      </c>
    </row>
    <row r="75" spans="1:33">
      <c r="A75">
        <v>7</v>
      </c>
      <c r="B75" t="s">
        <v>23</v>
      </c>
      <c r="C75" t="s">
        <v>28</v>
      </c>
      <c r="D75">
        <v>54298</v>
      </c>
      <c r="E75">
        <v>294.07</v>
      </c>
      <c r="F75">
        <v>50.25</v>
      </c>
      <c r="G75">
        <v>294.040593</v>
      </c>
      <c r="H75">
        <v>50.255025000000003</v>
      </c>
      <c r="I75">
        <v>3.6402653643952072</v>
      </c>
      <c r="J75">
        <v>1.010146982915971</v>
      </c>
      <c r="K75">
        <v>-3.4005508892440577E-2</v>
      </c>
      <c r="L75">
        <v>0.20102427520715849</v>
      </c>
      <c r="M75" t="s">
        <v>25</v>
      </c>
      <c r="N75">
        <v>26</v>
      </c>
      <c r="O75" t="s">
        <v>26</v>
      </c>
      <c r="P75">
        <v>54324</v>
      </c>
      <c r="Q75">
        <v>292.95</v>
      </c>
      <c r="R75">
        <v>49.75</v>
      </c>
      <c r="S75">
        <v>0.32317564303634372</v>
      </c>
      <c r="T75">
        <v>-6.2425967644045628E-2</v>
      </c>
      <c r="U75">
        <v>-6.6432401779120256E-2</v>
      </c>
      <c r="V75">
        <v>4.0202959952285256E-3</v>
      </c>
      <c r="W75">
        <v>-7.0452697774348788E-2</v>
      </c>
      <c r="X75" s="21">
        <f t="shared" si="3"/>
        <v>46065</v>
      </c>
      <c r="Y75" s="21">
        <f t="shared" si="5"/>
        <v>46065</v>
      </c>
      <c r="Z75">
        <f t="array" ref="Z75">_xlfn.XLOOKUP(INT(X75),INT($AE$2:$AE$1000),$AG$2:$AG$1000,"")</f>
        <v>20.82</v>
      </c>
      <c r="AE75" s="21">
        <f t="shared" si="4"/>
        <v>45973</v>
      </c>
      <c r="AF75" s="21">
        <v>46002</v>
      </c>
      <c r="AG75">
        <v>17.510000000000002</v>
      </c>
    </row>
    <row r="76" spans="1:33">
      <c r="A76">
        <v>8</v>
      </c>
      <c r="B76" t="s">
        <v>23</v>
      </c>
      <c r="C76" t="s">
        <v>28</v>
      </c>
      <c r="D76">
        <v>55201</v>
      </c>
      <c r="E76">
        <v>306.26</v>
      </c>
      <c r="F76">
        <v>52.134999999999998</v>
      </c>
      <c r="G76">
        <v>306.22937400000001</v>
      </c>
      <c r="H76">
        <v>52.140213499999987</v>
      </c>
      <c r="I76">
        <v>5.2893751873921389</v>
      </c>
      <c r="J76">
        <v>0.96877792326346956</v>
      </c>
      <c r="K76">
        <v>-3.2651995036896753E-2</v>
      </c>
      <c r="L76">
        <v>0.18582102680799259</v>
      </c>
      <c r="M76" t="s">
        <v>25</v>
      </c>
      <c r="N76">
        <v>23</v>
      </c>
      <c r="O76" t="s">
        <v>26</v>
      </c>
      <c r="P76">
        <v>55224</v>
      </c>
      <c r="Q76">
        <v>305.14999999999998</v>
      </c>
      <c r="R76">
        <v>51.924999999999997</v>
      </c>
      <c r="S76">
        <v>0.49429642635938292</v>
      </c>
      <c r="T76">
        <v>-2.7787011387227709E-3</v>
      </c>
      <c r="U76">
        <v>-6.7087303722357453E-3</v>
      </c>
      <c r="V76">
        <v>3.9375496021115926E-3</v>
      </c>
      <c r="W76">
        <v>-1.064627997434734E-2</v>
      </c>
      <c r="X76" s="21">
        <f t="shared" si="3"/>
        <v>46069</v>
      </c>
      <c r="Y76" s="21">
        <f t="shared" si="5"/>
        <v>46069</v>
      </c>
      <c r="Z76">
        <f t="array" ref="Z76">_xlfn.XLOOKUP(INT(X76),INT($AE$2:$AE$1000),$AG$2:$AG$1000,"")</f>
        <v>21.2</v>
      </c>
      <c r="AE76" s="21">
        <f t="shared" si="4"/>
        <v>45974</v>
      </c>
      <c r="AF76" t="s">
        <v>98</v>
      </c>
      <c r="AG76">
        <v>20</v>
      </c>
    </row>
    <row r="77" spans="1:33">
      <c r="A77">
        <v>8</v>
      </c>
      <c r="B77" t="s">
        <v>23</v>
      </c>
      <c r="C77" t="s">
        <v>28</v>
      </c>
      <c r="D77">
        <v>55468</v>
      </c>
      <c r="E77">
        <v>302.83499999999998</v>
      </c>
      <c r="F77">
        <v>51.37</v>
      </c>
      <c r="G77">
        <v>302.80471649999998</v>
      </c>
      <c r="H77">
        <v>51.375137000000002</v>
      </c>
      <c r="I77">
        <v>3.934397936976795</v>
      </c>
      <c r="J77">
        <v>0.96877792326346956</v>
      </c>
      <c r="K77">
        <v>-3.3021282216388462E-2</v>
      </c>
      <c r="L77">
        <v>0.18858826615991231</v>
      </c>
      <c r="M77" t="s">
        <v>25</v>
      </c>
      <c r="N77">
        <v>35</v>
      </c>
      <c r="O77" t="s">
        <v>26</v>
      </c>
      <c r="P77">
        <v>55503</v>
      </c>
      <c r="Q77">
        <v>297.54000000000002</v>
      </c>
      <c r="R77">
        <v>50.25</v>
      </c>
      <c r="S77">
        <v>5.749173956535495E-2</v>
      </c>
      <c r="T77">
        <v>-3.6371168763325801E-2</v>
      </c>
      <c r="U77">
        <v>-4.0270117955106932E-2</v>
      </c>
      <c r="V77">
        <v>3.9375496021115926E-3</v>
      </c>
      <c r="W77">
        <v>-4.4207667557218527E-2</v>
      </c>
      <c r="X77" s="21">
        <f t="shared" si="3"/>
        <v>46070</v>
      </c>
      <c r="Y77" s="21">
        <f t="shared" si="5"/>
        <v>46070</v>
      </c>
      <c r="Z77">
        <f t="array" ref="Z77">_xlfn.XLOOKUP(INT(X77),INT($AE$2:$AE$1000),$AG$2:$AG$1000,"")</f>
        <v>20.29</v>
      </c>
      <c r="AE77" s="21">
        <f t="shared" si="4"/>
        <v>45975</v>
      </c>
      <c r="AF77" t="s">
        <v>99</v>
      </c>
      <c r="AG77">
        <v>19.829999999999998</v>
      </c>
    </row>
    <row r="78" spans="1:33">
      <c r="A78">
        <v>8</v>
      </c>
      <c r="B78" t="s">
        <v>23</v>
      </c>
      <c r="C78" t="s">
        <v>28</v>
      </c>
      <c r="D78">
        <v>56249</v>
      </c>
      <c r="E78">
        <v>297.51</v>
      </c>
      <c r="F78">
        <v>48.74</v>
      </c>
      <c r="G78">
        <v>297.48024900000001</v>
      </c>
      <c r="H78">
        <v>48.744874000000003</v>
      </c>
      <c r="I78">
        <v>5.2490396190657274</v>
      </c>
      <c r="J78">
        <v>0.96877792326346956</v>
      </c>
      <c r="K78">
        <v>-3.3612315552418413E-2</v>
      </c>
      <c r="L78">
        <v>0.1987644487614833</v>
      </c>
      <c r="M78" t="s">
        <v>25</v>
      </c>
      <c r="N78">
        <v>1</v>
      </c>
      <c r="O78" t="s">
        <v>26</v>
      </c>
      <c r="P78">
        <v>56250</v>
      </c>
      <c r="Q78">
        <v>290.94</v>
      </c>
      <c r="R78">
        <v>48.62</v>
      </c>
      <c r="S78">
        <v>2.4799705182040371E-2</v>
      </c>
      <c r="T78">
        <v>0.19698117932800979</v>
      </c>
      <c r="U78">
        <v>0.19306809194618649</v>
      </c>
      <c r="V78">
        <v>3.9375496021115926E-3</v>
      </c>
      <c r="W78">
        <v>0.18913054234407489</v>
      </c>
      <c r="X78" s="21">
        <f t="shared" si="3"/>
        <v>46072</v>
      </c>
      <c r="Y78" s="21">
        <f t="shared" si="5"/>
        <v>46072</v>
      </c>
      <c r="Z78">
        <f t="array" ref="Z78">_xlfn.XLOOKUP(INT(X78),INT($AE$2:$AE$1000),$AG$2:$AG$1000,"")</f>
        <v>20.23</v>
      </c>
      <c r="AE78" s="21">
        <f t="shared" si="4"/>
        <v>45978</v>
      </c>
      <c r="AF78" t="s">
        <v>100</v>
      </c>
      <c r="AG78">
        <v>22.38</v>
      </c>
    </row>
    <row r="79" spans="1:33">
      <c r="A79">
        <v>8</v>
      </c>
      <c r="B79" t="s">
        <v>23</v>
      </c>
      <c r="C79" t="s">
        <v>28</v>
      </c>
      <c r="D79">
        <v>56633</v>
      </c>
      <c r="E79">
        <v>300.68</v>
      </c>
      <c r="F79">
        <v>49.88</v>
      </c>
      <c r="G79">
        <v>300.64993199999998</v>
      </c>
      <c r="H79">
        <v>49.884988</v>
      </c>
      <c r="I79">
        <v>3.5957734442424671</v>
      </c>
      <c r="J79">
        <v>0.96877792326346956</v>
      </c>
      <c r="K79">
        <v>-3.3257948649727281E-2</v>
      </c>
      <c r="L79">
        <v>0.194221716772949</v>
      </c>
      <c r="M79" t="s">
        <v>25</v>
      </c>
      <c r="N79">
        <v>14</v>
      </c>
      <c r="O79" t="s">
        <v>26</v>
      </c>
      <c r="P79">
        <v>56647</v>
      </c>
      <c r="Q79">
        <v>299.52</v>
      </c>
      <c r="R79">
        <v>49.82</v>
      </c>
      <c r="S79">
        <v>0.37164097552966741</v>
      </c>
      <c r="T79">
        <v>2.69259174273071E-2</v>
      </c>
      <c r="U79">
        <v>2.2993384833126618E-2</v>
      </c>
      <c r="V79">
        <v>3.9375496021115926E-3</v>
      </c>
      <c r="W79">
        <v>1.905583523101503E-2</v>
      </c>
      <c r="X79" s="21">
        <f t="shared" si="3"/>
        <v>46073</v>
      </c>
      <c r="Y79" s="21">
        <f t="shared" si="5"/>
        <v>46073</v>
      </c>
      <c r="Z79">
        <f t="array" ref="Z79">_xlfn.XLOOKUP(INT(X79),INT($AE$2:$AE$1000),$AG$2:$AG$1000,"")</f>
        <v>19.09</v>
      </c>
      <c r="AE79" s="21">
        <f t="shared" si="4"/>
        <v>45979</v>
      </c>
      <c r="AF79" t="s">
        <v>101</v>
      </c>
      <c r="AG79">
        <v>24.69</v>
      </c>
    </row>
    <row r="80" spans="1:33">
      <c r="A80">
        <v>8</v>
      </c>
      <c r="B80" t="s">
        <v>23</v>
      </c>
      <c r="C80" t="s">
        <v>28</v>
      </c>
      <c r="D80">
        <v>57037</v>
      </c>
      <c r="E80">
        <v>298.98</v>
      </c>
      <c r="F80">
        <v>50.104999999999997</v>
      </c>
      <c r="G80">
        <v>298.95010200000002</v>
      </c>
      <c r="H80">
        <v>50.110010499999987</v>
      </c>
      <c r="I80">
        <v>4.033613404581768</v>
      </c>
      <c r="J80">
        <v>0.96877792326346956</v>
      </c>
      <c r="K80">
        <v>-3.344705331460298E-2</v>
      </c>
      <c r="L80">
        <v>0.19334955059644141</v>
      </c>
      <c r="M80" t="s">
        <v>25</v>
      </c>
      <c r="N80">
        <v>12</v>
      </c>
      <c r="O80" t="s">
        <v>26</v>
      </c>
      <c r="P80">
        <v>57049</v>
      </c>
      <c r="Q80">
        <v>299.43</v>
      </c>
      <c r="R80">
        <v>50.2</v>
      </c>
      <c r="S80">
        <v>0.1896668712687502</v>
      </c>
      <c r="T80">
        <v>3.3170333150921278E-3</v>
      </c>
      <c r="U80">
        <v>-6.2386446956467015E-4</v>
      </c>
      <c r="V80">
        <v>3.9375496021115917E-3</v>
      </c>
      <c r="W80">
        <v>-4.5614140716762619E-3</v>
      </c>
      <c r="X80" s="21">
        <f t="shared" si="3"/>
        <v>46076</v>
      </c>
      <c r="Y80" s="21">
        <f t="shared" si="5"/>
        <v>46076</v>
      </c>
      <c r="Z80">
        <f t="array" ref="Z80">_xlfn.XLOOKUP(INT(X80),INT($AE$2:$AE$1000),$AG$2:$AG$1000,"")</f>
        <v>21.01</v>
      </c>
      <c r="AE80" s="21">
        <f t="shared" si="4"/>
        <v>45980</v>
      </c>
      <c r="AF80" t="s">
        <v>102</v>
      </c>
      <c r="AG80">
        <v>23.66</v>
      </c>
    </row>
    <row r="81" spans="1:33">
      <c r="A81">
        <v>8</v>
      </c>
      <c r="B81" t="s">
        <v>23</v>
      </c>
      <c r="C81" t="s">
        <v>28</v>
      </c>
      <c r="D81">
        <v>57426</v>
      </c>
      <c r="E81">
        <v>293.45999999999998</v>
      </c>
      <c r="F81">
        <v>48.3</v>
      </c>
      <c r="G81">
        <v>293.430654</v>
      </c>
      <c r="H81">
        <v>48.304830000000003</v>
      </c>
      <c r="I81">
        <v>5.2507635355201172</v>
      </c>
      <c r="J81">
        <v>0.96877792326346956</v>
      </c>
      <c r="K81">
        <v>-3.407619437061269E-2</v>
      </c>
      <c r="L81">
        <v>0.20057513939202271</v>
      </c>
      <c r="M81" t="s">
        <v>25</v>
      </c>
      <c r="N81">
        <v>2</v>
      </c>
      <c r="O81" t="s">
        <v>26</v>
      </c>
      <c r="P81">
        <v>57428</v>
      </c>
      <c r="Q81">
        <v>284.45</v>
      </c>
      <c r="R81">
        <v>48.3</v>
      </c>
      <c r="S81">
        <v>-0.43248274821176041</v>
      </c>
      <c r="T81">
        <v>0.30702651127921998</v>
      </c>
      <c r="U81">
        <v>0.3031196580838233</v>
      </c>
      <c r="V81">
        <v>3.9375496021115926E-3</v>
      </c>
      <c r="W81">
        <v>0.29918210848171167</v>
      </c>
      <c r="X81" s="21">
        <f t="shared" si="3"/>
        <v>46077</v>
      </c>
      <c r="Y81" s="21">
        <f t="shared" si="5"/>
        <v>46077</v>
      </c>
      <c r="Z81">
        <f t="array" ref="Z81">_xlfn.XLOOKUP(INT(X81),INT($AE$2:$AE$1000),$AG$2:$AG$1000,"")</f>
        <v>19.55</v>
      </c>
      <c r="AE81" s="21">
        <f t="shared" si="4"/>
        <v>45981</v>
      </c>
      <c r="AF81" t="s">
        <v>103</v>
      </c>
      <c r="AG81">
        <v>26.42</v>
      </c>
    </row>
    <row r="82" spans="1:33">
      <c r="A82">
        <v>8</v>
      </c>
      <c r="B82" t="s">
        <v>23</v>
      </c>
      <c r="C82" t="s">
        <v>28</v>
      </c>
      <c r="D82">
        <v>57818</v>
      </c>
      <c r="E82">
        <v>286.09500000000003</v>
      </c>
      <c r="F82">
        <v>47.64</v>
      </c>
      <c r="G82">
        <v>286.06639050000001</v>
      </c>
      <c r="H82">
        <v>47.644764000000002</v>
      </c>
      <c r="I82">
        <v>4.8158246540165557</v>
      </c>
      <c r="J82">
        <v>0.96877792326346956</v>
      </c>
      <c r="K82">
        <v>-3.4953424561771439E-2</v>
      </c>
      <c r="L82">
        <v>0.20335388817453179</v>
      </c>
      <c r="M82" t="s">
        <v>25</v>
      </c>
      <c r="N82">
        <v>13</v>
      </c>
      <c r="O82" t="s">
        <v>26</v>
      </c>
      <c r="P82">
        <v>57831</v>
      </c>
      <c r="Q82">
        <v>284.52999999999997</v>
      </c>
      <c r="R82">
        <v>47.524999999999999</v>
      </c>
      <c r="S82">
        <v>0.35677660429548941</v>
      </c>
      <c r="T82">
        <v>3.1316412299102647E-2</v>
      </c>
      <c r="U82">
        <v>2.7386665233231858E-2</v>
      </c>
      <c r="V82">
        <v>3.9375496021115926E-3</v>
      </c>
      <c r="W82">
        <v>2.344911563112027E-2</v>
      </c>
      <c r="X82" s="21">
        <f t="shared" si="3"/>
        <v>46078</v>
      </c>
      <c r="Y82" s="21">
        <f t="shared" si="5"/>
        <v>46078</v>
      </c>
      <c r="Z82">
        <f t="array" ref="Z82">_xlfn.XLOOKUP(INT(X82),INT($AE$2:$AE$1000),$AG$2:$AG$1000,"")</f>
        <v>17.93</v>
      </c>
      <c r="AE82" s="21">
        <f t="shared" si="4"/>
        <v>45982</v>
      </c>
      <c r="AF82" t="s">
        <v>104</v>
      </c>
      <c r="AG82">
        <v>23.43</v>
      </c>
    </row>
    <row r="83" spans="1:33">
      <c r="A83">
        <v>8</v>
      </c>
      <c r="B83" t="s">
        <v>23</v>
      </c>
      <c r="C83" t="s">
        <v>28</v>
      </c>
      <c r="D83">
        <v>58208</v>
      </c>
      <c r="E83">
        <v>290.255</v>
      </c>
      <c r="F83">
        <v>48.28</v>
      </c>
      <c r="G83">
        <v>290.28402549999998</v>
      </c>
      <c r="H83">
        <v>48.275171999999998</v>
      </c>
      <c r="I83">
        <v>-4.3455249506303142</v>
      </c>
      <c r="J83">
        <v>0.96877792326346956</v>
      </c>
      <c r="K83">
        <v>3.4452464212502802E-2</v>
      </c>
      <c r="L83">
        <v>-0.20065822768506</v>
      </c>
      <c r="M83" t="s">
        <v>27</v>
      </c>
      <c r="N83">
        <v>14</v>
      </c>
      <c r="O83" t="s">
        <v>26</v>
      </c>
      <c r="P83">
        <v>58222</v>
      </c>
      <c r="Q83">
        <v>289.8</v>
      </c>
      <c r="R83">
        <v>48.05</v>
      </c>
      <c r="S83">
        <v>-0.45764643065864019</v>
      </c>
      <c r="T83">
        <v>3.0475521150876369E-2</v>
      </c>
      <c r="U83">
        <v>2.6544148030709831E-2</v>
      </c>
      <c r="V83">
        <v>3.9375620909422862E-3</v>
      </c>
      <c r="W83">
        <v>2.260658593976754E-2</v>
      </c>
      <c r="X83" s="21">
        <f t="shared" si="3"/>
        <v>46079</v>
      </c>
      <c r="Y83" s="21">
        <f t="shared" si="5"/>
        <v>46079</v>
      </c>
      <c r="Z83">
        <f t="array" ref="Z83">_xlfn.XLOOKUP(INT(X83),INT($AE$2:$AE$1000),$AG$2:$AG$1000,"")</f>
        <v>18.63</v>
      </c>
      <c r="AE83" s="21">
        <f t="shared" si="4"/>
        <v>45985</v>
      </c>
      <c r="AF83" t="s">
        <v>105</v>
      </c>
      <c r="AG83">
        <v>20.52</v>
      </c>
    </row>
    <row r="84" spans="1:33">
      <c r="A84">
        <v>8</v>
      </c>
      <c r="B84" t="s">
        <v>23</v>
      </c>
      <c r="C84" t="s">
        <v>28</v>
      </c>
      <c r="D84">
        <v>58467</v>
      </c>
      <c r="E84">
        <v>291.815</v>
      </c>
      <c r="F84">
        <v>49.12</v>
      </c>
      <c r="G84">
        <v>291.84418149999999</v>
      </c>
      <c r="H84">
        <v>49.115088</v>
      </c>
      <c r="I84">
        <v>-3.727536180721426</v>
      </c>
      <c r="J84">
        <v>0.96877792326346956</v>
      </c>
      <c r="K84">
        <v>3.4268286414337851E-2</v>
      </c>
      <c r="L84">
        <v>-0.19722677590868681</v>
      </c>
      <c r="M84" t="s">
        <v>27</v>
      </c>
      <c r="N84">
        <v>23</v>
      </c>
      <c r="O84" t="s">
        <v>26</v>
      </c>
      <c r="P84">
        <v>58490</v>
      </c>
      <c r="Q84">
        <v>291.93</v>
      </c>
      <c r="R84">
        <v>49.034999999999997</v>
      </c>
      <c r="S84">
        <v>-0.23788929543751439</v>
      </c>
      <c r="T84">
        <v>2.0705128889887708E-2</v>
      </c>
      <c r="U84">
        <v>1.6768855385662779E-2</v>
      </c>
      <c r="V84">
        <v>3.9375620909422862E-3</v>
      </c>
      <c r="W84">
        <v>1.283129329472049E-2</v>
      </c>
      <c r="X84" s="21">
        <f t="shared" si="3"/>
        <v>46079</v>
      </c>
      <c r="Y84" s="21">
        <f t="shared" si="5"/>
        <v>46079</v>
      </c>
      <c r="Z84">
        <f t="array" ref="Z84">_xlfn.XLOOKUP(INT(X84),INT($AE$2:$AE$1000),$AG$2:$AG$1000,"")</f>
        <v>18.63</v>
      </c>
      <c r="AE84" s="21">
        <f t="shared" si="4"/>
        <v>45986</v>
      </c>
      <c r="AF84" t="s">
        <v>106</v>
      </c>
      <c r="AG84">
        <v>18.559999999999999</v>
      </c>
    </row>
    <row r="85" spans="1:33">
      <c r="A85">
        <v>8</v>
      </c>
      <c r="B85" t="s">
        <v>23</v>
      </c>
      <c r="C85" t="s">
        <v>28</v>
      </c>
      <c r="D85">
        <v>58598</v>
      </c>
      <c r="E85">
        <v>289.2</v>
      </c>
      <c r="F85">
        <v>48.39</v>
      </c>
      <c r="G85">
        <v>289.17108000000002</v>
      </c>
      <c r="H85">
        <v>48.394838999999997</v>
      </c>
      <c r="I85">
        <v>3.989190328545241</v>
      </c>
      <c r="J85">
        <v>0.96877792326346956</v>
      </c>
      <c r="K85">
        <v>-3.4578146611341627E-2</v>
      </c>
      <c r="L85">
        <v>0.20020209201559611</v>
      </c>
      <c r="M85" t="s">
        <v>25</v>
      </c>
      <c r="N85">
        <v>9</v>
      </c>
      <c r="O85" t="s">
        <v>26</v>
      </c>
      <c r="P85">
        <v>58607</v>
      </c>
      <c r="Q85">
        <v>288.79000000000002</v>
      </c>
      <c r="R85">
        <v>48.505000000000003</v>
      </c>
      <c r="S85">
        <v>-9.1354239169039366E-3</v>
      </c>
      <c r="T85">
        <v>3.7200280692442918E-2</v>
      </c>
      <c r="U85">
        <v>3.3261840225870608E-2</v>
      </c>
      <c r="V85">
        <v>3.9375496021115926E-3</v>
      </c>
      <c r="W85">
        <v>2.932429062375902E-2</v>
      </c>
      <c r="X85" s="21">
        <f t="shared" si="3"/>
        <v>46080</v>
      </c>
      <c r="Y85" s="21">
        <f t="shared" si="5"/>
        <v>46080</v>
      </c>
      <c r="Z85">
        <f t="array" ref="Z85">_xlfn.XLOOKUP(INT(X85),INT($AE$2:$AE$1000),$AG$2:$AG$1000,"")</f>
        <v>19.86</v>
      </c>
      <c r="AE85" s="21">
        <f t="shared" si="4"/>
        <v>45987</v>
      </c>
      <c r="AF85" t="s">
        <v>107</v>
      </c>
      <c r="AG85">
        <v>17.190000000000001</v>
      </c>
    </row>
    <row r="86" spans="1:33">
      <c r="A86">
        <v>8</v>
      </c>
      <c r="B86" t="s">
        <v>23</v>
      </c>
      <c r="C86" t="s">
        <v>28</v>
      </c>
      <c r="D86">
        <v>58990</v>
      </c>
      <c r="E86">
        <v>282.64999999999998</v>
      </c>
      <c r="F86">
        <v>47.515000000000001</v>
      </c>
      <c r="G86">
        <v>282.621735</v>
      </c>
      <c r="H86">
        <v>47.519751499999998</v>
      </c>
      <c r="I86">
        <v>3.5310655190632612</v>
      </c>
      <c r="J86">
        <v>0.96877792326346956</v>
      </c>
      <c r="K86">
        <v>-3.5379444542720677E-2</v>
      </c>
      <c r="L86">
        <v>0.20388886104671569</v>
      </c>
      <c r="M86" t="s">
        <v>25</v>
      </c>
      <c r="N86">
        <v>13</v>
      </c>
      <c r="O86" t="s">
        <v>26</v>
      </c>
      <c r="P86">
        <v>59003</v>
      </c>
      <c r="Q86">
        <v>281.19</v>
      </c>
      <c r="R86">
        <v>47.344999999999999</v>
      </c>
      <c r="S86">
        <v>0.24275071841649179</v>
      </c>
      <c r="T86">
        <v>1.6992882654429459E-2</v>
      </c>
      <c r="U86">
        <v>1.306395831744519E-2</v>
      </c>
      <c r="V86">
        <v>3.9375496021115926E-3</v>
      </c>
      <c r="W86">
        <v>9.126408715333597E-3</v>
      </c>
      <c r="X86" s="21">
        <f t="shared" si="3"/>
        <v>46083</v>
      </c>
      <c r="Y86" s="21">
        <f t="shared" si="5"/>
        <v>46083</v>
      </c>
      <c r="Z86">
        <f t="array" ref="Z86">_xlfn.XLOOKUP(INT(X86),INT($AE$2:$AE$1000),$AG$2:$AG$1000,"")</f>
        <v>21.44</v>
      </c>
      <c r="AE86" s="21">
        <f t="shared" si="4"/>
        <v>45988</v>
      </c>
      <c r="AF86" t="s">
        <v>108</v>
      </c>
      <c r="AG86">
        <v>17.21</v>
      </c>
    </row>
    <row r="87" spans="1:33">
      <c r="A87">
        <v>9</v>
      </c>
      <c r="B87" t="s">
        <v>23</v>
      </c>
      <c r="C87" t="s">
        <v>28</v>
      </c>
      <c r="D87">
        <v>59101</v>
      </c>
      <c r="E87">
        <v>280.23</v>
      </c>
      <c r="F87">
        <v>47.05</v>
      </c>
      <c r="G87">
        <v>280.201977</v>
      </c>
      <c r="H87">
        <v>47.054704999999998</v>
      </c>
      <c r="I87">
        <v>5.2944451711566058</v>
      </c>
      <c r="J87">
        <v>0.81444705018759989</v>
      </c>
      <c r="K87">
        <v>-3.5684973057845341E-2</v>
      </c>
      <c r="L87">
        <v>0.1731024548751541</v>
      </c>
      <c r="M87" t="s">
        <v>25</v>
      </c>
      <c r="N87">
        <v>23</v>
      </c>
      <c r="O87" t="s">
        <v>26</v>
      </c>
      <c r="P87">
        <v>59124</v>
      </c>
      <c r="Q87">
        <v>281.76499999999999</v>
      </c>
      <c r="R87">
        <v>47.29</v>
      </c>
      <c r="S87">
        <v>0.49406678838135981</v>
      </c>
      <c r="T87">
        <v>-1.323184447375414E-2</v>
      </c>
      <c r="U87">
        <v>-1.6870370676410201E-2</v>
      </c>
      <c r="V87">
        <v>3.628856989785237E-3</v>
      </c>
      <c r="W87">
        <v>-2.0499227666195441E-2</v>
      </c>
      <c r="X87" s="21">
        <f t="shared" si="3"/>
        <v>46083</v>
      </c>
      <c r="Y87" s="21">
        <f t="shared" si="5"/>
        <v>46083</v>
      </c>
      <c r="Z87">
        <f t="array" ref="Z87">_xlfn.XLOOKUP(INT(X87),INT($AE$2:$AE$1000),$AG$2:$AG$1000,"")</f>
        <v>21.44</v>
      </c>
      <c r="AE87" s="21">
        <f t="shared" si="4"/>
        <v>45989</v>
      </c>
      <c r="AF87" t="s">
        <v>109</v>
      </c>
      <c r="AG87">
        <v>16.350000000000001</v>
      </c>
    </row>
    <row r="88" spans="1:33">
      <c r="A88">
        <v>9</v>
      </c>
      <c r="B88" t="s">
        <v>23</v>
      </c>
      <c r="C88" t="s">
        <v>28</v>
      </c>
      <c r="D88">
        <v>60161</v>
      </c>
      <c r="E88">
        <v>289.625</v>
      </c>
      <c r="F88">
        <v>47.65</v>
      </c>
      <c r="G88">
        <v>289.59603750000002</v>
      </c>
      <c r="H88">
        <v>47.654764999999998</v>
      </c>
      <c r="I88">
        <v>3.682555493572631</v>
      </c>
      <c r="J88">
        <v>0.81444705018759989</v>
      </c>
      <c r="K88">
        <v>-3.4527406128614588E-2</v>
      </c>
      <c r="L88">
        <v>0.17092278073192019</v>
      </c>
      <c r="M88" t="s">
        <v>25</v>
      </c>
      <c r="N88">
        <v>6</v>
      </c>
      <c r="O88" t="s">
        <v>26</v>
      </c>
      <c r="P88">
        <v>60167</v>
      </c>
      <c r="Q88">
        <v>291</v>
      </c>
      <c r="R88">
        <v>48.02</v>
      </c>
      <c r="S88">
        <v>0.39314071275139079</v>
      </c>
      <c r="T88">
        <v>1.5766245443966199E-2</v>
      </c>
      <c r="U88">
        <v>1.212627968236352E-2</v>
      </c>
      <c r="V88">
        <v>3.628856989785237E-3</v>
      </c>
      <c r="W88">
        <v>8.4974226925782874E-3</v>
      </c>
      <c r="X88" s="21">
        <f t="shared" si="3"/>
        <v>46086</v>
      </c>
      <c r="Y88" s="21">
        <f t="shared" si="5"/>
        <v>46086</v>
      </c>
      <c r="Z88">
        <f t="array" ref="Z88">_xlfn.XLOOKUP(INT(X88),INT($AE$2:$AE$1000),$AG$2:$AG$1000,"")</f>
        <v>23.75</v>
      </c>
      <c r="AE88" s="21">
        <f t="shared" si="4"/>
        <v>45992</v>
      </c>
      <c r="AF88" s="21">
        <v>45669</v>
      </c>
      <c r="AG88">
        <v>17.239999999999998</v>
      </c>
    </row>
    <row r="89" spans="1:33">
      <c r="A89">
        <v>9</v>
      </c>
      <c r="B89" t="s">
        <v>23</v>
      </c>
      <c r="C89" t="s">
        <v>28</v>
      </c>
      <c r="D89">
        <v>60506</v>
      </c>
      <c r="E89">
        <v>286.86</v>
      </c>
      <c r="F89">
        <v>47.475000000000001</v>
      </c>
      <c r="G89">
        <v>286.88868600000001</v>
      </c>
      <c r="H89">
        <v>47.470252500000001</v>
      </c>
      <c r="I89">
        <v>-4.4312396332796542</v>
      </c>
      <c r="J89">
        <v>0.81444705018759989</v>
      </c>
      <c r="K89">
        <v>3.4860210555671747E-2</v>
      </c>
      <c r="L89">
        <v>-0.17155282784362291</v>
      </c>
      <c r="M89" t="s">
        <v>27</v>
      </c>
      <c r="N89">
        <v>13</v>
      </c>
      <c r="O89" t="s">
        <v>26</v>
      </c>
      <c r="P89">
        <v>60519</v>
      </c>
      <c r="Q89">
        <v>286.84500000000003</v>
      </c>
      <c r="R89">
        <v>47.424999999999997</v>
      </c>
      <c r="S89">
        <v>-0.23845242360756061</v>
      </c>
      <c r="T89">
        <v>8.0547382338472771E-3</v>
      </c>
      <c r="U89">
        <v>4.4267541879275379E-3</v>
      </c>
      <c r="V89">
        <v>3.6289312109651622E-3</v>
      </c>
      <c r="W89">
        <v>7.978229769623757E-4</v>
      </c>
      <c r="X89" s="21">
        <f t="shared" si="3"/>
        <v>46087</v>
      </c>
      <c r="Y89" s="21">
        <f t="shared" si="5"/>
        <v>46087</v>
      </c>
      <c r="Z89">
        <f t="array" ref="Z89">_xlfn.XLOOKUP(INT(X89),INT($AE$2:$AE$1000),$AG$2:$AG$1000,"")</f>
        <v>29.49</v>
      </c>
      <c r="AE89" s="21">
        <f t="shared" si="4"/>
        <v>45993</v>
      </c>
      <c r="AF89" s="21">
        <v>45700</v>
      </c>
      <c r="AG89">
        <v>16.59</v>
      </c>
    </row>
    <row r="90" spans="1:33">
      <c r="A90">
        <v>9</v>
      </c>
      <c r="B90" t="s">
        <v>23</v>
      </c>
      <c r="C90" t="s">
        <v>28</v>
      </c>
      <c r="D90">
        <v>60554</v>
      </c>
      <c r="E90">
        <v>285.52499999999998</v>
      </c>
      <c r="F90">
        <v>47.375</v>
      </c>
      <c r="G90">
        <v>285.55355250000002</v>
      </c>
      <c r="H90">
        <v>47.370262500000003</v>
      </c>
      <c r="I90">
        <v>-3.7668691164191461</v>
      </c>
      <c r="J90">
        <v>0.81444705018759989</v>
      </c>
      <c r="K90">
        <v>3.5023202871902637E-2</v>
      </c>
      <c r="L90">
        <v>-0.17191494463062801</v>
      </c>
      <c r="M90" t="s">
        <v>27</v>
      </c>
      <c r="N90">
        <v>12</v>
      </c>
      <c r="O90" t="s">
        <v>26</v>
      </c>
      <c r="P90">
        <v>60566</v>
      </c>
      <c r="Q90">
        <v>286.89999999999998</v>
      </c>
      <c r="R90">
        <v>47.5</v>
      </c>
      <c r="S90">
        <v>-0.36593961571871192</v>
      </c>
      <c r="T90">
        <v>2.6667535870037631E-2</v>
      </c>
      <c r="U90">
        <v>2.3031677142460839E-2</v>
      </c>
      <c r="V90">
        <v>3.6289312109651622E-3</v>
      </c>
      <c r="W90">
        <v>1.9402745931495682E-2</v>
      </c>
      <c r="X90" s="21">
        <f t="shared" si="3"/>
        <v>46087</v>
      </c>
      <c r="Y90" s="21">
        <f t="shared" si="5"/>
        <v>46087</v>
      </c>
      <c r="Z90">
        <f t="array" ref="Z90">_xlfn.XLOOKUP(INT(X90),INT($AE$2:$AE$1000),$AG$2:$AG$1000,"")</f>
        <v>29.49</v>
      </c>
      <c r="AE90" s="21">
        <f t="shared" si="4"/>
        <v>45994</v>
      </c>
      <c r="AF90" s="21">
        <v>45728</v>
      </c>
      <c r="AG90">
        <v>16.079999999999998</v>
      </c>
    </row>
    <row r="91" spans="1:33">
      <c r="A91">
        <v>9</v>
      </c>
      <c r="B91" t="s">
        <v>23</v>
      </c>
      <c r="C91" t="s">
        <v>28</v>
      </c>
      <c r="D91">
        <v>61331</v>
      </c>
      <c r="E91">
        <v>288.13</v>
      </c>
      <c r="F91">
        <v>47.3</v>
      </c>
      <c r="G91">
        <v>288.15881300000001</v>
      </c>
      <c r="H91">
        <v>47.295270000000002</v>
      </c>
      <c r="I91">
        <v>-4.796941551264422</v>
      </c>
      <c r="J91">
        <v>0.81444705018759989</v>
      </c>
      <c r="K91">
        <v>3.4706556068441329E-2</v>
      </c>
      <c r="L91">
        <v>-0.17218753703754761</v>
      </c>
      <c r="M91" t="s">
        <v>27</v>
      </c>
      <c r="N91">
        <v>27</v>
      </c>
      <c r="O91" t="s">
        <v>26</v>
      </c>
      <c r="P91">
        <v>61358</v>
      </c>
      <c r="Q91">
        <v>288.005</v>
      </c>
      <c r="R91">
        <v>47.21</v>
      </c>
      <c r="S91">
        <v>5.6809218071837003E-3</v>
      </c>
      <c r="T91">
        <v>1.1158558824823479E-2</v>
      </c>
      <c r="U91">
        <v>7.5316482442326447E-3</v>
      </c>
      <c r="V91">
        <v>3.6289312109651622E-3</v>
      </c>
      <c r="W91">
        <v>3.9027170332674829E-3</v>
      </c>
      <c r="X91" s="21">
        <f t="shared" si="3"/>
        <v>46091</v>
      </c>
      <c r="Y91" s="21">
        <f t="shared" si="5"/>
        <v>46091</v>
      </c>
      <c r="Z91">
        <f t="array" ref="Z91">_xlfn.XLOOKUP(INT(X91),INT($AE$2:$AE$1000),$AG$2:$AG$1000,"")</f>
        <v>24.93</v>
      </c>
      <c r="AE91" s="21">
        <f t="shared" si="4"/>
        <v>45995</v>
      </c>
      <c r="AF91" s="21">
        <v>45759</v>
      </c>
      <c r="AG91">
        <v>15.78</v>
      </c>
    </row>
    <row r="92" spans="1:33">
      <c r="A92">
        <v>9</v>
      </c>
      <c r="B92" t="s">
        <v>23</v>
      </c>
      <c r="C92" t="s">
        <v>28</v>
      </c>
      <c r="D92">
        <v>61711</v>
      </c>
      <c r="E92">
        <v>285.69499999999999</v>
      </c>
      <c r="F92">
        <v>46.91</v>
      </c>
      <c r="G92">
        <v>285.7235695</v>
      </c>
      <c r="H92">
        <v>46.905309000000003</v>
      </c>
      <c r="I92">
        <v>-3.7985191049783231</v>
      </c>
      <c r="J92">
        <v>0.81444705018759989</v>
      </c>
      <c r="K92">
        <v>3.5002362659479508E-2</v>
      </c>
      <c r="L92">
        <v>-0.17361906846889791</v>
      </c>
      <c r="M92" t="s">
        <v>27</v>
      </c>
      <c r="N92">
        <v>26</v>
      </c>
      <c r="O92" t="s">
        <v>26</v>
      </c>
      <c r="P92">
        <v>61737</v>
      </c>
      <c r="Q92">
        <v>292.12</v>
      </c>
      <c r="R92">
        <v>47.97</v>
      </c>
      <c r="S92">
        <v>1.0318508698612221E-2</v>
      </c>
      <c r="T92">
        <v>4.0853967510124128E-2</v>
      </c>
      <c r="U92">
        <v>3.7184180770483799E-2</v>
      </c>
      <c r="V92">
        <v>3.6289312109651622E-3</v>
      </c>
      <c r="W92">
        <v>3.3555249559518642E-2</v>
      </c>
      <c r="X92" s="21">
        <f t="shared" si="3"/>
        <v>46092</v>
      </c>
      <c r="Y92" s="21">
        <f t="shared" si="5"/>
        <v>46092</v>
      </c>
      <c r="Z92">
        <f t="array" ref="Z92">_xlfn.XLOOKUP(INT(X92),INT($AE$2:$AE$1000),$AG$2:$AG$1000,"")</f>
        <v>24.23</v>
      </c>
      <c r="AE92" s="21">
        <f t="shared" si="4"/>
        <v>45996</v>
      </c>
      <c r="AF92" s="21">
        <v>45789</v>
      </c>
      <c r="AG92">
        <v>15.41</v>
      </c>
    </row>
    <row r="93" spans="1:33">
      <c r="A93">
        <v>9</v>
      </c>
      <c r="B93" t="s">
        <v>23</v>
      </c>
      <c r="C93" t="s">
        <v>28</v>
      </c>
      <c r="D93">
        <v>62112</v>
      </c>
      <c r="E93">
        <v>286.98</v>
      </c>
      <c r="F93">
        <v>47.35</v>
      </c>
      <c r="G93">
        <v>287.00869799999998</v>
      </c>
      <c r="H93">
        <v>47.345264999999998</v>
      </c>
      <c r="I93">
        <v>-4.3256654332070488</v>
      </c>
      <c r="J93">
        <v>0.81444705018759989</v>
      </c>
      <c r="K93">
        <v>3.4845633842079587E-2</v>
      </c>
      <c r="L93">
        <v>-0.17200571281681101</v>
      </c>
      <c r="M93" t="s">
        <v>27</v>
      </c>
      <c r="N93">
        <v>18</v>
      </c>
      <c r="O93" t="s">
        <v>26</v>
      </c>
      <c r="P93">
        <v>62130</v>
      </c>
      <c r="Q93">
        <v>288.70999999999998</v>
      </c>
      <c r="R93">
        <v>47.64</v>
      </c>
      <c r="S93">
        <v>-0.34533234217353581</v>
      </c>
      <c r="T93">
        <v>1.040128982992131E-2</v>
      </c>
      <c r="U93">
        <v>6.7613792692200331E-3</v>
      </c>
      <c r="V93">
        <v>3.628931210965163E-3</v>
      </c>
      <c r="W93">
        <v>3.13244805825487E-3</v>
      </c>
      <c r="X93" s="21">
        <f t="shared" si="3"/>
        <v>46093</v>
      </c>
      <c r="Y93" s="21">
        <f t="shared" si="5"/>
        <v>46093</v>
      </c>
      <c r="Z93">
        <f t="array" ref="Z93">_xlfn.XLOOKUP(INT(X93),INT($AE$2:$AE$1000),$AG$2:$AG$1000,"")</f>
        <v>27.29</v>
      </c>
      <c r="AE93" s="21">
        <f t="shared" si="4"/>
        <v>45999</v>
      </c>
      <c r="AF93" s="21">
        <v>45881</v>
      </c>
      <c r="AG93">
        <v>16.66</v>
      </c>
    </row>
    <row r="94" spans="1:33">
      <c r="A94">
        <v>9</v>
      </c>
      <c r="B94" t="s">
        <v>23</v>
      </c>
      <c r="C94" t="s">
        <v>28</v>
      </c>
      <c r="D94">
        <v>62589</v>
      </c>
      <c r="E94">
        <v>295.58999999999997</v>
      </c>
      <c r="F94">
        <v>48.66</v>
      </c>
      <c r="G94">
        <v>295.56044100000003</v>
      </c>
      <c r="H94">
        <v>48.664866000000004</v>
      </c>
      <c r="I94">
        <v>3.5881352196890308</v>
      </c>
      <c r="J94">
        <v>0.81444705018759989</v>
      </c>
      <c r="K94">
        <v>-3.3830643797151463E-2</v>
      </c>
      <c r="L94">
        <v>0.16737506169083441</v>
      </c>
      <c r="M94" t="s">
        <v>25</v>
      </c>
      <c r="N94">
        <v>8</v>
      </c>
      <c r="O94" t="s">
        <v>26</v>
      </c>
      <c r="P94">
        <v>62597</v>
      </c>
      <c r="Q94">
        <v>294.86</v>
      </c>
      <c r="R94">
        <v>48.585000000000001</v>
      </c>
      <c r="S94">
        <v>8.2929969426686956E-2</v>
      </c>
      <c r="T94">
        <v>1.2143240345107401E-2</v>
      </c>
      <c r="U94">
        <v>8.518071194691652E-3</v>
      </c>
      <c r="V94">
        <v>3.628856989785237E-3</v>
      </c>
      <c r="W94">
        <v>4.889214204906415E-3</v>
      </c>
      <c r="X94" s="21">
        <f t="shared" si="3"/>
        <v>46094</v>
      </c>
      <c r="Y94" s="21">
        <f t="shared" si="5"/>
        <v>46094</v>
      </c>
      <c r="Z94">
        <f t="array" ref="Z94">_xlfn.XLOOKUP(INT(X94),INT($AE$2:$AE$1000),$AG$2:$AG$1000,"")</f>
        <v>27.19</v>
      </c>
      <c r="AE94" s="21">
        <f t="shared" si="4"/>
        <v>46000</v>
      </c>
      <c r="AF94" s="21">
        <v>45912</v>
      </c>
      <c r="AG94">
        <v>16.93</v>
      </c>
    </row>
    <row r="95" spans="1:33">
      <c r="A95">
        <v>9</v>
      </c>
      <c r="B95" t="s">
        <v>23</v>
      </c>
      <c r="C95" t="s">
        <v>28</v>
      </c>
      <c r="D95">
        <v>62894</v>
      </c>
      <c r="E95">
        <v>293.85000000000002</v>
      </c>
      <c r="F95">
        <v>48.805</v>
      </c>
      <c r="G95">
        <v>293.87938500000001</v>
      </c>
      <c r="H95">
        <v>48.800119500000001</v>
      </c>
      <c r="I95">
        <v>-4.2488124499288347</v>
      </c>
      <c r="J95">
        <v>0.81444705018759989</v>
      </c>
      <c r="K95">
        <v>3.403096818104475E-2</v>
      </c>
      <c r="L95">
        <v>-0.16687778919938531</v>
      </c>
      <c r="M95" t="s">
        <v>27</v>
      </c>
      <c r="N95">
        <v>13</v>
      </c>
      <c r="O95" t="s">
        <v>26</v>
      </c>
      <c r="P95">
        <v>62907</v>
      </c>
      <c r="Q95">
        <v>294.77999999999997</v>
      </c>
      <c r="R95">
        <v>48.835000000000001</v>
      </c>
      <c r="S95">
        <v>-0.49528238982585743</v>
      </c>
      <c r="T95">
        <v>2.6642466732388171E-2</v>
      </c>
      <c r="U95">
        <v>2.300990711860592E-2</v>
      </c>
      <c r="V95">
        <v>3.628931210965163E-3</v>
      </c>
      <c r="W95">
        <v>1.9380975907640759E-2</v>
      </c>
      <c r="X95" s="21">
        <f t="shared" si="3"/>
        <v>46097</v>
      </c>
      <c r="Y95" s="21">
        <f t="shared" si="5"/>
        <v>46097</v>
      </c>
      <c r="Z95">
        <f t="array" ref="Z95">_xlfn.XLOOKUP(INT(X95),INT($AE$2:$AE$1000),$AG$2:$AG$1000,"")</f>
        <v>23.51</v>
      </c>
      <c r="AE95" s="21">
        <f t="shared" si="4"/>
        <v>46001</v>
      </c>
      <c r="AF95" s="21">
        <v>45942</v>
      </c>
      <c r="AG95">
        <v>15.77</v>
      </c>
    </row>
    <row r="96" spans="1:33">
      <c r="A96">
        <v>10</v>
      </c>
      <c r="B96" t="s">
        <v>30</v>
      </c>
      <c r="C96" t="s">
        <v>31</v>
      </c>
      <c r="D96">
        <v>63001</v>
      </c>
      <c r="E96">
        <v>51.59</v>
      </c>
      <c r="F96">
        <v>204.84</v>
      </c>
      <c r="G96">
        <v>51.595159000000002</v>
      </c>
      <c r="H96">
        <v>204.81951599999999</v>
      </c>
      <c r="I96">
        <v>-5.2946500306393149</v>
      </c>
      <c r="J96">
        <v>0.90418154948810281</v>
      </c>
      <c r="K96">
        <v>0.19383601473153711</v>
      </c>
      <c r="L96">
        <v>-4.4140868457728119E-2</v>
      </c>
      <c r="M96" t="s">
        <v>27</v>
      </c>
      <c r="N96">
        <v>23</v>
      </c>
      <c r="O96" t="s">
        <v>26</v>
      </c>
      <c r="P96">
        <v>63024</v>
      </c>
      <c r="Q96">
        <v>51.51</v>
      </c>
      <c r="R96">
        <v>205.02</v>
      </c>
      <c r="S96">
        <v>-0.49208829152589623</v>
      </c>
      <c r="T96">
        <v>-2.3452237500915379E-2</v>
      </c>
      <c r="U96">
        <v>-2.7259844447405542E-2</v>
      </c>
      <c r="V96">
        <v>3.8083822626663079E-3</v>
      </c>
      <c r="W96">
        <v>-3.1068226710071849E-2</v>
      </c>
      <c r="X96" s="21">
        <f t="shared" si="3"/>
        <v>46097</v>
      </c>
      <c r="Y96" s="21">
        <f t="shared" si="5"/>
        <v>46097</v>
      </c>
      <c r="Z96">
        <f t="array" ref="Z96">_xlfn.XLOOKUP(INT(X96),INT($AE$2:$AE$1000),$AG$2:$AG$1000,"")</f>
        <v>23.51</v>
      </c>
      <c r="AE96" s="21">
        <f t="shared" si="4"/>
        <v>46002</v>
      </c>
      <c r="AF96" s="21">
        <v>45973</v>
      </c>
      <c r="AG96">
        <v>14.85</v>
      </c>
    </row>
    <row r="97" spans="1:33">
      <c r="A97">
        <v>10</v>
      </c>
      <c r="B97" t="s">
        <v>30</v>
      </c>
      <c r="C97" t="s">
        <v>31</v>
      </c>
      <c r="D97">
        <v>63283</v>
      </c>
      <c r="E97">
        <v>51.28</v>
      </c>
      <c r="F97">
        <v>205.54</v>
      </c>
      <c r="G97">
        <v>51.285128</v>
      </c>
      <c r="H97">
        <v>205.51944599999999</v>
      </c>
      <c r="I97">
        <v>-3.873463425613366</v>
      </c>
      <c r="J97">
        <v>0.90418154948810281</v>
      </c>
      <c r="K97">
        <v>0.19500780031201251</v>
      </c>
      <c r="L97">
        <v>-4.3990539529439668E-2</v>
      </c>
      <c r="M97" t="s">
        <v>27</v>
      </c>
      <c r="N97">
        <v>6</v>
      </c>
      <c r="O97" t="s">
        <v>26</v>
      </c>
      <c r="P97">
        <v>63289</v>
      </c>
      <c r="Q97">
        <v>50.82</v>
      </c>
      <c r="R97">
        <v>203.11</v>
      </c>
      <c r="S97">
        <v>-0.3608469167561773</v>
      </c>
      <c r="T97">
        <v>1.7193422913011531E-2</v>
      </c>
      <c r="U97">
        <v>1.340471987395535E-2</v>
      </c>
      <c r="V97">
        <v>3.8083822626663079E-3</v>
      </c>
      <c r="W97">
        <v>9.5963376112890401E-3</v>
      </c>
      <c r="X97" s="21">
        <f t="shared" si="3"/>
        <v>46098</v>
      </c>
      <c r="Y97" s="21">
        <f t="shared" si="5"/>
        <v>46098</v>
      </c>
      <c r="Z97">
        <f t="array" ref="Z97">_xlfn.XLOOKUP(INT(X97),INT($AE$2:$AE$1000),$AG$2:$AG$1000,"")</f>
        <v>22.37</v>
      </c>
      <c r="AE97" s="21">
        <f t="shared" si="4"/>
        <v>46003</v>
      </c>
      <c r="AF97" s="21">
        <v>46003</v>
      </c>
      <c r="AG97">
        <v>15.74</v>
      </c>
    </row>
    <row r="98" spans="1:33">
      <c r="A98">
        <v>10</v>
      </c>
      <c r="B98" t="s">
        <v>30</v>
      </c>
      <c r="C98" t="s">
        <v>31</v>
      </c>
      <c r="D98">
        <v>63459</v>
      </c>
      <c r="E98">
        <v>51.03</v>
      </c>
      <c r="F98">
        <v>203</v>
      </c>
      <c r="G98">
        <v>51.024897000000003</v>
      </c>
      <c r="H98">
        <v>203.02029999999999</v>
      </c>
      <c r="I98">
        <v>3.5523458610373102</v>
      </c>
      <c r="J98">
        <v>0.90418154948810281</v>
      </c>
      <c r="K98">
        <v>-0.1959631589261219</v>
      </c>
      <c r="L98">
        <v>4.4540963028970593E-2</v>
      </c>
      <c r="M98" t="s">
        <v>25</v>
      </c>
      <c r="N98">
        <v>18</v>
      </c>
      <c r="O98" t="s">
        <v>26</v>
      </c>
      <c r="P98">
        <v>63477</v>
      </c>
      <c r="Q98">
        <v>50.975000000000001</v>
      </c>
      <c r="R98">
        <v>203.17</v>
      </c>
      <c r="S98">
        <v>0.1338196310140963</v>
      </c>
      <c r="T98">
        <v>1.8349937455861089E-2</v>
      </c>
      <c r="U98">
        <v>1.4541894957888331E-2</v>
      </c>
      <c r="V98">
        <v>3.8083439352861038E-3</v>
      </c>
      <c r="W98">
        <v>1.073355102260222E-2</v>
      </c>
      <c r="X98" s="21">
        <f t="shared" si="3"/>
        <v>46098</v>
      </c>
      <c r="Y98" s="21">
        <f t="shared" si="5"/>
        <v>46098</v>
      </c>
      <c r="Z98">
        <f t="array" ref="Z98">_xlfn.XLOOKUP(INT(X98),INT($AE$2:$AE$1000),$AG$2:$AG$1000,"")</f>
        <v>22.37</v>
      </c>
      <c r="AE98" s="21">
        <f t="shared" si="4"/>
        <v>46006</v>
      </c>
      <c r="AF98" t="s">
        <v>110</v>
      </c>
      <c r="AG98">
        <v>16.5</v>
      </c>
    </row>
    <row r="99" spans="1:33">
      <c r="A99">
        <v>10</v>
      </c>
      <c r="B99" t="s">
        <v>30</v>
      </c>
      <c r="C99" t="s">
        <v>31</v>
      </c>
      <c r="D99">
        <v>63673</v>
      </c>
      <c r="E99">
        <v>51.13</v>
      </c>
      <c r="F99">
        <v>202.32</v>
      </c>
      <c r="G99">
        <v>51.124887000000001</v>
      </c>
      <c r="H99">
        <v>202.34023199999999</v>
      </c>
      <c r="I99">
        <v>4.0184543283837391</v>
      </c>
      <c r="J99">
        <v>0.90418154948810281</v>
      </c>
      <c r="K99">
        <v>-0.195579894386857</v>
      </c>
      <c r="L99">
        <v>4.4690665751685593E-2</v>
      </c>
      <c r="M99" t="s">
        <v>25</v>
      </c>
      <c r="N99">
        <v>5</v>
      </c>
      <c r="O99" t="s">
        <v>26</v>
      </c>
      <c r="P99">
        <v>63678</v>
      </c>
      <c r="Q99">
        <v>51</v>
      </c>
      <c r="R99">
        <v>203.36</v>
      </c>
      <c r="S99">
        <v>-0.12648133375496251</v>
      </c>
      <c r="T99">
        <v>7.1903678652045847E-2</v>
      </c>
      <c r="U99">
        <v>6.8093210262459375E-2</v>
      </c>
      <c r="V99">
        <v>3.8083439352861038E-3</v>
      </c>
      <c r="W99">
        <v>6.4284866327173271E-2</v>
      </c>
      <c r="X99" s="21">
        <f t="shared" si="3"/>
        <v>46099</v>
      </c>
      <c r="Y99" s="21">
        <f t="shared" si="5"/>
        <v>46099</v>
      </c>
      <c r="Z99">
        <f t="array" ref="Z99">_xlfn.XLOOKUP(INT(X99),INT($AE$2:$AE$1000),$AG$2:$AG$1000,"")</f>
        <v>25.09</v>
      </c>
      <c r="AE99" s="21">
        <f t="shared" si="4"/>
        <v>46007</v>
      </c>
      <c r="AF99" t="s">
        <v>111</v>
      </c>
      <c r="AG99">
        <v>16.48</v>
      </c>
    </row>
    <row r="100" spans="1:33">
      <c r="A100">
        <v>10</v>
      </c>
      <c r="B100" t="s">
        <v>30</v>
      </c>
      <c r="C100" t="s">
        <v>31</v>
      </c>
      <c r="D100">
        <v>64254</v>
      </c>
      <c r="E100">
        <v>51.725000000000001</v>
      </c>
      <c r="F100">
        <v>205.76499999999999</v>
      </c>
      <c r="G100">
        <v>51.719827500000001</v>
      </c>
      <c r="H100">
        <v>205.78557649999999</v>
      </c>
      <c r="I100">
        <v>3.88209231152267</v>
      </c>
      <c r="J100">
        <v>0.90418154948810281</v>
      </c>
      <c r="K100">
        <v>-0.19333011116481391</v>
      </c>
      <c r="L100">
        <v>4.3942436735504242E-2</v>
      </c>
      <c r="M100" t="s">
        <v>25</v>
      </c>
      <c r="N100">
        <v>4</v>
      </c>
      <c r="O100" t="s">
        <v>26</v>
      </c>
      <c r="P100">
        <v>64258</v>
      </c>
      <c r="Q100">
        <v>51.835000000000001</v>
      </c>
      <c r="R100">
        <v>206.93</v>
      </c>
      <c r="S100">
        <v>0.21192774522584029</v>
      </c>
      <c r="T100">
        <v>2.9926626568733909E-2</v>
      </c>
      <c r="U100">
        <v>2.611101754465496E-2</v>
      </c>
      <c r="V100">
        <v>3.8083439352861038E-3</v>
      </c>
      <c r="W100">
        <v>2.2302673609368859E-2</v>
      </c>
      <c r="X100" s="21">
        <f t="shared" si="3"/>
        <v>46100</v>
      </c>
      <c r="Y100" s="21">
        <f t="shared" si="5"/>
        <v>46100</v>
      </c>
      <c r="Z100">
        <f t="array" ref="Z100">_xlfn.XLOOKUP(INT(X100),INT($AE$2:$AE$1000),$AG$2:$AG$1000,"")</f>
        <v>24.06</v>
      </c>
      <c r="AE100" s="21">
        <f t="shared" si="4"/>
        <v>46008</v>
      </c>
      <c r="AF100" t="s">
        <v>112</v>
      </c>
      <c r="AG100">
        <v>17.62</v>
      </c>
    </row>
    <row r="101" spans="1:33">
      <c r="A101">
        <v>10</v>
      </c>
      <c r="B101" t="s">
        <v>30</v>
      </c>
      <c r="C101" t="s">
        <v>31</v>
      </c>
      <c r="D101">
        <v>64455</v>
      </c>
      <c r="E101">
        <v>52.83</v>
      </c>
      <c r="F101">
        <v>208.07</v>
      </c>
      <c r="G101">
        <v>52.824717</v>
      </c>
      <c r="H101">
        <v>208.09080700000001</v>
      </c>
      <c r="I101">
        <v>5.1466095746623628</v>
      </c>
      <c r="J101">
        <v>0.90418154948810281</v>
      </c>
      <c r="K101">
        <v>-0.18928639030853681</v>
      </c>
      <c r="L101">
        <v>4.3455642307305371E-2</v>
      </c>
      <c r="M101" t="s">
        <v>25</v>
      </c>
      <c r="N101">
        <v>13</v>
      </c>
      <c r="O101" t="s">
        <v>26</v>
      </c>
      <c r="P101">
        <v>64468</v>
      </c>
      <c r="Q101">
        <v>52.45</v>
      </c>
      <c r="R101">
        <v>208.07</v>
      </c>
      <c r="S101">
        <v>0.33066042495449588</v>
      </c>
      <c r="T101">
        <v>7.1928828317243135E-2</v>
      </c>
      <c r="U101">
        <v>6.8127658101099331E-2</v>
      </c>
      <c r="V101">
        <v>3.8083439352861038E-3</v>
      </c>
      <c r="W101">
        <v>6.4319314165813227E-2</v>
      </c>
      <c r="X101" s="21">
        <f t="shared" si="3"/>
        <v>46101</v>
      </c>
      <c r="Y101" s="21">
        <f t="shared" si="5"/>
        <v>46101</v>
      </c>
      <c r="Z101">
        <f t="array" ref="Z101">_xlfn.XLOOKUP(INT(X101),INT($AE$2:$AE$1000),$AG$2:$AG$1000,"")</f>
        <v>26.78</v>
      </c>
      <c r="AE101" s="21">
        <f t="shared" si="4"/>
        <v>46009</v>
      </c>
      <c r="AF101" t="s">
        <v>113</v>
      </c>
      <c r="AG101">
        <v>16.87</v>
      </c>
    </row>
    <row r="102" spans="1:33">
      <c r="A102">
        <v>10</v>
      </c>
      <c r="B102" t="s">
        <v>30</v>
      </c>
      <c r="C102" t="s">
        <v>31</v>
      </c>
      <c r="D102">
        <v>64722</v>
      </c>
      <c r="E102">
        <v>52.865000000000002</v>
      </c>
      <c r="F102">
        <v>210.84</v>
      </c>
      <c r="G102">
        <v>52.870286499999999</v>
      </c>
      <c r="H102">
        <v>210.818916</v>
      </c>
      <c r="I102">
        <v>-3.8590103261116311</v>
      </c>
      <c r="J102">
        <v>0.90418154948810281</v>
      </c>
      <c r="K102">
        <v>0.18916107065165991</v>
      </c>
      <c r="L102">
        <v>-4.2884725359898637E-2</v>
      </c>
      <c r="M102" t="s">
        <v>27</v>
      </c>
      <c r="N102">
        <v>4</v>
      </c>
      <c r="O102" t="s">
        <v>26</v>
      </c>
      <c r="P102">
        <v>64726</v>
      </c>
      <c r="Q102">
        <v>52.88</v>
      </c>
      <c r="R102">
        <v>210.47</v>
      </c>
      <c r="S102">
        <v>5.4271450886599168E-2</v>
      </c>
      <c r="T102">
        <v>1.8704764442937699E-2</v>
      </c>
      <c r="U102">
        <v>1.489770433719388E-2</v>
      </c>
      <c r="V102">
        <v>3.8083822626663079E-3</v>
      </c>
      <c r="W102">
        <v>1.108932207452757E-2</v>
      </c>
      <c r="X102" s="21">
        <f t="shared" si="3"/>
        <v>46101</v>
      </c>
      <c r="Y102" s="21">
        <f t="shared" si="5"/>
        <v>46101</v>
      </c>
      <c r="Z102">
        <f t="array" ref="Z102">_xlfn.XLOOKUP(INT(X102),INT($AE$2:$AE$1000),$AG$2:$AG$1000,"")</f>
        <v>26.78</v>
      </c>
      <c r="AE102" s="21">
        <f t="shared" si="4"/>
        <v>46010</v>
      </c>
      <c r="AF102" t="s">
        <v>114</v>
      </c>
      <c r="AG102">
        <v>14.91</v>
      </c>
    </row>
    <row r="103" spans="1:33">
      <c r="A103">
        <v>10</v>
      </c>
      <c r="B103" t="s">
        <v>30</v>
      </c>
      <c r="C103" t="s">
        <v>31</v>
      </c>
      <c r="D103">
        <v>64846</v>
      </c>
      <c r="E103">
        <v>51.92</v>
      </c>
      <c r="F103">
        <v>209.24</v>
      </c>
      <c r="G103">
        <v>51.925192000000003</v>
      </c>
      <c r="H103">
        <v>209.219076</v>
      </c>
      <c r="I103">
        <v>-5.0723224491822858</v>
      </c>
      <c r="J103">
        <v>0.90418154948810281</v>
      </c>
      <c r="K103">
        <v>0.19260400616332821</v>
      </c>
      <c r="L103">
        <v>-4.3212652909964767E-2</v>
      </c>
      <c r="M103" t="s">
        <v>27</v>
      </c>
      <c r="N103">
        <v>4</v>
      </c>
      <c r="O103" t="s">
        <v>26</v>
      </c>
      <c r="P103">
        <v>64850</v>
      </c>
      <c r="Q103">
        <v>51.924999999999997</v>
      </c>
      <c r="R103">
        <v>206.655</v>
      </c>
      <c r="S103">
        <v>-0.24394293720547611</v>
      </c>
      <c r="T103">
        <v>0.112667727803075</v>
      </c>
      <c r="U103">
        <v>0.10887043887287221</v>
      </c>
      <c r="V103">
        <v>3.8083822626663079E-3</v>
      </c>
      <c r="W103">
        <v>0.1050620566102059</v>
      </c>
      <c r="X103" s="21">
        <f t="shared" si="3"/>
        <v>46104</v>
      </c>
      <c r="Y103" s="21">
        <f t="shared" si="5"/>
        <v>46104</v>
      </c>
      <c r="Z103">
        <f t="array" ref="Z103">_xlfn.XLOOKUP(INT(X103),INT($AE$2:$AE$1000),$AG$2:$AG$1000,"")</f>
        <v>26.15</v>
      </c>
      <c r="AE103" s="21">
        <f t="shared" si="4"/>
        <v>46013</v>
      </c>
      <c r="AF103" t="s">
        <v>115</v>
      </c>
      <c r="AG103">
        <v>14.08</v>
      </c>
    </row>
    <row r="104" spans="1:33">
      <c r="A104">
        <v>10</v>
      </c>
      <c r="B104" t="s">
        <v>30</v>
      </c>
      <c r="C104" t="s">
        <v>31</v>
      </c>
      <c r="D104">
        <v>65242</v>
      </c>
      <c r="E104">
        <v>53.325000000000003</v>
      </c>
      <c r="F104">
        <v>211.72</v>
      </c>
      <c r="G104">
        <v>53.319667500000001</v>
      </c>
      <c r="H104">
        <v>211.74117200000001</v>
      </c>
      <c r="I104">
        <v>3.5283094695702362</v>
      </c>
      <c r="J104">
        <v>0.90418154948810281</v>
      </c>
      <c r="K104">
        <v>-0.18752930145335209</v>
      </c>
      <c r="L104">
        <v>4.2706477871155432E-2</v>
      </c>
      <c r="M104" t="s">
        <v>25</v>
      </c>
      <c r="N104">
        <v>9</v>
      </c>
      <c r="O104" t="s">
        <v>26</v>
      </c>
      <c r="P104">
        <v>65251</v>
      </c>
      <c r="Q104">
        <v>53.27</v>
      </c>
      <c r="R104">
        <v>212.32</v>
      </c>
      <c r="S104">
        <v>0.40382193561864049</v>
      </c>
      <c r="T104">
        <v>3.5937998302627318E-2</v>
      </c>
      <c r="U104">
        <v>3.2128104226136142E-2</v>
      </c>
      <c r="V104">
        <v>3.8083439352861038E-3</v>
      </c>
      <c r="W104">
        <v>2.8319760290850031E-2</v>
      </c>
      <c r="X104" s="21">
        <f t="shared" si="3"/>
        <v>46105</v>
      </c>
      <c r="Y104" s="21">
        <f t="shared" si="5"/>
        <v>46105</v>
      </c>
      <c r="Z104">
        <f t="array" ref="Z104">_xlfn.XLOOKUP(INT(X104),INT($AE$2:$AE$1000),$AG$2:$AG$1000,"")</f>
        <v>26.95</v>
      </c>
      <c r="AE104" s="21">
        <f t="shared" si="4"/>
        <v>46014</v>
      </c>
      <c r="AF104" t="s">
        <v>116</v>
      </c>
      <c r="AG104">
        <v>14</v>
      </c>
    </row>
    <row r="105" spans="1:33">
      <c r="A105">
        <v>10</v>
      </c>
      <c r="B105" t="s">
        <v>30</v>
      </c>
      <c r="C105" t="s">
        <v>31</v>
      </c>
      <c r="D105">
        <v>65779</v>
      </c>
      <c r="E105">
        <v>53.424999999999997</v>
      </c>
      <c r="F105">
        <v>213.31</v>
      </c>
      <c r="G105">
        <v>53.4196575</v>
      </c>
      <c r="H105">
        <v>213.33133100000001</v>
      </c>
      <c r="I105">
        <v>3.5378142745057541</v>
      </c>
      <c r="J105">
        <v>0.90418154948810281</v>
      </c>
      <c r="K105">
        <v>-0.18717828731867101</v>
      </c>
      <c r="L105">
        <v>4.2388146335760303E-2</v>
      </c>
      <c r="M105" t="s">
        <v>25</v>
      </c>
      <c r="N105">
        <v>27</v>
      </c>
      <c r="O105" t="s">
        <v>26</v>
      </c>
      <c r="P105">
        <v>65806</v>
      </c>
      <c r="Q105">
        <v>53.395000000000003</v>
      </c>
      <c r="R105">
        <v>213.23</v>
      </c>
      <c r="S105">
        <v>0.46336470984441153</v>
      </c>
      <c r="T105">
        <v>2.2242969126976598E-3</v>
      </c>
      <c r="U105">
        <v>-1.5831655462450391E-3</v>
      </c>
      <c r="V105">
        <v>3.8083439352861038E-3</v>
      </c>
      <c r="W105">
        <v>-5.3915094815311423E-3</v>
      </c>
      <c r="X105" s="21">
        <f t="shared" si="3"/>
        <v>46106</v>
      </c>
      <c r="Y105" s="21">
        <f t="shared" si="5"/>
        <v>46106</v>
      </c>
      <c r="Z105">
        <f t="array" ref="Z105">_xlfn.XLOOKUP(INT(X105),INT($AE$2:$AE$1000),$AG$2:$AG$1000,"")</f>
        <v>25.33</v>
      </c>
      <c r="AE105" s="21">
        <f t="shared" si="4"/>
        <v>46015</v>
      </c>
      <c r="AF105" t="s">
        <v>117</v>
      </c>
      <c r="AG105">
        <v>13.47</v>
      </c>
    </row>
    <row r="106" spans="1:33">
      <c r="A106">
        <v>10</v>
      </c>
      <c r="B106" t="s">
        <v>30</v>
      </c>
      <c r="C106" t="s">
        <v>31</v>
      </c>
      <c r="D106">
        <v>65872</v>
      </c>
      <c r="E106">
        <v>53.575000000000003</v>
      </c>
      <c r="F106">
        <v>213.33</v>
      </c>
      <c r="G106">
        <v>53.5696425</v>
      </c>
      <c r="H106">
        <v>213.35133300000001</v>
      </c>
      <c r="I106">
        <v>3.633571010706512</v>
      </c>
      <c r="J106">
        <v>0.90418154948810281</v>
      </c>
      <c r="K106">
        <v>-0.18665422305179649</v>
      </c>
      <c r="L106">
        <v>4.2384172384948328E-2</v>
      </c>
      <c r="M106" t="s">
        <v>25</v>
      </c>
      <c r="N106">
        <v>5</v>
      </c>
      <c r="O106" t="s">
        <v>26</v>
      </c>
      <c r="P106">
        <v>65877</v>
      </c>
      <c r="Q106">
        <v>53.51</v>
      </c>
      <c r="R106">
        <v>213.78</v>
      </c>
      <c r="S106">
        <v>-0.42482070908762037</v>
      </c>
      <c r="T106">
        <v>3.120540207159395E-2</v>
      </c>
      <c r="U106">
        <v>2.739634493731042E-2</v>
      </c>
      <c r="V106">
        <v>3.8083439352861038E-3</v>
      </c>
      <c r="W106">
        <v>2.3588001002024319E-2</v>
      </c>
      <c r="X106" s="21">
        <f t="shared" si="3"/>
        <v>46106</v>
      </c>
      <c r="Y106" s="21">
        <f t="shared" si="5"/>
        <v>46106</v>
      </c>
      <c r="Z106">
        <f t="array" ref="Z106">_xlfn.XLOOKUP(INT(X106),INT($AE$2:$AE$1000),$AG$2:$AG$1000,"")</f>
        <v>25.33</v>
      </c>
      <c r="AE106" s="21">
        <f t="shared" si="4"/>
        <v>46017</v>
      </c>
      <c r="AF106" t="s">
        <v>118</v>
      </c>
      <c r="AG106">
        <v>13.6</v>
      </c>
    </row>
    <row r="107" spans="1:33">
      <c r="A107">
        <v>10</v>
      </c>
      <c r="B107" t="s">
        <v>30</v>
      </c>
      <c r="C107" t="s">
        <v>31</v>
      </c>
      <c r="D107">
        <v>66010</v>
      </c>
      <c r="E107">
        <v>53.77</v>
      </c>
      <c r="F107">
        <v>214.595</v>
      </c>
      <c r="G107">
        <v>53.764623</v>
      </c>
      <c r="H107">
        <v>214.61645949999999</v>
      </c>
      <c r="I107">
        <v>3.6411829482452172</v>
      </c>
      <c r="J107">
        <v>0.90418154948810281</v>
      </c>
      <c r="K107">
        <v>-0.1859773107680863</v>
      </c>
      <c r="L107">
        <v>4.2134325100216821E-2</v>
      </c>
      <c r="M107" t="s">
        <v>25</v>
      </c>
      <c r="N107">
        <v>18</v>
      </c>
      <c r="O107" t="s">
        <v>26</v>
      </c>
      <c r="P107">
        <v>66028</v>
      </c>
      <c r="Q107">
        <v>55.5</v>
      </c>
      <c r="R107">
        <v>221.56</v>
      </c>
      <c r="S107">
        <v>0.26064238289366709</v>
      </c>
      <c r="T107">
        <v>-2.8275173305778441E-2</v>
      </c>
      <c r="U107">
        <v>-3.2145057036949698E-2</v>
      </c>
      <c r="V107">
        <v>3.8083439352861038E-3</v>
      </c>
      <c r="W107">
        <v>-3.5953400972235802E-2</v>
      </c>
      <c r="X107" s="21">
        <f t="shared" si="3"/>
        <v>46107</v>
      </c>
      <c r="Y107" s="21">
        <f t="shared" si="5"/>
        <v>46107</v>
      </c>
      <c r="Z107">
        <f t="array" ref="Z107">_xlfn.XLOOKUP(INT(X107),INT($AE$2:$AE$1000),$AG$2:$AG$1000,"")</f>
        <v>27.44</v>
      </c>
      <c r="AE107" s="21">
        <f t="shared" si="4"/>
        <v>46020</v>
      </c>
      <c r="AF107" t="s">
        <v>119</v>
      </c>
      <c r="AG107">
        <v>14.2</v>
      </c>
    </row>
    <row r="108" spans="1:33">
      <c r="A108">
        <v>10</v>
      </c>
      <c r="B108" t="s">
        <v>30</v>
      </c>
      <c r="C108" t="s">
        <v>31</v>
      </c>
      <c r="D108">
        <v>66408</v>
      </c>
      <c r="E108">
        <v>55.14</v>
      </c>
      <c r="F108">
        <v>220.8</v>
      </c>
      <c r="G108">
        <v>55.145513999999999</v>
      </c>
      <c r="H108">
        <v>220.77791999999999</v>
      </c>
      <c r="I108">
        <v>-4.166335002827581</v>
      </c>
      <c r="J108">
        <v>0.90418154948810281</v>
      </c>
      <c r="K108">
        <v>0.18135654697134571</v>
      </c>
      <c r="L108">
        <v>-4.0950251335511903E-2</v>
      </c>
      <c r="M108" t="s">
        <v>27</v>
      </c>
      <c r="N108">
        <v>1</v>
      </c>
      <c r="O108" t="s">
        <v>26</v>
      </c>
      <c r="P108">
        <v>66409</v>
      </c>
      <c r="Q108">
        <v>55.25</v>
      </c>
      <c r="R108">
        <v>220.06</v>
      </c>
      <c r="S108">
        <v>-0.13808778420271969</v>
      </c>
      <c r="T108">
        <v>5.0252406155127098E-2</v>
      </c>
      <c r="U108">
        <v>4.6445078452733921E-2</v>
      </c>
      <c r="V108">
        <v>3.8083822626663079E-3</v>
      </c>
      <c r="W108">
        <v>4.2636696190067623E-2</v>
      </c>
      <c r="X108" s="21">
        <f t="shared" si="3"/>
        <v>46108</v>
      </c>
      <c r="Y108" s="21">
        <f t="shared" si="5"/>
        <v>46108</v>
      </c>
      <c r="Z108">
        <f t="array" ref="Z108">_xlfn.XLOOKUP(INT(X108),INT($AE$2:$AE$1000),$AG$2:$AG$1000,"")</f>
        <v>31.05</v>
      </c>
      <c r="AE108" s="21">
        <f t="shared" si="4"/>
        <v>46021</v>
      </c>
      <c r="AF108" t="s">
        <v>120</v>
      </c>
      <c r="AG108">
        <v>14.33</v>
      </c>
    </row>
    <row r="109" spans="1:33">
      <c r="A109">
        <v>10</v>
      </c>
      <c r="B109" t="s">
        <v>30</v>
      </c>
      <c r="C109" t="s">
        <v>31</v>
      </c>
      <c r="D109">
        <v>66538</v>
      </c>
      <c r="E109">
        <v>56.18</v>
      </c>
      <c r="F109">
        <v>222.24</v>
      </c>
      <c r="G109">
        <v>56.174382000000001</v>
      </c>
      <c r="H109">
        <v>222.262224</v>
      </c>
      <c r="I109">
        <v>4.0678942296955141</v>
      </c>
      <c r="J109">
        <v>0.90418154948810281</v>
      </c>
      <c r="K109">
        <v>-0.17799928800284801</v>
      </c>
      <c r="L109">
        <v>4.0684914933769932E-2</v>
      </c>
      <c r="M109" t="s">
        <v>25</v>
      </c>
      <c r="N109">
        <v>13</v>
      </c>
      <c r="O109" t="s">
        <v>26</v>
      </c>
      <c r="P109">
        <v>66551</v>
      </c>
      <c r="Q109">
        <v>56.18</v>
      </c>
      <c r="R109">
        <v>222.67</v>
      </c>
      <c r="S109">
        <v>0.38411161075719069</v>
      </c>
      <c r="T109">
        <v>1.749451342152019E-2</v>
      </c>
      <c r="U109">
        <v>1.3684400871202681E-2</v>
      </c>
      <c r="V109">
        <v>3.8083439352861038E-3</v>
      </c>
      <c r="W109">
        <v>9.8760569359165745E-3</v>
      </c>
      <c r="X109" s="21">
        <f t="shared" si="3"/>
        <v>46108</v>
      </c>
      <c r="Y109" s="21">
        <f t="shared" si="5"/>
        <v>46108</v>
      </c>
      <c r="Z109">
        <f t="array" ref="Z109">_xlfn.XLOOKUP(INT(X109),INT($AE$2:$AE$1000),$AG$2:$AG$1000,"")</f>
        <v>31.05</v>
      </c>
      <c r="AE109" s="21">
        <f t="shared" si="4"/>
        <v>46022</v>
      </c>
      <c r="AF109" t="s">
        <v>121</v>
      </c>
      <c r="AG109">
        <v>14.95</v>
      </c>
    </row>
    <row r="110" spans="1:33">
      <c r="A110">
        <v>11</v>
      </c>
      <c r="B110" t="s">
        <v>30</v>
      </c>
      <c r="C110" t="s">
        <v>31</v>
      </c>
      <c r="D110">
        <v>66901</v>
      </c>
      <c r="E110">
        <v>55.965000000000003</v>
      </c>
      <c r="F110">
        <v>222.035</v>
      </c>
      <c r="G110">
        <v>55.970596500000013</v>
      </c>
      <c r="H110">
        <v>222.01279650000001</v>
      </c>
      <c r="I110">
        <v>-5.2943140945277474</v>
      </c>
      <c r="J110">
        <v>0.93445707488887586</v>
      </c>
      <c r="K110">
        <v>0.17868310551237379</v>
      </c>
      <c r="L110">
        <v>-4.2086025846775323E-2</v>
      </c>
      <c r="M110" t="s">
        <v>27</v>
      </c>
      <c r="N110">
        <v>23</v>
      </c>
      <c r="O110" t="s">
        <v>26</v>
      </c>
      <c r="P110">
        <v>66924</v>
      </c>
      <c r="Q110">
        <v>55.935000000000002</v>
      </c>
      <c r="R110">
        <v>222.07499999999999</v>
      </c>
      <c r="S110">
        <v>-0.49975108101308469</v>
      </c>
      <c r="T110">
        <v>-7.043934199242095E-3</v>
      </c>
      <c r="U110">
        <v>-1.0912480643806399E-2</v>
      </c>
      <c r="V110">
        <v>3.8689272583627742E-3</v>
      </c>
      <c r="W110">
        <v>-1.478140790216918E-2</v>
      </c>
      <c r="X110" s="21">
        <f t="shared" si="3"/>
        <v>46111</v>
      </c>
      <c r="Y110" s="21">
        <f t="shared" si="5"/>
        <v>46111</v>
      </c>
      <c r="Z110">
        <f t="array" ref="Z110">_xlfn.XLOOKUP(INT(X110),INT($AE$2:$AE$1000),$AG$2:$AG$1000,"")</f>
        <v>30.61</v>
      </c>
      <c r="AE110" s="21">
        <f t="shared" si="4"/>
        <v>46024</v>
      </c>
      <c r="AF110" s="21">
        <v>46054</v>
      </c>
      <c r="AG110">
        <v>14.51</v>
      </c>
    </row>
    <row r="111" spans="1:33">
      <c r="A111">
        <v>11</v>
      </c>
      <c r="B111" t="s">
        <v>30</v>
      </c>
      <c r="C111" t="s">
        <v>31</v>
      </c>
      <c r="D111">
        <v>67199</v>
      </c>
      <c r="E111">
        <v>55.06</v>
      </c>
      <c r="F111">
        <v>219.55</v>
      </c>
      <c r="G111">
        <v>55.065505999999999</v>
      </c>
      <c r="H111">
        <v>219.52804499999999</v>
      </c>
      <c r="I111">
        <v>-3.8426630156980628</v>
      </c>
      <c r="J111">
        <v>0.93445707488887586</v>
      </c>
      <c r="K111">
        <v>0.18162005085361421</v>
      </c>
      <c r="L111">
        <v>-4.2562381001542957E-2</v>
      </c>
      <c r="M111" t="s">
        <v>27</v>
      </c>
      <c r="N111">
        <v>4</v>
      </c>
      <c r="O111" t="s">
        <v>26</v>
      </c>
      <c r="P111">
        <v>67203</v>
      </c>
      <c r="Q111">
        <v>55.06</v>
      </c>
      <c r="R111">
        <v>218.84</v>
      </c>
      <c r="S111">
        <v>0.1324499817146908</v>
      </c>
      <c r="T111">
        <v>3.0219290511095839E-2</v>
      </c>
      <c r="U111">
        <v>2.63533982903707E-2</v>
      </c>
      <c r="V111">
        <v>3.8689272583627742E-3</v>
      </c>
      <c r="W111">
        <v>2.248447103200792E-2</v>
      </c>
      <c r="X111" s="21">
        <f t="shared" si="3"/>
        <v>46112</v>
      </c>
      <c r="Y111" s="21">
        <f t="shared" si="5"/>
        <v>46112</v>
      </c>
      <c r="Z111">
        <f t="array" ref="Z111">_xlfn.XLOOKUP(INT(X111),INT($AE$2:$AE$1000),$AG$2:$AG$1000,"")</f>
        <v>25.25</v>
      </c>
      <c r="AE111" s="21">
        <f t="shared" si="4"/>
        <v>46027</v>
      </c>
      <c r="AF111" s="21">
        <v>46143</v>
      </c>
      <c r="AG111">
        <v>14.9</v>
      </c>
    </row>
    <row r="112" spans="1:33">
      <c r="A112">
        <v>11</v>
      </c>
      <c r="B112" t="s">
        <v>30</v>
      </c>
      <c r="C112" t="s">
        <v>31</v>
      </c>
      <c r="D112">
        <v>67526</v>
      </c>
      <c r="E112">
        <v>56.06</v>
      </c>
      <c r="F112">
        <v>220.79499999999999</v>
      </c>
      <c r="G112">
        <v>56.054394000000002</v>
      </c>
      <c r="H112">
        <v>220.81707950000001</v>
      </c>
      <c r="I112">
        <v>3.6632248598909172</v>
      </c>
      <c r="J112">
        <v>0.93445707488887586</v>
      </c>
      <c r="K112">
        <v>-0.1783803068141277</v>
      </c>
      <c r="L112">
        <v>4.2322383880471742E-2</v>
      </c>
      <c r="M112" t="s">
        <v>25</v>
      </c>
      <c r="N112">
        <v>2</v>
      </c>
      <c r="O112" t="s">
        <v>26</v>
      </c>
      <c r="P112">
        <v>67528</v>
      </c>
      <c r="Q112">
        <v>56.055</v>
      </c>
      <c r="R112">
        <v>221.02</v>
      </c>
      <c r="S112">
        <v>0.12602292135027909</v>
      </c>
      <c r="T112">
        <v>1.0414437907178199E-2</v>
      </c>
      <c r="U112">
        <v>6.544660693917119E-3</v>
      </c>
      <c r="V112">
        <v>3.868901041192729E-3</v>
      </c>
      <c r="W112">
        <v>2.6757596527243899E-3</v>
      </c>
      <c r="X112" s="21">
        <f t="shared" si="3"/>
        <v>46113</v>
      </c>
      <c r="Y112" s="21">
        <f t="shared" si="5"/>
        <v>46113</v>
      </c>
      <c r="Z112">
        <f t="array" ref="Z112">_xlfn.XLOOKUP(INT(X112),INT($AE$2:$AE$1000),$AG$2:$AG$1000,"")</f>
        <v>24.54</v>
      </c>
      <c r="AE112" s="21">
        <f t="shared" si="4"/>
        <v>46028</v>
      </c>
      <c r="AF112" s="21">
        <v>46174</v>
      </c>
      <c r="AG112">
        <v>14.75</v>
      </c>
    </row>
    <row r="113" spans="1:33">
      <c r="A113">
        <v>11</v>
      </c>
      <c r="B113" t="s">
        <v>30</v>
      </c>
      <c r="C113" t="s">
        <v>31</v>
      </c>
      <c r="D113">
        <v>67596</v>
      </c>
      <c r="E113">
        <v>55.86</v>
      </c>
      <c r="F113">
        <v>220.74</v>
      </c>
      <c r="G113">
        <v>55.865586</v>
      </c>
      <c r="H113">
        <v>220.71792600000001</v>
      </c>
      <c r="I113">
        <v>-3.6861653480315608</v>
      </c>
      <c r="J113">
        <v>0.93445707488887586</v>
      </c>
      <c r="K113">
        <v>0.17901897601145719</v>
      </c>
      <c r="L113">
        <v>-4.2332929006472578E-2</v>
      </c>
      <c r="M113" t="s">
        <v>27</v>
      </c>
      <c r="N113">
        <v>25</v>
      </c>
      <c r="O113" t="s">
        <v>26</v>
      </c>
      <c r="P113">
        <v>67621</v>
      </c>
      <c r="Q113">
        <v>55.34</v>
      </c>
      <c r="R113">
        <v>219.47</v>
      </c>
      <c r="S113">
        <v>-0.18402809430865691</v>
      </c>
      <c r="T113">
        <v>-3.9327047687736427E-2</v>
      </c>
      <c r="U113">
        <v>-4.3181276568778078E-2</v>
      </c>
      <c r="V113">
        <v>3.8689272583627742E-3</v>
      </c>
      <c r="W113">
        <v>-4.7050203827140862E-2</v>
      </c>
      <c r="X113" s="21">
        <f t="shared" si="3"/>
        <v>46113</v>
      </c>
      <c r="Y113" s="21">
        <f t="shared" si="5"/>
        <v>46113</v>
      </c>
      <c r="Z113">
        <f t="array" ref="Z113">_xlfn.XLOOKUP(INT(X113),INT($AE$2:$AE$1000),$AG$2:$AG$1000,"")</f>
        <v>24.54</v>
      </c>
      <c r="AE113" s="21">
        <f t="shared" si="4"/>
        <v>46029</v>
      </c>
      <c r="AF113" s="21">
        <v>46204</v>
      </c>
      <c r="AG113">
        <v>15.38</v>
      </c>
    </row>
    <row r="114" spans="1:33">
      <c r="A114">
        <v>11</v>
      </c>
      <c r="B114" t="s">
        <v>30</v>
      </c>
      <c r="C114" t="s">
        <v>31</v>
      </c>
      <c r="D114">
        <v>67988</v>
      </c>
      <c r="E114">
        <v>56.38</v>
      </c>
      <c r="F114">
        <v>224.095</v>
      </c>
      <c r="G114">
        <v>56.385638</v>
      </c>
      <c r="H114">
        <v>224.07259049999999</v>
      </c>
      <c r="I114">
        <v>-4.8642061366331379</v>
      </c>
      <c r="J114">
        <v>0.93445707488887586</v>
      </c>
      <c r="K114">
        <v>0.17736786094359699</v>
      </c>
      <c r="L114">
        <v>-4.1699148793541828E-2</v>
      </c>
      <c r="M114" t="s">
        <v>27</v>
      </c>
      <c r="N114">
        <v>33</v>
      </c>
      <c r="O114" t="s">
        <v>26</v>
      </c>
      <c r="P114">
        <v>68021</v>
      </c>
      <c r="Q114">
        <v>55.935000000000002</v>
      </c>
      <c r="R114">
        <v>219.91</v>
      </c>
      <c r="S114">
        <v>0.49306683379546712</v>
      </c>
      <c r="T114">
        <v>9.5582239581071954E-2</v>
      </c>
      <c r="U114">
        <v>9.1738669394877584E-2</v>
      </c>
      <c r="V114">
        <v>3.8689272583627742E-3</v>
      </c>
      <c r="W114">
        <v>8.7869742136514814E-2</v>
      </c>
      <c r="X114" s="21">
        <f t="shared" si="3"/>
        <v>46114</v>
      </c>
      <c r="Y114" s="21">
        <f t="shared" si="5"/>
        <v>46114</v>
      </c>
      <c r="Z114">
        <f t="array" ref="Z114">_xlfn.XLOOKUP(INT(X114),INT($AE$2:$AE$1000),$AG$2:$AG$1000,"")</f>
        <v>23.87</v>
      </c>
      <c r="AE114" s="21">
        <f t="shared" si="4"/>
        <v>46030</v>
      </c>
      <c r="AF114" s="21">
        <v>46235</v>
      </c>
      <c r="AG114">
        <v>15.45</v>
      </c>
    </row>
    <row r="115" spans="1:33">
      <c r="A115">
        <v>11</v>
      </c>
      <c r="B115" t="s">
        <v>30</v>
      </c>
      <c r="C115" t="s">
        <v>31</v>
      </c>
      <c r="D115">
        <v>68382</v>
      </c>
      <c r="E115">
        <v>55.564999999999998</v>
      </c>
      <c r="F115">
        <v>222.875</v>
      </c>
      <c r="G115">
        <v>55.570556500000002</v>
      </c>
      <c r="H115">
        <v>222.8527125</v>
      </c>
      <c r="I115">
        <v>-3.5660628191703179</v>
      </c>
      <c r="J115">
        <v>0.93445707488887586</v>
      </c>
      <c r="K115">
        <v>0.17996940520111579</v>
      </c>
      <c r="L115">
        <v>-4.1927406613073509E-2</v>
      </c>
      <c r="M115" t="s">
        <v>27</v>
      </c>
      <c r="N115">
        <v>10</v>
      </c>
      <c r="O115" t="s">
        <v>26</v>
      </c>
      <c r="P115">
        <v>68392</v>
      </c>
      <c r="Q115">
        <v>56.09</v>
      </c>
      <c r="R115">
        <v>223.16</v>
      </c>
      <c r="S115">
        <v>-0.374839292860145</v>
      </c>
      <c r="T115">
        <v>8.253462684586102E-2</v>
      </c>
      <c r="U115">
        <v>7.8655069371222533E-2</v>
      </c>
      <c r="V115">
        <v>3.8689272583627742E-3</v>
      </c>
      <c r="W115">
        <v>7.4786142112859763E-2</v>
      </c>
      <c r="X115" s="21">
        <f t="shared" si="3"/>
        <v>46115</v>
      </c>
      <c r="Y115" s="21">
        <f t="shared" si="5"/>
        <v>46115</v>
      </c>
      <c r="Z115" t="str">
        <f t="array" ref="Z115">_xlfn.XLOOKUP(INT(X115),INT($AE$2:$AE$1000),$AG$2:$AG$1000,"")</f>
        <v/>
      </c>
      <c r="AE115" s="21">
        <f t="shared" si="4"/>
        <v>46031</v>
      </c>
      <c r="AF115" s="21">
        <v>46266</v>
      </c>
      <c r="AG115">
        <v>14.49</v>
      </c>
    </row>
    <row r="116" spans="1:33">
      <c r="A116">
        <v>11</v>
      </c>
      <c r="B116" t="s">
        <v>30</v>
      </c>
      <c r="C116" t="s">
        <v>31</v>
      </c>
      <c r="D116">
        <v>68770</v>
      </c>
      <c r="E116">
        <v>56.04</v>
      </c>
      <c r="F116">
        <v>220</v>
      </c>
      <c r="G116">
        <v>56.034396000000001</v>
      </c>
      <c r="H116">
        <v>220.02199999999999</v>
      </c>
      <c r="I116">
        <v>4.6787648366697976</v>
      </c>
      <c r="J116">
        <v>0.93445707488887586</v>
      </c>
      <c r="K116">
        <v>-0.1784439685938615</v>
      </c>
      <c r="L116">
        <v>4.2475321585857991E-2</v>
      </c>
      <c r="M116" t="s">
        <v>25</v>
      </c>
      <c r="N116">
        <v>4</v>
      </c>
      <c r="O116" t="s">
        <v>26</v>
      </c>
      <c r="P116">
        <v>68774</v>
      </c>
      <c r="Q116">
        <v>56.195</v>
      </c>
      <c r="R116">
        <v>223.04499999999999</v>
      </c>
      <c r="S116">
        <v>3.9158459174475939E-3</v>
      </c>
      <c r="T116">
        <v>0.1016785390968883</v>
      </c>
      <c r="U116">
        <v>9.779392533017528E-2</v>
      </c>
      <c r="V116">
        <v>3.8689010411927299E-3</v>
      </c>
      <c r="W116">
        <v>9.3925024288982556E-2</v>
      </c>
      <c r="X116" s="21">
        <f t="shared" si="3"/>
        <v>46118</v>
      </c>
      <c r="Y116" s="21">
        <f t="shared" si="5"/>
        <v>46118</v>
      </c>
      <c r="Z116">
        <f t="array" ref="Z116">_xlfn.XLOOKUP(INT(X116),INT($AE$2:$AE$1000),$AG$2:$AG$1000,"")</f>
        <v>24.17</v>
      </c>
      <c r="AE116" s="21">
        <f t="shared" si="4"/>
        <v>46034</v>
      </c>
      <c r="AF116" s="21">
        <v>46357</v>
      </c>
      <c r="AG116">
        <v>15.12</v>
      </c>
    </row>
    <row r="117" spans="1:33">
      <c r="A117">
        <v>11</v>
      </c>
      <c r="B117" t="s">
        <v>30</v>
      </c>
      <c r="C117" t="s">
        <v>31</v>
      </c>
      <c r="D117">
        <v>69317</v>
      </c>
      <c r="E117">
        <v>57.375</v>
      </c>
      <c r="F117">
        <v>226.42</v>
      </c>
      <c r="G117">
        <v>57.369262499999998</v>
      </c>
      <c r="H117">
        <v>226.44264200000001</v>
      </c>
      <c r="I117">
        <v>3.6364574033479982</v>
      </c>
      <c r="J117">
        <v>0.93445707488887586</v>
      </c>
      <c r="K117">
        <v>-0.17429193899782139</v>
      </c>
      <c r="L117">
        <v>4.1270959936793389E-2</v>
      </c>
      <c r="M117" t="s">
        <v>25</v>
      </c>
      <c r="N117">
        <v>2</v>
      </c>
      <c r="O117" t="s">
        <v>26</v>
      </c>
      <c r="P117">
        <v>69319</v>
      </c>
      <c r="Q117">
        <v>57.25</v>
      </c>
      <c r="R117">
        <v>226.3</v>
      </c>
      <c r="S117">
        <v>0.2031159867385792</v>
      </c>
      <c r="T117">
        <v>1.6833977182313449E-2</v>
      </c>
      <c r="U117">
        <v>1.2967736933293049E-2</v>
      </c>
      <c r="V117">
        <v>3.8689010411927299E-3</v>
      </c>
      <c r="W117">
        <v>9.0988358921003203E-3</v>
      </c>
      <c r="X117" s="21">
        <f t="shared" si="3"/>
        <v>46119</v>
      </c>
      <c r="Y117" s="21">
        <f t="shared" si="5"/>
        <v>46119</v>
      </c>
      <c r="Z117">
        <f t="array" ref="Z117">_xlfn.XLOOKUP(INT(X117),INT($AE$2:$AE$1000),$AG$2:$AG$1000,"")</f>
        <v>25.78</v>
      </c>
      <c r="AE117" s="21">
        <f t="shared" si="4"/>
        <v>46035</v>
      </c>
      <c r="AF117" t="s">
        <v>122</v>
      </c>
      <c r="AG117">
        <v>15.98</v>
      </c>
    </row>
    <row r="118" spans="1:33">
      <c r="A118">
        <v>11</v>
      </c>
      <c r="B118" t="s">
        <v>30</v>
      </c>
      <c r="C118" t="s">
        <v>31</v>
      </c>
      <c r="D118">
        <v>69392</v>
      </c>
      <c r="E118">
        <v>57.23</v>
      </c>
      <c r="F118">
        <v>227.22</v>
      </c>
      <c r="G118">
        <v>57.235722999999993</v>
      </c>
      <c r="H118">
        <v>227.19727800000001</v>
      </c>
      <c r="I118">
        <v>-3.6486710820134909</v>
      </c>
      <c r="J118">
        <v>0.93445707488887586</v>
      </c>
      <c r="K118">
        <v>0.1747335313646689</v>
      </c>
      <c r="L118">
        <v>-4.1125652446478117E-2</v>
      </c>
      <c r="M118" t="s">
        <v>27</v>
      </c>
      <c r="N118">
        <v>8</v>
      </c>
      <c r="O118" t="s">
        <v>26</v>
      </c>
      <c r="P118">
        <v>69400</v>
      </c>
      <c r="Q118">
        <v>57.215000000000003</v>
      </c>
      <c r="R118">
        <v>226.755</v>
      </c>
      <c r="S118">
        <v>0.35772578207039879</v>
      </c>
      <c r="T118">
        <v>1.6502425417143571E-2</v>
      </c>
      <c r="U118">
        <v>1.263568571050319E-2</v>
      </c>
      <c r="V118">
        <v>3.8689272583627742E-3</v>
      </c>
      <c r="W118">
        <v>8.7667584521404184E-3</v>
      </c>
      <c r="X118" s="21">
        <f t="shared" si="3"/>
        <v>46119</v>
      </c>
      <c r="Y118" s="21">
        <f t="shared" si="5"/>
        <v>46119</v>
      </c>
      <c r="Z118">
        <f t="array" ref="Z118">_xlfn.XLOOKUP(INT(X118),INT($AE$2:$AE$1000),$AG$2:$AG$1000,"")</f>
        <v>25.78</v>
      </c>
      <c r="AE118" s="21">
        <f t="shared" si="4"/>
        <v>46036</v>
      </c>
      <c r="AF118" t="s">
        <v>123</v>
      </c>
      <c r="AG118">
        <v>16.75</v>
      </c>
    </row>
    <row r="119" spans="1:33">
      <c r="A119">
        <v>11</v>
      </c>
      <c r="B119" t="s">
        <v>30</v>
      </c>
      <c r="C119" t="s">
        <v>31</v>
      </c>
      <c r="D119">
        <v>69500</v>
      </c>
      <c r="E119">
        <v>57.234999999999999</v>
      </c>
      <c r="F119">
        <v>227.77</v>
      </c>
      <c r="G119">
        <v>57.240723500000001</v>
      </c>
      <c r="H119">
        <v>227.74722299999999</v>
      </c>
      <c r="I119">
        <v>-3.7803756811253311</v>
      </c>
      <c r="J119">
        <v>0.93445707488887586</v>
      </c>
      <c r="K119">
        <v>0.17471826679479341</v>
      </c>
      <c r="L119">
        <v>-4.1026345650826523E-2</v>
      </c>
      <c r="M119" t="s">
        <v>27</v>
      </c>
      <c r="N119">
        <v>18</v>
      </c>
      <c r="O119" t="s">
        <v>26</v>
      </c>
      <c r="P119">
        <v>69518</v>
      </c>
      <c r="Q119">
        <v>57.21</v>
      </c>
      <c r="R119">
        <v>227.52</v>
      </c>
      <c r="S119">
        <v>-0.31248890318602818</v>
      </c>
      <c r="T119">
        <v>5.8886297428370439E-3</v>
      </c>
      <c r="U119">
        <v>2.021178047367496E-3</v>
      </c>
      <c r="V119">
        <v>3.8689272583627742E-3</v>
      </c>
      <c r="W119">
        <v>-1.847749210995278E-3</v>
      </c>
      <c r="X119" s="21">
        <f t="shared" si="3"/>
        <v>46120</v>
      </c>
      <c r="Y119" s="21">
        <f t="shared" si="5"/>
        <v>46120</v>
      </c>
      <c r="Z119">
        <f t="array" ref="Z119">_xlfn.XLOOKUP(INT(X119),INT($AE$2:$AE$1000),$AG$2:$AG$1000,"")</f>
        <v>21.04</v>
      </c>
      <c r="AE119" s="21">
        <f t="shared" si="4"/>
        <v>46037</v>
      </c>
      <c r="AF119" t="s">
        <v>124</v>
      </c>
      <c r="AG119">
        <v>15.84</v>
      </c>
    </row>
    <row r="120" spans="1:33">
      <c r="A120">
        <v>11</v>
      </c>
      <c r="B120" t="s">
        <v>30</v>
      </c>
      <c r="C120" t="s">
        <v>31</v>
      </c>
      <c r="D120">
        <v>69553</v>
      </c>
      <c r="E120">
        <v>57.38</v>
      </c>
      <c r="F120">
        <v>227.06</v>
      </c>
      <c r="G120">
        <v>57.374262000000002</v>
      </c>
      <c r="H120">
        <v>227.082706</v>
      </c>
      <c r="I120">
        <v>4.6679679746924823</v>
      </c>
      <c r="J120">
        <v>0.93445707488887586</v>
      </c>
      <c r="K120">
        <v>-0.17427675148135241</v>
      </c>
      <c r="L120">
        <v>4.1154632030691272E-2</v>
      </c>
      <c r="M120" t="s">
        <v>25</v>
      </c>
      <c r="N120">
        <v>8</v>
      </c>
      <c r="O120" t="s">
        <v>26</v>
      </c>
      <c r="P120">
        <v>69561</v>
      </c>
      <c r="Q120">
        <v>57.634999999999998</v>
      </c>
      <c r="R120">
        <v>229.28</v>
      </c>
      <c r="S120">
        <v>-2.75149091945401E-2</v>
      </c>
      <c r="T120">
        <v>4.6922711480390497E-2</v>
      </c>
      <c r="U120">
        <v>4.304021694513864E-2</v>
      </c>
      <c r="V120">
        <v>3.8689010411927299E-3</v>
      </c>
      <c r="W120">
        <v>3.9171315903945909E-2</v>
      </c>
      <c r="X120" s="21">
        <f t="shared" si="3"/>
        <v>46120</v>
      </c>
      <c r="Y120" s="21">
        <f t="shared" si="5"/>
        <v>46120</v>
      </c>
      <c r="Z120">
        <f t="array" ref="Z120">_xlfn.XLOOKUP(INT(X120),INT($AE$2:$AE$1000),$AG$2:$AG$1000,"")</f>
        <v>21.04</v>
      </c>
      <c r="AE120" s="21">
        <f t="shared" si="4"/>
        <v>46038</v>
      </c>
      <c r="AF120" t="s">
        <v>125</v>
      </c>
      <c r="AG120">
        <v>15.86</v>
      </c>
    </row>
    <row r="121" spans="1:33">
      <c r="A121">
        <v>11</v>
      </c>
      <c r="B121" t="s">
        <v>30</v>
      </c>
      <c r="C121" t="s">
        <v>31</v>
      </c>
      <c r="D121">
        <v>70545</v>
      </c>
      <c r="E121">
        <v>56.67</v>
      </c>
      <c r="F121">
        <v>225.82499999999999</v>
      </c>
      <c r="G121">
        <v>56.675666999999997</v>
      </c>
      <c r="H121">
        <v>225.80241749999999</v>
      </c>
      <c r="I121">
        <v>-3.520115427300714</v>
      </c>
      <c r="J121">
        <v>0.93445707488887586</v>
      </c>
      <c r="K121">
        <v>0.1764602082230457</v>
      </c>
      <c r="L121">
        <v>-4.1379699984008672E-2</v>
      </c>
      <c r="M121" t="s">
        <v>27</v>
      </c>
      <c r="N121">
        <v>9</v>
      </c>
      <c r="O121" t="s">
        <v>26</v>
      </c>
      <c r="P121">
        <v>70554</v>
      </c>
      <c r="Q121">
        <v>56.58</v>
      </c>
      <c r="R121">
        <v>224.85</v>
      </c>
      <c r="S121">
        <v>8.675707785119743E-3</v>
      </c>
      <c r="T121">
        <v>2.4463788744333512E-2</v>
      </c>
      <c r="U121">
        <v>2.0600497257178829E-2</v>
      </c>
      <c r="V121">
        <v>3.8689272583627742E-3</v>
      </c>
      <c r="W121">
        <v>1.6731569998816049E-2</v>
      </c>
      <c r="X121" s="21">
        <f t="shared" si="3"/>
        <v>46122</v>
      </c>
      <c r="Y121" s="21">
        <f t="shared" si="5"/>
        <v>46122</v>
      </c>
      <c r="Z121">
        <f t="array" ref="Z121">_xlfn.XLOOKUP(INT(X121),INT($AE$2:$AE$1000),$AG$2:$AG$1000,"")</f>
        <v>19.23</v>
      </c>
      <c r="AE121" s="21">
        <f t="shared" si="4"/>
        <v>46041</v>
      </c>
      <c r="AF121" t="s">
        <v>126</v>
      </c>
      <c r="AG121">
        <v>18.84</v>
      </c>
    </row>
    <row r="122" spans="1:33">
      <c r="A122">
        <v>11</v>
      </c>
      <c r="B122" t="s">
        <v>30</v>
      </c>
      <c r="C122" t="s">
        <v>31</v>
      </c>
      <c r="D122">
        <v>70726</v>
      </c>
      <c r="E122">
        <v>56.59</v>
      </c>
      <c r="F122">
        <v>223.49</v>
      </c>
      <c r="G122">
        <v>56.584341000000002</v>
      </c>
      <c r="H122">
        <v>223.512349</v>
      </c>
      <c r="I122">
        <v>4.7001284441657303</v>
      </c>
      <c r="J122">
        <v>0.93445707488887586</v>
      </c>
      <c r="K122">
        <v>-0.1767096660187312</v>
      </c>
      <c r="L122">
        <v>4.1812030734658188E-2</v>
      </c>
      <c r="M122" t="s">
        <v>25</v>
      </c>
      <c r="N122">
        <v>9</v>
      </c>
      <c r="O122" t="s">
        <v>26</v>
      </c>
      <c r="P122">
        <v>70735</v>
      </c>
      <c r="Q122">
        <v>56.47</v>
      </c>
      <c r="R122">
        <v>223.91</v>
      </c>
      <c r="S122">
        <v>0.211877086786004</v>
      </c>
      <c r="T122">
        <v>3.8766212830804461E-2</v>
      </c>
      <c r="U122">
        <v>3.4897663091728919E-2</v>
      </c>
      <c r="V122">
        <v>3.8689010411927299E-3</v>
      </c>
      <c r="W122">
        <v>3.1028762050536191E-2</v>
      </c>
      <c r="X122" s="21">
        <f t="shared" si="3"/>
        <v>46125</v>
      </c>
      <c r="Y122" s="21">
        <f t="shared" si="5"/>
        <v>46125</v>
      </c>
      <c r="Z122">
        <f t="array" ref="Z122">_xlfn.XLOOKUP(INT(X122),INT($AE$2:$AE$1000),$AG$2:$AG$1000,"")</f>
        <v>19.12</v>
      </c>
      <c r="AE122" s="21">
        <f t="shared" si="4"/>
        <v>46042</v>
      </c>
      <c r="AF122" t="s">
        <v>127</v>
      </c>
      <c r="AG122">
        <v>20.09</v>
      </c>
    </row>
    <row r="123" spans="1:33">
      <c r="A123">
        <v>12</v>
      </c>
      <c r="B123" t="s">
        <v>30</v>
      </c>
      <c r="C123" t="s">
        <v>31</v>
      </c>
      <c r="D123">
        <v>70801</v>
      </c>
      <c r="E123">
        <v>56.1</v>
      </c>
      <c r="F123">
        <v>221.56</v>
      </c>
      <c r="G123">
        <v>56.105609999999999</v>
      </c>
      <c r="H123">
        <v>221.53784400000001</v>
      </c>
      <c r="I123">
        <v>-5.2857677027929286</v>
      </c>
      <c r="J123">
        <v>0.94405449064772462</v>
      </c>
      <c r="K123">
        <v>0.17825311942958999</v>
      </c>
      <c r="L123">
        <v>-4.2609428175109432E-2</v>
      </c>
      <c r="M123" t="s">
        <v>27</v>
      </c>
      <c r="N123">
        <v>23</v>
      </c>
      <c r="O123" t="s">
        <v>26</v>
      </c>
      <c r="P123">
        <v>70824</v>
      </c>
      <c r="Q123">
        <v>56.01</v>
      </c>
      <c r="R123">
        <v>221.38</v>
      </c>
      <c r="S123">
        <v>-0.4580609406768828</v>
      </c>
      <c r="T123">
        <v>-8.373083677143723E-3</v>
      </c>
      <c r="U123">
        <v>-1.225882141065554E-2</v>
      </c>
      <c r="V123">
        <v>3.8881201703973201E-3</v>
      </c>
      <c r="W123">
        <v>-1.614694158105286E-2</v>
      </c>
      <c r="X123" s="21">
        <f t="shared" si="3"/>
        <v>46125</v>
      </c>
      <c r="Y123" s="21">
        <f t="shared" si="5"/>
        <v>46125</v>
      </c>
      <c r="Z123">
        <f t="array" ref="Z123">_xlfn.XLOOKUP(INT(X123),INT($AE$2:$AE$1000),$AG$2:$AG$1000,"")</f>
        <v>19.12</v>
      </c>
      <c r="AE123" s="21">
        <f t="shared" si="4"/>
        <v>46043</v>
      </c>
      <c r="AF123" t="s">
        <v>128</v>
      </c>
      <c r="AG123">
        <v>16.899999999999999</v>
      </c>
    </row>
    <row r="124" spans="1:33">
      <c r="A124">
        <v>12</v>
      </c>
      <c r="B124" t="s">
        <v>30</v>
      </c>
      <c r="C124" t="s">
        <v>31</v>
      </c>
      <c r="D124">
        <v>71114</v>
      </c>
      <c r="E124">
        <v>55.95</v>
      </c>
      <c r="F124">
        <v>220.35</v>
      </c>
      <c r="G124">
        <v>55.944405000000003</v>
      </c>
      <c r="H124">
        <v>220.37203500000001</v>
      </c>
      <c r="I124">
        <v>3.8584047850779659</v>
      </c>
      <c r="J124">
        <v>0.94405449064772462</v>
      </c>
      <c r="K124">
        <v>-0.17873100983020551</v>
      </c>
      <c r="L124">
        <v>4.2843407789776473E-2</v>
      </c>
      <c r="M124" t="s">
        <v>25</v>
      </c>
      <c r="N124">
        <v>7</v>
      </c>
      <c r="O124" t="s">
        <v>26</v>
      </c>
      <c r="P124">
        <v>71121</v>
      </c>
      <c r="Q124">
        <v>56.1</v>
      </c>
      <c r="R124">
        <v>221.92</v>
      </c>
      <c r="S124">
        <v>-0.20461089945307109</v>
      </c>
      <c r="T124">
        <v>4.0454498755418199E-2</v>
      </c>
      <c r="U124">
        <v>3.6556982393953823E-2</v>
      </c>
      <c r="V124">
        <v>3.888097792193579E-3</v>
      </c>
      <c r="W124">
        <v>3.2668884601760227E-2</v>
      </c>
      <c r="X124" s="21">
        <f t="shared" si="3"/>
        <v>46126</v>
      </c>
      <c r="Y124" s="21">
        <f t="shared" si="5"/>
        <v>46126</v>
      </c>
      <c r="Z124">
        <f t="array" ref="Z124">_xlfn.XLOOKUP(INT(X124),INT($AE$2:$AE$1000),$AG$2:$AG$1000,"")</f>
        <v>18.36</v>
      </c>
      <c r="AE124" s="21">
        <f t="shared" si="4"/>
        <v>46044</v>
      </c>
      <c r="AF124" t="s">
        <v>129</v>
      </c>
      <c r="AG124">
        <v>15.64</v>
      </c>
    </row>
    <row r="125" spans="1:33">
      <c r="A125">
        <v>12</v>
      </c>
      <c r="B125" t="s">
        <v>30</v>
      </c>
      <c r="C125" t="s">
        <v>31</v>
      </c>
      <c r="D125">
        <v>71504</v>
      </c>
      <c r="E125">
        <v>56.55</v>
      </c>
      <c r="F125">
        <v>223.04</v>
      </c>
      <c r="G125">
        <v>56.544345</v>
      </c>
      <c r="H125">
        <v>223.06230400000001</v>
      </c>
      <c r="I125">
        <v>3.7118362261002611</v>
      </c>
      <c r="J125">
        <v>0.94405449064772462</v>
      </c>
      <c r="K125">
        <v>-0.17683465959328029</v>
      </c>
      <c r="L125">
        <v>4.2326689860461113E-2</v>
      </c>
      <c r="M125" t="s">
        <v>25</v>
      </c>
      <c r="N125">
        <v>12</v>
      </c>
      <c r="O125" t="s">
        <v>26</v>
      </c>
      <c r="P125">
        <v>71516</v>
      </c>
      <c r="Q125">
        <v>56.58</v>
      </c>
      <c r="R125">
        <v>223.35499999999999</v>
      </c>
      <c r="S125">
        <v>0.28678400683238942</v>
      </c>
      <c r="T125">
        <v>8.0278675182465439E-3</v>
      </c>
      <c r="U125">
        <v>4.1378947422432491E-3</v>
      </c>
      <c r="V125">
        <v>3.888097792193579E-3</v>
      </c>
      <c r="W125">
        <v>2.4979695004967011E-4</v>
      </c>
      <c r="X125" s="21">
        <f t="shared" si="3"/>
        <v>46127</v>
      </c>
      <c r="Y125" s="21">
        <f t="shared" si="5"/>
        <v>46127</v>
      </c>
      <c r="Z125">
        <f t="array" ref="Z125">_xlfn.XLOOKUP(INT(X125),INT($AE$2:$AE$1000),$AG$2:$AG$1000,"")</f>
        <v>18.170000000000002</v>
      </c>
      <c r="AE125" s="21">
        <f t="shared" si="4"/>
        <v>46045</v>
      </c>
      <c r="AF125" t="s">
        <v>130</v>
      </c>
      <c r="AG125">
        <v>16.09</v>
      </c>
    </row>
    <row r="126" spans="1:33">
      <c r="A126">
        <v>12</v>
      </c>
      <c r="B126" t="s">
        <v>30</v>
      </c>
      <c r="C126" t="s">
        <v>31</v>
      </c>
      <c r="D126">
        <v>71896</v>
      </c>
      <c r="E126">
        <v>56.18</v>
      </c>
      <c r="F126">
        <v>221.73</v>
      </c>
      <c r="G126">
        <v>56.185617999999998</v>
      </c>
      <c r="H126">
        <v>221.70782700000001</v>
      </c>
      <c r="I126">
        <v>-3.7173685191356829</v>
      </c>
      <c r="J126">
        <v>0.94405449064772462</v>
      </c>
      <c r="K126">
        <v>0.17799928800284801</v>
      </c>
      <c r="L126">
        <v>-4.25767596016653E-2</v>
      </c>
      <c r="M126" t="s">
        <v>27</v>
      </c>
      <c r="N126">
        <v>1</v>
      </c>
      <c r="O126" t="s">
        <v>26</v>
      </c>
      <c r="P126">
        <v>71897</v>
      </c>
      <c r="Q126">
        <v>56.42</v>
      </c>
      <c r="R126">
        <v>221.73</v>
      </c>
      <c r="S126">
        <v>0.30732377143313272</v>
      </c>
      <c r="T126">
        <v>4.2719829120683873E-2</v>
      </c>
      <c r="U126">
        <v>3.8827448156475548E-2</v>
      </c>
      <c r="V126">
        <v>3.8881201703973201E-3</v>
      </c>
      <c r="W126">
        <v>3.4939327986078232E-2</v>
      </c>
      <c r="X126" s="21">
        <f t="shared" si="3"/>
        <v>46128</v>
      </c>
      <c r="Y126" s="21">
        <f t="shared" si="5"/>
        <v>46128</v>
      </c>
      <c r="Z126">
        <f t="array" ref="Z126">_xlfn.XLOOKUP(INT(X126),INT($AE$2:$AE$1000),$AG$2:$AG$1000,"")</f>
        <v>17.940000000000001</v>
      </c>
      <c r="AE126" s="21">
        <f t="shared" si="4"/>
        <v>46048</v>
      </c>
      <c r="AF126" t="s">
        <v>131</v>
      </c>
      <c r="AG126">
        <v>16.149999999999999</v>
      </c>
    </row>
    <row r="127" spans="1:33">
      <c r="A127">
        <v>12</v>
      </c>
      <c r="B127" t="s">
        <v>30</v>
      </c>
      <c r="C127" t="s">
        <v>31</v>
      </c>
      <c r="D127">
        <v>72054</v>
      </c>
      <c r="E127">
        <v>55.57</v>
      </c>
      <c r="F127">
        <v>218.78</v>
      </c>
      <c r="G127">
        <v>55.575557000000003</v>
      </c>
      <c r="H127">
        <v>218.75812199999999</v>
      </c>
      <c r="I127">
        <v>-3.5022308892687222</v>
      </c>
      <c r="J127">
        <v>0.94405449064772462</v>
      </c>
      <c r="K127">
        <v>0.17995321216483709</v>
      </c>
      <c r="L127">
        <v>-4.3150858883249127E-2</v>
      </c>
      <c r="M127" t="s">
        <v>27</v>
      </c>
      <c r="N127">
        <v>6</v>
      </c>
      <c r="O127" t="s">
        <v>26</v>
      </c>
      <c r="P127">
        <v>72060</v>
      </c>
      <c r="Q127">
        <v>55.695</v>
      </c>
      <c r="R127">
        <v>218.73500000000001</v>
      </c>
      <c r="S127">
        <v>0.29640827913932299</v>
      </c>
      <c r="T127">
        <v>2.443594017035031E-2</v>
      </c>
      <c r="U127">
        <v>2.0545775952769151E-2</v>
      </c>
      <c r="V127">
        <v>3.8881201703973201E-3</v>
      </c>
      <c r="W127">
        <v>1.6657655782371831E-2</v>
      </c>
      <c r="X127" s="21">
        <f t="shared" si="3"/>
        <v>46128</v>
      </c>
      <c r="Y127" s="21">
        <f t="shared" si="5"/>
        <v>46128</v>
      </c>
      <c r="Z127">
        <f t="array" ref="Z127">_xlfn.XLOOKUP(INT(X127),INT($AE$2:$AE$1000),$AG$2:$AG$1000,"")</f>
        <v>17.940000000000001</v>
      </c>
      <c r="AE127" s="21">
        <f t="shared" si="4"/>
        <v>46049</v>
      </c>
      <c r="AF127" t="s">
        <v>132</v>
      </c>
      <c r="AG127">
        <v>16.350000000000001</v>
      </c>
    </row>
    <row r="128" spans="1:33">
      <c r="A128">
        <v>12</v>
      </c>
      <c r="B128" t="s">
        <v>30</v>
      </c>
      <c r="C128" t="s">
        <v>31</v>
      </c>
      <c r="D128">
        <v>72284</v>
      </c>
      <c r="E128">
        <v>55.78</v>
      </c>
      <c r="F128">
        <v>218.74</v>
      </c>
      <c r="G128">
        <v>55.785578000000001</v>
      </c>
      <c r="H128">
        <v>218.71812600000001</v>
      </c>
      <c r="I128">
        <v>-4.5146704251436152</v>
      </c>
      <c r="J128">
        <v>0.94405449064772462</v>
      </c>
      <c r="K128">
        <v>0.17927572606669059</v>
      </c>
      <c r="L128">
        <v>-4.3158749686738801E-2</v>
      </c>
      <c r="M128" t="s">
        <v>27</v>
      </c>
      <c r="N128">
        <v>8</v>
      </c>
      <c r="O128" t="s">
        <v>26</v>
      </c>
      <c r="P128">
        <v>72292</v>
      </c>
      <c r="Q128">
        <v>56.21</v>
      </c>
      <c r="R128">
        <v>219.35</v>
      </c>
      <c r="S128">
        <v>-0.22136105130708919</v>
      </c>
      <c r="T128">
        <v>5.0761724899766873E-2</v>
      </c>
      <c r="U128">
        <v>4.6863274378520843E-2</v>
      </c>
      <c r="V128">
        <v>3.8881201703973192E-3</v>
      </c>
      <c r="W128">
        <v>4.2975154208123527E-2</v>
      </c>
      <c r="X128" s="21">
        <f t="shared" si="3"/>
        <v>46129</v>
      </c>
      <c r="Y128" s="21">
        <f t="shared" si="5"/>
        <v>46129</v>
      </c>
      <c r="Z128">
        <f t="array" ref="Z128">_xlfn.XLOOKUP(INT(X128),INT($AE$2:$AE$1000),$AG$2:$AG$1000,"")</f>
        <v>17.48</v>
      </c>
      <c r="AE128" s="21">
        <f t="shared" si="4"/>
        <v>46050</v>
      </c>
      <c r="AF128" t="s">
        <v>133</v>
      </c>
      <c r="AG128">
        <v>16.350000000000001</v>
      </c>
    </row>
    <row r="129" spans="1:33">
      <c r="A129">
        <v>12</v>
      </c>
      <c r="B129" t="s">
        <v>30</v>
      </c>
      <c r="C129" t="s">
        <v>31</v>
      </c>
      <c r="D129">
        <v>72560</v>
      </c>
      <c r="E129">
        <v>56.64</v>
      </c>
      <c r="F129">
        <v>222.57</v>
      </c>
      <c r="G129">
        <v>56.634335999999998</v>
      </c>
      <c r="H129">
        <v>222.59225699999999</v>
      </c>
      <c r="I129">
        <v>3.700470940687608</v>
      </c>
      <c r="J129">
        <v>0.94405449064772462</v>
      </c>
      <c r="K129">
        <v>-0.17655367231638419</v>
      </c>
      <c r="L129">
        <v>4.2416070928145061E-2</v>
      </c>
      <c r="M129" t="s">
        <v>25</v>
      </c>
      <c r="N129">
        <v>18</v>
      </c>
      <c r="O129" t="s">
        <v>26</v>
      </c>
      <c r="P129">
        <v>72578</v>
      </c>
      <c r="Q129">
        <v>56.715000000000003</v>
      </c>
      <c r="R129">
        <v>222.95</v>
      </c>
      <c r="S129">
        <v>-1.71753934551769E-4</v>
      </c>
      <c r="T129">
        <v>2.8765815289656139E-3</v>
      </c>
      <c r="U129">
        <v>-1.0144634155656721E-3</v>
      </c>
      <c r="V129">
        <v>3.888097792193579E-3</v>
      </c>
      <c r="W129">
        <v>-4.9025612077592514E-3</v>
      </c>
      <c r="X129" s="21">
        <f t="shared" si="3"/>
        <v>46132</v>
      </c>
      <c r="Y129" s="21">
        <f t="shared" si="5"/>
        <v>46132</v>
      </c>
      <c r="Z129">
        <f t="array" ref="Z129">_xlfn.XLOOKUP(INT(X129),INT($AE$2:$AE$1000),$AG$2:$AG$1000,"")</f>
        <v>18.87</v>
      </c>
      <c r="AE129" s="21">
        <f t="shared" si="4"/>
        <v>46051</v>
      </c>
      <c r="AF129" t="s">
        <v>134</v>
      </c>
      <c r="AG129">
        <v>16.88</v>
      </c>
    </row>
    <row r="130" spans="1:33">
      <c r="A130">
        <v>12</v>
      </c>
      <c r="B130" t="s">
        <v>30</v>
      </c>
      <c r="C130" t="s">
        <v>31</v>
      </c>
      <c r="D130">
        <v>72675</v>
      </c>
      <c r="E130">
        <v>56.42</v>
      </c>
      <c r="F130">
        <v>223.06</v>
      </c>
      <c r="G130">
        <v>56.425642000000003</v>
      </c>
      <c r="H130">
        <v>223.03769399999999</v>
      </c>
      <c r="I130">
        <v>-4.3198245695592616</v>
      </c>
      <c r="J130">
        <v>0.94405449064772462</v>
      </c>
      <c r="K130">
        <v>0.1772421127259837</v>
      </c>
      <c r="L130">
        <v>-4.2322894765880241E-2</v>
      </c>
      <c r="M130" t="s">
        <v>27</v>
      </c>
      <c r="N130">
        <v>5</v>
      </c>
      <c r="O130" t="s">
        <v>26</v>
      </c>
      <c r="P130">
        <v>72680</v>
      </c>
      <c r="Q130">
        <v>56.53</v>
      </c>
      <c r="R130">
        <v>222.435</v>
      </c>
      <c r="S130">
        <v>0.37175208715218239</v>
      </c>
      <c r="T130">
        <v>4.594844162853326E-2</v>
      </c>
      <c r="U130">
        <v>4.206102816492048E-2</v>
      </c>
      <c r="V130">
        <v>3.8881201703973209E-3</v>
      </c>
      <c r="W130">
        <v>3.8172907994523157E-2</v>
      </c>
      <c r="X130" s="21">
        <f t="shared" ref="X130:X191" si="6">WORKDAY(DATE(2025,8,2),INT(D130/390))</f>
        <v>46132</v>
      </c>
      <c r="Y130" s="21">
        <f t="shared" si="5"/>
        <v>46132</v>
      </c>
      <c r="Z130">
        <f t="array" ref="Z130">_xlfn.XLOOKUP(INT(X130),INT($AE$2:$AE$1000),$AG$2:$AG$1000,"")</f>
        <v>18.87</v>
      </c>
      <c r="AE130" s="21">
        <f t="shared" ref="AE130:AE193" si="7">IF(ISNUMBER(AF130),DATE(YEAR(AF130),DAY(AF130),MONTH(AF130)),DATE(RIGHT(AF130,4),LEFT(AF130,2),MID(AF130,4,2)))</f>
        <v>46052</v>
      </c>
      <c r="AF130" t="s">
        <v>135</v>
      </c>
      <c r="AG130">
        <v>17.440000000000001</v>
      </c>
    </row>
    <row r="131" spans="1:33">
      <c r="A131">
        <v>12</v>
      </c>
      <c r="B131" t="s">
        <v>30</v>
      </c>
      <c r="C131" t="s">
        <v>31</v>
      </c>
      <c r="D131">
        <v>73065</v>
      </c>
      <c r="E131">
        <v>55.67</v>
      </c>
      <c r="F131">
        <v>219.065</v>
      </c>
      <c r="G131">
        <v>55.675567000000001</v>
      </c>
      <c r="H131">
        <v>219.0430935</v>
      </c>
      <c r="I131">
        <v>-4.4109964921465226</v>
      </c>
      <c r="J131">
        <v>0.94405449064772462</v>
      </c>
      <c r="K131">
        <v>0.17962996227770789</v>
      </c>
      <c r="L131">
        <v>-4.3094720318066541E-2</v>
      </c>
      <c r="M131" t="s">
        <v>27</v>
      </c>
      <c r="N131">
        <v>23</v>
      </c>
      <c r="O131" t="s">
        <v>26</v>
      </c>
      <c r="P131">
        <v>73088</v>
      </c>
      <c r="Q131">
        <v>55.87</v>
      </c>
      <c r="R131">
        <v>219.69499999999999</v>
      </c>
      <c r="S131">
        <v>-0.41828776250499489</v>
      </c>
      <c r="T131">
        <v>8.7763186551590919E-3</v>
      </c>
      <c r="U131">
        <v>4.8819021072379759E-3</v>
      </c>
      <c r="V131">
        <v>3.8881201703973201E-3</v>
      </c>
      <c r="W131">
        <v>9.9378193684065584E-4</v>
      </c>
      <c r="X131" s="21">
        <f t="shared" si="6"/>
        <v>46133</v>
      </c>
      <c r="Y131" s="21">
        <f t="shared" ref="Y131:Y194" si="8">WORKDAY(DATE(2025,8,2),INT(P131/390))</f>
        <v>46133</v>
      </c>
      <c r="Z131">
        <f t="array" ref="Z131">_xlfn.XLOOKUP(INT(X131),INT($AE$2:$AE$1000),$AG$2:$AG$1000,"")</f>
        <v>19.5</v>
      </c>
      <c r="AE131" s="21">
        <f t="shared" si="7"/>
        <v>46055</v>
      </c>
      <c r="AF131" s="21">
        <v>46055</v>
      </c>
      <c r="AG131">
        <v>16.34</v>
      </c>
    </row>
    <row r="132" spans="1:33">
      <c r="A132">
        <v>12</v>
      </c>
      <c r="B132" t="s">
        <v>30</v>
      </c>
      <c r="C132" t="s">
        <v>31</v>
      </c>
      <c r="D132">
        <v>73749</v>
      </c>
      <c r="E132">
        <v>55.615000000000002</v>
      </c>
      <c r="F132">
        <v>221.15</v>
      </c>
      <c r="G132">
        <v>55.609438500000003</v>
      </c>
      <c r="H132">
        <v>221.17211499999999</v>
      </c>
      <c r="I132">
        <v>3.613041336473191</v>
      </c>
      <c r="J132">
        <v>0.94405449064772462</v>
      </c>
      <c r="K132">
        <v>-0.17980760586172789</v>
      </c>
      <c r="L132">
        <v>4.2688423723614047E-2</v>
      </c>
      <c r="M132" t="s">
        <v>25</v>
      </c>
      <c r="N132">
        <v>17</v>
      </c>
      <c r="O132" t="s">
        <v>26</v>
      </c>
      <c r="P132">
        <v>73766</v>
      </c>
      <c r="Q132">
        <v>55.625</v>
      </c>
      <c r="R132">
        <v>221.55</v>
      </c>
      <c r="S132">
        <v>-0.1384319637405409</v>
      </c>
      <c r="T132">
        <v>1.5277293430828939E-2</v>
      </c>
      <c r="U132">
        <v>1.138729710498026E-2</v>
      </c>
      <c r="V132">
        <v>3.888097792193579E-3</v>
      </c>
      <c r="W132">
        <v>7.4991993127866774E-3</v>
      </c>
      <c r="X132" s="21">
        <f t="shared" si="6"/>
        <v>46135</v>
      </c>
      <c r="Y132" s="21">
        <f t="shared" si="8"/>
        <v>46135</v>
      </c>
      <c r="Z132">
        <f t="array" ref="Z132">_xlfn.XLOOKUP(INT(X132),INT($AE$2:$AE$1000),$AG$2:$AG$1000,"")</f>
        <v>19.309999999999999</v>
      </c>
      <c r="AE132" s="21">
        <f t="shared" si="7"/>
        <v>46056</v>
      </c>
      <c r="AF132" s="21">
        <v>46083</v>
      </c>
      <c r="AG132">
        <v>18</v>
      </c>
    </row>
    <row r="133" spans="1:33">
      <c r="A133">
        <v>12</v>
      </c>
      <c r="B133" t="s">
        <v>30</v>
      </c>
      <c r="C133" t="s">
        <v>31</v>
      </c>
      <c r="D133">
        <v>73845</v>
      </c>
      <c r="E133">
        <v>56.5</v>
      </c>
      <c r="F133">
        <v>221.69</v>
      </c>
      <c r="G133">
        <v>56.494349999999997</v>
      </c>
      <c r="H133">
        <v>221.71216899999999</v>
      </c>
      <c r="I133">
        <v>5.2325717931209716</v>
      </c>
      <c r="J133">
        <v>0.94405449064772462</v>
      </c>
      <c r="K133">
        <v>-0.1769911504424779</v>
      </c>
      <c r="L133">
        <v>4.2584441817300041E-2</v>
      </c>
      <c r="M133" t="s">
        <v>25</v>
      </c>
      <c r="N133">
        <v>13</v>
      </c>
      <c r="O133" t="s">
        <v>26</v>
      </c>
      <c r="P133">
        <v>73858</v>
      </c>
      <c r="Q133">
        <v>56.78</v>
      </c>
      <c r="R133">
        <v>225.88499999999999</v>
      </c>
      <c r="S133">
        <v>0.37455789632458791</v>
      </c>
      <c r="T133">
        <v>0.1290842112996794</v>
      </c>
      <c r="U133">
        <v>0.12517328239283049</v>
      </c>
      <c r="V133">
        <v>3.8880977921935782E-3</v>
      </c>
      <c r="W133">
        <v>0.12128518460063691</v>
      </c>
      <c r="X133" s="21">
        <f t="shared" si="6"/>
        <v>46135</v>
      </c>
      <c r="Y133" s="21">
        <f t="shared" si="8"/>
        <v>46135</v>
      </c>
      <c r="Z133">
        <f t="array" ref="Z133">_xlfn.XLOOKUP(INT(X133),INT($AE$2:$AE$1000),$AG$2:$AG$1000,"")</f>
        <v>19.309999999999999</v>
      </c>
      <c r="AE133" s="21">
        <f t="shared" si="7"/>
        <v>46057</v>
      </c>
      <c r="AF133" s="21">
        <v>46114</v>
      </c>
      <c r="AG133">
        <v>18.64</v>
      </c>
    </row>
    <row r="134" spans="1:33">
      <c r="A134">
        <v>13</v>
      </c>
      <c r="B134" t="s">
        <v>30</v>
      </c>
      <c r="C134" t="s">
        <v>31</v>
      </c>
      <c r="D134">
        <v>74701</v>
      </c>
      <c r="E134">
        <v>55.24</v>
      </c>
      <c r="F134">
        <v>219.67500000000001</v>
      </c>
      <c r="G134">
        <v>55.245524000000003</v>
      </c>
      <c r="H134">
        <v>219.65303249999999</v>
      </c>
      <c r="I134">
        <v>-5.2845603453299734</v>
      </c>
      <c r="J134">
        <v>0.96501910880198527</v>
      </c>
      <c r="K134">
        <v>0.18102824040550319</v>
      </c>
      <c r="L134">
        <v>-4.3929400651052018E-2</v>
      </c>
      <c r="M134" t="s">
        <v>27</v>
      </c>
      <c r="N134">
        <v>23</v>
      </c>
      <c r="O134" t="s">
        <v>26</v>
      </c>
      <c r="P134">
        <v>74724</v>
      </c>
      <c r="Q134">
        <v>55.16</v>
      </c>
      <c r="R134">
        <v>219.05</v>
      </c>
      <c r="S134">
        <v>-0.4888053066347452</v>
      </c>
      <c r="T134">
        <v>1.297361617446628E-2</v>
      </c>
      <c r="U134">
        <v>9.0477717703263578E-3</v>
      </c>
      <c r="V134">
        <v>3.9300452137822108E-3</v>
      </c>
      <c r="W134">
        <v>5.1177265565441471E-3</v>
      </c>
      <c r="X134" s="21">
        <f t="shared" si="6"/>
        <v>46139</v>
      </c>
      <c r="Y134" s="21">
        <f t="shared" si="8"/>
        <v>46139</v>
      </c>
      <c r="Z134">
        <f t="array" ref="Z134">_xlfn.XLOOKUP(INT(X134),INT($AE$2:$AE$1000),$AG$2:$AG$1000,"")</f>
        <v>18.02</v>
      </c>
      <c r="AE134" s="21">
        <f t="shared" si="7"/>
        <v>46058</v>
      </c>
      <c r="AF134" s="21">
        <v>46144</v>
      </c>
      <c r="AG134">
        <v>21.77</v>
      </c>
    </row>
    <row r="135" spans="1:33">
      <c r="A135">
        <v>13</v>
      </c>
      <c r="B135" t="s">
        <v>30</v>
      </c>
      <c r="C135" t="s">
        <v>31</v>
      </c>
      <c r="D135">
        <v>75608</v>
      </c>
      <c r="E135">
        <v>54.45</v>
      </c>
      <c r="F135">
        <v>214.715</v>
      </c>
      <c r="G135">
        <v>54.444555000000001</v>
      </c>
      <c r="H135">
        <v>214.73647149999999</v>
      </c>
      <c r="I135">
        <v>3.6354004325012448</v>
      </c>
      <c r="J135">
        <v>0.96501910880198527</v>
      </c>
      <c r="K135">
        <v>-0.18365472910927461</v>
      </c>
      <c r="L135">
        <v>4.4944186889690298E-2</v>
      </c>
      <c r="M135" t="s">
        <v>25</v>
      </c>
      <c r="N135">
        <v>20</v>
      </c>
      <c r="O135" t="s">
        <v>26</v>
      </c>
      <c r="P135">
        <v>75628</v>
      </c>
      <c r="Q135">
        <v>54.62</v>
      </c>
      <c r="R135">
        <v>215.41</v>
      </c>
      <c r="S135">
        <v>0.44565455766834738</v>
      </c>
      <c r="T135">
        <v>1.4905939758769891E-5</v>
      </c>
      <c r="U135">
        <v>-3.9213780292283312E-3</v>
      </c>
      <c r="V135">
        <v>3.9300312214257307E-3</v>
      </c>
      <c r="W135">
        <v>-7.8514092506540619E-3</v>
      </c>
      <c r="X135" s="21">
        <f t="shared" si="6"/>
        <v>46141</v>
      </c>
      <c r="Y135" s="21">
        <f t="shared" si="8"/>
        <v>46141</v>
      </c>
      <c r="Z135">
        <f t="array" ref="Z135">_xlfn.XLOOKUP(INT(X135),INT($AE$2:$AE$1000),$AG$2:$AG$1000,"")</f>
        <v>18.809999999999999</v>
      </c>
      <c r="AE135" s="21">
        <f t="shared" si="7"/>
        <v>46059</v>
      </c>
      <c r="AF135" s="21">
        <v>46175</v>
      </c>
      <c r="AG135">
        <v>17.760000000000002</v>
      </c>
    </row>
    <row r="136" spans="1:33">
      <c r="A136">
        <v>13</v>
      </c>
      <c r="B136" t="s">
        <v>30</v>
      </c>
      <c r="C136" t="s">
        <v>31</v>
      </c>
      <c r="D136">
        <v>75803</v>
      </c>
      <c r="E136">
        <v>53.965000000000003</v>
      </c>
      <c r="F136">
        <v>214.3</v>
      </c>
      <c r="G136">
        <v>53.9703965</v>
      </c>
      <c r="H136">
        <v>214.27857</v>
      </c>
      <c r="I136">
        <v>-3.894545598021919</v>
      </c>
      <c r="J136">
        <v>0.96501910880198527</v>
      </c>
      <c r="K136">
        <v>0.1853052904660428</v>
      </c>
      <c r="L136">
        <v>-4.5031222995892912E-2</v>
      </c>
      <c r="M136" t="s">
        <v>27</v>
      </c>
      <c r="N136">
        <v>20</v>
      </c>
      <c r="O136" t="s">
        <v>26</v>
      </c>
      <c r="P136">
        <v>75823</v>
      </c>
      <c r="Q136">
        <v>53.84</v>
      </c>
      <c r="R136">
        <v>213.845</v>
      </c>
      <c r="S136">
        <v>-0.47533808501658281</v>
      </c>
      <c r="T136">
        <v>-2.6739548451235121E-3</v>
      </c>
      <c r="U136">
        <v>-6.5996278259504368E-3</v>
      </c>
      <c r="V136">
        <v>3.9300452137822099E-3</v>
      </c>
      <c r="W136">
        <v>-1.0529673039732649E-2</v>
      </c>
      <c r="X136" s="21">
        <f t="shared" si="6"/>
        <v>46142</v>
      </c>
      <c r="Y136" s="21">
        <f t="shared" si="8"/>
        <v>46142</v>
      </c>
      <c r="Z136">
        <f t="array" ref="Z136">_xlfn.XLOOKUP(INT(X136),INT($AE$2:$AE$1000),$AG$2:$AG$1000,"")</f>
        <v>16.89</v>
      </c>
      <c r="AE136" s="21">
        <f t="shared" si="7"/>
        <v>46062</v>
      </c>
      <c r="AF136" s="21">
        <v>46267</v>
      </c>
      <c r="AG136">
        <v>17.36</v>
      </c>
    </row>
    <row r="137" spans="1:33">
      <c r="A137">
        <v>13</v>
      </c>
      <c r="B137" t="s">
        <v>30</v>
      </c>
      <c r="C137" t="s">
        <v>31</v>
      </c>
      <c r="D137">
        <v>76191</v>
      </c>
      <c r="E137">
        <v>53.505000000000003</v>
      </c>
      <c r="F137">
        <v>209.91</v>
      </c>
      <c r="G137">
        <v>53.499649499999997</v>
      </c>
      <c r="H137">
        <v>209.93099100000001</v>
      </c>
      <c r="I137">
        <v>5.2150281813887016</v>
      </c>
      <c r="J137">
        <v>0.96501910880198527</v>
      </c>
      <c r="K137">
        <v>-0.186898420708345</v>
      </c>
      <c r="L137">
        <v>4.5972993606878433E-2</v>
      </c>
      <c r="M137" t="s">
        <v>25</v>
      </c>
      <c r="N137">
        <v>20</v>
      </c>
      <c r="O137" t="s">
        <v>26</v>
      </c>
      <c r="P137">
        <v>76211</v>
      </c>
      <c r="Q137">
        <v>53.51</v>
      </c>
      <c r="R137">
        <v>212.30500000000001</v>
      </c>
      <c r="S137">
        <v>-0.48522066756618032</v>
      </c>
      <c r="T137">
        <v>0.10917082758493341</v>
      </c>
      <c r="U137">
        <v>0.1052296853861505</v>
      </c>
      <c r="V137">
        <v>3.9300312214257324E-3</v>
      </c>
      <c r="W137">
        <v>0.10129965416472481</v>
      </c>
      <c r="X137" s="21">
        <f t="shared" si="6"/>
        <v>46143</v>
      </c>
      <c r="Y137" s="21">
        <f t="shared" si="8"/>
        <v>46143</v>
      </c>
      <c r="Z137">
        <f t="array" ref="Z137">_xlfn.XLOOKUP(INT(X137),INT($AE$2:$AE$1000),$AG$2:$AG$1000,"")</f>
        <v>16.989999999999998</v>
      </c>
      <c r="AE137" s="21">
        <f t="shared" si="7"/>
        <v>46063</v>
      </c>
      <c r="AF137" s="21">
        <v>46297</v>
      </c>
      <c r="AG137">
        <v>17.79</v>
      </c>
    </row>
    <row r="138" spans="1:33">
      <c r="A138">
        <v>13</v>
      </c>
      <c r="B138" t="s">
        <v>30</v>
      </c>
      <c r="C138" t="s">
        <v>31</v>
      </c>
      <c r="D138">
        <v>76583</v>
      </c>
      <c r="E138">
        <v>53.03</v>
      </c>
      <c r="F138">
        <v>213.58</v>
      </c>
      <c r="G138">
        <v>53.035302999999999</v>
      </c>
      <c r="H138">
        <v>213.55864199999999</v>
      </c>
      <c r="I138">
        <v>-4.1596963848877166</v>
      </c>
      <c r="J138">
        <v>0.96501910880198527</v>
      </c>
      <c r="K138">
        <v>0.1885725061286064</v>
      </c>
      <c r="L138">
        <v>-4.5183027849142493E-2</v>
      </c>
      <c r="M138" t="s">
        <v>27</v>
      </c>
      <c r="N138">
        <v>5</v>
      </c>
      <c r="O138" t="s">
        <v>26</v>
      </c>
      <c r="P138">
        <v>76588</v>
      </c>
      <c r="Q138">
        <v>53.18</v>
      </c>
      <c r="R138">
        <v>212.95</v>
      </c>
      <c r="S138">
        <v>-0.15759450154934621</v>
      </c>
      <c r="T138">
        <v>5.6751183464251537E-2</v>
      </c>
      <c r="U138">
        <v>5.2821163189809991E-2</v>
      </c>
      <c r="V138">
        <v>3.9300452137822108E-3</v>
      </c>
      <c r="W138">
        <v>4.8891117976027777E-2</v>
      </c>
      <c r="X138" s="21">
        <f t="shared" si="6"/>
        <v>46146</v>
      </c>
      <c r="Y138" s="21">
        <f t="shared" si="8"/>
        <v>46146</v>
      </c>
      <c r="Z138">
        <f t="array" ref="Z138">_xlfn.XLOOKUP(INT(X138),INT($AE$2:$AE$1000),$AG$2:$AG$1000,"")</f>
        <v>18.29</v>
      </c>
      <c r="AE138" s="21">
        <f t="shared" si="7"/>
        <v>46064</v>
      </c>
      <c r="AF138" s="21">
        <v>46328</v>
      </c>
      <c r="AG138">
        <v>17.649999999999999</v>
      </c>
    </row>
    <row r="139" spans="1:33">
      <c r="A139">
        <v>13</v>
      </c>
      <c r="B139" t="s">
        <v>30</v>
      </c>
      <c r="C139" t="s">
        <v>31</v>
      </c>
      <c r="D139">
        <v>77305</v>
      </c>
      <c r="E139">
        <v>53.68</v>
      </c>
      <c r="F139">
        <v>213.76</v>
      </c>
      <c r="G139">
        <v>53.674632000000003</v>
      </c>
      <c r="H139">
        <v>213.78137599999999</v>
      </c>
      <c r="I139">
        <v>3.740328380464673</v>
      </c>
      <c r="J139">
        <v>0.96501910880198527</v>
      </c>
      <c r="K139">
        <v>-0.1862891207153502</v>
      </c>
      <c r="L139">
        <v>4.5144980763565927E-2</v>
      </c>
      <c r="M139" t="s">
        <v>25</v>
      </c>
      <c r="N139">
        <v>2</v>
      </c>
      <c r="O139" t="s">
        <v>26</v>
      </c>
      <c r="P139">
        <v>77307</v>
      </c>
      <c r="Q139">
        <v>53.66</v>
      </c>
      <c r="R139">
        <v>214.45</v>
      </c>
      <c r="S139">
        <v>-5.5096645983412733E-2</v>
      </c>
      <c r="T139">
        <v>3.4875819141167982E-2</v>
      </c>
      <c r="U139">
        <v>3.0943038498132711E-2</v>
      </c>
      <c r="V139">
        <v>3.9300312214257324E-3</v>
      </c>
      <c r="W139">
        <v>2.7013007276706979E-2</v>
      </c>
      <c r="X139" s="21">
        <f t="shared" si="6"/>
        <v>46148</v>
      </c>
      <c r="Y139" s="21">
        <f t="shared" si="8"/>
        <v>46148</v>
      </c>
      <c r="Z139">
        <f t="array" ref="Z139">_xlfn.XLOOKUP(INT(X139),INT($AE$2:$AE$1000),$AG$2:$AG$1000,"")</f>
        <v>17.39</v>
      </c>
      <c r="AE139" s="21">
        <f t="shared" si="7"/>
        <v>46065</v>
      </c>
      <c r="AF139" s="21">
        <v>46358</v>
      </c>
      <c r="AG139">
        <v>20.82</v>
      </c>
    </row>
    <row r="140" spans="1:33">
      <c r="A140">
        <v>13</v>
      </c>
      <c r="B140" t="s">
        <v>30</v>
      </c>
      <c r="C140" t="s">
        <v>31</v>
      </c>
      <c r="D140">
        <v>77363</v>
      </c>
      <c r="E140">
        <v>53.01</v>
      </c>
      <c r="F140">
        <v>213.81</v>
      </c>
      <c r="G140">
        <v>53.015301000000001</v>
      </c>
      <c r="H140">
        <v>213.78861900000001</v>
      </c>
      <c r="I140">
        <v>-4.6222573982750603</v>
      </c>
      <c r="J140">
        <v>0.96501910880198527</v>
      </c>
      <c r="K140">
        <v>0.18864365214110551</v>
      </c>
      <c r="L140">
        <v>-4.5134423497590628E-2</v>
      </c>
      <c r="M140" t="s">
        <v>27</v>
      </c>
      <c r="N140">
        <v>7</v>
      </c>
      <c r="O140" t="s">
        <v>26</v>
      </c>
      <c r="P140">
        <v>77370</v>
      </c>
      <c r="Q140">
        <v>52.765000000000001</v>
      </c>
      <c r="R140">
        <v>211.79</v>
      </c>
      <c r="S140">
        <v>-0.44007995022552482</v>
      </c>
      <c r="T140">
        <v>4.4953840690563171E-2</v>
      </c>
      <c r="U140">
        <v>4.1037541395983361E-2</v>
      </c>
      <c r="V140">
        <v>3.9300452137822108E-3</v>
      </c>
      <c r="W140">
        <v>3.7107496182201147E-2</v>
      </c>
      <c r="X140" s="21">
        <f t="shared" si="6"/>
        <v>46148</v>
      </c>
      <c r="Y140" s="21">
        <f t="shared" si="8"/>
        <v>46148</v>
      </c>
      <c r="Z140">
        <f t="array" ref="Z140">_xlfn.XLOOKUP(INT(X140),INT($AE$2:$AE$1000),$AG$2:$AG$1000,"")</f>
        <v>17.39</v>
      </c>
      <c r="AE140" s="21">
        <f t="shared" si="7"/>
        <v>46066</v>
      </c>
      <c r="AF140" t="s">
        <v>136</v>
      </c>
      <c r="AG140">
        <v>20.6</v>
      </c>
    </row>
    <row r="141" spans="1:33">
      <c r="A141">
        <v>13</v>
      </c>
      <c r="B141" t="s">
        <v>30</v>
      </c>
      <c r="C141" t="s">
        <v>31</v>
      </c>
      <c r="D141">
        <v>77753</v>
      </c>
      <c r="E141">
        <v>53.47</v>
      </c>
      <c r="F141">
        <v>213.35</v>
      </c>
      <c r="G141">
        <v>53.464652999999998</v>
      </c>
      <c r="H141">
        <v>213.37133499999999</v>
      </c>
      <c r="I141">
        <v>4.0842757255555622</v>
      </c>
      <c r="J141">
        <v>0.96501910880198527</v>
      </c>
      <c r="K141">
        <v>-0.1870207593042828</v>
      </c>
      <c r="L141">
        <v>4.5231736995640273E-2</v>
      </c>
      <c r="M141" t="s">
        <v>25</v>
      </c>
      <c r="N141">
        <v>10</v>
      </c>
      <c r="O141" t="s">
        <v>26</v>
      </c>
      <c r="P141">
        <v>77763</v>
      </c>
      <c r="Q141">
        <v>53.46</v>
      </c>
      <c r="R141">
        <v>213.875</v>
      </c>
      <c r="S141">
        <v>-0.27669785825482962</v>
      </c>
      <c r="T141">
        <v>2.561686951575385E-2</v>
      </c>
      <c r="U141">
        <v>2.168464365271644E-2</v>
      </c>
      <c r="V141">
        <v>3.9300312214257307E-3</v>
      </c>
      <c r="W141">
        <v>1.7754612431290711E-2</v>
      </c>
      <c r="X141" s="21">
        <f t="shared" si="6"/>
        <v>46149</v>
      </c>
      <c r="Y141" s="21">
        <f t="shared" si="8"/>
        <v>46149</v>
      </c>
      <c r="Z141">
        <f t="array" ref="Z141">_xlfn.XLOOKUP(INT(X141),INT($AE$2:$AE$1000),$AG$2:$AG$1000,"")</f>
        <v>17.079999999999998</v>
      </c>
      <c r="AE141" s="21">
        <f t="shared" si="7"/>
        <v>46069</v>
      </c>
      <c r="AF141" t="s">
        <v>137</v>
      </c>
      <c r="AG141">
        <v>21.2</v>
      </c>
    </row>
    <row r="142" spans="1:33">
      <c r="A142">
        <v>13</v>
      </c>
      <c r="B142" t="s">
        <v>30</v>
      </c>
      <c r="C142" t="s">
        <v>31</v>
      </c>
      <c r="D142">
        <v>78143</v>
      </c>
      <c r="E142">
        <v>54.48</v>
      </c>
      <c r="F142">
        <v>216.23</v>
      </c>
      <c r="G142">
        <v>54.474552000000003</v>
      </c>
      <c r="H142">
        <v>216.251623</v>
      </c>
      <c r="I142">
        <v>4.2960134960350116</v>
      </c>
      <c r="J142">
        <v>0.96501910880198527</v>
      </c>
      <c r="K142">
        <v>-0.18355359765051399</v>
      </c>
      <c r="L142">
        <v>4.4629288664939433E-2</v>
      </c>
      <c r="M142" t="s">
        <v>25</v>
      </c>
      <c r="N142">
        <v>3</v>
      </c>
      <c r="O142" t="s">
        <v>26</v>
      </c>
      <c r="P142">
        <v>78146</v>
      </c>
      <c r="Q142">
        <v>54.09</v>
      </c>
      <c r="R142">
        <v>215.41</v>
      </c>
      <c r="S142">
        <v>-0.25577907223841179</v>
      </c>
      <c r="T142">
        <v>3.4989886378449221E-2</v>
      </c>
      <c r="U142">
        <v>3.1070666352824319E-2</v>
      </c>
      <c r="V142">
        <v>3.9300312214257324E-3</v>
      </c>
      <c r="W142">
        <v>2.7140635131398579E-2</v>
      </c>
      <c r="X142" s="21">
        <f t="shared" si="6"/>
        <v>46150</v>
      </c>
      <c r="Y142" s="21">
        <f t="shared" si="8"/>
        <v>46150</v>
      </c>
      <c r="Z142">
        <f t="array" ref="Z142">_xlfn.XLOOKUP(INT(X142),INT($AE$2:$AE$1000),$AG$2:$AG$1000,"")</f>
        <v>17.190000000000001</v>
      </c>
      <c r="AE142" s="21">
        <f t="shared" si="7"/>
        <v>46070</v>
      </c>
      <c r="AF142" t="s">
        <v>138</v>
      </c>
      <c r="AG142">
        <v>20.29</v>
      </c>
    </row>
    <row r="143" spans="1:33">
      <c r="A143">
        <v>14</v>
      </c>
      <c r="B143" t="s">
        <v>30</v>
      </c>
      <c r="C143" t="s">
        <v>31</v>
      </c>
      <c r="D143">
        <v>78601</v>
      </c>
      <c r="E143">
        <v>54.924999999999997</v>
      </c>
      <c r="F143">
        <v>219.88</v>
      </c>
      <c r="G143">
        <v>54.9304925</v>
      </c>
      <c r="H143">
        <v>219.858012</v>
      </c>
      <c r="I143">
        <v>-5.2845788834833556</v>
      </c>
      <c r="J143">
        <v>0.98325718974251342</v>
      </c>
      <c r="K143">
        <v>0.18206645425580339</v>
      </c>
      <c r="L143">
        <v>-4.4717900206590569E-2</v>
      </c>
      <c r="M143" t="s">
        <v>27</v>
      </c>
      <c r="N143">
        <v>24</v>
      </c>
      <c r="O143" t="s">
        <v>26</v>
      </c>
      <c r="P143">
        <v>78625</v>
      </c>
      <c r="Q143">
        <v>54.924999999999997</v>
      </c>
      <c r="R143">
        <v>219.72</v>
      </c>
      <c r="S143">
        <v>-0.451626910045764</v>
      </c>
      <c r="T143">
        <v>7.1548640330543383E-3</v>
      </c>
      <c r="U143">
        <v>3.189065139971753E-3</v>
      </c>
      <c r="V143">
        <v>3.9665177280470776E-3</v>
      </c>
      <c r="W143">
        <v>-7.7745258807532551E-4</v>
      </c>
      <c r="X143" s="21">
        <f t="shared" si="6"/>
        <v>46153</v>
      </c>
      <c r="Y143" s="21">
        <f t="shared" si="8"/>
        <v>46153</v>
      </c>
      <c r="Z143">
        <f t="array" ref="Z143">_xlfn.XLOOKUP(INT(X143),INT($AE$2:$AE$1000),$AG$2:$AG$1000,"")</f>
        <v>18.38</v>
      </c>
      <c r="AE143" s="21">
        <f t="shared" si="7"/>
        <v>46071</v>
      </c>
      <c r="AF143" t="s">
        <v>139</v>
      </c>
      <c r="AG143">
        <v>19.62</v>
      </c>
    </row>
    <row r="144" spans="1:33">
      <c r="A144">
        <v>14</v>
      </c>
      <c r="B144" t="s">
        <v>30</v>
      </c>
      <c r="C144" t="s">
        <v>31</v>
      </c>
      <c r="D144">
        <v>78925</v>
      </c>
      <c r="E144">
        <v>55.19</v>
      </c>
      <c r="F144">
        <v>219.61500000000001</v>
      </c>
      <c r="G144">
        <v>55.184480999999998</v>
      </c>
      <c r="H144">
        <v>219.63696150000001</v>
      </c>
      <c r="I144">
        <v>4.3505656785406286</v>
      </c>
      <c r="J144">
        <v>0.98325718974251342</v>
      </c>
      <c r="K144">
        <v>-0.18119224497191519</v>
      </c>
      <c r="L144">
        <v>4.4771859378572212E-2</v>
      </c>
      <c r="M144" t="s">
        <v>25</v>
      </c>
      <c r="N144">
        <v>2</v>
      </c>
      <c r="O144" t="s">
        <v>26</v>
      </c>
      <c r="P144">
        <v>78927</v>
      </c>
      <c r="Q144">
        <v>55.22</v>
      </c>
      <c r="R144">
        <v>221.55</v>
      </c>
      <c r="S144">
        <v>-0.48167809617385199</v>
      </c>
      <c r="T144">
        <v>8.1197780548379644E-2</v>
      </c>
      <c r="U144">
        <v>7.7222059237370133E-2</v>
      </c>
      <c r="V144">
        <v>3.9665110309229758E-3</v>
      </c>
      <c r="W144">
        <v>7.3255548206447155E-2</v>
      </c>
      <c r="X144" s="21">
        <f t="shared" si="6"/>
        <v>46154</v>
      </c>
      <c r="Y144" s="21">
        <f t="shared" si="8"/>
        <v>46154</v>
      </c>
      <c r="Z144">
        <f t="array" ref="Z144">_xlfn.XLOOKUP(INT(X144),INT($AE$2:$AE$1000),$AG$2:$AG$1000,"")</f>
        <v>17.989999999999998</v>
      </c>
      <c r="AE144" s="21">
        <f t="shared" si="7"/>
        <v>46072</v>
      </c>
      <c r="AF144" t="s">
        <v>140</v>
      </c>
      <c r="AG144">
        <v>20.23</v>
      </c>
    </row>
    <row r="145" spans="1:33">
      <c r="A145">
        <v>14</v>
      </c>
      <c r="B145" t="s">
        <v>30</v>
      </c>
      <c r="C145" t="s">
        <v>31</v>
      </c>
      <c r="D145">
        <v>79315</v>
      </c>
      <c r="E145">
        <v>55.38</v>
      </c>
      <c r="F145">
        <v>221.05</v>
      </c>
      <c r="G145">
        <v>55.374462000000001</v>
      </c>
      <c r="H145">
        <v>221.07210499999999</v>
      </c>
      <c r="I145">
        <v>4.0847078409820554</v>
      </c>
      <c r="J145">
        <v>0.98325718974251342</v>
      </c>
      <c r="K145">
        <v>-0.18057060310581441</v>
      </c>
      <c r="L145">
        <v>4.4481211931350982E-2</v>
      </c>
      <c r="M145" t="s">
        <v>25</v>
      </c>
      <c r="N145">
        <v>6</v>
      </c>
      <c r="O145" t="s">
        <v>26</v>
      </c>
      <c r="P145">
        <v>79321</v>
      </c>
      <c r="Q145">
        <v>55.21</v>
      </c>
      <c r="R145">
        <v>221.05</v>
      </c>
      <c r="S145">
        <v>0.36452729952486668</v>
      </c>
      <c r="T145">
        <v>3.0697002527988751E-2</v>
      </c>
      <c r="U145">
        <v>2.673355784875504E-2</v>
      </c>
      <c r="V145">
        <v>3.9665110309229758E-3</v>
      </c>
      <c r="W145">
        <v>2.2767046817832069E-2</v>
      </c>
      <c r="X145" s="21">
        <f t="shared" si="6"/>
        <v>46155</v>
      </c>
      <c r="Y145" s="21">
        <f t="shared" si="8"/>
        <v>46155</v>
      </c>
      <c r="Z145">
        <f t="array" ref="Z145">_xlfn.XLOOKUP(INT(X145),INT($AE$2:$AE$1000),$AG$2:$AG$1000,"")</f>
        <v>17.87</v>
      </c>
      <c r="AE145" s="21">
        <f t="shared" si="7"/>
        <v>46073</v>
      </c>
      <c r="AF145" t="s">
        <v>141</v>
      </c>
      <c r="AG145">
        <v>19.09</v>
      </c>
    </row>
    <row r="146" spans="1:33">
      <c r="A146">
        <v>14</v>
      </c>
      <c r="B146" t="s">
        <v>30</v>
      </c>
      <c r="C146" t="s">
        <v>31</v>
      </c>
      <c r="D146">
        <v>79671</v>
      </c>
      <c r="E146">
        <v>54.655000000000001</v>
      </c>
      <c r="F146">
        <v>220.59</v>
      </c>
      <c r="G146">
        <v>54.660465500000001</v>
      </c>
      <c r="H146">
        <v>220.56794099999999</v>
      </c>
      <c r="I146">
        <v>-3.546703690253675</v>
      </c>
      <c r="J146">
        <v>0.98325718974251342</v>
      </c>
      <c r="K146">
        <v>0.1829658768639649</v>
      </c>
      <c r="L146">
        <v>-4.4573969343239199E-2</v>
      </c>
      <c r="M146" t="s">
        <v>27</v>
      </c>
      <c r="N146">
        <v>9</v>
      </c>
      <c r="O146" t="s">
        <v>26</v>
      </c>
      <c r="P146">
        <v>79680</v>
      </c>
      <c r="Q146">
        <v>54.734999999999999</v>
      </c>
      <c r="R146">
        <v>220.61</v>
      </c>
      <c r="S146">
        <v>-0.1125305510698298</v>
      </c>
      <c r="T146">
        <v>1.3745790762251639E-2</v>
      </c>
      <c r="U146">
        <v>9.7777235078132657E-3</v>
      </c>
      <c r="V146">
        <v>3.9665177280470776E-3</v>
      </c>
      <c r="W146">
        <v>5.8112057797661872E-3</v>
      </c>
      <c r="X146" s="21">
        <f t="shared" si="6"/>
        <v>46156</v>
      </c>
      <c r="Y146" s="21">
        <f t="shared" si="8"/>
        <v>46156</v>
      </c>
      <c r="Z146">
        <f t="array" ref="Z146">_xlfn.XLOOKUP(INT(X146),INT($AE$2:$AE$1000),$AG$2:$AG$1000,"")</f>
        <v>17.260000000000002</v>
      </c>
      <c r="AE146" s="21">
        <f t="shared" si="7"/>
        <v>46076</v>
      </c>
      <c r="AF146" t="s">
        <v>142</v>
      </c>
      <c r="AG146">
        <v>21.01</v>
      </c>
    </row>
    <row r="147" spans="1:33">
      <c r="A147">
        <v>14</v>
      </c>
      <c r="B147" t="s">
        <v>30</v>
      </c>
      <c r="C147" t="s">
        <v>31</v>
      </c>
      <c r="D147">
        <v>80085</v>
      </c>
      <c r="E147">
        <v>54.505000000000003</v>
      </c>
      <c r="F147">
        <v>220.01</v>
      </c>
      <c r="G147">
        <v>54.499549500000001</v>
      </c>
      <c r="H147">
        <v>220.03200100000001</v>
      </c>
      <c r="I147">
        <v>3.803645536516358</v>
      </c>
      <c r="J147">
        <v>0.98325718974251342</v>
      </c>
      <c r="K147">
        <v>-0.18346940647647</v>
      </c>
      <c r="L147">
        <v>4.4691477193878157E-2</v>
      </c>
      <c r="M147" t="s">
        <v>25</v>
      </c>
      <c r="N147">
        <v>28</v>
      </c>
      <c r="O147" t="s">
        <v>26</v>
      </c>
      <c r="P147">
        <v>80113</v>
      </c>
      <c r="Q147">
        <v>54.46</v>
      </c>
      <c r="R147">
        <v>219.83</v>
      </c>
      <c r="S147">
        <v>0.34310790310208888</v>
      </c>
      <c r="T147">
        <v>2.116573965443586E-4</v>
      </c>
      <c r="U147">
        <v>-3.753226924022014E-3</v>
      </c>
      <c r="V147">
        <v>3.9665110309229749E-3</v>
      </c>
      <c r="W147">
        <v>-7.7197379549449894E-3</v>
      </c>
      <c r="X147" s="21">
        <f t="shared" si="6"/>
        <v>46157</v>
      </c>
      <c r="Y147" s="21">
        <f t="shared" si="8"/>
        <v>46157</v>
      </c>
      <c r="Z147">
        <f t="array" ref="Z147">_xlfn.XLOOKUP(INT(X147),INT($AE$2:$AE$1000),$AG$2:$AG$1000,"")</f>
        <v>18.43</v>
      </c>
      <c r="AE147" s="21">
        <f t="shared" si="7"/>
        <v>46077</v>
      </c>
      <c r="AF147" t="s">
        <v>143</v>
      </c>
      <c r="AG147">
        <v>19.55</v>
      </c>
    </row>
    <row r="148" spans="1:33">
      <c r="A148">
        <v>14</v>
      </c>
      <c r="B148" t="s">
        <v>30</v>
      </c>
      <c r="C148" t="s">
        <v>31</v>
      </c>
      <c r="D148">
        <v>80489</v>
      </c>
      <c r="E148">
        <v>54.01</v>
      </c>
      <c r="F148">
        <v>221.23</v>
      </c>
      <c r="G148">
        <v>54.015400999999997</v>
      </c>
      <c r="H148">
        <v>221.207877</v>
      </c>
      <c r="I148">
        <v>-5.1599561220203842</v>
      </c>
      <c r="J148">
        <v>0.98325718974251342</v>
      </c>
      <c r="K148">
        <v>0.18515089798185519</v>
      </c>
      <c r="L148">
        <v>-4.444502055519204E-2</v>
      </c>
      <c r="M148" t="s">
        <v>27</v>
      </c>
      <c r="N148">
        <v>1</v>
      </c>
      <c r="O148" t="s">
        <v>26</v>
      </c>
      <c r="P148">
        <v>80490</v>
      </c>
      <c r="Q148">
        <v>53.99</v>
      </c>
      <c r="R148">
        <v>217.995</v>
      </c>
      <c r="S148">
        <v>-8.9186258548039674E-2</v>
      </c>
      <c r="T148">
        <v>0.14007662353640921</v>
      </c>
      <c r="U148">
        <v>0.13612485742287139</v>
      </c>
      <c r="V148">
        <v>3.9665177280470776E-3</v>
      </c>
      <c r="W148">
        <v>0.13215833969482429</v>
      </c>
      <c r="X148" s="21">
        <f t="shared" si="6"/>
        <v>46160</v>
      </c>
      <c r="Y148" s="21">
        <f t="shared" si="8"/>
        <v>46160</v>
      </c>
      <c r="Z148">
        <f t="array" ref="Z148">_xlfn.XLOOKUP(INT(X148),INT($AE$2:$AE$1000),$AG$2:$AG$1000,"")</f>
        <v>17.82</v>
      </c>
      <c r="AE148" s="21">
        <f t="shared" si="7"/>
        <v>46078</v>
      </c>
      <c r="AF148" t="s">
        <v>144</v>
      </c>
      <c r="AG148">
        <v>17.93</v>
      </c>
    </row>
    <row r="149" spans="1:33">
      <c r="A149">
        <v>14</v>
      </c>
      <c r="B149" t="s">
        <v>30</v>
      </c>
      <c r="C149" t="s">
        <v>31</v>
      </c>
      <c r="D149">
        <v>81270</v>
      </c>
      <c r="E149">
        <v>54.22</v>
      </c>
      <c r="F149">
        <v>218.6</v>
      </c>
      <c r="G149">
        <v>54.214578000000003</v>
      </c>
      <c r="H149">
        <v>218.62186</v>
      </c>
      <c r="I149">
        <v>4.1876319731760443</v>
      </c>
      <c r="J149">
        <v>0.98325718974251342</v>
      </c>
      <c r="K149">
        <v>-0.18443378827001111</v>
      </c>
      <c r="L149">
        <v>4.4979743355101257E-2</v>
      </c>
      <c r="M149" t="s">
        <v>25</v>
      </c>
      <c r="N149">
        <v>10</v>
      </c>
      <c r="O149" t="s">
        <v>26</v>
      </c>
      <c r="P149">
        <v>81280</v>
      </c>
      <c r="Q149">
        <v>53.91</v>
      </c>
      <c r="R149">
        <v>218.32</v>
      </c>
      <c r="S149">
        <v>-0.42062306388679288</v>
      </c>
      <c r="T149">
        <v>4.4580146224275453E-2</v>
      </c>
      <c r="U149">
        <v>4.0620608725041259E-2</v>
      </c>
      <c r="V149">
        <v>3.9665110309229758E-3</v>
      </c>
      <c r="W149">
        <v>3.665409769411828E-2</v>
      </c>
      <c r="X149" s="21">
        <f t="shared" si="6"/>
        <v>46162</v>
      </c>
      <c r="Y149" s="21">
        <f t="shared" si="8"/>
        <v>46162</v>
      </c>
      <c r="Z149">
        <f t="array" ref="Z149">_xlfn.XLOOKUP(INT(X149),INT($AE$2:$AE$1000),$AG$2:$AG$1000,"")</f>
        <v>17.440000000000001</v>
      </c>
      <c r="AE149" s="21">
        <f t="shared" si="7"/>
        <v>46079</v>
      </c>
      <c r="AF149" t="s">
        <v>145</v>
      </c>
      <c r="AG149">
        <v>18.63</v>
      </c>
    </row>
    <row r="150" spans="1:33">
      <c r="A150">
        <v>14</v>
      </c>
      <c r="B150" t="s">
        <v>30</v>
      </c>
      <c r="C150" t="s">
        <v>31</v>
      </c>
      <c r="D150">
        <v>81427</v>
      </c>
      <c r="E150">
        <v>53.39</v>
      </c>
      <c r="F150">
        <v>218.51</v>
      </c>
      <c r="G150">
        <v>53.395339</v>
      </c>
      <c r="H150">
        <v>218.48814899999999</v>
      </c>
      <c r="I150">
        <v>-4.3337169448103214</v>
      </c>
      <c r="J150">
        <v>0.98325718974251342</v>
      </c>
      <c r="K150">
        <v>0.18730099269526129</v>
      </c>
      <c r="L150">
        <v>-4.4998269632626132E-2</v>
      </c>
      <c r="M150" t="s">
        <v>27</v>
      </c>
      <c r="N150">
        <v>6</v>
      </c>
      <c r="O150" t="s">
        <v>26</v>
      </c>
      <c r="P150">
        <v>81433</v>
      </c>
      <c r="Q150">
        <v>53.424999999999997</v>
      </c>
      <c r="R150">
        <v>218.11</v>
      </c>
      <c r="S150">
        <v>0.15007989150364229</v>
      </c>
      <c r="T150">
        <v>2.4554842597382932E-2</v>
      </c>
      <c r="U150">
        <v>2.0589472595210101E-2</v>
      </c>
      <c r="V150">
        <v>3.9665177280470776E-3</v>
      </c>
      <c r="W150">
        <v>1.6622954867163021E-2</v>
      </c>
      <c r="X150" s="21">
        <f t="shared" si="6"/>
        <v>46162</v>
      </c>
      <c r="Y150" s="21">
        <f t="shared" si="8"/>
        <v>46162</v>
      </c>
      <c r="Z150">
        <f t="array" ref="Z150">_xlfn.XLOOKUP(INT(X150),INT($AE$2:$AE$1000),$AG$2:$AG$1000,"")</f>
        <v>17.440000000000001</v>
      </c>
      <c r="AE150" s="21">
        <f t="shared" si="7"/>
        <v>46080</v>
      </c>
      <c r="AF150" t="s">
        <v>146</v>
      </c>
      <c r="AG150">
        <v>19.86</v>
      </c>
    </row>
    <row r="151" spans="1:33">
      <c r="A151">
        <v>14</v>
      </c>
      <c r="B151" t="s">
        <v>30</v>
      </c>
      <c r="C151" t="s">
        <v>31</v>
      </c>
      <c r="D151">
        <v>81660</v>
      </c>
      <c r="E151">
        <v>53.86</v>
      </c>
      <c r="F151">
        <v>218.25</v>
      </c>
      <c r="G151">
        <v>53.854613999999998</v>
      </c>
      <c r="H151">
        <v>218.27182500000001</v>
      </c>
      <c r="I151">
        <v>4.7132087829337701</v>
      </c>
      <c r="J151">
        <v>0.98325718974251342</v>
      </c>
      <c r="K151">
        <v>-0.18566654288897139</v>
      </c>
      <c r="L151">
        <v>4.5051875818671858E-2</v>
      </c>
      <c r="M151" t="s">
        <v>25</v>
      </c>
      <c r="N151">
        <v>3</v>
      </c>
      <c r="O151" t="s">
        <v>26</v>
      </c>
      <c r="P151">
        <v>81663</v>
      </c>
      <c r="Q151">
        <v>54.07</v>
      </c>
      <c r="R151">
        <v>221.86</v>
      </c>
      <c r="S151">
        <v>-0.16441479308253129</v>
      </c>
      <c r="T151">
        <v>0.1236472976987219</v>
      </c>
      <c r="U151">
        <v>0.1196606205946652</v>
      </c>
      <c r="V151">
        <v>3.9665110309229758E-3</v>
      </c>
      <c r="W151">
        <v>0.1156941095637422</v>
      </c>
      <c r="X151" s="21">
        <f t="shared" si="6"/>
        <v>46163</v>
      </c>
      <c r="Y151" s="21">
        <f t="shared" si="8"/>
        <v>46163</v>
      </c>
      <c r="Z151">
        <f t="array" ref="Z151">_xlfn.XLOOKUP(INT(X151),INT($AE$2:$AE$1000),$AG$2:$AG$1000,"")</f>
        <v>16.760000000000002</v>
      </c>
      <c r="AE151" s="21">
        <f t="shared" si="7"/>
        <v>46083</v>
      </c>
      <c r="AF151" s="21">
        <v>46056</v>
      </c>
      <c r="AG151">
        <v>21.44</v>
      </c>
    </row>
    <row r="152" spans="1:33">
      <c r="A152">
        <v>14</v>
      </c>
      <c r="B152" t="s">
        <v>30</v>
      </c>
      <c r="C152" t="s">
        <v>31</v>
      </c>
      <c r="D152">
        <v>82445</v>
      </c>
      <c r="E152">
        <v>55.99</v>
      </c>
      <c r="F152">
        <v>228.31</v>
      </c>
      <c r="G152">
        <v>55.984401000000013</v>
      </c>
      <c r="H152">
        <v>228.332831</v>
      </c>
      <c r="I152">
        <v>4.4188733455300788</v>
      </c>
      <c r="J152">
        <v>0.98325718974251342</v>
      </c>
      <c r="K152">
        <v>-0.17860332202178961</v>
      </c>
      <c r="L152">
        <v>4.3066759657593337E-2</v>
      </c>
      <c r="M152" t="s">
        <v>25</v>
      </c>
      <c r="N152">
        <v>7</v>
      </c>
      <c r="O152" t="s">
        <v>26</v>
      </c>
      <c r="P152">
        <v>82452</v>
      </c>
      <c r="Q152">
        <v>55.71</v>
      </c>
      <c r="R152">
        <v>228.31</v>
      </c>
      <c r="S152">
        <v>0.25563224746374058</v>
      </c>
      <c r="T152">
        <v>5.0008930166101292E-2</v>
      </c>
      <c r="U152">
        <v>4.6047416679634467E-2</v>
      </c>
      <c r="V152">
        <v>3.9665110309229758E-3</v>
      </c>
      <c r="W152">
        <v>4.2080905648711489E-2</v>
      </c>
      <c r="X152" s="21">
        <f t="shared" si="6"/>
        <v>46167</v>
      </c>
      <c r="Y152" s="21">
        <f t="shared" si="8"/>
        <v>46167</v>
      </c>
      <c r="Z152">
        <f t="array" ref="Z152">_xlfn.XLOOKUP(INT(X152),INT($AE$2:$AE$1000),$AG$2:$AG$1000,"")</f>
        <v>16.59</v>
      </c>
      <c r="AE152" s="21">
        <f t="shared" si="7"/>
        <v>46084</v>
      </c>
      <c r="AF152" s="21">
        <v>46084</v>
      </c>
      <c r="AG152">
        <v>23.57</v>
      </c>
    </row>
    <row r="153" spans="1:33">
      <c r="A153">
        <v>15</v>
      </c>
      <c r="B153" t="s">
        <v>30</v>
      </c>
      <c r="C153" t="s">
        <v>32</v>
      </c>
      <c r="D153">
        <v>82501</v>
      </c>
      <c r="E153">
        <v>55.4</v>
      </c>
      <c r="F153">
        <v>49.02</v>
      </c>
      <c r="G153">
        <v>55.394460000000002</v>
      </c>
      <c r="H153">
        <v>49.024901999999997</v>
      </c>
      <c r="I153">
        <v>5.2946421827665366</v>
      </c>
      <c r="J153">
        <v>0.71674203224516841</v>
      </c>
      <c r="K153">
        <v>-0.18050541516245491</v>
      </c>
      <c r="L153">
        <v>0.14621420486437539</v>
      </c>
      <c r="M153" t="s">
        <v>25</v>
      </c>
      <c r="N153">
        <v>23</v>
      </c>
      <c r="O153" t="s">
        <v>26</v>
      </c>
      <c r="P153">
        <v>82524</v>
      </c>
      <c r="Q153">
        <v>55.46</v>
      </c>
      <c r="R153">
        <v>48.924999999999997</v>
      </c>
      <c r="S153">
        <v>0.49184093876936258</v>
      </c>
      <c r="T153">
        <v>-2.4720674371864239E-2</v>
      </c>
      <c r="U153">
        <v>-2.8153852433898861E-2</v>
      </c>
      <c r="V153">
        <v>3.433427412896786E-3</v>
      </c>
      <c r="W153">
        <v>-3.1587279846795643E-2</v>
      </c>
      <c r="X153" s="21">
        <f t="shared" si="6"/>
        <v>46167</v>
      </c>
      <c r="Y153" s="21">
        <f t="shared" si="8"/>
        <v>46167</v>
      </c>
      <c r="Z153">
        <f t="array" ref="Z153">_xlfn.XLOOKUP(INT(X153),INT($AE$2:$AE$1000),$AG$2:$AG$1000,"")</f>
        <v>16.59</v>
      </c>
      <c r="AE153" s="21">
        <f t="shared" si="7"/>
        <v>46085</v>
      </c>
      <c r="AF153" s="21">
        <v>46115</v>
      </c>
      <c r="AG153">
        <v>21.15</v>
      </c>
    </row>
    <row r="154" spans="1:33">
      <c r="A154">
        <v>15</v>
      </c>
      <c r="B154" t="s">
        <v>30</v>
      </c>
      <c r="C154" t="s">
        <v>32</v>
      </c>
      <c r="D154">
        <v>82775</v>
      </c>
      <c r="E154">
        <v>55.454999999999998</v>
      </c>
      <c r="F154">
        <v>49.034999999999997</v>
      </c>
      <c r="G154">
        <v>55.460545499999988</v>
      </c>
      <c r="H154">
        <v>49.030096499999999</v>
      </c>
      <c r="I154">
        <v>-3.618709709195238</v>
      </c>
      <c r="J154">
        <v>0.71674203224516841</v>
      </c>
      <c r="K154">
        <v>0.18032639076728879</v>
      </c>
      <c r="L154">
        <v>-0.14616947736212271</v>
      </c>
      <c r="M154" t="s">
        <v>27</v>
      </c>
      <c r="N154">
        <v>17</v>
      </c>
      <c r="O154" t="s">
        <v>26</v>
      </c>
      <c r="P154">
        <v>82792</v>
      </c>
      <c r="Q154">
        <v>55.475000000000001</v>
      </c>
      <c r="R154">
        <v>49.04</v>
      </c>
      <c r="S154">
        <v>-0.32664993217280558</v>
      </c>
      <c r="T154">
        <v>2.875680428535352E-3</v>
      </c>
      <c r="U154">
        <v>-5.5823737347344971E-4</v>
      </c>
      <c r="V154">
        <v>3.433540716083888E-3</v>
      </c>
      <c r="W154">
        <v>-3.9917780895573369E-3</v>
      </c>
      <c r="X154" s="21">
        <f t="shared" si="6"/>
        <v>46168</v>
      </c>
      <c r="Y154" s="21">
        <f t="shared" si="8"/>
        <v>46168</v>
      </c>
      <c r="Z154">
        <f t="array" ref="Z154">_xlfn.XLOOKUP(INT(X154),INT($AE$2:$AE$1000),$AG$2:$AG$1000,"")</f>
        <v>17.010000000000002</v>
      </c>
      <c r="AE154" s="21">
        <f t="shared" si="7"/>
        <v>46086</v>
      </c>
      <c r="AF154" s="21">
        <v>46145</v>
      </c>
      <c r="AG154">
        <v>23.75</v>
      </c>
    </row>
    <row r="155" spans="1:33">
      <c r="A155">
        <v>15</v>
      </c>
      <c r="B155" t="s">
        <v>30</v>
      </c>
      <c r="C155" t="s">
        <v>32</v>
      </c>
      <c r="D155">
        <v>82834</v>
      </c>
      <c r="E155">
        <v>55.9</v>
      </c>
      <c r="F155">
        <v>49.39</v>
      </c>
      <c r="G155">
        <v>55.894410000000001</v>
      </c>
      <c r="H155">
        <v>49.394939000000001</v>
      </c>
      <c r="I155">
        <v>3.616000328049747</v>
      </c>
      <c r="J155">
        <v>0.71674203224516841</v>
      </c>
      <c r="K155">
        <v>-0.1788908765652952</v>
      </c>
      <c r="L155">
        <v>0.1451188564983131</v>
      </c>
      <c r="M155" t="s">
        <v>25</v>
      </c>
      <c r="N155">
        <v>5</v>
      </c>
      <c r="O155" t="s">
        <v>26</v>
      </c>
      <c r="P155">
        <v>82839</v>
      </c>
      <c r="Q155">
        <v>56</v>
      </c>
      <c r="R155">
        <v>49.72</v>
      </c>
      <c r="S155">
        <v>-0.28239712615868451</v>
      </c>
      <c r="T155">
        <v>3.0000134987913301E-2</v>
      </c>
      <c r="U155">
        <v>2.656007309239267E-2</v>
      </c>
      <c r="V155">
        <v>3.433427412896786E-3</v>
      </c>
      <c r="W155">
        <v>2.3126645679495881E-2</v>
      </c>
      <c r="X155" s="21">
        <f t="shared" si="6"/>
        <v>46168</v>
      </c>
      <c r="Y155" s="21">
        <f t="shared" si="8"/>
        <v>46168</v>
      </c>
      <c r="Z155">
        <f t="array" ref="Z155">_xlfn.XLOOKUP(INT(X155),INT($AE$2:$AE$1000),$AG$2:$AG$1000,"")</f>
        <v>17.010000000000002</v>
      </c>
      <c r="AE155" s="21">
        <f t="shared" si="7"/>
        <v>46087</v>
      </c>
      <c r="AF155" s="21">
        <v>46176</v>
      </c>
      <c r="AG155">
        <v>29.49</v>
      </c>
    </row>
    <row r="156" spans="1:33">
      <c r="A156">
        <v>15</v>
      </c>
      <c r="B156" t="s">
        <v>30</v>
      </c>
      <c r="C156" t="s">
        <v>32</v>
      </c>
      <c r="D156">
        <v>83127</v>
      </c>
      <c r="E156">
        <v>55.734999999999999</v>
      </c>
      <c r="F156">
        <v>49.335000000000001</v>
      </c>
      <c r="G156">
        <v>55.740573500000004</v>
      </c>
      <c r="H156">
        <v>49.330066500000001</v>
      </c>
      <c r="I156">
        <v>-3.9384352450546358</v>
      </c>
      <c r="J156">
        <v>0.71674203224516841</v>
      </c>
      <c r="K156">
        <v>0.17942047187584101</v>
      </c>
      <c r="L156">
        <v>-0.14528063894702919</v>
      </c>
      <c r="M156" t="s">
        <v>27</v>
      </c>
      <c r="N156">
        <v>15</v>
      </c>
      <c r="O156" t="s">
        <v>26</v>
      </c>
      <c r="P156">
        <v>83142</v>
      </c>
      <c r="Q156">
        <v>55.84</v>
      </c>
      <c r="R156">
        <v>49.354999999999997</v>
      </c>
      <c r="S156">
        <v>-0.28138329554464592</v>
      </c>
      <c r="T156">
        <v>1.5933536768024021E-2</v>
      </c>
      <c r="U156">
        <v>1.2497878227301539E-2</v>
      </c>
      <c r="V156">
        <v>3.433540716083888E-3</v>
      </c>
      <c r="W156">
        <v>9.0643375112176554E-3</v>
      </c>
      <c r="X156" s="21">
        <f t="shared" si="6"/>
        <v>46169</v>
      </c>
      <c r="Y156" s="21">
        <f t="shared" si="8"/>
        <v>46169</v>
      </c>
      <c r="Z156">
        <f t="array" ref="Z156">_xlfn.XLOOKUP(INT(X156),INT($AE$2:$AE$1000),$AG$2:$AG$1000,"")</f>
        <v>16.29</v>
      </c>
      <c r="AE156" s="21">
        <f t="shared" si="7"/>
        <v>46090</v>
      </c>
      <c r="AF156" s="21">
        <v>46268</v>
      </c>
      <c r="AG156">
        <v>25.5</v>
      </c>
    </row>
    <row r="157" spans="1:33">
      <c r="A157">
        <v>15</v>
      </c>
      <c r="B157" t="s">
        <v>30</v>
      </c>
      <c r="C157" t="s">
        <v>32</v>
      </c>
      <c r="D157">
        <v>83635</v>
      </c>
      <c r="E157">
        <v>56.774999999999999</v>
      </c>
      <c r="F157">
        <v>50.005000000000003</v>
      </c>
      <c r="G157">
        <v>56.780677500000003</v>
      </c>
      <c r="H157">
        <v>49.999999500000001</v>
      </c>
      <c r="I157">
        <v>-3.732359997184135</v>
      </c>
      <c r="J157">
        <v>0.71674203224516841</v>
      </c>
      <c r="K157">
        <v>0.17613386173491849</v>
      </c>
      <c r="L157">
        <v>-0.14333407304172949</v>
      </c>
      <c r="M157" t="s">
        <v>27</v>
      </c>
      <c r="N157">
        <v>41</v>
      </c>
      <c r="O157" t="s">
        <v>26</v>
      </c>
      <c r="P157">
        <v>83676</v>
      </c>
      <c r="Q157">
        <v>56.64</v>
      </c>
      <c r="R157">
        <v>50.015000000000001</v>
      </c>
      <c r="S157">
        <v>-0.36151531318020619</v>
      </c>
      <c r="T157">
        <v>-2.5211412064630661E-2</v>
      </c>
      <c r="U157">
        <v>-2.8642661656059439E-2</v>
      </c>
      <c r="V157">
        <v>3.433540716083888E-3</v>
      </c>
      <c r="W157">
        <v>-3.2076202372143321E-2</v>
      </c>
      <c r="X157" s="21">
        <f t="shared" si="6"/>
        <v>46170</v>
      </c>
      <c r="Y157" s="21">
        <f t="shared" si="8"/>
        <v>46170</v>
      </c>
      <c r="Z157">
        <f t="array" ref="Z157">_xlfn.XLOOKUP(INT(X157),INT($AE$2:$AE$1000),$AG$2:$AG$1000,"")</f>
        <v>15.74</v>
      </c>
      <c r="AE157" s="21">
        <f t="shared" si="7"/>
        <v>46091</v>
      </c>
      <c r="AF157" s="21">
        <v>46298</v>
      </c>
      <c r="AG157">
        <v>24.93</v>
      </c>
    </row>
    <row r="158" spans="1:33">
      <c r="A158">
        <v>15</v>
      </c>
      <c r="B158" t="s">
        <v>30</v>
      </c>
      <c r="C158" t="s">
        <v>32</v>
      </c>
      <c r="D158">
        <v>84005</v>
      </c>
      <c r="E158">
        <v>58.26</v>
      </c>
      <c r="F158">
        <v>51.09</v>
      </c>
      <c r="G158">
        <v>58.254173999999999</v>
      </c>
      <c r="H158">
        <v>51.095109000000001</v>
      </c>
      <c r="I158">
        <v>4.7237316780747456</v>
      </c>
      <c r="J158">
        <v>0.71674203224516841</v>
      </c>
      <c r="K158">
        <v>-0.17164435290078961</v>
      </c>
      <c r="L158">
        <v>0.14029008264732201</v>
      </c>
      <c r="M158" t="s">
        <v>25</v>
      </c>
      <c r="N158">
        <v>17</v>
      </c>
      <c r="O158" t="s">
        <v>26</v>
      </c>
      <c r="P158">
        <v>84022</v>
      </c>
      <c r="Q158">
        <v>58.52</v>
      </c>
      <c r="R158">
        <v>51.27</v>
      </c>
      <c r="S158">
        <v>0.47374405302859091</v>
      </c>
      <c r="T158">
        <v>-1.9375316877688242E-2</v>
      </c>
      <c r="U158">
        <v>-2.2815788916840881E-2</v>
      </c>
      <c r="V158">
        <v>3.433427412896786E-3</v>
      </c>
      <c r="W158">
        <v>-2.624921632973766E-2</v>
      </c>
      <c r="X158" s="21">
        <f t="shared" si="6"/>
        <v>46171</v>
      </c>
      <c r="Y158" s="21">
        <f t="shared" si="8"/>
        <v>46171</v>
      </c>
      <c r="Z158">
        <f t="array" ref="Z158">_xlfn.XLOOKUP(INT(X158),INT($AE$2:$AE$1000),$AG$2:$AG$1000,"")</f>
        <v>15.32</v>
      </c>
      <c r="AE158" s="21">
        <f t="shared" si="7"/>
        <v>46092</v>
      </c>
      <c r="AF158" s="21">
        <v>46329</v>
      </c>
      <c r="AG158">
        <v>24.23</v>
      </c>
    </row>
    <row r="159" spans="1:33">
      <c r="A159">
        <v>15</v>
      </c>
      <c r="B159" t="s">
        <v>30</v>
      </c>
      <c r="C159" t="s">
        <v>32</v>
      </c>
      <c r="D159">
        <v>84213</v>
      </c>
      <c r="E159">
        <v>58.645000000000003</v>
      </c>
      <c r="F159">
        <v>51.414999999999999</v>
      </c>
      <c r="G159">
        <v>58.650864499999997</v>
      </c>
      <c r="H159">
        <v>51.409858499999999</v>
      </c>
      <c r="I159">
        <v>-3.6589472426244378</v>
      </c>
      <c r="J159">
        <v>0.71674203224516841</v>
      </c>
      <c r="K159">
        <v>0.17051752067524939</v>
      </c>
      <c r="L159">
        <v>-0.1394032932500571</v>
      </c>
      <c r="M159" t="s">
        <v>27</v>
      </c>
      <c r="N159">
        <v>16</v>
      </c>
      <c r="O159" t="s">
        <v>26</v>
      </c>
      <c r="P159">
        <v>84229</v>
      </c>
      <c r="Q159">
        <v>58.67</v>
      </c>
      <c r="R159">
        <v>51.414999999999999</v>
      </c>
      <c r="S159">
        <v>-0.23370122353748371</v>
      </c>
      <c r="T159">
        <v>4.2629380168809914E-3</v>
      </c>
      <c r="U159">
        <v>8.2902765858823752E-4</v>
      </c>
      <c r="V159">
        <v>3.433540716083888E-3</v>
      </c>
      <c r="W159">
        <v>-2.6045130574956499E-3</v>
      </c>
      <c r="X159" s="21">
        <f t="shared" si="6"/>
        <v>46171</v>
      </c>
      <c r="Y159" s="21">
        <f t="shared" si="8"/>
        <v>46171</v>
      </c>
      <c r="Z159">
        <f t="array" ref="Z159">_xlfn.XLOOKUP(INT(X159),INT($AE$2:$AE$1000),$AG$2:$AG$1000,"")</f>
        <v>15.32</v>
      </c>
      <c r="AE159" s="21">
        <f t="shared" si="7"/>
        <v>46093</v>
      </c>
      <c r="AF159" s="21">
        <v>46359</v>
      </c>
      <c r="AG159">
        <v>27.29</v>
      </c>
    </row>
    <row r="160" spans="1:33">
      <c r="A160">
        <v>15</v>
      </c>
      <c r="B160" t="s">
        <v>30</v>
      </c>
      <c r="C160" t="s">
        <v>32</v>
      </c>
      <c r="D160">
        <v>84760</v>
      </c>
      <c r="E160">
        <v>57.96</v>
      </c>
      <c r="F160">
        <v>48.82</v>
      </c>
      <c r="G160">
        <v>57.954203999999997</v>
      </c>
      <c r="H160">
        <v>48.824882000000002</v>
      </c>
      <c r="I160">
        <v>3.558018281985321</v>
      </c>
      <c r="J160">
        <v>0.71674203224516841</v>
      </c>
      <c r="K160">
        <v>-0.17253278122843341</v>
      </c>
      <c r="L160">
        <v>0.1468131979199444</v>
      </c>
      <c r="M160" t="s">
        <v>25</v>
      </c>
      <c r="N160">
        <v>28</v>
      </c>
      <c r="O160" t="s">
        <v>26</v>
      </c>
      <c r="P160">
        <v>84788</v>
      </c>
      <c r="Q160">
        <v>57.8</v>
      </c>
      <c r="R160">
        <v>48.49</v>
      </c>
      <c r="S160">
        <v>0.44409772618093141</v>
      </c>
      <c r="T160">
        <v>-2.084311031703141E-2</v>
      </c>
      <c r="U160">
        <v>-2.426898902149071E-2</v>
      </c>
      <c r="V160">
        <v>3.433427412896786E-3</v>
      </c>
      <c r="W160">
        <v>-2.7702416434387499E-2</v>
      </c>
      <c r="X160" s="21">
        <f t="shared" si="6"/>
        <v>46175</v>
      </c>
      <c r="Y160" s="21">
        <f t="shared" si="8"/>
        <v>46175</v>
      </c>
      <c r="Z160">
        <f t="array" ref="Z160">_xlfn.XLOOKUP(INT(X160),INT($AE$2:$AE$1000),$AG$2:$AG$1000,"")</f>
        <v>15.77</v>
      </c>
      <c r="AE160" s="21">
        <f t="shared" si="7"/>
        <v>46094</v>
      </c>
      <c r="AF160" t="s">
        <v>147</v>
      </c>
      <c r="AG160">
        <v>27.19</v>
      </c>
    </row>
    <row r="161" spans="1:33">
      <c r="A161">
        <v>15</v>
      </c>
      <c r="B161" t="s">
        <v>30</v>
      </c>
      <c r="C161" t="s">
        <v>32</v>
      </c>
      <c r="D161">
        <v>85173</v>
      </c>
      <c r="E161">
        <v>58.79</v>
      </c>
      <c r="F161">
        <v>49.08</v>
      </c>
      <c r="G161">
        <v>58.784120999999999</v>
      </c>
      <c r="H161">
        <v>49.084907999999999</v>
      </c>
      <c r="I161">
        <v>3.9061094348266341</v>
      </c>
      <c r="J161">
        <v>0.71674203224516841</v>
      </c>
      <c r="K161">
        <v>-0.1700969552645008</v>
      </c>
      <c r="L161">
        <v>0.14603545889265859</v>
      </c>
      <c r="M161" t="s">
        <v>25</v>
      </c>
      <c r="N161">
        <v>21</v>
      </c>
      <c r="O161" t="s">
        <v>26</v>
      </c>
      <c r="P161">
        <v>85194</v>
      </c>
      <c r="Q161">
        <v>59.16</v>
      </c>
      <c r="R161">
        <v>49.454999999999998</v>
      </c>
      <c r="S161">
        <v>0.2423977271380959</v>
      </c>
      <c r="T161">
        <v>-8.1725763631178699E-3</v>
      </c>
      <c r="U161">
        <v>-1.161783034466113E-2</v>
      </c>
      <c r="V161">
        <v>3.433427412896786E-3</v>
      </c>
      <c r="W161">
        <v>-1.5051257757557911E-2</v>
      </c>
      <c r="X161" s="21">
        <f t="shared" si="6"/>
        <v>46176</v>
      </c>
      <c r="Y161" s="21">
        <f t="shared" si="8"/>
        <v>46176</v>
      </c>
      <c r="Z161">
        <f t="array" ref="Z161">_xlfn.XLOOKUP(INT(X161),INT($AE$2:$AE$1000),$AG$2:$AG$1000,"")</f>
        <v>16.059999999999999</v>
      </c>
      <c r="AE161" s="21">
        <f t="shared" si="7"/>
        <v>46097</v>
      </c>
      <c r="AF161" t="s">
        <v>148</v>
      </c>
      <c r="AG161">
        <v>23.51</v>
      </c>
    </row>
    <row r="162" spans="1:33">
      <c r="A162">
        <v>15</v>
      </c>
      <c r="B162" t="s">
        <v>30</v>
      </c>
      <c r="C162" t="s">
        <v>32</v>
      </c>
      <c r="D162">
        <v>85875</v>
      </c>
      <c r="E162">
        <v>57.854999999999997</v>
      </c>
      <c r="F162">
        <v>48.295000000000002</v>
      </c>
      <c r="G162">
        <v>57.849214500000002</v>
      </c>
      <c r="H162">
        <v>48.299829500000001</v>
      </c>
      <c r="I162">
        <v>3.595451202139242</v>
      </c>
      <c r="J162">
        <v>0.71674203224516841</v>
      </c>
      <c r="K162">
        <v>-0.17284590787313109</v>
      </c>
      <c r="L162">
        <v>0.14840915876284669</v>
      </c>
      <c r="M162" t="s">
        <v>25</v>
      </c>
      <c r="N162">
        <v>21</v>
      </c>
      <c r="O162" t="s">
        <v>26</v>
      </c>
      <c r="P162">
        <v>85896</v>
      </c>
      <c r="Q162">
        <v>57.965000000000003</v>
      </c>
      <c r="R162">
        <v>48.335000000000001</v>
      </c>
      <c r="S162">
        <v>0.4200184629734931</v>
      </c>
      <c r="T162">
        <v>-1.307668351553181E-2</v>
      </c>
      <c r="U162">
        <v>-1.6512662521643968E-2</v>
      </c>
      <c r="V162">
        <v>3.433427412896786E-3</v>
      </c>
      <c r="W162">
        <v>-1.9946089934540751E-2</v>
      </c>
      <c r="X162" s="21">
        <f t="shared" si="6"/>
        <v>46178</v>
      </c>
      <c r="Y162" s="21">
        <f t="shared" si="8"/>
        <v>46178</v>
      </c>
      <c r="Z162">
        <f t="array" ref="Z162">_xlfn.XLOOKUP(INT(X162),INT($AE$2:$AE$1000),$AG$2:$AG$1000,"")</f>
        <v>21.51</v>
      </c>
      <c r="AE162" s="21">
        <f t="shared" si="7"/>
        <v>46098</v>
      </c>
      <c r="AF162" t="s">
        <v>149</v>
      </c>
      <c r="AG162">
        <v>22.37</v>
      </c>
    </row>
    <row r="163" spans="1:33">
      <c r="A163">
        <v>15</v>
      </c>
      <c r="B163" t="s">
        <v>30</v>
      </c>
      <c r="C163" t="s">
        <v>32</v>
      </c>
      <c r="D163">
        <v>86343</v>
      </c>
      <c r="E163">
        <v>58.64</v>
      </c>
      <c r="F163">
        <v>48.585000000000001</v>
      </c>
      <c r="G163">
        <v>58.634135999999998</v>
      </c>
      <c r="H163">
        <v>48.589858499999998</v>
      </c>
      <c r="I163">
        <v>4.1714586811520622</v>
      </c>
      <c r="J163">
        <v>0.71674203224516841</v>
      </c>
      <c r="K163">
        <v>-0.1705320600272851</v>
      </c>
      <c r="L163">
        <v>0.14752331630033311</v>
      </c>
      <c r="M163" t="s">
        <v>25</v>
      </c>
      <c r="N163">
        <v>5</v>
      </c>
      <c r="O163" t="s">
        <v>26</v>
      </c>
      <c r="P163">
        <v>86348</v>
      </c>
      <c r="Q163">
        <v>58.58</v>
      </c>
      <c r="R163">
        <v>48.62</v>
      </c>
      <c r="S163">
        <v>0.36700134310946292</v>
      </c>
      <c r="T163">
        <v>1.5395239672148651E-2</v>
      </c>
      <c r="U163">
        <v>1.196226246841158E-2</v>
      </c>
      <c r="V163">
        <v>3.433427412896786E-3</v>
      </c>
      <c r="W163">
        <v>8.5288350555147927E-3</v>
      </c>
      <c r="X163" s="21">
        <f t="shared" si="6"/>
        <v>46181</v>
      </c>
      <c r="Y163" s="21">
        <f t="shared" si="8"/>
        <v>46181</v>
      </c>
      <c r="Z163">
        <f t="array" ref="Z163">_xlfn.XLOOKUP(INT(X163),INT($AE$2:$AE$1000),$AG$2:$AG$1000,"")</f>
        <v>18.920000000000002</v>
      </c>
      <c r="AE163" s="21">
        <f t="shared" si="7"/>
        <v>46099</v>
      </c>
      <c r="AF163" t="s">
        <v>150</v>
      </c>
      <c r="AG163">
        <v>25.09</v>
      </c>
    </row>
    <row r="164" spans="1:33">
      <c r="A164">
        <v>16</v>
      </c>
      <c r="B164" t="s">
        <v>28</v>
      </c>
      <c r="C164" t="s">
        <v>30</v>
      </c>
      <c r="D164">
        <v>86401</v>
      </c>
      <c r="E164">
        <v>57.59</v>
      </c>
      <c r="F164">
        <v>59.265000000000001</v>
      </c>
      <c r="G164">
        <v>57.595759000000001</v>
      </c>
      <c r="H164">
        <v>59.2590735</v>
      </c>
      <c r="I164">
        <v>-5.2945718363465026</v>
      </c>
      <c r="J164">
        <v>1.201911734394435</v>
      </c>
      <c r="K164">
        <v>0.17364125716270179</v>
      </c>
      <c r="L164">
        <v>-0.2028029586424423</v>
      </c>
      <c r="M164" t="s">
        <v>27</v>
      </c>
      <c r="N164">
        <v>23</v>
      </c>
      <c r="O164" t="s">
        <v>26</v>
      </c>
      <c r="P164">
        <v>86424</v>
      </c>
      <c r="Q164">
        <v>57.64</v>
      </c>
      <c r="R164">
        <v>59.41</v>
      </c>
      <c r="S164">
        <v>-0.49247933447619952</v>
      </c>
      <c r="T164">
        <v>-2.0724366145018731E-2</v>
      </c>
      <c r="U164">
        <v>-2.5131998462993389E-2</v>
      </c>
      <c r="V164">
        <v>4.4037830864419904E-3</v>
      </c>
      <c r="W164">
        <v>-2.953578154943538E-2</v>
      </c>
      <c r="X164" s="21">
        <f t="shared" si="6"/>
        <v>46181</v>
      </c>
      <c r="Y164" s="21">
        <f t="shared" si="8"/>
        <v>46181</v>
      </c>
      <c r="Z164">
        <f t="array" ref="Z164">_xlfn.XLOOKUP(INT(X164),INT($AE$2:$AE$1000),$AG$2:$AG$1000,"")</f>
        <v>18.920000000000002</v>
      </c>
      <c r="AE164" s="21">
        <f t="shared" si="7"/>
        <v>46100</v>
      </c>
      <c r="AF164" t="s">
        <v>151</v>
      </c>
      <c r="AG164">
        <v>24.06</v>
      </c>
    </row>
    <row r="165" spans="1:33">
      <c r="A165">
        <v>16</v>
      </c>
      <c r="B165" t="s">
        <v>28</v>
      </c>
      <c r="C165" t="s">
        <v>30</v>
      </c>
      <c r="D165">
        <v>86746</v>
      </c>
      <c r="E165">
        <v>58.25</v>
      </c>
      <c r="F165">
        <v>59.91</v>
      </c>
      <c r="G165">
        <v>58.244174999999998</v>
      </c>
      <c r="H165">
        <v>59.915990999999998</v>
      </c>
      <c r="I165">
        <v>4.3389704654171926</v>
      </c>
      <c r="J165">
        <v>1.201911734394435</v>
      </c>
      <c r="K165">
        <v>-0.1716738197424893</v>
      </c>
      <c r="L165">
        <v>0.2006195517266624</v>
      </c>
      <c r="M165" t="s">
        <v>25</v>
      </c>
      <c r="N165">
        <v>5</v>
      </c>
      <c r="O165" t="s">
        <v>26</v>
      </c>
      <c r="P165">
        <v>86751</v>
      </c>
      <c r="Q165">
        <v>57.93</v>
      </c>
      <c r="R165">
        <v>59.93</v>
      </c>
      <c r="S165">
        <v>0.20509554850200451</v>
      </c>
      <c r="T165">
        <v>5.8948013352130478E-2</v>
      </c>
      <c r="U165">
        <v>5.4549282206470533E-2</v>
      </c>
      <c r="V165">
        <v>4.4038638511357479E-3</v>
      </c>
      <c r="W165">
        <v>5.014541835533478E-2</v>
      </c>
      <c r="X165" s="21">
        <f t="shared" si="6"/>
        <v>46182</v>
      </c>
      <c r="Y165" s="21">
        <f t="shared" si="8"/>
        <v>46182</v>
      </c>
      <c r="Z165">
        <f t="array" ref="Z165">_xlfn.XLOOKUP(INT(X165),INT($AE$2:$AE$1000),$AG$2:$AG$1000,"")</f>
        <v>19.87</v>
      </c>
      <c r="AE165" s="21">
        <f t="shared" si="7"/>
        <v>46101</v>
      </c>
      <c r="AF165" t="s">
        <v>152</v>
      </c>
      <c r="AG165">
        <v>26.78</v>
      </c>
    </row>
    <row r="166" spans="1:33">
      <c r="A166">
        <v>16</v>
      </c>
      <c r="B166" t="s">
        <v>28</v>
      </c>
      <c r="C166" t="s">
        <v>30</v>
      </c>
      <c r="D166">
        <v>87138</v>
      </c>
      <c r="E166">
        <v>58.13</v>
      </c>
      <c r="F166">
        <v>60.67</v>
      </c>
      <c r="G166">
        <v>58.135812999999999</v>
      </c>
      <c r="H166">
        <v>60.663933</v>
      </c>
      <c r="I166">
        <v>-3.522880514364541</v>
      </c>
      <c r="J166">
        <v>1.201911734394435</v>
      </c>
      <c r="K166">
        <v>0.17202821262687079</v>
      </c>
      <c r="L166">
        <v>-0.19810643388733051</v>
      </c>
      <c r="M166" t="s">
        <v>27</v>
      </c>
      <c r="N166">
        <v>39</v>
      </c>
      <c r="O166" t="s">
        <v>26</v>
      </c>
      <c r="P166">
        <v>87177</v>
      </c>
      <c r="Q166">
        <v>58.62</v>
      </c>
      <c r="R166">
        <v>61.48</v>
      </c>
      <c r="S166">
        <v>-0.43782017639025422</v>
      </c>
      <c r="T166">
        <v>-7.6172387261570954E-2</v>
      </c>
      <c r="U166">
        <v>-8.0600686733922428E-2</v>
      </c>
      <c r="V166">
        <v>4.4037830864419904E-3</v>
      </c>
      <c r="W166">
        <v>-8.5004469820364414E-2</v>
      </c>
      <c r="X166" s="21">
        <f t="shared" si="6"/>
        <v>46183</v>
      </c>
      <c r="Y166" s="21">
        <f t="shared" si="8"/>
        <v>46183</v>
      </c>
      <c r="Z166">
        <f t="array" ref="Z166">_xlfn.XLOOKUP(INT(X166),INT($AE$2:$AE$1000),$AG$2:$AG$1000,"")</f>
        <v>22.22</v>
      </c>
      <c r="AE166" s="21">
        <f t="shared" si="7"/>
        <v>46104</v>
      </c>
      <c r="AF166" t="s">
        <v>153</v>
      </c>
      <c r="AG166">
        <v>26.15</v>
      </c>
    </row>
    <row r="167" spans="1:33">
      <c r="A167">
        <v>16</v>
      </c>
      <c r="B167" t="s">
        <v>28</v>
      </c>
      <c r="C167" t="s">
        <v>30</v>
      </c>
      <c r="D167">
        <v>87522</v>
      </c>
      <c r="E167">
        <v>58.16</v>
      </c>
      <c r="F167">
        <v>61.145000000000003</v>
      </c>
      <c r="G167">
        <v>58.165815999999992</v>
      </c>
      <c r="H167">
        <v>61.138885500000001</v>
      </c>
      <c r="I167">
        <v>-3.5860799766382758</v>
      </c>
      <c r="J167">
        <v>1.201911734394435</v>
      </c>
      <c r="K167">
        <v>0.17193947730398901</v>
      </c>
      <c r="L167">
        <v>-0.1965674600367053</v>
      </c>
      <c r="M167" t="s">
        <v>27</v>
      </c>
      <c r="N167">
        <v>28</v>
      </c>
      <c r="O167" t="s">
        <v>26</v>
      </c>
      <c r="P167">
        <v>87550</v>
      </c>
      <c r="Q167">
        <v>57.67</v>
      </c>
      <c r="R167">
        <v>60.92</v>
      </c>
      <c r="S167">
        <v>-0.35084928073749111</v>
      </c>
      <c r="T167">
        <v>-4.0022665370694772E-2</v>
      </c>
      <c r="U167">
        <v>-4.441364103724494E-2</v>
      </c>
      <c r="V167">
        <v>4.4037830864419904E-3</v>
      </c>
      <c r="W167">
        <v>-4.8817424123686927E-2</v>
      </c>
      <c r="X167" s="21">
        <f t="shared" si="6"/>
        <v>46184</v>
      </c>
      <c r="Y167" s="21">
        <f t="shared" si="8"/>
        <v>46184</v>
      </c>
      <c r="Z167">
        <f t="array" ref="Z167">_xlfn.XLOOKUP(INT(X167),INT($AE$2:$AE$1000),$AG$2:$AG$1000,"")</f>
        <v>19.440000000000001</v>
      </c>
      <c r="AE167" s="21">
        <f t="shared" si="7"/>
        <v>46105</v>
      </c>
      <c r="AF167" t="s">
        <v>154</v>
      </c>
      <c r="AG167">
        <v>26.95</v>
      </c>
    </row>
    <row r="168" spans="1:33">
      <c r="A168">
        <v>16</v>
      </c>
      <c r="B168" t="s">
        <v>28</v>
      </c>
      <c r="C168" t="s">
        <v>30</v>
      </c>
      <c r="D168">
        <v>87882</v>
      </c>
      <c r="E168">
        <v>57.93</v>
      </c>
      <c r="F168">
        <v>60.75</v>
      </c>
      <c r="G168">
        <v>57.924207000000003</v>
      </c>
      <c r="H168">
        <v>60.756075000000003</v>
      </c>
      <c r="I168">
        <v>3.54188539804279</v>
      </c>
      <c r="J168">
        <v>1.201911734394435</v>
      </c>
      <c r="K168">
        <v>-0.17262213015708611</v>
      </c>
      <c r="L168">
        <v>0.1978455529867382</v>
      </c>
      <c r="M168" t="s">
        <v>25</v>
      </c>
      <c r="N168">
        <v>5</v>
      </c>
      <c r="O168" t="s">
        <v>26</v>
      </c>
      <c r="P168">
        <v>87887</v>
      </c>
      <c r="Q168">
        <v>57.85</v>
      </c>
      <c r="R168">
        <v>60.744999999999997</v>
      </c>
      <c r="S168">
        <v>0.30870253405584758</v>
      </c>
      <c r="T168">
        <v>1.28205426476324E-2</v>
      </c>
      <c r="U168">
        <v>8.4181990786625725E-3</v>
      </c>
      <c r="V168">
        <v>4.4038638511357479E-3</v>
      </c>
      <c r="W168">
        <v>4.0143352275268246E-3</v>
      </c>
      <c r="X168" s="21">
        <f t="shared" si="6"/>
        <v>46185</v>
      </c>
      <c r="Y168" s="21">
        <f t="shared" si="8"/>
        <v>46185</v>
      </c>
      <c r="Z168">
        <f t="array" ref="Z168">_xlfn.XLOOKUP(INT(X168),INT($AE$2:$AE$1000),$AG$2:$AG$1000,"")</f>
        <v>17.68</v>
      </c>
      <c r="AE168" s="21">
        <f t="shared" si="7"/>
        <v>46106</v>
      </c>
      <c r="AF168" t="s">
        <v>155</v>
      </c>
      <c r="AG168">
        <v>25.33</v>
      </c>
    </row>
    <row r="169" spans="1:33">
      <c r="A169">
        <v>16</v>
      </c>
      <c r="B169" t="s">
        <v>28</v>
      </c>
      <c r="C169" t="s">
        <v>30</v>
      </c>
      <c r="D169">
        <v>88309</v>
      </c>
      <c r="E169">
        <v>57.524999999999999</v>
      </c>
      <c r="F169">
        <v>60.56</v>
      </c>
      <c r="G169">
        <v>57.519247499999999</v>
      </c>
      <c r="H169">
        <v>60.566056000000003</v>
      </c>
      <c r="I169">
        <v>4.4308710802388962</v>
      </c>
      <c r="J169">
        <v>1.201911734394435</v>
      </c>
      <c r="K169">
        <v>-0.17383746197305519</v>
      </c>
      <c r="L169">
        <v>0.1984662705406926</v>
      </c>
      <c r="M169" t="s">
        <v>25</v>
      </c>
      <c r="N169">
        <v>7</v>
      </c>
      <c r="O169" t="s">
        <v>26</v>
      </c>
      <c r="P169">
        <v>88316</v>
      </c>
      <c r="Q169">
        <v>56.94</v>
      </c>
      <c r="R169">
        <v>60.365000000000002</v>
      </c>
      <c r="S169">
        <v>-0.14683431632167659</v>
      </c>
      <c r="T169">
        <v>6.2993992498802318E-2</v>
      </c>
      <c r="U169">
        <v>5.8604208613814469E-2</v>
      </c>
      <c r="V169">
        <v>4.4038638511357479E-3</v>
      </c>
      <c r="W169">
        <v>5.4200344762678723E-2</v>
      </c>
      <c r="X169" s="21">
        <f t="shared" si="6"/>
        <v>46188</v>
      </c>
      <c r="Y169" s="21">
        <f t="shared" si="8"/>
        <v>46188</v>
      </c>
      <c r="Z169">
        <f t="array" ref="Z169">_xlfn.XLOOKUP(INT(X169),INT($AE$2:$AE$1000),$AG$2:$AG$1000,"")</f>
        <v>16.2</v>
      </c>
      <c r="AE169" s="21">
        <f t="shared" si="7"/>
        <v>46107</v>
      </c>
      <c r="AF169" t="s">
        <v>156</v>
      </c>
      <c r="AG169">
        <v>27.44</v>
      </c>
    </row>
    <row r="170" spans="1:33">
      <c r="A170">
        <v>16</v>
      </c>
      <c r="B170" t="s">
        <v>28</v>
      </c>
      <c r="C170" t="s">
        <v>30</v>
      </c>
      <c r="D170">
        <v>88699</v>
      </c>
      <c r="E170">
        <v>57.08</v>
      </c>
      <c r="F170">
        <v>60.37</v>
      </c>
      <c r="G170">
        <v>57.074292</v>
      </c>
      <c r="H170">
        <v>60.376036999999997</v>
      </c>
      <c r="I170">
        <v>3.6100370481743691</v>
      </c>
      <c r="J170">
        <v>1.201911734394435</v>
      </c>
      <c r="K170">
        <v>-0.17519271198318151</v>
      </c>
      <c r="L170">
        <v>0.19909089521193221</v>
      </c>
      <c r="M170" t="s">
        <v>25</v>
      </c>
      <c r="N170">
        <v>8</v>
      </c>
      <c r="O170" t="s">
        <v>26</v>
      </c>
      <c r="P170">
        <v>88707</v>
      </c>
      <c r="Q170">
        <v>57.06</v>
      </c>
      <c r="R170">
        <v>60.59</v>
      </c>
      <c r="S170">
        <v>-0.34701371399519709</v>
      </c>
      <c r="T170">
        <v>4.7303851186289207E-2</v>
      </c>
      <c r="U170">
        <v>4.2895998103230602E-2</v>
      </c>
      <c r="V170">
        <v>4.4038638511357479E-3</v>
      </c>
      <c r="W170">
        <v>3.8492134252094849E-2</v>
      </c>
      <c r="X170" s="21">
        <f t="shared" si="6"/>
        <v>46189</v>
      </c>
      <c r="Y170" s="21">
        <f t="shared" si="8"/>
        <v>46189</v>
      </c>
      <c r="Z170">
        <f t="array" ref="Z170">_xlfn.XLOOKUP(INT(X170),INT($AE$2:$AE$1000),$AG$2:$AG$1000,"")</f>
        <v>16.41</v>
      </c>
      <c r="AE170" s="21">
        <f t="shared" si="7"/>
        <v>46108</v>
      </c>
      <c r="AF170" t="s">
        <v>157</v>
      </c>
      <c r="AG170">
        <v>31.05</v>
      </c>
    </row>
    <row r="171" spans="1:33">
      <c r="A171">
        <v>16</v>
      </c>
      <c r="B171" t="s">
        <v>28</v>
      </c>
      <c r="C171" t="s">
        <v>30</v>
      </c>
      <c r="D171">
        <v>89479</v>
      </c>
      <c r="E171">
        <v>59.33</v>
      </c>
      <c r="F171">
        <v>62.664999999999999</v>
      </c>
      <c r="G171">
        <v>59.335932999999997</v>
      </c>
      <c r="H171">
        <v>62.658733499999997</v>
      </c>
      <c r="I171">
        <v>-4.5666412551678306</v>
      </c>
      <c r="J171">
        <v>1.201911734394435</v>
      </c>
      <c r="K171">
        <v>0.16854879487611671</v>
      </c>
      <c r="L171">
        <v>-0.19179952675248299</v>
      </c>
      <c r="M171" t="s">
        <v>27</v>
      </c>
      <c r="N171">
        <v>9</v>
      </c>
      <c r="O171" t="s">
        <v>26</v>
      </c>
      <c r="P171">
        <v>89488</v>
      </c>
      <c r="Q171">
        <v>59.68</v>
      </c>
      <c r="R171">
        <v>62.66</v>
      </c>
      <c r="S171">
        <v>-0.46461982834872612</v>
      </c>
      <c r="T171">
        <v>5.9951075840403982E-2</v>
      </c>
      <c r="U171">
        <v>5.5541449063557728E-2</v>
      </c>
      <c r="V171">
        <v>4.4037830864419904E-3</v>
      </c>
      <c r="W171">
        <v>5.1137665977115727E-2</v>
      </c>
      <c r="X171" s="21">
        <f t="shared" si="6"/>
        <v>46191</v>
      </c>
      <c r="Y171" s="21">
        <f t="shared" si="8"/>
        <v>46191</v>
      </c>
      <c r="Z171">
        <f t="array" ref="Z171">_xlfn.XLOOKUP(INT(X171),INT($AE$2:$AE$1000),$AG$2:$AG$1000,"")</f>
        <v>16.399999999999999</v>
      </c>
      <c r="AE171" s="21">
        <f t="shared" si="7"/>
        <v>46111</v>
      </c>
      <c r="AF171" t="s">
        <v>158</v>
      </c>
      <c r="AG171">
        <v>30.61</v>
      </c>
    </row>
    <row r="172" spans="1:33">
      <c r="A172">
        <v>16</v>
      </c>
      <c r="B172" t="s">
        <v>28</v>
      </c>
      <c r="C172" t="s">
        <v>30</v>
      </c>
      <c r="D172">
        <v>89870</v>
      </c>
      <c r="E172">
        <v>60.52</v>
      </c>
      <c r="F172">
        <v>63.24</v>
      </c>
      <c r="G172">
        <v>60.513948000000013</v>
      </c>
      <c r="H172">
        <v>63.246324000000001</v>
      </c>
      <c r="I172">
        <v>3.8878682652601979</v>
      </c>
      <c r="J172">
        <v>1.201911734394435</v>
      </c>
      <c r="K172">
        <v>-0.1652346331791143</v>
      </c>
      <c r="L172">
        <v>0.190055618974452</v>
      </c>
      <c r="M172" t="s">
        <v>25</v>
      </c>
      <c r="N172">
        <v>26</v>
      </c>
      <c r="O172" t="s">
        <v>26</v>
      </c>
      <c r="P172">
        <v>89896</v>
      </c>
      <c r="Q172">
        <v>60.62</v>
      </c>
      <c r="R172">
        <v>63.26</v>
      </c>
      <c r="S172">
        <v>0.46160954296843731</v>
      </c>
      <c r="T172">
        <v>-1.272235093842221E-2</v>
      </c>
      <c r="U172">
        <v>-1.7128206864780431E-2</v>
      </c>
      <c r="V172">
        <v>4.4038638511357479E-3</v>
      </c>
      <c r="W172">
        <v>-2.1532070715916181E-2</v>
      </c>
      <c r="X172" s="21">
        <f t="shared" si="6"/>
        <v>46192</v>
      </c>
      <c r="Y172" s="21">
        <f t="shared" si="8"/>
        <v>46192</v>
      </c>
      <c r="Z172">
        <f t="array" ref="Z172">_xlfn.XLOOKUP(INT(X172),INT($AE$2:$AE$1000),$AG$2:$AG$1000,"")</f>
        <v>16.78</v>
      </c>
      <c r="AE172" s="21">
        <f t="shared" si="7"/>
        <v>46112</v>
      </c>
      <c r="AF172" t="s">
        <v>159</v>
      </c>
      <c r="AG172">
        <v>25.25</v>
      </c>
    </row>
    <row r="173" spans="1:33">
      <c r="A173">
        <v>16</v>
      </c>
      <c r="B173" t="s">
        <v>28</v>
      </c>
      <c r="C173" t="s">
        <v>30</v>
      </c>
      <c r="D173">
        <v>90259</v>
      </c>
      <c r="E173">
        <v>59.24</v>
      </c>
      <c r="F173">
        <v>62.225000000000001</v>
      </c>
      <c r="G173">
        <v>59.234076000000002</v>
      </c>
      <c r="H173">
        <v>62.231222500000001</v>
      </c>
      <c r="I173">
        <v>3.9383759778718939</v>
      </c>
      <c r="J173">
        <v>1.201911734394435</v>
      </c>
      <c r="K173">
        <v>-0.16880486158001351</v>
      </c>
      <c r="L173">
        <v>0.19315576285969219</v>
      </c>
      <c r="M173" t="s">
        <v>25</v>
      </c>
      <c r="N173">
        <v>31</v>
      </c>
      <c r="O173" t="s">
        <v>26</v>
      </c>
      <c r="P173">
        <v>90290</v>
      </c>
      <c r="Q173">
        <v>59.23</v>
      </c>
      <c r="R173">
        <v>61.88</v>
      </c>
      <c r="S173">
        <v>0.1933589485578765</v>
      </c>
      <c r="T173">
        <v>-6.4950689570792572E-2</v>
      </c>
      <c r="U173">
        <v>-6.9347680360901998E-2</v>
      </c>
      <c r="V173">
        <v>4.4038638511357479E-3</v>
      </c>
      <c r="W173">
        <v>-7.3751544212037751E-2</v>
      </c>
      <c r="X173" s="21">
        <f t="shared" si="6"/>
        <v>46195</v>
      </c>
      <c r="Y173" s="21">
        <f t="shared" si="8"/>
        <v>46195</v>
      </c>
      <c r="Z173">
        <f t="array" ref="Z173">_xlfn.XLOOKUP(INT(X173),INT($AE$2:$AE$1000),$AG$2:$AG$1000,"")</f>
        <v>17.28</v>
      </c>
      <c r="AE173" s="21">
        <f t="shared" si="7"/>
        <v>46113</v>
      </c>
      <c r="AF173" s="21">
        <v>46026</v>
      </c>
      <c r="AG173">
        <v>24.54</v>
      </c>
    </row>
    <row r="174" spans="1:33">
      <c r="X174" s="21">
        <f t="shared" si="6"/>
        <v>45871</v>
      </c>
      <c r="Y174" s="21">
        <f t="shared" si="8"/>
        <v>45871</v>
      </c>
      <c r="Z174" t="str">
        <f t="array" ref="Z174">_xlfn.XLOOKUP(INT(X174),INT($AE$2:$AE$1000),$AG$2:$AG$1000,"")</f>
        <v/>
      </c>
      <c r="AE174" s="21">
        <f t="shared" si="7"/>
        <v>46114</v>
      </c>
      <c r="AF174" s="21">
        <v>46057</v>
      </c>
      <c r="AG174">
        <v>23.87</v>
      </c>
    </row>
    <row r="175" spans="1:33">
      <c r="X175" s="21">
        <f t="shared" si="6"/>
        <v>45871</v>
      </c>
      <c r="Y175" s="21">
        <f t="shared" si="8"/>
        <v>45871</v>
      </c>
      <c r="Z175" t="str">
        <f t="array" ref="Z175">_xlfn.XLOOKUP(INT(X175),INT($AE$2:$AE$1000),$AG$2:$AG$1000,"")</f>
        <v/>
      </c>
      <c r="AE175" s="21">
        <f t="shared" si="7"/>
        <v>46118</v>
      </c>
      <c r="AF175" s="21">
        <v>46177</v>
      </c>
      <c r="AG175">
        <v>24.17</v>
      </c>
    </row>
    <row r="176" spans="1:33">
      <c r="X176" s="21">
        <f t="shared" si="6"/>
        <v>45871</v>
      </c>
      <c r="Y176" s="21">
        <f t="shared" si="8"/>
        <v>45871</v>
      </c>
      <c r="Z176" t="str">
        <f t="array" ref="Z176">_xlfn.XLOOKUP(INT(X176),INT($AE$2:$AE$1000),$AG$2:$AG$1000,"")</f>
        <v/>
      </c>
      <c r="AE176" s="21">
        <f t="shared" si="7"/>
        <v>46119</v>
      </c>
      <c r="AF176" s="21">
        <v>46207</v>
      </c>
      <c r="AG176">
        <v>25.78</v>
      </c>
    </row>
    <row r="177" spans="24:33">
      <c r="X177" s="21">
        <f t="shared" si="6"/>
        <v>45871</v>
      </c>
      <c r="Y177" s="21">
        <f t="shared" si="8"/>
        <v>45871</v>
      </c>
      <c r="Z177" t="str">
        <f t="array" ref="Z177">_xlfn.XLOOKUP(INT(X177),INT($AE$2:$AE$1000),$AG$2:$AG$1000,"")</f>
        <v/>
      </c>
      <c r="AE177" s="21">
        <f t="shared" si="7"/>
        <v>46120</v>
      </c>
      <c r="AF177" s="21">
        <v>46238</v>
      </c>
      <c r="AG177">
        <v>21.04</v>
      </c>
    </row>
    <row r="178" spans="24:33">
      <c r="X178" s="21">
        <f t="shared" si="6"/>
        <v>45871</v>
      </c>
      <c r="Y178" s="21">
        <f t="shared" si="8"/>
        <v>45871</v>
      </c>
      <c r="Z178" t="str">
        <f t="array" ref="Z178">_xlfn.XLOOKUP(INT(X178),INT($AE$2:$AE$1000),$AG$2:$AG$1000,"")</f>
        <v/>
      </c>
      <c r="AE178" s="21">
        <f t="shared" si="7"/>
        <v>46121</v>
      </c>
      <c r="AF178" s="21">
        <v>46269</v>
      </c>
      <c r="AG178">
        <v>19.489999999999998</v>
      </c>
    </row>
    <row r="179" spans="24:33">
      <c r="X179" s="21">
        <f t="shared" si="6"/>
        <v>45871</v>
      </c>
      <c r="Y179" s="21">
        <f t="shared" si="8"/>
        <v>45871</v>
      </c>
      <c r="Z179" t="str">
        <f t="array" ref="Z179">_xlfn.XLOOKUP(INT(X179),INT($AE$2:$AE$1000),$AG$2:$AG$1000,"")</f>
        <v/>
      </c>
      <c r="AE179" s="21">
        <f t="shared" si="7"/>
        <v>46122</v>
      </c>
      <c r="AF179" s="21">
        <v>46299</v>
      </c>
      <c r="AG179">
        <v>19.23</v>
      </c>
    </row>
    <row r="180" spans="24:33">
      <c r="X180" s="21">
        <f t="shared" si="6"/>
        <v>45871</v>
      </c>
      <c r="Y180" s="21">
        <f t="shared" si="8"/>
        <v>45871</v>
      </c>
      <c r="Z180" t="str">
        <f t="array" ref="Z180">_xlfn.XLOOKUP(INT(X180),INT($AE$2:$AE$1000),$AG$2:$AG$1000,"")</f>
        <v/>
      </c>
      <c r="AE180" s="21">
        <f t="shared" si="7"/>
        <v>46125</v>
      </c>
      <c r="AF180" t="s">
        <v>160</v>
      </c>
      <c r="AG180">
        <v>19.12</v>
      </c>
    </row>
    <row r="181" spans="24:33">
      <c r="X181" s="21">
        <f t="shared" si="6"/>
        <v>45871</v>
      </c>
      <c r="Y181" s="21">
        <f t="shared" si="8"/>
        <v>45871</v>
      </c>
      <c r="Z181" t="str">
        <f t="array" ref="Z181">_xlfn.XLOOKUP(INT(X181),INT($AE$2:$AE$1000),$AG$2:$AG$1000,"")</f>
        <v/>
      </c>
      <c r="AE181" s="21">
        <f t="shared" si="7"/>
        <v>46126</v>
      </c>
      <c r="AF181" t="s">
        <v>161</v>
      </c>
      <c r="AG181">
        <v>18.36</v>
      </c>
    </row>
    <row r="182" spans="24:33">
      <c r="X182" s="21">
        <f t="shared" si="6"/>
        <v>45871</v>
      </c>
      <c r="Y182" s="21">
        <f t="shared" si="8"/>
        <v>45871</v>
      </c>
      <c r="Z182" t="str">
        <f t="array" ref="Z182">_xlfn.XLOOKUP(INT(X182),INT($AE$2:$AE$1000),$AG$2:$AG$1000,"")</f>
        <v/>
      </c>
      <c r="AE182" s="21">
        <f t="shared" si="7"/>
        <v>46127</v>
      </c>
      <c r="AF182" t="s">
        <v>162</v>
      </c>
      <c r="AG182">
        <v>18.170000000000002</v>
      </c>
    </row>
    <row r="183" spans="24:33">
      <c r="X183" s="21">
        <f t="shared" si="6"/>
        <v>45871</v>
      </c>
      <c r="Y183" s="21">
        <f t="shared" si="8"/>
        <v>45871</v>
      </c>
      <c r="Z183" t="str">
        <f t="array" ref="Z183">_xlfn.XLOOKUP(INT(X183),INT($AE$2:$AE$1000),$AG$2:$AG$1000,"")</f>
        <v/>
      </c>
      <c r="AE183" s="21">
        <f t="shared" si="7"/>
        <v>46128</v>
      </c>
      <c r="AF183" t="s">
        <v>163</v>
      </c>
      <c r="AG183">
        <v>17.940000000000001</v>
      </c>
    </row>
    <row r="184" spans="24:33">
      <c r="X184" s="21">
        <f t="shared" si="6"/>
        <v>45871</v>
      </c>
      <c r="Y184" s="21">
        <f t="shared" si="8"/>
        <v>45871</v>
      </c>
      <c r="Z184" t="str">
        <f t="array" ref="Z184">_xlfn.XLOOKUP(INT(X184),INT($AE$2:$AE$1000),$AG$2:$AG$1000,"")</f>
        <v/>
      </c>
      <c r="AE184" s="21">
        <f t="shared" si="7"/>
        <v>46129</v>
      </c>
      <c r="AF184" t="s">
        <v>164</v>
      </c>
      <c r="AG184">
        <v>17.48</v>
      </c>
    </row>
    <row r="185" spans="24:33">
      <c r="X185" s="21">
        <f t="shared" si="6"/>
        <v>45871</v>
      </c>
      <c r="Y185" s="21">
        <f t="shared" si="8"/>
        <v>45871</v>
      </c>
      <c r="Z185" t="str">
        <f t="array" ref="Z185">_xlfn.XLOOKUP(INT(X185),INT($AE$2:$AE$1000),$AG$2:$AG$1000,"")</f>
        <v/>
      </c>
      <c r="AE185" s="21">
        <f t="shared" si="7"/>
        <v>46132</v>
      </c>
      <c r="AF185" t="s">
        <v>165</v>
      </c>
      <c r="AG185">
        <v>18.87</v>
      </c>
    </row>
    <row r="186" spans="24:33">
      <c r="X186" s="21">
        <f t="shared" si="6"/>
        <v>45871</v>
      </c>
      <c r="Y186" s="21">
        <f t="shared" si="8"/>
        <v>45871</v>
      </c>
      <c r="Z186" t="str">
        <f t="array" ref="Z186">_xlfn.XLOOKUP(INT(X186),INT($AE$2:$AE$1000),$AG$2:$AG$1000,"")</f>
        <v/>
      </c>
      <c r="AE186" s="21">
        <f t="shared" si="7"/>
        <v>46133</v>
      </c>
      <c r="AF186" t="s">
        <v>166</v>
      </c>
      <c r="AG186">
        <v>19.5</v>
      </c>
    </row>
    <row r="187" spans="24:33">
      <c r="X187" s="21">
        <f t="shared" si="6"/>
        <v>45871</v>
      </c>
      <c r="Y187" s="21">
        <f t="shared" si="8"/>
        <v>45871</v>
      </c>
      <c r="Z187" t="str">
        <f t="array" ref="Z187">_xlfn.XLOOKUP(INT(X187),INT($AE$2:$AE$1000),$AG$2:$AG$1000,"")</f>
        <v/>
      </c>
      <c r="AE187" s="21">
        <f t="shared" si="7"/>
        <v>46134</v>
      </c>
      <c r="AF187" t="s">
        <v>167</v>
      </c>
      <c r="AG187">
        <v>18.920000000000002</v>
      </c>
    </row>
    <row r="188" spans="24:33">
      <c r="X188" s="21">
        <f t="shared" si="6"/>
        <v>45871</v>
      </c>
      <c r="Y188" s="21">
        <f t="shared" si="8"/>
        <v>45871</v>
      </c>
      <c r="Z188" t="str">
        <f t="array" ref="Z188">_xlfn.XLOOKUP(INT(X188),INT($AE$2:$AE$1000),$AG$2:$AG$1000,"")</f>
        <v/>
      </c>
      <c r="AE188" s="21">
        <f t="shared" si="7"/>
        <v>46135</v>
      </c>
      <c r="AF188" t="s">
        <v>168</v>
      </c>
      <c r="AG188">
        <v>19.309999999999999</v>
      </c>
    </row>
    <row r="189" spans="24:33">
      <c r="X189" s="21">
        <f t="shared" si="6"/>
        <v>45871</v>
      </c>
      <c r="Y189" s="21">
        <f t="shared" si="8"/>
        <v>45871</v>
      </c>
      <c r="Z189" t="str">
        <f t="array" ref="Z189">_xlfn.XLOOKUP(INT(X189),INT($AE$2:$AE$1000),$AG$2:$AG$1000,"")</f>
        <v/>
      </c>
      <c r="AE189" s="21">
        <f t="shared" si="7"/>
        <v>46136</v>
      </c>
      <c r="AF189" t="s">
        <v>169</v>
      </c>
      <c r="AG189">
        <v>18.71</v>
      </c>
    </row>
    <row r="190" spans="24:33">
      <c r="X190" s="21">
        <f t="shared" si="6"/>
        <v>45871</v>
      </c>
      <c r="Y190" s="21">
        <f t="shared" si="8"/>
        <v>45871</v>
      </c>
      <c r="Z190" t="str">
        <f t="array" ref="Z190">_xlfn.XLOOKUP(INT(X190),INT($AE$2:$AE$1000),$AG$2:$AG$1000,"")</f>
        <v/>
      </c>
      <c r="AE190" s="21">
        <f t="shared" si="7"/>
        <v>46139</v>
      </c>
      <c r="AF190" t="s">
        <v>170</v>
      </c>
      <c r="AG190">
        <v>18.02</v>
      </c>
    </row>
    <row r="191" spans="24:33">
      <c r="X191" s="21">
        <f t="shared" si="6"/>
        <v>45871</v>
      </c>
      <c r="Y191" s="21">
        <f t="shared" si="8"/>
        <v>45871</v>
      </c>
      <c r="Z191" t="str">
        <f t="array" ref="Z191">_xlfn.XLOOKUP(INT(X191),INT($AE$2:$AE$1000),$AG$2:$AG$1000,"")</f>
        <v/>
      </c>
      <c r="AE191" s="21">
        <f t="shared" si="7"/>
        <v>46140</v>
      </c>
      <c r="AF191" t="s">
        <v>171</v>
      </c>
      <c r="AG191">
        <v>17.829999999999998</v>
      </c>
    </row>
    <row r="192" spans="24:33">
      <c r="X192" s="21">
        <f t="shared" ref="X192:X255" si="9">WORKDAY(DATE(2025,8,2),INT(D192/390))</f>
        <v>45871</v>
      </c>
      <c r="Y192" s="21">
        <f t="shared" si="8"/>
        <v>45871</v>
      </c>
      <c r="Z192" t="str">
        <f t="array" ref="Z192">_xlfn.XLOOKUP(INT(X192),INT($AE$2:$AE$1000),$AG$2:$AG$1000,"")</f>
        <v/>
      </c>
      <c r="AE192" s="21">
        <f t="shared" si="7"/>
        <v>46141</v>
      </c>
      <c r="AF192" t="s">
        <v>172</v>
      </c>
      <c r="AG192">
        <v>18.809999999999999</v>
      </c>
    </row>
    <row r="193" spans="24:33">
      <c r="X193" s="21">
        <f t="shared" si="9"/>
        <v>45871</v>
      </c>
      <c r="Y193" s="21">
        <f t="shared" si="8"/>
        <v>45871</v>
      </c>
      <c r="Z193" t="str">
        <f t="array" ref="Z193">_xlfn.XLOOKUP(INT(X193),INT($AE$2:$AE$1000),$AG$2:$AG$1000,"")</f>
        <v/>
      </c>
      <c r="AE193" s="21">
        <f t="shared" si="7"/>
        <v>46142</v>
      </c>
      <c r="AF193" t="s">
        <v>173</v>
      </c>
      <c r="AG193">
        <v>16.89</v>
      </c>
    </row>
    <row r="194" spans="24:33">
      <c r="X194" s="21">
        <f t="shared" si="9"/>
        <v>45871</v>
      </c>
      <c r="Y194" s="21">
        <f t="shared" si="8"/>
        <v>45871</v>
      </c>
      <c r="Z194" t="str">
        <f t="array" ref="Z194">_xlfn.XLOOKUP(INT(X194),INT($AE$2:$AE$1000),$AG$2:$AG$1000,"")</f>
        <v/>
      </c>
      <c r="AE194" s="21">
        <f t="shared" ref="AE194:AE257" si="10">IF(ISNUMBER(AF194),DATE(YEAR(AF194),DAY(AF194),MONTH(AF194)),DATE(RIGHT(AF194,4),LEFT(AF194,2),MID(AF194,4,2)))</f>
        <v>46143</v>
      </c>
      <c r="AF194" s="21">
        <v>46027</v>
      </c>
      <c r="AG194">
        <v>16.989999999999998</v>
      </c>
    </row>
    <row r="195" spans="24:33">
      <c r="X195" s="21">
        <f t="shared" si="9"/>
        <v>45871</v>
      </c>
      <c r="Y195" s="21">
        <f t="shared" ref="Y195:Y258" si="11">WORKDAY(DATE(2025,8,2),INT(P195/390))</f>
        <v>45871</v>
      </c>
      <c r="Z195" t="str">
        <f t="array" ref="Z195">_xlfn.XLOOKUP(INT(X195),INT($AE$2:$AE$1000),$AG$2:$AG$1000,"")</f>
        <v/>
      </c>
      <c r="AE195" s="21">
        <f t="shared" si="10"/>
        <v>46146</v>
      </c>
      <c r="AF195" s="21">
        <v>46117</v>
      </c>
      <c r="AG195">
        <v>18.29</v>
      </c>
    </row>
    <row r="196" spans="24:33">
      <c r="X196" s="21">
        <f t="shared" si="9"/>
        <v>45871</v>
      </c>
      <c r="Y196" s="21">
        <f t="shared" si="11"/>
        <v>45871</v>
      </c>
      <c r="Z196" t="str">
        <f t="array" ref="Z196">_xlfn.XLOOKUP(INT(X196),INT($AE$2:$AE$1000),$AG$2:$AG$1000,"")</f>
        <v/>
      </c>
      <c r="AE196" s="21">
        <f t="shared" si="10"/>
        <v>46147</v>
      </c>
      <c r="AF196" s="21">
        <v>46147</v>
      </c>
      <c r="AG196">
        <v>17.38</v>
      </c>
    </row>
    <row r="197" spans="24:33">
      <c r="X197" s="21">
        <f t="shared" si="9"/>
        <v>45871</v>
      </c>
      <c r="Y197" s="21">
        <f t="shared" si="11"/>
        <v>45871</v>
      </c>
      <c r="Z197" t="str">
        <f t="array" ref="Z197">_xlfn.XLOOKUP(INT(X197),INT($AE$2:$AE$1000),$AG$2:$AG$1000,"")</f>
        <v/>
      </c>
      <c r="AE197" s="21">
        <f t="shared" si="10"/>
        <v>46148</v>
      </c>
      <c r="AF197" s="21">
        <v>46178</v>
      </c>
      <c r="AG197">
        <v>17.39</v>
      </c>
    </row>
    <row r="198" spans="24:33">
      <c r="X198" s="21">
        <f t="shared" si="9"/>
        <v>45871</v>
      </c>
      <c r="Y198" s="21">
        <f t="shared" si="11"/>
        <v>45871</v>
      </c>
      <c r="Z198" t="str">
        <f t="array" ref="Z198">_xlfn.XLOOKUP(INT(X198),INT($AE$2:$AE$1000),$AG$2:$AG$1000,"")</f>
        <v/>
      </c>
      <c r="AE198" s="21">
        <f t="shared" si="10"/>
        <v>46149</v>
      </c>
      <c r="AF198" s="21">
        <v>46208</v>
      </c>
      <c r="AG198">
        <v>17.079999999999998</v>
      </c>
    </row>
    <row r="199" spans="24:33">
      <c r="X199" s="21">
        <f t="shared" si="9"/>
        <v>45871</v>
      </c>
      <c r="Y199" s="21">
        <f t="shared" si="11"/>
        <v>45871</v>
      </c>
      <c r="Z199" t="str">
        <f t="array" ref="Z199">_xlfn.XLOOKUP(INT(X199),INT($AE$2:$AE$1000),$AG$2:$AG$1000,"")</f>
        <v/>
      </c>
      <c r="AE199" s="21">
        <f t="shared" si="10"/>
        <v>46150</v>
      </c>
      <c r="AF199" s="21">
        <v>46239</v>
      </c>
      <c r="AG199">
        <v>17.190000000000001</v>
      </c>
    </row>
    <row r="200" spans="24:33">
      <c r="X200" s="21">
        <f t="shared" si="9"/>
        <v>45871</v>
      </c>
      <c r="Y200" s="21">
        <f t="shared" si="11"/>
        <v>45871</v>
      </c>
      <c r="Z200" t="str">
        <f t="array" ref="Z200">_xlfn.XLOOKUP(INT(X200),INT($AE$2:$AE$1000),$AG$2:$AG$1000,"")</f>
        <v/>
      </c>
      <c r="AE200" s="21">
        <f t="shared" si="10"/>
        <v>46153</v>
      </c>
      <c r="AF200" s="21">
        <v>46331</v>
      </c>
      <c r="AG200">
        <v>18.38</v>
      </c>
    </row>
    <row r="201" spans="24:33">
      <c r="X201" s="21">
        <f t="shared" si="9"/>
        <v>45871</v>
      </c>
      <c r="Y201" s="21">
        <f t="shared" si="11"/>
        <v>45871</v>
      </c>
      <c r="Z201" t="str">
        <f t="array" ref="Z201">_xlfn.XLOOKUP(INT(X201),INT($AE$2:$AE$1000),$AG$2:$AG$1000,"")</f>
        <v/>
      </c>
      <c r="AE201" s="21">
        <f t="shared" si="10"/>
        <v>46154</v>
      </c>
      <c r="AF201" s="21">
        <v>46361</v>
      </c>
      <c r="AG201">
        <v>17.989999999999998</v>
      </c>
    </row>
    <row r="202" spans="24:33">
      <c r="X202" s="21">
        <f t="shared" si="9"/>
        <v>45871</v>
      </c>
      <c r="Y202" s="21">
        <f t="shared" si="11"/>
        <v>45871</v>
      </c>
      <c r="Z202" t="str">
        <f t="array" ref="Z202">_xlfn.XLOOKUP(INT(X202),INT($AE$2:$AE$1000),$AG$2:$AG$1000,"")</f>
        <v/>
      </c>
      <c r="AE202" s="21">
        <f t="shared" si="10"/>
        <v>46155</v>
      </c>
      <c r="AF202" t="s">
        <v>174</v>
      </c>
      <c r="AG202">
        <v>17.87</v>
      </c>
    </row>
    <row r="203" spans="24:33">
      <c r="X203" s="21">
        <f t="shared" si="9"/>
        <v>45871</v>
      </c>
      <c r="Y203" s="21">
        <f t="shared" si="11"/>
        <v>45871</v>
      </c>
      <c r="Z203" t="str">
        <f t="array" ref="Z203">_xlfn.XLOOKUP(INT(X203),INT($AE$2:$AE$1000),$AG$2:$AG$1000,"")</f>
        <v/>
      </c>
      <c r="AE203" s="21">
        <f t="shared" si="10"/>
        <v>46156</v>
      </c>
      <c r="AF203" t="s">
        <v>175</v>
      </c>
      <c r="AG203">
        <v>17.260000000000002</v>
      </c>
    </row>
    <row r="204" spans="24:33">
      <c r="X204" s="21">
        <f t="shared" si="9"/>
        <v>45871</v>
      </c>
      <c r="Y204" s="21">
        <f t="shared" si="11"/>
        <v>45871</v>
      </c>
      <c r="Z204" t="str">
        <f t="array" ref="Z204">_xlfn.XLOOKUP(INT(X204),INT($AE$2:$AE$1000),$AG$2:$AG$1000,"")</f>
        <v/>
      </c>
      <c r="AE204" s="21">
        <f t="shared" si="10"/>
        <v>46157</v>
      </c>
      <c r="AF204" t="s">
        <v>176</v>
      </c>
      <c r="AG204">
        <v>18.43</v>
      </c>
    </row>
    <row r="205" spans="24:33">
      <c r="X205" s="21">
        <f t="shared" si="9"/>
        <v>45871</v>
      </c>
      <c r="Y205" s="21">
        <f t="shared" si="11"/>
        <v>45871</v>
      </c>
      <c r="Z205" t="str">
        <f t="array" ref="Z205">_xlfn.XLOOKUP(INT(X205),INT($AE$2:$AE$1000),$AG$2:$AG$1000,"")</f>
        <v/>
      </c>
      <c r="AE205" s="21">
        <f t="shared" si="10"/>
        <v>46160</v>
      </c>
      <c r="AF205" t="s">
        <v>177</v>
      </c>
      <c r="AG205">
        <v>17.82</v>
      </c>
    </row>
    <row r="206" spans="24:33">
      <c r="X206" s="21">
        <f t="shared" si="9"/>
        <v>45871</v>
      </c>
      <c r="Y206" s="21">
        <f t="shared" si="11"/>
        <v>45871</v>
      </c>
      <c r="Z206" t="str">
        <f t="array" ref="Z206">_xlfn.XLOOKUP(INT(X206),INT($AE$2:$AE$1000),$AG$2:$AG$1000,"")</f>
        <v/>
      </c>
      <c r="AE206" s="21">
        <f t="shared" si="10"/>
        <v>46161</v>
      </c>
      <c r="AF206" t="s">
        <v>178</v>
      </c>
      <c r="AG206">
        <v>18.059999999999999</v>
      </c>
    </row>
    <row r="207" spans="24:33">
      <c r="X207" s="21">
        <f t="shared" si="9"/>
        <v>45871</v>
      </c>
      <c r="Y207" s="21">
        <f t="shared" si="11"/>
        <v>45871</v>
      </c>
      <c r="Z207" t="str">
        <f t="array" ref="Z207">_xlfn.XLOOKUP(INT(X207),INT($AE$2:$AE$1000),$AG$2:$AG$1000,"")</f>
        <v/>
      </c>
      <c r="AE207" s="21">
        <f t="shared" si="10"/>
        <v>46162</v>
      </c>
      <c r="AF207" t="s">
        <v>179</v>
      </c>
      <c r="AG207">
        <v>17.440000000000001</v>
      </c>
    </row>
    <row r="208" spans="24:33">
      <c r="X208" s="21">
        <f t="shared" si="9"/>
        <v>45871</v>
      </c>
      <c r="Y208" s="21">
        <f t="shared" si="11"/>
        <v>45871</v>
      </c>
      <c r="Z208" t="str">
        <f t="array" ref="Z208">_xlfn.XLOOKUP(INT(X208),INT($AE$2:$AE$1000),$AG$2:$AG$1000,"")</f>
        <v/>
      </c>
      <c r="AE208" s="21">
        <f t="shared" si="10"/>
        <v>46163</v>
      </c>
      <c r="AF208" t="s">
        <v>180</v>
      </c>
      <c r="AG208">
        <v>16.760000000000002</v>
      </c>
    </row>
    <row r="209" spans="24:33">
      <c r="X209" s="21">
        <f t="shared" si="9"/>
        <v>45871</v>
      </c>
      <c r="Y209" s="21">
        <f t="shared" si="11"/>
        <v>45871</v>
      </c>
      <c r="Z209" t="str">
        <f t="array" ref="Z209">_xlfn.XLOOKUP(INT(X209),INT($AE$2:$AE$1000),$AG$2:$AG$1000,"")</f>
        <v/>
      </c>
      <c r="AE209" s="21">
        <f t="shared" si="10"/>
        <v>46164</v>
      </c>
      <c r="AF209" t="s">
        <v>181</v>
      </c>
      <c r="AG209">
        <v>16.7</v>
      </c>
    </row>
    <row r="210" spans="24:33">
      <c r="X210" s="21">
        <f t="shared" si="9"/>
        <v>45871</v>
      </c>
      <c r="Y210" s="21">
        <f t="shared" si="11"/>
        <v>45871</v>
      </c>
      <c r="Z210" t="str">
        <f t="array" ref="Z210">_xlfn.XLOOKUP(INT(X210),INT($AE$2:$AE$1000),$AG$2:$AG$1000,"")</f>
        <v/>
      </c>
      <c r="AE210" s="21">
        <f t="shared" si="10"/>
        <v>46167</v>
      </c>
      <c r="AF210" t="s">
        <v>182</v>
      </c>
      <c r="AG210">
        <v>16.59</v>
      </c>
    </row>
    <row r="211" spans="24:33">
      <c r="X211" s="21">
        <f t="shared" si="9"/>
        <v>45871</v>
      </c>
      <c r="Y211" s="21">
        <f t="shared" si="11"/>
        <v>45871</v>
      </c>
      <c r="Z211" t="str">
        <f t="array" ref="Z211">_xlfn.XLOOKUP(INT(X211),INT($AE$2:$AE$1000),$AG$2:$AG$1000,"")</f>
        <v/>
      </c>
      <c r="AE211" s="21">
        <f t="shared" si="10"/>
        <v>46168</v>
      </c>
      <c r="AF211" t="s">
        <v>183</v>
      </c>
      <c r="AG211">
        <v>17.010000000000002</v>
      </c>
    </row>
    <row r="212" spans="24:33">
      <c r="X212" s="21">
        <f t="shared" si="9"/>
        <v>45871</v>
      </c>
      <c r="Y212" s="21">
        <f t="shared" si="11"/>
        <v>45871</v>
      </c>
      <c r="Z212" t="str">
        <f t="array" ref="Z212">_xlfn.XLOOKUP(INT(X212),INT($AE$2:$AE$1000),$AG$2:$AG$1000,"")</f>
        <v/>
      </c>
      <c r="AE212" s="21">
        <f t="shared" si="10"/>
        <v>46169</v>
      </c>
      <c r="AF212" t="s">
        <v>184</v>
      </c>
      <c r="AG212">
        <v>16.29</v>
      </c>
    </row>
    <row r="213" spans="24:33">
      <c r="X213" s="21">
        <f t="shared" si="9"/>
        <v>45871</v>
      </c>
      <c r="Y213" s="21">
        <f t="shared" si="11"/>
        <v>45871</v>
      </c>
      <c r="Z213" t="str">
        <f t="array" ref="Z213">_xlfn.XLOOKUP(INT(X213),INT($AE$2:$AE$1000),$AG$2:$AG$1000,"")</f>
        <v/>
      </c>
      <c r="AE213" s="21">
        <f t="shared" si="10"/>
        <v>46170</v>
      </c>
      <c r="AF213" t="s">
        <v>185</v>
      </c>
      <c r="AG213">
        <v>15.74</v>
      </c>
    </row>
    <row r="214" spans="24:33">
      <c r="X214" s="21">
        <f t="shared" si="9"/>
        <v>45871</v>
      </c>
      <c r="Y214" s="21">
        <f t="shared" si="11"/>
        <v>45871</v>
      </c>
      <c r="Z214" t="str">
        <f t="array" ref="Z214">_xlfn.XLOOKUP(INT(X214),INT($AE$2:$AE$1000),$AG$2:$AG$1000,"")</f>
        <v/>
      </c>
      <c r="AE214" s="21">
        <f t="shared" si="10"/>
        <v>46171</v>
      </c>
      <c r="AF214" t="s">
        <v>186</v>
      </c>
      <c r="AG214">
        <v>15.32</v>
      </c>
    </row>
    <row r="215" spans="24:33">
      <c r="X215" s="21">
        <f t="shared" si="9"/>
        <v>45871</v>
      </c>
      <c r="Y215" s="21">
        <f t="shared" si="11"/>
        <v>45871</v>
      </c>
      <c r="Z215" t="str">
        <f t="array" ref="Z215">_xlfn.XLOOKUP(INT(X215),INT($AE$2:$AE$1000),$AG$2:$AG$1000,"")</f>
        <v/>
      </c>
      <c r="AE215" s="21">
        <f t="shared" si="10"/>
        <v>46174</v>
      </c>
      <c r="AF215" s="21">
        <v>46028</v>
      </c>
      <c r="AG215">
        <v>16.05</v>
      </c>
    </row>
    <row r="216" spans="24:33">
      <c r="X216" s="21">
        <f t="shared" si="9"/>
        <v>45871</v>
      </c>
      <c r="Y216" s="21">
        <f t="shared" si="11"/>
        <v>45871</v>
      </c>
      <c r="Z216" t="str">
        <f t="array" ref="Z216">_xlfn.XLOOKUP(INT(X216),INT($AE$2:$AE$1000),$AG$2:$AG$1000,"")</f>
        <v/>
      </c>
      <c r="AE216" s="21">
        <f t="shared" si="10"/>
        <v>46175</v>
      </c>
      <c r="AF216" s="21">
        <v>46059</v>
      </c>
      <c r="AG216">
        <v>15.77</v>
      </c>
    </row>
    <row r="217" spans="24:33">
      <c r="X217" s="21">
        <f t="shared" si="9"/>
        <v>45871</v>
      </c>
      <c r="Y217" s="21">
        <f t="shared" si="11"/>
        <v>45871</v>
      </c>
      <c r="Z217" t="str">
        <f t="array" ref="Z217">_xlfn.XLOOKUP(INT(X217),INT($AE$2:$AE$1000),$AG$2:$AG$1000,"")</f>
        <v/>
      </c>
      <c r="AE217" s="21">
        <f t="shared" si="10"/>
        <v>46176</v>
      </c>
      <c r="AF217" s="21">
        <v>46087</v>
      </c>
      <c r="AG217">
        <v>16.059999999999999</v>
      </c>
    </row>
    <row r="218" spans="24:33">
      <c r="X218" s="21">
        <f t="shared" si="9"/>
        <v>45871</v>
      </c>
      <c r="Y218" s="21">
        <f t="shared" si="11"/>
        <v>45871</v>
      </c>
      <c r="Z218" t="str">
        <f t="array" ref="Z218">_xlfn.XLOOKUP(INT(X218),INT($AE$2:$AE$1000),$AG$2:$AG$1000,"")</f>
        <v/>
      </c>
      <c r="AE218" s="21">
        <f t="shared" si="10"/>
        <v>46177</v>
      </c>
      <c r="AF218" s="21">
        <v>46118</v>
      </c>
      <c r="AG218">
        <v>15.4</v>
      </c>
    </row>
    <row r="219" spans="24:33">
      <c r="X219" s="21">
        <f t="shared" si="9"/>
        <v>45871</v>
      </c>
      <c r="Y219" s="21">
        <f t="shared" si="11"/>
        <v>45871</v>
      </c>
      <c r="Z219" t="str">
        <f t="array" ref="Z219">_xlfn.XLOOKUP(INT(X219),INT($AE$2:$AE$1000),$AG$2:$AG$1000,"")</f>
        <v/>
      </c>
      <c r="AE219" s="21">
        <f t="shared" si="10"/>
        <v>46178</v>
      </c>
      <c r="AF219" s="21">
        <v>46148</v>
      </c>
      <c r="AG219">
        <v>21.51</v>
      </c>
    </row>
    <row r="220" spans="24:33">
      <c r="X220" s="21">
        <f t="shared" si="9"/>
        <v>45871</v>
      </c>
      <c r="Y220" s="21">
        <f t="shared" si="11"/>
        <v>45871</v>
      </c>
      <c r="Z220" t="str">
        <f t="array" ref="Z220">_xlfn.XLOOKUP(INT(X220),INT($AE$2:$AE$1000),$AG$2:$AG$1000,"")</f>
        <v/>
      </c>
      <c r="AE220" s="21">
        <f t="shared" si="10"/>
        <v>46181</v>
      </c>
      <c r="AF220" s="21">
        <v>46240</v>
      </c>
      <c r="AG220">
        <v>18.920000000000002</v>
      </c>
    </row>
    <row r="221" spans="24:33">
      <c r="X221" s="21">
        <f t="shared" si="9"/>
        <v>45871</v>
      </c>
      <c r="Y221" s="21">
        <f t="shared" si="11"/>
        <v>45871</v>
      </c>
      <c r="Z221" t="str">
        <f t="array" ref="Z221">_xlfn.XLOOKUP(INT(X221),INT($AE$2:$AE$1000),$AG$2:$AG$1000,"")</f>
        <v/>
      </c>
      <c r="AE221" s="21">
        <f t="shared" si="10"/>
        <v>46182</v>
      </c>
      <c r="AF221" s="21">
        <v>46271</v>
      </c>
      <c r="AG221">
        <v>19.87</v>
      </c>
    </row>
    <row r="222" spans="24:33">
      <c r="X222" s="21">
        <f t="shared" si="9"/>
        <v>45871</v>
      </c>
      <c r="Y222" s="21">
        <f t="shared" si="11"/>
        <v>45871</v>
      </c>
      <c r="Z222" t="str">
        <f t="array" ref="Z222">_xlfn.XLOOKUP(INT(X222),INT($AE$2:$AE$1000),$AG$2:$AG$1000,"")</f>
        <v/>
      </c>
      <c r="AE222" s="21">
        <f t="shared" si="10"/>
        <v>46183</v>
      </c>
      <c r="AF222" s="21">
        <v>46301</v>
      </c>
      <c r="AG222">
        <v>22.22</v>
      </c>
    </row>
    <row r="223" spans="24:33">
      <c r="X223" s="21">
        <f t="shared" si="9"/>
        <v>45871</v>
      </c>
      <c r="Y223" s="21">
        <f t="shared" si="11"/>
        <v>45871</v>
      </c>
      <c r="Z223" t="str">
        <f t="array" ref="Z223">_xlfn.XLOOKUP(INT(X223),INT($AE$2:$AE$1000),$AG$2:$AG$1000,"")</f>
        <v/>
      </c>
      <c r="AE223" s="21">
        <f t="shared" si="10"/>
        <v>46184</v>
      </c>
      <c r="AF223" s="21">
        <v>46332</v>
      </c>
      <c r="AG223">
        <v>19.440000000000001</v>
      </c>
    </row>
    <row r="224" spans="24:33">
      <c r="X224" s="21">
        <f t="shared" si="9"/>
        <v>45871</v>
      </c>
      <c r="Y224" s="21">
        <f t="shared" si="11"/>
        <v>45871</v>
      </c>
      <c r="Z224" t="str">
        <f t="array" ref="Z224">_xlfn.XLOOKUP(INT(X224),INT($AE$2:$AE$1000),$AG$2:$AG$1000,"")</f>
        <v/>
      </c>
      <c r="AE224" s="21">
        <f t="shared" si="10"/>
        <v>46185</v>
      </c>
      <c r="AF224" s="21">
        <v>46362</v>
      </c>
      <c r="AG224">
        <v>17.68</v>
      </c>
    </row>
    <row r="225" spans="24:33">
      <c r="X225" s="21">
        <f t="shared" si="9"/>
        <v>45871</v>
      </c>
      <c r="Y225" s="21">
        <f t="shared" si="11"/>
        <v>45871</v>
      </c>
      <c r="Z225" t="str">
        <f t="array" ref="Z225">_xlfn.XLOOKUP(INT(X225),INT($AE$2:$AE$1000),$AG$2:$AG$1000,"")</f>
        <v/>
      </c>
      <c r="AE225" s="21">
        <f t="shared" si="10"/>
        <v>46188</v>
      </c>
      <c r="AF225" t="s">
        <v>187</v>
      </c>
      <c r="AG225">
        <v>16.2</v>
      </c>
    </row>
    <row r="226" spans="24:33">
      <c r="X226" s="21">
        <f t="shared" si="9"/>
        <v>45871</v>
      </c>
      <c r="Y226" s="21">
        <f t="shared" si="11"/>
        <v>45871</v>
      </c>
      <c r="Z226" t="str">
        <f t="array" ref="Z226">_xlfn.XLOOKUP(INT(X226),INT($AE$2:$AE$1000),$AG$2:$AG$1000,"")</f>
        <v/>
      </c>
      <c r="AE226" s="21">
        <f t="shared" si="10"/>
        <v>46189</v>
      </c>
      <c r="AF226" t="s">
        <v>188</v>
      </c>
      <c r="AG226">
        <v>16.41</v>
      </c>
    </row>
    <row r="227" spans="24:33">
      <c r="X227" s="21">
        <f t="shared" si="9"/>
        <v>45871</v>
      </c>
      <c r="Y227" s="21">
        <f t="shared" si="11"/>
        <v>45871</v>
      </c>
      <c r="Z227" t="str">
        <f t="array" ref="Z227">_xlfn.XLOOKUP(INT(X227),INT($AE$2:$AE$1000),$AG$2:$AG$1000,"")</f>
        <v/>
      </c>
      <c r="AE227" s="21">
        <f t="shared" si="10"/>
        <v>46190</v>
      </c>
      <c r="AF227" t="s">
        <v>189</v>
      </c>
      <c r="AG227">
        <v>18.440000000000001</v>
      </c>
    </row>
    <row r="228" spans="24:33">
      <c r="X228" s="21">
        <f t="shared" si="9"/>
        <v>45871</v>
      </c>
      <c r="Y228" s="21">
        <f t="shared" si="11"/>
        <v>45871</v>
      </c>
      <c r="Z228" t="str">
        <f t="array" ref="Z228">_xlfn.XLOOKUP(INT(X228),INT($AE$2:$AE$1000),$AG$2:$AG$1000,"")</f>
        <v/>
      </c>
      <c r="AE228" s="21">
        <f t="shared" si="10"/>
        <v>46191</v>
      </c>
      <c r="AF228" t="s">
        <v>190</v>
      </c>
      <c r="AG228">
        <v>16.399999999999999</v>
      </c>
    </row>
    <row r="229" spans="24:33">
      <c r="X229" s="21">
        <f t="shared" si="9"/>
        <v>45871</v>
      </c>
      <c r="Y229" s="21">
        <f t="shared" si="11"/>
        <v>45871</v>
      </c>
      <c r="Z229" t="str">
        <f t="array" ref="Z229">_xlfn.XLOOKUP(INT(X229),INT($AE$2:$AE$1000),$AG$2:$AG$1000,"")</f>
        <v/>
      </c>
      <c r="AE229" s="21">
        <f t="shared" si="10"/>
        <v>46192</v>
      </c>
      <c r="AF229" t="s">
        <v>191</v>
      </c>
      <c r="AG229">
        <v>16.78</v>
      </c>
    </row>
    <row r="230" spans="24:33">
      <c r="X230" s="21">
        <f t="shared" si="9"/>
        <v>45871</v>
      </c>
      <c r="Y230" s="21">
        <f t="shared" si="11"/>
        <v>45871</v>
      </c>
      <c r="Z230" t="str">
        <f t="array" ref="Z230">_xlfn.XLOOKUP(INT(X230),INT($AE$2:$AE$1000),$AG$2:$AG$1000,"")</f>
        <v/>
      </c>
      <c r="AE230" s="21">
        <f t="shared" si="10"/>
        <v>46195</v>
      </c>
      <c r="AF230" t="s">
        <v>192</v>
      </c>
      <c r="AG230">
        <v>17.28</v>
      </c>
    </row>
    <row r="231" spans="24:33">
      <c r="X231" s="21">
        <f t="shared" si="9"/>
        <v>45871</v>
      </c>
      <c r="Y231" s="21">
        <f t="shared" si="11"/>
        <v>45871</v>
      </c>
      <c r="Z231" t="str">
        <f t="array" ref="Z231">_xlfn.XLOOKUP(INT(X231),INT($AE$2:$AE$1000),$AG$2:$AG$1000,"")</f>
        <v/>
      </c>
      <c r="AE231" s="21">
        <f t="shared" si="10"/>
        <v>46196</v>
      </c>
      <c r="AF231" t="s">
        <v>193</v>
      </c>
      <c r="AG231">
        <v>19.489999999999998</v>
      </c>
    </row>
    <row r="232" spans="24:33">
      <c r="X232" s="21">
        <f t="shared" si="9"/>
        <v>45871</v>
      </c>
      <c r="Y232" s="21">
        <f t="shared" si="11"/>
        <v>45871</v>
      </c>
      <c r="Z232" t="str">
        <f t="array" ref="Z232">_xlfn.XLOOKUP(INT(X232),INT($AE$2:$AE$1000),$AG$2:$AG$1000,"")</f>
        <v/>
      </c>
      <c r="AE232" s="21">
        <f t="shared" si="10"/>
        <v>46197</v>
      </c>
      <c r="AF232" t="s">
        <v>194</v>
      </c>
      <c r="AG232">
        <v>18.63</v>
      </c>
    </row>
    <row r="233" spans="24:33">
      <c r="X233" s="21">
        <f t="shared" si="9"/>
        <v>45871</v>
      </c>
      <c r="Y233" s="21">
        <f t="shared" si="11"/>
        <v>45871</v>
      </c>
      <c r="Z233" t="str">
        <f t="array" ref="Z233">_xlfn.XLOOKUP(INT(X233),INT($AE$2:$AE$1000),$AG$2:$AG$1000,"")</f>
        <v/>
      </c>
      <c r="AE233" s="21">
        <f t="shared" si="10"/>
        <v>46198</v>
      </c>
      <c r="AF233" t="s">
        <v>195</v>
      </c>
      <c r="AG233">
        <v>18.89</v>
      </c>
    </row>
    <row r="234" spans="24:33">
      <c r="X234" s="21">
        <f t="shared" si="9"/>
        <v>45871</v>
      </c>
      <c r="Y234" s="21">
        <f t="shared" si="11"/>
        <v>45871</v>
      </c>
      <c r="Z234" t="str">
        <f t="array" ref="Z234">_xlfn.XLOOKUP(INT(X234),INT($AE$2:$AE$1000),$AG$2:$AG$1000,"")</f>
        <v/>
      </c>
      <c r="AE234" s="21">
        <f t="shared" si="10"/>
        <v>46199</v>
      </c>
      <c r="AF234" t="s">
        <v>196</v>
      </c>
      <c r="AG234">
        <v>18.41</v>
      </c>
    </row>
    <row r="235" spans="24:33">
      <c r="X235" s="21">
        <f t="shared" si="9"/>
        <v>45871</v>
      </c>
      <c r="Y235" s="21">
        <f t="shared" si="11"/>
        <v>45871</v>
      </c>
      <c r="Z235" t="str">
        <f t="array" ref="Z235">_xlfn.XLOOKUP(INT(X235),INT($AE$2:$AE$1000),$AG$2:$AG$1000,"")</f>
        <v/>
      </c>
      <c r="AE235" s="21">
        <f t="shared" si="10"/>
        <v>46202</v>
      </c>
      <c r="AF235" t="s">
        <v>197</v>
      </c>
      <c r="AG235">
        <v>17.649999999999999</v>
      </c>
    </row>
    <row r="236" spans="24:33">
      <c r="X236" s="21">
        <f t="shared" si="9"/>
        <v>45871</v>
      </c>
      <c r="Y236" s="21">
        <f t="shared" si="11"/>
        <v>45871</v>
      </c>
      <c r="Z236" t="str">
        <f t="array" ref="Z236">_xlfn.XLOOKUP(INT(X236),INT($AE$2:$AE$1000),$AG$2:$AG$1000,"")</f>
        <v/>
      </c>
      <c r="AE236" s="21">
        <f t="shared" si="10"/>
        <v>46203</v>
      </c>
      <c r="AF236" t="s">
        <v>198</v>
      </c>
      <c r="AG236">
        <v>16.45</v>
      </c>
    </row>
    <row r="237" spans="24:33">
      <c r="X237" s="21">
        <f t="shared" si="9"/>
        <v>45871</v>
      </c>
      <c r="Y237" s="21">
        <f t="shared" si="11"/>
        <v>45871</v>
      </c>
      <c r="Z237" t="str">
        <f t="array" ref="Z237">_xlfn.XLOOKUP(INT(X237),INT($AE$2:$AE$1000),$AG$2:$AG$1000,"")</f>
        <v/>
      </c>
      <c r="AE237" s="21">
        <f t="shared" si="10"/>
        <v>46204</v>
      </c>
      <c r="AF237" s="21">
        <v>46029</v>
      </c>
      <c r="AG237">
        <v>16.59</v>
      </c>
    </row>
    <row r="238" spans="24:33">
      <c r="X238" s="21">
        <f t="shared" si="9"/>
        <v>45871</v>
      </c>
      <c r="Y238" s="21">
        <f t="shared" si="11"/>
        <v>45871</v>
      </c>
      <c r="Z238" t="str">
        <f t="array" ref="Z238">_xlfn.XLOOKUP(INT(X238),INT($AE$2:$AE$1000),$AG$2:$AG$1000,"")</f>
        <v/>
      </c>
      <c r="AE238" s="21">
        <f t="shared" si="10"/>
        <v>46205</v>
      </c>
      <c r="AF238" s="21">
        <v>46060</v>
      </c>
      <c r="AG238">
        <v>16.149999999999999</v>
      </c>
    </row>
    <row r="239" spans="24:33">
      <c r="X239" s="21">
        <f t="shared" si="9"/>
        <v>45871</v>
      </c>
      <c r="Y239" s="21">
        <f t="shared" si="11"/>
        <v>45871</v>
      </c>
      <c r="Z239" t="str">
        <f t="array" ref="Z239">_xlfn.XLOOKUP(INT(X239),INT($AE$2:$AE$1000),$AG$2:$AG$1000,"")</f>
        <v/>
      </c>
      <c r="AE239" s="21">
        <f t="shared" si="10"/>
        <v>46206</v>
      </c>
      <c r="AF239" s="21">
        <v>46088</v>
      </c>
      <c r="AG239">
        <v>15.81</v>
      </c>
    </row>
    <row r="240" spans="24:33">
      <c r="X240" s="21">
        <f t="shared" si="9"/>
        <v>45871</v>
      </c>
      <c r="Y240" s="21">
        <f t="shared" si="11"/>
        <v>45871</v>
      </c>
      <c r="Z240" t="str">
        <f t="array" ref="Z240">_xlfn.XLOOKUP(INT(X240),INT($AE$2:$AE$1000),$AG$2:$AG$1000,"")</f>
        <v/>
      </c>
      <c r="AE240" s="21">
        <f t="shared" si="10"/>
        <v>46209</v>
      </c>
      <c r="AF240" s="21">
        <v>46180</v>
      </c>
      <c r="AG240">
        <v>15.57</v>
      </c>
    </row>
    <row r="241" spans="24:33">
      <c r="X241" s="21">
        <f t="shared" si="9"/>
        <v>45871</v>
      </c>
      <c r="Y241" s="21">
        <f t="shared" si="11"/>
        <v>45871</v>
      </c>
      <c r="Z241" t="str">
        <f t="array" ref="Z241">_xlfn.XLOOKUP(INT(X241),INT($AE$2:$AE$1000),$AG$2:$AG$1000,"")</f>
        <v/>
      </c>
      <c r="AE241" s="21">
        <f t="shared" si="10"/>
        <v>46210</v>
      </c>
      <c r="AF241" s="21">
        <v>46210</v>
      </c>
      <c r="AG241">
        <v>16.13</v>
      </c>
    </row>
    <row r="242" spans="24:33">
      <c r="X242" s="21">
        <f t="shared" si="9"/>
        <v>45871</v>
      </c>
      <c r="Y242" s="21">
        <f t="shared" si="11"/>
        <v>45871</v>
      </c>
      <c r="Z242" t="str">
        <f t="array" ref="Z242">_xlfn.XLOOKUP(INT(X242),INT($AE$2:$AE$1000),$AG$2:$AG$1000,"")</f>
        <v/>
      </c>
      <c r="AE242" s="21">
        <f t="shared" si="10"/>
        <v>46211</v>
      </c>
      <c r="AF242" s="21">
        <v>46241</v>
      </c>
      <c r="AG242">
        <v>16.899999999999999</v>
      </c>
    </row>
    <row r="243" spans="24:33">
      <c r="X243" s="21">
        <f t="shared" si="9"/>
        <v>45871</v>
      </c>
      <c r="Y243" s="21">
        <f t="shared" si="11"/>
        <v>45871</v>
      </c>
      <c r="Z243" t="str">
        <f t="array" ref="Z243">_xlfn.XLOOKUP(INT(X243),INT($AE$2:$AE$1000),$AG$2:$AG$1000,"")</f>
        <v/>
      </c>
      <c r="AE243" s="21">
        <f t="shared" si="10"/>
        <v>46212</v>
      </c>
      <c r="AF243" s="21">
        <v>46272</v>
      </c>
      <c r="AG243">
        <v>15.84</v>
      </c>
    </row>
    <row r="244" spans="24:33">
      <c r="X244" s="21">
        <f t="shared" si="9"/>
        <v>45871</v>
      </c>
      <c r="Y244" s="21">
        <f t="shared" si="11"/>
        <v>45871</v>
      </c>
      <c r="Z244" t="str">
        <f t="array" ref="Z244">_xlfn.XLOOKUP(INT(X244),INT($AE$2:$AE$1000),$AG$2:$AG$1000,"")</f>
        <v/>
      </c>
      <c r="AE244" s="21">
        <f t="shared" si="10"/>
        <v>46213</v>
      </c>
      <c r="AF244" s="21">
        <v>46302</v>
      </c>
      <c r="AG244">
        <v>15.03</v>
      </c>
    </row>
    <row r="245" spans="24:33">
      <c r="X245" s="21">
        <f t="shared" si="9"/>
        <v>45871</v>
      </c>
      <c r="Y245" s="21">
        <f t="shared" si="11"/>
        <v>45871</v>
      </c>
      <c r="Z245" t="str">
        <f t="array" ref="Z245">_xlfn.XLOOKUP(INT(X245),INT($AE$2:$AE$1000),$AG$2:$AG$1000,"")</f>
        <v/>
      </c>
      <c r="AE245" s="21">
        <f t="shared" si="10"/>
        <v>46216</v>
      </c>
      <c r="AF245" t="s">
        <v>199</v>
      </c>
      <c r="AG245">
        <v>17.16</v>
      </c>
    </row>
    <row r="246" spans="24:33">
      <c r="X246" s="21">
        <f t="shared" si="9"/>
        <v>45871</v>
      </c>
      <c r="Y246" s="21">
        <f t="shared" si="11"/>
        <v>45871</v>
      </c>
      <c r="Z246" t="str">
        <f t="array" ref="Z246">_xlfn.XLOOKUP(INT(X246),INT($AE$2:$AE$1000),$AG$2:$AG$1000,"")</f>
        <v/>
      </c>
      <c r="AE246" s="21">
        <f t="shared" si="10"/>
        <v>46217</v>
      </c>
      <c r="AF246" t="s">
        <v>200</v>
      </c>
      <c r="AG246">
        <v>16.5</v>
      </c>
    </row>
    <row r="247" spans="24:33">
      <c r="X247" s="21">
        <f t="shared" si="9"/>
        <v>45871</v>
      </c>
      <c r="Y247" s="21">
        <f t="shared" si="11"/>
        <v>45871</v>
      </c>
      <c r="Z247" t="str">
        <f t="array" ref="Z247">_xlfn.XLOOKUP(INT(X247),INT($AE$2:$AE$1000),$AG$2:$AG$1000,"")</f>
        <v/>
      </c>
      <c r="AE247" s="21">
        <f t="shared" si="10"/>
        <v>46218</v>
      </c>
      <c r="AF247" t="s">
        <v>201</v>
      </c>
      <c r="AG247">
        <v>15.67</v>
      </c>
    </row>
    <row r="248" spans="24:33">
      <c r="X248" s="21">
        <f t="shared" si="9"/>
        <v>45871</v>
      </c>
      <c r="Y248" s="21">
        <f t="shared" si="11"/>
        <v>45871</v>
      </c>
      <c r="Z248" t="str">
        <f t="array" ref="Z248">_xlfn.XLOOKUP(INT(X248),INT($AE$2:$AE$1000),$AG$2:$AG$1000,"")</f>
        <v/>
      </c>
      <c r="AE248" s="21">
        <f t="shared" si="10"/>
        <v>46219</v>
      </c>
      <c r="AF248" t="s">
        <v>202</v>
      </c>
      <c r="AG248">
        <v>16.73</v>
      </c>
    </row>
    <row r="249" spans="24:33">
      <c r="X249" s="21">
        <f t="shared" si="9"/>
        <v>45871</v>
      </c>
      <c r="Y249" s="21">
        <f t="shared" si="11"/>
        <v>45871</v>
      </c>
      <c r="Z249" t="str">
        <f t="array" ref="Z249">_xlfn.XLOOKUP(INT(X249),INT($AE$2:$AE$1000),$AG$2:$AG$1000,"")</f>
        <v/>
      </c>
      <c r="AE249" s="21">
        <f t="shared" si="10"/>
        <v>46220</v>
      </c>
      <c r="AF249" t="s">
        <v>203</v>
      </c>
      <c r="AG249">
        <v>18.77</v>
      </c>
    </row>
    <row r="250" spans="24:33">
      <c r="X250" s="21">
        <f t="shared" si="9"/>
        <v>45871</v>
      </c>
      <c r="Y250" s="21">
        <f t="shared" si="11"/>
        <v>45871</v>
      </c>
      <c r="Z250" t="str">
        <f t="array" ref="Z250">_xlfn.XLOOKUP(INT(X250),INT($AE$2:$AE$1000),$AG$2:$AG$1000,"")</f>
        <v/>
      </c>
      <c r="AE250" s="21">
        <f t="shared" si="10"/>
        <v>46223</v>
      </c>
      <c r="AF250" t="s">
        <v>204</v>
      </c>
      <c r="AG250">
        <v>18.649999999999999</v>
      </c>
    </row>
    <row r="251" spans="24:33">
      <c r="X251" s="21">
        <f t="shared" si="9"/>
        <v>45871</v>
      </c>
      <c r="Y251" s="21">
        <f t="shared" si="11"/>
        <v>45871</v>
      </c>
      <c r="Z251" t="str">
        <f t="array" ref="Z251">_xlfn.XLOOKUP(INT(X251),INT($AE$2:$AE$1000),$AG$2:$AG$1000,"")</f>
        <v/>
      </c>
      <c r="AE251" s="21">
        <f t="shared" si="10"/>
        <v>46224</v>
      </c>
      <c r="AF251" t="s">
        <v>205</v>
      </c>
      <c r="AG251">
        <v>17.05</v>
      </c>
    </row>
    <row r="252" spans="24:33">
      <c r="X252" s="21">
        <f t="shared" si="9"/>
        <v>45871</v>
      </c>
      <c r="Y252" s="21">
        <f t="shared" si="11"/>
        <v>45871</v>
      </c>
      <c r="Z252" t="str">
        <f t="array" ref="Z252">_xlfn.XLOOKUP(INT(X252),INT($AE$2:$AE$1000),$AG$2:$AG$1000,"")</f>
        <v/>
      </c>
      <c r="AE252" s="21">
        <f t="shared" si="10"/>
        <v>46225</v>
      </c>
      <c r="AF252" t="s">
        <v>206</v>
      </c>
      <c r="AG252">
        <v>16.64</v>
      </c>
    </row>
    <row r="253" spans="24:33">
      <c r="X253" s="21">
        <f t="shared" si="9"/>
        <v>45871</v>
      </c>
      <c r="Y253" s="21">
        <f t="shared" si="11"/>
        <v>45871</v>
      </c>
      <c r="Z253" t="str">
        <f t="array" ref="Z253">_xlfn.XLOOKUP(INT(X253),INT($AE$2:$AE$1000),$AG$2:$AG$1000,"")</f>
        <v/>
      </c>
      <c r="AE253" s="21">
        <f t="shared" si="10"/>
        <v>46226</v>
      </c>
      <c r="AF253" t="s">
        <v>207</v>
      </c>
      <c r="AG253">
        <v>18.7</v>
      </c>
    </row>
    <row r="254" spans="24:33">
      <c r="X254" s="21">
        <f t="shared" si="9"/>
        <v>45871</v>
      </c>
      <c r="Y254" s="21">
        <f t="shared" si="11"/>
        <v>45871</v>
      </c>
      <c r="Z254" t="str">
        <f t="array" ref="Z254">_xlfn.XLOOKUP(INT(X254),INT($AE$2:$AE$1000),$AG$2:$AG$1000,"")</f>
        <v/>
      </c>
      <c r="AE254" s="21">
        <f t="shared" si="10"/>
        <v>46227</v>
      </c>
      <c r="AF254" t="s">
        <v>208</v>
      </c>
      <c r="AG254">
        <v>18.579999999999998</v>
      </c>
    </row>
    <row r="255" spans="24:33">
      <c r="X255" s="21">
        <f t="shared" si="9"/>
        <v>45871</v>
      </c>
      <c r="Y255" s="21">
        <f t="shared" si="11"/>
        <v>45871</v>
      </c>
      <c r="Z255" t="str">
        <f t="array" ref="Z255">_xlfn.XLOOKUP(INT(X255),INT($AE$2:$AE$1000),$AG$2:$AG$1000,"")</f>
        <v/>
      </c>
      <c r="AE255" s="21">
        <f t="shared" si="10"/>
        <v>46230</v>
      </c>
      <c r="AF255" t="s">
        <v>209</v>
      </c>
      <c r="AG255">
        <v>18.670000000000002</v>
      </c>
    </row>
    <row r="256" spans="24:33">
      <c r="X256" s="21">
        <f t="shared" ref="X256:X319" si="12">WORKDAY(DATE(2025,8,2),INT(D256/390))</f>
        <v>45871</v>
      </c>
      <c r="Y256" s="21">
        <f t="shared" si="11"/>
        <v>45871</v>
      </c>
      <c r="Z256" t="str">
        <f t="array" ref="Z256">_xlfn.XLOOKUP(INT(X256),INT($AE$2:$AE$1000),$AG$2:$AG$1000,"")</f>
        <v/>
      </c>
      <c r="AE256" s="21">
        <f t="shared" si="10"/>
        <v>46231</v>
      </c>
      <c r="AF256" t="s">
        <v>210</v>
      </c>
      <c r="AG256">
        <v>18.21</v>
      </c>
    </row>
    <row r="257" spans="24:33">
      <c r="X257" s="21">
        <f t="shared" si="12"/>
        <v>45871</v>
      </c>
      <c r="Y257" s="21">
        <f t="shared" si="11"/>
        <v>45871</v>
      </c>
      <c r="Z257" t="str">
        <f t="array" ref="Z257">_xlfn.XLOOKUP(INT(X257),INT($AE$2:$AE$1000),$AG$2:$AG$1000,"")</f>
        <v/>
      </c>
      <c r="AE257" s="21">
        <f t="shared" si="10"/>
        <v>46232</v>
      </c>
      <c r="AF257" t="s">
        <v>211</v>
      </c>
      <c r="AG257">
        <v>20.66</v>
      </c>
    </row>
    <row r="258" spans="24:33">
      <c r="X258" s="21">
        <f t="shared" si="12"/>
        <v>45871</v>
      </c>
      <c r="Y258" s="21">
        <f t="shared" si="11"/>
        <v>45871</v>
      </c>
      <c r="Z258" t="str">
        <f t="array" ref="Z258">_xlfn.XLOOKUP(INT(X258),INT($AE$2:$AE$1000),$AG$2:$AG$1000,"")</f>
        <v/>
      </c>
      <c r="AE258" s="21">
        <f t="shared" ref="AE258:AE321" si="13">IF(ISNUMBER(AF258),DATE(YEAR(AF258),DAY(AF258),MONTH(AF258)),DATE(RIGHT(AF258,4),LEFT(AF258,2),MID(AF258,4,2)))</f>
        <v>46233</v>
      </c>
      <c r="AF258" t="s">
        <v>212</v>
      </c>
      <c r="AG258">
        <v>17.09</v>
      </c>
    </row>
    <row r="259" spans="24:33">
      <c r="X259" s="21">
        <f t="shared" si="12"/>
        <v>45871</v>
      </c>
      <c r="Y259" s="21">
        <f t="shared" ref="Y259:Y322" si="14">WORKDAY(DATE(2025,8,2),INT(P259/390))</f>
        <v>45871</v>
      </c>
      <c r="Z259" t="str">
        <f t="array" ref="Z259">_xlfn.XLOOKUP(INT(X259),INT($AE$2:$AE$1000),$AG$2:$AG$1000,"")</f>
        <v/>
      </c>
      <c r="AE259" s="21">
        <f t="shared" si="13"/>
        <v>46234</v>
      </c>
      <c r="AF259" t="s">
        <v>213</v>
      </c>
      <c r="AG259">
        <v>15.99</v>
      </c>
    </row>
    <row r="260" spans="24:33">
      <c r="X260" s="21">
        <f t="shared" si="12"/>
        <v>45871</v>
      </c>
      <c r="Y260" s="21">
        <f t="shared" si="14"/>
        <v>45871</v>
      </c>
      <c r="Z260" t="str">
        <f t="array" ref="Z260">_xlfn.XLOOKUP(INT(X260),INT($AE$2:$AE$1000),$AG$2:$AG$1000,"")</f>
        <v/>
      </c>
      <c r="AE260" s="21" t="e">
        <f t="shared" si="13"/>
        <v>#VALUE!</v>
      </c>
      <c r="AF260" s="21"/>
    </row>
    <row r="261" spans="24:33">
      <c r="X261" s="21">
        <f t="shared" si="12"/>
        <v>45871</v>
      </c>
      <c r="Y261" s="21">
        <f t="shared" si="14"/>
        <v>45871</v>
      </c>
      <c r="Z261" t="str">
        <f t="array" ref="Z261">_xlfn.XLOOKUP(INT(X261),INT($AE$2:$AE$1000),$AG$2:$AG$1000,"")</f>
        <v/>
      </c>
      <c r="AE261" s="21" t="e">
        <f t="shared" si="13"/>
        <v>#VALUE!</v>
      </c>
      <c r="AF261" s="21"/>
    </row>
    <row r="262" spans="24:33">
      <c r="X262" s="21">
        <f t="shared" si="12"/>
        <v>45871</v>
      </c>
      <c r="Y262" s="21">
        <f t="shared" si="14"/>
        <v>45871</v>
      </c>
      <c r="Z262" t="str">
        <f t="array" ref="Z262">_xlfn.XLOOKUP(INT(X262),INT($AE$2:$AE$1000),$AG$2:$AG$1000,"")</f>
        <v/>
      </c>
      <c r="AE262" s="21" t="e">
        <f t="shared" si="13"/>
        <v>#VALUE!</v>
      </c>
      <c r="AF262" s="21"/>
    </row>
    <row r="263" spans="24:33">
      <c r="X263" s="21">
        <f t="shared" si="12"/>
        <v>45871</v>
      </c>
      <c r="Y263" s="21">
        <f t="shared" si="14"/>
        <v>45871</v>
      </c>
      <c r="Z263" t="str">
        <f t="array" ref="Z263">_xlfn.XLOOKUP(INT(X263),INT($AE$2:$AE$1000),$AG$2:$AG$1000,"")</f>
        <v/>
      </c>
      <c r="AE263" s="21" t="e">
        <f t="shared" si="13"/>
        <v>#VALUE!</v>
      </c>
    </row>
    <row r="264" spans="24:33">
      <c r="X264" s="21">
        <f t="shared" si="12"/>
        <v>45871</v>
      </c>
      <c r="Y264" s="21">
        <f t="shared" si="14"/>
        <v>45871</v>
      </c>
      <c r="Z264" t="str">
        <f t="array" ref="Z264">_xlfn.XLOOKUP(INT(X264),INT($AE$2:$AE$1000),$AG$2:$AG$1000,"")</f>
        <v/>
      </c>
      <c r="AE264" s="21" t="e">
        <f t="shared" si="13"/>
        <v>#VALUE!</v>
      </c>
    </row>
    <row r="265" spans="24:33">
      <c r="X265" s="21">
        <f t="shared" si="12"/>
        <v>45871</v>
      </c>
      <c r="Y265" s="21">
        <f t="shared" si="14"/>
        <v>45871</v>
      </c>
      <c r="Z265" t="str">
        <f t="array" ref="Z265">_xlfn.XLOOKUP(INT(X265),INT($AE$2:$AE$1000),$AG$2:$AG$1000,"")</f>
        <v/>
      </c>
      <c r="AE265" s="21" t="e">
        <f t="shared" si="13"/>
        <v>#VALUE!</v>
      </c>
    </row>
    <row r="266" spans="24:33">
      <c r="X266" s="21">
        <f t="shared" si="12"/>
        <v>45871</v>
      </c>
      <c r="Y266" s="21">
        <f t="shared" si="14"/>
        <v>45871</v>
      </c>
      <c r="Z266" t="str">
        <f t="array" ref="Z266">_xlfn.XLOOKUP(INT(X266),INT($AE$2:$AE$1000),$AG$2:$AG$1000,"")</f>
        <v/>
      </c>
      <c r="AE266" s="21" t="e">
        <f t="shared" si="13"/>
        <v>#VALUE!</v>
      </c>
    </row>
    <row r="267" spans="24:33">
      <c r="X267" s="21">
        <f t="shared" si="12"/>
        <v>45871</v>
      </c>
      <c r="Y267" s="21">
        <f t="shared" si="14"/>
        <v>45871</v>
      </c>
      <c r="Z267" t="str">
        <f t="array" ref="Z267">_xlfn.XLOOKUP(INT(X267),INT($AE$2:$AE$1000),$AG$2:$AG$1000,"")</f>
        <v/>
      </c>
      <c r="AE267" s="21" t="e">
        <f t="shared" si="13"/>
        <v>#VALUE!</v>
      </c>
    </row>
    <row r="268" spans="24:33">
      <c r="X268" s="21">
        <f t="shared" si="12"/>
        <v>45871</v>
      </c>
      <c r="Y268" s="21">
        <f t="shared" si="14"/>
        <v>45871</v>
      </c>
      <c r="Z268" t="str">
        <f t="array" ref="Z268">_xlfn.XLOOKUP(INT(X268),INT($AE$2:$AE$1000),$AG$2:$AG$1000,"")</f>
        <v/>
      </c>
      <c r="AE268" s="21" t="e">
        <f t="shared" si="13"/>
        <v>#VALUE!</v>
      </c>
    </row>
    <row r="269" spans="24:33">
      <c r="X269" s="21">
        <f t="shared" si="12"/>
        <v>45871</v>
      </c>
      <c r="Y269" s="21">
        <f t="shared" si="14"/>
        <v>45871</v>
      </c>
      <c r="Z269" t="str">
        <f t="array" ref="Z269">_xlfn.XLOOKUP(INT(X269),INT($AE$2:$AE$1000),$AG$2:$AG$1000,"")</f>
        <v/>
      </c>
      <c r="AE269" s="21" t="e">
        <f t="shared" si="13"/>
        <v>#VALUE!</v>
      </c>
    </row>
    <row r="270" spans="24:33">
      <c r="X270" s="21">
        <f t="shared" si="12"/>
        <v>45871</v>
      </c>
      <c r="Y270" s="21">
        <f t="shared" si="14"/>
        <v>45871</v>
      </c>
      <c r="Z270" t="str">
        <f t="array" ref="Z270">_xlfn.XLOOKUP(INT(X270),INT($AE$2:$AE$1000),$AG$2:$AG$1000,"")</f>
        <v/>
      </c>
      <c r="AE270" s="21" t="e">
        <f t="shared" si="13"/>
        <v>#VALUE!</v>
      </c>
    </row>
    <row r="271" spans="24:33">
      <c r="X271" s="21">
        <f t="shared" si="12"/>
        <v>45871</v>
      </c>
      <c r="Y271" s="21">
        <f t="shared" si="14"/>
        <v>45871</v>
      </c>
      <c r="Z271" t="str">
        <f t="array" ref="Z271">_xlfn.XLOOKUP(INT(X271),INT($AE$2:$AE$1000),$AG$2:$AG$1000,"")</f>
        <v/>
      </c>
      <c r="AE271" s="21" t="e">
        <f t="shared" si="13"/>
        <v>#VALUE!</v>
      </c>
    </row>
    <row r="272" spans="24:33">
      <c r="X272" s="21">
        <f t="shared" si="12"/>
        <v>45871</v>
      </c>
      <c r="Y272" s="21">
        <f t="shared" si="14"/>
        <v>45871</v>
      </c>
      <c r="Z272" t="str">
        <f t="array" ref="Z272">_xlfn.XLOOKUP(INT(X272),INT($AE$2:$AE$1000),$AG$2:$AG$1000,"")</f>
        <v/>
      </c>
      <c r="AE272" s="21" t="e">
        <f t="shared" si="13"/>
        <v>#VALUE!</v>
      </c>
    </row>
    <row r="273" spans="24:32">
      <c r="X273" s="21">
        <f t="shared" si="12"/>
        <v>45871</v>
      </c>
      <c r="Y273" s="21">
        <f t="shared" si="14"/>
        <v>45871</v>
      </c>
      <c r="Z273" t="str">
        <f t="array" ref="Z273">_xlfn.XLOOKUP(INT(X273),INT($AE$2:$AE$1000),$AG$2:$AG$1000,"")</f>
        <v/>
      </c>
      <c r="AE273" s="21" t="e">
        <f t="shared" si="13"/>
        <v>#VALUE!</v>
      </c>
    </row>
    <row r="274" spans="24:32">
      <c r="X274" s="21">
        <f t="shared" si="12"/>
        <v>45871</v>
      </c>
      <c r="Y274" s="21">
        <f t="shared" si="14"/>
        <v>45871</v>
      </c>
      <c r="Z274" t="str">
        <f t="array" ref="Z274">_xlfn.XLOOKUP(INT(X274),INT($AE$2:$AE$1000),$AG$2:$AG$1000,"")</f>
        <v/>
      </c>
      <c r="AE274" s="21" t="e">
        <f t="shared" si="13"/>
        <v>#VALUE!</v>
      </c>
    </row>
    <row r="275" spans="24:32">
      <c r="X275" s="21">
        <f t="shared" si="12"/>
        <v>45871</v>
      </c>
      <c r="Y275" s="21">
        <f t="shared" si="14"/>
        <v>45871</v>
      </c>
      <c r="Z275" t="str">
        <f t="array" ref="Z275">_xlfn.XLOOKUP(INT(X275),INT($AE$2:$AE$1000),$AG$2:$AG$1000,"")</f>
        <v/>
      </c>
      <c r="AE275" s="21" t="e">
        <f t="shared" si="13"/>
        <v>#VALUE!</v>
      </c>
    </row>
    <row r="276" spans="24:32">
      <c r="X276" s="21">
        <f t="shared" si="12"/>
        <v>45871</v>
      </c>
      <c r="Y276" s="21">
        <f t="shared" si="14"/>
        <v>45871</v>
      </c>
      <c r="Z276" t="str">
        <f t="array" ref="Z276">_xlfn.XLOOKUP(INT(X276),INT($AE$2:$AE$1000),$AG$2:$AG$1000,"")</f>
        <v/>
      </c>
      <c r="AE276" s="21" t="e">
        <f t="shared" si="13"/>
        <v>#VALUE!</v>
      </c>
    </row>
    <row r="277" spans="24:32">
      <c r="X277" s="21">
        <f t="shared" si="12"/>
        <v>45871</v>
      </c>
      <c r="Y277" s="21">
        <f t="shared" si="14"/>
        <v>45871</v>
      </c>
      <c r="Z277" t="str">
        <f t="array" ref="Z277">_xlfn.XLOOKUP(INT(X277),INT($AE$2:$AE$1000),$AG$2:$AG$1000,"")</f>
        <v/>
      </c>
      <c r="AE277" s="21" t="e">
        <f t="shared" si="13"/>
        <v>#VALUE!</v>
      </c>
      <c r="AF277" s="21"/>
    </row>
    <row r="278" spans="24:32">
      <c r="X278" s="21">
        <f t="shared" si="12"/>
        <v>45871</v>
      </c>
      <c r="Y278" s="21">
        <f t="shared" si="14"/>
        <v>45871</v>
      </c>
      <c r="Z278" t="str">
        <f t="array" ref="Z278">_xlfn.XLOOKUP(INT(X278),INT($AE$2:$AE$1000),$AG$2:$AG$1000,"")</f>
        <v/>
      </c>
      <c r="AE278" s="21" t="e">
        <f t="shared" si="13"/>
        <v>#VALUE!</v>
      </c>
      <c r="AF278" s="21"/>
    </row>
    <row r="279" spans="24:32">
      <c r="X279" s="21">
        <f t="shared" si="12"/>
        <v>45871</v>
      </c>
      <c r="Y279" s="21">
        <f t="shared" si="14"/>
        <v>45871</v>
      </c>
      <c r="Z279" t="str">
        <f t="array" ref="Z279">_xlfn.XLOOKUP(INT(X279),INT($AE$2:$AE$1000),$AG$2:$AG$1000,"")</f>
        <v/>
      </c>
      <c r="AE279" s="21" t="e">
        <f t="shared" si="13"/>
        <v>#VALUE!</v>
      </c>
      <c r="AF279" s="21"/>
    </row>
    <row r="280" spans="24:32">
      <c r="X280" s="21">
        <f t="shared" si="12"/>
        <v>45871</v>
      </c>
      <c r="Y280" s="21">
        <f t="shared" si="14"/>
        <v>45871</v>
      </c>
      <c r="Z280" t="str">
        <f t="array" ref="Z280">_xlfn.XLOOKUP(INT(X280),INT($AE$2:$AE$1000),$AG$2:$AG$1000,"")</f>
        <v/>
      </c>
      <c r="AE280" s="21" t="e">
        <f t="shared" si="13"/>
        <v>#VALUE!</v>
      </c>
      <c r="AF280" s="21"/>
    </row>
    <row r="281" spans="24:32">
      <c r="X281" s="21">
        <f t="shared" si="12"/>
        <v>45871</v>
      </c>
      <c r="Y281" s="21">
        <f t="shared" si="14"/>
        <v>45871</v>
      </c>
      <c r="Z281" t="str">
        <f t="array" ref="Z281">_xlfn.XLOOKUP(INT(X281),INT($AE$2:$AE$1000),$AG$2:$AG$1000,"")</f>
        <v/>
      </c>
      <c r="AE281" s="21" t="e">
        <f t="shared" si="13"/>
        <v>#VALUE!</v>
      </c>
      <c r="AF281" s="21"/>
    </row>
    <row r="282" spans="24:32">
      <c r="X282" s="21">
        <f t="shared" si="12"/>
        <v>45871</v>
      </c>
      <c r="Y282" s="21">
        <f t="shared" si="14"/>
        <v>45871</v>
      </c>
      <c r="Z282" t="str">
        <f t="array" ref="Z282">_xlfn.XLOOKUP(INT(X282),INT($AE$2:$AE$1000),$AG$2:$AG$1000,"")</f>
        <v/>
      </c>
      <c r="AE282" s="21" t="e">
        <f t="shared" si="13"/>
        <v>#VALUE!</v>
      </c>
      <c r="AF282" s="21"/>
    </row>
    <row r="283" spans="24:32">
      <c r="X283" s="21">
        <f t="shared" si="12"/>
        <v>45871</v>
      </c>
      <c r="Y283" s="21">
        <f t="shared" si="14"/>
        <v>45871</v>
      </c>
      <c r="Z283" t="str">
        <f t="array" ref="Z283">_xlfn.XLOOKUP(INT(X283),INT($AE$2:$AE$1000),$AG$2:$AG$1000,"")</f>
        <v/>
      </c>
      <c r="AE283" s="21" t="e">
        <f t="shared" si="13"/>
        <v>#VALUE!</v>
      </c>
      <c r="AF283" s="21"/>
    </row>
    <row r="284" spans="24:32">
      <c r="X284" s="21">
        <f t="shared" si="12"/>
        <v>45871</v>
      </c>
      <c r="Y284" s="21">
        <f t="shared" si="14"/>
        <v>45871</v>
      </c>
      <c r="Z284" t="str">
        <f t="array" ref="Z284">_xlfn.XLOOKUP(INT(X284),INT($AE$2:$AE$1000),$AG$2:$AG$1000,"")</f>
        <v/>
      </c>
      <c r="AE284" s="21" t="e">
        <f t="shared" si="13"/>
        <v>#VALUE!</v>
      </c>
      <c r="AF284" s="21"/>
    </row>
    <row r="285" spans="24:32">
      <c r="X285" s="21">
        <f t="shared" si="12"/>
        <v>45871</v>
      </c>
      <c r="Y285" s="21">
        <f t="shared" si="14"/>
        <v>45871</v>
      </c>
      <c r="Z285" t="str">
        <f t="array" ref="Z285">_xlfn.XLOOKUP(INT(X285),INT($AE$2:$AE$1000),$AG$2:$AG$1000,"")</f>
        <v/>
      </c>
      <c r="AE285" s="21" t="e">
        <f t="shared" si="13"/>
        <v>#VALUE!</v>
      </c>
    </row>
    <row r="286" spans="24:32">
      <c r="X286" s="21">
        <f t="shared" si="12"/>
        <v>45871</v>
      </c>
      <c r="Y286" s="21">
        <f t="shared" si="14"/>
        <v>45871</v>
      </c>
      <c r="Z286" t="str">
        <f t="array" ref="Z286">_xlfn.XLOOKUP(INT(X286),INT($AE$2:$AE$1000),$AG$2:$AG$1000,"")</f>
        <v/>
      </c>
      <c r="AE286" s="21" t="e">
        <f t="shared" si="13"/>
        <v>#VALUE!</v>
      </c>
    </row>
    <row r="287" spans="24:32">
      <c r="X287" s="21">
        <f t="shared" si="12"/>
        <v>45871</v>
      </c>
      <c r="Y287" s="21">
        <f t="shared" si="14"/>
        <v>45871</v>
      </c>
      <c r="Z287" t="str">
        <f t="array" ref="Z287">_xlfn.XLOOKUP(INT(X287),INT($AE$2:$AE$1000),$AG$2:$AG$1000,"")</f>
        <v/>
      </c>
      <c r="AE287" s="21" t="e">
        <f t="shared" si="13"/>
        <v>#VALUE!</v>
      </c>
    </row>
    <row r="288" spans="24:32">
      <c r="X288" s="21">
        <f t="shared" si="12"/>
        <v>45871</v>
      </c>
      <c r="Y288" s="21">
        <f t="shared" si="14"/>
        <v>45871</v>
      </c>
      <c r="Z288" t="str">
        <f t="array" ref="Z288">_xlfn.XLOOKUP(INT(X288),INT($AE$2:$AE$1000),$AG$2:$AG$1000,"")</f>
        <v/>
      </c>
      <c r="AE288" s="21" t="e">
        <f t="shared" si="13"/>
        <v>#VALUE!</v>
      </c>
    </row>
    <row r="289" spans="24:32">
      <c r="X289" s="21">
        <f t="shared" si="12"/>
        <v>45871</v>
      </c>
      <c r="Y289" s="21">
        <f t="shared" si="14"/>
        <v>45871</v>
      </c>
      <c r="Z289" t="str">
        <f t="array" ref="Z289">_xlfn.XLOOKUP(INT(X289),INT($AE$2:$AE$1000),$AG$2:$AG$1000,"")</f>
        <v/>
      </c>
      <c r="AE289" s="21" t="e">
        <f t="shared" si="13"/>
        <v>#VALUE!</v>
      </c>
    </row>
    <row r="290" spans="24:32">
      <c r="X290" s="21">
        <f t="shared" si="12"/>
        <v>45871</v>
      </c>
      <c r="Y290" s="21">
        <f t="shared" si="14"/>
        <v>45871</v>
      </c>
      <c r="Z290" t="str">
        <f t="array" ref="Z290">_xlfn.XLOOKUP(INT(X290),INT($AE$2:$AE$1000),$AG$2:$AG$1000,"")</f>
        <v/>
      </c>
      <c r="AE290" s="21" t="e">
        <f t="shared" si="13"/>
        <v>#VALUE!</v>
      </c>
    </row>
    <row r="291" spans="24:32">
      <c r="X291" s="21">
        <f t="shared" si="12"/>
        <v>45871</v>
      </c>
      <c r="Y291" s="21">
        <f t="shared" si="14"/>
        <v>45871</v>
      </c>
      <c r="Z291" t="str">
        <f t="array" ref="Z291">_xlfn.XLOOKUP(INT(X291),INT($AE$2:$AE$1000),$AG$2:$AG$1000,"")</f>
        <v/>
      </c>
      <c r="AE291" s="21" t="e">
        <f t="shared" si="13"/>
        <v>#VALUE!</v>
      </c>
    </row>
    <row r="292" spans="24:32">
      <c r="X292" s="21">
        <f t="shared" si="12"/>
        <v>45871</v>
      </c>
      <c r="Y292" s="21">
        <f t="shared" si="14"/>
        <v>45871</v>
      </c>
      <c r="Z292" t="str">
        <f t="array" ref="Z292">_xlfn.XLOOKUP(INT(X292),INT($AE$2:$AE$1000),$AG$2:$AG$1000,"")</f>
        <v/>
      </c>
      <c r="AE292" s="21" t="e">
        <f t="shared" si="13"/>
        <v>#VALUE!</v>
      </c>
    </row>
    <row r="293" spans="24:32">
      <c r="X293" s="21">
        <f t="shared" si="12"/>
        <v>45871</v>
      </c>
      <c r="Y293" s="21">
        <f t="shared" si="14"/>
        <v>45871</v>
      </c>
      <c r="Z293" t="str">
        <f t="array" ref="Z293">_xlfn.XLOOKUP(INT(X293),INT($AE$2:$AE$1000),$AG$2:$AG$1000,"")</f>
        <v/>
      </c>
      <c r="AE293" s="21" t="e">
        <f t="shared" si="13"/>
        <v>#VALUE!</v>
      </c>
    </row>
    <row r="294" spans="24:32">
      <c r="X294" s="21">
        <f t="shared" si="12"/>
        <v>45871</v>
      </c>
      <c r="Y294" s="21">
        <f t="shared" si="14"/>
        <v>45871</v>
      </c>
      <c r="Z294" t="str">
        <f t="array" ref="Z294">_xlfn.XLOOKUP(INT(X294),INT($AE$2:$AE$1000),$AG$2:$AG$1000,"")</f>
        <v/>
      </c>
      <c r="AE294" s="21" t="e">
        <f t="shared" si="13"/>
        <v>#VALUE!</v>
      </c>
    </row>
    <row r="295" spans="24:32">
      <c r="X295" s="21">
        <f t="shared" si="12"/>
        <v>45871</v>
      </c>
      <c r="Y295" s="21">
        <f t="shared" si="14"/>
        <v>45871</v>
      </c>
      <c r="Z295" t="str">
        <f t="array" ref="Z295">_xlfn.XLOOKUP(INT(X295),INT($AE$2:$AE$1000),$AG$2:$AG$1000,"")</f>
        <v/>
      </c>
      <c r="AE295" s="21" t="e">
        <f t="shared" si="13"/>
        <v>#VALUE!</v>
      </c>
    </row>
    <row r="296" spans="24:32">
      <c r="X296" s="21">
        <f t="shared" si="12"/>
        <v>45871</v>
      </c>
      <c r="Y296" s="21">
        <f t="shared" si="14"/>
        <v>45871</v>
      </c>
      <c r="Z296" t="str">
        <f t="array" ref="Z296">_xlfn.XLOOKUP(INT(X296),INT($AE$2:$AE$1000),$AG$2:$AG$1000,"")</f>
        <v/>
      </c>
      <c r="AE296" s="21" t="e">
        <f t="shared" si="13"/>
        <v>#VALUE!</v>
      </c>
      <c r="AF296" s="21"/>
    </row>
    <row r="297" spans="24:32">
      <c r="X297" s="21">
        <f t="shared" si="12"/>
        <v>45871</v>
      </c>
      <c r="Y297" s="21">
        <f t="shared" si="14"/>
        <v>45871</v>
      </c>
      <c r="Z297" t="str">
        <f t="array" ref="Z297">_xlfn.XLOOKUP(INT(X297),INT($AE$2:$AE$1000),$AG$2:$AG$1000,"")</f>
        <v/>
      </c>
      <c r="AE297" s="21" t="e">
        <f t="shared" si="13"/>
        <v>#VALUE!</v>
      </c>
      <c r="AF297" s="21"/>
    </row>
    <row r="298" spans="24:32">
      <c r="X298" s="21">
        <f t="shared" si="12"/>
        <v>45871</v>
      </c>
      <c r="Y298" s="21">
        <f t="shared" si="14"/>
        <v>45871</v>
      </c>
      <c r="Z298" t="str">
        <f t="array" ref="Z298">_xlfn.XLOOKUP(INT(X298),INT($AE$2:$AE$1000),$AG$2:$AG$1000,"")</f>
        <v/>
      </c>
      <c r="AE298" s="21" t="e">
        <f t="shared" si="13"/>
        <v>#VALUE!</v>
      </c>
      <c r="AF298" s="21"/>
    </row>
    <row r="299" spans="24:32">
      <c r="X299" s="21">
        <f t="shared" si="12"/>
        <v>45871</v>
      </c>
      <c r="Y299" s="21">
        <f t="shared" si="14"/>
        <v>45871</v>
      </c>
      <c r="Z299" t="str">
        <f t="array" ref="Z299">_xlfn.XLOOKUP(INT(X299),INT($AE$2:$AE$1000),$AG$2:$AG$1000,"")</f>
        <v/>
      </c>
      <c r="AE299" s="21" t="e">
        <f t="shared" si="13"/>
        <v>#VALUE!</v>
      </c>
      <c r="AF299" s="21"/>
    </row>
    <row r="300" spans="24:32">
      <c r="X300" s="21">
        <f t="shared" si="12"/>
        <v>45871</v>
      </c>
      <c r="Y300" s="21">
        <f t="shared" si="14"/>
        <v>45871</v>
      </c>
      <c r="Z300" t="str">
        <f t="array" ref="Z300">_xlfn.XLOOKUP(INT(X300),INT($AE$2:$AE$1000),$AG$2:$AG$1000,"")</f>
        <v/>
      </c>
      <c r="AE300" s="21" t="e">
        <f t="shared" si="13"/>
        <v>#VALUE!</v>
      </c>
      <c r="AF300" s="21"/>
    </row>
    <row r="301" spans="24:32">
      <c r="X301" s="21">
        <f t="shared" si="12"/>
        <v>45871</v>
      </c>
      <c r="Y301" s="21">
        <f t="shared" si="14"/>
        <v>45871</v>
      </c>
      <c r="Z301" t="str">
        <f t="array" ref="Z301">_xlfn.XLOOKUP(INT(X301),INT($AE$2:$AE$1000),$AG$2:$AG$1000,"")</f>
        <v/>
      </c>
      <c r="AE301" s="21" t="e">
        <f t="shared" si="13"/>
        <v>#VALUE!</v>
      </c>
      <c r="AF301" s="21"/>
    </row>
    <row r="302" spans="24:32">
      <c r="X302" s="21">
        <f t="shared" si="12"/>
        <v>45871</v>
      </c>
      <c r="Y302" s="21">
        <f t="shared" si="14"/>
        <v>45871</v>
      </c>
      <c r="Z302" t="str">
        <f t="array" ref="Z302">_xlfn.XLOOKUP(INT(X302),INT($AE$2:$AE$1000),$AG$2:$AG$1000,"")</f>
        <v/>
      </c>
      <c r="AE302" s="21" t="e">
        <f t="shared" si="13"/>
        <v>#VALUE!</v>
      </c>
      <c r="AF302" s="21"/>
    </row>
    <row r="303" spans="24:32">
      <c r="X303" s="21">
        <f t="shared" si="12"/>
        <v>45871</v>
      </c>
      <c r="Y303" s="21">
        <f t="shared" si="14"/>
        <v>45871</v>
      </c>
      <c r="Z303" t="str">
        <f t="array" ref="Z303">_xlfn.XLOOKUP(INT(X303),INT($AE$2:$AE$1000),$AG$2:$AG$1000,"")</f>
        <v/>
      </c>
      <c r="AE303" s="21" t="e">
        <f t="shared" si="13"/>
        <v>#VALUE!</v>
      </c>
    </row>
    <row r="304" spans="24:32">
      <c r="X304" s="21">
        <f t="shared" si="12"/>
        <v>45871</v>
      </c>
      <c r="Y304" s="21">
        <f t="shared" si="14"/>
        <v>45871</v>
      </c>
      <c r="Z304" t="str">
        <f t="array" ref="Z304">_xlfn.XLOOKUP(INT(X304),INT($AE$2:$AE$1000),$AG$2:$AG$1000,"")</f>
        <v/>
      </c>
      <c r="AE304" s="21" t="e">
        <f t="shared" si="13"/>
        <v>#VALUE!</v>
      </c>
    </row>
    <row r="305" spans="24:32">
      <c r="X305" s="21">
        <f t="shared" si="12"/>
        <v>45871</v>
      </c>
      <c r="Y305" s="21">
        <f t="shared" si="14"/>
        <v>45871</v>
      </c>
      <c r="Z305" t="str">
        <f t="array" ref="Z305">_xlfn.XLOOKUP(INT(X305),INT($AE$2:$AE$1000),$AG$2:$AG$1000,"")</f>
        <v/>
      </c>
      <c r="AE305" s="21" t="e">
        <f t="shared" si="13"/>
        <v>#VALUE!</v>
      </c>
    </row>
    <row r="306" spans="24:32">
      <c r="X306" s="21">
        <f t="shared" si="12"/>
        <v>45871</v>
      </c>
      <c r="Y306" s="21">
        <f t="shared" si="14"/>
        <v>45871</v>
      </c>
      <c r="Z306" t="str">
        <f t="array" ref="Z306">_xlfn.XLOOKUP(INT(X306),INT($AE$2:$AE$1000),$AG$2:$AG$1000,"")</f>
        <v/>
      </c>
      <c r="AE306" s="21" t="e">
        <f t="shared" si="13"/>
        <v>#VALUE!</v>
      </c>
    </row>
    <row r="307" spans="24:32">
      <c r="X307" s="21">
        <f t="shared" si="12"/>
        <v>45871</v>
      </c>
      <c r="Y307" s="21">
        <f t="shared" si="14"/>
        <v>45871</v>
      </c>
      <c r="Z307" t="str">
        <f t="array" ref="Z307">_xlfn.XLOOKUP(INT(X307),INT($AE$2:$AE$1000),$AG$2:$AG$1000,"")</f>
        <v/>
      </c>
      <c r="AE307" s="21" t="e">
        <f t="shared" si="13"/>
        <v>#VALUE!</v>
      </c>
    </row>
    <row r="308" spans="24:32">
      <c r="X308" s="21">
        <f t="shared" si="12"/>
        <v>45871</v>
      </c>
      <c r="Y308" s="21">
        <f t="shared" si="14"/>
        <v>45871</v>
      </c>
      <c r="Z308" t="str">
        <f t="array" ref="Z308">_xlfn.XLOOKUP(INT(X308),INT($AE$2:$AE$1000),$AG$2:$AG$1000,"")</f>
        <v/>
      </c>
      <c r="AE308" s="21" t="e">
        <f t="shared" si="13"/>
        <v>#VALUE!</v>
      </c>
    </row>
    <row r="309" spans="24:32">
      <c r="X309" s="21">
        <f t="shared" si="12"/>
        <v>45871</v>
      </c>
      <c r="Y309" s="21">
        <f t="shared" si="14"/>
        <v>45871</v>
      </c>
      <c r="Z309" t="str">
        <f t="array" ref="Z309">_xlfn.XLOOKUP(INT(X309),INT($AE$2:$AE$1000),$AG$2:$AG$1000,"")</f>
        <v/>
      </c>
      <c r="AE309" s="21" t="e">
        <f t="shared" si="13"/>
        <v>#VALUE!</v>
      </c>
    </row>
    <row r="310" spans="24:32">
      <c r="X310" s="21">
        <f t="shared" si="12"/>
        <v>45871</v>
      </c>
      <c r="Y310" s="21">
        <f t="shared" si="14"/>
        <v>45871</v>
      </c>
      <c r="Z310" t="str">
        <f t="array" ref="Z310">_xlfn.XLOOKUP(INT(X310),INT($AE$2:$AE$1000),$AG$2:$AG$1000,"")</f>
        <v/>
      </c>
      <c r="AE310" s="21" t="e">
        <f t="shared" si="13"/>
        <v>#VALUE!</v>
      </c>
    </row>
    <row r="311" spans="24:32">
      <c r="X311" s="21">
        <f t="shared" si="12"/>
        <v>45871</v>
      </c>
      <c r="Y311" s="21">
        <f t="shared" si="14"/>
        <v>45871</v>
      </c>
      <c r="Z311" t="str">
        <f t="array" ref="Z311">_xlfn.XLOOKUP(INT(X311),INT($AE$2:$AE$1000),$AG$2:$AG$1000,"")</f>
        <v/>
      </c>
      <c r="AE311" s="21" t="e">
        <f t="shared" si="13"/>
        <v>#VALUE!</v>
      </c>
    </row>
    <row r="312" spans="24:32">
      <c r="X312" s="21">
        <f t="shared" si="12"/>
        <v>45871</v>
      </c>
      <c r="Y312" s="21">
        <f t="shared" si="14"/>
        <v>45871</v>
      </c>
      <c r="Z312" t="str">
        <f t="array" ref="Z312">_xlfn.XLOOKUP(INT(X312),INT($AE$2:$AE$1000),$AG$2:$AG$1000,"")</f>
        <v/>
      </c>
      <c r="AE312" s="21" t="e">
        <f t="shared" si="13"/>
        <v>#VALUE!</v>
      </c>
    </row>
    <row r="313" spans="24:32">
      <c r="X313" s="21">
        <f t="shared" si="12"/>
        <v>45871</v>
      </c>
      <c r="Y313" s="21">
        <f t="shared" si="14"/>
        <v>45871</v>
      </c>
      <c r="Z313" t="str">
        <f t="array" ref="Z313">_xlfn.XLOOKUP(INT(X313),INT($AE$2:$AE$1000),$AG$2:$AG$1000,"")</f>
        <v/>
      </c>
      <c r="AE313" s="21" t="e">
        <f t="shared" si="13"/>
        <v>#VALUE!</v>
      </c>
    </row>
    <row r="314" spans="24:32">
      <c r="X314" s="21">
        <f t="shared" si="12"/>
        <v>45871</v>
      </c>
      <c r="Y314" s="21">
        <f t="shared" si="14"/>
        <v>45871</v>
      </c>
      <c r="Z314" t="str">
        <f t="array" ref="Z314">_xlfn.XLOOKUP(INT(X314),INT($AE$2:$AE$1000),$AG$2:$AG$1000,"")</f>
        <v/>
      </c>
      <c r="AE314" s="21" t="e">
        <f t="shared" si="13"/>
        <v>#VALUE!</v>
      </c>
    </row>
    <row r="315" spans="24:32">
      <c r="X315" s="21">
        <f t="shared" si="12"/>
        <v>45871</v>
      </c>
      <c r="Y315" s="21">
        <f t="shared" si="14"/>
        <v>45871</v>
      </c>
      <c r="Z315" t="str">
        <f t="array" ref="Z315">_xlfn.XLOOKUP(INT(X315),INT($AE$2:$AE$1000),$AG$2:$AG$1000,"")</f>
        <v/>
      </c>
      <c r="AE315" s="21" t="e">
        <f t="shared" si="13"/>
        <v>#VALUE!</v>
      </c>
      <c r="AF315" s="21"/>
    </row>
    <row r="316" spans="24:32">
      <c r="X316" s="21">
        <f t="shared" si="12"/>
        <v>45871</v>
      </c>
      <c r="Y316" s="21">
        <f t="shared" si="14"/>
        <v>45871</v>
      </c>
      <c r="Z316" t="str">
        <f t="array" ref="Z316">_xlfn.XLOOKUP(INT(X316),INT($AE$2:$AE$1000),$AG$2:$AG$1000,"")</f>
        <v/>
      </c>
      <c r="AE316" s="21" t="e">
        <f t="shared" si="13"/>
        <v>#VALUE!</v>
      </c>
      <c r="AF316" s="21"/>
    </row>
    <row r="317" spans="24:32">
      <c r="X317" s="21">
        <f t="shared" si="12"/>
        <v>45871</v>
      </c>
      <c r="Y317" s="21">
        <f t="shared" si="14"/>
        <v>45871</v>
      </c>
      <c r="Z317" t="str">
        <f t="array" ref="Z317">_xlfn.XLOOKUP(INT(X317),INT($AE$2:$AE$1000),$AG$2:$AG$1000,"")</f>
        <v/>
      </c>
      <c r="AE317" s="21" t="e">
        <f t="shared" si="13"/>
        <v>#VALUE!</v>
      </c>
      <c r="AF317" s="21"/>
    </row>
    <row r="318" spans="24:32">
      <c r="X318" s="21">
        <f t="shared" si="12"/>
        <v>45871</v>
      </c>
      <c r="Y318" s="21">
        <f t="shared" si="14"/>
        <v>45871</v>
      </c>
      <c r="Z318" t="str">
        <f t="array" ref="Z318">_xlfn.XLOOKUP(INT(X318),INT($AE$2:$AE$1000),$AG$2:$AG$1000,"")</f>
        <v/>
      </c>
      <c r="AE318" s="21" t="e">
        <f t="shared" si="13"/>
        <v>#VALUE!</v>
      </c>
      <c r="AF318" s="21"/>
    </row>
    <row r="319" spans="24:32">
      <c r="X319" s="21">
        <f t="shared" si="12"/>
        <v>45871</v>
      </c>
      <c r="Y319" s="21">
        <f t="shared" si="14"/>
        <v>45871</v>
      </c>
      <c r="Z319" t="str">
        <f t="array" ref="Z319">_xlfn.XLOOKUP(INT(X319),INT($AE$2:$AE$1000),$AG$2:$AG$1000,"")</f>
        <v/>
      </c>
      <c r="AE319" s="21" t="e">
        <f t="shared" si="13"/>
        <v>#VALUE!</v>
      </c>
      <c r="AF319" s="21"/>
    </row>
    <row r="320" spans="24:32">
      <c r="X320" s="21">
        <f t="shared" ref="X320:X383" si="15">WORKDAY(DATE(2025,8,2),INT(D320/390))</f>
        <v>45871</v>
      </c>
      <c r="Y320" s="21">
        <f t="shared" si="14"/>
        <v>45871</v>
      </c>
      <c r="Z320" t="str">
        <f t="array" ref="Z320">_xlfn.XLOOKUP(INT(X320),INT($AE$2:$AE$1000),$AG$2:$AG$1000,"")</f>
        <v/>
      </c>
      <c r="AE320" s="21" t="e">
        <f t="shared" si="13"/>
        <v>#VALUE!</v>
      </c>
      <c r="AF320" s="21"/>
    </row>
    <row r="321" spans="24:32">
      <c r="X321" s="21">
        <f t="shared" si="15"/>
        <v>45871</v>
      </c>
      <c r="Y321" s="21">
        <f t="shared" si="14"/>
        <v>45871</v>
      </c>
      <c r="Z321" t="str">
        <f t="array" ref="Z321">_xlfn.XLOOKUP(INT(X321),INT($AE$2:$AE$1000),$AG$2:$AG$1000,"")</f>
        <v/>
      </c>
      <c r="AE321" s="21" t="e">
        <f t="shared" si="13"/>
        <v>#VALUE!</v>
      </c>
      <c r="AF321" s="21"/>
    </row>
    <row r="322" spans="24:32">
      <c r="X322" s="21">
        <f t="shared" si="15"/>
        <v>45871</v>
      </c>
      <c r="Y322" s="21">
        <f t="shared" si="14"/>
        <v>45871</v>
      </c>
      <c r="Z322" t="str">
        <f t="array" ref="Z322">_xlfn.XLOOKUP(INT(X322),INT($AE$2:$AE$1000),$AG$2:$AG$1000,"")</f>
        <v/>
      </c>
      <c r="AE322" s="21" t="e">
        <f t="shared" ref="AE322:AE385" si="16">IF(ISNUMBER(AF322),DATE(YEAR(AF322),DAY(AF322),MONTH(AF322)),DATE(RIGHT(AF322,4),LEFT(AF322,2),MID(AF322,4,2)))</f>
        <v>#VALUE!</v>
      </c>
      <c r="AF322" s="21"/>
    </row>
    <row r="323" spans="24:32">
      <c r="X323" s="21">
        <f t="shared" si="15"/>
        <v>45871</v>
      </c>
      <c r="Y323" s="21">
        <f t="shared" ref="Y323:Y386" si="17">WORKDAY(DATE(2025,8,2),INT(P323/390))</f>
        <v>45871</v>
      </c>
      <c r="Z323" t="str">
        <f t="array" ref="Z323">_xlfn.XLOOKUP(INT(X323),INT($AE$2:$AE$1000),$AG$2:$AG$1000,"")</f>
        <v/>
      </c>
      <c r="AE323" s="21" t="e">
        <f t="shared" si="16"/>
        <v>#VALUE!</v>
      </c>
      <c r="AF323" s="21"/>
    </row>
    <row r="324" spans="24:32">
      <c r="X324" s="21">
        <f t="shared" si="15"/>
        <v>45871</v>
      </c>
      <c r="Y324" s="21">
        <f t="shared" si="17"/>
        <v>45871</v>
      </c>
      <c r="Z324" t="str">
        <f t="array" ref="Z324">_xlfn.XLOOKUP(INT(X324),INT($AE$2:$AE$1000),$AG$2:$AG$1000,"")</f>
        <v/>
      </c>
      <c r="AE324" s="21" t="e">
        <f t="shared" si="16"/>
        <v>#VALUE!</v>
      </c>
      <c r="AF324" s="21"/>
    </row>
    <row r="325" spans="24:32">
      <c r="X325" s="21">
        <f t="shared" si="15"/>
        <v>45871</v>
      </c>
      <c r="Y325" s="21">
        <f t="shared" si="17"/>
        <v>45871</v>
      </c>
      <c r="Z325" t="str">
        <f t="array" ref="Z325">_xlfn.XLOOKUP(INT(X325),INT($AE$2:$AE$1000),$AG$2:$AG$1000,"")</f>
        <v/>
      </c>
      <c r="AE325" s="21" t="e">
        <f t="shared" si="16"/>
        <v>#VALUE!</v>
      </c>
    </row>
    <row r="326" spans="24:32">
      <c r="X326" s="21">
        <f t="shared" si="15"/>
        <v>45871</v>
      </c>
      <c r="Y326" s="21">
        <f t="shared" si="17"/>
        <v>45871</v>
      </c>
      <c r="Z326" t="str">
        <f t="array" ref="Z326">_xlfn.XLOOKUP(INT(X326),INT($AE$2:$AE$1000),$AG$2:$AG$1000,"")</f>
        <v/>
      </c>
      <c r="AE326" s="21" t="e">
        <f t="shared" si="16"/>
        <v>#VALUE!</v>
      </c>
    </row>
    <row r="327" spans="24:32">
      <c r="X327" s="21">
        <f t="shared" si="15"/>
        <v>45871</v>
      </c>
      <c r="Y327" s="21">
        <f t="shared" si="17"/>
        <v>45871</v>
      </c>
      <c r="Z327" t="str">
        <f t="array" ref="Z327">_xlfn.XLOOKUP(INT(X327),INT($AE$2:$AE$1000),$AG$2:$AG$1000,"")</f>
        <v/>
      </c>
      <c r="AE327" s="21" t="e">
        <f t="shared" si="16"/>
        <v>#VALUE!</v>
      </c>
    </row>
    <row r="328" spans="24:32">
      <c r="X328" s="21">
        <f t="shared" si="15"/>
        <v>45871</v>
      </c>
      <c r="Y328" s="21">
        <f t="shared" si="17"/>
        <v>45871</v>
      </c>
      <c r="Z328" t="str">
        <f t="array" ref="Z328">_xlfn.XLOOKUP(INT(X328),INT($AE$2:$AE$1000),$AG$2:$AG$1000,"")</f>
        <v/>
      </c>
      <c r="AE328" s="21" t="e">
        <f t="shared" si="16"/>
        <v>#VALUE!</v>
      </c>
    </row>
    <row r="329" spans="24:32">
      <c r="X329" s="21">
        <f t="shared" si="15"/>
        <v>45871</v>
      </c>
      <c r="Y329" s="21">
        <f t="shared" si="17"/>
        <v>45871</v>
      </c>
      <c r="Z329" t="str">
        <f t="array" ref="Z329">_xlfn.XLOOKUP(INT(X329),INT($AE$2:$AE$1000),$AG$2:$AG$1000,"")</f>
        <v/>
      </c>
      <c r="AE329" s="21" t="e">
        <f t="shared" si="16"/>
        <v>#VALUE!</v>
      </c>
    </row>
    <row r="330" spans="24:32">
      <c r="X330" s="21">
        <f t="shared" si="15"/>
        <v>45871</v>
      </c>
      <c r="Y330" s="21">
        <f t="shared" si="17"/>
        <v>45871</v>
      </c>
      <c r="Z330" t="str">
        <f t="array" ref="Z330">_xlfn.XLOOKUP(INT(X330),INT($AE$2:$AE$1000),$AG$2:$AG$1000,"")</f>
        <v/>
      </c>
      <c r="AE330" s="21" t="e">
        <f t="shared" si="16"/>
        <v>#VALUE!</v>
      </c>
    </row>
    <row r="331" spans="24:32">
      <c r="X331" s="21">
        <f t="shared" si="15"/>
        <v>45871</v>
      </c>
      <c r="Y331" s="21">
        <f t="shared" si="17"/>
        <v>45871</v>
      </c>
      <c r="Z331" t="str">
        <f t="array" ref="Z331">_xlfn.XLOOKUP(INT(X331),INT($AE$2:$AE$1000),$AG$2:$AG$1000,"")</f>
        <v/>
      </c>
      <c r="AE331" s="21" t="e">
        <f t="shared" si="16"/>
        <v>#VALUE!</v>
      </c>
    </row>
    <row r="332" spans="24:32">
      <c r="X332" s="21">
        <f t="shared" si="15"/>
        <v>45871</v>
      </c>
      <c r="Y332" s="21">
        <f t="shared" si="17"/>
        <v>45871</v>
      </c>
      <c r="Z332" t="str">
        <f t="array" ref="Z332">_xlfn.XLOOKUP(INT(X332),INT($AE$2:$AE$1000),$AG$2:$AG$1000,"")</f>
        <v/>
      </c>
      <c r="AE332" s="21" t="e">
        <f t="shared" si="16"/>
        <v>#VALUE!</v>
      </c>
    </row>
    <row r="333" spans="24:32">
      <c r="X333" s="21">
        <f t="shared" si="15"/>
        <v>45871</v>
      </c>
      <c r="Y333" s="21">
        <f t="shared" si="17"/>
        <v>45871</v>
      </c>
      <c r="Z333" t="str">
        <f t="array" ref="Z333">_xlfn.XLOOKUP(INT(X333),INT($AE$2:$AE$1000),$AG$2:$AG$1000,"")</f>
        <v/>
      </c>
      <c r="AE333" s="21" t="e">
        <f t="shared" si="16"/>
        <v>#VALUE!</v>
      </c>
    </row>
    <row r="334" spans="24:32">
      <c r="X334" s="21">
        <f t="shared" si="15"/>
        <v>45871</v>
      </c>
      <c r="Y334" s="21">
        <f t="shared" si="17"/>
        <v>45871</v>
      </c>
      <c r="Z334" t="str">
        <f t="array" ref="Z334">_xlfn.XLOOKUP(INT(X334),INT($AE$2:$AE$1000),$AG$2:$AG$1000,"")</f>
        <v/>
      </c>
      <c r="AE334" s="21" t="e">
        <f t="shared" si="16"/>
        <v>#VALUE!</v>
      </c>
    </row>
    <row r="335" spans="24:32">
      <c r="X335" s="21">
        <f t="shared" si="15"/>
        <v>45871</v>
      </c>
      <c r="Y335" s="21">
        <f t="shared" si="17"/>
        <v>45871</v>
      </c>
      <c r="Z335" t="str">
        <f t="array" ref="Z335">_xlfn.XLOOKUP(INT(X335),INT($AE$2:$AE$1000),$AG$2:$AG$1000,"")</f>
        <v/>
      </c>
      <c r="AE335" s="21" t="e">
        <f t="shared" si="16"/>
        <v>#VALUE!</v>
      </c>
    </row>
    <row r="336" spans="24:32">
      <c r="X336" s="21">
        <f t="shared" si="15"/>
        <v>45871</v>
      </c>
      <c r="Y336" s="21">
        <f t="shared" si="17"/>
        <v>45871</v>
      </c>
      <c r="Z336" t="str">
        <f t="array" ref="Z336">_xlfn.XLOOKUP(INT(X336),INT($AE$2:$AE$1000),$AG$2:$AG$1000,"")</f>
        <v/>
      </c>
      <c r="AE336" s="21" t="e">
        <f t="shared" si="16"/>
        <v>#VALUE!</v>
      </c>
    </row>
    <row r="337" spans="24:32">
      <c r="X337" s="21">
        <f t="shared" si="15"/>
        <v>45871</v>
      </c>
      <c r="Y337" s="21">
        <f t="shared" si="17"/>
        <v>45871</v>
      </c>
      <c r="Z337" t="str">
        <f t="array" ref="Z337">_xlfn.XLOOKUP(INT(X337),INT($AE$2:$AE$1000),$AG$2:$AG$1000,"")</f>
        <v/>
      </c>
      <c r="AE337" s="21" t="e">
        <f t="shared" si="16"/>
        <v>#VALUE!</v>
      </c>
      <c r="AF337" s="21"/>
    </row>
    <row r="338" spans="24:32">
      <c r="X338" s="21">
        <f t="shared" si="15"/>
        <v>45871</v>
      </c>
      <c r="Y338" s="21">
        <f t="shared" si="17"/>
        <v>45871</v>
      </c>
      <c r="Z338" t="str">
        <f t="array" ref="Z338">_xlfn.XLOOKUP(INT(X338),INT($AE$2:$AE$1000),$AG$2:$AG$1000,"")</f>
        <v/>
      </c>
      <c r="AE338" s="21" t="e">
        <f t="shared" si="16"/>
        <v>#VALUE!</v>
      </c>
      <c r="AF338" s="21"/>
    </row>
    <row r="339" spans="24:32">
      <c r="X339" s="21">
        <f t="shared" si="15"/>
        <v>45871</v>
      </c>
      <c r="Y339" s="21">
        <f t="shared" si="17"/>
        <v>45871</v>
      </c>
      <c r="Z339" t="str">
        <f t="array" ref="Z339">_xlfn.XLOOKUP(INT(X339),INT($AE$2:$AE$1000),$AG$2:$AG$1000,"")</f>
        <v/>
      </c>
      <c r="AE339" s="21" t="e">
        <f t="shared" si="16"/>
        <v>#VALUE!</v>
      </c>
      <c r="AF339" s="21"/>
    </row>
    <row r="340" spans="24:32">
      <c r="X340" s="21">
        <f t="shared" si="15"/>
        <v>45871</v>
      </c>
      <c r="Y340" s="21">
        <f t="shared" si="17"/>
        <v>45871</v>
      </c>
      <c r="Z340" t="str">
        <f t="array" ref="Z340">_xlfn.XLOOKUP(INT(X340),INT($AE$2:$AE$1000),$AG$2:$AG$1000,"")</f>
        <v/>
      </c>
      <c r="AE340" s="21" t="e">
        <f t="shared" si="16"/>
        <v>#VALUE!</v>
      </c>
      <c r="AF340" s="21"/>
    </row>
    <row r="341" spans="24:32">
      <c r="X341" s="21">
        <f t="shared" si="15"/>
        <v>45871</v>
      </c>
      <c r="Y341" s="21">
        <f t="shared" si="17"/>
        <v>45871</v>
      </c>
      <c r="Z341" t="str">
        <f t="array" ref="Z341">_xlfn.XLOOKUP(INT(X341),INT($AE$2:$AE$1000),$AG$2:$AG$1000,"")</f>
        <v/>
      </c>
      <c r="AE341" s="21" t="e">
        <f t="shared" si="16"/>
        <v>#VALUE!</v>
      </c>
      <c r="AF341" s="21"/>
    </row>
    <row r="342" spans="24:32">
      <c r="X342" s="21">
        <f t="shared" si="15"/>
        <v>45871</v>
      </c>
      <c r="Y342" s="21">
        <f t="shared" si="17"/>
        <v>45871</v>
      </c>
      <c r="Z342" t="str">
        <f t="array" ref="Z342">_xlfn.XLOOKUP(INT(X342),INT($AE$2:$AE$1000),$AG$2:$AG$1000,"")</f>
        <v/>
      </c>
      <c r="AE342" s="21" t="e">
        <f t="shared" si="16"/>
        <v>#VALUE!</v>
      </c>
      <c r="AF342" s="21"/>
    </row>
    <row r="343" spans="24:32">
      <c r="X343" s="21">
        <f t="shared" si="15"/>
        <v>45871</v>
      </c>
      <c r="Y343" s="21">
        <f t="shared" si="17"/>
        <v>45871</v>
      </c>
      <c r="Z343" t="str">
        <f t="array" ref="Z343">_xlfn.XLOOKUP(INT(X343),INT($AE$2:$AE$1000),$AG$2:$AG$1000,"")</f>
        <v/>
      </c>
      <c r="AE343" s="21" t="e">
        <f t="shared" si="16"/>
        <v>#VALUE!</v>
      </c>
      <c r="AF343" s="21"/>
    </row>
    <row r="344" spans="24:32">
      <c r="X344" s="21">
        <f t="shared" si="15"/>
        <v>45871</v>
      </c>
      <c r="Y344" s="21">
        <f t="shared" si="17"/>
        <v>45871</v>
      </c>
      <c r="Z344" t="str">
        <f t="array" ref="Z344">_xlfn.XLOOKUP(INT(X344),INT($AE$2:$AE$1000),$AG$2:$AG$1000,"")</f>
        <v/>
      </c>
      <c r="AE344" s="21" t="e">
        <f t="shared" si="16"/>
        <v>#VALUE!</v>
      </c>
      <c r="AF344" s="21"/>
    </row>
    <row r="345" spans="24:32">
      <c r="X345" s="21">
        <f t="shared" si="15"/>
        <v>45871</v>
      </c>
      <c r="Y345" s="21">
        <f t="shared" si="17"/>
        <v>45871</v>
      </c>
      <c r="Z345" t="str">
        <f t="array" ref="Z345">_xlfn.XLOOKUP(INT(X345),INT($AE$2:$AE$1000),$AG$2:$AG$1000,"")</f>
        <v/>
      </c>
      <c r="AE345" s="21" t="e">
        <f t="shared" si="16"/>
        <v>#VALUE!</v>
      </c>
    </row>
    <row r="346" spans="24:32">
      <c r="X346" s="21">
        <f t="shared" si="15"/>
        <v>45871</v>
      </c>
      <c r="Y346" s="21">
        <f t="shared" si="17"/>
        <v>45871</v>
      </c>
      <c r="Z346" t="str">
        <f t="array" ref="Z346">_xlfn.XLOOKUP(INT(X346),INT($AE$2:$AE$1000),$AG$2:$AG$1000,"")</f>
        <v/>
      </c>
      <c r="AE346" s="21" t="e">
        <f t="shared" si="16"/>
        <v>#VALUE!</v>
      </c>
    </row>
    <row r="347" spans="24:32">
      <c r="X347" s="21">
        <f t="shared" si="15"/>
        <v>45871</v>
      </c>
      <c r="Y347" s="21">
        <f t="shared" si="17"/>
        <v>45871</v>
      </c>
      <c r="Z347" t="str">
        <f t="array" ref="Z347">_xlfn.XLOOKUP(INT(X347),INT($AE$2:$AE$1000),$AG$2:$AG$1000,"")</f>
        <v/>
      </c>
      <c r="AE347" s="21" t="e">
        <f t="shared" si="16"/>
        <v>#VALUE!</v>
      </c>
    </row>
    <row r="348" spans="24:32">
      <c r="X348" s="21">
        <f t="shared" si="15"/>
        <v>45871</v>
      </c>
      <c r="Y348" s="21">
        <f t="shared" si="17"/>
        <v>45871</v>
      </c>
      <c r="Z348" t="str">
        <f t="array" ref="Z348">_xlfn.XLOOKUP(INT(X348),INT($AE$2:$AE$1000),$AG$2:$AG$1000,"")</f>
        <v/>
      </c>
      <c r="AE348" s="21" t="e">
        <f t="shared" si="16"/>
        <v>#VALUE!</v>
      </c>
    </row>
    <row r="349" spans="24:32">
      <c r="X349" s="21">
        <f t="shared" si="15"/>
        <v>45871</v>
      </c>
      <c r="Y349" s="21">
        <f t="shared" si="17"/>
        <v>45871</v>
      </c>
      <c r="Z349" t="str">
        <f t="array" ref="Z349">_xlfn.XLOOKUP(INT(X349),INT($AE$2:$AE$1000),$AG$2:$AG$1000,"")</f>
        <v/>
      </c>
      <c r="AE349" s="21" t="e">
        <f t="shared" si="16"/>
        <v>#VALUE!</v>
      </c>
    </row>
    <row r="350" spans="24:32">
      <c r="X350" s="21">
        <f t="shared" si="15"/>
        <v>45871</v>
      </c>
      <c r="Y350" s="21">
        <f t="shared" si="17"/>
        <v>45871</v>
      </c>
      <c r="Z350" t="str">
        <f t="array" ref="Z350">_xlfn.XLOOKUP(INT(X350),INT($AE$2:$AE$1000),$AG$2:$AG$1000,"")</f>
        <v/>
      </c>
      <c r="AE350" s="21" t="e">
        <f t="shared" si="16"/>
        <v>#VALUE!</v>
      </c>
    </row>
    <row r="351" spans="24:32">
      <c r="X351" s="21">
        <f t="shared" si="15"/>
        <v>45871</v>
      </c>
      <c r="Y351" s="21">
        <f t="shared" si="17"/>
        <v>45871</v>
      </c>
      <c r="Z351" t="str">
        <f t="array" ref="Z351">_xlfn.XLOOKUP(INT(X351),INT($AE$2:$AE$1000),$AG$2:$AG$1000,"")</f>
        <v/>
      </c>
      <c r="AE351" s="21" t="e">
        <f t="shared" si="16"/>
        <v>#VALUE!</v>
      </c>
    </row>
    <row r="352" spans="24:32">
      <c r="X352" s="21">
        <f t="shared" si="15"/>
        <v>45871</v>
      </c>
      <c r="Y352" s="21">
        <f t="shared" si="17"/>
        <v>45871</v>
      </c>
      <c r="Z352" t="str">
        <f t="array" ref="Z352">_xlfn.XLOOKUP(INT(X352),INT($AE$2:$AE$1000),$AG$2:$AG$1000,"")</f>
        <v/>
      </c>
      <c r="AE352" s="21" t="e">
        <f t="shared" si="16"/>
        <v>#VALUE!</v>
      </c>
    </row>
    <row r="353" spans="24:32">
      <c r="X353" s="21">
        <f t="shared" si="15"/>
        <v>45871</v>
      </c>
      <c r="Y353" s="21">
        <f t="shared" si="17"/>
        <v>45871</v>
      </c>
      <c r="Z353" t="str">
        <f t="array" ref="Z353">_xlfn.XLOOKUP(INT(X353),INT($AE$2:$AE$1000),$AG$2:$AG$1000,"")</f>
        <v/>
      </c>
      <c r="AE353" s="21" t="e">
        <f t="shared" si="16"/>
        <v>#VALUE!</v>
      </c>
    </row>
    <row r="354" spans="24:32">
      <c r="X354" s="21">
        <f t="shared" si="15"/>
        <v>45871</v>
      </c>
      <c r="Y354" s="21">
        <f t="shared" si="17"/>
        <v>45871</v>
      </c>
      <c r="Z354" t="str">
        <f t="array" ref="Z354">_xlfn.XLOOKUP(INT(X354),INT($AE$2:$AE$1000),$AG$2:$AG$1000,"")</f>
        <v/>
      </c>
      <c r="AE354" s="21" t="e">
        <f t="shared" si="16"/>
        <v>#VALUE!</v>
      </c>
    </row>
    <row r="355" spans="24:32">
      <c r="X355" s="21">
        <f t="shared" si="15"/>
        <v>45871</v>
      </c>
      <c r="Y355" s="21">
        <f t="shared" si="17"/>
        <v>45871</v>
      </c>
      <c r="Z355" t="str">
        <f t="array" ref="Z355">_xlfn.XLOOKUP(INT(X355),INT($AE$2:$AE$1000),$AG$2:$AG$1000,"")</f>
        <v/>
      </c>
      <c r="AE355" s="21" t="e">
        <f t="shared" si="16"/>
        <v>#VALUE!</v>
      </c>
    </row>
    <row r="356" spans="24:32">
      <c r="X356" s="21">
        <f t="shared" si="15"/>
        <v>45871</v>
      </c>
      <c r="Y356" s="21">
        <f t="shared" si="17"/>
        <v>45871</v>
      </c>
      <c r="Z356" t="str">
        <f t="array" ref="Z356">_xlfn.XLOOKUP(INT(X356),INT($AE$2:$AE$1000),$AG$2:$AG$1000,"")</f>
        <v/>
      </c>
      <c r="AE356" s="21" t="e">
        <f t="shared" si="16"/>
        <v>#VALUE!</v>
      </c>
    </row>
    <row r="357" spans="24:32">
      <c r="X357" s="21">
        <f t="shared" si="15"/>
        <v>45871</v>
      </c>
      <c r="Y357" s="21">
        <f t="shared" si="17"/>
        <v>45871</v>
      </c>
      <c r="Z357" t="str">
        <f t="array" ref="Z357">_xlfn.XLOOKUP(INT(X357),INT($AE$2:$AE$1000),$AG$2:$AG$1000,"")</f>
        <v/>
      </c>
      <c r="AE357" s="21" t="e">
        <f t="shared" si="16"/>
        <v>#VALUE!</v>
      </c>
    </row>
    <row r="358" spans="24:32">
      <c r="X358" s="21">
        <f t="shared" si="15"/>
        <v>45871</v>
      </c>
      <c r="Y358" s="21">
        <f t="shared" si="17"/>
        <v>45871</v>
      </c>
      <c r="Z358" t="str">
        <f t="array" ref="Z358">_xlfn.XLOOKUP(INT(X358),INT($AE$2:$AE$1000),$AG$2:$AG$1000,"")</f>
        <v/>
      </c>
      <c r="AE358" s="21" t="e">
        <f t="shared" si="16"/>
        <v>#VALUE!</v>
      </c>
    </row>
    <row r="359" spans="24:32">
      <c r="X359" s="21">
        <f t="shared" si="15"/>
        <v>45871</v>
      </c>
      <c r="Y359" s="21">
        <f t="shared" si="17"/>
        <v>45871</v>
      </c>
      <c r="Z359" t="str">
        <f t="array" ref="Z359">_xlfn.XLOOKUP(INT(X359),INT($AE$2:$AE$1000),$AG$2:$AG$1000,"")</f>
        <v/>
      </c>
      <c r="AE359" s="21" t="e">
        <f t="shared" si="16"/>
        <v>#VALUE!</v>
      </c>
      <c r="AF359" s="21"/>
    </row>
    <row r="360" spans="24:32">
      <c r="X360" s="21">
        <f t="shared" si="15"/>
        <v>45871</v>
      </c>
      <c r="Y360" s="21">
        <f t="shared" si="17"/>
        <v>45871</v>
      </c>
      <c r="Z360" t="str">
        <f t="array" ref="Z360">_xlfn.XLOOKUP(INT(X360),INT($AE$2:$AE$1000),$AG$2:$AG$1000,"")</f>
        <v/>
      </c>
      <c r="AE360" s="21" t="e">
        <f t="shared" si="16"/>
        <v>#VALUE!</v>
      </c>
      <c r="AF360" s="21"/>
    </row>
    <row r="361" spans="24:32">
      <c r="X361" s="21">
        <f t="shared" si="15"/>
        <v>45871</v>
      </c>
      <c r="Y361" s="21">
        <f t="shared" si="17"/>
        <v>45871</v>
      </c>
      <c r="Z361" t="str">
        <f t="array" ref="Z361">_xlfn.XLOOKUP(INT(X361),INT($AE$2:$AE$1000),$AG$2:$AG$1000,"")</f>
        <v/>
      </c>
      <c r="AE361" s="21" t="e">
        <f t="shared" si="16"/>
        <v>#VALUE!</v>
      </c>
      <c r="AF361" s="21"/>
    </row>
    <row r="362" spans="24:32">
      <c r="X362" s="21">
        <f t="shared" si="15"/>
        <v>45871</v>
      </c>
      <c r="Y362" s="21">
        <f t="shared" si="17"/>
        <v>45871</v>
      </c>
      <c r="Z362" t="str">
        <f t="array" ref="Z362">_xlfn.XLOOKUP(INT(X362),INT($AE$2:$AE$1000),$AG$2:$AG$1000,"")</f>
        <v/>
      </c>
      <c r="AE362" s="21" t="e">
        <f t="shared" si="16"/>
        <v>#VALUE!</v>
      </c>
      <c r="AF362" s="21"/>
    </row>
    <row r="363" spans="24:32">
      <c r="X363" s="21">
        <f t="shared" si="15"/>
        <v>45871</v>
      </c>
      <c r="Y363" s="21">
        <f t="shared" si="17"/>
        <v>45871</v>
      </c>
      <c r="Z363" t="str">
        <f t="array" ref="Z363">_xlfn.XLOOKUP(INT(X363),INT($AE$2:$AE$1000),$AG$2:$AG$1000,"")</f>
        <v/>
      </c>
      <c r="AE363" s="21" t="e">
        <f t="shared" si="16"/>
        <v>#VALUE!</v>
      </c>
      <c r="AF363" s="21"/>
    </row>
    <row r="364" spans="24:32">
      <c r="X364" s="21">
        <f t="shared" si="15"/>
        <v>45871</v>
      </c>
      <c r="Y364" s="21">
        <f t="shared" si="17"/>
        <v>45871</v>
      </c>
      <c r="Z364" t="str">
        <f t="array" ref="Z364">_xlfn.XLOOKUP(INT(X364),INT($AE$2:$AE$1000),$AG$2:$AG$1000,"")</f>
        <v/>
      </c>
      <c r="AE364" s="21" t="e">
        <f t="shared" si="16"/>
        <v>#VALUE!</v>
      </c>
      <c r="AF364" s="21"/>
    </row>
    <row r="365" spans="24:32">
      <c r="X365" s="21">
        <f t="shared" si="15"/>
        <v>45871</v>
      </c>
      <c r="Y365" s="21">
        <f t="shared" si="17"/>
        <v>45871</v>
      </c>
      <c r="Z365" t="str">
        <f t="array" ref="Z365">_xlfn.XLOOKUP(INT(X365),INT($AE$2:$AE$1000),$AG$2:$AG$1000,"")</f>
        <v/>
      </c>
      <c r="AE365" s="21" t="e">
        <f t="shared" si="16"/>
        <v>#VALUE!</v>
      </c>
      <c r="AF365" s="21"/>
    </row>
    <row r="366" spans="24:32">
      <c r="X366" s="21">
        <f t="shared" si="15"/>
        <v>45871</v>
      </c>
      <c r="Y366" s="21">
        <f t="shared" si="17"/>
        <v>45871</v>
      </c>
      <c r="Z366" t="str">
        <f t="array" ref="Z366">_xlfn.XLOOKUP(INT(X366),INT($AE$2:$AE$1000),$AG$2:$AG$1000,"")</f>
        <v/>
      </c>
      <c r="AE366" s="21" t="e">
        <f t="shared" si="16"/>
        <v>#VALUE!</v>
      </c>
      <c r="AF366" s="21"/>
    </row>
    <row r="367" spans="24:32">
      <c r="X367" s="21">
        <f t="shared" si="15"/>
        <v>45871</v>
      </c>
      <c r="Y367" s="21">
        <f t="shared" si="17"/>
        <v>45871</v>
      </c>
      <c r="Z367" t="str">
        <f t="array" ref="Z367">_xlfn.XLOOKUP(INT(X367),INT($AE$2:$AE$1000),$AG$2:$AG$1000,"")</f>
        <v/>
      </c>
      <c r="AE367" s="21" t="e">
        <f t="shared" si="16"/>
        <v>#VALUE!</v>
      </c>
    </row>
    <row r="368" spans="24:32">
      <c r="X368" s="21">
        <f t="shared" si="15"/>
        <v>45871</v>
      </c>
      <c r="Y368" s="21">
        <f t="shared" si="17"/>
        <v>45871</v>
      </c>
      <c r="Z368" t="str">
        <f t="array" ref="Z368">_xlfn.XLOOKUP(INT(X368),INT($AE$2:$AE$1000),$AG$2:$AG$1000,"")</f>
        <v/>
      </c>
      <c r="AE368" s="21" t="e">
        <f t="shared" si="16"/>
        <v>#VALUE!</v>
      </c>
    </row>
    <row r="369" spans="24:32">
      <c r="X369" s="21">
        <f t="shared" si="15"/>
        <v>45871</v>
      </c>
      <c r="Y369" s="21">
        <f t="shared" si="17"/>
        <v>45871</v>
      </c>
      <c r="Z369" t="str">
        <f t="array" ref="Z369">_xlfn.XLOOKUP(INT(X369),INT($AE$2:$AE$1000),$AG$2:$AG$1000,"")</f>
        <v/>
      </c>
      <c r="AE369" s="21" t="e">
        <f t="shared" si="16"/>
        <v>#VALUE!</v>
      </c>
    </row>
    <row r="370" spans="24:32">
      <c r="X370" s="21">
        <f t="shared" si="15"/>
        <v>45871</v>
      </c>
      <c r="Y370" s="21">
        <f t="shared" si="17"/>
        <v>45871</v>
      </c>
      <c r="Z370" t="str">
        <f t="array" ref="Z370">_xlfn.XLOOKUP(INT(X370),INT($AE$2:$AE$1000),$AG$2:$AG$1000,"")</f>
        <v/>
      </c>
      <c r="AE370" s="21" t="e">
        <f t="shared" si="16"/>
        <v>#VALUE!</v>
      </c>
    </row>
    <row r="371" spans="24:32">
      <c r="X371" s="21">
        <f t="shared" si="15"/>
        <v>45871</v>
      </c>
      <c r="Y371" s="21">
        <f t="shared" si="17"/>
        <v>45871</v>
      </c>
      <c r="Z371" t="str">
        <f t="array" ref="Z371">_xlfn.XLOOKUP(INT(X371),INT($AE$2:$AE$1000),$AG$2:$AG$1000,"")</f>
        <v/>
      </c>
      <c r="AE371" s="21" t="e">
        <f t="shared" si="16"/>
        <v>#VALUE!</v>
      </c>
    </row>
    <row r="372" spans="24:32">
      <c r="X372" s="21">
        <f t="shared" si="15"/>
        <v>45871</v>
      </c>
      <c r="Y372" s="21">
        <f t="shared" si="17"/>
        <v>45871</v>
      </c>
      <c r="Z372" t="str">
        <f t="array" ref="Z372">_xlfn.XLOOKUP(INT(X372),INT($AE$2:$AE$1000),$AG$2:$AG$1000,"")</f>
        <v/>
      </c>
      <c r="AE372" s="21" t="e">
        <f t="shared" si="16"/>
        <v>#VALUE!</v>
      </c>
    </row>
    <row r="373" spans="24:32">
      <c r="X373" s="21">
        <f t="shared" si="15"/>
        <v>45871</v>
      </c>
      <c r="Y373" s="21">
        <f t="shared" si="17"/>
        <v>45871</v>
      </c>
      <c r="Z373" t="str">
        <f t="array" ref="Z373">_xlfn.XLOOKUP(INT(X373),INT($AE$2:$AE$1000),$AG$2:$AG$1000,"")</f>
        <v/>
      </c>
      <c r="AE373" s="21" t="e">
        <f t="shared" si="16"/>
        <v>#VALUE!</v>
      </c>
    </row>
    <row r="374" spans="24:32">
      <c r="X374" s="21">
        <f t="shared" si="15"/>
        <v>45871</v>
      </c>
      <c r="Y374" s="21">
        <f t="shared" si="17"/>
        <v>45871</v>
      </c>
      <c r="Z374" t="str">
        <f t="array" ref="Z374">_xlfn.XLOOKUP(INT(X374),INT($AE$2:$AE$1000),$AG$2:$AG$1000,"")</f>
        <v/>
      </c>
      <c r="AE374" s="21" t="e">
        <f t="shared" si="16"/>
        <v>#VALUE!</v>
      </c>
    </row>
    <row r="375" spans="24:32">
      <c r="X375" s="21">
        <f t="shared" si="15"/>
        <v>45871</v>
      </c>
      <c r="Y375" s="21">
        <f t="shared" si="17"/>
        <v>45871</v>
      </c>
      <c r="Z375" t="str">
        <f t="array" ref="Z375">_xlfn.XLOOKUP(INT(X375),INT($AE$2:$AE$1000),$AG$2:$AG$1000,"")</f>
        <v/>
      </c>
      <c r="AE375" s="21" t="e">
        <f t="shared" si="16"/>
        <v>#VALUE!</v>
      </c>
    </row>
    <row r="376" spans="24:32">
      <c r="X376" s="21">
        <f t="shared" si="15"/>
        <v>45871</v>
      </c>
      <c r="Y376" s="21">
        <f t="shared" si="17"/>
        <v>45871</v>
      </c>
      <c r="Z376" t="str">
        <f t="array" ref="Z376">_xlfn.XLOOKUP(INT(X376),INT($AE$2:$AE$1000),$AG$2:$AG$1000,"")</f>
        <v/>
      </c>
      <c r="AE376" s="21" t="e">
        <f t="shared" si="16"/>
        <v>#VALUE!</v>
      </c>
    </row>
    <row r="377" spans="24:32">
      <c r="X377" s="21">
        <f t="shared" si="15"/>
        <v>45871</v>
      </c>
      <c r="Y377" s="21">
        <f t="shared" si="17"/>
        <v>45871</v>
      </c>
      <c r="Z377" t="str">
        <f t="array" ref="Z377">_xlfn.XLOOKUP(INT(X377),INT($AE$2:$AE$1000),$AG$2:$AG$1000,"")</f>
        <v/>
      </c>
      <c r="AE377" s="21" t="e">
        <f t="shared" si="16"/>
        <v>#VALUE!</v>
      </c>
    </row>
    <row r="378" spans="24:32">
      <c r="X378" s="21">
        <f t="shared" si="15"/>
        <v>45871</v>
      </c>
      <c r="Y378" s="21">
        <f t="shared" si="17"/>
        <v>45871</v>
      </c>
      <c r="Z378" t="str">
        <f t="array" ref="Z378">_xlfn.XLOOKUP(INT(X378),INT($AE$2:$AE$1000),$AG$2:$AG$1000,"")</f>
        <v/>
      </c>
      <c r="AE378" s="21" t="e">
        <f t="shared" si="16"/>
        <v>#VALUE!</v>
      </c>
    </row>
    <row r="379" spans="24:32">
      <c r="X379" s="21">
        <f t="shared" si="15"/>
        <v>45871</v>
      </c>
      <c r="Y379" s="21">
        <f t="shared" si="17"/>
        <v>45871</v>
      </c>
      <c r="Z379" t="str">
        <f t="array" ref="Z379">_xlfn.XLOOKUP(INT(X379),INT($AE$2:$AE$1000),$AG$2:$AG$1000,"")</f>
        <v/>
      </c>
      <c r="AE379" s="21" t="e">
        <f t="shared" si="16"/>
        <v>#VALUE!</v>
      </c>
      <c r="AF379" s="21"/>
    </row>
    <row r="380" spans="24:32">
      <c r="X380" s="21">
        <f t="shared" si="15"/>
        <v>45871</v>
      </c>
      <c r="Y380" s="21">
        <f t="shared" si="17"/>
        <v>45871</v>
      </c>
      <c r="Z380" t="str">
        <f t="array" ref="Z380">_xlfn.XLOOKUP(INT(X380),INT($AE$2:$AE$1000),$AG$2:$AG$1000,"")</f>
        <v/>
      </c>
      <c r="AE380" s="21" t="e">
        <f t="shared" si="16"/>
        <v>#VALUE!</v>
      </c>
      <c r="AF380" s="21"/>
    </row>
    <row r="381" spans="24:32">
      <c r="X381" s="21">
        <f t="shared" si="15"/>
        <v>45871</v>
      </c>
      <c r="Y381" s="21">
        <f t="shared" si="17"/>
        <v>45871</v>
      </c>
      <c r="Z381" t="str">
        <f t="array" ref="Z381">_xlfn.XLOOKUP(INT(X381),INT($AE$2:$AE$1000),$AG$2:$AG$1000,"")</f>
        <v/>
      </c>
      <c r="AE381" s="21" t="e">
        <f t="shared" si="16"/>
        <v>#VALUE!</v>
      </c>
      <c r="AF381" s="21"/>
    </row>
    <row r="382" spans="24:32">
      <c r="X382" s="21">
        <f t="shared" si="15"/>
        <v>45871</v>
      </c>
      <c r="Y382" s="21">
        <f t="shared" si="17"/>
        <v>45871</v>
      </c>
      <c r="Z382" t="str">
        <f t="array" ref="Z382">_xlfn.XLOOKUP(INT(X382),INT($AE$2:$AE$1000),$AG$2:$AG$1000,"")</f>
        <v/>
      </c>
      <c r="AE382" s="21" t="e">
        <f t="shared" si="16"/>
        <v>#VALUE!</v>
      </c>
      <c r="AF382" s="21"/>
    </row>
    <row r="383" spans="24:32">
      <c r="X383" s="21">
        <f t="shared" si="15"/>
        <v>45871</v>
      </c>
      <c r="Y383" s="21">
        <f t="shared" si="17"/>
        <v>45871</v>
      </c>
      <c r="Z383" t="str">
        <f t="array" ref="Z383">_xlfn.XLOOKUP(INT(X383),INT($AE$2:$AE$1000),$AG$2:$AG$1000,"")</f>
        <v/>
      </c>
      <c r="AE383" s="21" t="e">
        <f t="shared" si="16"/>
        <v>#VALUE!</v>
      </c>
      <c r="AF383" s="21"/>
    </row>
    <row r="384" spans="24:32">
      <c r="X384" s="21">
        <f t="shared" ref="X384:X447" si="18">WORKDAY(DATE(2025,8,2),INT(D384/390))</f>
        <v>45871</v>
      </c>
      <c r="Y384" s="21">
        <f t="shared" si="17"/>
        <v>45871</v>
      </c>
      <c r="Z384" t="str">
        <f t="array" ref="Z384">_xlfn.XLOOKUP(INT(X384),INT($AE$2:$AE$1000),$AG$2:$AG$1000,"")</f>
        <v/>
      </c>
      <c r="AE384" s="21" t="e">
        <f t="shared" si="16"/>
        <v>#VALUE!</v>
      </c>
      <c r="AF384" s="21"/>
    </row>
    <row r="385" spans="24:32">
      <c r="X385" s="21">
        <f t="shared" si="18"/>
        <v>45871</v>
      </c>
      <c r="Y385" s="21">
        <f t="shared" si="17"/>
        <v>45871</v>
      </c>
      <c r="Z385" t="str">
        <f t="array" ref="Z385">_xlfn.XLOOKUP(INT(X385),INT($AE$2:$AE$1000),$AG$2:$AG$1000,"")</f>
        <v/>
      </c>
      <c r="AE385" s="21" t="e">
        <f t="shared" si="16"/>
        <v>#VALUE!</v>
      </c>
      <c r="AF385" s="21"/>
    </row>
    <row r="386" spans="24:32">
      <c r="X386" s="21">
        <f t="shared" si="18"/>
        <v>45871</v>
      </c>
      <c r="Y386" s="21">
        <f t="shared" si="17"/>
        <v>45871</v>
      </c>
      <c r="Z386" t="str">
        <f t="array" ref="Z386">_xlfn.XLOOKUP(INT(X386),INT($AE$2:$AE$1000),$AG$2:$AG$1000,"")</f>
        <v/>
      </c>
      <c r="AE386" s="21" t="e">
        <f t="shared" ref="AE386:AE449" si="19">IF(ISNUMBER(AF386),DATE(YEAR(AF386),DAY(AF386),MONTH(AF386)),DATE(RIGHT(AF386,4),LEFT(AF386,2),MID(AF386,4,2)))</f>
        <v>#VALUE!</v>
      </c>
      <c r="AF386" s="21"/>
    </row>
    <row r="387" spans="24:32">
      <c r="X387" s="21">
        <f t="shared" si="18"/>
        <v>45871</v>
      </c>
      <c r="Y387" s="21">
        <f t="shared" ref="Y387:Y450" si="20">WORKDAY(DATE(2025,8,2),INT(P387/390))</f>
        <v>45871</v>
      </c>
      <c r="Z387" t="str">
        <f t="array" ref="Z387">_xlfn.XLOOKUP(INT(X387),INT($AE$2:$AE$1000),$AG$2:$AG$1000,"")</f>
        <v/>
      </c>
      <c r="AE387" s="21" t="e">
        <f t="shared" si="19"/>
        <v>#VALUE!</v>
      </c>
      <c r="AF387" s="21"/>
    </row>
    <row r="388" spans="24:32">
      <c r="X388" s="21">
        <f t="shared" si="18"/>
        <v>45871</v>
      </c>
      <c r="Y388" s="21">
        <f t="shared" si="20"/>
        <v>45871</v>
      </c>
      <c r="Z388" t="str">
        <f t="array" ref="Z388">_xlfn.XLOOKUP(INT(X388),INT($AE$2:$AE$1000),$AG$2:$AG$1000,"")</f>
        <v/>
      </c>
      <c r="AE388" s="21" t="e">
        <f t="shared" si="19"/>
        <v>#VALUE!</v>
      </c>
    </row>
    <row r="389" spans="24:32">
      <c r="X389" s="21">
        <f t="shared" si="18"/>
        <v>45871</v>
      </c>
      <c r="Y389" s="21">
        <f t="shared" si="20"/>
        <v>45871</v>
      </c>
      <c r="Z389" t="str">
        <f t="array" ref="Z389">_xlfn.XLOOKUP(INT(X389),INT($AE$2:$AE$1000),$AG$2:$AG$1000,"")</f>
        <v/>
      </c>
      <c r="AE389" s="21" t="e">
        <f t="shared" si="19"/>
        <v>#VALUE!</v>
      </c>
    </row>
    <row r="390" spans="24:32">
      <c r="X390" s="21">
        <f t="shared" si="18"/>
        <v>45871</v>
      </c>
      <c r="Y390" s="21">
        <f t="shared" si="20"/>
        <v>45871</v>
      </c>
      <c r="Z390" t="str">
        <f t="array" ref="Z390">_xlfn.XLOOKUP(INT(X390),INT($AE$2:$AE$1000),$AG$2:$AG$1000,"")</f>
        <v/>
      </c>
      <c r="AE390" s="21" t="e">
        <f t="shared" si="19"/>
        <v>#VALUE!</v>
      </c>
    </row>
    <row r="391" spans="24:32">
      <c r="X391" s="21">
        <f t="shared" si="18"/>
        <v>45871</v>
      </c>
      <c r="Y391" s="21">
        <f t="shared" si="20"/>
        <v>45871</v>
      </c>
      <c r="Z391" t="str">
        <f t="array" ref="Z391">_xlfn.XLOOKUP(INT(X391),INT($AE$2:$AE$1000),$AG$2:$AG$1000,"")</f>
        <v/>
      </c>
      <c r="AE391" s="21" t="e">
        <f t="shared" si="19"/>
        <v>#VALUE!</v>
      </c>
    </row>
    <row r="392" spans="24:32">
      <c r="X392" s="21">
        <f t="shared" si="18"/>
        <v>45871</v>
      </c>
      <c r="Y392" s="21">
        <f t="shared" si="20"/>
        <v>45871</v>
      </c>
      <c r="Z392" t="str">
        <f t="array" ref="Z392">_xlfn.XLOOKUP(INT(X392),INT($AE$2:$AE$1000),$AG$2:$AG$1000,"")</f>
        <v/>
      </c>
      <c r="AE392" s="21" t="e">
        <f t="shared" si="19"/>
        <v>#VALUE!</v>
      </c>
    </row>
    <row r="393" spans="24:32">
      <c r="X393" s="21">
        <f t="shared" si="18"/>
        <v>45871</v>
      </c>
      <c r="Y393" s="21">
        <f t="shared" si="20"/>
        <v>45871</v>
      </c>
      <c r="Z393" t="str">
        <f t="array" ref="Z393">_xlfn.XLOOKUP(INT(X393),INT($AE$2:$AE$1000),$AG$2:$AG$1000,"")</f>
        <v/>
      </c>
      <c r="AE393" s="21" t="e">
        <f t="shared" si="19"/>
        <v>#VALUE!</v>
      </c>
    </row>
    <row r="394" spans="24:32">
      <c r="X394" s="21">
        <f t="shared" si="18"/>
        <v>45871</v>
      </c>
      <c r="Y394" s="21">
        <f t="shared" si="20"/>
        <v>45871</v>
      </c>
      <c r="Z394" t="str">
        <f t="array" ref="Z394">_xlfn.XLOOKUP(INT(X394),INT($AE$2:$AE$1000),$AG$2:$AG$1000,"")</f>
        <v/>
      </c>
      <c r="AE394" s="21" t="e">
        <f t="shared" si="19"/>
        <v>#VALUE!</v>
      </c>
    </row>
    <row r="395" spans="24:32">
      <c r="X395" s="21">
        <f t="shared" si="18"/>
        <v>45871</v>
      </c>
      <c r="Y395" s="21">
        <f t="shared" si="20"/>
        <v>45871</v>
      </c>
      <c r="Z395" t="str">
        <f t="array" ref="Z395">_xlfn.XLOOKUP(INT(X395),INT($AE$2:$AE$1000),$AG$2:$AG$1000,"")</f>
        <v/>
      </c>
      <c r="AE395" s="21" t="e">
        <f t="shared" si="19"/>
        <v>#VALUE!</v>
      </c>
    </row>
    <row r="396" spans="24:32">
      <c r="X396" s="21">
        <f t="shared" si="18"/>
        <v>45871</v>
      </c>
      <c r="Y396" s="21">
        <f t="shared" si="20"/>
        <v>45871</v>
      </c>
      <c r="Z396" t="str">
        <f t="array" ref="Z396">_xlfn.XLOOKUP(INT(X396),INT($AE$2:$AE$1000),$AG$2:$AG$1000,"")</f>
        <v/>
      </c>
      <c r="AE396" s="21" t="e">
        <f t="shared" si="19"/>
        <v>#VALUE!</v>
      </c>
    </row>
    <row r="397" spans="24:32">
      <c r="X397" s="21">
        <f t="shared" si="18"/>
        <v>45871</v>
      </c>
      <c r="Y397" s="21">
        <f t="shared" si="20"/>
        <v>45871</v>
      </c>
      <c r="Z397" t="str">
        <f t="array" ref="Z397">_xlfn.XLOOKUP(INT(X397),INT($AE$2:$AE$1000),$AG$2:$AG$1000,"")</f>
        <v/>
      </c>
      <c r="AE397" s="21" t="e">
        <f t="shared" si="19"/>
        <v>#VALUE!</v>
      </c>
    </row>
    <row r="398" spans="24:32">
      <c r="X398" s="21">
        <f t="shared" si="18"/>
        <v>45871</v>
      </c>
      <c r="Y398" s="21">
        <f t="shared" si="20"/>
        <v>45871</v>
      </c>
      <c r="Z398" t="str">
        <f t="array" ref="Z398">_xlfn.XLOOKUP(INT(X398),INT($AE$2:$AE$1000),$AG$2:$AG$1000,"")</f>
        <v/>
      </c>
      <c r="AE398" s="21" t="e">
        <f t="shared" si="19"/>
        <v>#VALUE!</v>
      </c>
    </row>
    <row r="399" spans="24:32">
      <c r="X399" s="21">
        <f t="shared" si="18"/>
        <v>45871</v>
      </c>
      <c r="Y399" s="21">
        <f t="shared" si="20"/>
        <v>45871</v>
      </c>
      <c r="Z399" t="str">
        <f t="array" ref="Z399">_xlfn.XLOOKUP(INT(X399),INT($AE$2:$AE$1000),$AG$2:$AG$1000,"")</f>
        <v/>
      </c>
      <c r="AE399" s="21" t="e">
        <f t="shared" si="19"/>
        <v>#VALUE!</v>
      </c>
    </row>
    <row r="400" spans="24:32">
      <c r="X400" s="21">
        <f t="shared" si="18"/>
        <v>45871</v>
      </c>
      <c r="Y400" s="21">
        <f t="shared" si="20"/>
        <v>45871</v>
      </c>
      <c r="Z400" t="str">
        <f t="array" ref="Z400">_xlfn.XLOOKUP(INT(X400),INT($AE$2:$AE$1000),$AG$2:$AG$1000,"")</f>
        <v/>
      </c>
      <c r="AE400" s="21" t="e">
        <f t="shared" si="19"/>
        <v>#VALUE!</v>
      </c>
    </row>
    <row r="401" spans="24:32">
      <c r="X401" s="21">
        <f t="shared" si="18"/>
        <v>45871</v>
      </c>
      <c r="Y401" s="21">
        <f t="shared" si="20"/>
        <v>45871</v>
      </c>
      <c r="Z401" t="str">
        <f t="array" ref="Z401">_xlfn.XLOOKUP(INT(X401),INT($AE$2:$AE$1000),$AG$2:$AG$1000,"")</f>
        <v/>
      </c>
      <c r="AE401" s="21" t="e">
        <f t="shared" si="19"/>
        <v>#VALUE!</v>
      </c>
      <c r="AF401" s="21"/>
    </row>
    <row r="402" spans="24:32">
      <c r="X402" s="21">
        <f t="shared" si="18"/>
        <v>45871</v>
      </c>
      <c r="Y402" s="21">
        <f t="shared" si="20"/>
        <v>45871</v>
      </c>
      <c r="Z402" t="str">
        <f t="array" ref="Z402">_xlfn.XLOOKUP(INT(X402),INT($AE$2:$AE$1000),$AG$2:$AG$1000,"")</f>
        <v/>
      </c>
      <c r="AE402" s="21" t="e">
        <f t="shared" si="19"/>
        <v>#VALUE!</v>
      </c>
      <c r="AF402" s="21"/>
    </row>
    <row r="403" spans="24:32">
      <c r="X403" s="21">
        <f t="shared" si="18"/>
        <v>45871</v>
      </c>
      <c r="Y403" s="21">
        <f t="shared" si="20"/>
        <v>45871</v>
      </c>
      <c r="Z403" t="str">
        <f t="array" ref="Z403">_xlfn.XLOOKUP(INT(X403),INT($AE$2:$AE$1000),$AG$2:$AG$1000,"")</f>
        <v/>
      </c>
      <c r="AE403" s="21" t="e">
        <f t="shared" si="19"/>
        <v>#VALUE!</v>
      </c>
      <c r="AF403" s="21"/>
    </row>
    <row r="404" spans="24:32">
      <c r="X404" s="21">
        <f t="shared" si="18"/>
        <v>45871</v>
      </c>
      <c r="Y404" s="21">
        <f t="shared" si="20"/>
        <v>45871</v>
      </c>
      <c r="Z404" t="str">
        <f t="array" ref="Z404">_xlfn.XLOOKUP(INT(X404),INT($AE$2:$AE$1000),$AG$2:$AG$1000,"")</f>
        <v/>
      </c>
      <c r="AE404" s="21" t="e">
        <f t="shared" si="19"/>
        <v>#VALUE!</v>
      </c>
      <c r="AF404" s="21"/>
    </row>
    <row r="405" spans="24:32">
      <c r="X405" s="21">
        <f t="shared" si="18"/>
        <v>45871</v>
      </c>
      <c r="Y405" s="21">
        <f t="shared" si="20"/>
        <v>45871</v>
      </c>
      <c r="Z405" t="str">
        <f t="array" ref="Z405">_xlfn.XLOOKUP(INT(X405),INT($AE$2:$AE$1000),$AG$2:$AG$1000,"")</f>
        <v/>
      </c>
      <c r="AE405" s="21" t="e">
        <f t="shared" si="19"/>
        <v>#VALUE!</v>
      </c>
      <c r="AF405" s="21"/>
    </row>
    <row r="406" spans="24:32">
      <c r="X406" s="21">
        <f t="shared" si="18"/>
        <v>45871</v>
      </c>
      <c r="Y406" s="21">
        <f t="shared" si="20"/>
        <v>45871</v>
      </c>
      <c r="Z406" t="str">
        <f t="array" ref="Z406">_xlfn.XLOOKUP(INT(X406),INT($AE$2:$AE$1000),$AG$2:$AG$1000,"")</f>
        <v/>
      </c>
      <c r="AE406" s="21" t="e">
        <f t="shared" si="19"/>
        <v>#VALUE!</v>
      </c>
      <c r="AF406" s="21"/>
    </row>
    <row r="407" spans="24:32">
      <c r="X407" s="21">
        <f t="shared" si="18"/>
        <v>45871</v>
      </c>
      <c r="Y407" s="21">
        <f t="shared" si="20"/>
        <v>45871</v>
      </c>
      <c r="Z407" t="str">
        <f t="array" ref="Z407">_xlfn.XLOOKUP(INT(X407),INT($AE$2:$AE$1000),$AG$2:$AG$1000,"")</f>
        <v/>
      </c>
      <c r="AE407" s="21" t="e">
        <f t="shared" si="19"/>
        <v>#VALUE!</v>
      </c>
      <c r="AF407" s="21"/>
    </row>
    <row r="408" spans="24:32">
      <c r="X408" s="21">
        <f t="shared" si="18"/>
        <v>45871</v>
      </c>
      <c r="Y408" s="21">
        <f t="shared" si="20"/>
        <v>45871</v>
      </c>
      <c r="Z408" t="str">
        <f t="array" ref="Z408">_xlfn.XLOOKUP(INT(X408),INT($AE$2:$AE$1000),$AG$2:$AG$1000,"")</f>
        <v/>
      </c>
      <c r="AE408" s="21" t="e">
        <f t="shared" si="19"/>
        <v>#VALUE!</v>
      </c>
      <c r="AF408" s="21"/>
    </row>
    <row r="409" spans="24:32">
      <c r="X409" s="21">
        <f t="shared" si="18"/>
        <v>45871</v>
      </c>
      <c r="Y409" s="21">
        <f t="shared" si="20"/>
        <v>45871</v>
      </c>
      <c r="Z409" t="str">
        <f t="array" ref="Z409">_xlfn.XLOOKUP(INT(X409),INT($AE$2:$AE$1000),$AG$2:$AG$1000,"")</f>
        <v/>
      </c>
      <c r="AE409" s="21" t="e">
        <f t="shared" si="19"/>
        <v>#VALUE!</v>
      </c>
    </row>
    <row r="410" spans="24:32">
      <c r="X410" s="21">
        <f t="shared" si="18"/>
        <v>45871</v>
      </c>
      <c r="Y410" s="21">
        <f t="shared" si="20"/>
        <v>45871</v>
      </c>
      <c r="Z410" t="str">
        <f t="array" ref="Z410">_xlfn.XLOOKUP(INT(X410),INT($AE$2:$AE$1000),$AG$2:$AG$1000,"")</f>
        <v/>
      </c>
      <c r="AE410" s="21" t="e">
        <f t="shared" si="19"/>
        <v>#VALUE!</v>
      </c>
    </row>
    <row r="411" spans="24:32">
      <c r="X411" s="21">
        <f t="shared" si="18"/>
        <v>45871</v>
      </c>
      <c r="Y411" s="21">
        <f t="shared" si="20"/>
        <v>45871</v>
      </c>
      <c r="Z411" t="str">
        <f t="array" ref="Z411">_xlfn.XLOOKUP(INT(X411),INT($AE$2:$AE$1000),$AG$2:$AG$1000,"")</f>
        <v/>
      </c>
      <c r="AE411" s="21" t="e">
        <f t="shared" si="19"/>
        <v>#VALUE!</v>
      </c>
    </row>
    <row r="412" spans="24:32">
      <c r="X412" s="21">
        <f t="shared" si="18"/>
        <v>45871</v>
      </c>
      <c r="Y412" s="21">
        <f t="shared" si="20"/>
        <v>45871</v>
      </c>
      <c r="Z412" t="str">
        <f t="array" ref="Z412">_xlfn.XLOOKUP(INT(X412),INT($AE$2:$AE$1000),$AG$2:$AG$1000,"")</f>
        <v/>
      </c>
      <c r="AE412" s="21" t="e">
        <f t="shared" si="19"/>
        <v>#VALUE!</v>
      </c>
    </row>
    <row r="413" spans="24:32">
      <c r="X413" s="21">
        <f t="shared" si="18"/>
        <v>45871</v>
      </c>
      <c r="Y413" s="21">
        <f t="shared" si="20"/>
        <v>45871</v>
      </c>
      <c r="Z413" t="str">
        <f t="array" ref="Z413">_xlfn.XLOOKUP(INT(X413),INT($AE$2:$AE$1000),$AG$2:$AG$1000,"")</f>
        <v/>
      </c>
      <c r="AE413" s="21" t="e">
        <f t="shared" si="19"/>
        <v>#VALUE!</v>
      </c>
    </row>
    <row r="414" spans="24:32">
      <c r="X414" s="21">
        <f t="shared" si="18"/>
        <v>45871</v>
      </c>
      <c r="Y414" s="21">
        <f t="shared" si="20"/>
        <v>45871</v>
      </c>
      <c r="Z414" t="str">
        <f t="array" ref="Z414">_xlfn.XLOOKUP(INT(X414),INT($AE$2:$AE$1000),$AG$2:$AG$1000,"")</f>
        <v/>
      </c>
      <c r="AE414" s="21" t="e">
        <f t="shared" si="19"/>
        <v>#VALUE!</v>
      </c>
    </row>
    <row r="415" spans="24:32">
      <c r="X415" s="21">
        <f t="shared" si="18"/>
        <v>45871</v>
      </c>
      <c r="Y415" s="21">
        <f t="shared" si="20"/>
        <v>45871</v>
      </c>
      <c r="Z415" t="str">
        <f t="array" ref="Z415">_xlfn.XLOOKUP(INT(X415),INT($AE$2:$AE$1000),$AG$2:$AG$1000,"")</f>
        <v/>
      </c>
      <c r="AE415" s="21" t="e">
        <f t="shared" si="19"/>
        <v>#VALUE!</v>
      </c>
    </row>
    <row r="416" spans="24:32">
      <c r="X416" s="21">
        <f t="shared" si="18"/>
        <v>45871</v>
      </c>
      <c r="Y416" s="21">
        <f t="shared" si="20"/>
        <v>45871</v>
      </c>
      <c r="Z416" t="str">
        <f t="array" ref="Z416">_xlfn.XLOOKUP(INT(X416),INT($AE$2:$AE$1000),$AG$2:$AG$1000,"")</f>
        <v/>
      </c>
      <c r="AE416" s="21" t="e">
        <f t="shared" si="19"/>
        <v>#VALUE!</v>
      </c>
    </row>
    <row r="417" spans="24:32">
      <c r="X417" s="21">
        <f t="shared" si="18"/>
        <v>45871</v>
      </c>
      <c r="Y417" s="21">
        <f t="shared" si="20"/>
        <v>45871</v>
      </c>
      <c r="Z417" t="str">
        <f t="array" ref="Z417">_xlfn.XLOOKUP(INT(X417),INT($AE$2:$AE$1000),$AG$2:$AG$1000,"")</f>
        <v/>
      </c>
      <c r="AE417" s="21" t="e">
        <f t="shared" si="19"/>
        <v>#VALUE!</v>
      </c>
    </row>
    <row r="418" spans="24:32">
      <c r="X418" s="21">
        <f t="shared" si="18"/>
        <v>45871</v>
      </c>
      <c r="Y418" s="21">
        <f t="shared" si="20"/>
        <v>45871</v>
      </c>
      <c r="Z418" t="str">
        <f t="array" ref="Z418">_xlfn.XLOOKUP(INT(X418),INT($AE$2:$AE$1000),$AG$2:$AG$1000,"")</f>
        <v/>
      </c>
      <c r="AE418" s="21" t="e">
        <f t="shared" si="19"/>
        <v>#VALUE!</v>
      </c>
    </row>
    <row r="419" spans="24:32">
      <c r="X419" s="21">
        <f t="shared" si="18"/>
        <v>45871</v>
      </c>
      <c r="Y419" s="21">
        <f t="shared" si="20"/>
        <v>45871</v>
      </c>
      <c r="Z419" t="str">
        <f t="array" ref="Z419">_xlfn.XLOOKUP(INT(X419),INT($AE$2:$AE$1000),$AG$2:$AG$1000,"")</f>
        <v/>
      </c>
      <c r="AE419" s="21" t="e">
        <f t="shared" si="19"/>
        <v>#VALUE!</v>
      </c>
    </row>
    <row r="420" spans="24:32">
      <c r="X420" s="21">
        <f t="shared" si="18"/>
        <v>45871</v>
      </c>
      <c r="Y420" s="21">
        <f t="shared" si="20"/>
        <v>45871</v>
      </c>
      <c r="Z420" t="str">
        <f t="array" ref="Z420">_xlfn.XLOOKUP(INT(X420),INT($AE$2:$AE$1000),$AG$2:$AG$1000,"")</f>
        <v/>
      </c>
      <c r="AE420" s="21" t="e">
        <f t="shared" si="19"/>
        <v>#VALUE!</v>
      </c>
    </row>
    <row r="421" spans="24:32">
      <c r="X421" s="21">
        <f t="shared" si="18"/>
        <v>45871</v>
      </c>
      <c r="Y421" s="21">
        <f t="shared" si="20"/>
        <v>45871</v>
      </c>
      <c r="Z421" t="str">
        <f t="array" ref="Z421">_xlfn.XLOOKUP(INT(X421),INT($AE$2:$AE$1000),$AG$2:$AG$1000,"")</f>
        <v/>
      </c>
      <c r="AE421" s="21" t="e">
        <f t="shared" si="19"/>
        <v>#VALUE!</v>
      </c>
    </row>
    <row r="422" spans="24:32">
      <c r="X422" s="21">
        <f t="shared" si="18"/>
        <v>45871</v>
      </c>
      <c r="Y422" s="21">
        <f t="shared" si="20"/>
        <v>45871</v>
      </c>
      <c r="Z422" t="str">
        <f t="array" ref="Z422">_xlfn.XLOOKUP(INT(X422),INT($AE$2:$AE$1000),$AG$2:$AG$1000,"")</f>
        <v/>
      </c>
      <c r="AE422" s="21" t="e">
        <f t="shared" si="19"/>
        <v>#VALUE!</v>
      </c>
    </row>
    <row r="423" spans="24:32">
      <c r="X423" s="21">
        <f t="shared" si="18"/>
        <v>45871</v>
      </c>
      <c r="Y423" s="21">
        <f t="shared" si="20"/>
        <v>45871</v>
      </c>
      <c r="Z423" t="str">
        <f t="array" ref="Z423">_xlfn.XLOOKUP(INT(X423),INT($AE$2:$AE$1000),$AG$2:$AG$1000,"")</f>
        <v/>
      </c>
      <c r="AE423" s="21" t="e">
        <f t="shared" si="19"/>
        <v>#VALUE!</v>
      </c>
      <c r="AF423" s="21"/>
    </row>
    <row r="424" spans="24:32">
      <c r="X424" s="21">
        <f t="shared" si="18"/>
        <v>45871</v>
      </c>
      <c r="Y424" s="21">
        <f t="shared" si="20"/>
        <v>45871</v>
      </c>
      <c r="Z424" t="str">
        <f t="array" ref="Z424">_xlfn.XLOOKUP(INT(X424),INT($AE$2:$AE$1000),$AG$2:$AG$1000,"")</f>
        <v/>
      </c>
      <c r="AE424" s="21" t="e">
        <f t="shared" si="19"/>
        <v>#VALUE!</v>
      </c>
      <c r="AF424" s="21"/>
    </row>
    <row r="425" spans="24:32">
      <c r="X425" s="21">
        <f t="shared" si="18"/>
        <v>45871</v>
      </c>
      <c r="Y425" s="21">
        <f t="shared" si="20"/>
        <v>45871</v>
      </c>
      <c r="Z425" t="str">
        <f t="array" ref="Z425">_xlfn.XLOOKUP(INT(X425),INT($AE$2:$AE$1000),$AG$2:$AG$1000,"")</f>
        <v/>
      </c>
      <c r="AE425" s="21" t="e">
        <f t="shared" si="19"/>
        <v>#VALUE!</v>
      </c>
      <c r="AF425" s="21"/>
    </row>
    <row r="426" spans="24:32">
      <c r="X426" s="21">
        <f t="shared" si="18"/>
        <v>45871</v>
      </c>
      <c r="Y426" s="21">
        <f t="shared" si="20"/>
        <v>45871</v>
      </c>
      <c r="Z426" t="str">
        <f t="array" ref="Z426">_xlfn.XLOOKUP(INT(X426),INT($AE$2:$AE$1000),$AG$2:$AG$1000,"")</f>
        <v/>
      </c>
      <c r="AE426" s="21" t="e">
        <f t="shared" si="19"/>
        <v>#VALUE!</v>
      </c>
      <c r="AF426" s="21"/>
    </row>
    <row r="427" spans="24:32">
      <c r="X427" s="21">
        <f t="shared" si="18"/>
        <v>45871</v>
      </c>
      <c r="Y427" s="21">
        <f t="shared" si="20"/>
        <v>45871</v>
      </c>
      <c r="Z427" t="str">
        <f t="array" ref="Z427">_xlfn.XLOOKUP(INT(X427),INT($AE$2:$AE$1000),$AG$2:$AG$1000,"")</f>
        <v/>
      </c>
      <c r="AE427" s="21" t="e">
        <f t="shared" si="19"/>
        <v>#VALUE!</v>
      </c>
      <c r="AF427" s="21"/>
    </row>
    <row r="428" spans="24:32">
      <c r="X428" s="21">
        <f t="shared" si="18"/>
        <v>45871</v>
      </c>
      <c r="Y428" s="21">
        <f t="shared" si="20"/>
        <v>45871</v>
      </c>
      <c r="Z428" t="str">
        <f t="array" ref="Z428">_xlfn.XLOOKUP(INT(X428),INT($AE$2:$AE$1000),$AG$2:$AG$1000,"")</f>
        <v/>
      </c>
      <c r="AE428" s="21" t="e">
        <f t="shared" si="19"/>
        <v>#VALUE!</v>
      </c>
      <c r="AF428" s="21"/>
    </row>
    <row r="429" spans="24:32">
      <c r="X429" s="21">
        <f t="shared" si="18"/>
        <v>45871</v>
      </c>
      <c r="Y429" s="21">
        <f t="shared" si="20"/>
        <v>45871</v>
      </c>
      <c r="Z429" t="str">
        <f t="array" ref="Z429">_xlfn.XLOOKUP(INT(X429),INT($AE$2:$AE$1000),$AG$2:$AG$1000,"")</f>
        <v/>
      </c>
      <c r="AE429" s="21" t="e">
        <f t="shared" si="19"/>
        <v>#VALUE!</v>
      </c>
      <c r="AF429" s="21"/>
    </row>
    <row r="430" spans="24:32">
      <c r="X430" s="21">
        <f t="shared" si="18"/>
        <v>45871</v>
      </c>
      <c r="Y430" s="21">
        <f t="shared" si="20"/>
        <v>45871</v>
      </c>
      <c r="Z430" t="str">
        <f t="array" ref="Z430">_xlfn.XLOOKUP(INT(X430),INT($AE$2:$AE$1000),$AG$2:$AG$1000,"")</f>
        <v/>
      </c>
      <c r="AE430" s="21" t="e">
        <f t="shared" si="19"/>
        <v>#VALUE!</v>
      </c>
      <c r="AF430" s="21"/>
    </row>
    <row r="431" spans="24:32">
      <c r="X431" s="21">
        <f t="shared" si="18"/>
        <v>45871</v>
      </c>
      <c r="Y431" s="21">
        <f t="shared" si="20"/>
        <v>45871</v>
      </c>
      <c r="Z431" t="str">
        <f t="array" ref="Z431">_xlfn.XLOOKUP(INT(X431),INT($AE$2:$AE$1000),$AG$2:$AG$1000,"")</f>
        <v/>
      </c>
      <c r="AE431" s="21" t="e">
        <f t="shared" si="19"/>
        <v>#VALUE!</v>
      </c>
    </row>
    <row r="432" spans="24:32">
      <c r="X432" s="21">
        <f t="shared" si="18"/>
        <v>45871</v>
      </c>
      <c r="Y432" s="21">
        <f t="shared" si="20"/>
        <v>45871</v>
      </c>
      <c r="Z432" t="str">
        <f t="array" ref="Z432">_xlfn.XLOOKUP(INT(X432),INT($AE$2:$AE$1000),$AG$2:$AG$1000,"")</f>
        <v/>
      </c>
      <c r="AE432" s="21" t="e">
        <f t="shared" si="19"/>
        <v>#VALUE!</v>
      </c>
    </row>
    <row r="433" spans="24:32">
      <c r="X433" s="21">
        <f t="shared" si="18"/>
        <v>45871</v>
      </c>
      <c r="Y433" s="21">
        <f t="shared" si="20"/>
        <v>45871</v>
      </c>
      <c r="Z433" t="str">
        <f t="array" ref="Z433">_xlfn.XLOOKUP(INT(X433),INT($AE$2:$AE$1000),$AG$2:$AG$1000,"")</f>
        <v/>
      </c>
      <c r="AE433" s="21" t="e">
        <f t="shared" si="19"/>
        <v>#VALUE!</v>
      </c>
    </row>
    <row r="434" spans="24:32">
      <c r="X434" s="21">
        <f t="shared" si="18"/>
        <v>45871</v>
      </c>
      <c r="Y434" s="21">
        <f t="shared" si="20"/>
        <v>45871</v>
      </c>
      <c r="Z434" t="str">
        <f t="array" ref="Z434">_xlfn.XLOOKUP(INT(X434),INT($AE$2:$AE$1000),$AG$2:$AG$1000,"")</f>
        <v/>
      </c>
      <c r="AE434" s="21" t="e">
        <f t="shared" si="19"/>
        <v>#VALUE!</v>
      </c>
    </row>
    <row r="435" spans="24:32">
      <c r="X435" s="21">
        <f t="shared" si="18"/>
        <v>45871</v>
      </c>
      <c r="Y435" s="21">
        <f t="shared" si="20"/>
        <v>45871</v>
      </c>
      <c r="Z435" t="str">
        <f t="array" ref="Z435">_xlfn.XLOOKUP(INT(X435),INT($AE$2:$AE$1000),$AG$2:$AG$1000,"")</f>
        <v/>
      </c>
      <c r="AE435" s="21" t="e">
        <f t="shared" si="19"/>
        <v>#VALUE!</v>
      </c>
    </row>
    <row r="436" spans="24:32">
      <c r="X436" s="21">
        <f t="shared" si="18"/>
        <v>45871</v>
      </c>
      <c r="Y436" s="21">
        <f t="shared" si="20"/>
        <v>45871</v>
      </c>
      <c r="Z436" t="str">
        <f t="array" ref="Z436">_xlfn.XLOOKUP(INT(X436),INT($AE$2:$AE$1000),$AG$2:$AG$1000,"")</f>
        <v/>
      </c>
      <c r="AE436" s="21" t="e">
        <f t="shared" si="19"/>
        <v>#VALUE!</v>
      </c>
    </row>
    <row r="437" spans="24:32">
      <c r="X437" s="21">
        <f t="shared" si="18"/>
        <v>45871</v>
      </c>
      <c r="Y437" s="21">
        <f t="shared" si="20"/>
        <v>45871</v>
      </c>
      <c r="Z437" t="str">
        <f t="array" ref="Z437">_xlfn.XLOOKUP(INT(X437),INT($AE$2:$AE$1000),$AG$2:$AG$1000,"")</f>
        <v/>
      </c>
      <c r="AE437" s="21" t="e">
        <f t="shared" si="19"/>
        <v>#VALUE!</v>
      </c>
    </row>
    <row r="438" spans="24:32">
      <c r="X438" s="21">
        <f t="shared" si="18"/>
        <v>45871</v>
      </c>
      <c r="Y438" s="21">
        <f t="shared" si="20"/>
        <v>45871</v>
      </c>
      <c r="Z438" t="str">
        <f t="array" ref="Z438">_xlfn.XLOOKUP(INT(X438),INT($AE$2:$AE$1000),$AG$2:$AG$1000,"")</f>
        <v/>
      </c>
      <c r="AE438" s="21" t="e">
        <f t="shared" si="19"/>
        <v>#VALUE!</v>
      </c>
    </row>
    <row r="439" spans="24:32">
      <c r="X439" s="21">
        <f t="shared" si="18"/>
        <v>45871</v>
      </c>
      <c r="Y439" s="21">
        <f t="shared" si="20"/>
        <v>45871</v>
      </c>
      <c r="Z439" t="str">
        <f t="array" ref="Z439">_xlfn.XLOOKUP(INT(X439),INT($AE$2:$AE$1000),$AG$2:$AG$1000,"")</f>
        <v/>
      </c>
      <c r="AE439" s="21" t="e">
        <f t="shared" si="19"/>
        <v>#VALUE!</v>
      </c>
    </row>
    <row r="440" spans="24:32">
      <c r="X440" s="21">
        <f t="shared" si="18"/>
        <v>45871</v>
      </c>
      <c r="Y440" s="21">
        <f t="shared" si="20"/>
        <v>45871</v>
      </c>
      <c r="Z440" t="str">
        <f t="array" ref="Z440">_xlfn.XLOOKUP(INT(X440),INT($AE$2:$AE$1000),$AG$2:$AG$1000,"")</f>
        <v/>
      </c>
      <c r="AE440" s="21" t="e">
        <f t="shared" si="19"/>
        <v>#VALUE!</v>
      </c>
    </row>
    <row r="441" spans="24:32">
      <c r="X441" s="21">
        <f t="shared" si="18"/>
        <v>45871</v>
      </c>
      <c r="Y441" s="21">
        <f t="shared" si="20"/>
        <v>45871</v>
      </c>
      <c r="Z441" t="str">
        <f t="array" ref="Z441">_xlfn.XLOOKUP(INT(X441),INT($AE$2:$AE$1000),$AG$2:$AG$1000,"")</f>
        <v/>
      </c>
      <c r="AE441" s="21" t="e">
        <f t="shared" si="19"/>
        <v>#VALUE!</v>
      </c>
    </row>
    <row r="442" spans="24:32">
      <c r="X442" s="21">
        <f t="shared" si="18"/>
        <v>45871</v>
      </c>
      <c r="Y442" s="21">
        <f t="shared" si="20"/>
        <v>45871</v>
      </c>
      <c r="Z442" t="str">
        <f t="array" ref="Z442">_xlfn.XLOOKUP(INT(X442),INT($AE$2:$AE$1000),$AG$2:$AG$1000,"")</f>
        <v/>
      </c>
      <c r="AE442" s="21" t="e">
        <f t="shared" si="19"/>
        <v>#VALUE!</v>
      </c>
    </row>
    <row r="443" spans="24:32">
      <c r="X443" s="21">
        <f t="shared" si="18"/>
        <v>45871</v>
      </c>
      <c r="Y443" s="21">
        <f t="shared" si="20"/>
        <v>45871</v>
      </c>
      <c r="Z443" t="str">
        <f t="array" ref="Z443">_xlfn.XLOOKUP(INT(X443),INT($AE$2:$AE$1000),$AG$2:$AG$1000,"")</f>
        <v/>
      </c>
      <c r="AE443" s="21" t="e">
        <f t="shared" si="19"/>
        <v>#VALUE!</v>
      </c>
      <c r="AF443" s="21"/>
    </row>
    <row r="444" spans="24:32">
      <c r="X444" s="21">
        <f t="shared" si="18"/>
        <v>45871</v>
      </c>
      <c r="Y444" s="21">
        <f t="shared" si="20"/>
        <v>45871</v>
      </c>
      <c r="Z444" t="str">
        <f t="array" ref="Z444">_xlfn.XLOOKUP(INT(X444),INT($AE$2:$AE$1000),$AG$2:$AG$1000,"")</f>
        <v/>
      </c>
      <c r="AE444" s="21" t="e">
        <f t="shared" si="19"/>
        <v>#VALUE!</v>
      </c>
      <c r="AF444" s="21"/>
    </row>
    <row r="445" spans="24:32">
      <c r="X445" s="21">
        <f t="shared" si="18"/>
        <v>45871</v>
      </c>
      <c r="Y445" s="21">
        <f t="shared" si="20"/>
        <v>45871</v>
      </c>
      <c r="Z445" t="str">
        <f t="array" ref="Z445">_xlfn.XLOOKUP(INT(X445),INT($AE$2:$AE$1000),$AG$2:$AG$1000,"")</f>
        <v/>
      </c>
      <c r="AE445" s="21" t="e">
        <f t="shared" si="19"/>
        <v>#VALUE!</v>
      </c>
      <c r="AF445" s="21"/>
    </row>
    <row r="446" spans="24:32">
      <c r="X446" s="21">
        <f t="shared" si="18"/>
        <v>45871</v>
      </c>
      <c r="Y446" s="21">
        <f t="shared" si="20"/>
        <v>45871</v>
      </c>
      <c r="Z446" t="str">
        <f t="array" ref="Z446">_xlfn.XLOOKUP(INT(X446),INT($AE$2:$AE$1000),$AG$2:$AG$1000,"")</f>
        <v/>
      </c>
      <c r="AE446" s="21" t="e">
        <f t="shared" si="19"/>
        <v>#VALUE!</v>
      </c>
      <c r="AF446" s="21"/>
    </row>
    <row r="447" spans="24:32">
      <c r="X447" s="21">
        <f t="shared" si="18"/>
        <v>45871</v>
      </c>
      <c r="Y447" s="21">
        <f t="shared" si="20"/>
        <v>45871</v>
      </c>
      <c r="Z447" t="str">
        <f t="array" ref="Z447">_xlfn.XLOOKUP(INT(X447),INT($AE$2:$AE$1000),$AG$2:$AG$1000,"")</f>
        <v/>
      </c>
      <c r="AE447" s="21" t="e">
        <f t="shared" si="19"/>
        <v>#VALUE!</v>
      </c>
      <c r="AF447" s="21"/>
    </row>
    <row r="448" spans="24:32">
      <c r="X448" s="21">
        <f t="shared" ref="X448:X511" si="21">WORKDAY(DATE(2025,8,2),INT(D448/390))</f>
        <v>45871</v>
      </c>
      <c r="Y448" s="21">
        <f t="shared" si="20"/>
        <v>45871</v>
      </c>
      <c r="Z448" t="str">
        <f t="array" ref="Z448">_xlfn.XLOOKUP(INT(X448),INT($AE$2:$AE$1000),$AG$2:$AG$1000,"")</f>
        <v/>
      </c>
      <c r="AE448" s="21" t="e">
        <f t="shared" si="19"/>
        <v>#VALUE!</v>
      </c>
      <c r="AF448" s="21"/>
    </row>
    <row r="449" spans="24:32">
      <c r="X449" s="21">
        <f t="shared" si="21"/>
        <v>45871</v>
      </c>
      <c r="Y449" s="21">
        <f t="shared" si="20"/>
        <v>45871</v>
      </c>
      <c r="Z449" t="str">
        <f t="array" ref="Z449">_xlfn.XLOOKUP(INT(X449),INT($AE$2:$AE$1000),$AG$2:$AG$1000,"")</f>
        <v/>
      </c>
      <c r="AE449" s="21" t="e">
        <f t="shared" si="19"/>
        <v>#VALUE!</v>
      </c>
      <c r="AF449" s="21"/>
    </row>
    <row r="450" spans="24:32">
      <c r="X450" s="21">
        <f t="shared" si="21"/>
        <v>45871</v>
      </c>
      <c r="Y450" s="21">
        <f t="shared" si="20"/>
        <v>45871</v>
      </c>
      <c r="Z450" t="str">
        <f t="array" ref="Z450">_xlfn.XLOOKUP(INT(X450),INT($AE$2:$AE$1000),$AG$2:$AG$1000,"")</f>
        <v/>
      </c>
      <c r="AE450" s="21" t="e">
        <f t="shared" ref="AE450:AE513" si="22">IF(ISNUMBER(AF450),DATE(YEAR(AF450),DAY(AF450),MONTH(AF450)),DATE(RIGHT(AF450,4),LEFT(AF450,2),MID(AF450,4,2)))</f>
        <v>#VALUE!</v>
      </c>
      <c r="AF450" s="21"/>
    </row>
    <row r="451" spans="24:32">
      <c r="X451" s="21">
        <f t="shared" si="21"/>
        <v>45871</v>
      </c>
      <c r="Y451" s="21">
        <f t="shared" ref="Y451:Y514" si="23">WORKDAY(DATE(2025,8,2),INT(P451/390))</f>
        <v>45871</v>
      </c>
      <c r="Z451" t="str">
        <f t="array" ref="Z451">_xlfn.XLOOKUP(INT(X451),INT($AE$2:$AE$1000),$AG$2:$AG$1000,"")</f>
        <v/>
      </c>
      <c r="AE451" s="21" t="e">
        <f t="shared" si="22"/>
        <v>#VALUE!</v>
      </c>
      <c r="AF451" s="21"/>
    </row>
    <row r="452" spans="24:32">
      <c r="X452" s="21">
        <f t="shared" si="21"/>
        <v>45871</v>
      </c>
      <c r="Y452" s="21">
        <f t="shared" si="23"/>
        <v>45871</v>
      </c>
      <c r="Z452" t="str">
        <f t="array" ref="Z452">_xlfn.XLOOKUP(INT(X452),INT($AE$2:$AE$1000),$AG$2:$AG$1000,"")</f>
        <v/>
      </c>
      <c r="AE452" s="21" t="e">
        <f t="shared" si="22"/>
        <v>#VALUE!</v>
      </c>
    </row>
    <row r="453" spans="24:32">
      <c r="X453" s="21">
        <f t="shared" si="21"/>
        <v>45871</v>
      </c>
      <c r="Y453" s="21">
        <f t="shared" si="23"/>
        <v>45871</v>
      </c>
      <c r="Z453" t="str">
        <f t="array" ref="Z453">_xlfn.XLOOKUP(INT(X453),INT($AE$2:$AE$1000),$AG$2:$AG$1000,"")</f>
        <v/>
      </c>
      <c r="AE453" s="21" t="e">
        <f t="shared" si="22"/>
        <v>#VALUE!</v>
      </c>
    </row>
    <row r="454" spans="24:32">
      <c r="X454" s="21">
        <f t="shared" si="21"/>
        <v>45871</v>
      </c>
      <c r="Y454" s="21">
        <f t="shared" si="23"/>
        <v>45871</v>
      </c>
      <c r="Z454" t="str">
        <f t="array" ref="Z454">_xlfn.XLOOKUP(INT(X454),INT($AE$2:$AE$1000),$AG$2:$AG$1000,"")</f>
        <v/>
      </c>
      <c r="AE454" s="21" t="e">
        <f t="shared" si="22"/>
        <v>#VALUE!</v>
      </c>
    </row>
    <row r="455" spans="24:32">
      <c r="X455" s="21">
        <f t="shared" si="21"/>
        <v>45871</v>
      </c>
      <c r="Y455" s="21">
        <f t="shared" si="23"/>
        <v>45871</v>
      </c>
      <c r="Z455" t="str">
        <f t="array" ref="Z455">_xlfn.XLOOKUP(INT(X455),INT($AE$2:$AE$1000),$AG$2:$AG$1000,"")</f>
        <v/>
      </c>
      <c r="AE455" s="21" t="e">
        <f t="shared" si="22"/>
        <v>#VALUE!</v>
      </c>
    </row>
    <row r="456" spans="24:32">
      <c r="X456" s="21">
        <f t="shared" si="21"/>
        <v>45871</v>
      </c>
      <c r="Y456" s="21">
        <f t="shared" si="23"/>
        <v>45871</v>
      </c>
      <c r="Z456" t="str">
        <f t="array" ref="Z456">_xlfn.XLOOKUP(INT(X456),INT($AE$2:$AE$1000),$AG$2:$AG$1000,"")</f>
        <v/>
      </c>
      <c r="AE456" s="21" t="e">
        <f t="shared" si="22"/>
        <v>#VALUE!</v>
      </c>
    </row>
    <row r="457" spans="24:32">
      <c r="X457" s="21">
        <f t="shared" si="21"/>
        <v>45871</v>
      </c>
      <c r="Y457" s="21">
        <f t="shared" si="23"/>
        <v>45871</v>
      </c>
      <c r="Z457" t="str">
        <f t="array" ref="Z457">_xlfn.XLOOKUP(INT(X457),INT($AE$2:$AE$1000),$AG$2:$AG$1000,"")</f>
        <v/>
      </c>
      <c r="AE457" s="21" t="e">
        <f t="shared" si="22"/>
        <v>#VALUE!</v>
      </c>
    </row>
    <row r="458" spans="24:32">
      <c r="X458" s="21">
        <f t="shared" si="21"/>
        <v>45871</v>
      </c>
      <c r="Y458" s="21">
        <f t="shared" si="23"/>
        <v>45871</v>
      </c>
      <c r="Z458" t="str">
        <f t="array" ref="Z458">_xlfn.XLOOKUP(INT(X458),INT($AE$2:$AE$1000),$AG$2:$AG$1000,"")</f>
        <v/>
      </c>
      <c r="AE458" s="21" t="e">
        <f t="shared" si="22"/>
        <v>#VALUE!</v>
      </c>
    </row>
    <row r="459" spans="24:32">
      <c r="X459" s="21">
        <f t="shared" si="21"/>
        <v>45871</v>
      </c>
      <c r="Y459" s="21">
        <f t="shared" si="23"/>
        <v>45871</v>
      </c>
      <c r="Z459" t="str">
        <f t="array" ref="Z459">_xlfn.XLOOKUP(INT(X459),INT($AE$2:$AE$1000),$AG$2:$AG$1000,"")</f>
        <v/>
      </c>
      <c r="AE459" s="21" t="e">
        <f t="shared" si="22"/>
        <v>#VALUE!</v>
      </c>
    </row>
    <row r="460" spans="24:32">
      <c r="X460" s="21">
        <f t="shared" si="21"/>
        <v>45871</v>
      </c>
      <c r="Y460" s="21">
        <f t="shared" si="23"/>
        <v>45871</v>
      </c>
      <c r="Z460" t="str">
        <f t="array" ref="Z460">_xlfn.XLOOKUP(INT(X460),INT($AE$2:$AE$1000),$AG$2:$AG$1000,"")</f>
        <v/>
      </c>
      <c r="AE460" s="21" t="e">
        <f t="shared" si="22"/>
        <v>#VALUE!</v>
      </c>
    </row>
    <row r="461" spans="24:32">
      <c r="X461" s="21">
        <f t="shared" si="21"/>
        <v>45871</v>
      </c>
      <c r="Y461" s="21">
        <f t="shared" si="23"/>
        <v>45871</v>
      </c>
      <c r="Z461" t="str">
        <f t="array" ref="Z461">_xlfn.XLOOKUP(INT(X461),INT($AE$2:$AE$1000),$AG$2:$AG$1000,"")</f>
        <v/>
      </c>
      <c r="AE461" s="21" t="e">
        <f t="shared" si="22"/>
        <v>#VALUE!</v>
      </c>
    </row>
    <row r="462" spans="24:32">
      <c r="X462" s="21">
        <f t="shared" si="21"/>
        <v>45871</v>
      </c>
      <c r="Y462" s="21">
        <f t="shared" si="23"/>
        <v>45871</v>
      </c>
      <c r="Z462" t="str">
        <f t="array" ref="Z462">_xlfn.XLOOKUP(INT(X462),INT($AE$2:$AE$1000),$AG$2:$AG$1000,"")</f>
        <v/>
      </c>
      <c r="AE462" s="21" t="e">
        <f t="shared" si="22"/>
        <v>#VALUE!</v>
      </c>
    </row>
    <row r="463" spans="24:32">
      <c r="X463" s="21">
        <f t="shared" si="21"/>
        <v>45871</v>
      </c>
      <c r="Y463" s="21">
        <f t="shared" si="23"/>
        <v>45871</v>
      </c>
      <c r="Z463" t="str">
        <f t="array" ref="Z463">_xlfn.XLOOKUP(INT(X463),INT($AE$2:$AE$1000),$AG$2:$AG$1000,"")</f>
        <v/>
      </c>
      <c r="AE463" s="21" t="e">
        <f t="shared" si="22"/>
        <v>#VALUE!</v>
      </c>
    </row>
    <row r="464" spans="24:32">
      <c r="X464" s="21">
        <f t="shared" si="21"/>
        <v>45871</v>
      </c>
      <c r="Y464" s="21">
        <f t="shared" si="23"/>
        <v>45871</v>
      </c>
      <c r="Z464" t="str">
        <f t="array" ref="Z464">_xlfn.XLOOKUP(INT(X464),INT($AE$2:$AE$1000),$AG$2:$AG$1000,"")</f>
        <v/>
      </c>
      <c r="AE464" s="21" t="e">
        <f t="shared" si="22"/>
        <v>#VALUE!</v>
      </c>
    </row>
    <row r="465" spans="24:32">
      <c r="X465" s="21">
        <f t="shared" si="21"/>
        <v>45871</v>
      </c>
      <c r="Y465" s="21">
        <f t="shared" si="23"/>
        <v>45871</v>
      </c>
      <c r="Z465" t="str">
        <f t="array" ref="Z465">_xlfn.XLOOKUP(INT(X465),INT($AE$2:$AE$1000),$AG$2:$AG$1000,"")</f>
        <v/>
      </c>
      <c r="AE465" s="21" t="e">
        <f t="shared" si="22"/>
        <v>#VALUE!</v>
      </c>
    </row>
    <row r="466" spans="24:32">
      <c r="X466" s="21">
        <f t="shared" si="21"/>
        <v>45871</v>
      </c>
      <c r="Y466" s="21">
        <f t="shared" si="23"/>
        <v>45871</v>
      </c>
      <c r="Z466" t="str">
        <f t="array" ref="Z466">_xlfn.XLOOKUP(INT(X466),INT($AE$2:$AE$1000),$AG$2:$AG$1000,"")</f>
        <v/>
      </c>
      <c r="AE466" s="21" t="e">
        <f t="shared" si="22"/>
        <v>#VALUE!</v>
      </c>
      <c r="AF466" s="21"/>
    </row>
    <row r="467" spans="24:32">
      <c r="X467" s="21">
        <f t="shared" si="21"/>
        <v>45871</v>
      </c>
      <c r="Y467" s="21">
        <f t="shared" si="23"/>
        <v>45871</v>
      </c>
      <c r="Z467" t="str">
        <f t="array" ref="Z467">_xlfn.XLOOKUP(INT(X467),INT($AE$2:$AE$1000),$AG$2:$AG$1000,"")</f>
        <v/>
      </c>
      <c r="AE467" s="21" t="e">
        <f t="shared" si="22"/>
        <v>#VALUE!</v>
      </c>
      <c r="AF467" s="21"/>
    </row>
    <row r="468" spans="24:32">
      <c r="X468" s="21">
        <f t="shared" si="21"/>
        <v>45871</v>
      </c>
      <c r="Y468" s="21">
        <f t="shared" si="23"/>
        <v>45871</v>
      </c>
      <c r="Z468" t="str">
        <f t="array" ref="Z468">_xlfn.XLOOKUP(INT(X468),INT($AE$2:$AE$1000),$AG$2:$AG$1000,"")</f>
        <v/>
      </c>
      <c r="AE468" s="21" t="e">
        <f t="shared" si="22"/>
        <v>#VALUE!</v>
      </c>
      <c r="AF468" s="21"/>
    </row>
    <row r="469" spans="24:32">
      <c r="X469" s="21">
        <f t="shared" si="21"/>
        <v>45871</v>
      </c>
      <c r="Y469" s="21">
        <f t="shared" si="23"/>
        <v>45871</v>
      </c>
      <c r="Z469" t="str">
        <f t="array" ref="Z469">_xlfn.XLOOKUP(INT(X469),INT($AE$2:$AE$1000),$AG$2:$AG$1000,"")</f>
        <v/>
      </c>
      <c r="AE469" s="21" t="e">
        <f t="shared" si="22"/>
        <v>#VALUE!</v>
      </c>
      <c r="AF469" s="21"/>
    </row>
    <row r="470" spans="24:32">
      <c r="X470" s="21">
        <f t="shared" si="21"/>
        <v>45871</v>
      </c>
      <c r="Y470" s="21">
        <f t="shared" si="23"/>
        <v>45871</v>
      </c>
      <c r="Z470" t="str">
        <f t="array" ref="Z470">_xlfn.XLOOKUP(INT(X470),INT($AE$2:$AE$1000),$AG$2:$AG$1000,"")</f>
        <v/>
      </c>
      <c r="AE470" s="21" t="e">
        <f t="shared" si="22"/>
        <v>#VALUE!</v>
      </c>
      <c r="AF470" s="21"/>
    </row>
    <row r="471" spans="24:32">
      <c r="X471" s="21">
        <f t="shared" si="21"/>
        <v>45871</v>
      </c>
      <c r="Y471" s="21">
        <f t="shared" si="23"/>
        <v>45871</v>
      </c>
      <c r="Z471" t="str">
        <f t="array" ref="Z471">_xlfn.XLOOKUP(INT(X471),INT($AE$2:$AE$1000),$AG$2:$AG$1000,"")</f>
        <v/>
      </c>
      <c r="AE471" s="21" t="e">
        <f t="shared" si="22"/>
        <v>#VALUE!</v>
      </c>
      <c r="AF471" s="21"/>
    </row>
    <row r="472" spans="24:32">
      <c r="X472" s="21">
        <f t="shared" si="21"/>
        <v>45871</v>
      </c>
      <c r="Y472" s="21">
        <f t="shared" si="23"/>
        <v>45871</v>
      </c>
      <c r="Z472" t="str">
        <f t="array" ref="Z472">_xlfn.XLOOKUP(INT(X472),INT($AE$2:$AE$1000),$AG$2:$AG$1000,"")</f>
        <v/>
      </c>
      <c r="AE472" s="21" t="e">
        <f t="shared" si="22"/>
        <v>#VALUE!</v>
      </c>
      <c r="AF472" s="21"/>
    </row>
    <row r="473" spans="24:32">
      <c r="X473" s="21">
        <f t="shared" si="21"/>
        <v>45871</v>
      </c>
      <c r="Y473" s="21">
        <f t="shared" si="23"/>
        <v>45871</v>
      </c>
      <c r="Z473" t="str">
        <f t="array" ref="Z473">_xlfn.XLOOKUP(INT(X473),INT($AE$2:$AE$1000),$AG$2:$AG$1000,"")</f>
        <v/>
      </c>
      <c r="AE473" s="21" t="e">
        <f t="shared" si="22"/>
        <v>#VALUE!</v>
      </c>
      <c r="AF473" s="21"/>
    </row>
    <row r="474" spans="24:32">
      <c r="X474" s="21">
        <f t="shared" si="21"/>
        <v>45871</v>
      </c>
      <c r="Y474" s="21">
        <f t="shared" si="23"/>
        <v>45871</v>
      </c>
      <c r="Z474" t="str">
        <f t="array" ref="Z474">_xlfn.XLOOKUP(INT(X474),INT($AE$2:$AE$1000),$AG$2:$AG$1000,"")</f>
        <v/>
      </c>
      <c r="AE474" s="21" t="e">
        <f t="shared" si="22"/>
        <v>#VALUE!</v>
      </c>
    </row>
    <row r="475" spans="24:32">
      <c r="X475" s="21">
        <f t="shared" si="21"/>
        <v>45871</v>
      </c>
      <c r="Y475" s="21">
        <f t="shared" si="23"/>
        <v>45871</v>
      </c>
      <c r="Z475" t="str">
        <f t="array" ref="Z475">_xlfn.XLOOKUP(INT(X475),INT($AE$2:$AE$1000),$AG$2:$AG$1000,"")</f>
        <v/>
      </c>
      <c r="AE475" s="21" t="e">
        <f t="shared" si="22"/>
        <v>#VALUE!</v>
      </c>
    </row>
    <row r="476" spans="24:32">
      <c r="X476" s="21">
        <f t="shared" si="21"/>
        <v>45871</v>
      </c>
      <c r="Y476" s="21">
        <f t="shared" si="23"/>
        <v>45871</v>
      </c>
      <c r="Z476" t="str">
        <f t="array" ref="Z476">_xlfn.XLOOKUP(INT(X476),INT($AE$2:$AE$1000),$AG$2:$AG$1000,"")</f>
        <v/>
      </c>
      <c r="AE476" s="21" t="e">
        <f t="shared" si="22"/>
        <v>#VALUE!</v>
      </c>
    </row>
    <row r="477" spans="24:32">
      <c r="X477" s="21">
        <f t="shared" si="21"/>
        <v>45871</v>
      </c>
      <c r="Y477" s="21">
        <f t="shared" si="23"/>
        <v>45871</v>
      </c>
      <c r="Z477" t="str">
        <f t="array" ref="Z477">_xlfn.XLOOKUP(INT(X477),INT($AE$2:$AE$1000),$AG$2:$AG$1000,"")</f>
        <v/>
      </c>
      <c r="AE477" s="21" t="e">
        <f t="shared" si="22"/>
        <v>#VALUE!</v>
      </c>
    </row>
    <row r="478" spans="24:32">
      <c r="X478" s="21">
        <f t="shared" si="21"/>
        <v>45871</v>
      </c>
      <c r="Y478" s="21">
        <f t="shared" si="23"/>
        <v>45871</v>
      </c>
      <c r="Z478" t="str">
        <f t="array" ref="Z478">_xlfn.XLOOKUP(INT(X478),INT($AE$2:$AE$1000),$AG$2:$AG$1000,"")</f>
        <v/>
      </c>
      <c r="AE478" s="21" t="e">
        <f t="shared" si="22"/>
        <v>#VALUE!</v>
      </c>
    </row>
    <row r="479" spans="24:32">
      <c r="X479" s="21">
        <f t="shared" si="21"/>
        <v>45871</v>
      </c>
      <c r="Y479" s="21">
        <f t="shared" si="23"/>
        <v>45871</v>
      </c>
      <c r="Z479" t="str">
        <f t="array" ref="Z479">_xlfn.XLOOKUP(INT(X479),INT($AE$2:$AE$1000),$AG$2:$AG$1000,"")</f>
        <v/>
      </c>
      <c r="AE479" s="21" t="e">
        <f t="shared" si="22"/>
        <v>#VALUE!</v>
      </c>
    </row>
    <row r="480" spans="24:32">
      <c r="X480" s="21">
        <f t="shared" si="21"/>
        <v>45871</v>
      </c>
      <c r="Y480" s="21">
        <f t="shared" si="23"/>
        <v>45871</v>
      </c>
      <c r="Z480" t="str">
        <f t="array" ref="Z480">_xlfn.XLOOKUP(INT(X480),INT($AE$2:$AE$1000),$AG$2:$AG$1000,"")</f>
        <v/>
      </c>
      <c r="AE480" s="21" t="e">
        <f t="shared" si="22"/>
        <v>#VALUE!</v>
      </c>
    </row>
    <row r="481" spans="24:32">
      <c r="X481" s="21">
        <f t="shared" si="21"/>
        <v>45871</v>
      </c>
      <c r="Y481" s="21">
        <f t="shared" si="23"/>
        <v>45871</v>
      </c>
      <c r="Z481" t="str">
        <f t="array" ref="Z481">_xlfn.XLOOKUP(INT(X481),INT($AE$2:$AE$1000),$AG$2:$AG$1000,"")</f>
        <v/>
      </c>
      <c r="AE481" s="21" t="e">
        <f t="shared" si="22"/>
        <v>#VALUE!</v>
      </c>
    </row>
    <row r="482" spans="24:32">
      <c r="X482" s="21">
        <f t="shared" si="21"/>
        <v>45871</v>
      </c>
      <c r="Y482" s="21">
        <f t="shared" si="23"/>
        <v>45871</v>
      </c>
      <c r="Z482" t="str">
        <f t="array" ref="Z482">_xlfn.XLOOKUP(INT(X482),INT($AE$2:$AE$1000),$AG$2:$AG$1000,"")</f>
        <v/>
      </c>
      <c r="AE482" s="21" t="e">
        <f t="shared" si="22"/>
        <v>#VALUE!</v>
      </c>
    </row>
    <row r="483" spans="24:32">
      <c r="X483" s="21">
        <f t="shared" si="21"/>
        <v>45871</v>
      </c>
      <c r="Y483" s="21">
        <f t="shared" si="23"/>
        <v>45871</v>
      </c>
      <c r="Z483" t="str">
        <f t="array" ref="Z483">_xlfn.XLOOKUP(INT(X483),INT($AE$2:$AE$1000),$AG$2:$AG$1000,"")</f>
        <v/>
      </c>
      <c r="AE483" s="21" t="e">
        <f t="shared" si="22"/>
        <v>#VALUE!</v>
      </c>
    </row>
    <row r="484" spans="24:32">
      <c r="X484" s="21">
        <f t="shared" si="21"/>
        <v>45871</v>
      </c>
      <c r="Y484" s="21">
        <f t="shared" si="23"/>
        <v>45871</v>
      </c>
      <c r="Z484" t="str">
        <f t="array" ref="Z484">_xlfn.XLOOKUP(INT(X484),INT($AE$2:$AE$1000),$AG$2:$AG$1000,"")</f>
        <v/>
      </c>
      <c r="AE484" s="21" t="e">
        <f t="shared" si="22"/>
        <v>#VALUE!</v>
      </c>
    </row>
    <row r="485" spans="24:32">
      <c r="X485" s="21">
        <f t="shared" si="21"/>
        <v>45871</v>
      </c>
      <c r="Y485" s="21">
        <f t="shared" si="23"/>
        <v>45871</v>
      </c>
      <c r="Z485" t="str">
        <f t="array" ref="Z485">_xlfn.XLOOKUP(INT(X485),INT($AE$2:$AE$1000),$AG$2:$AG$1000,"")</f>
        <v/>
      </c>
      <c r="AE485" s="21" t="e">
        <f t="shared" si="22"/>
        <v>#VALUE!</v>
      </c>
    </row>
    <row r="486" spans="24:32">
      <c r="X486" s="21">
        <f t="shared" si="21"/>
        <v>45871</v>
      </c>
      <c r="Y486" s="21">
        <f t="shared" si="23"/>
        <v>45871</v>
      </c>
      <c r="Z486" t="str">
        <f t="array" ref="Z486">_xlfn.XLOOKUP(INT(X486),INT($AE$2:$AE$1000),$AG$2:$AG$1000,"")</f>
        <v/>
      </c>
      <c r="AE486" s="21" t="e">
        <f t="shared" si="22"/>
        <v>#VALUE!</v>
      </c>
      <c r="AF486" s="21"/>
    </row>
    <row r="487" spans="24:32">
      <c r="X487" s="21">
        <f t="shared" si="21"/>
        <v>45871</v>
      </c>
      <c r="Y487" s="21">
        <f t="shared" si="23"/>
        <v>45871</v>
      </c>
      <c r="Z487" t="str">
        <f t="array" ref="Z487">_xlfn.XLOOKUP(INT(X487),INT($AE$2:$AE$1000),$AG$2:$AG$1000,"")</f>
        <v/>
      </c>
      <c r="AE487" s="21" t="e">
        <f t="shared" si="22"/>
        <v>#VALUE!</v>
      </c>
      <c r="AF487" s="21"/>
    </row>
    <row r="488" spans="24:32">
      <c r="X488" s="21">
        <f t="shared" si="21"/>
        <v>45871</v>
      </c>
      <c r="Y488" s="21">
        <f t="shared" si="23"/>
        <v>45871</v>
      </c>
      <c r="Z488" t="str">
        <f t="array" ref="Z488">_xlfn.XLOOKUP(INT(X488),INT($AE$2:$AE$1000),$AG$2:$AG$1000,"")</f>
        <v/>
      </c>
      <c r="AE488" s="21" t="e">
        <f t="shared" si="22"/>
        <v>#VALUE!</v>
      </c>
      <c r="AF488" s="21"/>
    </row>
    <row r="489" spans="24:32">
      <c r="X489" s="21">
        <f t="shared" si="21"/>
        <v>45871</v>
      </c>
      <c r="Y489" s="21">
        <f t="shared" si="23"/>
        <v>45871</v>
      </c>
      <c r="Z489" t="str">
        <f t="array" ref="Z489">_xlfn.XLOOKUP(INT(X489),INT($AE$2:$AE$1000),$AG$2:$AG$1000,"")</f>
        <v/>
      </c>
      <c r="AE489" s="21" t="e">
        <f t="shared" si="22"/>
        <v>#VALUE!</v>
      </c>
      <c r="AF489" s="21"/>
    </row>
    <row r="490" spans="24:32">
      <c r="X490" s="21">
        <f t="shared" si="21"/>
        <v>45871</v>
      </c>
      <c r="Y490" s="21">
        <f t="shared" si="23"/>
        <v>45871</v>
      </c>
      <c r="Z490" t="str">
        <f t="array" ref="Z490">_xlfn.XLOOKUP(INT(X490),INT($AE$2:$AE$1000),$AG$2:$AG$1000,"")</f>
        <v/>
      </c>
      <c r="AE490" s="21" t="e">
        <f t="shared" si="22"/>
        <v>#VALUE!</v>
      </c>
      <c r="AF490" s="21"/>
    </row>
    <row r="491" spans="24:32">
      <c r="X491" s="21">
        <f t="shared" si="21"/>
        <v>45871</v>
      </c>
      <c r="Y491" s="21">
        <f t="shared" si="23"/>
        <v>45871</v>
      </c>
      <c r="Z491" t="str">
        <f t="array" ref="Z491">_xlfn.XLOOKUP(INT(X491),INT($AE$2:$AE$1000),$AG$2:$AG$1000,"")</f>
        <v/>
      </c>
      <c r="AE491" s="21" t="e">
        <f t="shared" si="22"/>
        <v>#VALUE!</v>
      </c>
      <c r="AF491" s="21"/>
    </row>
    <row r="492" spans="24:32">
      <c r="X492" s="21">
        <f t="shared" si="21"/>
        <v>45871</v>
      </c>
      <c r="Y492" s="21">
        <f t="shared" si="23"/>
        <v>45871</v>
      </c>
      <c r="Z492" t="str">
        <f t="array" ref="Z492">_xlfn.XLOOKUP(INT(X492),INT($AE$2:$AE$1000),$AG$2:$AG$1000,"")</f>
        <v/>
      </c>
      <c r="AE492" s="21" t="e">
        <f t="shared" si="22"/>
        <v>#VALUE!</v>
      </c>
      <c r="AF492" s="21"/>
    </row>
    <row r="493" spans="24:32">
      <c r="X493" s="21">
        <f t="shared" si="21"/>
        <v>45871</v>
      </c>
      <c r="Y493" s="21">
        <f t="shared" si="23"/>
        <v>45871</v>
      </c>
      <c r="Z493" t="str">
        <f t="array" ref="Z493">_xlfn.XLOOKUP(INT(X493),INT($AE$2:$AE$1000),$AG$2:$AG$1000,"")</f>
        <v/>
      </c>
      <c r="AE493" s="21" t="e">
        <f t="shared" si="22"/>
        <v>#VALUE!</v>
      </c>
      <c r="AF493" s="21"/>
    </row>
    <row r="494" spans="24:32">
      <c r="X494" s="21">
        <f t="shared" si="21"/>
        <v>45871</v>
      </c>
      <c r="Y494" s="21">
        <f t="shared" si="23"/>
        <v>45871</v>
      </c>
      <c r="Z494" t="str">
        <f t="array" ref="Z494">_xlfn.XLOOKUP(INT(X494),INT($AE$2:$AE$1000),$AG$2:$AG$1000,"")</f>
        <v/>
      </c>
      <c r="AE494" s="21" t="e">
        <f t="shared" si="22"/>
        <v>#VALUE!</v>
      </c>
      <c r="AF494" s="21"/>
    </row>
    <row r="495" spans="24:32">
      <c r="X495" s="21">
        <f t="shared" si="21"/>
        <v>45871</v>
      </c>
      <c r="Y495" s="21">
        <f t="shared" si="23"/>
        <v>45871</v>
      </c>
      <c r="Z495" t="str">
        <f t="array" ref="Z495">_xlfn.XLOOKUP(INT(X495),INT($AE$2:$AE$1000),$AG$2:$AG$1000,"")</f>
        <v/>
      </c>
      <c r="AE495" s="21" t="e">
        <f t="shared" si="22"/>
        <v>#VALUE!</v>
      </c>
    </row>
    <row r="496" spans="24:32">
      <c r="X496" s="21">
        <f t="shared" si="21"/>
        <v>45871</v>
      </c>
      <c r="Y496" s="21">
        <f t="shared" si="23"/>
        <v>45871</v>
      </c>
      <c r="Z496" t="str">
        <f t="array" ref="Z496">_xlfn.XLOOKUP(INT(X496),INT($AE$2:$AE$1000),$AG$2:$AG$1000,"")</f>
        <v/>
      </c>
      <c r="AE496" s="21" t="e">
        <f t="shared" si="22"/>
        <v>#VALUE!</v>
      </c>
    </row>
    <row r="497" spans="24:32">
      <c r="X497" s="21">
        <f t="shared" si="21"/>
        <v>45871</v>
      </c>
      <c r="Y497" s="21">
        <f t="shared" si="23"/>
        <v>45871</v>
      </c>
      <c r="Z497" t="str">
        <f t="array" ref="Z497">_xlfn.XLOOKUP(INT(X497),INT($AE$2:$AE$1000),$AG$2:$AG$1000,"")</f>
        <v/>
      </c>
      <c r="AE497" s="21" t="e">
        <f t="shared" si="22"/>
        <v>#VALUE!</v>
      </c>
    </row>
    <row r="498" spans="24:32">
      <c r="X498" s="21">
        <f t="shared" si="21"/>
        <v>45871</v>
      </c>
      <c r="Y498" s="21">
        <f t="shared" si="23"/>
        <v>45871</v>
      </c>
      <c r="Z498" t="str">
        <f t="array" ref="Z498">_xlfn.XLOOKUP(INT(X498),INT($AE$2:$AE$1000),$AG$2:$AG$1000,"")</f>
        <v/>
      </c>
      <c r="AE498" s="21" t="e">
        <f t="shared" si="22"/>
        <v>#VALUE!</v>
      </c>
    </row>
    <row r="499" spans="24:32">
      <c r="X499" s="21">
        <f t="shared" si="21"/>
        <v>45871</v>
      </c>
      <c r="Y499" s="21">
        <f t="shared" si="23"/>
        <v>45871</v>
      </c>
      <c r="Z499" t="str">
        <f t="array" ref="Z499">_xlfn.XLOOKUP(INT(X499),INT($AE$2:$AE$1000),$AG$2:$AG$1000,"")</f>
        <v/>
      </c>
      <c r="AE499" s="21" t="e">
        <f t="shared" si="22"/>
        <v>#VALUE!</v>
      </c>
    </row>
    <row r="500" spans="24:32">
      <c r="X500" s="21">
        <f t="shared" si="21"/>
        <v>45871</v>
      </c>
      <c r="Y500" s="21">
        <f t="shared" si="23"/>
        <v>45871</v>
      </c>
      <c r="Z500" t="str">
        <f t="array" ref="Z500">_xlfn.XLOOKUP(INT(X500),INT($AE$2:$AE$1000),$AG$2:$AG$1000,"")</f>
        <v/>
      </c>
      <c r="AE500" s="21" t="e">
        <f t="shared" si="22"/>
        <v>#VALUE!</v>
      </c>
    </row>
    <row r="501" spans="24:32">
      <c r="X501" s="21">
        <f t="shared" si="21"/>
        <v>45871</v>
      </c>
      <c r="Y501" s="21">
        <f t="shared" si="23"/>
        <v>45871</v>
      </c>
      <c r="Z501" t="str">
        <f t="array" ref="Z501">_xlfn.XLOOKUP(INT(X501),INT($AE$2:$AE$1000),$AG$2:$AG$1000,"")</f>
        <v/>
      </c>
      <c r="AE501" s="21" t="e">
        <f t="shared" si="22"/>
        <v>#VALUE!</v>
      </c>
    </row>
    <row r="502" spans="24:32">
      <c r="X502" s="21">
        <f t="shared" si="21"/>
        <v>45871</v>
      </c>
      <c r="Y502" s="21">
        <f t="shared" si="23"/>
        <v>45871</v>
      </c>
      <c r="Z502" t="str">
        <f t="array" ref="Z502">_xlfn.XLOOKUP(INT(X502),INT($AE$2:$AE$1000),$AG$2:$AG$1000,"")</f>
        <v/>
      </c>
      <c r="AE502" s="21" t="e">
        <f t="shared" si="22"/>
        <v>#VALUE!</v>
      </c>
    </row>
    <row r="503" spans="24:32">
      <c r="X503" s="21">
        <f t="shared" si="21"/>
        <v>45871</v>
      </c>
      <c r="Y503" s="21">
        <f t="shared" si="23"/>
        <v>45871</v>
      </c>
      <c r="Z503" t="str">
        <f t="array" ref="Z503">_xlfn.XLOOKUP(INT(X503),INT($AE$2:$AE$1000),$AG$2:$AG$1000,"")</f>
        <v/>
      </c>
      <c r="AE503" s="21" t="e">
        <f t="shared" si="22"/>
        <v>#VALUE!</v>
      </c>
    </row>
    <row r="504" spans="24:32">
      <c r="X504" s="21">
        <f t="shared" si="21"/>
        <v>45871</v>
      </c>
      <c r="Y504" s="21">
        <f t="shared" si="23"/>
        <v>45871</v>
      </c>
      <c r="Z504" t="str">
        <f t="array" ref="Z504">_xlfn.XLOOKUP(INT(X504),INT($AE$2:$AE$1000),$AG$2:$AG$1000,"")</f>
        <v/>
      </c>
      <c r="AE504" s="21" t="e">
        <f t="shared" si="22"/>
        <v>#VALUE!</v>
      </c>
    </row>
    <row r="505" spans="24:32">
      <c r="X505" s="21">
        <f t="shared" si="21"/>
        <v>45871</v>
      </c>
      <c r="Y505" s="21">
        <f t="shared" si="23"/>
        <v>45871</v>
      </c>
      <c r="Z505" t="str">
        <f t="array" ref="Z505">_xlfn.XLOOKUP(INT(X505),INT($AE$2:$AE$1000),$AG$2:$AG$1000,"")</f>
        <v/>
      </c>
      <c r="AE505" s="21" t="e">
        <f t="shared" si="22"/>
        <v>#VALUE!</v>
      </c>
    </row>
    <row r="506" spans="24:32">
      <c r="X506" s="21">
        <f t="shared" si="21"/>
        <v>45871</v>
      </c>
      <c r="Y506" s="21">
        <f t="shared" si="23"/>
        <v>45871</v>
      </c>
      <c r="Z506" t="str">
        <f t="array" ref="Z506">_xlfn.XLOOKUP(INT(X506),INT($AE$2:$AE$1000),$AG$2:$AG$1000,"")</f>
        <v/>
      </c>
      <c r="AE506" s="21" t="e">
        <f t="shared" si="22"/>
        <v>#VALUE!</v>
      </c>
    </row>
    <row r="507" spans="24:32">
      <c r="X507" s="21">
        <f t="shared" si="21"/>
        <v>45871</v>
      </c>
      <c r="Y507" s="21">
        <f t="shared" si="23"/>
        <v>45871</v>
      </c>
      <c r="Z507" t="str">
        <f t="array" ref="Z507">_xlfn.XLOOKUP(INT(X507),INT($AE$2:$AE$1000),$AG$2:$AG$1000,"")</f>
        <v/>
      </c>
      <c r="AE507" s="21" t="e">
        <f t="shared" si="22"/>
        <v>#VALUE!</v>
      </c>
      <c r="AF507" s="21"/>
    </row>
    <row r="508" spans="24:32">
      <c r="X508" s="21">
        <f t="shared" si="21"/>
        <v>45871</v>
      </c>
      <c r="Y508" s="21">
        <f t="shared" si="23"/>
        <v>45871</v>
      </c>
      <c r="Z508" t="str">
        <f t="array" ref="Z508">_xlfn.XLOOKUP(INT(X508),INT($AE$2:$AE$1000),$AG$2:$AG$1000,"")</f>
        <v/>
      </c>
      <c r="AE508" s="21" t="e">
        <f t="shared" si="22"/>
        <v>#VALUE!</v>
      </c>
      <c r="AF508" s="21"/>
    </row>
    <row r="509" spans="24:32">
      <c r="X509" s="21">
        <f t="shared" si="21"/>
        <v>45871</v>
      </c>
      <c r="Y509" s="21">
        <f t="shared" si="23"/>
        <v>45871</v>
      </c>
      <c r="Z509" t="str">
        <f t="array" ref="Z509">_xlfn.XLOOKUP(INT(X509),INT($AE$2:$AE$1000),$AG$2:$AG$1000,"")</f>
        <v/>
      </c>
      <c r="AE509" s="21" t="e">
        <f t="shared" si="22"/>
        <v>#VALUE!</v>
      </c>
      <c r="AF509" s="21"/>
    </row>
    <row r="510" spans="24:32">
      <c r="X510" s="21">
        <f t="shared" si="21"/>
        <v>45871</v>
      </c>
      <c r="Y510" s="21">
        <f t="shared" si="23"/>
        <v>45871</v>
      </c>
      <c r="Z510" t="str">
        <f t="array" ref="Z510">_xlfn.XLOOKUP(INT(X510),INT($AE$2:$AE$1000),$AG$2:$AG$1000,"")</f>
        <v/>
      </c>
      <c r="AE510" s="21" t="e">
        <f t="shared" si="22"/>
        <v>#VALUE!</v>
      </c>
      <c r="AF510" s="21"/>
    </row>
    <row r="511" spans="24:32">
      <c r="X511" s="21">
        <f t="shared" si="21"/>
        <v>45871</v>
      </c>
      <c r="Y511" s="21">
        <f t="shared" si="23"/>
        <v>45871</v>
      </c>
      <c r="Z511" t="str">
        <f t="array" ref="Z511">_xlfn.XLOOKUP(INT(X511),INT($AE$2:$AE$1000),$AG$2:$AG$1000,"")</f>
        <v/>
      </c>
      <c r="AE511" s="21" t="e">
        <f t="shared" si="22"/>
        <v>#VALUE!</v>
      </c>
      <c r="AF511" s="21"/>
    </row>
    <row r="512" spans="24:32">
      <c r="X512" s="21">
        <f t="shared" ref="X512:X574" si="24">WORKDAY(DATE(2025,8,2),INT(D512/390))</f>
        <v>45871</v>
      </c>
      <c r="Y512" s="21">
        <f t="shared" si="23"/>
        <v>45871</v>
      </c>
      <c r="Z512" t="str">
        <f t="array" ref="Z512">_xlfn.XLOOKUP(INT(X512),INT($AE$2:$AE$1000),$AG$2:$AG$1000,"")</f>
        <v/>
      </c>
      <c r="AE512" s="21" t="e">
        <f t="shared" si="22"/>
        <v>#VALUE!</v>
      </c>
      <c r="AF512" s="21"/>
    </row>
    <row r="513" spans="24:32">
      <c r="X513" s="21">
        <f t="shared" si="24"/>
        <v>45871</v>
      </c>
      <c r="Y513" s="21">
        <f t="shared" si="23"/>
        <v>45871</v>
      </c>
      <c r="Z513" t="str">
        <f t="array" ref="Z513">_xlfn.XLOOKUP(INT(X513),INT($AE$2:$AE$1000),$AG$2:$AG$1000,"")</f>
        <v/>
      </c>
      <c r="AE513" s="21" t="e">
        <f t="shared" si="22"/>
        <v>#VALUE!</v>
      </c>
      <c r="AF513" s="21"/>
    </row>
    <row r="514" spans="24:32">
      <c r="X514" s="21">
        <f t="shared" si="24"/>
        <v>45871</v>
      </c>
      <c r="Y514" s="21">
        <f t="shared" si="23"/>
        <v>45871</v>
      </c>
      <c r="Z514" t="str">
        <f t="array" ref="Z514">_xlfn.XLOOKUP(INT(X514),INT($AE$2:$AE$1000),$AG$2:$AG$1000,"")</f>
        <v/>
      </c>
      <c r="AE514" s="21" t="e">
        <f t="shared" ref="AE514:AE577" si="25">IF(ISNUMBER(AF514),DATE(YEAR(AF514),DAY(AF514),MONTH(AF514)),DATE(RIGHT(AF514,4),LEFT(AF514,2),MID(AF514,4,2)))</f>
        <v>#VALUE!</v>
      </c>
    </row>
    <row r="515" spans="24:32">
      <c r="X515" s="21">
        <f t="shared" si="24"/>
        <v>45871</v>
      </c>
      <c r="Y515" s="21">
        <f t="shared" ref="Y515:Y574" si="26">WORKDAY(DATE(2025,8,2),INT(P515/390))</f>
        <v>45871</v>
      </c>
      <c r="Z515" t="str">
        <f t="array" ref="Z515">_xlfn.XLOOKUP(INT(X515),INT($AE$2:$AE$1000),$AG$2:$AG$1000,"")</f>
        <v/>
      </c>
      <c r="AE515" s="21" t="e">
        <f t="shared" si="25"/>
        <v>#VALUE!</v>
      </c>
    </row>
    <row r="516" spans="24:32">
      <c r="X516" s="21">
        <f t="shared" si="24"/>
        <v>45871</v>
      </c>
      <c r="Y516" s="21">
        <f t="shared" si="26"/>
        <v>45871</v>
      </c>
      <c r="Z516" t="str">
        <f t="array" ref="Z516">_xlfn.XLOOKUP(INT(X516),INT($AE$2:$AE$1000),$AG$2:$AG$1000,"")</f>
        <v/>
      </c>
      <c r="AE516" s="21" t="e">
        <f t="shared" si="25"/>
        <v>#VALUE!</v>
      </c>
    </row>
    <row r="517" spans="24:32">
      <c r="X517" s="21">
        <f t="shared" si="24"/>
        <v>45871</v>
      </c>
      <c r="Y517" s="21">
        <f t="shared" si="26"/>
        <v>45871</v>
      </c>
      <c r="Z517" t="str">
        <f t="array" ref="Z517">_xlfn.XLOOKUP(INT(X517),INT($AE$2:$AE$1000),$AG$2:$AG$1000,"")</f>
        <v/>
      </c>
      <c r="AE517" s="21" t="e">
        <f t="shared" si="25"/>
        <v>#VALUE!</v>
      </c>
    </row>
    <row r="518" spans="24:32">
      <c r="X518" s="21">
        <f t="shared" si="24"/>
        <v>45871</v>
      </c>
      <c r="Y518" s="21">
        <f t="shared" si="26"/>
        <v>45871</v>
      </c>
      <c r="Z518" t="str">
        <f t="array" ref="Z518">_xlfn.XLOOKUP(INT(X518),INT($AE$2:$AE$1000),$AG$2:$AG$1000,"")</f>
        <v/>
      </c>
      <c r="AE518" s="21" t="e">
        <f t="shared" si="25"/>
        <v>#VALUE!</v>
      </c>
    </row>
    <row r="519" spans="24:32">
      <c r="X519" s="21">
        <f t="shared" si="24"/>
        <v>45871</v>
      </c>
      <c r="Y519" s="21">
        <f t="shared" si="26"/>
        <v>45871</v>
      </c>
      <c r="Z519" t="str">
        <f t="array" ref="Z519">_xlfn.XLOOKUP(INT(X519),INT($AE$2:$AE$1000),$AG$2:$AG$1000,"")</f>
        <v/>
      </c>
      <c r="AE519" s="21" t="e">
        <f t="shared" si="25"/>
        <v>#VALUE!</v>
      </c>
    </row>
    <row r="520" spans="24:32">
      <c r="X520" s="21">
        <f t="shared" si="24"/>
        <v>45871</v>
      </c>
      <c r="Y520" s="21">
        <f t="shared" si="26"/>
        <v>45871</v>
      </c>
      <c r="Z520" t="str">
        <f t="array" ref="Z520">_xlfn.XLOOKUP(INT(X520),INT($AE$2:$AE$1000),$AG$2:$AG$1000,"")</f>
        <v/>
      </c>
      <c r="AE520" s="21" t="e">
        <f t="shared" si="25"/>
        <v>#VALUE!</v>
      </c>
    </row>
    <row r="521" spans="24:32">
      <c r="X521" s="21">
        <f t="shared" si="24"/>
        <v>45871</v>
      </c>
      <c r="Y521" s="21">
        <f t="shared" si="26"/>
        <v>45871</v>
      </c>
      <c r="Z521" t="str">
        <f t="array" ref="Z521">_xlfn.XLOOKUP(INT(X521),INT($AE$2:$AE$1000),$AG$2:$AG$1000,"")</f>
        <v/>
      </c>
      <c r="AE521" s="21" t="e">
        <f t="shared" si="25"/>
        <v>#VALUE!</v>
      </c>
    </row>
    <row r="522" spans="24:32">
      <c r="X522" s="21">
        <f t="shared" si="24"/>
        <v>45871</v>
      </c>
      <c r="Y522" s="21">
        <f t="shared" si="26"/>
        <v>45871</v>
      </c>
      <c r="Z522" t="str">
        <f t="array" ref="Z522">_xlfn.XLOOKUP(INT(X522),INT($AE$2:$AE$1000),$AG$2:$AG$1000,"")</f>
        <v/>
      </c>
      <c r="AE522" s="21" t="e">
        <f t="shared" si="25"/>
        <v>#VALUE!</v>
      </c>
    </row>
    <row r="523" spans="24:32">
      <c r="X523" s="21">
        <f t="shared" si="24"/>
        <v>45871</v>
      </c>
      <c r="Y523" s="21">
        <f t="shared" si="26"/>
        <v>45871</v>
      </c>
      <c r="Z523" t="str">
        <f t="array" ref="Z523">_xlfn.XLOOKUP(INT(X523),INT($AE$2:$AE$1000),$AG$2:$AG$1000,"")</f>
        <v/>
      </c>
      <c r="AE523" s="21" t="e">
        <f t="shared" si="25"/>
        <v>#VALUE!</v>
      </c>
    </row>
    <row r="524" spans="24:32">
      <c r="X524" s="21">
        <f t="shared" si="24"/>
        <v>45871</v>
      </c>
      <c r="Y524" s="21">
        <f t="shared" si="26"/>
        <v>45871</v>
      </c>
      <c r="Z524" t="str">
        <f t="array" ref="Z524">_xlfn.XLOOKUP(INT(X524),INT($AE$2:$AE$1000),$AG$2:$AG$1000,"")</f>
        <v/>
      </c>
      <c r="AE524" s="21" t="e">
        <f t="shared" si="25"/>
        <v>#VALUE!</v>
      </c>
    </row>
    <row r="525" spans="24:32">
      <c r="X525" s="21">
        <f t="shared" si="24"/>
        <v>45871</v>
      </c>
      <c r="Y525" s="21">
        <f t="shared" si="26"/>
        <v>45871</v>
      </c>
      <c r="Z525" t="str">
        <f t="array" ref="Z525">_xlfn.XLOOKUP(INT(X525),INT($AE$2:$AE$1000),$AG$2:$AG$1000,"")</f>
        <v/>
      </c>
      <c r="AE525" s="21" t="e">
        <f t="shared" si="25"/>
        <v>#VALUE!</v>
      </c>
    </row>
    <row r="526" spans="24:32">
      <c r="X526" s="21">
        <f t="shared" si="24"/>
        <v>45871</v>
      </c>
      <c r="Y526" s="21">
        <f t="shared" si="26"/>
        <v>45871</v>
      </c>
      <c r="Z526" t="str">
        <f t="array" ref="Z526">_xlfn.XLOOKUP(INT(X526),INT($AE$2:$AE$1000),$AG$2:$AG$1000,"")</f>
        <v/>
      </c>
      <c r="AE526" s="21" t="e">
        <f t="shared" si="25"/>
        <v>#VALUE!</v>
      </c>
    </row>
    <row r="527" spans="24:32">
      <c r="X527" s="21">
        <f t="shared" si="24"/>
        <v>45871</v>
      </c>
      <c r="Y527" s="21">
        <f t="shared" si="26"/>
        <v>45871</v>
      </c>
      <c r="Z527" t="str">
        <f t="array" ref="Z527">_xlfn.XLOOKUP(INT(X527),INT($AE$2:$AE$1000),$AG$2:$AG$1000,"")</f>
        <v/>
      </c>
      <c r="AE527" s="21" t="e">
        <f t="shared" si="25"/>
        <v>#VALUE!</v>
      </c>
    </row>
    <row r="528" spans="24:32">
      <c r="X528" s="21">
        <f t="shared" si="24"/>
        <v>45871</v>
      </c>
      <c r="Y528" s="21">
        <f t="shared" si="26"/>
        <v>45871</v>
      </c>
      <c r="Z528" t="str">
        <f t="array" ref="Z528">_xlfn.XLOOKUP(INT(X528),INT($AE$2:$AE$1000),$AG$2:$AG$1000,"")</f>
        <v/>
      </c>
      <c r="AE528" s="21" t="e">
        <f t="shared" si="25"/>
        <v>#VALUE!</v>
      </c>
    </row>
    <row r="529" spans="24:32">
      <c r="X529" s="21">
        <f t="shared" si="24"/>
        <v>45871</v>
      </c>
      <c r="Y529" s="21">
        <f t="shared" si="26"/>
        <v>45871</v>
      </c>
      <c r="Z529" t="str">
        <f t="array" ref="Z529">_xlfn.XLOOKUP(INT(X529),INT($AE$2:$AE$1000),$AG$2:$AG$1000,"")</f>
        <v/>
      </c>
      <c r="AE529" s="21" t="e">
        <f t="shared" si="25"/>
        <v>#VALUE!</v>
      </c>
      <c r="AF529" s="21"/>
    </row>
    <row r="530" spans="24:32">
      <c r="X530" s="21">
        <f t="shared" si="24"/>
        <v>45871</v>
      </c>
      <c r="Y530" s="21">
        <f t="shared" si="26"/>
        <v>45871</v>
      </c>
      <c r="Z530" t="str">
        <f t="array" ref="Z530">_xlfn.XLOOKUP(INT(X530),INT($AE$2:$AE$1000),$AG$2:$AG$1000,"")</f>
        <v/>
      </c>
      <c r="AE530" s="21" t="e">
        <f t="shared" si="25"/>
        <v>#VALUE!</v>
      </c>
      <c r="AF530" s="21"/>
    </row>
    <row r="531" spans="24:32">
      <c r="X531" s="21">
        <f t="shared" si="24"/>
        <v>45871</v>
      </c>
      <c r="Y531" s="21">
        <f t="shared" si="26"/>
        <v>45871</v>
      </c>
      <c r="Z531" t="str">
        <f t="array" ref="Z531">_xlfn.XLOOKUP(INT(X531),INT($AE$2:$AE$1000),$AG$2:$AG$1000,"")</f>
        <v/>
      </c>
      <c r="AE531" s="21" t="e">
        <f t="shared" si="25"/>
        <v>#VALUE!</v>
      </c>
      <c r="AF531" s="21"/>
    </row>
    <row r="532" spans="24:32">
      <c r="X532" s="21">
        <f t="shared" si="24"/>
        <v>45871</v>
      </c>
      <c r="Y532" s="21">
        <f t="shared" si="26"/>
        <v>45871</v>
      </c>
      <c r="Z532" t="str">
        <f t="array" ref="Z532">_xlfn.XLOOKUP(INT(X532),INT($AE$2:$AE$1000),$AG$2:$AG$1000,"")</f>
        <v/>
      </c>
      <c r="AE532" s="21" t="e">
        <f t="shared" si="25"/>
        <v>#VALUE!</v>
      </c>
      <c r="AF532" s="21"/>
    </row>
    <row r="533" spans="24:32">
      <c r="X533" s="21">
        <f t="shared" si="24"/>
        <v>45871</v>
      </c>
      <c r="Y533" s="21">
        <f t="shared" si="26"/>
        <v>45871</v>
      </c>
      <c r="Z533" t="str">
        <f t="array" ref="Z533">_xlfn.XLOOKUP(INT(X533),INT($AE$2:$AE$1000),$AG$2:$AG$1000,"")</f>
        <v/>
      </c>
      <c r="AE533" s="21" t="e">
        <f t="shared" si="25"/>
        <v>#VALUE!</v>
      </c>
      <c r="AF533" s="21"/>
    </row>
    <row r="534" spans="24:32">
      <c r="X534" s="21">
        <f t="shared" si="24"/>
        <v>45871</v>
      </c>
      <c r="Y534" s="21">
        <f t="shared" si="26"/>
        <v>45871</v>
      </c>
      <c r="Z534" t="str">
        <f t="array" ref="Z534">_xlfn.XLOOKUP(INT(X534),INT($AE$2:$AE$1000),$AG$2:$AG$1000,"")</f>
        <v/>
      </c>
      <c r="AE534" s="21" t="e">
        <f t="shared" si="25"/>
        <v>#VALUE!</v>
      </c>
      <c r="AF534" s="21"/>
    </row>
    <row r="535" spans="24:32">
      <c r="X535" s="21">
        <f t="shared" si="24"/>
        <v>45871</v>
      </c>
      <c r="Y535" s="21">
        <f t="shared" si="26"/>
        <v>45871</v>
      </c>
      <c r="Z535" t="str">
        <f t="array" ref="Z535">_xlfn.XLOOKUP(INT(X535),INT($AE$2:$AE$1000),$AG$2:$AG$1000,"")</f>
        <v/>
      </c>
      <c r="AE535" s="21" t="e">
        <f t="shared" si="25"/>
        <v>#VALUE!</v>
      </c>
      <c r="AF535" s="21"/>
    </row>
    <row r="536" spans="24:32">
      <c r="X536" s="21">
        <f t="shared" si="24"/>
        <v>45871</v>
      </c>
      <c r="Y536" s="21">
        <f t="shared" si="26"/>
        <v>45871</v>
      </c>
      <c r="Z536" t="str">
        <f t="array" ref="Z536">_xlfn.XLOOKUP(INT(X536),INT($AE$2:$AE$1000),$AG$2:$AG$1000,"")</f>
        <v/>
      </c>
      <c r="AE536" s="21" t="e">
        <f t="shared" si="25"/>
        <v>#VALUE!</v>
      </c>
      <c r="AF536" s="21"/>
    </row>
    <row r="537" spans="24:32">
      <c r="X537" s="21">
        <f t="shared" si="24"/>
        <v>45871</v>
      </c>
      <c r="Y537" s="21">
        <f t="shared" si="26"/>
        <v>45871</v>
      </c>
      <c r="Z537" t="str">
        <f t="array" ref="Z537">_xlfn.XLOOKUP(INT(X537),INT($AE$2:$AE$1000),$AG$2:$AG$1000,"")</f>
        <v/>
      </c>
      <c r="AE537" s="21" t="e">
        <f t="shared" si="25"/>
        <v>#VALUE!</v>
      </c>
    </row>
    <row r="538" spans="24:32">
      <c r="X538" s="21">
        <f t="shared" si="24"/>
        <v>45871</v>
      </c>
      <c r="Y538" s="21">
        <f t="shared" si="26"/>
        <v>45871</v>
      </c>
      <c r="Z538" t="str">
        <f t="array" ref="Z538">_xlfn.XLOOKUP(INT(X538),INT($AE$2:$AE$1000),$AG$2:$AG$1000,"")</f>
        <v/>
      </c>
      <c r="AE538" s="21" t="e">
        <f t="shared" si="25"/>
        <v>#VALUE!</v>
      </c>
    </row>
    <row r="539" spans="24:32">
      <c r="X539" s="21">
        <f t="shared" si="24"/>
        <v>45871</v>
      </c>
      <c r="Y539" s="21">
        <f t="shared" si="26"/>
        <v>45871</v>
      </c>
      <c r="Z539" t="str">
        <f t="array" ref="Z539">_xlfn.XLOOKUP(INT(X539),INT($AE$2:$AE$1000),$AG$2:$AG$1000,"")</f>
        <v/>
      </c>
      <c r="AE539" s="21" t="e">
        <f t="shared" si="25"/>
        <v>#VALUE!</v>
      </c>
    </row>
    <row r="540" spans="24:32">
      <c r="X540" s="21">
        <f t="shared" si="24"/>
        <v>45871</v>
      </c>
      <c r="Y540" s="21">
        <f t="shared" si="26"/>
        <v>45871</v>
      </c>
      <c r="Z540" t="str">
        <f t="array" ref="Z540">_xlfn.XLOOKUP(INT(X540),INT($AE$2:$AE$1000),$AG$2:$AG$1000,"")</f>
        <v/>
      </c>
      <c r="AE540" s="21" t="e">
        <f t="shared" si="25"/>
        <v>#VALUE!</v>
      </c>
    </row>
    <row r="541" spans="24:32">
      <c r="X541" s="21">
        <f t="shared" si="24"/>
        <v>45871</v>
      </c>
      <c r="Y541" s="21">
        <f t="shared" si="26"/>
        <v>45871</v>
      </c>
      <c r="Z541" t="str">
        <f t="array" ref="Z541">_xlfn.XLOOKUP(INT(X541),INT($AE$2:$AE$1000),$AG$2:$AG$1000,"")</f>
        <v/>
      </c>
      <c r="AE541" s="21" t="e">
        <f t="shared" si="25"/>
        <v>#VALUE!</v>
      </c>
    </row>
    <row r="542" spans="24:32">
      <c r="X542" s="21">
        <f t="shared" si="24"/>
        <v>45871</v>
      </c>
      <c r="Y542" s="21">
        <f t="shared" si="26"/>
        <v>45871</v>
      </c>
      <c r="Z542" t="str">
        <f t="array" ref="Z542">_xlfn.XLOOKUP(INT(X542),INT($AE$2:$AE$1000),$AG$2:$AG$1000,"")</f>
        <v/>
      </c>
      <c r="AE542" s="21" t="e">
        <f t="shared" si="25"/>
        <v>#VALUE!</v>
      </c>
    </row>
    <row r="543" spans="24:32">
      <c r="X543" s="21">
        <f t="shared" si="24"/>
        <v>45871</v>
      </c>
      <c r="Y543" s="21">
        <f t="shared" si="26"/>
        <v>45871</v>
      </c>
      <c r="Z543" t="str">
        <f t="array" ref="Z543">_xlfn.XLOOKUP(INT(X543),INT($AE$2:$AE$1000),$AG$2:$AG$1000,"")</f>
        <v/>
      </c>
      <c r="AE543" s="21" t="e">
        <f t="shared" si="25"/>
        <v>#VALUE!</v>
      </c>
    </row>
    <row r="544" spans="24:32">
      <c r="X544" s="21">
        <f t="shared" si="24"/>
        <v>45871</v>
      </c>
      <c r="Y544" s="21">
        <f t="shared" si="26"/>
        <v>45871</v>
      </c>
      <c r="Z544" t="str">
        <f t="array" ref="Z544">_xlfn.XLOOKUP(INT(X544),INT($AE$2:$AE$1000),$AG$2:$AG$1000,"")</f>
        <v/>
      </c>
      <c r="AE544" s="21" t="e">
        <f t="shared" si="25"/>
        <v>#VALUE!</v>
      </c>
    </row>
    <row r="545" spans="24:32">
      <c r="X545" s="21">
        <f t="shared" si="24"/>
        <v>45871</v>
      </c>
      <c r="Y545" s="21">
        <f t="shared" si="26"/>
        <v>45871</v>
      </c>
      <c r="Z545" t="str">
        <f t="array" ref="Z545">_xlfn.XLOOKUP(INT(X545),INT($AE$2:$AE$1000),$AG$2:$AG$1000,"")</f>
        <v/>
      </c>
      <c r="AE545" s="21" t="e">
        <f t="shared" si="25"/>
        <v>#VALUE!</v>
      </c>
    </row>
    <row r="546" spans="24:32">
      <c r="X546" s="21">
        <f t="shared" si="24"/>
        <v>45871</v>
      </c>
      <c r="Y546" s="21">
        <f t="shared" si="26"/>
        <v>45871</v>
      </c>
      <c r="Z546" t="str">
        <f t="array" ref="Z546">_xlfn.XLOOKUP(INT(X546),INT($AE$2:$AE$1000),$AG$2:$AG$1000,"")</f>
        <v/>
      </c>
      <c r="AE546" s="21" t="e">
        <f t="shared" si="25"/>
        <v>#VALUE!</v>
      </c>
    </row>
    <row r="547" spans="24:32">
      <c r="X547" s="21">
        <f t="shared" si="24"/>
        <v>45871</v>
      </c>
      <c r="Y547" s="21">
        <f t="shared" si="26"/>
        <v>45871</v>
      </c>
      <c r="Z547" t="str">
        <f t="array" ref="Z547">_xlfn.XLOOKUP(INT(X547),INT($AE$2:$AE$1000),$AG$2:$AG$1000,"")</f>
        <v/>
      </c>
      <c r="AE547" s="21" t="e">
        <f t="shared" si="25"/>
        <v>#VALUE!</v>
      </c>
    </row>
    <row r="548" spans="24:32">
      <c r="X548" s="21">
        <f t="shared" si="24"/>
        <v>45871</v>
      </c>
      <c r="Y548" s="21">
        <f t="shared" si="26"/>
        <v>45871</v>
      </c>
      <c r="Z548" t="str">
        <f t="array" ref="Z548">_xlfn.XLOOKUP(INT(X548),INT($AE$2:$AE$1000),$AG$2:$AG$1000,"")</f>
        <v/>
      </c>
      <c r="AE548" s="21" t="e">
        <f t="shared" si="25"/>
        <v>#VALUE!</v>
      </c>
      <c r="AF548" s="21"/>
    </row>
    <row r="549" spans="24:32">
      <c r="X549" s="21">
        <f t="shared" si="24"/>
        <v>45871</v>
      </c>
      <c r="Y549" s="21">
        <f t="shared" si="26"/>
        <v>45871</v>
      </c>
      <c r="Z549" t="str">
        <f t="array" ref="Z549">_xlfn.XLOOKUP(INT(X549),INT($AE$2:$AE$1000),$AG$2:$AG$1000,"")</f>
        <v/>
      </c>
      <c r="AE549" s="21" t="e">
        <f t="shared" si="25"/>
        <v>#VALUE!</v>
      </c>
      <c r="AF549" s="21"/>
    </row>
    <row r="550" spans="24:32">
      <c r="X550" s="21">
        <f t="shared" si="24"/>
        <v>45871</v>
      </c>
      <c r="Y550" s="21">
        <f t="shared" si="26"/>
        <v>45871</v>
      </c>
      <c r="Z550" t="str">
        <f t="array" ref="Z550">_xlfn.XLOOKUP(INT(X550),INT($AE$2:$AE$1000),$AG$2:$AG$1000,"")</f>
        <v/>
      </c>
      <c r="AE550" s="21" t="e">
        <f t="shared" si="25"/>
        <v>#VALUE!</v>
      </c>
      <c r="AF550" s="21"/>
    </row>
    <row r="551" spans="24:32">
      <c r="X551" s="21">
        <f t="shared" si="24"/>
        <v>45871</v>
      </c>
      <c r="Y551" s="21">
        <f t="shared" si="26"/>
        <v>45871</v>
      </c>
      <c r="Z551" t="str">
        <f t="array" ref="Z551">_xlfn.XLOOKUP(INT(X551),INT($AE$2:$AE$1000),$AG$2:$AG$1000,"")</f>
        <v/>
      </c>
      <c r="AE551" s="21" t="e">
        <f t="shared" si="25"/>
        <v>#VALUE!</v>
      </c>
      <c r="AF551" s="21"/>
    </row>
    <row r="552" spans="24:32">
      <c r="X552" s="21">
        <f t="shared" si="24"/>
        <v>45871</v>
      </c>
      <c r="Y552" s="21">
        <f t="shared" si="26"/>
        <v>45871</v>
      </c>
      <c r="Z552" t="str">
        <f t="array" ref="Z552">_xlfn.XLOOKUP(INT(X552),INT($AE$2:$AE$1000),$AG$2:$AG$1000,"")</f>
        <v/>
      </c>
      <c r="AE552" s="21" t="e">
        <f t="shared" si="25"/>
        <v>#VALUE!</v>
      </c>
      <c r="AF552" s="21"/>
    </row>
    <row r="553" spans="24:32">
      <c r="X553" s="21">
        <f t="shared" si="24"/>
        <v>45871</v>
      </c>
      <c r="Y553" s="21">
        <f t="shared" si="26"/>
        <v>45871</v>
      </c>
      <c r="Z553" t="str">
        <f t="array" ref="Z553">_xlfn.XLOOKUP(INT(X553),INT($AE$2:$AE$1000),$AG$2:$AG$1000,"")</f>
        <v/>
      </c>
      <c r="AE553" s="21" t="e">
        <f t="shared" si="25"/>
        <v>#VALUE!</v>
      </c>
      <c r="AF553" s="21"/>
    </row>
    <row r="554" spans="24:32">
      <c r="X554" s="21">
        <f t="shared" si="24"/>
        <v>45871</v>
      </c>
      <c r="Y554" s="21">
        <f t="shared" si="26"/>
        <v>45871</v>
      </c>
      <c r="Z554" t="str">
        <f t="array" ref="Z554">_xlfn.XLOOKUP(INT(X554),INT($AE$2:$AE$1000),$AG$2:$AG$1000,"")</f>
        <v/>
      </c>
      <c r="AE554" s="21" t="e">
        <f t="shared" si="25"/>
        <v>#VALUE!</v>
      </c>
      <c r="AF554" s="21"/>
    </row>
    <row r="555" spans="24:32">
      <c r="X555" s="21">
        <f t="shared" si="24"/>
        <v>45871</v>
      </c>
      <c r="Y555" s="21">
        <f t="shared" si="26"/>
        <v>45871</v>
      </c>
      <c r="Z555" t="str">
        <f t="array" ref="Z555">_xlfn.XLOOKUP(INT(X555),INT($AE$2:$AE$1000),$AG$2:$AG$1000,"")</f>
        <v/>
      </c>
      <c r="AE555" s="21" t="e">
        <f t="shared" si="25"/>
        <v>#VALUE!</v>
      </c>
      <c r="AF555" s="21"/>
    </row>
    <row r="556" spans="24:32">
      <c r="X556" s="21">
        <f t="shared" si="24"/>
        <v>45871</v>
      </c>
      <c r="Y556" s="21">
        <f t="shared" si="26"/>
        <v>45871</v>
      </c>
      <c r="Z556" t="str">
        <f t="array" ref="Z556">_xlfn.XLOOKUP(INT(X556),INT($AE$2:$AE$1000),$AG$2:$AG$1000,"")</f>
        <v/>
      </c>
      <c r="AE556" s="21" t="e">
        <f t="shared" si="25"/>
        <v>#VALUE!</v>
      </c>
      <c r="AF556" s="21"/>
    </row>
    <row r="557" spans="24:32">
      <c r="X557" s="21">
        <f t="shared" si="24"/>
        <v>45871</v>
      </c>
      <c r="Y557" s="21">
        <f t="shared" si="26"/>
        <v>45871</v>
      </c>
      <c r="Z557" t="str">
        <f t="array" ref="Z557">_xlfn.XLOOKUP(INT(X557),INT($AE$2:$AE$1000),$AG$2:$AG$1000,"")</f>
        <v/>
      </c>
      <c r="AE557" s="21" t="e">
        <f t="shared" si="25"/>
        <v>#VALUE!</v>
      </c>
    </row>
    <row r="558" spans="24:32">
      <c r="X558" s="21">
        <f t="shared" si="24"/>
        <v>45871</v>
      </c>
      <c r="Y558" s="21">
        <f t="shared" si="26"/>
        <v>45871</v>
      </c>
      <c r="Z558" t="str">
        <f t="array" ref="Z558">_xlfn.XLOOKUP(INT(X558),INT($AE$2:$AE$1000),$AG$2:$AG$1000,"")</f>
        <v/>
      </c>
      <c r="AE558" s="21" t="e">
        <f t="shared" si="25"/>
        <v>#VALUE!</v>
      </c>
    </row>
    <row r="559" spans="24:32">
      <c r="X559" s="21">
        <f t="shared" si="24"/>
        <v>45871</v>
      </c>
      <c r="Y559" s="21">
        <f t="shared" si="26"/>
        <v>45871</v>
      </c>
      <c r="Z559" t="str">
        <f t="array" ref="Z559">_xlfn.XLOOKUP(INT(X559),INT($AE$2:$AE$1000),$AG$2:$AG$1000,"")</f>
        <v/>
      </c>
      <c r="AE559" s="21" t="e">
        <f t="shared" si="25"/>
        <v>#VALUE!</v>
      </c>
    </row>
    <row r="560" spans="24:32">
      <c r="X560" s="21">
        <f t="shared" si="24"/>
        <v>45871</v>
      </c>
      <c r="Y560" s="21">
        <f t="shared" si="26"/>
        <v>45871</v>
      </c>
      <c r="Z560" t="str">
        <f t="array" ref="Z560">_xlfn.XLOOKUP(INT(X560),INT($AE$2:$AE$1000),$AG$2:$AG$1000,"")</f>
        <v/>
      </c>
      <c r="AE560" s="21" t="e">
        <f t="shared" si="25"/>
        <v>#VALUE!</v>
      </c>
    </row>
    <row r="561" spans="24:32">
      <c r="X561" s="21">
        <f t="shared" si="24"/>
        <v>45871</v>
      </c>
      <c r="Y561" s="21">
        <f t="shared" si="26"/>
        <v>45871</v>
      </c>
      <c r="Z561" t="str">
        <f t="array" ref="Z561">_xlfn.XLOOKUP(INT(X561),INT($AE$2:$AE$1000),$AG$2:$AG$1000,"")</f>
        <v/>
      </c>
      <c r="AE561" s="21" t="e">
        <f t="shared" si="25"/>
        <v>#VALUE!</v>
      </c>
    </row>
    <row r="562" spans="24:32">
      <c r="X562" s="21">
        <f t="shared" si="24"/>
        <v>45871</v>
      </c>
      <c r="Y562" s="21">
        <f t="shared" si="26"/>
        <v>45871</v>
      </c>
      <c r="Z562" t="str">
        <f t="array" ref="Z562">_xlfn.XLOOKUP(INT(X562),INT($AE$2:$AE$1000),$AG$2:$AG$1000,"")</f>
        <v/>
      </c>
      <c r="AE562" s="21" t="e">
        <f t="shared" si="25"/>
        <v>#VALUE!</v>
      </c>
    </row>
    <row r="563" spans="24:32">
      <c r="X563" s="21">
        <f t="shared" si="24"/>
        <v>45871</v>
      </c>
      <c r="Y563" s="21">
        <f t="shared" si="26"/>
        <v>45871</v>
      </c>
      <c r="Z563" t="str">
        <f t="array" ref="Z563">_xlfn.XLOOKUP(INT(X563),INT($AE$2:$AE$1000),$AG$2:$AG$1000,"")</f>
        <v/>
      </c>
      <c r="AE563" s="21" t="e">
        <f t="shared" si="25"/>
        <v>#VALUE!</v>
      </c>
    </row>
    <row r="564" spans="24:32">
      <c r="X564" s="21">
        <f t="shared" si="24"/>
        <v>45871</v>
      </c>
      <c r="Y564" s="21">
        <f t="shared" si="26"/>
        <v>45871</v>
      </c>
      <c r="Z564" t="str">
        <f t="array" ref="Z564">_xlfn.XLOOKUP(INT(X564),INT($AE$2:$AE$1000),$AG$2:$AG$1000,"")</f>
        <v/>
      </c>
      <c r="AE564" s="21" t="e">
        <f t="shared" si="25"/>
        <v>#VALUE!</v>
      </c>
    </row>
    <row r="565" spans="24:32">
      <c r="X565" s="21">
        <f t="shared" si="24"/>
        <v>45871</v>
      </c>
      <c r="Y565" s="21">
        <f t="shared" si="26"/>
        <v>45871</v>
      </c>
      <c r="Z565" t="str">
        <f t="array" ref="Z565">_xlfn.XLOOKUP(INT(X565),INT($AE$2:$AE$1000),$AG$2:$AG$1000,"")</f>
        <v/>
      </c>
      <c r="AE565" s="21" t="e">
        <f t="shared" si="25"/>
        <v>#VALUE!</v>
      </c>
    </row>
    <row r="566" spans="24:32">
      <c r="X566" s="21">
        <f t="shared" si="24"/>
        <v>45871</v>
      </c>
      <c r="Y566" s="21">
        <f t="shared" si="26"/>
        <v>45871</v>
      </c>
      <c r="Z566" t="str">
        <f t="array" ref="Z566">_xlfn.XLOOKUP(INT(X566),INT($AE$2:$AE$1000),$AG$2:$AG$1000,"")</f>
        <v/>
      </c>
      <c r="AE566" s="21" t="e">
        <f t="shared" si="25"/>
        <v>#VALUE!</v>
      </c>
    </row>
    <row r="567" spans="24:32">
      <c r="X567" s="21">
        <f t="shared" si="24"/>
        <v>45871</v>
      </c>
      <c r="Y567" s="21">
        <f t="shared" si="26"/>
        <v>45871</v>
      </c>
      <c r="Z567" t="str">
        <f t="array" ref="Z567">_xlfn.XLOOKUP(INT(X567),INT($AE$2:$AE$1000),$AG$2:$AG$1000,"")</f>
        <v/>
      </c>
      <c r="AE567" s="21" t="e">
        <f t="shared" si="25"/>
        <v>#VALUE!</v>
      </c>
    </row>
    <row r="568" spans="24:32">
      <c r="X568" s="21">
        <f t="shared" si="24"/>
        <v>45871</v>
      </c>
      <c r="Y568" s="21">
        <f t="shared" si="26"/>
        <v>45871</v>
      </c>
      <c r="Z568" t="str">
        <f t="array" ref="Z568">_xlfn.XLOOKUP(INT(X568),INT($AE$2:$AE$1000),$AG$2:$AG$1000,"")</f>
        <v/>
      </c>
      <c r="AE568" s="21" t="e">
        <f t="shared" si="25"/>
        <v>#VALUE!</v>
      </c>
    </row>
    <row r="569" spans="24:32">
      <c r="X569" s="21">
        <f t="shared" si="24"/>
        <v>45871</v>
      </c>
      <c r="Y569" s="21">
        <f t="shared" si="26"/>
        <v>45871</v>
      </c>
      <c r="Z569" t="str">
        <f t="array" ref="Z569">_xlfn.XLOOKUP(INT(X569),INT($AE$2:$AE$1000),$AG$2:$AG$1000,"")</f>
        <v/>
      </c>
      <c r="AE569" s="21" t="e">
        <f t="shared" si="25"/>
        <v>#VALUE!</v>
      </c>
    </row>
    <row r="570" spans="24:32">
      <c r="X570" s="21">
        <f t="shared" si="24"/>
        <v>45871</v>
      </c>
      <c r="Y570" s="21">
        <f t="shared" si="26"/>
        <v>45871</v>
      </c>
      <c r="Z570" t="str">
        <f t="array" ref="Z570">_xlfn.XLOOKUP(INT(X570),INT($AE$2:$AE$1000),$AG$2:$AG$1000,"")</f>
        <v/>
      </c>
      <c r="AE570" s="21" t="e">
        <f t="shared" si="25"/>
        <v>#VALUE!</v>
      </c>
      <c r="AF570" s="21"/>
    </row>
    <row r="571" spans="24:32">
      <c r="X571" s="21">
        <f t="shared" si="24"/>
        <v>45871</v>
      </c>
      <c r="Y571" s="21">
        <f t="shared" si="26"/>
        <v>45871</v>
      </c>
      <c r="Z571" t="str">
        <f t="array" ref="Z571">_xlfn.XLOOKUP(INT(X571),INT($AE$2:$AE$1000),$AG$2:$AG$1000,"")</f>
        <v/>
      </c>
      <c r="AE571" s="21" t="e">
        <f t="shared" si="25"/>
        <v>#VALUE!</v>
      </c>
      <c r="AF571" s="21"/>
    </row>
    <row r="572" spans="24:32">
      <c r="X572" s="21">
        <f t="shared" si="24"/>
        <v>45871</v>
      </c>
      <c r="Y572" s="21">
        <f t="shared" si="26"/>
        <v>45871</v>
      </c>
      <c r="Z572" t="str">
        <f t="array" ref="Z572">_xlfn.XLOOKUP(INT(X572),INT($AE$2:$AE$1000),$AG$2:$AG$1000,"")</f>
        <v/>
      </c>
      <c r="AE572" s="21" t="e">
        <f t="shared" si="25"/>
        <v>#VALUE!</v>
      </c>
      <c r="AF572" s="21"/>
    </row>
    <row r="573" spans="24:32">
      <c r="X573" s="21">
        <f t="shared" si="24"/>
        <v>45871</v>
      </c>
      <c r="Y573" s="21">
        <f t="shared" si="26"/>
        <v>45871</v>
      </c>
      <c r="Z573" t="str">
        <f t="array" ref="Z573">_xlfn.XLOOKUP(INT(X573),INT($AE$2:$AE$1000),$AG$2:$AG$1000,"")</f>
        <v/>
      </c>
      <c r="AE573" s="21" t="e">
        <f t="shared" si="25"/>
        <v>#VALUE!</v>
      </c>
      <c r="AF573" s="21"/>
    </row>
    <row r="574" spans="24:32">
      <c r="X574" s="21">
        <f t="shared" si="24"/>
        <v>45871</v>
      </c>
      <c r="Y574" s="21">
        <f t="shared" si="26"/>
        <v>45871</v>
      </c>
      <c r="Z574" t="str">
        <f t="array" ref="Z574">_xlfn.XLOOKUP(INT(X574),INT($AE$2:$AE$1000),$AG$2:$AG$1000,"")</f>
        <v/>
      </c>
      <c r="AE574" s="21" t="e">
        <f t="shared" si="25"/>
        <v>#VALUE!</v>
      </c>
      <c r="AF574" s="21"/>
    </row>
    <row r="575" spans="24:32">
      <c r="AE575" s="21" t="e">
        <f t="shared" si="25"/>
        <v>#VALUE!</v>
      </c>
      <c r="AF575" s="21"/>
    </row>
    <row r="576" spans="24:32">
      <c r="AE576" s="21" t="e">
        <f t="shared" si="25"/>
        <v>#VALUE!</v>
      </c>
      <c r="AF576" s="21"/>
    </row>
    <row r="577" spans="31:32">
      <c r="AE577" s="21" t="e">
        <f t="shared" si="25"/>
        <v>#VALUE!</v>
      </c>
      <c r="AF577" s="21"/>
    </row>
    <row r="578" spans="31:32">
      <c r="AE578" s="21" t="e">
        <f t="shared" ref="AE578:AE641" si="27">IF(ISNUMBER(AF578),DATE(YEAR(AF578),DAY(AF578),MONTH(AF578)),DATE(RIGHT(AF578,4),LEFT(AF578,2),MID(AF578,4,2)))</f>
        <v>#VALUE!</v>
      </c>
    </row>
    <row r="579" spans="31:32">
      <c r="AE579" s="21" t="e">
        <f t="shared" si="27"/>
        <v>#VALUE!</v>
      </c>
    </row>
    <row r="580" spans="31:32">
      <c r="AE580" s="21" t="e">
        <f t="shared" si="27"/>
        <v>#VALUE!</v>
      </c>
    </row>
    <row r="581" spans="31:32">
      <c r="AE581" s="21" t="e">
        <f t="shared" si="27"/>
        <v>#VALUE!</v>
      </c>
    </row>
    <row r="582" spans="31:32">
      <c r="AE582" s="21" t="e">
        <f t="shared" si="27"/>
        <v>#VALUE!</v>
      </c>
    </row>
    <row r="583" spans="31:32">
      <c r="AE583" s="21" t="e">
        <f t="shared" si="27"/>
        <v>#VALUE!</v>
      </c>
    </row>
    <row r="584" spans="31:32">
      <c r="AE584" s="21" t="e">
        <f t="shared" si="27"/>
        <v>#VALUE!</v>
      </c>
    </row>
    <row r="585" spans="31:32">
      <c r="AE585" s="21" t="e">
        <f t="shared" si="27"/>
        <v>#VALUE!</v>
      </c>
    </row>
    <row r="586" spans="31:32">
      <c r="AE586" s="21" t="e">
        <f t="shared" si="27"/>
        <v>#VALUE!</v>
      </c>
    </row>
    <row r="587" spans="31:32">
      <c r="AE587" s="21" t="e">
        <f t="shared" si="27"/>
        <v>#VALUE!</v>
      </c>
    </row>
    <row r="588" spans="31:32">
      <c r="AE588" s="21" t="e">
        <f t="shared" si="27"/>
        <v>#VALUE!</v>
      </c>
    </row>
    <row r="589" spans="31:32">
      <c r="AE589" s="21" t="e">
        <f t="shared" si="27"/>
        <v>#VALUE!</v>
      </c>
    </row>
    <row r="590" spans="31:32">
      <c r="AE590" s="21" t="e">
        <f t="shared" si="27"/>
        <v>#VALUE!</v>
      </c>
    </row>
    <row r="591" spans="31:32">
      <c r="AE591" s="21" t="e">
        <f t="shared" si="27"/>
        <v>#VALUE!</v>
      </c>
      <c r="AF591" s="21"/>
    </row>
    <row r="592" spans="31:32">
      <c r="AE592" s="21" t="e">
        <f t="shared" si="27"/>
        <v>#VALUE!</v>
      </c>
      <c r="AF592" s="21"/>
    </row>
    <row r="593" spans="31:32">
      <c r="AE593" s="21" t="e">
        <f t="shared" si="27"/>
        <v>#VALUE!</v>
      </c>
      <c r="AF593" s="21"/>
    </row>
    <row r="594" spans="31:32">
      <c r="AE594" s="21" t="e">
        <f t="shared" si="27"/>
        <v>#VALUE!</v>
      </c>
      <c r="AF594" s="21"/>
    </row>
    <row r="595" spans="31:32">
      <c r="AE595" s="21" t="e">
        <f t="shared" si="27"/>
        <v>#VALUE!</v>
      </c>
      <c r="AF595" s="21"/>
    </row>
    <row r="596" spans="31:32">
      <c r="AE596" s="21" t="e">
        <f t="shared" si="27"/>
        <v>#VALUE!</v>
      </c>
      <c r="AF596" s="21"/>
    </row>
    <row r="597" spans="31:32">
      <c r="AE597" s="21" t="e">
        <f t="shared" si="27"/>
        <v>#VALUE!</v>
      </c>
      <c r="AF597" s="21"/>
    </row>
    <row r="598" spans="31:32">
      <c r="AE598" s="21" t="e">
        <f t="shared" si="27"/>
        <v>#VALUE!</v>
      </c>
      <c r="AF598" s="21"/>
    </row>
    <row r="599" spans="31:32">
      <c r="AE599" s="21" t="e">
        <f t="shared" si="27"/>
        <v>#VALUE!</v>
      </c>
    </row>
    <row r="600" spans="31:32">
      <c r="AE600" s="21" t="e">
        <f t="shared" si="27"/>
        <v>#VALUE!</v>
      </c>
    </row>
    <row r="601" spans="31:32">
      <c r="AE601" s="21" t="e">
        <f t="shared" si="27"/>
        <v>#VALUE!</v>
      </c>
    </row>
    <row r="602" spans="31:32">
      <c r="AE602" s="21" t="e">
        <f t="shared" si="27"/>
        <v>#VALUE!</v>
      </c>
    </row>
    <row r="603" spans="31:32">
      <c r="AE603" s="21" t="e">
        <f t="shared" si="27"/>
        <v>#VALUE!</v>
      </c>
    </row>
    <row r="604" spans="31:32">
      <c r="AE604" s="21" t="e">
        <f t="shared" si="27"/>
        <v>#VALUE!</v>
      </c>
    </row>
    <row r="605" spans="31:32">
      <c r="AE605" s="21" t="e">
        <f t="shared" si="27"/>
        <v>#VALUE!</v>
      </c>
    </row>
    <row r="606" spans="31:32">
      <c r="AE606" s="21" t="e">
        <f t="shared" si="27"/>
        <v>#VALUE!</v>
      </c>
    </row>
    <row r="607" spans="31:32">
      <c r="AE607" s="21" t="e">
        <f t="shared" si="27"/>
        <v>#VALUE!</v>
      </c>
    </row>
    <row r="608" spans="31:32">
      <c r="AE608" s="21" t="e">
        <f t="shared" si="27"/>
        <v>#VALUE!</v>
      </c>
    </row>
    <row r="609" spans="31:32">
      <c r="AE609" s="21" t="e">
        <f t="shared" si="27"/>
        <v>#VALUE!</v>
      </c>
    </row>
    <row r="610" spans="31:32">
      <c r="AE610" s="21" t="e">
        <f t="shared" si="27"/>
        <v>#VALUE!</v>
      </c>
    </row>
    <row r="611" spans="31:32">
      <c r="AE611" s="21" t="e">
        <f t="shared" si="27"/>
        <v>#VALUE!</v>
      </c>
      <c r="AF611" s="21"/>
    </row>
    <row r="612" spans="31:32">
      <c r="AE612" s="21" t="e">
        <f t="shared" si="27"/>
        <v>#VALUE!</v>
      </c>
      <c r="AF612" s="21"/>
    </row>
    <row r="613" spans="31:32">
      <c r="AE613" s="21" t="e">
        <f t="shared" si="27"/>
        <v>#VALUE!</v>
      </c>
      <c r="AF613" s="21"/>
    </row>
    <row r="614" spans="31:32">
      <c r="AE614" s="21" t="e">
        <f t="shared" si="27"/>
        <v>#VALUE!</v>
      </c>
      <c r="AF614" s="21"/>
    </row>
    <row r="615" spans="31:32">
      <c r="AE615" s="21" t="e">
        <f t="shared" si="27"/>
        <v>#VALUE!</v>
      </c>
      <c r="AF615" s="21"/>
    </row>
    <row r="616" spans="31:32">
      <c r="AE616" s="21" t="e">
        <f t="shared" si="27"/>
        <v>#VALUE!</v>
      </c>
      <c r="AF616" s="21"/>
    </row>
    <row r="617" spans="31:32">
      <c r="AE617" s="21" t="e">
        <f t="shared" si="27"/>
        <v>#VALUE!</v>
      </c>
      <c r="AF617" s="21"/>
    </row>
    <row r="618" spans="31:32">
      <c r="AE618" s="21" t="e">
        <f t="shared" si="27"/>
        <v>#VALUE!</v>
      </c>
      <c r="AF618" s="21"/>
    </row>
    <row r="619" spans="31:32">
      <c r="AE619" s="21" t="e">
        <f t="shared" si="27"/>
        <v>#VALUE!</v>
      </c>
      <c r="AF619" s="21"/>
    </row>
    <row r="620" spans="31:32">
      <c r="AE620" s="21" t="e">
        <f t="shared" si="27"/>
        <v>#VALUE!</v>
      </c>
      <c r="AF620" s="21"/>
    </row>
    <row r="621" spans="31:32">
      <c r="AE621" s="21" t="e">
        <f t="shared" si="27"/>
        <v>#VALUE!</v>
      </c>
    </row>
    <row r="622" spans="31:32">
      <c r="AE622" s="21" t="e">
        <f t="shared" si="27"/>
        <v>#VALUE!</v>
      </c>
    </row>
    <row r="623" spans="31:32">
      <c r="AE623" s="21" t="e">
        <f t="shared" si="27"/>
        <v>#VALUE!</v>
      </c>
    </row>
    <row r="624" spans="31:32">
      <c r="AE624" s="21" t="e">
        <f t="shared" si="27"/>
        <v>#VALUE!</v>
      </c>
    </row>
    <row r="625" spans="31:32">
      <c r="AE625" s="21" t="e">
        <f t="shared" si="27"/>
        <v>#VALUE!</v>
      </c>
    </row>
    <row r="626" spans="31:32">
      <c r="AE626" s="21" t="e">
        <f t="shared" si="27"/>
        <v>#VALUE!</v>
      </c>
    </row>
    <row r="627" spans="31:32">
      <c r="AE627" s="21" t="e">
        <f t="shared" si="27"/>
        <v>#VALUE!</v>
      </c>
    </row>
    <row r="628" spans="31:32">
      <c r="AE628" s="21" t="e">
        <f t="shared" si="27"/>
        <v>#VALUE!</v>
      </c>
    </row>
    <row r="629" spans="31:32">
      <c r="AE629" s="21" t="e">
        <f t="shared" si="27"/>
        <v>#VALUE!</v>
      </c>
    </row>
    <row r="630" spans="31:32">
      <c r="AE630" s="21" t="e">
        <f t="shared" si="27"/>
        <v>#VALUE!</v>
      </c>
    </row>
    <row r="631" spans="31:32">
      <c r="AE631" s="21" t="e">
        <f t="shared" si="27"/>
        <v>#VALUE!</v>
      </c>
    </row>
    <row r="632" spans="31:32">
      <c r="AE632" s="21" t="e">
        <f t="shared" si="27"/>
        <v>#VALUE!</v>
      </c>
    </row>
    <row r="633" spans="31:32">
      <c r="AE633" s="21" t="e">
        <f t="shared" si="27"/>
        <v>#VALUE!</v>
      </c>
      <c r="AF633" s="21"/>
    </row>
    <row r="634" spans="31:32">
      <c r="AE634" s="21" t="e">
        <f t="shared" si="27"/>
        <v>#VALUE!</v>
      </c>
      <c r="AF634" s="21"/>
    </row>
    <row r="635" spans="31:32">
      <c r="AE635" s="21" t="e">
        <f t="shared" si="27"/>
        <v>#VALUE!</v>
      </c>
      <c r="AF635" s="21"/>
    </row>
    <row r="636" spans="31:32">
      <c r="AE636" s="21" t="e">
        <f t="shared" si="27"/>
        <v>#VALUE!</v>
      </c>
      <c r="AF636" s="21"/>
    </row>
    <row r="637" spans="31:32">
      <c r="AE637" s="21" t="e">
        <f t="shared" si="27"/>
        <v>#VALUE!</v>
      </c>
      <c r="AF637" s="21"/>
    </row>
    <row r="638" spans="31:32">
      <c r="AE638" s="21" t="e">
        <f t="shared" si="27"/>
        <v>#VALUE!</v>
      </c>
      <c r="AF638" s="21"/>
    </row>
    <row r="639" spans="31:32">
      <c r="AE639" s="21" t="e">
        <f t="shared" si="27"/>
        <v>#VALUE!</v>
      </c>
      <c r="AF639" s="21"/>
    </row>
    <row r="640" spans="31:32">
      <c r="AE640" s="21" t="e">
        <f t="shared" si="27"/>
        <v>#VALUE!</v>
      </c>
    </row>
    <row r="641" spans="31:32">
      <c r="AE641" s="21" t="e">
        <f t="shared" si="27"/>
        <v>#VALUE!</v>
      </c>
    </row>
    <row r="642" spans="31:32">
      <c r="AE642" s="21" t="e">
        <f t="shared" ref="AE642:AE705" si="28">IF(ISNUMBER(AF642),DATE(YEAR(AF642),DAY(AF642),MONTH(AF642)),DATE(RIGHT(AF642,4),LEFT(AF642,2),MID(AF642,4,2)))</f>
        <v>#VALUE!</v>
      </c>
    </row>
    <row r="643" spans="31:32">
      <c r="AE643" s="21" t="e">
        <f t="shared" si="28"/>
        <v>#VALUE!</v>
      </c>
    </row>
    <row r="644" spans="31:32">
      <c r="AE644" s="21" t="e">
        <f t="shared" si="28"/>
        <v>#VALUE!</v>
      </c>
    </row>
    <row r="645" spans="31:32">
      <c r="AE645" s="21" t="e">
        <f t="shared" si="28"/>
        <v>#VALUE!</v>
      </c>
    </row>
    <row r="646" spans="31:32">
      <c r="AE646" s="21" t="e">
        <f t="shared" si="28"/>
        <v>#VALUE!</v>
      </c>
    </row>
    <row r="647" spans="31:32">
      <c r="AE647" s="21" t="e">
        <f t="shared" si="28"/>
        <v>#VALUE!</v>
      </c>
    </row>
    <row r="648" spans="31:32">
      <c r="AE648" s="21" t="e">
        <f t="shared" si="28"/>
        <v>#VALUE!</v>
      </c>
    </row>
    <row r="649" spans="31:32">
      <c r="AE649" s="21" t="e">
        <f t="shared" si="28"/>
        <v>#VALUE!</v>
      </c>
    </row>
    <row r="650" spans="31:32">
      <c r="AE650" s="21" t="e">
        <f t="shared" si="28"/>
        <v>#VALUE!</v>
      </c>
    </row>
    <row r="651" spans="31:32">
      <c r="AE651" s="21" t="e">
        <f t="shared" si="28"/>
        <v>#VALUE!</v>
      </c>
    </row>
    <row r="652" spans="31:32">
      <c r="AE652" s="21" t="e">
        <f t="shared" si="28"/>
        <v>#VALUE!</v>
      </c>
    </row>
    <row r="653" spans="31:32">
      <c r="AE653" s="21" t="e">
        <f t="shared" si="28"/>
        <v>#VALUE!</v>
      </c>
    </row>
    <row r="654" spans="31:32">
      <c r="AE654" s="21" t="e">
        <f t="shared" si="28"/>
        <v>#VALUE!</v>
      </c>
    </row>
    <row r="655" spans="31:32">
      <c r="AE655" s="21" t="e">
        <f t="shared" si="28"/>
        <v>#VALUE!</v>
      </c>
      <c r="AF655" s="21"/>
    </row>
    <row r="656" spans="31:32">
      <c r="AE656" s="21" t="e">
        <f t="shared" si="28"/>
        <v>#VALUE!</v>
      </c>
      <c r="AF656" s="21"/>
    </row>
    <row r="657" spans="31:32">
      <c r="AE657" s="21" t="e">
        <f t="shared" si="28"/>
        <v>#VALUE!</v>
      </c>
      <c r="AF657" s="21"/>
    </row>
    <row r="658" spans="31:32">
      <c r="AE658" s="21" t="e">
        <f t="shared" si="28"/>
        <v>#VALUE!</v>
      </c>
      <c r="AF658" s="21"/>
    </row>
    <row r="659" spans="31:32">
      <c r="AE659" s="21" t="e">
        <f t="shared" si="28"/>
        <v>#VALUE!</v>
      </c>
      <c r="AF659" s="21"/>
    </row>
    <row r="660" spans="31:32">
      <c r="AE660" s="21" t="e">
        <f t="shared" si="28"/>
        <v>#VALUE!</v>
      </c>
      <c r="AF660" s="21"/>
    </row>
    <row r="661" spans="31:32">
      <c r="AE661" s="21" t="e">
        <f t="shared" si="28"/>
        <v>#VALUE!</v>
      </c>
      <c r="AF661" s="21"/>
    </row>
    <row r="662" spans="31:32">
      <c r="AE662" s="21" t="e">
        <f t="shared" si="28"/>
        <v>#VALUE!</v>
      </c>
      <c r="AF662" s="21"/>
    </row>
    <row r="663" spans="31:32">
      <c r="AE663" s="21" t="e">
        <f t="shared" si="28"/>
        <v>#VALUE!</v>
      </c>
    </row>
    <row r="664" spans="31:32">
      <c r="AE664" s="21" t="e">
        <f t="shared" si="28"/>
        <v>#VALUE!</v>
      </c>
    </row>
    <row r="665" spans="31:32">
      <c r="AE665" s="21" t="e">
        <f t="shared" si="28"/>
        <v>#VALUE!</v>
      </c>
    </row>
    <row r="666" spans="31:32">
      <c r="AE666" s="21" t="e">
        <f t="shared" si="28"/>
        <v>#VALUE!</v>
      </c>
    </row>
    <row r="667" spans="31:32">
      <c r="AE667" s="21" t="e">
        <f t="shared" si="28"/>
        <v>#VALUE!</v>
      </c>
    </row>
    <row r="668" spans="31:32">
      <c r="AE668" s="21" t="e">
        <f t="shared" si="28"/>
        <v>#VALUE!</v>
      </c>
    </row>
    <row r="669" spans="31:32">
      <c r="AE669" s="21" t="e">
        <f t="shared" si="28"/>
        <v>#VALUE!</v>
      </c>
    </row>
    <row r="670" spans="31:32">
      <c r="AE670" s="21" t="e">
        <f t="shared" si="28"/>
        <v>#VALUE!</v>
      </c>
    </row>
    <row r="671" spans="31:32">
      <c r="AE671" s="21" t="e">
        <f t="shared" si="28"/>
        <v>#VALUE!</v>
      </c>
    </row>
    <row r="672" spans="31:32">
      <c r="AE672" s="21" t="e">
        <f t="shared" si="28"/>
        <v>#VALUE!</v>
      </c>
    </row>
    <row r="673" spans="31:32">
      <c r="AE673" s="21" t="e">
        <f t="shared" si="28"/>
        <v>#VALUE!</v>
      </c>
    </row>
    <row r="674" spans="31:32">
      <c r="AE674" s="21" t="e">
        <f t="shared" si="28"/>
        <v>#VALUE!</v>
      </c>
    </row>
    <row r="675" spans="31:32">
      <c r="AE675" s="21" t="e">
        <f t="shared" si="28"/>
        <v>#VALUE!</v>
      </c>
    </row>
    <row r="676" spans="31:32">
      <c r="AE676" s="21" t="e">
        <f t="shared" si="28"/>
        <v>#VALUE!</v>
      </c>
      <c r="AF676" s="21"/>
    </row>
    <row r="677" spans="31:32">
      <c r="AE677" s="21" t="e">
        <f t="shared" si="28"/>
        <v>#VALUE!</v>
      </c>
      <c r="AF677" s="21"/>
    </row>
    <row r="678" spans="31:32">
      <c r="AE678" s="21" t="e">
        <f t="shared" si="28"/>
        <v>#VALUE!</v>
      </c>
      <c r="AF678" s="21"/>
    </row>
    <row r="679" spans="31:32">
      <c r="AE679" s="21" t="e">
        <f t="shared" si="28"/>
        <v>#VALUE!</v>
      </c>
      <c r="AF679" s="21"/>
    </row>
    <row r="680" spans="31:32">
      <c r="AE680" s="21" t="e">
        <f t="shared" si="28"/>
        <v>#VALUE!</v>
      </c>
      <c r="AF680" s="21"/>
    </row>
    <row r="681" spans="31:32">
      <c r="AE681" s="21" t="e">
        <f t="shared" si="28"/>
        <v>#VALUE!</v>
      </c>
      <c r="AF681" s="21"/>
    </row>
    <row r="682" spans="31:32">
      <c r="AE682" s="21" t="e">
        <f t="shared" si="28"/>
        <v>#VALUE!</v>
      </c>
      <c r="AF682" s="21"/>
    </row>
    <row r="683" spans="31:32">
      <c r="AE683" s="21" t="e">
        <f t="shared" si="28"/>
        <v>#VALUE!</v>
      </c>
      <c r="AF683" s="21"/>
    </row>
    <row r="684" spans="31:32">
      <c r="AE684" s="21" t="e">
        <f t="shared" si="28"/>
        <v>#VALUE!</v>
      </c>
    </row>
    <row r="685" spans="31:32">
      <c r="AE685" s="21" t="e">
        <f t="shared" si="28"/>
        <v>#VALUE!</v>
      </c>
    </row>
    <row r="686" spans="31:32">
      <c r="AE686" s="21" t="e">
        <f t="shared" si="28"/>
        <v>#VALUE!</v>
      </c>
    </row>
    <row r="687" spans="31:32">
      <c r="AE687" s="21" t="e">
        <f t="shared" si="28"/>
        <v>#VALUE!</v>
      </c>
    </row>
    <row r="688" spans="31:32">
      <c r="AE688" s="21" t="e">
        <f t="shared" si="28"/>
        <v>#VALUE!</v>
      </c>
    </row>
    <row r="689" spans="31:32">
      <c r="AE689" s="21" t="e">
        <f t="shared" si="28"/>
        <v>#VALUE!</v>
      </c>
    </row>
    <row r="690" spans="31:32">
      <c r="AE690" s="21" t="e">
        <f t="shared" si="28"/>
        <v>#VALUE!</v>
      </c>
    </row>
    <row r="691" spans="31:32">
      <c r="AE691" s="21" t="e">
        <f t="shared" si="28"/>
        <v>#VALUE!</v>
      </c>
    </row>
    <row r="692" spans="31:32">
      <c r="AE692" s="21" t="e">
        <f t="shared" si="28"/>
        <v>#VALUE!</v>
      </c>
    </row>
    <row r="693" spans="31:32">
      <c r="AE693" s="21" t="e">
        <f t="shared" si="28"/>
        <v>#VALUE!</v>
      </c>
    </row>
    <row r="694" spans="31:32">
      <c r="AE694" s="21" t="e">
        <f t="shared" si="28"/>
        <v>#VALUE!</v>
      </c>
    </row>
    <row r="695" spans="31:32">
      <c r="AE695" s="21" t="e">
        <f t="shared" si="28"/>
        <v>#VALUE!</v>
      </c>
    </row>
    <row r="696" spans="31:32">
      <c r="AE696" s="21" t="e">
        <f t="shared" si="28"/>
        <v>#VALUE!</v>
      </c>
    </row>
    <row r="697" spans="31:32">
      <c r="AE697" s="21" t="e">
        <f t="shared" si="28"/>
        <v>#VALUE!</v>
      </c>
      <c r="AF697" s="21"/>
    </row>
    <row r="698" spans="31:32">
      <c r="AE698" s="21" t="e">
        <f t="shared" si="28"/>
        <v>#VALUE!</v>
      </c>
      <c r="AF698" s="21"/>
    </row>
    <row r="699" spans="31:32">
      <c r="AE699" s="21" t="e">
        <f t="shared" si="28"/>
        <v>#VALUE!</v>
      </c>
      <c r="AF699" s="21"/>
    </row>
    <row r="700" spans="31:32">
      <c r="AE700" s="21" t="e">
        <f t="shared" si="28"/>
        <v>#VALUE!</v>
      </c>
      <c r="AF700" s="21"/>
    </row>
    <row r="701" spans="31:32">
      <c r="AE701" s="21" t="e">
        <f t="shared" si="28"/>
        <v>#VALUE!</v>
      </c>
      <c r="AF701" s="21"/>
    </row>
    <row r="702" spans="31:32">
      <c r="AE702" s="21" t="e">
        <f t="shared" si="28"/>
        <v>#VALUE!</v>
      </c>
      <c r="AF702" s="21"/>
    </row>
    <row r="703" spans="31:32">
      <c r="AE703" s="21" t="e">
        <f t="shared" si="28"/>
        <v>#VALUE!</v>
      </c>
      <c r="AF703" s="21"/>
    </row>
    <row r="704" spans="31:32">
      <c r="AE704" s="21" t="e">
        <f t="shared" si="28"/>
        <v>#VALUE!</v>
      </c>
      <c r="AF704" s="21"/>
    </row>
    <row r="705" spans="31:32">
      <c r="AE705" s="21" t="e">
        <f t="shared" si="28"/>
        <v>#VALUE!</v>
      </c>
    </row>
    <row r="706" spans="31:32">
      <c r="AE706" s="21" t="e">
        <f t="shared" ref="AE706:AE769" si="29">IF(ISNUMBER(AF706),DATE(YEAR(AF706),DAY(AF706),MONTH(AF706)),DATE(RIGHT(AF706,4),LEFT(AF706,2),MID(AF706,4,2)))</f>
        <v>#VALUE!</v>
      </c>
    </row>
    <row r="707" spans="31:32">
      <c r="AE707" s="21" t="e">
        <f t="shared" si="29"/>
        <v>#VALUE!</v>
      </c>
    </row>
    <row r="708" spans="31:32">
      <c r="AE708" s="21" t="e">
        <f t="shared" si="29"/>
        <v>#VALUE!</v>
      </c>
    </row>
    <row r="709" spans="31:32">
      <c r="AE709" s="21" t="e">
        <f t="shared" si="29"/>
        <v>#VALUE!</v>
      </c>
    </row>
    <row r="710" spans="31:32">
      <c r="AE710" s="21" t="e">
        <f t="shared" si="29"/>
        <v>#VALUE!</v>
      </c>
    </row>
    <row r="711" spans="31:32">
      <c r="AE711" s="21" t="e">
        <f t="shared" si="29"/>
        <v>#VALUE!</v>
      </c>
    </row>
    <row r="712" spans="31:32">
      <c r="AE712" s="21" t="e">
        <f t="shared" si="29"/>
        <v>#VALUE!</v>
      </c>
    </row>
    <row r="713" spans="31:32">
      <c r="AE713" s="21" t="e">
        <f t="shared" si="29"/>
        <v>#VALUE!</v>
      </c>
    </row>
    <row r="714" spans="31:32">
      <c r="AE714" s="21" t="e">
        <f t="shared" si="29"/>
        <v>#VALUE!</v>
      </c>
    </row>
    <row r="715" spans="31:32">
      <c r="AE715" s="21" t="e">
        <f t="shared" si="29"/>
        <v>#VALUE!</v>
      </c>
    </row>
    <row r="716" spans="31:32">
      <c r="AE716" s="21" t="e">
        <f t="shared" si="29"/>
        <v>#VALUE!</v>
      </c>
    </row>
    <row r="717" spans="31:32">
      <c r="AE717" s="21" t="e">
        <f t="shared" si="29"/>
        <v>#VALUE!</v>
      </c>
    </row>
    <row r="718" spans="31:32">
      <c r="AE718" s="21" t="e">
        <f t="shared" si="29"/>
        <v>#VALUE!</v>
      </c>
    </row>
    <row r="719" spans="31:32">
      <c r="AE719" s="21" t="e">
        <f t="shared" si="29"/>
        <v>#VALUE!</v>
      </c>
      <c r="AF719" s="21"/>
    </row>
    <row r="720" spans="31:32">
      <c r="AE720" s="21" t="e">
        <f t="shared" si="29"/>
        <v>#VALUE!</v>
      </c>
      <c r="AF720" s="21"/>
    </row>
    <row r="721" spans="31:32">
      <c r="AE721" s="21" t="e">
        <f t="shared" si="29"/>
        <v>#VALUE!</v>
      </c>
      <c r="AF721" s="21"/>
    </row>
    <row r="722" spans="31:32">
      <c r="AE722" s="21" t="e">
        <f t="shared" si="29"/>
        <v>#VALUE!</v>
      </c>
      <c r="AF722" s="21"/>
    </row>
    <row r="723" spans="31:32">
      <c r="AE723" s="21" t="e">
        <f t="shared" si="29"/>
        <v>#VALUE!</v>
      </c>
      <c r="AF723" s="21"/>
    </row>
    <row r="724" spans="31:32">
      <c r="AE724" s="21" t="e">
        <f t="shared" si="29"/>
        <v>#VALUE!</v>
      </c>
      <c r="AF724" s="21"/>
    </row>
    <row r="725" spans="31:32">
      <c r="AE725" s="21" t="e">
        <f t="shared" si="29"/>
        <v>#VALUE!</v>
      </c>
      <c r="AF725" s="21"/>
    </row>
    <row r="726" spans="31:32">
      <c r="AE726" s="21" t="e">
        <f t="shared" si="29"/>
        <v>#VALUE!</v>
      </c>
      <c r="AF726" s="21"/>
    </row>
    <row r="727" spans="31:32">
      <c r="AE727" s="21" t="e">
        <f t="shared" si="29"/>
        <v>#VALUE!</v>
      </c>
      <c r="AF727" s="21"/>
    </row>
    <row r="728" spans="31:32">
      <c r="AE728" s="21" t="e">
        <f t="shared" si="29"/>
        <v>#VALUE!</v>
      </c>
    </row>
    <row r="729" spans="31:32">
      <c r="AE729" s="21" t="e">
        <f t="shared" si="29"/>
        <v>#VALUE!</v>
      </c>
    </row>
    <row r="730" spans="31:32">
      <c r="AE730" s="21" t="e">
        <f t="shared" si="29"/>
        <v>#VALUE!</v>
      </c>
    </row>
    <row r="731" spans="31:32">
      <c r="AE731" s="21" t="e">
        <f t="shared" si="29"/>
        <v>#VALUE!</v>
      </c>
    </row>
    <row r="732" spans="31:32">
      <c r="AE732" s="21" t="e">
        <f t="shared" si="29"/>
        <v>#VALUE!</v>
      </c>
    </row>
    <row r="733" spans="31:32">
      <c r="AE733" s="21" t="e">
        <f t="shared" si="29"/>
        <v>#VALUE!</v>
      </c>
    </row>
    <row r="734" spans="31:32">
      <c r="AE734" s="21" t="e">
        <f t="shared" si="29"/>
        <v>#VALUE!</v>
      </c>
    </row>
    <row r="735" spans="31:32">
      <c r="AE735" s="21" t="e">
        <f t="shared" si="29"/>
        <v>#VALUE!</v>
      </c>
    </row>
    <row r="736" spans="31:32">
      <c r="AE736" s="21" t="e">
        <f t="shared" si="29"/>
        <v>#VALUE!</v>
      </c>
    </row>
    <row r="737" spans="31:32">
      <c r="AE737" s="21" t="e">
        <f t="shared" si="29"/>
        <v>#VALUE!</v>
      </c>
    </row>
    <row r="738" spans="31:32">
      <c r="AE738" s="21" t="e">
        <f t="shared" si="29"/>
        <v>#VALUE!</v>
      </c>
    </row>
    <row r="739" spans="31:32">
      <c r="AE739" s="21" t="e">
        <f t="shared" si="29"/>
        <v>#VALUE!</v>
      </c>
      <c r="AF739" s="21"/>
    </row>
    <row r="740" spans="31:32">
      <c r="AE740" s="21" t="e">
        <f t="shared" si="29"/>
        <v>#VALUE!</v>
      </c>
      <c r="AF740" s="21"/>
    </row>
    <row r="741" spans="31:32">
      <c r="AE741" s="21" t="e">
        <f t="shared" si="29"/>
        <v>#VALUE!</v>
      </c>
      <c r="AF741" s="21"/>
    </row>
    <row r="742" spans="31:32">
      <c r="AE742" s="21" t="e">
        <f t="shared" si="29"/>
        <v>#VALUE!</v>
      </c>
      <c r="AF742" s="21"/>
    </row>
    <row r="743" spans="31:32">
      <c r="AE743" s="21" t="e">
        <f t="shared" si="29"/>
        <v>#VALUE!</v>
      </c>
      <c r="AF743" s="21"/>
    </row>
    <row r="744" spans="31:32">
      <c r="AE744" s="21" t="e">
        <f t="shared" si="29"/>
        <v>#VALUE!</v>
      </c>
      <c r="AF744" s="21"/>
    </row>
    <row r="745" spans="31:32">
      <c r="AE745" s="21" t="e">
        <f t="shared" si="29"/>
        <v>#VALUE!</v>
      </c>
      <c r="AF745" s="21"/>
    </row>
    <row r="746" spans="31:32">
      <c r="AE746" s="21" t="e">
        <f t="shared" si="29"/>
        <v>#VALUE!</v>
      </c>
      <c r="AF746" s="21"/>
    </row>
    <row r="747" spans="31:32">
      <c r="AE747" s="21" t="e">
        <f t="shared" si="29"/>
        <v>#VALUE!</v>
      </c>
      <c r="AF747" s="21"/>
    </row>
    <row r="748" spans="31:32">
      <c r="AE748" s="21" t="e">
        <f t="shared" si="29"/>
        <v>#VALUE!</v>
      </c>
    </row>
    <row r="749" spans="31:32">
      <c r="AE749" s="21" t="e">
        <f t="shared" si="29"/>
        <v>#VALUE!</v>
      </c>
    </row>
    <row r="750" spans="31:32">
      <c r="AE750" s="21" t="e">
        <f t="shared" si="29"/>
        <v>#VALUE!</v>
      </c>
    </row>
    <row r="751" spans="31:32">
      <c r="AE751" s="21" t="e">
        <f t="shared" si="29"/>
        <v>#VALUE!</v>
      </c>
    </row>
    <row r="752" spans="31:32">
      <c r="AE752" s="21" t="e">
        <f t="shared" si="29"/>
        <v>#VALUE!</v>
      </c>
    </row>
    <row r="753" spans="31:32">
      <c r="AE753" s="21" t="e">
        <f t="shared" si="29"/>
        <v>#VALUE!</v>
      </c>
    </row>
    <row r="754" spans="31:32">
      <c r="AE754" s="21" t="e">
        <f t="shared" si="29"/>
        <v>#VALUE!</v>
      </c>
    </row>
    <row r="755" spans="31:32">
      <c r="AE755" s="21" t="e">
        <f t="shared" si="29"/>
        <v>#VALUE!</v>
      </c>
    </row>
    <row r="756" spans="31:32">
      <c r="AE756" s="21" t="e">
        <f t="shared" si="29"/>
        <v>#VALUE!</v>
      </c>
    </row>
    <row r="757" spans="31:32">
      <c r="AE757" s="21" t="e">
        <f t="shared" si="29"/>
        <v>#VALUE!</v>
      </c>
    </row>
    <row r="758" spans="31:32">
      <c r="AE758" s="21" t="e">
        <f t="shared" si="29"/>
        <v>#VALUE!</v>
      </c>
    </row>
    <row r="759" spans="31:32">
      <c r="AE759" s="21" t="e">
        <f t="shared" si="29"/>
        <v>#VALUE!</v>
      </c>
    </row>
    <row r="760" spans="31:32">
      <c r="AE760" s="21" t="e">
        <f t="shared" si="29"/>
        <v>#VALUE!</v>
      </c>
    </row>
    <row r="761" spans="31:32">
      <c r="AE761" s="21" t="e">
        <f t="shared" si="29"/>
        <v>#VALUE!</v>
      </c>
      <c r="AF761" s="21"/>
    </row>
    <row r="762" spans="31:32">
      <c r="AE762" s="21" t="e">
        <f t="shared" si="29"/>
        <v>#VALUE!</v>
      </c>
      <c r="AF762" s="21"/>
    </row>
    <row r="763" spans="31:32">
      <c r="AE763" s="21" t="e">
        <f t="shared" si="29"/>
        <v>#VALUE!</v>
      </c>
      <c r="AF763" s="21"/>
    </row>
    <row r="764" spans="31:32">
      <c r="AE764" s="21" t="e">
        <f t="shared" si="29"/>
        <v>#VALUE!</v>
      </c>
      <c r="AF764" s="21"/>
    </row>
    <row r="765" spans="31:32">
      <c r="AE765" s="21" t="e">
        <f t="shared" si="29"/>
        <v>#VALUE!</v>
      </c>
      <c r="AF765" s="21"/>
    </row>
    <row r="766" spans="31:32">
      <c r="AE766" s="21" t="e">
        <f t="shared" si="29"/>
        <v>#VALUE!</v>
      </c>
      <c r="AF766" s="21"/>
    </row>
    <row r="767" spans="31:32">
      <c r="AE767" s="21" t="e">
        <f t="shared" si="29"/>
        <v>#VALUE!</v>
      </c>
      <c r="AF767" s="21"/>
    </row>
    <row r="768" spans="31:32">
      <c r="AE768" s="21" t="e">
        <f t="shared" si="29"/>
        <v>#VALUE!</v>
      </c>
    </row>
    <row r="769" spans="31:32">
      <c r="AE769" s="21" t="e">
        <f t="shared" si="29"/>
        <v>#VALUE!</v>
      </c>
    </row>
    <row r="770" spans="31:32">
      <c r="AE770" s="21" t="e">
        <f t="shared" ref="AE770:AE776" si="30">IF(ISNUMBER(AF770),DATE(YEAR(AF770),DAY(AF770),MONTH(AF770)),DATE(RIGHT(AF770,4),LEFT(AF770,2),MID(AF770,4,2)))</f>
        <v>#VALUE!</v>
      </c>
    </row>
    <row r="771" spans="31:32">
      <c r="AE771" s="21" t="e">
        <f t="shared" si="30"/>
        <v>#VALUE!</v>
      </c>
    </row>
    <row r="772" spans="31:32">
      <c r="AE772" s="21" t="e">
        <f t="shared" si="30"/>
        <v>#VALUE!</v>
      </c>
    </row>
    <row r="773" spans="31:32">
      <c r="AE773" s="21" t="e">
        <f t="shared" si="30"/>
        <v>#VALUE!</v>
      </c>
    </row>
    <row r="774" spans="31:32">
      <c r="AE774" s="21" t="e">
        <f t="shared" si="30"/>
        <v>#VALUE!</v>
      </c>
    </row>
    <row r="775" spans="31:32">
      <c r="AE775" s="21" t="e">
        <f t="shared" si="30"/>
        <v>#VALUE!</v>
      </c>
    </row>
    <row r="776" spans="31:32">
      <c r="AE776" s="21" t="e">
        <f t="shared" si="30"/>
        <v>#VALUE!</v>
      </c>
    </row>
    <row r="781" spans="31:32">
      <c r="AF781" s="21"/>
    </row>
    <row r="782" spans="31:32">
      <c r="AF782" s="21"/>
    </row>
    <row r="783" spans="31:32">
      <c r="AF783" s="21"/>
    </row>
    <row r="784" spans="31:32">
      <c r="AF784" s="21"/>
    </row>
    <row r="785" spans="32:32">
      <c r="AF785" s="21"/>
    </row>
    <row r="786" spans="32:32">
      <c r="AF786" s="21"/>
    </row>
    <row r="787" spans="32:32">
      <c r="AF787" s="21"/>
    </row>
    <row r="788" spans="32:32">
      <c r="AF788" s="21"/>
    </row>
    <row r="789" spans="32:32">
      <c r="AF789" s="21"/>
    </row>
    <row r="790" spans="32:32">
      <c r="AF790" s="21"/>
    </row>
    <row r="800" spans="32:32">
      <c r="AF800" s="21"/>
    </row>
    <row r="801" spans="32:32">
      <c r="AF801" s="21"/>
    </row>
    <row r="802" spans="32:32">
      <c r="AF802" s="21"/>
    </row>
    <row r="803" spans="32:32">
      <c r="AF803" s="21"/>
    </row>
    <row r="804" spans="32:32">
      <c r="AF804" s="21"/>
    </row>
    <row r="805" spans="32:32">
      <c r="AF805" s="21"/>
    </row>
    <row r="806" spans="32:32">
      <c r="AF806" s="21"/>
    </row>
    <row r="807" spans="32:32">
      <c r="AF807" s="21"/>
    </row>
    <row r="808" spans="32:32">
      <c r="AF808" s="21"/>
    </row>
    <row r="809" spans="32:32">
      <c r="AF809" s="21"/>
    </row>
    <row r="823" spans="32:32">
      <c r="AF823" s="21"/>
    </row>
    <row r="824" spans="32:32">
      <c r="AF824" s="21"/>
    </row>
    <row r="825" spans="32:32">
      <c r="AF825" s="21"/>
    </row>
    <row r="826" spans="32:32">
      <c r="AF826" s="21"/>
    </row>
    <row r="827" spans="32:32">
      <c r="AF827" s="21"/>
    </row>
    <row r="828" spans="32:32">
      <c r="AF828" s="21"/>
    </row>
    <row r="829" spans="32:32">
      <c r="AF829" s="21"/>
    </row>
    <row r="844" spans="32:32">
      <c r="AF844" s="21"/>
    </row>
    <row r="845" spans="32:32">
      <c r="AF845" s="21"/>
    </row>
    <row r="846" spans="32:32">
      <c r="AF846" s="21"/>
    </row>
    <row r="847" spans="32:32">
      <c r="AF847" s="21"/>
    </row>
    <row r="848" spans="32:32">
      <c r="AF848" s="21"/>
    </row>
    <row r="849" spans="32:32">
      <c r="AF849" s="21"/>
    </row>
    <row r="850" spans="32:32">
      <c r="AF850" s="21"/>
    </row>
    <row r="851" spans="32:32">
      <c r="AF851" s="21"/>
    </row>
    <row r="864" spans="32:32">
      <c r="AF864" s="21"/>
    </row>
    <row r="865" spans="32:32">
      <c r="AF865" s="21"/>
    </row>
    <row r="866" spans="32:32">
      <c r="AF866" s="21"/>
    </row>
    <row r="867" spans="32:32">
      <c r="AF867" s="21"/>
    </row>
    <row r="868" spans="32:32">
      <c r="AF868" s="21"/>
    </row>
    <row r="869" spans="32:32">
      <c r="AF869" s="21"/>
    </row>
    <row r="870" spans="32:32">
      <c r="AF870" s="21"/>
    </row>
    <row r="871" spans="32:32">
      <c r="AF871" s="21"/>
    </row>
    <row r="872" spans="32:32">
      <c r="AF872" s="21"/>
    </row>
    <row r="886" spans="32:32">
      <c r="AF886" s="21"/>
    </row>
    <row r="887" spans="32:32">
      <c r="AF887" s="21"/>
    </row>
    <row r="888" spans="32:32">
      <c r="AF888" s="21"/>
    </row>
    <row r="889" spans="32:32">
      <c r="AF889" s="21"/>
    </row>
    <row r="890" spans="32:32">
      <c r="AF890" s="21"/>
    </row>
    <row r="891" spans="32:32">
      <c r="AF891" s="21"/>
    </row>
    <row r="892" spans="32:32">
      <c r="AF892" s="21"/>
    </row>
    <row r="907" spans="32:32">
      <c r="AF907" s="21"/>
    </row>
    <row r="908" spans="32:32">
      <c r="AF908" s="21"/>
    </row>
    <row r="909" spans="32:32">
      <c r="AF909" s="21"/>
    </row>
    <row r="910" spans="32:32">
      <c r="AF910" s="21"/>
    </row>
    <row r="911" spans="32:32">
      <c r="AF911" s="21"/>
    </row>
    <row r="912" spans="32:32">
      <c r="AF912" s="21"/>
    </row>
    <row r="913" spans="32:32">
      <c r="AF913" s="21"/>
    </row>
    <row r="914" spans="32:32">
      <c r="AF914" s="21"/>
    </row>
    <row r="915" spans="32:32">
      <c r="AF915" s="21"/>
    </row>
    <row r="929" spans="32:32">
      <c r="AF929" s="21"/>
    </row>
    <row r="930" spans="32:32">
      <c r="AF930" s="21"/>
    </row>
    <row r="931" spans="32:32">
      <c r="AF931" s="21"/>
    </row>
    <row r="932" spans="32:32">
      <c r="AF932" s="21"/>
    </row>
    <row r="933" spans="32:32">
      <c r="AF933" s="21"/>
    </row>
    <row r="934" spans="32:32">
      <c r="AF934" s="21"/>
    </row>
    <row r="935" spans="32:32">
      <c r="AF935" s="21"/>
    </row>
    <row r="950" spans="32:32">
      <c r="AF950" s="21"/>
    </row>
    <row r="951" spans="32:32">
      <c r="AF951" s="21"/>
    </row>
    <row r="952" spans="32:32">
      <c r="AF952" s="21"/>
    </row>
    <row r="953" spans="32:32">
      <c r="AF953" s="21"/>
    </row>
    <row r="954" spans="32:32">
      <c r="AF954" s="21"/>
    </row>
    <row r="955" spans="32:32">
      <c r="AF955" s="21"/>
    </row>
    <row r="956" spans="32:32">
      <c r="AF956" s="21"/>
    </row>
    <row r="957" spans="32:32">
      <c r="AF957" s="21"/>
    </row>
    <row r="971" spans="32:32">
      <c r="AF971" s="21"/>
    </row>
    <row r="972" spans="32:32">
      <c r="AF972" s="21"/>
    </row>
    <row r="973" spans="32:32">
      <c r="AF973" s="21"/>
    </row>
    <row r="974" spans="32:32">
      <c r="AF974" s="21"/>
    </row>
    <row r="975" spans="32:32">
      <c r="AF975" s="21"/>
    </row>
    <row r="976" spans="32:32">
      <c r="AF976" s="21"/>
    </row>
    <row r="977" spans="32:32">
      <c r="AF977" s="21"/>
    </row>
    <row r="978" spans="32:32">
      <c r="AF978" s="21"/>
    </row>
    <row r="979" spans="32:32">
      <c r="AF979" s="21"/>
    </row>
    <row r="980" spans="32:32">
      <c r="AF980" s="21"/>
    </row>
    <row r="992" spans="32:32">
      <c r="AF992" s="21"/>
    </row>
    <row r="993" spans="32:32">
      <c r="AF993" s="21"/>
    </row>
    <row r="994" spans="32:32">
      <c r="AF994" s="21"/>
    </row>
    <row r="995" spans="32:32">
      <c r="AF995" s="21"/>
    </row>
    <row r="996" spans="32:32">
      <c r="AF996" s="21"/>
    </row>
    <row r="997" spans="32:32">
      <c r="AF997" s="21"/>
    </row>
    <row r="998" spans="32:32">
      <c r="AF998" s="21"/>
    </row>
    <row r="999" spans="32:32">
      <c r="AF999" s="21"/>
    </row>
    <row r="1014" spans="32:32">
      <c r="AF1014" s="21"/>
    </row>
    <row r="1015" spans="32:32">
      <c r="AF1015" s="21"/>
    </row>
    <row r="1016" spans="32:32">
      <c r="AF1016" s="21"/>
    </row>
    <row r="1017" spans="32:32">
      <c r="AF1017" s="21"/>
    </row>
    <row r="1018" spans="32:32">
      <c r="AF1018" s="21"/>
    </row>
    <row r="1019" spans="32:32">
      <c r="AF1019" s="21"/>
    </row>
    <row r="1020" spans="32:32">
      <c r="AF1020" s="21"/>
    </row>
    <row r="1021" spans="32:32">
      <c r="AF1021" s="21"/>
    </row>
    <row r="1035" spans="32:32">
      <c r="AF1035" s="21"/>
    </row>
    <row r="1036" spans="32:32">
      <c r="AF1036" s="21"/>
    </row>
    <row r="1037" spans="32:32">
      <c r="AF1037" s="21"/>
    </row>
    <row r="1038" spans="32:32">
      <c r="AF1038" s="21"/>
    </row>
    <row r="1039" spans="32:32">
      <c r="AF1039" s="21"/>
    </row>
    <row r="1040" spans="32:32">
      <c r="AF1040" s="21"/>
    </row>
    <row r="1041" spans="32:32">
      <c r="AF1041" s="21"/>
    </row>
    <row r="1042" spans="32:32">
      <c r="AF1042" s="21"/>
    </row>
    <row r="1043" spans="32:32">
      <c r="AF1043" s="21"/>
    </row>
    <row r="1054" spans="32:32">
      <c r="AF1054" s="21"/>
    </row>
    <row r="1055" spans="32:32">
      <c r="AF1055" s="21"/>
    </row>
    <row r="1056" spans="32:32">
      <c r="AF1056" s="21"/>
    </row>
    <row r="1057" spans="32:32">
      <c r="AF1057" s="21"/>
    </row>
    <row r="1058" spans="32:32">
      <c r="AF1058" s="21"/>
    </row>
    <row r="1059" spans="32:32">
      <c r="AF1059" s="21"/>
    </row>
    <row r="1060" spans="32:32">
      <c r="AF1060" s="21"/>
    </row>
    <row r="1061" spans="32:32">
      <c r="AF1061" s="21"/>
    </row>
    <row r="1062" spans="32:32">
      <c r="AF1062" s="21"/>
    </row>
    <row r="1077" spans="32:32">
      <c r="AF1077" s="21"/>
    </row>
    <row r="1078" spans="32:32">
      <c r="AF1078" s="21"/>
    </row>
    <row r="1079" spans="32:32">
      <c r="AF1079" s="21"/>
    </row>
    <row r="1080" spans="32:32">
      <c r="AF1080" s="21"/>
    </row>
    <row r="1081" spans="32:32">
      <c r="AF1081" s="21"/>
    </row>
    <row r="1082" spans="32:32">
      <c r="AF1082" s="21"/>
    </row>
    <row r="1083" spans="32:32">
      <c r="AF1083" s="21"/>
    </row>
    <row r="1096" spans="32:32">
      <c r="AF1096" s="21"/>
    </row>
    <row r="1097" spans="32:32">
      <c r="AF1097" s="21"/>
    </row>
    <row r="1098" spans="32:32">
      <c r="AF1098" s="21"/>
    </row>
    <row r="1099" spans="32:32">
      <c r="AF1099" s="21"/>
    </row>
    <row r="1100" spans="32:32">
      <c r="AF1100" s="21"/>
    </row>
    <row r="1101" spans="32:32">
      <c r="AF1101" s="21"/>
    </row>
    <row r="1102" spans="32:32">
      <c r="AF1102" s="21"/>
    </row>
    <row r="1103" spans="32:32">
      <c r="AF1103" s="21"/>
    </row>
    <row r="1104" spans="32:32">
      <c r="AF1104" s="21"/>
    </row>
    <row r="1117" spans="32:32">
      <c r="AF1117" s="21"/>
    </row>
    <row r="1118" spans="32:32">
      <c r="AF1118" s="21"/>
    </row>
    <row r="1119" spans="32:32">
      <c r="AF1119" s="21"/>
    </row>
    <row r="1120" spans="32:32">
      <c r="AF1120" s="21"/>
    </row>
    <row r="1121" spans="32:32">
      <c r="AF1121" s="21"/>
    </row>
    <row r="1122" spans="32:32">
      <c r="AF1122" s="21"/>
    </row>
    <row r="1123" spans="32:32">
      <c r="AF1123" s="21"/>
    </row>
    <row r="1124" spans="32:32">
      <c r="AF1124" s="21"/>
    </row>
    <row r="1139" spans="32:32">
      <c r="AF1139" s="21"/>
    </row>
    <row r="1140" spans="32:32">
      <c r="AF1140" s="21"/>
    </row>
    <row r="1141" spans="32:32">
      <c r="AF1141" s="21"/>
    </row>
    <row r="1142" spans="32:32">
      <c r="AF1142" s="21"/>
    </row>
    <row r="1143" spans="32:32">
      <c r="AF1143" s="21"/>
    </row>
    <row r="1144" spans="32:32">
      <c r="AF1144" s="21"/>
    </row>
    <row r="1145" spans="32:32">
      <c r="AF1145" s="21"/>
    </row>
    <row r="1159" spans="32:32">
      <c r="AF1159" s="21"/>
    </row>
    <row r="1160" spans="32:32">
      <c r="AF1160" s="21"/>
    </row>
    <row r="1161" spans="32:32">
      <c r="AF1161" s="21"/>
    </row>
    <row r="1162" spans="32:32">
      <c r="AF1162" s="21"/>
    </row>
    <row r="1163" spans="32:32">
      <c r="AF1163" s="21"/>
    </row>
    <row r="1164" spans="32:32">
      <c r="AF1164" s="21"/>
    </row>
    <row r="1165" spans="32:32">
      <c r="AF1165" s="21"/>
    </row>
    <row r="1166" spans="32:32">
      <c r="AF1166" s="21"/>
    </row>
    <row r="1167" spans="32:32">
      <c r="AF1167" s="21"/>
    </row>
    <row r="1168" spans="32:32">
      <c r="AF1168" s="21"/>
    </row>
    <row r="1182" spans="32:32">
      <c r="AF1182" s="21"/>
    </row>
    <row r="1183" spans="32:32">
      <c r="AF1183" s="21"/>
    </row>
    <row r="1184" spans="32:32">
      <c r="AF1184" s="21"/>
    </row>
    <row r="1185" spans="32:32">
      <c r="AF1185" s="21"/>
    </row>
    <row r="1186" spans="32:32">
      <c r="AF1186" s="21"/>
    </row>
    <row r="1187" spans="32:32">
      <c r="AF1187" s="21"/>
    </row>
    <row r="1188" spans="32:32">
      <c r="AF1188" s="21"/>
    </row>
    <row r="1203" spans="32:32">
      <c r="AF1203" s="21"/>
    </row>
    <row r="1204" spans="32:32">
      <c r="AF1204" s="21"/>
    </row>
    <row r="1205" spans="32:32">
      <c r="AF1205" s="21"/>
    </row>
    <row r="1206" spans="32:32">
      <c r="AF1206" s="21"/>
    </row>
    <row r="1207" spans="32:32">
      <c r="AF1207" s="21"/>
    </row>
    <row r="1208" spans="32:32">
      <c r="AF1208" s="21"/>
    </row>
    <row r="1209" spans="32:32">
      <c r="AF1209" s="21"/>
    </row>
    <row r="1210" spans="32:32">
      <c r="AF1210" s="21"/>
    </row>
    <row r="1224" spans="32:32">
      <c r="AF1224" s="21"/>
    </row>
    <row r="1225" spans="32:32">
      <c r="AF1225" s="21"/>
    </row>
    <row r="1226" spans="32:32">
      <c r="AF1226" s="21"/>
    </row>
    <row r="1227" spans="32:32">
      <c r="AF1227" s="21"/>
    </row>
    <row r="1228" spans="32:32">
      <c r="AF1228" s="21"/>
    </row>
    <row r="1229" spans="32:32">
      <c r="AF1229" s="21"/>
    </row>
    <row r="1230" spans="32:32">
      <c r="AF1230" s="21"/>
    </row>
    <row r="1231" spans="32:32">
      <c r="AF1231" s="21"/>
    </row>
    <row r="1232" spans="32:32">
      <c r="AF1232" s="21"/>
    </row>
    <row r="1245" spans="32:32">
      <c r="AF1245" s="21"/>
    </row>
    <row r="1246" spans="32:32">
      <c r="AF1246" s="21"/>
    </row>
    <row r="1247" spans="32:32">
      <c r="AF1247" s="21"/>
    </row>
    <row r="1248" spans="32:32">
      <c r="AF1248" s="21"/>
    </row>
    <row r="1249" spans="32:32">
      <c r="AF1249" s="21"/>
    </row>
    <row r="1250" spans="32:32">
      <c r="AF1250" s="21"/>
    </row>
    <row r="1251" spans="32:32">
      <c r="AF1251" s="21"/>
    </row>
    <row r="1252" spans="32:32">
      <c r="AF1252" s="21"/>
    </row>
    <row r="1266" spans="32:32">
      <c r="AF1266" s="21"/>
    </row>
    <row r="1267" spans="32:32">
      <c r="AF1267" s="21"/>
    </row>
    <row r="1268" spans="32:32">
      <c r="AF1268" s="21"/>
    </row>
    <row r="1269" spans="32:32">
      <c r="AF1269" s="21"/>
    </row>
    <row r="1270" spans="32:32">
      <c r="AF1270" s="21"/>
    </row>
    <row r="1271" spans="32:32">
      <c r="AF1271" s="21"/>
    </row>
    <row r="1272" spans="32:32">
      <c r="AF1272" s="21"/>
    </row>
    <row r="1273" spans="32:32">
      <c r="AF1273" s="21"/>
    </row>
    <row r="1287" spans="32:32">
      <c r="AF1287" s="21"/>
    </row>
    <row r="1288" spans="32:32">
      <c r="AF1288" s="21"/>
    </row>
    <row r="1289" spans="32:32">
      <c r="AF1289" s="21"/>
    </row>
    <row r="1290" spans="32:32">
      <c r="AF1290" s="21"/>
    </row>
    <row r="1291" spans="32:32">
      <c r="AF1291" s="21"/>
    </row>
    <row r="1292" spans="32:32">
      <c r="AF1292" s="21"/>
    </row>
    <row r="1293" spans="32:32">
      <c r="AF1293" s="21"/>
    </row>
    <row r="1294" spans="32:32">
      <c r="AF1294" s="21"/>
    </row>
    <row r="1306" spans="32:32">
      <c r="AF1306" s="21"/>
    </row>
    <row r="1307" spans="32:32">
      <c r="AF1307" s="21"/>
    </row>
    <row r="1308" spans="32:32">
      <c r="AF1308" s="21"/>
    </row>
    <row r="1309" spans="32:32">
      <c r="AF1309" s="21"/>
    </row>
    <row r="1310" spans="32:32">
      <c r="AF1310" s="21"/>
    </row>
    <row r="1311" spans="32:32">
      <c r="AF1311" s="21"/>
    </row>
    <row r="1312" spans="32:32">
      <c r="AF1312" s="21"/>
    </row>
    <row r="1313" spans="32:32">
      <c r="AF1313" s="21"/>
    </row>
    <row r="1329" spans="32:32">
      <c r="AF1329" s="21"/>
    </row>
    <row r="1330" spans="32:32">
      <c r="AF1330" s="21"/>
    </row>
    <row r="1331" spans="32:32">
      <c r="AF1331" s="21"/>
    </row>
    <row r="1332" spans="32:32">
      <c r="AF1332" s="21"/>
    </row>
    <row r="1333" spans="32:32">
      <c r="AF1333" s="21"/>
    </row>
    <row r="1334" spans="32:32">
      <c r="AF1334" s="21"/>
    </row>
    <row r="1335" spans="32:32">
      <c r="AF1335" s="21"/>
    </row>
    <row r="1336" spans="32:32">
      <c r="AF1336" s="21"/>
    </row>
    <row r="1348" spans="32:32">
      <c r="AF1348" s="21"/>
    </row>
    <row r="1349" spans="32:32">
      <c r="AF1349" s="21"/>
    </row>
    <row r="1350" spans="32:32">
      <c r="AF1350" s="21"/>
    </row>
    <row r="1351" spans="32:32">
      <c r="AF1351" s="21"/>
    </row>
    <row r="1352" spans="32:32">
      <c r="AF1352" s="21"/>
    </row>
    <row r="1353" spans="32:32">
      <c r="AF1353" s="21"/>
    </row>
    <row r="1354" spans="32:32">
      <c r="AF1354" s="21"/>
    </row>
    <row r="1355" spans="32:32">
      <c r="AF1355" s="21"/>
    </row>
    <row r="1356" spans="32:32">
      <c r="AF1356" s="21"/>
    </row>
    <row r="1357" spans="32:32">
      <c r="AF1357" s="21"/>
    </row>
    <row r="1370" spans="32:32">
      <c r="AF1370" s="21"/>
    </row>
    <row r="1371" spans="32:32">
      <c r="AF1371" s="21"/>
    </row>
    <row r="1372" spans="32:32">
      <c r="AF1372" s="21"/>
    </row>
    <row r="1373" spans="32:32">
      <c r="AF1373" s="21"/>
    </row>
    <row r="1374" spans="32:32">
      <c r="AF1374" s="21"/>
    </row>
    <row r="1375" spans="32:32">
      <c r="AF1375" s="21"/>
    </row>
    <row r="1376" spans="32:32">
      <c r="AF1376" s="21"/>
    </row>
    <row r="1377" spans="32:32">
      <c r="AF1377" s="21"/>
    </row>
    <row r="1392" spans="32:32">
      <c r="AF1392" s="21"/>
    </row>
    <row r="1393" spans="32:32">
      <c r="AF1393" s="21"/>
    </row>
    <row r="1394" spans="32:32">
      <c r="AF1394" s="21"/>
    </row>
    <row r="1395" spans="32:32">
      <c r="AF1395" s="21"/>
    </row>
    <row r="1396" spans="32:32">
      <c r="AF1396" s="21"/>
    </row>
    <row r="1397" spans="32:32">
      <c r="AF1397" s="21"/>
    </row>
    <row r="1398" spans="32:32">
      <c r="AF1398" s="21"/>
    </row>
    <row r="1412" spans="32:32">
      <c r="AF1412" s="21"/>
    </row>
    <row r="1413" spans="32:32">
      <c r="AF1413" s="21"/>
    </row>
    <row r="1414" spans="32:32">
      <c r="AF1414" s="21"/>
    </row>
    <row r="1415" spans="32:32">
      <c r="AF1415" s="21"/>
    </row>
    <row r="1416" spans="32:32">
      <c r="AF1416" s="21"/>
    </row>
    <row r="1417" spans="32:32">
      <c r="AF1417" s="21"/>
    </row>
    <row r="1418" spans="32:32">
      <c r="AF1418" s="21"/>
    </row>
    <row r="1419" spans="32:32">
      <c r="AF1419" s="21"/>
    </row>
    <row r="1420" spans="32:32">
      <c r="AF1420" s="21"/>
    </row>
    <row r="1435" spans="32:32">
      <c r="AF1435" s="21"/>
    </row>
    <row r="1436" spans="32:32">
      <c r="AF1436" s="21"/>
    </row>
    <row r="1437" spans="32:32">
      <c r="AF1437" s="21"/>
    </row>
    <row r="1438" spans="32:32">
      <c r="AF1438" s="21"/>
    </row>
    <row r="1439" spans="32:32">
      <c r="AF1439" s="21"/>
    </row>
    <row r="1440" spans="32:32">
      <c r="AF1440" s="21"/>
    </row>
    <row r="1441" spans="32:32">
      <c r="AF1441" s="21"/>
    </row>
    <row r="1455" spans="32:32">
      <c r="AF1455" s="21"/>
    </row>
    <row r="1456" spans="32:32">
      <c r="AF1456" s="21"/>
    </row>
    <row r="1457" spans="32:32">
      <c r="AF1457" s="21"/>
    </row>
    <row r="1458" spans="32:32">
      <c r="AF1458" s="21"/>
    </row>
    <row r="1459" spans="32:32">
      <c r="AF1459" s="21"/>
    </row>
    <row r="1460" spans="32:32">
      <c r="AF1460" s="21"/>
    </row>
    <row r="1461" spans="32:32">
      <c r="AF1461" s="21"/>
    </row>
    <row r="1462" spans="32:32">
      <c r="AF1462" s="21"/>
    </row>
    <row r="1463" spans="32:32">
      <c r="AF1463" s="21"/>
    </row>
    <row r="1477" spans="32:32">
      <c r="AF1477" s="21"/>
    </row>
    <row r="1478" spans="32:32">
      <c r="AF1478" s="21"/>
    </row>
    <row r="1479" spans="32:32">
      <c r="AF1479" s="21"/>
    </row>
    <row r="1480" spans="32:32">
      <c r="AF1480" s="21"/>
    </row>
    <row r="1481" spans="32:32">
      <c r="AF1481" s="21"/>
    </row>
    <row r="1482" spans="32:32">
      <c r="AF1482" s="21"/>
    </row>
    <row r="1483" spans="32:32">
      <c r="AF1483" s="21"/>
    </row>
    <row r="1484" spans="32:32">
      <c r="AF1484" s="21"/>
    </row>
    <row r="1498" spans="32:32">
      <c r="AF1498" s="21"/>
    </row>
    <row r="1499" spans="32:32">
      <c r="AF1499" s="21"/>
    </row>
    <row r="1500" spans="32:32">
      <c r="AF1500" s="21"/>
    </row>
    <row r="1501" spans="32:32">
      <c r="AF1501" s="21"/>
    </row>
    <row r="1502" spans="32:32">
      <c r="AF1502" s="21"/>
    </row>
    <row r="1503" spans="32:32">
      <c r="AF1503" s="21"/>
    </row>
    <row r="1504" spans="32:32">
      <c r="AF1504" s="21"/>
    </row>
    <row r="1505" spans="32:32">
      <c r="AF1505" s="21"/>
    </row>
    <row r="1518" spans="32:32">
      <c r="AF1518" s="21"/>
    </row>
    <row r="1519" spans="32:32">
      <c r="AF1519" s="21"/>
    </row>
    <row r="1520" spans="32:32">
      <c r="AF1520" s="21"/>
    </row>
    <row r="1521" spans="32:32">
      <c r="AF1521" s="21"/>
    </row>
    <row r="1522" spans="32:32">
      <c r="AF1522" s="21"/>
    </row>
    <row r="1523" spans="32:32">
      <c r="AF1523" s="21"/>
    </row>
    <row r="1524" spans="32:32">
      <c r="AF1524" s="21"/>
    </row>
    <row r="1525" spans="32:32">
      <c r="AF1525" s="21"/>
    </row>
    <row r="1526" spans="32:32">
      <c r="AF1526" s="21"/>
    </row>
    <row r="1540" spans="32:32">
      <c r="AF1540" s="21"/>
    </row>
    <row r="1541" spans="32:32">
      <c r="AF1541" s="21"/>
    </row>
    <row r="1542" spans="32:32">
      <c r="AF1542" s="21"/>
    </row>
    <row r="1543" spans="32:32">
      <c r="AF1543" s="21"/>
    </row>
    <row r="1544" spans="32:32">
      <c r="AF1544" s="21"/>
    </row>
    <row r="1545" spans="32:32">
      <c r="AF1545" s="21"/>
    </row>
    <row r="1546" spans="32:32">
      <c r="AF1546" s="21"/>
    </row>
    <row r="1547" spans="32:32">
      <c r="AF1547" s="21"/>
    </row>
    <row r="1560" spans="32:32">
      <c r="AF1560" s="21"/>
    </row>
    <row r="1561" spans="32:32">
      <c r="AF1561" s="21"/>
    </row>
    <row r="1562" spans="32:32">
      <c r="AF1562" s="21"/>
    </row>
    <row r="1563" spans="32:32">
      <c r="AF1563" s="21"/>
    </row>
    <row r="1564" spans="32:32">
      <c r="AF1564" s="21"/>
    </row>
    <row r="1565" spans="32:32">
      <c r="AF1565" s="21"/>
    </row>
    <row r="1566" spans="32:32">
      <c r="AF1566" s="21"/>
    </row>
    <row r="1567" spans="32:32">
      <c r="AF1567" s="21"/>
    </row>
    <row r="1581" spans="32:32">
      <c r="AF1581" s="21"/>
    </row>
    <row r="1582" spans="32:32">
      <c r="AF1582" s="21"/>
    </row>
    <row r="1583" spans="32:32">
      <c r="AF1583" s="21"/>
    </row>
    <row r="1584" spans="32:32">
      <c r="AF1584" s="21"/>
    </row>
    <row r="1585" spans="32:32">
      <c r="AF1585" s="21"/>
    </row>
    <row r="1586" spans="32:32">
      <c r="AF1586" s="21"/>
    </row>
    <row r="1587" spans="32:32">
      <c r="AF1587" s="21"/>
    </row>
    <row r="1588" spans="32:32">
      <c r="AF1588" s="21"/>
    </row>
    <row r="1589" spans="32:32">
      <c r="AF1589" s="21"/>
    </row>
    <row r="1602" spans="32:32">
      <c r="AF1602" s="21"/>
    </row>
    <row r="1603" spans="32:32">
      <c r="AF1603" s="21"/>
    </row>
    <row r="1604" spans="32:32">
      <c r="AF1604" s="21"/>
    </row>
    <row r="1605" spans="32:32">
      <c r="AF1605" s="21"/>
    </row>
    <row r="1606" spans="32:32">
      <c r="AF1606" s="21"/>
    </row>
    <row r="1607" spans="32:32">
      <c r="AF1607" s="21"/>
    </row>
    <row r="1608" spans="32:32">
      <c r="AF1608" s="21"/>
    </row>
    <row r="1609" spans="32:32">
      <c r="AF1609" s="21"/>
    </row>
    <row r="1624" spans="32:32">
      <c r="AF1624" s="21"/>
    </row>
    <row r="1625" spans="32:32">
      <c r="AF1625" s="21"/>
    </row>
    <row r="1626" spans="32:32">
      <c r="AF1626" s="21"/>
    </row>
    <row r="1627" spans="32:32">
      <c r="AF1627" s="21"/>
    </row>
    <row r="1628" spans="32:32">
      <c r="AF1628" s="21"/>
    </row>
    <row r="1629" spans="32:32">
      <c r="AF1629" s="21"/>
    </row>
    <row r="1630" spans="32:32">
      <c r="AF1630" s="21"/>
    </row>
    <row r="1631" spans="32:32">
      <c r="AF1631" s="21"/>
    </row>
    <row r="1644" spans="32:32">
      <c r="AF1644" s="21"/>
    </row>
    <row r="1645" spans="32:32">
      <c r="AF1645" s="21"/>
    </row>
    <row r="1646" spans="32:32">
      <c r="AF1646" s="21"/>
    </row>
    <row r="1647" spans="32:32">
      <c r="AF1647" s="21"/>
    </row>
    <row r="1648" spans="32:32">
      <c r="AF1648" s="21"/>
    </row>
    <row r="1649" spans="32:32">
      <c r="AF1649" s="21"/>
    </row>
    <row r="1650" spans="32:32">
      <c r="AF1650" s="21"/>
    </row>
    <row r="1651" spans="32:32">
      <c r="AF1651" s="21"/>
    </row>
    <row r="1652" spans="32:32">
      <c r="AF1652" s="21"/>
    </row>
    <row r="1666" spans="32:32">
      <c r="AF1666" s="21"/>
    </row>
    <row r="1667" spans="32:32">
      <c r="AF1667" s="21"/>
    </row>
    <row r="1668" spans="32:32">
      <c r="AF1668" s="21"/>
    </row>
    <row r="1669" spans="32:32">
      <c r="AF1669" s="21"/>
    </row>
    <row r="1670" spans="32:32">
      <c r="AF1670" s="21"/>
    </row>
    <row r="1671" spans="32:32">
      <c r="AF1671" s="21"/>
    </row>
    <row r="1672" spans="32:32">
      <c r="AF1672" s="21"/>
    </row>
    <row r="1673" spans="32:32">
      <c r="AF1673" s="21"/>
    </row>
    <row r="1688" spans="32:32">
      <c r="AF1688" s="21"/>
    </row>
    <row r="1689" spans="32:32">
      <c r="AF1689" s="21"/>
    </row>
    <row r="1690" spans="32:32">
      <c r="AF1690" s="21"/>
    </row>
    <row r="1691" spans="32:32">
      <c r="AF1691" s="21"/>
    </row>
    <row r="1692" spans="32:32">
      <c r="AF1692" s="21"/>
    </row>
    <row r="1693" spans="32:32">
      <c r="AF1693" s="21"/>
    </row>
    <row r="1694" spans="32:32">
      <c r="AF1694" s="21"/>
    </row>
    <row r="1695" spans="32:32">
      <c r="AF1695" s="21"/>
    </row>
    <row r="1708" spans="32:32">
      <c r="AF1708" s="21"/>
    </row>
    <row r="1709" spans="32:32">
      <c r="AF1709" s="21"/>
    </row>
    <row r="1710" spans="32:32">
      <c r="AF1710" s="21"/>
    </row>
    <row r="1711" spans="32:32">
      <c r="AF1711" s="21"/>
    </row>
    <row r="1712" spans="32:32">
      <c r="AF1712" s="21"/>
    </row>
    <row r="1713" spans="32:32">
      <c r="AF1713" s="21"/>
    </row>
    <row r="1714" spans="32:32">
      <c r="AF1714" s="21"/>
    </row>
    <row r="1715" spans="32:32">
      <c r="AF1715" s="21"/>
    </row>
    <row r="1716" spans="32:32">
      <c r="AF1716" s="21"/>
    </row>
    <row r="1731" spans="32:32">
      <c r="AF1731" s="21"/>
    </row>
    <row r="1732" spans="32:32">
      <c r="AF1732" s="21"/>
    </row>
    <row r="1733" spans="32:32">
      <c r="AF1733" s="21"/>
    </row>
    <row r="1734" spans="32:32">
      <c r="AF1734" s="21"/>
    </row>
    <row r="1735" spans="32:32">
      <c r="AF1735" s="21"/>
    </row>
    <row r="1736" spans="32:32">
      <c r="AF1736" s="21"/>
    </row>
    <row r="1737" spans="32:32">
      <c r="AF1737" s="21"/>
    </row>
    <row r="1738" spans="32:32">
      <c r="AF1738" s="21"/>
    </row>
    <row r="1751" spans="32:32">
      <c r="AF1751" s="21"/>
    </row>
    <row r="1752" spans="32:32">
      <c r="AF1752" s="21"/>
    </row>
    <row r="1753" spans="32:32">
      <c r="AF1753" s="21"/>
    </row>
    <row r="1754" spans="32:32">
      <c r="AF1754" s="21"/>
    </row>
    <row r="1755" spans="32:32">
      <c r="AF1755" s="21"/>
    </row>
    <row r="1756" spans="32:32">
      <c r="AF1756" s="21"/>
    </row>
    <row r="1757" spans="32:32">
      <c r="AF1757" s="21"/>
    </row>
    <row r="1758" spans="32:32">
      <c r="AF1758" s="21"/>
    </row>
    <row r="1759" spans="32:32">
      <c r="AF1759" s="21"/>
    </row>
    <row r="1772" spans="32:32">
      <c r="AF1772" s="21"/>
    </row>
    <row r="1773" spans="32:32">
      <c r="AF1773" s="21"/>
    </row>
    <row r="1774" spans="32:32">
      <c r="AF1774" s="21"/>
    </row>
    <row r="1775" spans="32:32">
      <c r="AF1775" s="21"/>
    </row>
    <row r="1776" spans="32:32">
      <c r="AF1776" s="21"/>
    </row>
    <row r="1777" spans="32:32">
      <c r="AF1777" s="21"/>
    </row>
    <row r="1778" spans="32:32">
      <c r="AF1778" s="21"/>
    </row>
    <row r="1793" spans="32:32">
      <c r="AF1793" s="21"/>
    </row>
    <row r="1794" spans="32:32">
      <c r="AF1794" s="21"/>
    </row>
    <row r="1795" spans="32:32">
      <c r="AF1795" s="21"/>
    </row>
    <row r="1796" spans="32:32">
      <c r="AF1796" s="21"/>
    </row>
    <row r="1797" spans="32:32">
      <c r="AF1797" s="21"/>
    </row>
    <row r="1798" spans="32:32">
      <c r="AF1798" s="21"/>
    </row>
    <row r="1799" spans="32:32">
      <c r="AF1799" s="21"/>
    </row>
    <row r="1800" spans="32:32">
      <c r="AF1800" s="21"/>
    </row>
    <row r="1812" spans="32:32">
      <c r="AF1812" s="21"/>
    </row>
    <row r="1813" spans="32:32">
      <c r="AF1813" s="21"/>
    </row>
    <row r="1814" spans="32:32">
      <c r="AF1814" s="21"/>
    </row>
    <row r="1815" spans="32:32">
      <c r="AF1815" s="21"/>
    </row>
    <row r="1816" spans="32:32">
      <c r="AF1816" s="21"/>
    </row>
    <row r="1817" spans="32:32">
      <c r="AF1817" s="21"/>
    </row>
    <row r="1818" spans="32:32">
      <c r="AF1818" s="21"/>
    </row>
    <row r="1819" spans="32:32">
      <c r="AF1819" s="21"/>
    </row>
    <row r="1832" spans="32:32">
      <c r="AF1832" s="21"/>
    </row>
    <row r="1833" spans="32:32">
      <c r="AF1833" s="21"/>
    </row>
    <row r="1834" spans="32:32">
      <c r="AF1834" s="21"/>
    </row>
    <row r="1835" spans="32:32">
      <c r="AF1835" s="21"/>
    </row>
    <row r="1836" spans="32:32">
      <c r="AF1836" s="21"/>
    </row>
    <row r="1837" spans="32:32">
      <c r="AF1837" s="21"/>
    </row>
    <row r="1838" spans="32:32">
      <c r="AF1838" s="21"/>
    </row>
    <row r="1839" spans="32:32">
      <c r="AF1839" s="21"/>
    </row>
    <row r="1840" spans="32:32">
      <c r="AF1840" s="21"/>
    </row>
    <row r="1854" spans="32:32">
      <c r="AF1854" s="21"/>
    </row>
    <row r="1855" spans="32:32">
      <c r="AF1855" s="21"/>
    </row>
    <row r="1856" spans="32:32">
      <c r="AF1856" s="21"/>
    </row>
    <row r="1857" spans="32:32">
      <c r="AF1857" s="21"/>
    </row>
    <row r="1858" spans="32:32">
      <c r="AF1858" s="21"/>
    </row>
    <row r="1859" spans="32:32">
      <c r="AF1859" s="21"/>
    </row>
    <row r="1860" spans="32:32">
      <c r="AF1860" s="21"/>
    </row>
    <row r="1861" spans="32:32">
      <c r="AF1861" s="21"/>
    </row>
    <row r="1875" spans="32:32">
      <c r="AF1875" s="21"/>
    </row>
    <row r="1876" spans="32:32">
      <c r="AF1876" s="21"/>
    </row>
    <row r="1877" spans="32:32">
      <c r="AF1877" s="21"/>
    </row>
    <row r="1878" spans="32:32">
      <c r="AF1878" s="21"/>
    </row>
    <row r="1879" spans="32:32">
      <c r="AF1879" s="21"/>
    </row>
    <row r="1880" spans="32:32">
      <c r="AF1880" s="21"/>
    </row>
    <row r="1881" spans="32:32">
      <c r="AF1881" s="21"/>
    </row>
    <row r="1882" spans="32:32">
      <c r="AF1882" s="21"/>
    </row>
    <row r="1883" spans="32:32">
      <c r="AF1883" s="21"/>
    </row>
    <row r="1896" spans="32:32">
      <c r="AF1896" s="21"/>
    </row>
    <row r="1897" spans="32:32">
      <c r="AF1897" s="21"/>
    </row>
    <row r="1898" spans="32:32">
      <c r="AF1898" s="21"/>
    </row>
    <row r="1899" spans="32:32">
      <c r="AF1899" s="21"/>
    </row>
    <row r="1900" spans="32:32">
      <c r="AF1900" s="21"/>
    </row>
    <row r="1901" spans="32:32">
      <c r="AF1901" s="21"/>
    </row>
    <row r="1902" spans="32:32">
      <c r="AF1902" s="21"/>
    </row>
    <row r="1903" spans="32:32">
      <c r="AF1903" s="21"/>
    </row>
    <row r="1918" spans="32:32">
      <c r="AF1918" s="21"/>
    </row>
    <row r="1919" spans="32:32">
      <c r="AF1919" s="21"/>
    </row>
    <row r="1920" spans="32:32">
      <c r="AF1920" s="21"/>
    </row>
    <row r="1921" spans="32:32">
      <c r="AF1921" s="21"/>
    </row>
    <row r="1922" spans="32:32">
      <c r="AF1922" s="21"/>
    </row>
    <row r="1923" spans="32:32">
      <c r="AF1923" s="21"/>
    </row>
    <row r="1924" spans="32:32">
      <c r="AF1924" s="21"/>
    </row>
    <row r="1925" spans="32:32">
      <c r="AF1925" s="21"/>
    </row>
    <row r="1939" spans="32:32">
      <c r="AF1939" s="21"/>
    </row>
    <row r="1940" spans="32:32">
      <c r="AF1940" s="21"/>
    </row>
    <row r="1941" spans="32:32">
      <c r="AF1941" s="21"/>
    </row>
    <row r="1942" spans="32:32">
      <c r="AF1942" s="21"/>
    </row>
    <row r="1943" spans="32:32">
      <c r="AF1943" s="21"/>
    </row>
    <row r="1944" spans="32:32">
      <c r="AF1944" s="21"/>
    </row>
    <row r="1945" spans="32:32">
      <c r="AF1945" s="21"/>
    </row>
    <row r="1946" spans="32:32">
      <c r="AF1946" s="21"/>
    </row>
    <row r="1947" spans="32:32">
      <c r="AF1947" s="21"/>
    </row>
    <row r="1960" spans="32:32">
      <c r="AF1960" s="21"/>
    </row>
    <row r="1961" spans="32:32">
      <c r="AF1961" s="21"/>
    </row>
    <row r="1962" spans="32:32">
      <c r="AF1962" s="21"/>
    </row>
    <row r="1963" spans="32:32">
      <c r="AF1963" s="21"/>
    </row>
    <row r="1964" spans="32:32">
      <c r="AF1964" s="21"/>
    </row>
    <row r="1965" spans="32:32">
      <c r="AF1965" s="21"/>
    </row>
    <row r="1966" spans="32:32">
      <c r="AF1966" s="21"/>
    </row>
    <row r="1967" spans="32:32">
      <c r="AF1967" s="21"/>
    </row>
    <row r="1983" spans="32:32">
      <c r="AF1983" s="21"/>
    </row>
    <row r="1984" spans="32:32">
      <c r="AF1984" s="21"/>
    </row>
    <row r="1985" spans="32:32">
      <c r="AF1985" s="21"/>
    </row>
    <row r="1986" spans="32:32">
      <c r="AF1986" s="21"/>
    </row>
    <row r="1987" spans="32:32">
      <c r="AF1987" s="21"/>
    </row>
    <row r="1988" spans="32:32">
      <c r="AF1988" s="21"/>
    </row>
    <row r="1989" spans="32:32">
      <c r="AF1989" s="21"/>
    </row>
    <row r="1990" spans="32:32">
      <c r="AF1990" s="21"/>
    </row>
    <row r="2001" spans="32:32">
      <c r="AF2001" s="21"/>
    </row>
    <row r="2002" spans="32:32">
      <c r="AF2002" s="21"/>
    </row>
    <row r="2003" spans="32:32">
      <c r="AF2003" s="21"/>
    </row>
    <row r="2004" spans="32:32">
      <c r="AF2004" s="21"/>
    </row>
    <row r="2005" spans="32:32">
      <c r="AF2005" s="21"/>
    </row>
    <row r="2006" spans="32:32">
      <c r="AF2006" s="21"/>
    </row>
    <row r="2007" spans="32:32">
      <c r="AF2007" s="21"/>
    </row>
    <row r="2008" spans="32:32">
      <c r="AF2008" s="21"/>
    </row>
    <row r="2009" spans="32:32">
      <c r="AF2009" s="21"/>
    </row>
    <row r="2010" spans="32:32">
      <c r="AF2010" s="21"/>
    </row>
    <row r="2023" spans="32:32">
      <c r="AF2023" s="21"/>
    </row>
    <row r="2024" spans="32:32">
      <c r="AF2024" s="21"/>
    </row>
    <row r="2025" spans="32:32">
      <c r="AF2025" s="21"/>
    </row>
    <row r="2026" spans="32:32">
      <c r="AF2026" s="21"/>
    </row>
    <row r="2027" spans="32:32">
      <c r="AF2027" s="21"/>
    </row>
    <row r="2028" spans="32:32">
      <c r="AF2028" s="21"/>
    </row>
    <row r="2029" spans="32:32">
      <c r="AF2029" s="21"/>
    </row>
    <row r="2043" spans="32:32">
      <c r="AF2043" s="21"/>
    </row>
    <row r="2044" spans="32:32">
      <c r="AF2044" s="21"/>
    </row>
    <row r="2045" spans="32:32">
      <c r="AF2045" s="21"/>
    </row>
    <row r="2046" spans="32:32">
      <c r="AF2046" s="21"/>
    </row>
    <row r="2047" spans="32:32">
      <c r="AF2047" s="21"/>
    </row>
    <row r="2048" spans="32:32">
      <c r="AF2048" s="21"/>
    </row>
    <row r="2049" spans="32:32">
      <c r="AF2049" s="21"/>
    </row>
    <row r="2050" spans="32:32">
      <c r="AF2050" s="21"/>
    </row>
    <row r="2051" spans="32:32">
      <c r="AF2051" s="21"/>
    </row>
    <row r="2062" spans="32:32">
      <c r="AF2062" s="21"/>
    </row>
    <row r="2063" spans="32:32">
      <c r="AF2063" s="21"/>
    </row>
    <row r="2064" spans="32:32">
      <c r="AF2064" s="21"/>
    </row>
    <row r="2065" spans="32:32">
      <c r="AF2065" s="21"/>
    </row>
    <row r="2066" spans="32:32">
      <c r="AF2066" s="21"/>
    </row>
    <row r="2067" spans="32:32">
      <c r="AF2067" s="21"/>
    </row>
    <row r="2068" spans="32:32">
      <c r="AF2068" s="21"/>
    </row>
    <row r="2069" spans="32:32">
      <c r="AF2069" s="21"/>
    </row>
    <row r="2070" spans="32:32">
      <c r="AF2070" s="21"/>
    </row>
    <row r="2084" spans="32:32">
      <c r="AF2084" s="21"/>
    </row>
    <row r="2085" spans="32:32">
      <c r="AF2085" s="21"/>
    </row>
    <row r="2086" spans="32:32">
      <c r="AF2086" s="21"/>
    </row>
    <row r="2087" spans="32:32">
      <c r="AF2087" s="21"/>
    </row>
    <row r="2088" spans="32:32">
      <c r="AF2088" s="21"/>
    </row>
    <row r="2089" spans="32:32">
      <c r="AF2089" s="21"/>
    </row>
    <row r="2090" spans="32:32">
      <c r="AF2090" s="21"/>
    </row>
    <row r="2105" spans="32:32">
      <c r="AF2105" s="21"/>
    </row>
    <row r="2106" spans="32:32">
      <c r="AF2106" s="21"/>
    </row>
    <row r="2107" spans="32:32">
      <c r="AF2107" s="21"/>
    </row>
    <row r="2108" spans="32:32">
      <c r="AF2108" s="21"/>
    </row>
    <row r="2109" spans="32:32">
      <c r="AF2109" s="21"/>
    </row>
    <row r="2110" spans="32:32">
      <c r="AF2110" s="21"/>
    </row>
    <row r="2111" spans="32:32">
      <c r="AF2111" s="21"/>
    </row>
    <row r="2112" spans="32:32">
      <c r="AF2112" s="21"/>
    </row>
    <row r="2125" spans="32:32">
      <c r="AF2125" s="21"/>
    </row>
    <row r="2126" spans="32:32">
      <c r="AF2126" s="21"/>
    </row>
    <row r="2127" spans="32:32">
      <c r="AF2127" s="21"/>
    </row>
    <row r="2128" spans="32:32">
      <c r="AF2128" s="21"/>
    </row>
    <row r="2129" spans="32:32">
      <c r="AF2129" s="21"/>
    </row>
    <row r="2130" spans="32:32">
      <c r="AF2130" s="21"/>
    </row>
    <row r="2131" spans="32:32">
      <c r="AF2131" s="21"/>
    </row>
    <row r="2132" spans="32:32">
      <c r="AF2132" s="21"/>
    </row>
    <row r="2133" spans="32:32">
      <c r="AF2133" s="21"/>
    </row>
    <row r="2134" spans="32:32">
      <c r="AF2134" s="21"/>
    </row>
    <row r="2147" spans="32:32">
      <c r="AF2147" s="21"/>
    </row>
    <row r="2148" spans="32:32">
      <c r="AF2148" s="21"/>
    </row>
    <row r="2149" spans="32:32">
      <c r="AF2149" s="21"/>
    </row>
    <row r="2150" spans="32:32">
      <c r="AF2150" s="21"/>
    </row>
    <row r="2151" spans="32:32">
      <c r="AF2151" s="21"/>
    </row>
    <row r="2152" spans="32:32">
      <c r="AF2152" s="21"/>
    </row>
    <row r="2153" spans="32:32">
      <c r="AF2153" s="21"/>
    </row>
    <row r="2169" spans="32:32">
      <c r="AF2169" s="21"/>
    </row>
    <row r="2170" spans="32:32">
      <c r="AF2170" s="21"/>
    </row>
    <row r="2171" spans="32:32">
      <c r="AF2171" s="21"/>
    </row>
    <row r="2172" spans="32:32">
      <c r="AF2172" s="21"/>
    </row>
    <row r="2173" spans="32:32">
      <c r="AF2173" s="21"/>
    </row>
    <row r="2174" spans="32:32">
      <c r="AF2174" s="21"/>
    </row>
    <row r="2175" spans="32:32">
      <c r="AF2175" s="21"/>
    </row>
    <row r="2176" spans="32:32">
      <c r="AF2176" s="21"/>
    </row>
    <row r="2190" spans="32:32">
      <c r="AF2190" s="21"/>
    </row>
    <row r="2191" spans="32:32">
      <c r="AF2191" s="21"/>
    </row>
    <row r="2192" spans="32:32">
      <c r="AF2192" s="21"/>
    </row>
    <row r="2193" spans="32:32">
      <c r="AF2193" s="21"/>
    </row>
    <row r="2194" spans="32:32">
      <c r="AF2194" s="21"/>
    </row>
    <row r="2195" spans="32:32">
      <c r="AF2195" s="21"/>
    </row>
    <row r="2196" spans="32:32">
      <c r="AF2196" s="21"/>
    </row>
    <row r="2197" spans="32:32">
      <c r="AF2197" s="21"/>
    </row>
    <row r="2211" spans="32:32">
      <c r="AF2211" s="21"/>
    </row>
    <row r="2212" spans="32:32">
      <c r="AF2212" s="21"/>
    </row>
    <row r="2213" spans="32:32">
      <c r="AF2213" s="21"/>
    </row>
    <row r="2214" spans="32:32">
      <c r="AF2214" s="21"/>
    </row>
    <row r="2215" spans="32:32">
      <c r="AF2215" s="21"/>
    </row>
    <row r="2216" spans="32:32">
      <c r="AF2216" s="21"/>
    </row>
    <row r="2217" spans="32:32">
      <c r="AF2217" s="21"/>
    </row>
    <row r="2218" spans="32:32">
      <c r="AF2218" s="21"/>
    </row>
    <row r="2233" spans="32:32">
      <c r="AF2233" s="21"/>
    </row>
    <row r="2234" spans="32:32">
      <c r="AF2234" s="21"/>
    </row>
    <row r="2235" spans="32:32">
      <c r="AF2235" s="21"/>
    </row>
    <row r="2236" spans="32:32">
      <c r="AF2236" s="21"/>
    </row>
    <row r="2237" spans="32:32">
      <c r="AF2237" s="21"/>
    </row>
    <row r="2238" spans="32:32">
      <c r="AF2238" s="21"/>
    </row>
    <row r="2239" spans="32:32">
      <c r="AF2239" s="21"/>
    </row>
    <row r="2240" spans="32:32">
      <c r="AF2240" s="21"/>
    </row>
    <row r="2241" spans="32:32">
      <c r="AF2241" s="21"/>
    </row>
    <row r="2253" spans="32:32">
      <c r="AF2253" s="21"/>
    </row>
    <row r="2254" spans="32:32">
      <c r="AF2254" s="21"/>
    </row>
    <row r="2255" spans="32:32">
      <c r="AF2255" s="21"/>
    </row>
    <row r="2256" spans="32:32">
      <c r="AF2256" s="21"/>
    </row>
    <row r="2257" spans="32:32">
      <c r="AF2257" s="21"/>
    </row>
    <row r="2258" spans="32:32">
      <c r="AF2258" s="21"/>
    </row>
    <row r="2259" spans="32:32">
      <c r="AF2259" s="21"/>
    </row>
    <row r="2260" spans="32:32">
      <c r="AF2260" s="21"/>
    </row>
    <row r="2261" spans="32:32">
      <c r="AF2261" s="21"/>
    </row>
    <row r="2275" spans="32:32">
      <c r="AF2275" s="21"/>
    </row>
    <row r="2276" spans="32:32">
      <c r="AF2276" s="21"/>
    </row>
    <row r="2277" spans="32:32">
      <c r="AF2277" s="21"/>
    </row>
    <row r="2278" spans="32:32">
      <c r="AF2278" s="21"/>
    </row>
    <row r="2279" spans="32:32">
      <c r="AF2279" s="21"/>
    </row>
    <row r="2280" spans="32:32">
      <c r="AF2280" s="21"/>
    </row>
    <row r="2281" spans="32:32">
      <c r="AF2281" s="21"/>
    </row>
    <row r="2294" spans="32:32">
      <c r="AF2294" s="21"/>
    </row>
    <row r="2295" spans="32:32">
      <c r="AF2295" s="21"/>
    </row>
    <row r="2296" spans="32:32">
      <c r="AF2296" s="21"/>
    </row>
    <row r="2297" spans="32:32">
      <c r="AF2297" s="21"/>
    </row>
    <row r="2298" spans="32:32">
      <c r="AF2298" s="21"/>
    </row>
    <row r="2299" spans="32:32">
      <c r="AF2299" s="21"/>
    </row>
    <row r="2300" spans="32:32">
      <c r="AF2300" s="21"/>
    </row>
    <row r="2301" spans="32:32">
      <c r="AF2301" s="21"/>
    </row>
    <row r="2302" spans="32:32">
      <c r="AF2302" s="21"/>
    </row>
    <row r="2303" spans="32:32">
      <c r="AF2303" s="21"/>
    </row>
    <row r="2313" spans="32:32">
      <c r="AF2313" s="21"/>
    </row>
    <row r="2314" spans="32:32">
      <c r="AF2314" s="21"/>
    </row>
    <row r="2315" spans="32:32">
      <c r="AF2315" s="21"/>
    </row>
    <row r="2316" spans="32:32">
      <c r="AF2316" s="21"/>
    </row>
    <row r="2317" spans="32:32">
      <c r="AF2317" s="21"/>
    </row>
    <row r="2318" spans="32:32">
      <c r="AF2318" s="21"/>
    </row>
    <row r="2319" spans="32:32">
      <c r="AF2319" s="21"/>
    </row>
    <row r="2320" spans="32:32">
      <c r="AF2320" s="21"/>
    </row>
    <row r="2321" spans="32:32">
      <c r="AF2321" s="21"/>
    </row>
    <row r="2322" spans="32:32">
      <c r="AF2322" s="21"/>
    </row>
    <row r="2336" spans="32:32">
      <c r="AF2336" s="21"/>
    </row>
    <row r="2337" spans="32:32">
      <c r="AF2337" s="21"/>
    </row>
    <row r="2338" spans="32:32">
      <c r="AF2338" s="21"/>
    </row>
    <row r="2339" spans="32:32">
      <c r="AF2339" s="21"/>
    </row>
    <row r="2340" spans="32:32">
      <c r="AF2340" s="21"/>
    </row>
    <row r="2341" spans="32:32">
      <c r="AF2341" s="21"/>
    </row>
    <row r="2342" spans="32:32">
      <c r="AF2342" s="21"/>
    </row>
    <row r="2357" spans="32:32">
      <c r="AF2357" s="21"/>
    </row>
    <row r="2358" spans="32:32">
      <c r="AF2358" s="21"/>
    </row>
    <row r="2359" spans="32:32">
      <c r="AF2359" s="21"/>
    </row>
    <row r="2360" spans="32:32">
      <c r="AF2360" s="21"/>
    </row>
    <row r="2361" spans="32:32">
      <c r="AF2361" s="21"/>
    </row>
    <row r="2362" spans="32:32">
      <c r="AF2362" s="21"/>
    </row>
    <row r="2363" spans="32:32">
      <c r="AF2363" s="21"/>
    </row>
    <row r="2364" spans="32:32">
      <c r="AF2364" s="21"/>
    </row>
    <row r="2377" spans="32:32">
      <c r="AF2377" s="21"/>
    </row>
    <row r="2378" spans="32:32">
      <c r="AF2378" s="21"/>
    </row>
    <row r="2379" spans="32:32">
      <c r="AF2379" s="21"/>
    </row>
    <row r="2380" spans="32:32">
      <c r="AF2380" s="21"/>
    </row>
    <row r="2381" spans="32:32">
      <c r="AF2381" s="21"/>
    </row>
    <row r="2382" spans="32:32">
      <c r="AF2382" s="21"/>
    </row>
    <row r="2383" spans="32:32">
      <c r="AF2383" s="21"/>
    </row>
    <row r="2384" spans="32:32">
      <c r="AF2384" s="21"/>
    </row>
    <row r="2385" spans="32:32">
      <c r="AF2385" s="21"/>
    </row>
    <row r="2399" spans="32:32">
      <c r="AF2399" s="21"/>
    </row>
    <row r="2400" spans="32:32">
      <c r="AF2400" s="21"/>
    </row>
    <row r="2401" spans="32:32">
      <c r="AF2401" s="21"/>
    </row>
    <row r="2402" spans="32:32">
      <c r="AF2402" s="21"/>
    </row>
    <row r="2403" spans="32:32">
      <c r="AF2403" s="21"/>
    </row>
    <row r="2404" spans="32:32">
      <c r="AF2404" s="21"/>
    </row>
    <row r="2405" spans="32:32">
      <c r="AF2405" s="21"/>
    </row>
    <row r="2420" spans="32:32">
      <c r="AF2420" s="21"/>
    </row>
    <row r="2421" spans="32:32">
      <c r="AF2421" s="21"/>
    </row>
    <row r="2422" spans="32:32">
      <c r="AF2422" s="21"/>
    </row>
    <row r="2423" spans="32:32">
      <c r="AF2423" s="21"/>
    </row>
    <row r="2424" spans="32:32">
      <c r="AF2424" s="21"/>
    </row>
    <row r="2425" spans="32:32">
      <c r="AF2425" s="21"/>
    </row>
    <row r="2426" spans="32:32">
      <c r="AF2426" s="21"/>
    </row>
    <row r="2427" spans="32:32">
      <c r="AF2427" s="21"/>
    </row>
    <row r="2428" spans="32:32">
      <c r="AF2428" s="21"/>
    </row>
    <row r="2442" spans="32:32">
      <c r="AF2442" s="21"/>
    </row>
    <row r="2443" spans="32:32">
      <c r="AF2443" s="21"/>
    </row>
    <row r="2444" spans="32:32">
      <c r="AF2444" s="21"/>
    </row>
    <row r="2445" spans="32:32">
      <c r="AF2445" s="21"/>
    </row>
    <row r="2446" spans="32:32">
      <c r="AF2446" s="21"/>
    </row>
    <row r="2447" spans="32:32">
      <c r="AF2447" s="21"/>
    </row>
    <row r="2448" spans="32:32">
      <c r="AF2448" s="21"/>
    </row>
    <row r="2463" spans="32:32">
      <c r="AF2463" s="21"/>
    </row>
    <row r="2464" spans="32:32">
      <c r="AF2464" s="21"/>
    </row>
    <row r="2465" spans="32:32">
      <c r="AF2465" s="21"/>
    </row>
    <row r="2466" spans="32:32">
      <c r="AF2466" s="21"/>
    </row>
    <row r="2467" spans="32:32">
      <c r="AF2467" s="21"/>
    </row>
    <row r="2468" spans="32:32">
      <c r="AF2468" s="21"/>
    </row>
    <row r="2469" spans="32:32">
      <c r="AF2469" s="21"/>
    </row>
    <row r="2470" spans="32:32">
      <c r="AF2470" s="21"/>
    </row>
    <row r="2484" spans="32:32">
      <c r="AF2484" s="21"/>
    </row>
    <row r="2485" spans="32:32">
      <c r="AF2485" s="21"/>
    </row>
    <row r="2486" spans="32:32">
      <c r="AF2486" s="21"/>
    </row>
    <row r="2487" spans="32:32">
      <c r="AF2487" s="21"/>
    </row>
    <row r="2488" spans="32:32">
      <c r="AF2488" s="21"/>
    </row>
    <row r="2489" spans="32:32">
      <c r="AF2489" s="21"/>
    </row>
    <row r="2490" spans="32:32">
      <c r="AF2490" s="21"/>
    </row>
    <row r="2491" spans="32:32">
      <c r="AF2491" s="21"/>
    </row>
    <row r="2492" spans="32:32">
      <c r="AF2492" s="21"/>
    </row>
    <row r="2493" spans="32:32">
      <c r="AF2493" s="21"/>
    </row>
    <row r="2505" spans="32:32">
      <c r="AF2505" s="21"/>
    </row>
    <row r="2506" spans="32:32">
      <c r="AF2506" s="21"/>
    </row>
    <row r="2507" spans="32:32">
      <c r="AF2507" s="21"/>
    </row>
    <row r="2508" spans="32:32">
      <c r="AF2508" s="21"/>
    </row>
    <row r="2509" spans="32:32">
      <c r="AF2509" s="21"/>
    </row>
    <row r="2510" spans="32:32">
      <c r="AF2510" s="21"/>
    </row>
    <row r="2511" spans="32:32">
      <c r="AF2511" s="21"/>
    </row>
    <row r="2512" spans="32:32">
      <c r="AF2512" s="21"/>
    </row>
    <row r="2526" spans="32:32">
      <c r="AF2526" s="21"/>
    </row>
    <row r="2527" spans="32:32">
      <c r="AF2527" s="21"/>
    </row>
    <row r="2528" spans="32:32">
      <c r="AF2528" s="21"/>
    </row>
    <row r="2529" spans="32:32">
      <c r="AF2529" s="21"/>
    </row>
    <row r="2530" spans="32:32">
      <c r="AF2530" s="21"/>
    </row>
    <row r="2531" spans="32:32">
      <c r="AF2531" s="21"/>
    </row>
    <row r="2532" spans="32:32">
      <c r="AF2532" s="21"/>
    </row>
    <row r="2533" spans="32:32">
      <c r="AF2533" s="21"/>
    </row>
    <row r="2546" spans="32:32">
      <c r="AF2546" s="21"/>
    </row>
    <row r="2547" spans="32:32">
      <c r="AF2547" s="21"/>
    </row>
    <row r="2548" spans="32:32">
      <c r="AF2548" s="21"/>
    </row>
    <row r="2549" spans="32:32">
      <c r="AF2549" s="21"/>
    </row>
    <row r="2550" spans="32:32">
      <c r="AF2550" s="21"/>
    </row>
    <row r="2551" spans="32:32">
      <c r="AF2551" s="21"/>
    </row>
    <row r="2552" spans="32:32">
      <c r="AF2552" s="21"/>
    </row>
    <row r="2553" spans="32:32">
      <c r="AF2553" s="21"/>
    </row>
    <row r="2554" spans="32:32">
      <c r="AF2554" s="21"/>
    </row>
    <row r="2566" spans="32:32">
      <c r="AF2566" s="21"/>
    </row>
    <row r="2567" spans="32:32">
      <c r="AF2567" s="21"/>
    </row>
    <row r="2568" spans="32:32">
      <c r="AF2568" s="21"/>
    </row>
    <row r="2569" spans="32:32">
      <c r="AF2569" s="21"/>
    </row>
    <row r="2570" spans="32:32">
      <c r="AF2570" s="21"/>
    </row>
    <row r="2571" spans="32:32">
      <c r="AF2571" s="21"/>
    </row>
    <row r="2572" spans="32:32">
      <c r="AF2572" s="21"/>
    </row>
    <row r="2573" spans="32:32">
      <c r="AF2573" s="21"/>
    </row>
    <row r="2589" spans="32:32">
      <c r="AF2589" s="21"/>
    </row>
    <row r="2590" spans="32:32">
      <c r="AF2590" s="21"/>
    </row>
    <row r="2591" spans="32:32">
      <c r="AF2591" s="21"/>
    </row>
    <row r="2592" spans="32:32">
      <c r="AF2592" s="21"/>
    </row>
    <row r="2593" spans="32:32">
      <c r="AF2593" s="21"/>
    </row>
    <row r="2594" spans="32:32">
      <c r="AF2594" s="21"/>
    </row>
    <row r="2595" spans="32:32">
      <c r="AF2595" s="21"/>
    </row>
    <row r="2596" spans="32:32">
      <c r="AF2596" s="21"/>
    </row>
    <row r="2608" spans="32:32">
      <c r="AF2608" s="21"/>
    </row>
    <row r="2609" spans="32:32">
      <c r="AF2609" s="21"/>
    </row>
    <row r="2610" spans="32:32">
      <c r="AF2610" s="21"/>
    </row>
    <row r="2611" spans="32:32">
      <c r="AF2611" s="21"/>
    </row>
    <row r="2612" spans="32:32">
      <c r="AF2612" s="21"/>
    </row>
    <row r="2613" spans="32:32">
      <c r="AF2613" s="21"/>
    </row>
    <row r="2614" spans="32:32">
      <c r="AF2614" s="21"/>
    </row>
    <row r="2615" spans="32:32">
      <c r="AF2615" s="21"/>
    </row>
    <row r="2616" spans="32:32">
      <c r="AF2616" s="21"/>
    </row>
    <row r="2617" spans="32:32">
      <c r="AF2617" s="21"/>
    </row>
    <row r="2630" spans="32:32">
      <c r="AF2630" s="21"/>
    </row>
    <row r="2631" spans="32:32">
      <c r="AF2631" s="21"/>
    </row>
    <row r="2632" spans="32:32">
      <c r="AF2632" s="21"/>
    </row>
    <row r="2633" spans="32:32">
      <c r="AF2633" s="21"/>
    </row>
    <row r="2634" spans="32:32">
      <c r="AF2634" s="21"/>
    </row>
    <row r="2635" spans="32:32">
      <c r="AF2635" s="21"/>
    </row>
    <row r="2636" spans="32:32">
      <c r="AF2636" s="21"/>
    </row>
    <row r="2637" spans="32:32">
      <c r="AF2637" s="21"/>
    </row>
    <row r="2652" spans="32:32">
      <c r="AF2652" s="21"/>
    </row>
    <row r="2653" spans="32:32">
      <c r="AF2653" s="21"/>
    </row>
    <row r="2654" spans="32:32">
      <c r="AF2654" s="21"/>
    </row>
    <row r="2655" spans="32:32">
      <c r="AF2655" s="21"/>
    </row>
    <row r="2656" spans="32:32">
      <c r="AF2656" s="21"/>
    </row>
    <row r="2657" spans="32:32">
      <c r="AF2657" s="21"/>
    </row>
    <row r="2658" spans="32:32">
      <c r="AF2658" s="21"/>
    </row>
    <row r="2672" spans="32:32">
      <c r="AF2672" s="21"/>
    </row>
    <row r="2673" spans="32:32">
      <c r="AF2673" s="21"/>
    </row>
    <row r="2674" spans="32:32">
      <c r="AF2674" s="21"/>
    </row>
    <row r="2675" spans="32:32">
      <c r="AF2675" s="21"/>
    </row>
    <row r="2676" spans="32:32">
      <c r="AF2676" s="21"/>
    </row>
    <row r="2677" spans="32:32">
      <c r="AF2677" s="21"/>
    </row>
    <row r="2678" spans="32:32">
      <c r="AF2678" s="21"/>
    </row>
    <row r="2679" spans="32:32">
      <c r="AF2679" s="21"/>
    </row>
    <row r="2680" spans="32:32">
      <c r="AF2680" s="21"/>
    </row>
    <row r="2695" spans="32:32">
      <c r="AF2695" s="21"/>
    </row>
    <row r="2696" spans="32:32">
      <c r="AF2696" s="21"/>
    </row>
    <row r="2697" spans="32:32">
      <c r="AF2697" s="21"/>
    </row>
    <row r="2698" spans="32:32">
      <c r="AF2698" s="21"/>
    </row>
    <row r="2699" spans="32:32">
      <c r="AF2699" s="21"/>
    </row>
    <row r="2700" spans="32:32">
      <c r="AF2700" s="21"/>
    </row>
    <row r="2701" spans="32:32">
      <c r="AF2701" s="21"/>
    </row>
    <row r="2715" spans="32:32">
      <c r="AF2715" s="21"/>
    </row>
    <row r="2716" spans="32:32">
      <c r="AF2716" s="21"/>
    </row>
    <row r="2717" spans="32:32">
      <c r="AF2717" s="21"/>
    </row>
    <row r="2718" spans="32:32">
      <c r="AF2718" s="21"/>
    </row>
    <row r="2719" spans="32:32">
      <c r="AF2719" s="21"/>
    </row>
    <row r="2720" spans="32:32">
      <c r="AF2720" s="21"/>
    </row>
    <row r="2721" spans="32:32">
      <c r="AF2721" s="21"/>
    </row>
    <row r="2722" spans="32:32">
      <c r="AF2722" s="21"/>
    </row>
    <row r="2723" spans="32:32">
      <c r="AF2723" s="21"/>
    </row>
    <row r="2737" spans="32:32">
      <c r="AF2737" s="21"/>
    </row>
    <row r="2738" spans="32:32">
      <c r="AF2738" s="21"/>
    </row>
    <row r="2739" spans="32:32">
      <c r="AF2739" s="21"/>
    </row>
    <row r="2740" spans="32:32">
      <c r="AF2740" s="21"/>
    </row>
    <row r="2741" spans="32:32">
      <c r="AF2741" s="21"/>
    </row>
    <row r="2742" spans="32:32">
      <c r="AF2742" s="21"/>
    </row>
    <row r="2743" spans="32:32">
      <c r="AF2743" s="21"/>
    </row>
    <row r="2744" spans="32:32">
      <c r="AF2744" s="21"/>
    </row>
    <row r="2758" spans="32:32">
      <c r="AF2758" s="21"/>
    </row>
    <row r="2759" spans="32:32">
      <c r="AF2759" s="21"/>
    </row>
    <row r="2760" spans="32:32">
      <c r="AF2760" s="21"/>
    </row>
    <row r="2761" spans="32:32">
      <c r="AF2761" s="21"/>
    </row>
    <row r="2762" spans="32:32">
      <c r="AF2762" s="21"/>
    </row>
    <row r="2763" spans="32:32">
      <c r="AF2763" s="21"/>
    </row>
    <row r="2764" spans="32:32">
      <c r="AF2764" s="21"/>
    </row>
    <row r="2765" spans="32:32">
      <c r="AF2765" s="21"/>
    </row>
    <row r="2778" spans="32:32">
      <c r="AF2778" s="21"/>
    </row>
    <row r="2779" spans="32:32">
      <c r="AF2779" s="21"/>
    </row>
    <row r="2780" spans="32:32">
      <c r="AF2780" s="21"/>
    </row>
    <row r="2781" spans="32:32">
      <c r="AF2781" s="21"/>
    </row>
    <row r="2782" spans="32:32">
      <c r="AF2782" s="21"/>
    </row>
    <row r="2783" spans="32:32">
      <c r="AF2783" s="21"/>
    </row>
    <row r="2784" spans="32:32">
      <c r="AF2784" s="21"/>
    </row>
    <row r="2785" spans="32:32">
      <c r="AF2785" s="21"/>
    </row>
    <row r="2786" spans="32:32">
      <c r="AF2786" s="21"/>
    </row>
    <row r="2799" spans="32:32">
      <c r="AF2799" s="21"/>
    </row>
    <row r="2800" spans="32:32">
      <c r="AF2800" s="21"/>
    </row>
    <row r="2801" spans="32:32">
      <c r="AF2801" s="21"/>
    </row>
    <row r="2802" spans="32:32">
      <c r="AF2802" s="21"/>
    </row>
    <row r="2803" spans="32:32">
      <c r="AF2803" s="21"/>
    </row>
    <row r="2804" spans="32:32">
      <c r="AF2804" s="21"/>
    </row>
    <row r="2805" spans="32:32">
      <c r="AF2805" s="21"/>
    </row>
    <row r="2806" spans="32:32">
      <c r="AF2806" s="21"/>
    </row>
    <row r="2818" spans="32:32">
      <c r="AF2818" s="21"/>
    </row>
    <row r="2819" spans="32:32">
      <c r="AF2819" s="21"/>
    </row>
    <row r="2820" spans="32:32">
      <c r="AF2820" s="21"/>
    </row>
    <row r="2821" spans="32:32">
      <c r="AF2821" s="21"/>
    </row>
    <row r="2822" spans="32:32">
      <c r="AF2822" s="21"/>
    </row>
    <row r="2823" spans="32:32">
      <c r="AF2823" s="21"/>
    </row>
    <row r="2824" spans="32:32">
      <c r="AF2824" s="21"/>
    </row>
    <row r="2825" spans="32:32">
      <c r="AF2825" s="21"/>
    </row>
    <row r="2840" spans="32:32">
      <c r="AF2840" s="21"/>
    </row>
    <row r="2841" spans="32:32">
      <c r="AF2841" s="21"/>
    </row>
    <row r="2842" spans="32:32">
      <c r="AF2842" s="21"/>
    </row>
    <row r="2843" spans="32:32">
      <c r="AF2843" s="21"/>
    </row>
    <row r="2844" spans="32:32">
      <c r="AF2844" s="21"/>
    </row>
    <row r="2845" spans="32:32">
      <c r="AF2845" s="21"/>
    </row>
    <row r="2846" spans="32:32">
      <c r="AF2846" s="21"/>
    </row>
    <row r="2847" spans="32:32">
      <c r="AF2847" s="21"/>
    </row>
    <row r="2848" spans="32:32">
      <c r="AF2848" s="21"/>
    </row>
    <row r="2860" spans="32:32">
      <c r="AF2860" s="21"/>
    </row>
    <row r="2861" spans="32:32">
      <c r="AF2861" s="21"/>
    </row>
    <row r="2862" spans="32:32">
      <c r="AF2862" s="21"/>
    </row>
    <row r="2863" spans="32:32">
      <c r="AF2863" s="21"/>
    </row>
    <row r="2864" spans="32:32">
      <c r="AF2864" s="21"/>
    </row>
    <row r="2865" spans="32:32">
      <c r="AF2865" s="21"/>
    </row>
    <row r="2866" spans="32:32">
      <c r="AF2866" s="21"/>
    </row>
    <row r="2867" spans="32:32">
      <c r="AF2867" s="21"/>
    </row>
    <row r="2868" spans="32:32">
      <c r="AF2868" s="21"/>
    </row>
    <row r="2882" spans="32:32">
      <c r="AF2882" s="21"/>
    </row>
    <row r="2883" spans="32:32">
      <c r="AF2883" s="21"/>
    </row>
    <row r="2884" spans="32:32">
      <c r="AF2884" s="21"/>
    </row>
    <row r="2885" spans="32:32">
      <c r="AF2885" s="21"/>
    </row>
    <row r="2886" spans="32:32">
      <c r="AF2886" s="21"/>
    </row>
    <row r="2887" spans="32:32">
      <c r="AF2887" s="21"/>
    </row>
    <row r="2888" spans="32:32">
      <c r="AF2888" s="21"/>
    </row>
    <row r="2889" spans="32:32">
      <c r="AF2889" s="21"/>
    </row>
    <row r="2903" spans="32:32">
      <c r="AF2903" s="21"/>
    </row>
    <row r="2904" spans="32:32">
      <c r="AF2904" s="21"/>
    </row>
    <row r="2905" spans="32:32">
      <c r="AF2905" s="21"/>
    </row>
    <row r="2906" spans="32:32">
      <c r="AF2906" s="21"/>
    </row>
    <row r="2907" spans="32:32">
      <c r="AF2907" s="21"/>
    </row>
    <row r="2908" spans="32:32">
      <c r="AF2908" s="21"/>
    </row>
    <row r="2909" spans="32:32">
      <c r="AF2909" s="21"/>
    </row>
    <row r="2910" spans="32:32">
      <c r="AF2910" s="21"/>
    </row>
    <row r="2924" spans="32:32">
      <c r="AF2924" s="21"/>
    </row>
    <row r="2925" spans="32:32">
      <c r="AF2925" s="21"/>
    </row>
    <row r="2926" spans="32:32">
      <c r="AF2926" s="21"/>
    </row>
    <row r="2927" spans="32:32">
      <c r="AF2927" s="21"/>
    </row>
    <row r="2928" spans="32:32">
      <c r="AF2928" s="21"/>
    </row>
    <row r="2929" spans="32:32">
      <c r="AF2929" s="21"/>
    </row>
    <row r="2930" spans="32:32">
      <c r="AF2930" s="21"/>
    </row>
    <row r="2931" spans="32:32">
      <c r="AF2931" s="21"/>
    </row>
    <row r="2947" spans="32:32">
      <c r="AF2947" s="21"/>
    </row>
    <row r="2948" spans="32:32">
      <c r="AF2948" s="21"/>
    </row>
    <row r="2949" spans="32:32">
      <c r="AF2949" s="21"/>
    </row>
    <row r="2950" spans="32:32">
      <c r="AF2950" s="21"/>
    </row>
    <row r="2951" spans="32:32">
      <c r="AF2951" s="21"/>
    </row>
    <row r="2962" spans="32:32">
      <c r="AF2962" s="21"/>
    </row>
    <row r="2963" spans="32:32">
      <c r="AF2963" s="21"/>
    </row>
    <row r="2964" spans="32:32">
      <c r="AF2964" s="21"/>
    </row>
    <row r="2965" spans="32:32">
      <c r="AF2965" s="21"/>
    </row>
    <row r="2966" spans="32:32">
      <c r="AF2966" s="21"/>
    </row>
    <row r="2967" spans="32:32">
      <c r="AF2967" s="21"/>
    </row>
    <row r="2968" spans="32:32">
      <c r="AF2968" s="21"/>
    </row>
    <row r="2969" spans="32:32">
      <c r="AF2969" s="21"/>
    </row>
    <row r="2970" spans="32:32">
      <c r="AF2970" s="21"/>
    </row>
    <row r="2971" spans="32:32">
      <c r="AF2971" s="21"/>
    </row>
    <row r="2985" spans="32:32">
      <c r="AF2985" s="21"/>
    </row>
    <row r="2986" spans="32:32">
      <c r="AF2986" s="21"/>
    </row>
    <row r="2987" spans="32:32">
      <c r="AF2987" s="21"/>
    </row>
    <row r="2988" spans="32:32">
      <c r="AF2988" s="21"/>
    </row>
    <row r="2989" spans="32:32">
      <c r="AF2989" s="21"/>
    </row>
    <row r="2990" spans="32:32">
      <c r="AF2990" s="21"/>
    </row>
    <row r="2991" spans="32:32">
      <c r="AF2991" s="21"/>
    </row>
    <row r="2992" spans="32:32">
      <c r="AF2992" s="21"/>
    </row>
    <row r="3006" spans="32:32">
      <c r="AF3006" s="21"/>
    </row>
    <row r="3007" spans="32:32">
      <c r="AF3007" s="21"/>
    </row>
    <row r="3008" spans="32:32">
      <c r="AF3008" s="21"/>
    </row>
    <row r="3009" spans="32:32">
      <c r="AF3009" s="21"/>
    </row>
    <row r="3010" spans="32:32">
      <c r="AF3010" s="21"/>
    </row>
    <row r="3011" spans="32:32">
      <c r="AF3011" s="21"/>
    </row>
    <row r="3012" spans="32:32">
      <c r="AF3012" s="21"/>
    </row>
    <row r="3013" spans="32:32">
      <c r="AF3013" s="21"/>
    </row>
    <row r="3026" spans="32:32">
      <c r="AF3026" s="21"/>
    </row>
    <row r="3027" spans="32:32">
      <c r="AF3027" s="21"/>
    </row>
    <row r="3028" spans="32:32">
      <c r="AF3028" s="21"/>
    </row>
    <row r="3029" spans="32:32">
      <c r="AF3029" s="21"/>
    </row>
    <row r="3030" spans="32:32">
      <c r="AF3030" s="21"/>
    </row>
    <row r="3031" spans="32:32">
      <c r="AF3031" s="21"/>
    </row>
    <row r="3032" spans="32:32">
      <c r="AF3032" s="21"/>
    </row>
    <row r="3033" spans="32:32">
      <c r="AF3033" s="21"/>
    </row>
    <row r="3047" spans="32:32">
      <c r="AF3047" s="21"/>
    </row>
    <row r="3048" spans="32:32">
      <c r="AF3048" s="21"/>
    </row>
    <row r="3049" spans="32:32">
      <c r="AF3049" s="21"/>
    </row>
    <row r="3050" spans="32:32">
      <c r="AF3050" s="21"/>
    </row>
    <row r="3051" spans="32:32">
      <c r="AF3051" s="21"/>
    </row>
    <row r="3052" spans="32:32">
      <c r="AF3052" s="21"/>
    </row>
    <row r="3053" spans="32:32">
      <c r="AF3053" s="21"/>
    </row>
    <row r="3054" spans="32:32">
      <c r="AF3054" s="21"/>
    </row>
    <row r="3066" spans="32:32">
      <c r="AF3066" s="21"/>
    </row>
    <row r="3067" spans="32:32">
      <c r="AF3067" s="21"/>
    </row>
    <row r="3068" spans="32:32">
      <c r="AF3068" s="21"/>
    </row>
    <row r="3069" spans="32:32">
      <c r="AF3069" s="21"/>
    </row>
    <row r="3070" spans="32:32">
      <c r="AF3070" s="21"/>
    </row>
    <row r="3071" spans="32:32">
      <c r="AF3071" s="21"/>
    </row>
    <row r="3072" spans="32:32">
      <c r="AF3072" s="21"/>
    </row>
    <row r="3073" spans="32:32">
      <c r="AF3073" s="21"/>
    </row>
    <row r="3086" spans="32:32">
      <c r="AF3086" s="21"/>
    </row>
    <row r="3087" spans="32:32">
      <c r="AF3087" s="21"/>
    </row>
    <row r="3088" spans="32:32">
      <c r="AF3088" s="21"/>
    </row>
    <row r="3089" spans="32:32">
      <c r="AF3089" s="21"/>
    </row>
    <row r="3090" spans="32:32">
      <c r="AF3090" s="21"/>
    </row>
    <row r="3091" spans="32:32">
      <c r="AF3091" s="21"/>
    </row>
    <row r="3092" spans="32:32">
      <c r="AF3092" s="21"/>
    </row>
    <row r="3093" spans="32:32">
      <c r="AF3093" s="21"/>
    </row>
    <row r="3094" spans="32:32">
      <c r="AF3094" s="21"/>
    </row>
    <row r="3095" spans="32:32">
      <c r="AF3095" s="21"/>
    </row>
    <row r="3108" spans="32:32">
      <c r="AF3108" s="21"/>
    </row>
    <row r="3109" spans="32:32">
      <c r="AF3109" s="21"/>
    </row>
    <row r="3110" spans="32:32">
      <c r="AF3110" s="21"/>
    </row>
    <row r="3111" spans="32:32">
      <c r="AF3111" s="21"/>
    </row>
    <row r="3112" spans="32:32">
      <c r="AF3112" s="21"/>
    </row>
    <row r="3113" spans="32:32">
      <c r="AF3113" s="21"/>
    </row>
    <row r="3114" spans="32:32">
      <c r="AF3114" s="21"/>
    </row>
    <row r="3115" spans="32:32">
      <c r="AF3115" s="21"/>
    </row>
    <row r="3130" spans="32:32">
      <c r="AF3130" s="21"/>
    </row>
    <row r="3131" spans="32:32">
      <c r="AF3131" s="21"/>
    </row>
    <row r="3132" spans="32:32">
      <c r="AF3132" s="21"/>
    </row>
    <row r="3133" spans="32:32">
      <c r="AF3133" s="21"/>
    </row>
    <row r="3134" spans="32:32">
      <c r="AF3134" s="21"/>
    </row>
    <row r="3135" spans="32:32">
      <c r="AF3135" s="21"/>
    </row>
    <row r="3136" spans="32:32">
      <c r="AF3136" s="21"/>
    </row>
    <row r="3137" spans="32:32">
      <c r="AF3137" s="21"/>
    </row>
    <row r="3150" spans="32:32">
      <c r="AF3150" s="21"/>
    </row>
    <row r="3151" spans="32:32">
      <c r="AF3151" s="21"/>
    </row>
    <row r="3152" spans="32:32">
      <c r="AF3152" s="21"/>
    </row>
    <row r="3153" spans="32:32">
      <c r="AF3153" s="21"/>
    </row>
    <row r="3154" spans="32:32">
      <c r="AF3154" s="21"/>
    </row>
    <row r="3155" spans="32:32">
      <c r="AF3155" s="21"/>
    </row>
    <row r="3156" spans="32:32">
      <c r="AF3156" s="21"/>
    </row>
    <row r="3157" spans="32:32">
      <c r="AF3157" s="21"/>
    </row>
    <row r="3158" spans="32:32">
      <c r="AF3158" s="21"/>
    </row>
    <row r="3172" spans="32:32">
      <c r="AF3172" s="21"/>
    </row>
    <row r="3173" spans="32:32">
      <c r="AF3173" s="21"/>
    </row>
    <row r="3174" spans="32:32">
      <c r="AF3174" s="21"/>
    </row>
    <row r="3175" spans="32:32">
      <c r="AF3175" s="21"/>
    </row>
    <row r="3176" spans="32:32">
      <c r="AF3176" s="21"/>
    </row>
    <row r="3177" spans="32:32">
      <c r="AF3177" s="21"/>
    </row>
    <row r="3178" spans="32:32">
      <c r="AF3178" s="21"/>
    </row>
    <row r="3179" spans="32:32">
      <c r="AF3179" s="21"/>
    </row>
    <row r="3194" spans="32:32">
      <c r="AF3194" s="21"/>
    </row>
    <row r="3195" spans="32:32">
      <c r="AF3195" s="21"/>
    </row>
    <row r="3196" spans="32:32">
      <c r="AF3196" s="21"/>
    </row>
    <row r="3197" spans="32:32">
      <c r="AF3197" s="21"/>
    </row>
    <row r="3198" spans="32:32">
      <c r="AF3198" s="21"/>
    </row>
    <row r="3199" spans="32:32">
      <c r="AF3199" s="21"/>
    </row>
    <row r="3200" spans="32:32">
      <c r="AF3200" s="21"/>
    </row>
    <row r="3201" spans="32:32">
      <c r="AF3201" s="21"/>
    </row>
    <row r="3214" spans="32:32">
      <c r="AF3214" s="21"/>
    </row>
    <row r="3215" spans="32:32">
      <c r="AF3215" s="21"/>
    </row>
    <row r="3216" spans="32:32">
      <c r="AF3216" s="21"/>
    </row>
    <row r="3217" spans="32:32">
      <c r="AF3217" s="21"/>
    </row>
    <row r="3218" spans="32:32">
      <c r="AF3218" s="21"/>
    </row>
    <row r="3219" spans="32:32">
      <c r="AF3219" s="21"/>
    </row>
    <row r="3220" spans="32:32">
      <c r="AF3220" s="21"/>
    </row>
    <row r="3221" spans="32:32">
      <c r="AF3221" s="21"/>
    </row>
    <row r="3222" spans="32:32">
      <c r="AF3222" s="21"/>
    </row>
    <row r="3237" spans="32:32">
      <c r="AF3237" s="21"/>
    </row>
    <row r="3238" spans="32:32">
      <c r="AF3238" s="21"/>
    </row>
    <row r="3239" spans="32:32">
      <c r="AF3239" s="21"/>
    </row>
    <row r="3240" spans="32:32">
      <c r="AF3240" s="21"/>
    </row>
    <row r="3241" spans="32:32">
      <c r="AF3241" s="21"/>
    </row>
    <row r="3242" spans="32:32">
      <c r="AF3242" s="21"/>
    </row>
    <row r="3243" spans="32:32">
      <c r="AF3243" s="21"/>
    </row>
    <row r="3244" spans="32:32">
      <c r="AF3244" s="21"/>
    </row>
    <row r="3257" spans="32:32">
      <c r="AF3257" s="21"/>
    </row>
    <row r="3258" spans="32:32">
      <c r="AF3258" s="21"/>
    </row>
    <row r="3259" spans="32:32">
      <c r="AF3259" s="21"/>
    </row>
    <row r="3260" spans="32:32">
      <c r="AF3260" s="21"/>
    </row>
    <row r="3261" spans="32:32">
      <c r="AF3261" s="21"/>
    </row>
    <row r="3262" spans="32:32">
      <c r="AF3262" s="21"/>
    </row>
    <row r="3263" spans="32:32">
      <c r="AF3263" s="21"/>
    </row>
    <row r="3264" spans="32:32">
      <c r="AF3264" s="21"/>
    </row>
    <row r="3265" spans="32:32">
      <c r="AF3265" s="21"/>
    </row>
    <row r="3278" spans="32:32">
      <c r="AF3278" s="21"/>
    </row>
    <row r="3279" spans="32:32">
      <c r="AF3279" s="21"/>
    </row>
    <row r="3280" spans="32:32">
      <c r="AF3280" s="21"/>
    </row>
    <row r="3281" spans="32:32">
      <c r="AF3281" s="21"/>
    </row>
    <row r="3282" spans="32:32">
      <c r="AF3282" s="21"/>
    </row>
    <row r="3283" spans="32:32">
      <c r="AF3283" s="21"/>
    </row>
    <row r="3284" spans="32:32">
      <c r="AF3284" s="21"/>
    </row>
    <row r="3299" spans="32:32">
      <c r="AF3299" s="21"/>
    </row>
    <row r="3300" spans="32:32">
      <c r="AF3300" s="21"/>
    </row>
    <row r="3301" spans="32:32">
      <c r="AF3301" s="21"/>
    </row>
    <row r="3302" spans="32:32">
      <c r="AF3302" s="21"/>
    </row>
    <row r="3303" spans="32:32">
      <c r="AF3303" s="21"/>
    </row>
    <row r="3304" spans="32:32">
      <c r="AF3304" s="21"/>
    </row>
    <row r="3305" spans="32:32">
      <c r="AF3305" s="21"/>
    </row>
    <row r="3306" spans="32:32">
      <c r="AF3306" s="21"/>
    </row>
    <row r="3318" spans="32:32">
      <c r="AF3318" s="21"/>
    </row>
    <row r="3319" spans="32:32">
      <c r="AF3319" s="21"/>
    </row>
    <row r="3320" spans="32:32">
      <c r="AF3320" s="21"/>
    </row>
    <row r="3321" spans="32:32">
      <c r="AF3321" s="21"/>
    </row>
    <row r="3322" spans="32:32">
      <c r="AF3322" s="21"/>
    </row>
    <row r="3323" spans="32:32">
      <c r="AF3323" s="21"/>
    </row>
    <row r="3324" spans="32:32">
      <c r="AF3324" s="21"/>
    </row>
    <row r="3325" spans="32:32">
      <c r="AF3325" s="21"/>
    </row>
    <row r="3339" spans="32:32">
      <c r="AF3339" s="21"/>
    </row>
    <row r="3340" spans="32:32">
      <c r="AF3340" s="21"/>
    </row>
    <row r="3341" spans="32:32">
      <c r="AF3341" s="21"/>
    </row>
    <row r="3342" spans="32:32">
      <c r="AF3342" s="21"/>
    </row>
    <row r="3343" spans="32:32">
      <c r="AF3343" s="21"/>
    </row>
    <row r="3344" spans="32:32">
      <c r="AF3344" s="21"/>
    </row>
    <row r="3345" spans="32:32">
      <c r="AF3345" s="21"/>
    </row>
    <row r="3346" spans="32:32">
      <c r="AF3346" s="21"/>
    </row>
    <row r="3347" spans="32:32">
      <c r="AF3347" s="21"/>
    </row>
    <row r="3360" spans="32:32">
      <c r="AF3360" s="21"/>
    </row>
    <row r="3361" spans="32:32">
      <c r="AF3361" s="21"/>
    </row>
    <row r="3362" spans="32:32">
      <c r="AF3362" s="21"/>
    </row>
    <row r="3363" spans="32:32">
      <c r="AF3363" s="21"/>
    </row>
    <row r="3364" spans="32:32">
      <c r="AF3364" s="21"/>
    </row>
    <row r="3365" spans="32:32">
      <c r="AF3365" s="21"/>
    </row>
    <row r="3366" spans="32:32">
      <c r="AF3366" s="21"/>
    </row>
    <row r="3367" spans="32:32">
      <c r="AF3367" s="21"/>
    </row>
    <row r="3381" spans="32:32">
      <c r="AF3381" s="21"/>
    </row>
    <row r="3382" spans="32:32">
      <c r="AF3382" s="21"/>
    </row>
    <row r="3383" spans="32:32">
      <c r="AF3383" s="21"/>
    </row>
    <row r="3384" spans="32:32">
      <c r="AF3384" s="21"/>
    </row>
    <row r="3385" spans="32:32">
      <c r="AF3385" s="21"/>
    </row>
    <row r="3386" spans="32:32">
      <c r="AF3386" s="21"/>
    </row>
    <row r="3387" spans="32:32">
      <c r="AF3387" s="21"/>
    </row>
    <row r="3388" spans="32:32">
      <c r="AF3388" s="21"/>
    </row>
    <row r="3389" spans="32:32">
      <c r="AF3389" s="21"/>
    </row>
    <row r="3402" spans="32:32">
      <c r="AF3402" s="21"/>
    </row>
    <row r="3403" spans="32:32">
      <c r="AF3403" s="21"/>
    </row>
    <row r="3404" spans="32:32">
      <c r="AF3404" s="21"/>
    </row>
    <row r="3405" spans="32:32">
      <c r="AF3405" s="21"/>
    </row>
    <row r="3406" spans="32:32">
      <c r="AF3406" s="21"/>
    </row>
    <row r="3407" spans="32:32">
      <c r="AF3407" s="21"/>
    </row>
    <row r="3408" spans="32:32">
      <c r="AF3408" s="21"/>
    </row>
    <row r="3409" spans="32:32">
      <c r="AF3409" s="21"/>
    </row>
    <row r="3424" spans="32:32">
      <c r="AF3424" s="21"/>
    </row>
    <row r="3425" spans="32:32">
      <c r="AF3425" s="21"/>
    </row>
    <row r="3426" spans="32:32">
      <c r="AF3426" s="21"/>
    </row>
    <row r="3427" spans="32:32">
      <c r="AF3427" s="21"/>
    </row>
    <row r="3428" spans="32:32">
      <c r="AF3428" s="21"/>
    </row>
    <row r="3429" spans="32:32">
      <c r="AF3429" s="21"/>
    </row>
    <row r="3430" spans="32:32">
      <c r="AF3430" s="21"/>
    </row>
    <row r="3431" spans="32:32">
      <c r="AF3431" s="21"/>
    </row>
    <row r="3445" spans="32:32">
      <c r="AF3445" s="21"/>
    </row>
    <row r="3446" spans="32:32">
      <c r="AF3446" s="21"/>
    </row>
    <row r="3447" spans="32:32">
      <c r="AF3447" s="21"/>
    </row>
    <row r="3448" spans="32:32">
      <c r="AF3448" s="21"/>
    </row>
    <row r="3449" spans="32:32">
      <c r="AF3449" s="21"/>
    </row>
    <row r="3450" spans="32:32">
      <c r="AF3450" s="21"/>
    </row>
    <row r="3451" spans="32:32">
      <c r="AF3451" s="21"/>
    </row>
    <row r="3452" spans="32:32">
      <c r="AF3452" s="21"/>
    </row>
    <row r="3453" spans="32:32">
      <c r="AF3453" s="21"/>
    </row>
    <row r="3466" spans="32:32">
      <c r="AF3466" s="21"/>
    </row>
    <row r="3467" spans="32:32">
      <c r="AF3467" s="21"/>
    </row>
    <row r="3468" spans="32:32">
      <c r="AF3468" s="21"/>
    </row>
    <row r="3469" spans="32:32">
      <c r="AF3469" s="21"/>
    </row>
    <row r="3470" spans="32:32">
      <c r="AF3470" s="21"/>
    </row>
    <row r="3471" spans="32:32">
      <c r="AF3471" s="21"/>
    </row>
    <row r="3472" spans="32:32">
      <c r="AF3472" s="21"/>
    </row>
    <row r="3473" spans="32:32">
      <c r="AF3473" s="21"/>
    </row>
    <row r="3489" spans="32:32">
      <c r="AF3489" s="21"/>
    </row>
    <row r="3490" spans="32:32">
      <c r="AF3490" s="21"/>
    </row>
    <row r="3491" spans="32:32">
      <c r="AF3491" s="21"/>
    </row>
    <row r="3492" spans="32:32">
      <c r="AF3492" s="21"/>
    </row>
    <row r="3493" spans="32:32">
      <c r="AF3493" s="21"/>
    </row>
    <row r="3494" spans="32:32">
      <c r="AF3494" s="21"/>
    </row>
    <row r="3495" spans="32:32">
      <c r="AF3495" s="21"/>
    </row>
    <row r="3496" spans="32:32">
      <c r="AF3496" s="21"/>
    </row>
    <row r="3508" spans="32:32">
      <c r="AF3508" s="21"/>
    </row>
    <row r="3509" spans="32:32">
      <c r="AF3509" s="21"/>
    </row>
    <row r="3510" spans="32:32">
      <c r="AF3510" s="21"/>
    </row>
    <row r="3511" spans="32:32">
      <c r="AF3511" s="21"/>
    </row>
    <row r="3512" spans="32:32">
      <c r="AF3512" s="21"/>
    </row>
    <row r="3513" spans="32:32">
      <c r="AF3513" s="21"/>
    </row>
    <row r="3514" spans="32:32">
      <c r="AF3514" s="21"/>
    </row>
    <row r="3515" spans="32:32">
      <c r="AF3515" s="21"/>
    </row>
    <row r="3516" spans="32:32">
      <c r="AF3516" s="21"/>
    </row>
    <row r="3517" spans="32:32">
      <c r="AF3517" s="21"/>
    </row>
    <row r="3530" spans="32:32">
      <c r="AF3530" s="21"/>
    </row>
    <row r="3531" spans="32:32">
      <c r="AF3531" s="21"/>
    </row>
    <row r="3532" spans="32:32">
      <c r="AF3532" s="21"/>
    </row>
    <row r="3533" spans="32:32">
      <c r="AF3533" s="21"/>
    </row>
    <row r="3534" spans="32:32">
      <c r="AF3534" s="21"/>
    </row>
    <row r="3535" spans="32:32">
      <c r="AF3535" s="21"/>
    </row>
    <row r="3536" spans="32:32">
      <c r="AF3536" s="21"/>
    </row>
    <row r="3550" spans="32:32">
      <c r="AF3550" s="21"/>
    </row>
    <row r="3551" spans="32:32">
      <c r="AF3551" s="21"/>
    </row>
    <row r="3552" spans="32:32">
      <c r="AF3552" s="21"/>
    </row>
    <row r="3553" spans="32:32">
      <c r="AF3553" s="21"/>
    </row>
    <row r="3554" spans="32:32">
      <c r="AF3554" s="21"/>
    </row>
    <row r="3555" spans="32:32">
      <c r="AF3555" s="21"/>
    </row>
    <row r="3556" spans="32:32">
      <c r="AF3556" s="21"/>
    </row>
    <row r="3557" spans="32:32">
      <c r="AF3557" s="21"/>
    </row>
    <row r="3558" spans="32:32">
      <c r="AF3558" s="21"/>
    </row>
    <row r="3569" spans="32:32">
      <c r="AF3569" s="21"/>
    </row>
    <row r="3570" spans="32:32">
      <c r="AF3570" s="21"/>
    </row>
    <row r="3571" spans="32:32">
      <c r="AF3571" s="21"/>
    </row>
    <row r="3572" spans="32:32">
      <c r="AF3572" s="21"/>
    </row>
    <row r="3573" spans="32:32">
      <c r="AF3573" s="21"/>
    </row>
    <row r="3574" spans="32:32">
      <c r="AF3574" s="21"/>
    </row>
    <row r="3575" spans="32:32">
      <c r="AF3575" s="21"/>
    </row>
    <row r="3576" spans="32:32">
      <c r="AF3576" s="21"/>
    </row>
    <row r="3577" spans="32:32">
      <c r="AF3577" s="21"/>
    </row>
    <row r="3578" spans="32:32">
      <c r="AF3578" s="21"/>
    </row>
    <row r="3592" spans="32:32">
      <c r="AF3592" s="21"/>
    </row>
    <row r="3593" spans="32:32">
      <c r="AF3593" s="21"/>
    </row>
    <row r="3594" spans="32:32">
      <c r="AF3594" s="21"/>
    </row>
    <row r="3595" spans="32:32">
      <c r="AF3595" s="21"/>
    </row>
    <row r="3596" spans="32:32">
      <c r="AF3596" s="21"/>
    </row>
    <row r="3597" spans="32:32">
      <c r="AF3597" s="21"/>
    </row>
    <row r="3598" spans="32:32">
      <c r="AF3598" s="21"/>
    </row>
    <row r="3613" spans="32:32">
      <c r="AF3613" s="21"/>
    </row>
    <row r="3614" spans="32:32">
      <c r="AF3614" s="21"/>
    </row>
    <row r="3615" spans="32:32">
      <c r="AF3615" s="21"/>
    </row>
    <row r="3616" spans="32:32">
      <c r="AF3616" s="21"/>
    </row>
    <row r="3617" spans="32:32">
      <c r="AF3617" s="21"/>
    </row>
    <row r="3618" spans="32:32">
      <c r="AF3618" s="21"/>
    </row>
    <row r="3619" spans="32:32">
      <c r="AF3619" s="21"/>
    </row>
    <row r="3620" spans="32:32">
      <c r="AF3620" s="21"/>
    </row>
    <row r="3633" spans="32:32">
      <c r="AF3633" s="21"/>
    </row>
    <row r="3634" spans="32:32">
      <c r="AF3634" s="21"/>
    </row>
    <row r="3635" spans="32:32">
      <c r="AF3635" s="21"/>
    </row>
    <row r="3636" spans="32:32">
      <c r="AF3636" s="21"/>
    </row>
    <row r="3637" spans="32:32">
      <c r="AF3637" s="21"/>
    </row>
    <row r="3638" spans="32:32">
      <c r="AF3638" s="21"/>
    </row>
    <row r="3639" spans="32:32">
      <c r="AF3639" s="21"/>
    </row>
    <row r="3640" spans="32:32">
      <c r="AF3640" s="21"/>
    </row>
    <row r="3641" spans="32:32">
      <c r="AF3641" s="21"/>
    </row>
    <row r="3655" spans="32:32">
      <c r="AF3655" s="21"/>
    </row>
    <row r="3656" spans="32:32">
      <c r="AF3656" s="21"/>
    </row>
    <row r="3657" spans="32:32">
      <c r="AF3657" s="21"/>
    </row>
    <row r="3658" spans="32:32">
      <c r="AF3658" s="21"/>
    </row>
    <row r="3659" spans="32:32">
      <c r="AF3659" s="21"/>
    </row>
    <row r="3660" spans="32:32">
      <c r="AF3660" s="21"/>
    </row>
    <row r="3661" spans="32:32">
      <c r="AF3661" s="21"/>
    </row>
    <row r="3676" spans="32:32">
      <c r="AF3676" s="21"/>
    </row>
    <row r="3677" spans="32:32">
      <c r="AF3677" s="21"/>
    </row>
    <row r="3678" spans="32:32">
      <c r="AF3678" s="21"/>
    </row>
    <row r="3679" spans="32:32">
      <c r="AF3679" s="21"/>
    </row>
    <row r="3680" spans="32:32">
      <c r="AF3680" s="21"/>
    </row>
    <row r="3681" spans="32:32">
      <c r="AF3681" s="21"/>
    </row>
    <row r="3682" spans="32:32">
      <c r="AF3682" s="21"/>
    </row>
    <row r="3683" spans="32:32">
      <c r="AF3683" s="21"/>
    </row>
    <row r="3684" spans="32:32">
      <c r="AF3684" s="21"/>
    </row>
    <row r="3698" spans="32:32">
      <c r="AF3698" s="21"/>
    </row>
    <row r="3699" spans="32:32">
      <c r="AF3699" s="21"/>
    </row>
    <row r="3700" spans="32:32">
      <c r="AF3700" s="21"/>
    </row>
    <row r="3701" spans="32:32">
      <c r="AF3701" s="21"/>
    </row>
    <row r="3702" spans="32:32">
      <c r="AF3702" s="21"/>
    </row>
    <row r="3703" spans="32:32">
      <c r="AF3703" s="21"/>
    </row>
    <row r="3704" spans="32:32">
      <c r="AF3704" s="21"/>
    </row>
    <row r="3719" spans="32:32">
      <c r="AF3719" s="21"/>
    </row>
    <row r="3720" spans="32:32">
      <c r="AF3720" s="21"/>
    </row>
    <row r="3721" spans="32:32">
      <c r="AF3721" s="21"/>
    </row>
    <row r="3722" spans="32:32">
      <c r="AF3722" s="21"/>
    </row>
    <row r="3723" spans="32:32">
      <c r="AF3723" s="21"/>
    </row>
    <row r="3724" spans="32:32">
      <c r="AF3724" s="21"/>
    </row>
    <row r="3725" spans="32:32">
      <c r="AF3725" s="21"/>
    </row>
    <row r="3726" spans="32:32">
      <c r="AF3726" s="21"/>
    </row>
    <row r="3740" spans="32:32">
      <c r="AF3740" s="21"/>
    </row>
    <row r="3741" spans="32:32">
      <c r="AF3741" s="21"/>
    </row>
    <row r="3742" spans="32:32">
      <c r="AF3742" s="21"/>
    </row>
    <row r="3743" spans="32:32">
      <c r="AF3743" s="21"/>
    </row>
    <row r="3744" spans="32:32">
      <c r="AF3744" s="21"/>
    </row>
    <row r="3745" spans="32:32">
      <c r="AF3745" s="21"/>
    </row>
    <row r="3746" spans="32:32">
      <c r="AF3746" s="21"/>
    </row>
    <row r="3747" spans="32:32">
      <c r="AF3747" s="21"/>
    </row>
    <row r="3748" spans="32:32">
      <c r="AF3748" s="21"/>
    </row>
    <row r="3749" spans="32:32">
      <c r="AF3749" s="21"/>
    </row>
    <row r="3761" spans="32:32">
      <c r="AF3761" s="21"/>
    </row>
    <row r="3762" spans="32:32">
      <c r="AF3762" s="21"/>
    </row>
    <row r="3763" spans="32:32">
      <c r="AF3763" s="21"/>
    </row>
    <row r="3764" spans="32:32">
      <c r="AF3764" s="21"/>
    </row>
    <row r="3765" spans="32:32">
      <c r="AF3765" s="21"/>
    </row>
    <row r="3766" spans="32:32">
      <c r="AF3766" s="21"/>
    </row>
    <row r="3767" spans="32:32">
      <c r="AF3767" s="21"/>
    </row>
    <row r="3768" spans="32:32">
      <c r="AF3768" s="21"/>
    </row>
    <row r="3783" spans="32:32">
      <c r="AF3783" s="21"/>
    </row>
    <row r="3784" spans="32:32">
      <c r="AF3784" s="21"/>
    </row>
    <row r="3785" spans="32:32">
      <c r="AF3785" s="21"/>
    </row>
    <row r="3786" spans="32:32">
      <c r="AF3786" s="21"/>
    </row>
    <row r="3787" spans="32:32">
      <c r="AF3787" s="21"/>
    </row>
    <row r="3788" spans="32:32">
      <c r="AF3788" s="21"/>
    </row>
    <row r="3789" spans="32:32">
      <c r="AF3789" s="21"/>
    </row>
    <row r="3790" spans="32:32">
      <c r="AF3790" s="21"/>
    </row>
    <row r="3803" spans="32:32">
      <c r="AF3803" s="21"/>
    </row>
    <row r="3804" spans="32:32">
      <c r="AF3804" s="21"/>
    </row>
    <row r="3805" spans="32:32">
      <c r="AF3805" s="21"/>
    </row>
    <row r="3806" spans="32:32">
      <c r="AF3806" s="21"/>
    </row>
    <row r="3807" spans="32:32">
      <c r="AF3807" s="21"/>
    </row>
    <row r="3808" spans="32:32">
      <c r="AF3808" s="21"/>
    </row>
    <row r="3809" spans="32:32">
      <c r="AF3809" s="21"/>
    </row>
    <row r="3810" spans="32:32">
      <c r="AF3810" s="21"/>
    </row>
    <row r="3811" spans="32:32">
      <c r="AF3811" s="21"/>
    </row>
    <row r="3822" spans="32:32">
      <c r="AF3822" s="21"/>
    </row>
    <row r="3823" spans="32:32">
      <c r="AF3823" s="21"/>
    </row>
    <row r="3824" spans="32:32">
      <c r="AF3824" s="21"/>
    </row>
    <row r="3825" spans="32:32">
      <c r="AF3825" s="21"/>
    </row>
    <row r="3826" spans="32:32">
      <c r="AF3826" s="21"/>
    </row>
    <row r="3827" spans="32:32">
      <c r="AF3827" s="21"/>
    </row>
    <row r="3828" spans="32:32">
      <c r="AF3828" s="21"/>
    </row>
    <row r="3829" spans="32:32">
      <c r="AF3829" s="21"/>
    </row>
    <row r="3830" spans="32:32">
      <c r="AF3830" s="21"/>
    </row>
    <row r="3844" spans="32:32">
      <c r="AF3844" s="21"/>
    </row>
    <row r="3845" spans="32:32">
      <c r="AF3845" s="21"/>
    </row>
    <row r="3846" spans="32:32">
      <c r="AF3846" s="21"/>
    </row>
    <row r="3847" spans="32:32">
      <c r="AF3847" s="21"/>
    </row>
    <row r="3848" spans="32:32">
      <c r="AF3848" s="21"/>
    </row>
    <row r="3849" spans="32:32">
      <c r="AF3849" s="21"/>
    </row>
    <row r="3850" spans="32:32">
      <c r="AF3850" s="21"/>
    </row>
    <row r="3851" spans="32:32">
      <c r="AF3851" s="21"/>
    </row>
    <row r="3865" spans="32:32">
      <c r="AF3865" s="21"/>
    </row>
    <row r="3866" spans="32:32">
      <c r="AF3866" s="21"/>
    </row>
    <row r="3867" spans="32:32">
      <c r="AF3867" s="21"/>
    </row>
    <row r="3868" spans="32:32">
      <c r="AF3868" s="21"/>
    </row>
    <row r="3869" spans="32:32">
      <c r="AF3869" s="21"/>
    </row>
    <row r="3870" spans="32:32">
      <c r="AF3870" s="21"/>
    </row>
    <row r="3871" spans="32:32">
      <c r="AF3871" s="21"/>
    </row>
    <row r="3872" spans="32:32">
      <c r="AF3872" s="21"/>
    </row>
    <row r="3873" spans="32:32">
      <c r="AF3873" s="21"/>
    </row>
    <row r="3886" spans="32:32">
      <c r="AF3886" s="21"/>
    </row>
    <row r="3887" spans="32:32">
      <c r="AF3887" s="21"/>
    </row>
    <row r="3888" spans="32:32">
      <c r="AF3888" s="21"/>
    </row>
    <row r="3889" spans="32:32">
      <c r="AF3889" s="21"/>
    </row>
    <row r="3890" spans="32:32">
      <c r="AF3890" s="21"/>
    </row>
    <row r="3891" spans="32:32">
      <c r="AF3891" s="21"/>
    </row>
    <row r="3892" spans="32:32">
      <c r="AF3892" s="21"/>
    </row>
    <row r="3893" spans="32:32">
      <c r="AF3893" s="21"/>
    </row>
    <row r="3908" spans="32:32">
      <c r="AF3908" s="21"/>
    </row>
    <row r="3909" spans="32:32">
      <c r="AF3909" s="21"/>
    </row>
    <row r="3910" spans="32:32">
      <c r="AF3910" s="21"/>
    </row>
    <row r="3911" spans="32:32">
      <c r="AF3911" s="21"/>
    </row>
    <row r="3912" spans="32:32">
      <c r="AF3912" s="21"/>
    </row>
    <row r="3913" spans="32:32">
      <c r="AF3913" s="21"/>
    </row>
    <row r="3914" spans="32:32">
      <c r="AF3914" s="21"/>
    </row>
    <row r="3928" spans="32:32">
      <c r="AF3928" s="21"/>
    </row>
    <row r="3929" spans="32:32">
      <c r="AF3929" s="21"/>
    </row>
    <row r="3930" spans="32:32">
      <c r="AF3930" s="21"/>
    </row>
    <row r="3931" spans="32:32">
      <c r="AF3931" s="21"/>
    </row>
    <row r="3932" spans="32:32">
      <c r="AF3932" s="21"/>
    </row>
    <row r="3933" spans="32:32">
      <c r="AF3933" s="21"/>
    </row>
    <row r="3934" spans="32:32">
      <c r="AF3934" s="21"/>
    </row>
    <row r="3935" spans="32:32">
      <c r="AF3935" s="21"/>
    </row>
    <row r="3936" spans="32:32">
      <c r="AF3936" s="21"/>
    </row>
    <row r="3937" spans="32:32">
      <c r="AF3937" s="21"/>
    </row>
    <row r="3951" spans="32:32">
      <c r="AF3951" s="21"/>
    </row>
    <row r="3952" spans="32:32">
      <c r="AF3952" s="21"/>
    </row>
    <row r="3953" spans="32:32">
      <c r="AF3953" s="21"/>
    </row>
    <row r="3954" spans="32:32">
      <c r="AF3954" s="21"/>
    </row>
    <row r="3955" spans="32:32">
      <c r="AF3955" s="21"/>
    </row>
    <row r="3956" spans="32:32">
      <c r="AF3956" s="21"/>
    </row>
    <row r="3957" spans="32:32">
      <c r="AF3957" s="21"/>
    </row>
    <row r="3972" spans="32:32">
      <c r="AF3972" s="21"/>
    </row>
    <row r="3973" spans="32:32">
      <c r="AF3973" s="21"/>
    </row>
    <row r="3974" spans="32:32">
      <c r="AF3974" s="21"/>
    </row>
    <row r="3975" spans="32:32">
      <c r="AF3975" s="21"/>
    </row>
    <row r="3976" spans="32:32">
      <c r="AF3976" s="21"/>
    </row>
    <row r="3977" spans="32:32">
      <c r="AF3977" s="21"/>
    </row>
    <row r="3978" spans="32:32">
      <c r="AF3978" s="21"/>
    </row>
    <row r="3979" spans="32:32">
      <c r="AF3979" s="21"/>
    </row>
    <row r="3993" spans="32:32">
      <c r="AF3993" s="21"/>
    </row>
    <row r="3994" spans="32:32">
      <c r="AF3994" s="21"/>
    </row>
    <row r="3995" spans="32:32">
      <c r="AF3995" s="21"/>
    </row>
    <row r="3996" spans="32:32">
      <c r="AF3996" s="21"/>
    </row>
    <row r="3997" spans="32:32">
      <c r="AF3997" s="21"/>
    </row>
    <row r="3998" spans="32:32">
      <c r="AF3998" s="21"/>
    </row>
    <row r="3999" spans="32:32">
      <c r="AF3999" s="21"/>
    </row>
    <row r="4000" spans="32:32">
      <c r="AF4000" s="21"/>
    </row>
    <row r="4001" spans="32:32">
      <c r="AF4001" s="21"/>
    </row>
    <row r="4014" spans="32:32">
      <c r="AF4014" s="21"/>
    </row>
    <row r="4015" spans="32:32">
      <c r="AF4015" s="21"/>
    </row>
    <row r="4016" spans="32:32">
      <c r="AF4016" s="21"/>
    </row>
    <row r="4017" spans="32:32">
      <c r="AF4017" s="21"/>
    </row>
    <row r="4018" spans="32:32">
      <c r="AF4018" s="21"/>
    </row>
    <row r="4019" spans="32:32">
      <c r="AF4019" s="21"/>
    </row>
    <row r="4020" spans="32:32">
      <c r="AF4020" s="21"/>
    </row>
    <row r="4021" spans="32:32">
      <c r="AF4021" s="21"/>
    </row>
    <row r="4035" spans="32:32">
      <c r="AF4035" s="21"/>
    </row>
    <row r="4036" spans="32:32">
      <c r="AF4036" s="21"/>
    </row>
    <row r="4037" spans="32:32">
      <c r="AF4037" s="21"/>
    </row>
    <row r="4038" spans="32:32">
      <c r="AF4038" s="21"/>
    </row>
    <row r="4039" spans="32:32">
      <c r="AF4039" s="21"/>
    </row>
    <row r="4040" spans="32:32">
      <c r="AF4040" s="21"/>
    </row>
    <row r="4041" spans="32:32">
      <c r="AF4041" s="21"/>
    </row>
    <row r="4042" spans="32:32">
      <c r="AF4042" s="21"/>
    </row>
    <row r="4055" spans="32:32">
      <c r="AF4055" s="21"/>
    </row>
    <row r="4056" spans="32:32">
      <c r="AF4056" s="21"/>
    </row>
    <row r="4057" spans="32:32">
      <c r="AF4057" s="21"/>
    </row>
    <row r="4058" spans="32:32">
      <c r="AF4058" s="21"/>
    </row>
    <row r="4059" spans="32:32">
      <c r="AF4059" s="21"/>
    </row>
    <row r="4060" spans="32:32">
      <c r="AF4060" s="21"/>
    </row>
    <row r="4061" spans="32:32">
      <c r="AF4061" s="21"/>
    </row>
    <row r="4062" spans="32:32">
      <c r="AF4062" s="21"/>
    </row>
    <row r="4074" spans="32:32">
      <c r="AF4074" s="21"/>
    </row>
    <row r="4075" spans="32:32">
      <c r="AF4075" s="21"/>
    </row>
    <row r="4076" spans="32:32">
      <c r="AF4076" s="21"/>
    </row>
    <row r="4077" spans="32:32">
      <c r="AF4077" s="21"/>
    </row>
    <row r="4078" spans="32:32">
      <c r="AF4078" s="21"/>
    </row>
    <row r="4079" spans="32:32">
      <c r="AF4079" s="21"/>
    </row>
    <row r="4080" spans="32:32">
      <c r="AF4080" s="21"/>
    </row>
    <row r="4081" spans="32:32">
      <c r="AF4081" s="21"/>
    </row>
    <row r="4097" spans="32:32">
      <c r="AF4097" s="21"/>
    </row>
    <row r="4098" spans="32:32">
      <c r="AF4098" s="21"/>
    </row>
    <row r="4099" spans="32:32">
      <c r="AF4099" s="21"/>
    </row>
    <row r="4100" spans="32:32">
      <c r="AF4100" s="21"/>
    </row>
    <row r="4101" spans="32:32">
      <c r="AF4101" s="21"/>
    </row>
    <row r="4102" spans="32:32">
      <c r="AF4102" s="21"/>
    </row>
    <row r="4103" spans="32:32">
      <c r="AF4103" s="21"/>
    </row>
    <row r="4104" spans="32:32">
      <c r="AF4104" s="21"/>
    </row>
    <row r="4116" spans="32:32">
      <c r="AF4116" s="21"/>
    </row>
    <row r="4117" spans="32:32">
      <c r="AF4117" s="21"/>
    </row>
    <row r="4118" spans="32:32">
      <c r="AF4118" s="21"/>
    </row>
    <row r="4119" spans="32:32">
      <c r="AF4119" s="21"/>
    </row>
    <row r="4120" spans="32:32">
      <c r="AF4120" s="21"/>
    </row>
    <row r="4121" spans="32:32">
      <c r="AF4121" s="21"/>
    </row>
    <row r="4122" spans="32:32">
      <c r="AF4122" s="21"/>
    </row>
    <row r="4123" spans="32:32">
      <c r="AF4123" s="21"/>
    </row>
    <row r="4124" spans="32:32">
      <c r="AF4124" s="21"/>
    </row>
    <row r="4125" spans="32:32">
      <c r="AF4125" s="21"/>
    </row>
    <row r="4138" spans="32:32">
      <c r="AF4138" s="21"/>
    </row>
    <row r="4139" spans="32:32">
      <c r="AF4139" s="21"/>
    </row>
    <row r="4140" spans="32:32">
      <c r="AF4140" s="21"/>
    </row>
    <row r="4141" spans="32:32">
      <c r="AF4141" s="21"/>
    </row>
    <row r="4142" spans="32:32">
      <c r="AF4142" s="21"/>
    </row>
    <row r="4143" spans="32:32">
      <c r="AF4143" s="21"/>
    </row>
    <row r="4144" spans="32:32">
      <c r="AF4144" s="21"/>
    </row>
    <row r="4145" spans="32:32">
      <c r="AF4145" s="21"/>
    </row>
    <row r="4160" spans="32:32">
      <c r="AF4160" s="21"/>
    </row>
    <row r="4161" spans="32:32">
      <c r="AF4161" s="21"/>
    </row>
    <row r="4162" spans="32:32">
      <c r="AF4162" s="21"/>
    </row>
    <row r="4163" spans="32:32">
      <c r="AF4163" s="21"/>
    </row>
    <row r="4164" spans="32:32">
      <c r="AF4164" s="21"/>
    </row>
    <row r="4165" spans="32:32">
      <c r="AF4165" s="21"/>
    </row>
    <row r="4166" spans="32:32">
      <c r="AF4166" s="21"/>
    </row>
    <row r="4180" spans="32:32">
      <c r="AF4180" s="21"/>
    </row>
    <row r="4181" spans="32:32">
      <c r="AF4181" s="21"/>
    </row>
    <row r="4182" spans="32:32">
      <c r="AF4182" s="21"/>
    </row>
    <row r="4183" spans="32:32">
      <c r="AF4183" s="21"/>
    </row>
    <row r="4184" spans="32:32">
      <c r="AF4184" s="21"/>
    </row>
    <row r="4185" spans="32:32">
      <c r="AF4185" s="21"/>
    </row>
    <row r="4186" spans="32:32">
      <c r="AF4186" s="21"/>
    </row>
    <row r="4187" spans="32:32">
      <c r="AF4187" s="21"/>
    </row>
    <row r="4188" spans="32:32">
      <c r="AF4188" s="21"/>
    </row>
    <row r="4203" spans="32:32">
      <c r="AF4203" s="21"/>
    </row>
    <row r="4204" spans="32:32">
      <c r="AF4204" s="21"/>
    </row>
    <row r="4205" spans="32:32">
      <c r="AF4205" s="21"/>
    </row>
    <row r="4206" spans="32:32">
      <c r="AF4206" s="21"/>
    </row>
    <row r="4207" spans="32:32">
      <c r="AF4207" s="21"/>
    </row>
    <row r="4208" spans="32:32">
      <c r="AF4208" s="21"/>
    </row>
    <row r="4209" spans="32:32">
      <c r="AF4209" s="21"/>
    </row>
    <row r="4223" spans="32:32">
      <c r="AF4223" s="21"/>
    </row>
    <row r="4224" spans="32:32">
      <c r="AF4224" s="21"/>
    </row>
    <row r="4225" spans="32:32">
      <c r="AF4225" s="21"/>
    </row>
    <row r="4226" spans="32:32">
      <c r="AF4226" s="21"/>
    </row>
    <row r="4227" spans="32:32">
      <c r="AF4227" s="21"/>
    </row>
    <row r="4228" spans="32:32">
      <c r="AF4228" s="21"/>
    </row>
    <row r="4229" spans="32:32">
      <c r="AF4229" s="21"/>
    </row>
    <row r="4230" spans="32:32">
      <c r="AF4230" s="21"/>
    </row>
    <row r="4231" spans="32:32">
      <c r="AF4231" s="21"/>
    </row>
    <row r="4245" spans="32:32">
      <c r="AF4245" s="21"/>
    </row>
    <row r="4246" spans="32:32">
      <c r="AF4246" s="21"/>
    </row>
    <row r="4247" spans="32:32">
      <c r="AF4247" s="21"/>
    </row>
    <row r="4248" spans="32:32">
      <c r="AF4248" s="21"/>
    </row>
    <row r="4249" spans="32:32">
      <c r="AF4249" s="21"/>
    </row>
    <row r="4250" spans="32:32">
      <c r="AF4250" s="21"/>
    </row>
    <row r="4251" spans="32:32">
      <c r="AF4251" s="21"/>
    </row>
    <row r="4252" spans="32:32">
      <c r="AF4252" s="21"/>
    </row>
    <row r="4266" spans="32:32">
      <c r="AF4266" s="21"/>
    </row>
    <row r="4267" spans="32:32">
      <c r="AF4267" s="21"/>
    </row>
    <row r="4268" spans="32:32">
      <c r="AF4268" s="21"/>
    </row>
    <row r="4269" spans="32:32">
      <c r="AF4269" s="21"/>
    </row>
    <row r="4270" spans="32:32">
      <c r="AF4270" s="21"/>
    </row>
    <row r="4271" spans="32:32">
      <c r="AF4271" s="21"/>
    </row>
    <row r="4272" spans="32:32">
      <c r="AF4272" s="21"/>
    </row>
    <row r="4273" spans="32:32">
      <c r="AF4273" s="21"/>
    </row>
    <row r="4286" spans="32:32">
      <c r="AF4286" s="21"/>
    </row>
    <row r="4287" spans="32:32">
      <c r="AF4287" s="21"/>
    </row>
    <row r="4288" spans="32:32">
      <c r="AF4288" s="21"/>
    </row>
    <row r="4289" spans="32:32">
      <c r="AF4289" s="21"/>
    </row>
    <row r="4290" spans="32:32">
      <c r="AF4290" s="21"/>
    </row>
    <row r="4291" spans="32:32">
      <c r="AF4291" s="21"/>
    </row>
    <row r="4292" spans="32:32">
      <c r="AF4292" s="21"/>
    </row>
    <row r="4293" spans="32:32">
      <c r="AF4293" s="21"/>
    </row>
    <row r="4306" spans="32:32">
      <c r="AF4306" s="21"/>
    </row>
    <row r="4307" spans="32:32">
      <c r="AF4307" s="21"/>
    </row>
    <row r="4308" spans="32:32">
      <c r="AF4308" s="21"/>
    </row>
    <row r="4309" spans="32:32">
      <c r="AF4309" s="21"/>
    </row>
    <row r="4310" spans="32:32">
      <c r="AF4310" s="21"/>
    </row>
    <row r="4311" spans="32:32">
      <c r="AF4311" s="21"/>
    </row>
    <row r="4312" spans="32:32">
      <c r="AF4312" s="21"/>
    </row>
    <row r="4313" spans="32:32">
      <c r="AF4313" s="21"/>
    </row>
    <row r="4325" spans="32:32">
      <c r="AF4325" s="21"/>
    </row>
    <row r="4326" spans="32:32">
      <c r="AF4326" s="21"/>
    </row>
    <row r="4327" spans="32:32">
      <c r="AF4327" s="21"/>
    </row>
    <row r="4328" spans="32:32">
      <c r="AF4328" s="21"/>
    </row>
    <row r="4329" spans="32:32">
      <c r="AF4329" s="21"/>
    </row>
    <row r="4330" spans="32:32">
      <c r="AF4330" s="21"/>
    </row>
    <row r="4331" spans="32:32">
      <c r="AF4331" s="21"/>
    </row>
    <row r="4332" spans="32:32">
      <c r="AF4332" s="21"/>
    </row>
    <row r="4347" spans="32:32">
      <c r="AF4347" s="21"/>
    </row>
    <row r="4348" spans="32:32">
      <c r="AF4348" s="21"/>
    </row>
    <row r="4349" spans="32:32">
      <c r="AF4349" s="21"/>
    </row>
    <row r="4350" spans="32:32">
      <c r="AF4350" s="21"/>
    </row>
    <row r="4351" spans="32:32">
      <c r="AF4351" s="21"/>
    </row>
    <row r="4352" spans="32:32">
      <c r="AF4352" s="21"/>
    </row>
    <row r="4353" spans="32:32">
      <c r="AF4353" s="21"/>
    </row>
    <row r="4354" spans="32:32">
      <c r="AF4354" s="21"/>
    </row>
    <row r="4367" spans="32:32">
      <c r="AF4367" s="21"/>
    </row>
    <row r="4368" spans="32:32">
      <c r="AF4368" s="21"/>
    </row>
    <row r="4369" spans="32:32">
      <c r="AF4369" s="21"/>
    </row>
    <row r="4370" spans="32:32">
      <c r="AF4370" s="21"/>
    </row>
    <row r="4371" spans="32:32">
      <c r="AF4371" s="21"/>
    </row>
    <row r="4372" spans="32:32">
      <c r="AF4372" s="21"/>
    </row>
    <row r="4373" spans="32:32">
      <c r="AF4373" s="21"/>
    </row>
    <row r="4374" spans="32:32">
      <c r="AF4374" s="21"/>
    </row>
    <row r="4375" spans="32:32">
      <c r="AF4375" s="21"/>
    </row>
    <row r="4389" spans="32:32">
      <c r="AF4389" s="21"/>
    </row>
    <row r="4390" spans="32:32">
      <c r="AF4390" s="21"/>
    </row>
    <row r="4391" spans="32:32">
      <c r="AF4391" s="21"/>
    </row>
    <row r="4392" spans="32:32">
      <c r="AF4392" s="21"/>
    </row>
    <row r="4393" spans="32:32">
      <c r="AF4393" s="21"/>
    </row>
    <row r="4394" spans="32:32">
      <c r="AF4394" s="21"/>
    </row>
    <row r="4395" spans="32:32">
      <c r="AF4395" s="21"/>
    </row>
    <row r="4396" spans="32:32">
      <c r="AF4396" s="21"/>
    </row>
    <row r="4410" spans="32:32">
      <c r="AF4410" s="21"/>
    </row>
    <row r="4411" spans="32:32">
      <c r="AF4411" s="21"/>
    </row>
    <row r="4412" spans="32:32">
      <c r="AF4412" s="21"/>
    </row>
    <row r="4413" spans="32:32">
      <c r="AF4413" s="21"/>
    </row>
    <row r="4414" spans="32:32">
      <c r="AF4414" s="21"/>
    </row>
    <row r="4415" spans="32:32">
      <c r="AF4415" s="21"/>
    </row>
    <row r="4416" spans="32:32">
      <c r="AF4416" s="21"/>
    </row>
    <row r="4417" spans="32:32">
      <c r="AF4417" s="21"/>
    </row>
    <row r="4431" spans="32:32">
      <c r="AF4431" s="21"/>
    </row>
    <row r="4432" spans="32:32">
      <c r="AF4432" s="21"/>
    </row>
    <row r="4433" spans="32:32">
      <c r="AF4433" s="21"/>
    </row>
    <row r="4434" spans="32:32">
      <c r="AF4434" s="21"/>
    </row>
    <row r="4435" spans="32:32">
      <c r="AF4435" s="21"/>
    </row>
    <row r="4436" spans="32:32">
      <c r="AF4436" s="21"/>
    </row>
    <row r="4437" spans="32:32">
      <c r="AF4437" s="21"/>
    </row>
    <row r="4438" spans="32:32">
      <c r="AF4438" s="21"/>
    </row>
    <row r="4454" spans="32:32">
      <c r="AF4454" s="21"/>
    </row>
    <row r="4455" spans="32:32">
      <c r="AF4455" s="21"/>
    </row>
    <row r="4456" spans="32:32">
      <c r="AF4456" s="21"/>
    </row>
    <row r="4457" spans="32:32">
      <c r="AF4457" s="21"/>
    </row>
    <row r="4458" spans="32:32">
      <c r="AF4458" s="21"/>
    </row>
    <row r="4459" spans="32:32">
      <c r="AF4459" s="21"/>
    </row>
    <row r="4460" spans="32:32">
      <c r="AF4460" s="21"/>
    </row>
    <row r="4473" spans="32:32">
      <c r="AF4473" s="21"/>
    </row>
    <row r="4474" spans="32:32">
      <c r="AF4474" s="21"/>
    </row>
    <row r="4475" spans="32:32">
      <c r="AF4475" s="21"/>
    </row>
    <row r="4476" spans="32:32">
      <c r="AF4476" s="21"/>
    </row>
    <row r="4477" spans="32:32">
      <c r="AF4477" s="21"/>
    </row>
    <row r="4478" spans="32:32">
      <c r="AF4478" s="21"/>
    </row>
    <row r="4479" spans="32:32">
      <c r="AF4479" s="21"/>
    </row>
    <row r="4480" spans="32:32">
      <c r="AF4480" s="21"/>
    </row>
    <row r="4481" spans="32:32">
      <c r="AF4481" s="21"/>
    </row>
    <row r="4482" spans="32:32">
      <c r="AF4482" s="21"/>
    </row>
    <row r="4496" spans="32:32">
      <c r="AF4496" s="21"/>
    </row>
    <row r="4497" spans="32:32">
      <c r="AF4497" s="21"/>
    </row>
    <row r="4498" spans="32:32">
      <c r="AF4498" s="21"/>
    </row>
    <row r="4499" spans="32:32">
      <c r="AF4499" s="21"/>
    </row>
    <row r="4500" spans="32:32">
      <c r="AF4500" s="21"/>
    </row>
    <row r="4501" spans="32:32">
      <c r="AF4501" s="21"/>
    </row>
    <row r="4502" spans="32:32">
      <c r="AF4502" s="21"/>
    </row>
    <row r="4503" spans="32:32">
      <c r="AF4503" s="21"/>
    </row>
    <row r="4517" spans="32:32">
      <c r="AF4517" s="21"/>
    </row>
    <row r="4518" spans="32:32">
      <c r="AF4518" s="21"/>
    </row>
    <row r="4519" spans="32:32">
      <c r="AF4519" s="21"/>
    </row>
    <row r="4520" spans="32:32">
      <c r="AF4520" s="21"/>
    </row>
    <row r="4521" spans="32:32">
      <c r="AF4521" s="21"/>
    </row>
    <row r="4522" spans="32:32">
      <c r="AF4522" s="21"/>
    </row>
    <row r="4523" spans="32:32">
      <c r="AF4523" s="21"/>
    </row>
    <row r="4524" spans="32:32">
      <c r="AF4524" s="21"/>
    </row>
    <row r="4537" spans="32:32">
      <c r="AF4537" s="21"/>
    </row>
    <row r="4538" spans="32:32">
      <c r="AF4538" s="21"/>
    </row>
    <row r="4539" spans="32:32">
      <c r="AF4539" s="21"/>
    </row>
    <row r="4540" spans="32:32">
      <c r="AF4540" s="21"/>
    </row>
    <row r="4541" spans="32:32">
      <c r="AF4541" s="21"/>
    </row>
    <row r="4542" spans="32:32">
      <c r="AF4542" s="21"/>
    </row>
    <row r="4543" spans="32:32">
      <c r="AF4543" s="21"/>
    </row>
    <row r="4544" spans="32:32">
      <c r="AF4544" s="21"/>
    </row>
    <row r="4558" spans="32:32">
      <c r="AF4558" s="21"/>
    </row>
    <row r="4559" spans="32:32">
      <c r="AF4559" s="21"/>
    </row>
    <row r="4560" spans="32:32">
      <c r="AF4560" s="21"/>
    </row>
    <row r="4561" spans="32:32">
      <c r="AF4561" s="21"/>
    </row>
    <row r="4562" spans="32:32">
      <c r="AF4562" s="21"/>
    </row>
    <row r="4563" spans="32:32">
      <c r="AF4563" s="21"/>
    </row>
    <row r="4564" spans="32:32">
      <c r="AF4564" s="21"/>
    </row>
    <row r="4565" spans="32:32">
      <c r="AF4565" s="21"/>
    </row>
    <row r="4578" spans="32:32">
      <c r="AF4578" s="21"/>
    </row>
    <row r="4579" spans="32:32">
      <c r="AF4579" s="21"/>
    </row>
    <row r="4580" spans="32:32">
      <c r="AF4580" s="21"/>
    </row>
    <row r="4581" spans="32:32">
      <c r="AF4581" s="21"/>
    </row>
    <row r="4582" spans="32:32">
      <c r="AF4582" s="21"/>
    </row>
    <row r="4583" spans="32:32">
      <c r="AF4583" s="21"/>
    </row>
    <row r="4584" spans="32:32">
      <c r="AF4584" s="21"/>
    </row>
    <row r="4585" spans="32:32">
      <c r="AF4585" s="21"/>
    </row>
    <row r="4598" spans="32:32">
      <c r="AF4598" s="21"/>
    </row>
    <row r="4599" spans="32:32">
      <c r="AF4599" s="21"/>
    </row>
    <row r="4600" spans="32:32">
      <c r="AF4600" s="21"/>
    </row>
    <row r="4601" spans="32:32">
      <c r="AF4601" s="21"/>
    </row>
    <row r="4602" spans="32:32">
      <c r="AF4602" s="21"/>
    </row>
    <row r="4603" spans="32:32">
      <c r="AF4603" s="21"/>
    </row>
    <row r="4604" spans="32:32">
      <c r="AF4604" s="21"/>
    </row>
    <row r="4605" spans="32:32">
      <c r="AF4605" s="21"/>
    </row>
    <row r="4606" spans="32:32">
      <c r="AF4606" s="21"/>
    </row>
    <row r="4620" spans="32:32">
      <c r="AF4620" s="21"/>
    </row>
    <row r="4621" spans="32:32">
      <c r="AF4621" s="21"/>
    </row>
    <row r="4622" spans="32:32">
      <c r="AF4622" s="21"/>
    </row>
    <row r="4623" spans="32:32">
      <c r="AF4623" s="21"/>
    </row>
    <row r="4624" spans="32:32">
      <c r="AF4624" s="21"/>
    </row>
    <row r="4625" spans="32:32">
      <c r="AF4625" s="21"/>
    </row>
    <row r="4626" spans="32:32">
      <c r="AF4626" s="21"/>
    </row>
    <row r="4627" spans="32:32">
      <c r="AF4627" s="21"/>
    </row>
    <row r="4641" spans="32:32">
      <c r="AF4641" s="21"/>
    </row>
    <row r="4642" spans="32:32">
      <c r="AF4642" s="21"/>
    </row>
    <row r="4643" spans="32:32">
      <c r="AF4643" s="21"/>
    </row>
    <row r="4644" spans="32:32">
      <c r="AF4644" s="21"/>
    </row>
    <row r="4645" spans="32:32">
      <c r="AF4645" s="21"/>
    </row>
    <row r="4646" spans="32:32">
      <c r="AF4646" s="21"/>
    </row>
    <row r="4647" spans="32:32">
      <c r="AF4647" s="21"/>
    </row>
    <row r="4648" spans="32:32">
      <c r="AF4648" s="21"/>
    </row>
    <row r="4649" spans="32:32">
      <c r="AF4649" s="21"/>
    </row>
    <row r="4662" spans="32:32">
      <c r="AF4662" s="21"/>
    </row>
    <row r="4663" spans="32:32">
      <c r="AF4663" s="21"/>
    </row>
    <row r="4664" spans="32:32">
      <c r="AF4664" s="21"/>
    </row>
    <row r="4665" spans="32:32">
      <c r="AF4665" s="21"/>
    </row>
    <row r="4666" spans="32:32">
      <c r="AF4666" s="21"/>
    </row>
    <row r="4667" spans="32:32">
      <c r="AF4667" s="21"/>
    </row>
    <row r="4668" spans="32:32">
      <c r="AF4668" s="21"/>
    </row>
    <row r="4669" spans="32:32">
      <c r="AF4669" s="21"/>
    </row>
    <row r="4684" spans="32:32">
      <c r="AF4684" s="21"/>
    </row>
    <row r="4685" spans="32:32">
      <c r="AF4685" s="21"/>
    </row>
    <row r="4686" spans="32:32">
      <c r="AF4686" s="21"/>
    </row>
    <row r="4687" spans="32:32">
      <c r="AF4687" s="21"/>
    </row>
    <row r="4688" spans="32:32">
      <c r="AF4688" s="21"/>
    </row>
    <row r="4689" spans="32:32">
      <c r="AF4689" s="21"/>
    </row>
    <row r="4690" spans="32:32">
      <c r="AF4690" s="21"/>
    </row>
    <row r="4691" spans="32:32">
      <c r="AF4691" s="21"/>
    </row>
    <row r="4705" spans="32:32">
      <c r="AF4705" s="21"/>
    </row>
    <row r="4706" spans="32:32">
      <c r="AF4706" s="21"/>
    </row>
    <row r="4707" spans="32:32">
      <c r="AF4707" s="21"/>
    </row>
    <row r="4708" spans="32:32">
      <c r="AF4708" s="21"/>
    </row>
    <row r="4709" spans="32:32">
      <c r="AF4709" s="21"/>
    </row>
    <row r="4710" spans="32:32">
      <c r="AF4710" s="21"/>
    </row>
    <row r="4711" spans="32:32">
      <c r="AF4711" s="21"/>
    </row>
    <row r="4712" spans="32:32">
      <c r="AF4712" s="21"/>
    </row>
    <row r="4713" spans="32:32">
      <c r="AF4713" s="21"/>
    </row>
    <row r="4726" spans="32:32">
      <c r="AF4726" s="21"/>
    </row>
    <row r="4727" spans="32:32">
      <c r="AF4727" s="21"/>
    </row>
    <row r="4728" spans="32:32">
      <c r="AF4728" s="21"/>
    </row>
    <row r="4729" spans="32:32">
      <c r="AF4729" s="21"/>
    </row>
    <row r="4730" spans="32:32">
      <c r="AF4730" s="21"/>
    </row>
    <row r="4731" spans="32:32">
      <c r="AF4731" s="21"/>
    </row>
    <row r="4732" spans="32:32">
      <c r="AF4732" s="21"/>
    </row>
    <row r="4733" spans="32:32">
      <c r="AF4733" s="21"/>
    </row>
    <row r="4749" spans="32:32">
      <c r="AF4749" s="21"/>
    </row>
    <row r="4750" spans="32:32">
      <c r="AF4750" s="21"/>
    </row>
    <row r="4751" spans="32:32">
      <c r="AF4751" s="21"/>
    </row>
    <row r="4752" spans="32:32">
      <c r="AF4752" s="21"/>
    </row>
    <row r="4753" spans="32:32">
      <c r="AF4753" s="21"/>
    </row>
    <row r="4754" spans="32:32">
      <c r="AF4754" s="21"/>
    </row>
    <row r="4755" spans="32:32">
      <c r="AF4755" s="21"/>
    </row>
    <row r="4756" spans="32:32">
      <c r="AF4756" s="21"/>
    </row>
    <row r="4768" spans="32:32">
      <c r="AF4768" s="21"/>
    </row>
    <row r="4769" spans="32:32">
      <c r="AF4769" s="21"/>
    </row>
    <row r="4770" spans="32:32">
      <c r="AF4770" s="21"/>
    </row>
    <row r="4771" spans="32:32">
      <c r="AF4771" s="21"/>
    </row>
    <row r="4772" spans="32:32">
      <c r="AF4772" s="21"/>
    </row>
    <row r="4773" spans="32:32">
      <c r="AF4773" s="21"/>
    </row>
    <row r="4774" spans="32:32">
      <c r="AF4774" s="21"/>
    </row>
    <row r="4775" spans="32:32">
      <c r="AF4775" s="21"/>
    </row>
    <row r="4776" spans="32:32">
      <c r="AF4776" s="21"/>
    </row>
    <row r="4777" spans="32:32">
      <c r="AF4777" s="21"/>
    </row>
    <row r="4790" spans="32:32">
      <c r="AF4790" s="21"/>
    </row>
    <row r="4791" spans="32:32">
      <c r="AF4791" s="21"/>
    </row>
    <row r="4792" spans="32:32">
      <c r="AF4792" s="21"/>
    </row>
    <row r="4793" spans="32:32">
      <c r="AF4793" s="21"/>
    </row>
    <row r="4794" spans="32:32">
      <c r="AF4794" s="21"/>
    </row>
    <row r="4795" spans="32:32">
      <c r="AF4795" s="21"/>
    </row>
    <row r="4796" spans="32:32">
      <c r="AF4796" s="21"/>
    </row>
    <row r="4810" spans="32:32">
      <c r="AF4810" s="21"/>
    </row>
    <row r="4811" spans="32:32">
      <c r="AF4811" s="21"/>
    </row>
    <row r="4812" spans="32:32">
      <c r="AF4812" s="21"/>
    </row>
    <row r="4813" spans="32:32">
      <c r="AF4813" s="21"/>
    </row>
    <row r="4814" spans="32:32">
      <c r="AF4814" s="21"/>
    </row>
    <row r="4815" spans="32:32">
      <c r="AF4815" s="21"/>
    </row>
    <row r="4816" spans="32:32">
      <c r="AF4816" s="21"/>
    </row>
    <row r="4817" spans="32:32">
      <c r="AF4817" s="21"/>
    </row>
    <row r="4818" spans="32:32">
      <c r="AF4818" s="21"/>
    </row>
    <row r="4829" spans="32:32">
      <c r="AF4829" s="21"/>
    </row>
    <row r="4830" spans="32:32">
      <c r="AF4830" s="21"/>
    </row>
    <row r="4831" spans="32:32">
      <c r="AF4831" s="21"/>
    </row>
    <row r="4832" spans="32:32">
      <c r="AF4832" s="21"/>
    </row>
    <row r="4833" spans="32:32">
      <c r="AF4833" s="21"/>
    </row>
    <row r="4834" spans="32:32">
      <c r="AF4834" s="21"/>
    </row>
    <row r="4835" spans="32:32">
      <c r="AF4835" s="21"/>
    </row>
    <row r="4836" spans="32:32">
      <c r="AF4836" s="21"/>
    </row>
    <row r="4837" spans="32:32">
      <c r="AF4837" s="21"/>
    </row>
    <row r="4851" spans="32:32">
      <c r="AF4851" s="21"/>
    </row>
    <row r="4852" spans="32:32">
      <c r="AF4852" s="21"/>
    </row>
    <row r="4853" spans="32:32">
      <c r="AF4853" s="21"/>
    </row>
    <row r="4854" spans="32:32">
      <c r="AF4854" s="21"/>
    </row>
    <row r="4855" spans="32:32">
      <c r="AF4855" s="21"/>
    </row>
    <row r="4856" spans="32:32">
      <c r="AF4856" s="21"/>
    </row>
    <row r="4857" spans="32:32">
      <c r="AF4857" s="21"/>
    </row>
    <row r="4872" spans="32:32">
      <c r="AF4872" s="21"/>
    </row>
    <row r="4873" spans="32:32">
      <c r="AF4873" s="21"/>
    </row>
    <row r="4874" spans="32:32">
      <c r="AF4874" s="21"/>
    </row>
    <row r="4875" spans="32:32">
      <c r="AF4875" s="21"/>
    </row>
    <row r="4876" spans="32:32">
      <c r="AF4876" s="21"/>
    </row>
    <row r="4877" spans="32:32">
      <c r="AF4877" s="21"/>
    </row>
    <row r="4878" spans="32:32">
      <c r="AF4878" s="21"/>
    </row>
    <row r="4879" spans="32:32">
      <c r="AF4879" s="21"/>
    </row>
    <row r="4892" spans="32:32">
      <c r="AF4892" s="21"/>
    </row>
    <row r="4893" spans="32:32">
      <c r="AF4893" s="21"/>
    </row>
    <row r="4894" spans="32:32">
      <c r="AF4894" s="21"/>
    </row>
    <row r="4895" spans="32:32">
      <c r="AF4895" s="21"/>
    </row>
    <row r="4896" spans="32:32">
      <c r="AF4896" s="21"/>
    </row>
    <row r="4897" spans="32:32">
      <c r="AF4897" s="21"/>
    </row>
    <row r="4898" spans="32:32">
      <c r="AF4898" s="21"/>
    </row>
    <row r="4899" spans="32:32">
      <c r="AF4899" s="21"/>
    </row>
    <row r="4900" spans="32:32">
      <c r="AF4900" s="21"/>
    </row>
    <row r="4901" spans="32:32">
      <c r="AF4901" s="21"/>
    </row>
    <row r="4914" spans="32:32">
      <c r="AF4914" s="21"/>
    </row>
    <row r="4915" spans="32:32">
      <c r="AF4915" s="21"/>
    </row>
    <row r="4916" spans="32:32">
      <c r="AF4916" s="21"/>
    </row>
    <row r="4917" spans="32:32">
      <c r="AF4917" s="21"/>
    </row>
    <row r="4918" spans="32:32">
      <c r="AF4918" s="21"/>
    </row>
    <row r="4919" spans="32:32">
      <c r="AF4919" s="21"/>
    </row>
    <row r="4920" spans="32:32">
      <c r="AF4920" s="21"/>
    </row>
    <row r="4936" spans="32:32">
      <c r="AF4936" s="21"/>
    </row>
    <row r="4937" spans="32:32">
      <c r="AF4937" s="21"/>
    </row>
    <row r="4938" spans="32:32">
      <c r="AF4938" s="21"/>
    </row>
    <row r="4939" spans="32:32">
      <c r="AF4939" s="21"/>
    </row>
    <row r="4940" spans="32:32">
      <c r="AF4940" s="21"/>
    </row>
    <row r="4941" spans="32:32">
      <c r="AF4941" s="21"/>
    </row>
    <row r="4942" spans="32:32">
      <c r="AF4942" s="21"/>
    </row>
    <row r="4943" spans="32:32">
      <c r="AF4943" s="21"/>
    </row>
    <row r="4957" spans="32:32">
      <c r="AF4957" s="21"/>
    </row>
    <row r="4958" spans="32:32">
      <c r="AF4958" s="21"/>
    </row>
    <row r="4959" spans="32:32">
      <c r="AF4959" s="21"/>
    </row>
    <row r="4960" spans="32:32">
      <c r="AF4960" s="21"/>
    </row>
    <row r="4961" spans="32:32">
      <c r="AF4961" s="21"/>
    </row>
    <row r="4962" spans="32:32">
      <c r="AF4962" s="21"/>
    </row>
    <row r="4963" spans="32:32">
      <c r="AF4963" s="21"/>
    </row>
    <row r="4964" spans="32:32">
      <c r="AF4964" s="21"/>
    </row>
    <row r="4978" spans="32:32">
      <c r="AF4978" s="21"/>
    </row>
    <row r="4979" spans="32:32">
      <c r="AF4979" s="21"/>
    </row>
    <row r="4980" spans="32:32">
      <c r="AF4980" s="21"/>
    </row>
    <row r="4981" spans="32:32">
      <c r="AF4981" s="21"/>
    </row>
    <row r="4982" spans="32:32">
      <c r="AF4982" s="21"/>
    </row>
    <row r="4983" spans="32:32">
      <c r="AF4983" s="21"/>
    </row>
    <row r="4984" spans="32:32">
      <c r="AF4984" s="21"/>
    </row>
    <row r="4985" spans="32:32">
      <c r="AF4985" s="21"/>
    </row>
    <row r="5000" spans="32:32">
      <c r="AF5000" s="21"/>
    </row>
    <row r="5001" spans="32:32">
      <c r="AF5001" s="21"/>
    </row>
    <row r="5002" spans="32:32">
      <c r="AF5002" s="21"/>
    </row>
    <row r="5003" spans="32:32">
      <c r="AF5003" s="21"/>
    </row>
    <row r="5004" spans="32:32">
      <c r="AF5004" s="21"/>
    </row>
    <row r="5005" spans="32:32">
      <c r="AF5005" s="21"/>
    </row>
    <row r="5006" spans="32:32">
      <c r="AF5006" s="21"/>
    </row>
    <row r="5007" spans="32:32">
      <c r="AF5007" s="21"/>
    </row>
    <row r="5008" spans="32:32">
      <c r="AF5008" s="21"/>
    </row>
    <row r="5020" spans="32:32">
      <c r="AF5020" s="21"/>
    </row>
    <row r="5021" spans="32:32">
      <c r="AF5021" s="21"/>
    </row>
    <row r="5022" spans="32:32">
      <c r="AF5022" s="21"/>
    </row>
    <row r="5023" spans="32:32">
      <c r="AF5023" s="21"/>
    </row>
    <row r="5024" spans="32:32">
      <c r="AF5024" s="21"/>
    </row>
    <row r="5025" spans="32:32">
      <c r="AF5025" s="21"/>
    </row>
    <row r="5026" spans="32:32">
      <c r="AF5026" s="21"/>
    </row>
    <row r="5027" spans="32:32">
      <c r="AF5027" s="21"/>
    </row>
    <row r="5028" spans="32:32">
      <c r="AF5028" s="21"/>
    </row>
    <row r="5042" spans="32:32">
      <c r="AF5042" s="21"/>
    </row>
    <row r="5043" spans="32:32">
      <c r="AF5043" s="21"/>
    </row>
    <row r="5044" spans="32:32">
      <c r="AF5044" s="21"/>
    </row>
    <row r="5045" spans="32:32">
      <c r="AF5045" s="21"/>
    </row>
    <row r="5046" spans="32:32">
      <c r="AF5046" s="21"/>
    </row>
    <row r="5047" spans="32:32">
      <c r="AF5047" s="21"/>
    </row>
    <row r="5048" spans="32:32">
      <c r="AF5048" s="21"/>
    </row>
    <row r="5061" spans="32:32">
      <c r="AF5061" s="21"/>
    </row>
    <row r="5062" spans="32:32">
      <c r="AF5062" s="21"/>
    </row>
    <row r="5063" spans="32:32">
      <c r="AF5063" s="21"/>
    </row>
    <row r="5064" spans="32:32">
      <c r="AF5064" s="21"/>
    </row>
    <row r="5065" spans="32:32">
      <c r="AF5065" s="21"/>
    </row>
    <row r="5066" spans="32:32">
      <c r="AF5066" s="21"/>
    </row>
    <row r="5067" spans="32:32">
      <c r="AF5067" s="21"/>
    </row>
    <row r="5068" spans="32:32">
      <c r="AF5068" s="21"/>
    </row>
    <row r="5069" spans="32:32">
      <c r="AF5069" s="21"/>
    </row>
    <row r="5070" spans="32:32">
      <c r="AF5070" s="21"/>
    </row>
    <row r="5080" spans="32:32">
      <c r="AF5080" s="21"/>
    </row>
    <row r="5081" spans="32:32">
      <c r="AF5081" s="21"/>
    </row>
    <row r="5082" spans="32:32">
      <c r="AF5082" s="21"/>
    </row>
    <row r="5083" spans="32:32">
      <c r="AF5083" s="21"/>
    </row>
    <row r="5084" spans="32:32">
      <c r="AF5084" s="21"/>
    </row>
    <row r="5085" spans="32:32">
      <c r="AF5085" s="21"/>
    </row>
    <row r="5086" spans="32:32">
      <c r="AF5086" s="21"/>
    </row>
    <row r="5087" spans="32:32">
      <c r="AF5087" s="21"/>
    </row>
    <row r="5088" spans="32:32">
      <c r="AF5088" s="21"/>
    </row>
    <row r="5089" spans="32:32">
      <c r="AF5089" s="21"/>
    </row>
    <row r="5103" spans="32:32">
      <c r="AF5103" s="21"/>
    </row>
    <row r="5104" spans="32:32">
      <c r="AF5104" s="21"/>
    </row>
    <row r="5105" spans="32:32">
      <c r="AF5105" s="21"/>
    </row>
    <row r="5106" spans="32:32">
      <c r="AF5106" s="21"/>
    </row>
    <row r="5107" spans="32:32">
      <c r="AF5107" s="21"/>
    </row>
    <row r="5108" spans="32:32">
      <c r="AF5108" s="21"/>
    </row>
    <row r="5109" spans="32:32">
      <c r="AF5109" s="21"/>
    </row>
    <row r="5124" spans="32:32">
      <c r="AF5124" s="21"/>
    </row>
    <row r="5125" spans="32:32">
      <c r="AF5125" s="21"/>
    </row>
    <row r="5126" spans="32:32">
      <c r="AF5126" s="21"/>
    </row>
    <row r="5127" spans="32:32">
      <c r="AF5127" s="21"/>
    </row>
    <row r="5128" spans="32:32">
      <c r="AF5128" s="21"/>
    </row>
    <row r="5129" spans="32:32">
      <c r="AF5129" s="21"/>
    </row>
    <row r="5130" spans="32:32">
      <c r="AF5130" s="21"/>
    </row>
    <row r="5131" spans="32:32">
      <c r="AF5131" s="21"/>
    </row>
    <row r="5144" spans="32:32">
      <c r="AF5144" s="21"/>
    </row>
    <row r="5145" spans="32:32">
      <c r="AF5145" s="21"/>
    </row>
    <row r="5146" spans="32:32">
      <c r="AF5146" s="21"/>
    </row>
    <row r="5147" spans="32:32">
      <c r="AF5147" s="21"/>
    </row>
    <row r="5148" spans="32:32">
      <c r="AF5148" s="21"/>
    </row>
    <row r="5149" spans="32:32">
      <c r="AF5149" s="21"/>
    </row>
    <row r="5150" spans="32:32">
      <c r="AF5150" s="21"/>
    </row>
    <row r="5151" spans="32:32">
      <c r="AF5151" s="21"/>
    </row>
    <row r="5152" spans="32:32">
      <c r="AF5152" s="21"/>
    </row>
    <row r="5166" spans="32:32">
      <c r="AF5166" s="21"/>
    </row>
    <row r="5167" spans="32:32">
      <c r="AF5167" s="21"/>
    </row>
    <row r="5168" spans="32:32">
      <c r="AF5168" s="21"/>
    </row>
    <row r="5169" spans="32:32">
      <c r="AF5169" s="21"/>
    </row>
    <row r="5170" spans="32:32">
      <c r="AF5170" s="21"/>
    </row>
    <row r="5171" spans="32:32">
      <c r="AF5171" s="21"/>
    </row>
    <row r="5172" spans="32:32">
      <c r="AF5172" s="21"/>
    </row>
    <row r="5187" spans="32:32">
      <c r="AF5187" s="21"/>
    </row>
    <row r="5188" spans="32:32">
      <c r="AF5188" s="21"/>
    </row>
    <row r="5189" spans="32:32">
      <c r="AF5189" s="21"/>
    </row>
    <row r="5190" spans="32:32">
      <c r="AF5190" s="21"/>
    </row>
    <row r="5191" spans="32:32">
      <c r="AF5191" s="21"/>
    </row>
    <row r="5192" spans="32:32">
      <c r="AF5192" s="21"/>
    </row>
    <row r="5193" spans="32:32">
      <c r="AF5193" s="21"/>
    </row>
    <row r="5194" spans="32:32">
      <c r="AF5194" s="21"/>
    </row>
    <row r="5195" spans="32:32">
      <c r="AF5195" s="21"/>
    </row>
    <row r="5209" spans="32:32">
      <c r="AF5209" s="21"/>
    </row>
    <row r="5210" spans="32:32">
      <c r="AF5210" s="21"/>
    </row>
    <row r="5211" spans="32:32">
      <c r="AF5211" s="21"/>
    </row>
    <row r="5212" spans="32:32">
      <c r="AF5212" s="21"/>
    </row>
    <row r="5213" spans="32:32">
      <c r="AF5213" s="21"/>
    </row>
    <row r="5214" spans="32:32">
      <c r="AF5214" s="21"/>
    </row>
    <row r="5215" spans="32:32">
      <c r="AF5215" s="21"/>
    </row>
    <row r="5230" spans="32:32">
      <c r="AF5230" s="21"/>
    </row>
    <row r="5231" spans="32:32">
      <c r="AF5231" s="21"/>
    </row>
    <row r="5232" spans="32:32">
      <c r="AF5232" s="21"/>
    </row>
    <row r="5233" spans="32:32">
      <c r="AF5233" s="21"/>
    </row>
    <row r="5234" spans="32:32">
      <c r="AF5234" s="21"/>
    </row>
    <row r="5235" spans="32:32">
      <c r="AF5235" s="21"/>
    </row>
    <row r="5236" spans="32:32">
      <c r="AF5236" s="21"/>
    </row>
    <row r="5237" spans="32:32">
      <c r="AF5237" s="21"/>
    </row>
    <row r="5251" spans="32:32">
      <c r="AF5251" s="21"/>
    </row>
    <row r="5252" spans="32:32">
      <c r="AF5252" s="21"/>
    </row>
    <row r="5253" spans="32:32">
      <c r="AF5253" s="21"/>
    </row>
    <row r="5254" spans="32:32">
      <c r="AF5254" s="21"/>
    </row>
    <row r="5255" spans="32:32">
      <c r="AF5255" s="21"/>
    </row>
    <row r="5256" spans="32:32">
      <c r="AF5256" s="21"/>
    </row>
    <row r="5257" spans="32:32">
      <c r="AF5257" s="21"/>
    </row>
    <row r="5258" spans="32:32">
      <c r="AF5258" s="21"/>
    </row>
    <row r="5259" spans="32:32">
      <c r="AF5259" s="21"/>
    </row>
    <row r="5260" spans="32:32">
      <c r="AF5260" s="21"/>
    </row>
    <row r="5272" spans="32:32">
      <c r="AF5272" s="21"/>
    </row>
    <row r="5273" spans="32:32">
      <c r="AF5273" s="21"/>
    </row>
    <row r="5274" spans="32:32">
      <c r="AF5274" s="21"/>
    </row>
    <row r="5275" spans="32:32">
      <c r="AF5275" s="21"/>
    </row>
    <row r="5276" spans="32:32">
      <c r="AF5276" s="21"/>
    </row>
    <row r="5277" spans="32:32">
      <c r="AF5277" s="21"/>
    </row>
    <row r="5278" spans="32:32">
      <c r="AF5278" s="21"/>
    </row>
    <row r="5279" spans="32:32">
      <c r="AF5279" s="21"/>
    </row>
    <row r="5294" spans="32:32">
      <c r="AF5294" s="21"/>
    </row>
    <row r="5295" spans="32:32">
      <c r="AF5295" s="21"/>
    </row>
    <row r="5296" spans="32:32">
      <c r="AF5296" s="21"/>
    </row>
    <row r="5297" spans="32:32">
      <c r="AF5297" s="21"/>
    </row>
    <row r="5298" spans="32:32">
      <c r="AF5298" s="21"/>
    </row>
    <row r="5299" spans="32:32">
      <c r="AF5299" s="21"/>
    </row>
    <row r="5300" spans="32:32">
      <c r="AF5300" s="21"/>
    </row>
    <row r="5301" spans="32:32">
      <c r="AF5301" s="21"/>
    </row>
    <row r="5314" spans="32:32">
      <c r="AF5314" s="21"/>
    </row>
    <row r="5315" spans="32:32">
      <c r="AF5315" s="21"/>
    </row>
    <row r="5316" spans="32:32">
      <c r="AF5316" s="21"/>
    </row>
    <row r="5317" spans="32:32">
      <c r="AF5317" s="21"/>
    </row>
    <row r="5318" spans="32:32">
      <c r="AF5318" s="21"/>
    </row>
    <row r="5319" spans="32:32">
      <c r="AF5319" s="21"/>
    </row>
    <row r="5320" spans="32:32">
      <c r="AF5320" s="21"/>
    </row>
    <row r="5321" spans="32:32">
      <c r="AF5321" s="21"/>
    </row>
    <row r="5322" spans="32:32">
      <c r="AF5322" s="21"/>
    </row>
    <row r="5333" spans="32:32">
      <c r="AF5333" s="21"/>
    </row>
    <row r="5334" spans="32:32">
      <c r="AF5334" s="21"/>
    </row>
    <row r="5335" spans="32:32">
      <c r="AF5335" s="21"/>
    </row>
    <row r="5336" spans="32:32">
      <c r="AF5336" s="21"/>
    </row>
    <row r="5337" spans="32:32">
      <c r="AF5337" s="21"/>
    </row>
    <row r="5338" spans="32:32">
      <c r="AF5338" s="21"/>
    </row>
    <row r="5339" spans="32:32">
      <c r="AF5339" s="21"/>
    </row>
    <row r="5340" spans="32:32">
      <c r="AF5340" s="21"/>
    </row>
    <row r="5341" spans="32:32">
      <c r="AF5341" s="21"/>
    </row>
    <row r="5356" spans="32:32">
      <c r="AF5356" s="21"/>
    </row>
    <row r="5357" spans="32:32">
      <c r="AF5357" s="21"/>
    </row>
    <row r="5358" spans="32:32">
      <c r="AF5358" s="21"/>
    </row>
    <row r="5359" spans="32:32">
      <c r="AF5359" s="21"/>
    </row>
    <row r="5360" spans="32:32">
      <c r="AF5360" s="21"/>
    </row>
    <row r="5361" spans="32:32">
      <c r="AF5361" s="21"/>
    </row>
    <row r="5362" spans="32:32">
      <c r="AF5362" s="21"/>
    </row>
    <row r="5363" spans="32:32">
      <c r="AF5363" s="21"/>
    </row>
    <row r="5376" spans="32:32">
      <c r="AF5376" s="21"/>
    </row>
    <row r="5377" spans="32:32">
      <c r="AF5377" s="21"/>
    </row>
    <row r="5378" spans="32:32">
      <c r="AF5378" s="21"/>
    </row>
    <row r="5379" spans="32:32">
      <c r="AF5379" s="21"/>
    </row>
    <row r="5380" spans="32:32">
      <c r="AF5380" s="21"/>
    </row>
    <row r="5381" spans="32:32">
      <c r="AF5381" s="21"/>
    </row>
    <row r="5382" spans="32:32">
      <c r="AF5382" s="21"/>
    </row>
    <row r="5383" spans="32:32">
      <c r="AF5383" s="21"/>
    </row>
    <row r="5384" spans="32:32">
      <c r="AF5384" s="21"/>
    </row>
    <row r="5397" spans="32:32">
      <c r="AF5397" s="21"/>
    </row>
    <row r="5398" spans="32:32">
      <c r="AF5398" s="21"/>
    </row>
    <row r="5399" spans="32:32">
      <c r="AF5399" s="21"/>
    </row>
    <row r="5400" spans="32:32">
      <c r="AF5400" s="21"/>
    </row>
    <row r="5401" spans="32:32">
      <c r="AF5401" s="21"/>
    </row>
    <row r="5402" spans="32:32">
      <c r="AF5402" s="21"/>
    </row>
    <row r="5403" spans="32:32">
      <c r="AF5403" s="21"/>
    </row>
    <row r="5404" spans="32:32">
      <c r="AF5404" s="21"/>
    </row>
    <row r="5419" spans="32:32">
      <c r="AF5419" s="21"/>
    </row>
    <row r="5420" spans="32:32">
      <c r="AF5420" s="21"/>
    </row>
    <row r="5421" spans="32:32">
      <c r="AF5421" s="21"/>
    </row>
    <row r="5422" spans="32:32">
      <c r="AF5422" s="21"/>
    </row>
    <row r="5423" spans="32:32">
      <c r="AF5423" s="21"/>
    </row>
    <row r="5424" spans="32:32">
      <c r="AF5424" s="21"/>
    </row>
    <row r="5425" spans="32:32">
      <c r="AF5425" s="21"/>
    </row>
    <row r="5439" spans="32:32">
      <c r="AF5439" s="21"/>
    </row>
    <row r="5440" spans="32:32">
      <c r="AF5440" s="21"/>
    </row>
    <row r="5441" spans="32:32">
      <c r="AF5441" s="21"/>
    </row>
    <row r="5442" spans="32:32">
      <c r="AF5442" s="21"/>
    </row>
    <row r="5443" spans="32:32">
      <c r="AF5443" s="21"/>
    </row>
    <row r="5444" spans="32:32">
      <c r="AF5444" s="21"/>
    </row>
    <row r="5445" spans="32:32">
      <c r="AF5445" s="21"/>
    </row>
    <row r="5446" spans="32:32">
      <c r="AF5446" s="21"/>
    </row>
    <row r="5447" spans="32:32">
      <c r="AF5447" s="21"/>
    </row>
    <row r="5448" spans="32:32">
      <c r="AF5448" s="21"/>
    </row>
    <row r="5462" spans="32:32">
      <c r="AF5462" s="21"/>
    </row>
    <row r="5463" spans="32:32">
      <c r="AF5463" s="21"/>
    </row>
    <row r="5464" spans="32:32">
      <c r="AF5464" s="21"/>
    </row>
    <row r="5465" spans="32:32">
      <c r="AF5465" s="21"/>
    </row>
    <row r="5466" spans="32:32">
      <c r="AF5466" s="21"/>
    </row>
    <row r="5467" spans="32:32">
      <c r="AF5467" s="21"/>
    </row>
    <row r="5468" spans="32:32">
      <c r="AF5468" s="21"/>
    </row>
    <row r="5483" spans="32:32">
      <c r="AF5483" s="21"/>
    </row>
    <row r="5484" spans="32:32">
      <c r="AF5484" s="21"/>
    </row>
    <row r="5485" spans="32:32">
      <c r="AF5485" s="21"/>
    </row>
    <row r="5486" spans="32:32">
      <c r="AF5486" s="21"/>
    </row>
    <row r="5487" spans="32:32">
      <c r="AF5487" s="21"/>
    </row>
    <row r="5488" spans="32:32">
      <c r="AF5488" s="21"/>
    </row>
    <row r="5489" spans="32:32">
      <c r="AF5489" s="21"/>
    </row>
    <row r="5490" spans="32:32">
      <c r="AF5490" s="21"/>
    </row>
    <row r="5504" spans="32:32">
      <c r="AF5504" s="21"/>
    </row>
    <row r="5505" spans="32:32">
      <c r="AF5505" s="21"/>
    </row>
    <row r="5506" spans="32:32">
      <c r="AF5506" s="21"/>
    </row>
    <row r="5507" spans="32:32">
      <c r="AF5507" s="21"/>
    </row>
    <row r="5508" spans="32:32">
      <c r="AF5508" s="21"/>
    </row>
    <row r="5509" spans="32:32">
      <c r="AF5509" s="21"/>
    </row>
    <row r="5510" spans="32:32">
      <c r="AF5510" s="21"/>
    </row>
    <row r="5511" spans="32:32">
      <c r="AF5511" s="21"/>
    </row>
    <row r="5512" spans="32:32">
      <c r="AF5512" s="21"/>
    </row>
    <row r="5525" spans="32:32">
      <c r="AF5525" s="21"/>
    </row>
    <row r="5526" spans="32:32">
      <c r="AF5526" s="21"/>
    </row>
    <row r="5527" spans="32:32">
      <c r="AF5527" s="21"/>
    </row>
    <row r="5528" spans="32:32">
      <c r="AF5528" s="21"/>
    </row>
    <row r="5529" spans="32:32">
      <c r="AF5529" s="21"/>
    </row>
    <row r="5530" spans="32:32">
      <c r="AF5530" s="21"/>
    </row>
    <row r="5531" spans="32:32">
      <c r="AF5531" s="21"/>
    </row>
    <row r="5532" spans="32:32">
      <c r="AF5532" s="21"/>
    </row>
    <row r="5546" spans="32:32">
      <c r="AF5546" s="21"/>
    </row>
    <row r="5547" spans="32:32">
      <c r="AF5547" s="21"/>
    </row>
    <row r="5548" spans="32:32">
      <c r="AF5548" s="21"/>
    </row>
    <row r="5549" spans="32:32">
      <c r="AF5549" s="21"/>
    </row>
    <row r="5550" spans="32:32">
      <c r="AF5550" s="21"/>
    </row>
    <row r="5551" spans="32:32">
      <c r="AF5551" s="21"/>
    </row>
    <row r="5552" spans="32:32">
      <c r="AF5552" s="21"/>
    </row>
    <row r="5553" spans="32:32">
      <c r="AF5553" s="21"/>
    </row>
    <row r="5566" spans="32:32">
      <c r="AF5566" s="21"/>
    </row>
    <row r="5567" spans="32:32">
      <c r="AF5567" s="21"/>
    </row>
    <row r="5568" spans="32:32">
      <c r="AF5568" s="21"/>
    </row>
    <row r="5569" spans="32:32">
      <c r="AF5569" s="21"/>
    </row>
    <row r="5570" spans="32:32">
      <c r="AF5570" s="21"/>
    </row>
    <row r="5571" spans="32:32">
      <c r="AF5571" s="21"/>
    </row>
    <row r="5572" spans="32:32">
      <c r="AF5572" s="21"/>
    </row>
    <row r="5573" spans="32:32">
      <c r="AF5573" s="21"/>
    </row>
    <row r="5586" spans="32:32">
      <c r="AF5586" s="21"/>
    </row>
    <row r="5587" spans="32:32">
      <c r="AF5587" s="21"/>
    </row>
    <row r="5588" spans="32:32">
      <c r="AF5588" s="21"/>
    </row>
    <row r="5589" spans="32:32">
      <c r="AF5589" s="21"/>
    </row>
    <row r="5590" spans="32:32">
      <c r="AF5590" s="21"/>
    </row>
    <row r="5591" spans="32:32">
      <c r="AF5591" s="21"/>
    </row>
    <row r="5592" spans="32:32">
      <c r="AF5592" s="21"/>
    </row>
    <row r="5593" spans="32:32">
      <c r="AF5593" s="21"/>
    </row>
    <row r="5608" spans="32:32">
      <c r="AF5608" s="21"/>
    </row>
    <row r="5609" spans="32:32">
      <c r="AF5609" s="21"/>
    </row>
    <row r="5610" spans="32:32">
      <c r="AF5610" s="21"/>
    </row>
    <row r="5611" spans="32:32">
      <c r="AF5611" s="21"/>
    </row>
    <row r="5612" spans="32:32">
      <c r="AF5612" s="21"/>
    </row>
    <row r="5613" spans="32:32">
      <c r="AF5613" s="21"/>
    </row>
    <row r="5614" spans="32:32">
      <c r="AF5614" s="21"/>
    </row>
    <row r="5615" spans="32:32">
      <c r="AF5615" s="21"/>
    </row>
    <row r="5628" spans="32:32">
      <c r="AF5628" s="21"/>
    </row>
    <row r="5629" spans="32:32">
      <c r="AF5629" s="21"/>
    </row>
    <row r="5630" spans="32:32">
      <c r="AF5630" s="21"/>
    </row>
    <row r="5631" spans="32:32">
      <c r="AF5631" s="21"/>
    </row>
    <row r="5632" spans="32:32">
      <c r="AF5632" s="21"/>
    </row>
    <row r="5633" spans="32:32">
      <c r="AF5633" s="21"/>
    </row>
    <row r="5634" spans="32:32">
      <c r="AF5634" s="21"/>
    </row>
    <row r="5635" spans="32:32">
      <c r="AF5635" s="21"/>
    </row>
    <row r="5636" spans="32:32">
      <c r="AF5636" s="21"/>
    </row>
    <row r="5650" spans="32:32">
      <c r="AF5650" s="21"/>
    </row>
    <row r="5651" spans="32:32">
      <c r="AF5651" s="21"/>
    </row>
    <row r="5652" spans="32:32">
      <c r="AF5652" s="21"/>
    </row>
    <row r="5653" spans="32:32">
      <c r="AF5653" s="21"/>
    </row>
    <row r="5654" spans="32:32">
      <c r="AF5654" s="21"/>
    </row>
    <row r="5655" spans="32:32">
      <c r="AF5655" s="21"/>
    </row>
    <row r="5656" spans="32:32">
      <c r="AF5656" s="21"/>
    </row>
    <row r="5657" spans="32:32">
      <c r="AF5657" s="21"/>
    </row>
    <row r="5671" spans="32:32">
      <c r="AF5671" s="21"/>
    </row>
    <row r="5672" spans="32:32">
      <c r="AF5672" s="21"/>
    </row>
    <row r="5673" spans="32:32">
      <c r="AF5673" s="21"/>
    </row>
    <row r="5674" spans="32:32">
      <c r="AF5674" s="21"/>
    </row>
    <row r="5675" spans="32:32">
      <c r="AF5675" s="21"/>
    </row>
    <row r="5676" spans="32:32">
      <c r="AF5676" s="21"/>
    </row>
    <row r="5677" spans="32:32">
      <c r="AF5677" s="21"/>
    </row>
    <row r="5678" spans="32:32">
      <c r="AF5678" s="21"/>
    </row>
    <row r="5692" spans="32:32">
      <c r="AF5692" s="21"/>
    </row>
    <row r="5693" spans="32:32">
      <c r="AF5693" s="21"/>
    </row>
    <row r="5694" spans="32:32">
      <c r="AF5694" s="21"/>
    </row>
    <row r="5695" spans="32:32">
      <c r="AF5695" s="21"/>
    </row>
    <row r="5696" spans="32:32">
      <c r="AF5696" s="21"/>
    </row>
    <row r="5697" spans="32:32">
      <c r="AF5697" s="21"/>
    </row>
    <row r="5698" spans="32:32">
      <c r="AF5698" s="21"/>
    </row>
    <row r="5699" spans="32:32">
      <c r="AF5699" s="21"/>
    </row>
    <row r="5715" spans="32:32">
      <c r="AF5715" s="21"/>
    </row>
    <row r="5716" spans="32:32">
      <c r="AF5716" s="21"/>
    </row>
    <row r="5717" spans="32:32">
      <c r="AF5717" s="21"/>
    </row>
    <row r="5718" spans="32:32">
      <c r="AF5718" s="21"/>
    </row>
    <row r="5719" spans="32:32">
      <c r="AF5719" s="21"/>
    </row>
    <row r="5720" spans="32:32">
      <c r="AF5720" s="21"/>
    </row>
    <row r="5721" spans="32:32">
      <c r="AF5721" s="21"/>
    </row>
    <row r="5734" spans="32:32">
      <c r="AF5734" s="21"/>
    </row>
    <row r="5735" spans="32:32">
      <c r="AF5735" s="21"/>
    </row>
    <row r="5736" spans="32:32">
      <c r="AF5736" s="21"/>
    </row>
    <row r="5737" spans="32:32">
      <c r="AF5737" s="21"/>
    </row>
    <row r="5738" spans="32:32">
      <c r="AF5738" s="21"/>
    </row>
    <row r="5739" spans="32:32">
      <c r="AF5739" s="21"/>
    </row>
    <row r="5740" spans="32:32">
      <c r="AF5740" s="21"/>
    </row>
    <row r="5741" spans="32:32">
      <c r="AF5741" s="21"/>
    </row>
    <row r="5742" spans="32:32">
      <c r="AF5742" s="21"/>
    </row>
    <row r="5743" spans="32:32">
      <c r="AF5743" s="21"/>
    </row>
    <row r="5755" spans="32:32">
      <c r="AF5755" s="21"/>
    </row>
    <row r="5756" spans="32:32">
      <c r="AF5756" s="21"/>
    </row>
    <row r="5757" spans="32:32">
      <c r="AF5757" s="21"/>
    </row>
    <row r="5758" spans="32:32">
      <c r="AF5758" s="21"/>
    </row>
    <row r="5759" spans="32:32">
      <c r="AF5759" s="21"/>
    </row>
    <row r="5760" spans="32:32">
      <c r="AF5760" s="21"/>
    </row>
    <row r="5761" spans="32:32">
      <c r="AF5761" s="21"/>
    </row>
    <row r="5762" spans="32:32">
      <c r="AF5762" s="21"/>
    </row>
    <row r="5776" spans="32:32">
      <c r="AF5776" s="21"/>
    </row>
    <row r="5777" spans="32:32">
      <c r="AF5777" s="21"/>
    </row>
    <row r="5778" spans="32:32">
      <c r="AF5778" s="21"/>
    </row>
    <row r="5779" spans="32:32">
      <c r="AF5779" s="21"/>
    </row>
    <row r="5780" spans="32:32">
      <c r="AF5780" s="21"/>
    </row>
    <row r="5781" spans="32:32">
      <c r="AF5781" s="21"/>
    </row>
    <row r="5782" spans="32:32">
      <c r="AF5782" s="21"/>
    </row>
    <row r="5783" spans="32:32">
      <c r="AF5783" s="21"/>
    </row>
    <row r="5796" spans="32:32">
      <c r="AF5796" s="21"/>
    </row>
    <row r="5797" spans="32:32">
      <c r="AF5797" s="21"/>
    </row>
    <row r="5798" spans="32:32">
      <c r="AF5798" s="21"/>
    </row>
    <row r="5799" spans="32:32">
      <c r="AF5799" s="21"/>
    </row>
    <row r="5800" spans="32:32">
      <c r="AF5800" s="21"/>
    </row>
    <row r="5801" spans="32:32">
      <c r="AF5801" s="21"/>
    </row>
    <row r="5802" spans="32:32">
      <c r="AF5802" s="21"/>
    </row>
    <row r="5803" spans="32:32">
      <c r="AF5803" s="21"/>
    </row>
    <row r="5817" spans="32:32">
      <c r="AF5817" s="21"/>
    </row>
    <row r="5818" spans="32:32">
      <c r="AF5818" s="21"/>
    </row>
    <row r="5819" spans="32:32">
      <c r="AF5819" s="21"/>
    </row>
    <row r="5820" spans="32:32">
      <c r="AF5820" s="21"/>
    </row>
    <row r="5821" spans="32:32">
      <c r="AF5821" s="21"/>
    </row>
    <row r="5822" spans="32:32">
      <c r="AF5822" s="21"/>
    </row>
    <row r="5823" spans="32:32">
      <c r="AF5823" s="21"/>
    </row>
    <row r="5824" spans="32:32">
      <c r="AF5824" s="21"/>
    </row>
    <row r="5836" spans="32:32">
      <c r="AF5836" s="21"/>
    </row>
    <row r="5837" spans="32:32">
      <c r="AF5837" s="21"/>
    </row>
    <row r="5838" spans="32:32">
      <c r="AF5838" s="21"/>
    </row>
    <row r="5839" spans="32:32">
      <c r="AF5839" s="21"/>
    </row>
    <row r="5840" spans="32:32">
      <c r="AF5840" s="21"/>
    </row>
    <row r="5841" spans="32:32">
      <c r="AF5841" s="21"/>
    </row>
    <row r="5842" spans="32:32">
      <c r="AF5842" s="21"/>
    </row>
    <row r="5843" spans="32:32">
      <c r="AF5843" s="21"/>
    </row>
    <row r="5856" spans="32:32">
      <c r="AF5856" s="21"/>
    </row>
    <row r="5857" spans="32:32">
      <c r="AF5857" s="21"/>
    </row>
    <row r="5858" spans="32:32">
      <c r="AF5858" s="21"/>
    </row>
    <row r="5859" spans="32:32">
      <c r="AF5859" s="21"/>
    </row>
    <row r="5860" spans="32:32">
      <c r="AF5860" s="21"/>
    </row>
    <row r="5861" spans="32:32">
      <c r="AF5861" s="21"/>
    </row>
    <row r="5862" spans="32:32">
      <c r="AF5862" s="21"/>
    </row>
    <row r="5863" spans="32:32">
      <c r="AF5863" s="21"/>
    </row>
    <row r="5864" spans="32:32">
      <c r="AF5864" s="21"/>
    </row>
    <row r="5865" spans="32:32">
      <c r="AF5865" s="21"/>
    </row>
    <row r="5878" spans="32:32">
      <c r="AF5878" s="21"/>
    </row>
    <row r="5879" spans="32:32">
      <c r="AF5879" s="21"/>
    </row>
    <row r="5880" spans="32:32">
      <c r="AF5880" s="21"/>
    </row>
    <row r="5881" spans="32:32">
      <c r="AF5881" s="21"/>
    </row>
    <row r="5882" spans="32:32">
      <c r="AF5882" s="21"/>
    </row>
    <row r="5883" spans="32:32">
      <c r="AF5883" s="21"/>
    </row>
    <row r="5884" spans="32:32">
      <c r="AF5884" s="21"/>
    </row>
    <row r="5885" spans="32:32">
      <c r="AF5885" s="21"/>
    </row>
    <row r="5900" spans="32:32">
      <c r="AF5900" s="21"/>
    </row>
    <row r="5901" spans="32:32">
      <c r="AF5901" s="21"/>
    </row>
    <row r="5902" spans="32:32">
      <c r="AF5902" s="21"/>
    </row>
    <row r="5903" spans="32:32">
      <c r="AF5903" s="21"/>
    </row>
    <row r="5904" spans="32:32">
      <c r="AF5904" s="21"/>
    </row>
    <row r="5905" spans="32:32">
      <c r="AF5905" s="21"/>
    </row>
    <row r="5906" spans="32:32">
      <c r="AF5906" s="21"/>
    </row>
    <row r="5907" spans="32:32">
      <c r="AF5907" s="21"/>
    </row>
    <row r="5920" spans="32:32">
      <c r="AF5920" s="21"/>
    </row>
    <row r="5921" spans="32:32">
      <c r="AF5921" s="21"/>
    </row>
    <row r="5922" spans="32:32">
      <c r="AF5922" s="21"/>
    </row>
    <row r="5923" spans="32:32">
      <c r="AF5923" s="21"/>
    </row>
    <row r="5924" spans="32:32">
      <c r="AF5924" s="21"/>
    </row>
    <row r="5925" spans="32:32">
      <c r="AF5925" s="21"/>
    </row>
    <row r="5926" spans="32:32">
      <c r="AF5926" s="21"/>
    </row>
    <row r="5927" spans="32:32">
      <c r="AF5927" s="21"/>
    </row>
    <row r="5928" spans="32:32">
      <c r="AF5928" s="21"/>
    </row>
    <row r="5942" spans="32:32">
      <c r="AF5942" s="21"/>
    </row>
    <row r="5943" spans="32:32">
      <c r="AF5943" s="21"/>
    </row>
    <row r="5944" spans="32:32">
      <c r="AF5944" s="21"/>
    </row>
    <row r="5945" spans="32:32">
      <c r="AF5945" s="21"/>
    </row>
    <row r="5946" spans="32:32">
      <c r="AF5946" s="21"/>
    </row>
    <row r="5947" spans="32:32">
      <c r="AF5947" s="21"/>
    </row>
    <row r="5948" spans="32:32">
      <c r="AF5948" s="21"/>
    </row>
    <row r="5949" spans="32:32">
      <c r="AF5949" s="21"/>
    </row>
    <row r="5964" spans="32:32">
      <c r="AF5964" s="21"/>
    </row>
    <row r="5965" spans="32:32">
      <c r="AF5965" s="21"/>
    </row>
    <row r="5966" spans="32:32">
      <c r="AF5966" s="21"/>
    </row>
    <row r="5967" spans="32:32">
      <c r="AF5967" s="21"/>
    </row>
    <row r="5968" spans="32:32">
      <c r="AF5968" s="21"/>
    </row>
    <row r="5969" spans="32:32">
      <c r="AF5969" s="21"/>
    </row>
    <row r="5970" spans="32:32">
      <c r="AF5970" s="21"/>
    </row>
    <row r="5971" spans="32:32">
      <c r="AF5971" s="21"/>
    </row>
    <row r="5984" spans="32:32">
      <c r="AF5984" s="21"/>
    </row>
    <row r="5985" spans="32:32">
      <c r="AF5985" s="21"/>
    </row>
    <row r="5986" spans="32:32">
      <c r="AF5986" s="21"/>
    </row>
    <row r="5987" spans="32:32">
      <c r="AF5987" s="21"/>
    </row>
    <row r="5988" spans="32:32">
      <c r="AF5988" s="21"/>
    </row>
    <row r="5989" spans="32:32">
      <c r="AF5989" s="21"/>
    </row>
    <row r="5990" spans="32:32">
      <c r="AF5990" s="21"/>
    </row>
    <row r="5991" spans="32:32">
      <c r="AF5991" s="21"/>
    </row>
    <row r="5992" spans="32:32">
      <c r="AF5992" s="21"/>
    </row>
    <row r="6007" spans="32:32">
      <c r="AF6007" s="21"/>
    </row>
    <row r="6008" spans="32:32">
      <c r="AF6008" s="21"/>
    </row>
    <row r="6009" spans="32:32">
      <c r="AF6009" s="21"/>
    </row>
    <row r="6010" spans="32:32">
      <c r="AF6010" s="21"/>
    </row>
    <row r="6011" spans="32:32">
      <c r="AF6011" s="21"/>
    </row>
    <row r="6012" spans="32:32">
      <c r="AF6012" s="21"/>
    </row>
    <row r="6013" spans="32:32">
      <c r="AF6013" s="21"/>
    </row>
    <row r="6014" spans="32:32">
      <c r="AF6014" s="21"/>
    </row>
    <row r="6027" spans="32:32">
      <c r="AF6027" s="21"/>
    </row>
    <row r="6028" spans="32:32">
      <c r="AF6028" s="21"/>
    </row>
    <row r="6029" spans="32:32">
      <c r="AF6029" s="21"/>
    </row>
    <row r="6030" spans="32:32">
      <c r="AF6030" s="21"/>
    </row>
    <row r="6031" spans="32:32">
      <c r="AF6031" s="21"/>
    </row>
    <row r="6032" spans="32:32">
      <c r="AF6032" s="21"/>
    </row>
    <row r="6033" spans="32:32">
      <c r="AF6033" s="21"/>
    </row>
    <row r="6034" spans="32:32">
      <c r="AF6034" s="21"/>
    </row>
    <row r="6035" spans="32:32">
      <c r="AF6035" s="21"/>
    </row>
    <row r="6048" spans="32:32">
      <c r="AF6048" s="21"/>
    </row>
    <row r="6049" spans="32:32">
      <c r="AF6049" s="21"/>
    </row>
    <row r="6050" spans="32:32">
      <c r="AF6050" s="21"/>
    </row>
    <row r="6051" spans="32:32">
      <c r="AF6051" s="21"/>
    </row>
    <row r="6052" spans="32:32">
      <c r="AF6052" s="21"/>
    </row>
    <row r="6053" spans="32:32">
      <c r="AF6053" s="21"/>
    </row>
    <row r="6054" spans="32:32">
      <c r="AF6054" s="21"/>
    </row>
    <row r="6069" spans="32:32">
      <c r="AF6069" s="21"/>
    </row>
    <row r="6070" spans="32:32">
      <c r="AF6070" s="21"/>
    </row>
    <row r="6071" spans="32:32">
      <c r="AF6071" s="21"/>
    </row>
    <row r="6072" spans="32:32">
      <c r="AF6072" s="21"/>
    </row>
    <row r="6073" spans="32:32">
      <c r="AF6073" s="21"/>
    </row>
    <row r="6074" spans="32:32">
      <c r="AF6074" s="21"/>
    </row>
    <row r="6075" spans="32:32">
      <c r="AF6075" s="21"/>
    </row>
    <row r="6076" spans="32:32">
      <c r="AF6076" s="21"/>
    </row>
    <row r="6088" spans="32:32">
      <c r="AF6088" s="21"/>
    </row>
    <row r="6089" spans="32:32">
      <c r="AF6089" s="21"/>
    </row>
    <row r="6090" spans="32:32">
      <c r="AF6090" s="21"/>
    </row>
    <row r="6091" spans="32:32">
      <c r="AF6091" s="21"/>
    </row>
    <row r="6092" spans="32:32">
      <c r="AF6092" s="21"/>
    </row>
    <row r="6093" spans="32:32">
      <c r="AF6093" s="21"/>
    </row>
    <row r="6094" spans="32:32">
      <c r="AF6094" s="21"/>
    </row>
    <row r="6095" spans="32:32">
      <c r="AF6095" s="21"/>
    </row>
    <row r="6109" spans="32:32">
      <c r="AF6109" s="21"/>
    </row>
    <row r="6110" spans="32:32">
      <c r="AF6110" s="21"/>
    </row>
    <row r="6111" spans="32:32">
      <c r="AF6111" s="21"/>
    </row>
    <row r="6112" spans="32:32">
      <c r="AF6112" s="21"/>
    </row>
    <row r="6113" spans="32:32">
      <c r="AF6113" s="21"/>
    </row>
    <row r="6114" spans="32:32">
      <c r="AF6114" s="21"/>
    </row>
    <row r="6115" spans="32:32">
      <c r="AF6115" s="21"/>
    </row>
    <row r="6116" spans="32:32">
      <c r="AF6116" s="21"/>
    </row>
    <row r="6117" spans="32:32">
      <c r="AF6117" s="21"/>
    </row>
    <row r="6130" spans="32:32">
      <c r="AF6130" s="21"/>
    </row>
    <row r="6131" spans="32:32">
      <c r="AF6131" s="21"/>
    </row>
    <row r="6132" spans="32:32">
      <c r="AF6132" s="21"/>
    </row>
    <row r="6133" spans="32:32">
      <c r="AF6133" s="21"/>
    </row>
    <row r="6134" spans="32:32">
      <c r="AF6134" s="21"/>
    </row>
    <row r="6135" spans="32:32">
      <c r="AF6135" s="21"/>
    </row>
    <row r="6136" spans="32:32">
      <c r="AF6136" s="21"/>
    </row>
    <row r="6137" spans="32:32">
      <c r="AF6137" s="21"/>
    </row>
    <row r="6151" spans="32:32">
      <c r="AF6151" s="21"/>
    </row>
    <row r="6152" spans="32:32">
      <c r="AF6152" s="21"/>
    </row>
    <row r="6153" spans="32:32">
      <c r="AF6153" s="21"/>
    </row>
    <row r="6154" spans="32:32">
      <c r="AF6154" s="21"/>
    </row>
    <row r="6155" spans="32:32">
      <c r="AF6155" s="21"/>
    </row>
    <row r="6156" spans="32:32">
      <c r="AF6156" s="21"/>
    </row>
    <row r="6157" spans="32:32">
      <c r="AF6157" s="21"/>
    </row>
    <row r="6158" spans="32:32">
      <c r="AF6158" s="21"/>
    </row>
    <row r="6159" spans="32:32">
      <c r="AF6159" s="21"/>
    </row>
    <row r="6172" spans="32:32">
      <c r="AF6172" s="21"/>
    </row>
    <row r="6173" spans="32:32">
      <c r="AF6173" s="21"/>
    </row>
    <row r="6174" spans="32:32">
      <c r="AF6174" s="21"/>
    </row>
    <row r="6175" spans="32:32">
      <c r="AF6175" s="21"/>
    </row>
    <row r="6176" spans="32:32">
      <c r="AF6176" s="21"/>
    </row>
    <row r="6177" spans="32:32">
      <c r="AF6177" s="21"/>
    </row>
    <row r="6178" spans="32:32">
      <c r="AF6178" s="21"/>
    </row>
    <row r="6179" spans="32:32">
      <c r="AF6179" s="21"/>
    </row>
    <row r="6194" spans="32:32">
      <c r="AF6194" s="21"/>
    </row>
    <row r="6195" spans="32:32">
      <c r="AF6195" s="21"/>
    </row>
    <row r="6196" spans="32:32">
      <c r="AF6196" s="21"/>
    </row>
    <row r="6197" spans="32:32">
      <c r="AF6197" s="21"/>
    </row>
    <row r="6198" spans="32:32">
      <c r="AF6198" s="21"/>
    </row>
    <row r="6199" spans="32:32">
      <c r="AF6199" s="21"/>
    </row>
    <row r="6200" spans="32:32">
      <c r="AF6200" s="21"/>
    </row>
    <row r="6201" spans="32:32">
      <c r="AF6201" s="21"/>
    </row>
    <row r="6215" spans="32:32">
      <c r="AF6215" s="21"/>
    </row>
    <row r="6216" spans="32:32">
      <c r="AF6216" s="21"/>
    </row>
    <row r="6217" spans="32:32">
      <c r="AF6217" s="21"/>
    </row>
    <row r="6218" spans="32:32">
      <c r="AF6218" s="21"/>
    </row>
    <row r="6219" spans="32:32">
      <c r="AF6219" s="21"/>
    </row>
    <row r="6220" spans="32:32">
      <c r="AF6220" s="21"/>
    </row>
    <row r="6221" spans="32:32">
      <c r="AF6221" s="21"/>
    </row>
    <row r="6222" spans="32:32">
      <c r="AF6222" s="21"/>
    </row>
    <row r="6223" spans="32:32">
      <c r="AF6223" s="21"/>
    </row>
    <row r="6236" spans="32:32">
      <c r="AF6236" s="21"/>
    </row>
    <row r="6237" spans="32:32">
      <c r="AF6237" s="21"/>
    </row>
    <row r="6238" spans="32:32">
      <c r="AF6238" s="21"/>
    </row>
    <row r="6239" spans="32:32">
      <c r="AF6239" s="21"/>
    </row>
    <row r="6240" spans="32:32">
      <c r="AF6240" s="21"/>
    </row>
    <row r="6241" spans="32:32">
      <c r="AF6241" s="21"/>
    </row>
    <row r="6242" spans="32:32">
      <c r="AF6242" s="21"/>
    </row>
    <row r="6243" spans="32:32">
      <c r="AF6243" s="21"/>
    </row>
    <row r="6259" spans="32:32">
      <c r="AF6259" s="21"/>
    </row>
    <row r="6260" spans="32:32">
      <c r="AF6260" s="21"/>
    </row>
    <row r="6261" spans="32:32">
      <c r="AF6261" s="21"/>
    </row>
    <row r="6262" spans="32:32">
      <c r="AF6262" s="21"/>
    </row>
    <row r="6263" spans="32:32">
      <c r="AF6263" s="21"/>
    </row>
    <row r="6264" spans="32:32">
      <c r="AF6264" s="21"/>
    </row>
    <row r="6265" spans="32:32">
      <c r="AF6265" s="21"/>
    </row>
    <row r="6266" spans="32:32">
      <c r="AF6266" s="21"/>
    </row>
    <row r="6278" spans="32:32">
      <c r="AF6278" s="21"/>
    </row>
    <row r="6279" spans="32:32">
      <c r="AF6279" s="21"/>
    </row>
    <row r="6280" spans="32:32">
      <c r="AF6280" s="21"/>
    </row>
    <row r="6281" spans="32:32">
      <c r="AF6281" s="21"/>
    </row>
    <row r="6282" spans="32:32">
      <c r="AF6282" s="21"/>
    </row>
    <row r="6283" spans="32:32">
      <c r="AF6283" s="21"/>
    </row>
    <row r="6284" spans="32:32">
      <c r="AF6284" s="21"/>
    </row>
    <row r="6285" spans="32:32">
      <c r="AF6285" s="21"/>
    </row>
    <row r="6286" spans="32:32">
      <c r="AF6286" s="21"/>
    </row>
    <row r="6287" spans="32:32">
      <c r="AF6287" s="21"/>
    </row>
    <row r="6300" spans="32:32">
      <c r="AF6300" s="21"/>
    </row>
    <row r="6301" spans="32:32">
      <c r="AF6301" s="21"/>
    </row>
    <row r="6302" spans="32:32">
      <c r="AF6302" s="21"/>
    </row>
    <row r="6303" spans="32:32">
      <c r="AF6303" s="21"/>
    </row>
    <row r="6304" spans="32:32">
      <c r="AF6304" s="21"/>
    </row>
    <row r="6305" spans="32:32">
      <c r="AF6305" s="21"/>
    </row>
    <row r="6306" spans="32:32">
      <c r="AF6306" s="21"/>
    </row>
    <row r="6320" spans="32:32">
      <c r="AF6320" s="21"/>
    </row>
    <row r="6321" spans="32:32">
      <c r="AF6321" s="21"/>
    </row>
    <row r="6322" spans="32:32">
      <c r="AF6322" s="21"/>
    </row>
    <row r="6323" spans="32:32">
      <c r="AF6323" s="21"/>
    </row>
    <row r="6324" spans="32:32">
      <c r="AF6324" s="21"/>
    </row>
    <row r="6325" spans="32:32">
      <c r="AF6325" s="21"/>
    </row>
    <row r="6326" spans="32:32">
      <c r="AF6326" s="21"/>
    </row>
    <row r="6327" spans="32:32">
      <c r="AF6327" s="21"/>
    </row>
    <row r="6328" spans="32:32">
      <c r="AF6328" s="21"/>
    </row>
    <row r="6339" spans="32:32">
      <c r="AF6339" s="21"/>
    </row>
    <row r="6340" spans="32:32">
      <c r="AF6340" s="21"/>
    </row>
    <row r="6341" spans="32:32">
      <c r="AF6341" s="21"/>
    </row>
    <row r="6342" spans="32:32">
      <c r="AF6342" s="21"/>
    </row>
    <row r="6343" spans="32:32">
      <c r="AF6343" s="21"/>
    </row>
    <row r="6344" spans="32:32">
      <c r="AF6344" s="21"/>
    </row>
    <row r="6345" spans="32:32">
      <c r="AF6345" s="21"/>
    </row>
    <row r="6346" spans="32:32">
      <c r="AF6346" s="21"/>
    </row>
    <row r="6347" spans="32:32">
      <c r="AF6347" s="21"/>
    </row>
    <row r="6361" spans="32:32">
      <c r="AF6361" s="21"/>
    </row>
    <row r="6362" spans="32:32">
      <c r="AF6362" s="21"/>
    </row>
    <row r="6363" spans="32:32">
      <c r="AF6363" s="21"/>
    </row>
    <row r="6364" spans="32:32">
      <c r="AF6364" s="21"/>
    </row>
    <row r="6365" spans="32:32">
      <c r="AF6365" s="21"/>
    </row>
    <row r="6366" spans="32:32">
      <c r="AF6366" s="21"/>
    </row>
    <row r="6367" spans="32:32">
      <c r="AF6367" s="21"/>
    </row>
    <row r="6382" spans="32:32">
      <c r="AF6382" s="21"/>
    </row>
    <row r="6383" spans="32:32">
      <c r="AF6383" s="21"/>
    </row>
    <row r="6384" spans="32:32">
      <c r="AF6384" s="21"/>
    </row>
    <row r="6385" spans="32:32">
      <c r="AF6385" s="21"/>
    </row>
    <row r="6386" spans="32:32">
      <c r="AF6386" s="21"/>
    </row>
    <row r="6387" spans="32:32">
      <c r="AF6387" s="21"/>
    </row>
    <row r="6388" spans="32:32">
      <c r="AF6388" s="21"/>
    </row>
    <row r="6389" spans="32:32">
      <c r="AF6389" s="21"/>
    </row>
    <row r="6402" spans="32:32">
      <c r="AF6402" s="21"/>
    </row>
    <row r="6403" spans="32:32">
      <c r="AF6403" s="21"/>
    </row>
    <row r="6404" spans="32:32">
      <c r="AF6404" s="21"/>
    </row>
    <row r="6405" spans="32:32">
      <c r="AF6405" s="21"/>
    </row>
    <row r="6406" spans="32:32">
      <c r="AF6406" s="21"/>
    </row>
    <row r="6407" spans="32:32">
      <c r="AF6407" s="21"/>
    </row>
    <row r="6408" spans="32:32">
      <c r="AF6408" s="21"/>
    </row>
    <row r="6409" spans="32:32">
      <c r="AF6409" s="21"/>
    </row>
    <row r="6410" spans="32:32">
      <c r="AF6410" s="21"/>
    </row>
    <row r="6411" spans="32:32">
      <c r="AF6411" s="21"/>
    </row>
    <row r="6424" spans="32:32">
      <c r="AF6424" s="21"/>
    </row>
    <row r="6425" spans="32:32">
      <c r="AF6425" s="21"/>
    </row>
    <row r="6426" spans="32:32">
      <c r="AF6426" s="21"/>
    </row>
    <row r="6427" spans="32:32">
      <c r="AF6427" s="21"/>
    </row>
    <row r="6428" spans="32:32">
      <c r="AF6428" s="21"/>
    </row>
    <row r="6429" spans="32:32">
      <c r="AF6429" s="21"/>
    </row>
    <row r="6430" spans="32:32">
      <c r="AF6430" s="21"/>
    </row>
    <row r="6446" spans="32:32">
      <c r="AF6446" s="21"/>
    </row>
    <row r="6447" spans="32:32">
      <c r="AF6447" s="21"/>
    </row>
    <row r="6448" spans="32:32">
      <c r="AF6448" s="21"/>
    </row>
    <row r="6449" spans="32:32">
      <c r="AF6449" s="21"/>
    </row>
    <row r="6450" spans="32:32">
      <c r="AF6450" s="21"/>
    </row>
    <row r="6451" spans="32:32">
      <c r="AF6451" s="21"/>
    </row>
    <row r="6452" spans="32:32">
      <c r="AF6452" s="21"/>
    </row>
    <row r="6453" spans="32:32">
      <c r="AF6453" s="21"/>
    </row>
    <row r="6467" spans="32:32">
      <c r="AF6467" s="21"/>
    </row>
    <row r="6468" spans="32:32">
      <c r="AF6468" s="21"/>
    </row>
    <row r="6469" spans="32:32">
      <c r="AF6469" s="21"/>
    </row>
    <row r="6470" spans="32:32">
      <c r="AF6470" s="21"/>
    </row>
    <row r="6471" spans="32:32">
      <c r="AF6471" s="21"/>
    </row>
    <row r="6472" spans="32:32">
      <c r="AF6472" s="21"/>
    </row>
    <row r="6473" spans="32:32">
      <c r="AF6473" s="21"/>
    </row>
    <row r="6474" spans="32:32">
      <c r="AF6474" s="21"/>
    </row>
    <row r="6488" spans="32:32">
      <c r="AF6488" s="21"/>
    </row>
    <row r="6489" spans="32:32">
      <c r="AF6489" s="21"/>
    </row>
    <row r="6490" spans="32:32">
      <c r="AF6490" s="21"/>
    </row>
    <row r="6491" spans="32:32">
      <c r="AF6491" s="21"/>
    </row>
    <row r="6492" spans="32:32">
      <c r="AF6492" s="21"/>
    </row>
    <row r="6493" spans="32:32">
      <c r="AF6493" s="21"/>
    </row>
    <row r="6494" spans="32:32">
      <c r="AF6494" s="21"/>
    </row>
    <row r="6495" spans="32:32">
      <c r="AF6495" s="21"/>
    </row>
    <row r="6510" spans="32:32">
      <c r="AF6510" s="21"/>
    </row>
    <row r="6511" spans="32:32">
      <c r="AF6511" s="21"/>
    </row>
    <row r="6512" spans="32:32">
      <c r="AF6512" s="21"/>
    </row>
    <row r="6513" spans="32:32">
      <c r="AF6513" s="21"/>
    </row>
    <row r="6514" spans="32:32">
      <c r="AF6514" s="21"/>
    </row>
    <row r="6515" spans="32:32">
      <c r="AF6515" s="21"/>
    </row>
    <row r="6516" spans="32:32">
      <c r="AF6516" s="21"/>
    </row>
    <row r="6517" spans="32:32">
      <c r="AF6517" s="21"/>
    </row>
    <row r="6518" spans="32:32">
      <c r="AF6518" s="21"/>
    </row>
    <row r="6530" spans="32:32">
      <c r="AF6530" s="21"/>
    </row>
    <row r="6531" spans="32:32">
      <c r="AF6531" s="21"/>
    </row>
    <row r="6532" spans="32:32">
      <c r="AF6532" s="21"/>
    </row>
    <row r="6533" spans="32:32">
      <c r="AF6533" s="21"/>
    </row>
    <row r="6534" spans="32:32">
      <c r="AF6534" s="21"/>
    </row>
    <row r="6535" spans="32:32">
      <c r="AF6535" s="21"/>
    </row>
    <row r="6536" spans="32:32">
      <c r="AF6536" s="21"/>
    </row>
    <row r="6537" spans="32:32">
      <c r="AF6537" s="21"/>
    </row>
    <row r="6538" spans="32:32">
      <c r="AF6538" s="21"/>
    </row>
    <row r="6552" spans="32:32">
      <c r="AF6552" s="21"/>
    </row>
    <row r="6553" spans="32:32">
      <c r="AF6553" s="21"/>
    </row>
    <row r="6554" spans="32:32">
      <c r="AF6554" s="21"/>
    </row>
    <row r="6555" spans="32:32">
      <c r="AF6555" s="21"/>
    </row>
    <row r="6556" spans="32:32">
      <c r="AF6556" s="21"/>
    </row>
    <row r="6557" spans="32:32">
      <c r="AF6557" s="21"/>
    </row>
    <row r="6558" spans="32:32">
      <c r="AF6558" s="21"/>
    </row>
    <row r="6571" spans="32:32">
      <c r="AF6571" s="21"/>
    </row>
    <row r="6572" spans="32:32">
      <c r="AF6572" s="21"/>
    </row>
    <row r="6573" spans="32:32">
      <c r="AF6573" s="21"/>
    </row>
    <row r="6574" spans="32:32">
      <c r="AF6574" s="21"/>
    </row>
    <row r="6575" spans="32:32">
      <c r="AF6575" s="21"/>
    </row>
    <row r="6576" spans="32:32">
      <c r="AF6576" s="21"/>
    </row>
    <row r="6577" spans="32:32">
      <c r="AF6577" s="21"/>
    </row>
    <row r="6578" spans="32:32">
      <c r="AF6578" s="21"/>
    </row>
    <row r="6579" spans="32:32">
      <c r="AF6579" s="21"/>
    </row>
    <row r="6580" spans="32:32">
      <c r="AF6580" s="21"/>
    </row>
    <row r="6591" spans="32:32">
      <c r="AF6591" s="21"/>
    </row>
    <row r="6592" spans="32:32">
      <c r="AF6592" s="21"/>
    </row>
    <row r="6593" spans="32:32">
      <c r="AF6593" s="21"/>
    </row>
    <row r="6594" spans="32:32">
      <c r="AF6594" s="21"/>
    </row>
    <row r="6595" spans="32:32">
      <c r="AF6595" s="21"/>
    </row>
    <row r="6596" spans="32:32">
      <c r="AF6596" s="21"/>
    </row>
    <row r="6597" spans="32:32">
      <c r="AF6597" s="21"/>
    </row>
    <row r="6598" spans="32:32">
      <c r="AF6598" s="21"/>
    </row>
    <row r="6599" spans="32:32">
      <c r="AF6599" s="21"/>
    </row>
    <row r="6613" spans="32:32">
      <c r="AF6613" s="21"/>
    </row>
    <row r="6614" spans="32:32">
      <c r="AF6614" s="21"/>
    </row>
    <row r="6615" spans="32:32">
      <c r="AF6615" s="21"/>
    </row>
    <row r="6616" spans="32:32">
      <c r="AF6616" s="21"/>
    </row>
    <row r="6617" spans="32:32">
      <c r="AF6617" s="21"/>
    </row>
    <row r="6618" spans="32:32">
      <c r="AF6618" s="21"/>
    </row>
    <row r="6619" spans="32:32">
      <c r="AF6619" s="21"/>
    </row>
    <row r="6620" spans="32:32">
      <c r="AF6620" s="21"/>
    </row>
    <row r="6634" spans="32:32">
      <c r="AF6634" s="21"/>
    </row>
    <row r="6635" spans="32:32">
      <c r="AF6635" s="21"/>
    </row>
    <row r="6636" spans="32:32">
      <c r="AF6636" s="21"/>
    </row>
    <row r="6637" spans="32:32">
      <c r="AF6637" s="21"/>
    </row>
    <row r="6638" spans="32:32">
      <c r="AF6638" s="21"/>
    </row>
    <row r="6639" spans="32:32">
      <c r="AF6639" s="21"/>
    </row>
    <row r="6640" spans="32:32">
      <c r="AF6640" s="21"/>
    </row>
    <row r="6641" spans="32:32">
      <c r="AF6641" s="21"/>
    </row>
    <row r="6642" spans="32:32">
      <c r="AF6642" s="21"/>
    </row>
    <row r="6655" spans="32:32">
      <c r="AF6655" s="21"/>
    </row>
    <row r="6656" spans="32:32">
      <c r="AF6656" s="21"/>
    </row>
    <row r="6657" spans="32:32">
      <c r="AF6657" s="21"/>
    </row>
    <row r="6658" spans="32:32">
      <c r="AF6658" s="21"/>
    </row>
    <row r="6659" spans="32:32">
      <c r="AF6659" s="21"/>
    </row>
    <row r="6660" spans="32:32">
      <c r="AF6660" s="21"/>
    </row>
    <row r="6661" spans="32:32">
      <c r="AF6661" s="21"/>
    </row>
    <row r="6662" spans="32:32">
      <c r="AF6662" s="21"/>
    </row>
    <row r="6677" spans="32:32">
      <c r="AF6677" s="21"/>
    </row>
    <row r="6678" spans="32:32">
      <c r="AF6678" s="21"/>
    </row>
    <row r="6679" spans="32:32">
      <c r="AF6679" s="21"/>
    </row>
    <row r="6680" spans="32:32">
      <c r="AF6680" s="21"/>
    </row>
    <row r="6681" spans="32:32">
      <c r="AF6681" s="21"/>
    </row>
    <row r="6682" spans="32:32">
      <c r="AF6682" s="21"/>
    </row>
    <row r="6683" spans="32:32">
      <c r="AF6683" s="21"/>
    </row>
    <row r="6697" spans="32:32">
      <c r="AF6697" s="21"/>
    </row>
    <row r="6698" spans="32:32">
      <c r="AF6698" s="21"/>
    </row>
    <row r="6699" spans="32:32">
      <c r="AF6699" s="21"/>
    </row>
    <row r="6700" spans="32:32">
      <c r="AF6700" s="21"/>
    </row>
    <row r="6701" spans="32:32">
      <c r="AF6701" s="21"/>
    </row>
    <row r="6702" spans="32:32">
      <c r="AF6702" s="21"/>
    </row>
    <row r="6703" spans="32:32">
      <c r="AF6703" s="21"/>
    </row>
    <row r="6704" spans="32:32">
      <c r="AF6704" s="21"/>
    </row>
    <row r="6705" spans="32:32">
      <c r="AF6705" s="21"/>
    </row>
    <row r="6706" spans="32:32">
      <c r="AF6706" s="21"/>
    </row>
    <row r="6720" spans="32:32">
      <c r="AF6720" s="21"/>
    </row>
    <row r="6721" spans="32:32">
      <c r="AF6721" s="21"/>
    </row>
    <row r="6722" spans="32:32">
      <c r="AF6722" s="21"/>
    </row>
    <row r="6723" spans="32:32">
      <c r="AF6723" s="21"/>
    </row>
    <row r="6724" spans="32:32">
      <c r="AF6724" s="21"/>
    </row>
    <row r="6725" spans="32:32">
      <c r="AF6725" s="21"/>
    </row>
    <row r="6726" spans="32:32">
      <c r="AF6726" s="21"/>
    </row>
    <row r="6741" spans="32:32">
      <c r="AF6741" s="21"/>
    </row>
    <row r="6742" spans="32:32">
      <c r="AF6742" s="21"/>
    </row>
    <row r="6743" spans="32:32">
      <c r="AF6743" s="21"/>
    </row>
    <row r="6744" spans="32:32">
      <c r="AF6744" s="21"/>
    </row>
    <row r="6745" spans="32:32">
      <c r="AF6745" s="21"/>
    </row>
    <row r="6746" spans="32:32">
      <c r="AF6746" s="21"/>
    </row>
    <row r="6747" spans="32:32">
      <c r="AF6747" s="21"/>
    </row>
    <row r="6748" spans="32:32">
      <c r="AF6748" s="21"/>
    </row>
    <row r="6762" spans="32:32">
      <c r="AF6762" s="21"/>
    </row>
    <row r="6763" spans="32:32">
      <c r="AF6763" s="21"/>
    </row>
    <row r="6764" spans="32:32">
      <c r="AF6764" s="21"/>
    </row>
    <row r="6765" spans="32:32">
      <c r="AF6765" s="21"/>
    </row>
    <row r="6766" spans="32:32">
      <c r="AF6766" s="21"/>
    </row>
    <row r="6767" spans="32:32">
      <c r="AF6767" s="21"/>
    </row>
    <row r="6768" spans="32:32">
      <c r="AF6768" s="21"/>
    </row>
    <row r="6769" spans="32:32">
      <c r="AF6769" s="21"/>
    </row>
    <row r="6770" spans="32:32">
      <c r="AF6770" s="21"/>
    </row>
    <row r="6783" spans="32:32">
      <c r="AF6783" s="21"/>
    </row>
    <row r="6784" spans="32:32">
      <c r="AF6784" s="21"/>
    </row>
    <row r="6785" spans="32:32">
      <c r="AF6785" s="21"/>
    </row>
    <row r="6786" spans="32:32">
      <c r="AF6786" s="21"/>
    </row>
    <row r="6787" spans="32:32">
      <c r="AF6787" s="21"/>
    </row>
    <row r="6788" spans="32:32">
      <c r="AF6788" s="21"/>
    </row>
    <row r="6789" spans="32:32">
      <c r="AF6789" s="21"/>
    </row>
    <row r="6790" spans="32:32">
      <c r="AF6790" s="21"/>
    </row>
    <row r="6804" spans="32:32">
      <c r="AF6804" s="21"/>
    </row>
    <row r="6805" spans="32:32">
      <c r="AF6805" s="21"/>
    </row>
    <row r="6806" spans="32:32">
      <c r="AF6806" s="21"/>
    </row>
    <row r="6807" spans="32:32">
      <c r="AF6807" s="21"/>
    </row>
    <row r="6808" spans="32:32">
      <c r="AF6808" s="21"/>
    </row>
    <row r="6809" spans="32:32">
      <c r="AF6809" s="21"/>
    </row>
    <row r="6810" spans="32:32">
      <c r="AF6810" s="21"/>
    </row>
    <row r="6811" spans="32:32">
      <c r="AF6811" s="21"/>
    </row>
    <row r="6824" spans="32:32">
      <c r="AF6824" s="21"/>
    </row>
    <row r="6825" spans="32:32">
      <c r="AF6825" s="21"/>
    </row>
    <row r="6826" spans="32:32">
      <c r="AF6826" s="21"/>
    </row>
    <row r="6827" spans="32:32">
      <c r="AF6827" s="21"/>
    </row>
    <row r="6828" spans="32:32">
      <c r="AF6828" s="21"/>
    </row>
    <row r="6829" spans="32:32">
      <c r="AF6829" s="21"/>
    </row>
    <row r="6830" spans="32:32">
      <c r="AF6830" s="21"/>
    </row>
    <row r="6831" spans="32:32">
      <c r="AF6831" s="21"/>
    </row>
    <row r="6843" spans="32:32">
      <c r="AF6843" s="21"/>
    </row>
    <row r="6844" spans="32:32">
      <c r="AF6844" s="21"/>
    </row>
    <row r="6845" spans="32:32">
      <c r="AF6845" s="21"/>
    </row>
    <row r="6846" spans="32:32">
      <c r="AF6846" s="21"/>
    </row>
    <row r="6847" spans="32:32">
      <c r="AF6847" s="21"/>
    </row>
    <row r="6848" spans="32:32">
      <c r="AF6848" s="21"/>
    </row>
    <row r="6849" spans="32:32">
      <c r="AF6849" s="21"/>
    </row>
    <row r="6850" spans="32:32">
      <c r="AF6850" s="21"/>
    </row>
    <row r="6866" spans="32:32">
      <c r="AF6866" s="21"/>
    </row>
    <row r="6867" spans="32:32">
      <c r="AF6867" s="21"/>
    </row>
    <row r="6868" spans="32:32">
      <c r="AF6868" s="21"/>
    </row>
    <row r="6869" spans="32:32">
      <c r="AF6869" s="21"/>
    </row>
    <row r="6870" spans="32:32">
      <c r="AF6870" s="21"/>
    </row>
    <row r="6871" spans="32:32">
      <c r="AF6871" s="21"/>
    </row>
    <row r="6872" spans="32:32">
      <c r="AF6872" s="21"/>
    </row>
    <row r="6873" spans="32:32">
      <c r="AF6873" s="21"/>
    </row>
    <row r="6885" spans="32:32">
      <c r="AF6885" s="21"/>
    </row>
    <row r="6886" spans="32:32">
      <c r="AF6886" s="21"/>
    </row>
    <row r="6887" spans="32:32">
      <c r="AF6887" s="21"/>
    </row>
    <row r="6888" spans="32:32">
      <c r="AF6888" s="21"/>
    </row>
    <row r="6889" spans="32:32">
      <c r="AF6889" s="21"/>
    </row>
    <row r="6890" spans="32:32">
      <c r="AF6890" s="21"/>
    </row>
    <row r="6891" spans="32:32">
      <c r="AF6891" s="21"/>
    </row>
    <row r="6892" spans="32:32">
      <c r="AF6892" s="21"/>
    </row>
    <row r="6893" spans="32:32">
      <c r="AF6893" s="21"/>
    </row>
    <row r="6894" spans="32:32">
      <c r="AF6894" s="21"/>
    </row>
    <row r="6907" spans="32:32">
      <c r="AF6907" s="21"/>
    </row>
    <row r="6908" spans="32:32">
      <c r="AF6908" s="21"/>
    </row>
    <row r="6909" spans="32:32">
      <c r="AF6909" s="21"/>
    </row>
    <row r="6910" spans="32:32">
      <c r="AF6910" s="21"/>
    </row>
    <row r="6911" spans="32:32">
      <c r="AF6911" s="21"/>
    </row>
    <row r="6912" spans="32:32">
      <c r="AF6912" s="21"/>
    </row>
    <row r="6913" spans="32:32">
      <c r="AF6913" s="21"/>
    </row>
    <row r="6914" spans="32:32">
      <c r="AF6914" s="21"/>
    </row>
    <row r="6929" spans="32:32">
      <c r="AF6929" s="21"/>
    </row>
    <row r="6930" spans="32:32">
      <c r="AF6930" s="21"/>
    </row>
    <row r="6931" spans="32:32">
      <c r="AF6931" s="21"/>
    </row>
    <row r="6932" spans="32:32">
      <c r="AF6932" s="21"/>
    </row>
    <row r="6933" spans="32:32">
      <c r="AF6933" s="21"/>
    </row>
    <row r="6934" spans="32:32">
      <c r="AF6934" s="21"/>
    </row>
    <row r="6935" spans="32:32">
      <c r="AF6935" s="21"/>
    </row>
    <row r="6949" spans="32:32">
      <c r="AF6949" s="21"/>
    </row>
    <row r="6950" spans="32:32">
      <c r="AF6950" s="21"/>
    </row>
    <row r="6951" spans="32:32">
      <c r="AF6951" s="21"/>
    </row>
    <row r="6952" spans="32:32">
      <c r="AF6952" s="21"/>
    </row>
    <row r="6953" spans="32:32">
      <c r="AF6953" s="21"/>
    </row>
    <row r="6954" spans="32:32">
      <c r="AF6954" s="21"/>
    </row>
    <row r="6955" spans="32:32">
      <c r="AF6955" s="21"/>
    </row>
    <row r="6956" spans="32:32">
      <c r="AF6956" s="21"/>
    </row>
    <row r="6957" spans="32:32">
      <c r="AF6957" s="21"/>
    </row>
    <row r="6972" spans="32:32">
      <c r="AF6972" s="21"/>
    </row>
    <row r="6973" spans="32:32">
      <c r="AF6973" s="21"/>
    </row>
    <row r="6974" spans="32:32">
      <c r="AF6974" s="21"/>
    </row>
    <row r="6975" spans="32:32">
      <c r="AF6975" s="21"/>
    </row>
    <row r="6976" spans="32:32">
      <c r="AF6976" s="21"/>
    </row>
    <row r="6977" spans="32:32">
      <c r="AF6977" s="21"/>
    </row>
    <row r="6978" spans="32:32">
      <c r="AF6978" s="21"/>
    </row>
    <row r="6992" spans="32:32">
      <c r="AF6992" s="21"/>
    </row>
    <row r="6993" spans="32:32">
      <c r="AF6993" s="21"/>
    </row>
    <row r="6994" spans="32:32">
      <c r="AF6994" s="21"/>
    </row>
    <row r="6995" spans="32:32">
      <c r="AF6995" s="21"/>
    </row>
    <row r="6996" spans="32:32">
      <c r="AF6996" s="21"/>
    </row>
    <row r="6997" spans="32:32">
      <c r="AF6997" s="21"/>
    </row>
    <row r="6998" spans="32:32">
      <c r="AF6998" s="21"/>
    </row>
    <row r="6999" spans="32:32">
      <c r="AF6999" s="21"/>
    </row>
    <row r="7000" spans="32:32">
      <c r="AF7000" s="21"/>
    </row>
    <row r="7014" spans="32:32">
      <c r="AF7014" s="21"/>
    </row>
    <row r="7015" spans="32:32">
      <c r="AF7015" s="21"/>
    </row>
    <row r="7016" spans="32:32">
      <c r="AF7016" s="21"/>
    </row>
    <row r="7017" spans="32:32">
      <c r="AF7017" s="21"/>
    </row>
    <row r="7018" spans="32:32">
      <c r="AF7018" s="21"/>
    </row>
    <row r="7019" spans="32:32">
      <c r="AF7019" s="21"/>
    </row>
    <row r="7020" spans="32:32">
      <c r="AF7020" s="21"/>
    </row>
    <row r="7021" spans="32:32">
      <c r="AF7021" s="21"/>
    </row>
    <row r="7035" spans="32:32">
      <c r="AF7035" s="21"/>
    </row>
    <row r="7036" spans="32:32">
      <c r="AF7036" s="21"/>
    </row>
    <row r="7037" spans="32:32">
      <c r="AF7037" s="21"/>
    </row>
    <row r="7038" spans="32:32">
      <c r="AF7038" s="21"/>
    </row>
    <row r="7039" spans="32:32">
      <c r="AF7039" s="21"/>
    </row>
    <row r="7040" spans="32:32">
      <c r="AF7040" s="21"/>
    </row>
    <row r="7041" spans="32:32">
      <c r="AF7041" s="21"/>
    </row>
    <row r="7042" spans="32:32">
      <c r="AF7042" s="21"/>
    </row>
    <row r="7055" spans="32:32">
      <c r="AF7055" s="21"/>
    </row>
    <row r="7056" spans="32:32">
      <c r="AF7056" s="21"/>
    </row>
    <row r="7057" spans="32:32">
      <c r="AF7057" s="21"/>
    </row>
    <row r="7058" spans="32:32">
      <c r="AF7058" s="21"/>
    </row>
    <row r="7059" spans="32:32">
      <c r="AF7059" s="21"/>
    </row>
    <row r="7060" spans="32:32">
      <c r="AF7060" s="21"/>
    </row>
    <row r="7061" spans="32:32">
      <c r="AF7061" s="21"/>
    </row>
    <row r="7062" spans="32:32">
      <c r="AF7062" s="21"/>
    </row>
    <row r="7063" spans="32:32">
      <c r="AF7063" s="21"/>
    </row>
    <row r="7076" spans="32:32">
      <c r="AF7076" s="21"/>
    </row>
    <row r="7077" spans="32:32">
      <c r="AF7077" s="21"/>
    </row>
    <row r="7078" spans="32:32">
      <c r="AF7078" s="21"/>
    </row>
    <row r="7079" spans="32:32">
      <c r="AF7079" s="21"/>
    </row>
    <row r="7080" spans="32:32">
      <c r="AF7080" s="21"/>
    </row>
    <row r="7081" spans="32:32">
      <c r="AF7081" s="21"/>
    </row>
    <row r="7082" spans="32:32">
      <c r="AF7082" s="21"/>
    </row>
    <row r="7083" spans="32:32">
      <c r="AF7083" s="21"/>
    </row>
    <row r="7095" spans="32:32">
      <c r="AF7095" s="21"/>
    </row>
    <row r="7096" spans="32:32">
      <c r="AF7096" s="21"/>
    </row>
    <row r="7097" spans="32:32">
      <c r="AF7097" s="21"/>
    </row>
    <row r="7098" spans="32:32">
      <c r="AF7098" s="21"/>
    </row>
    <row r="7099" spans="32:32">
      <c r="AF7099" s="21"/>
    </row>
    <row r="7100" spans="32:32">
      <c r="AF7100" s="21"/>
    </row>
    <row r="7101" spans="32:32">
      <c r="AF7101" s="21"/>
    </row>
    <row r="7102" spans="32:32">
      <c r="AF7102" s="21"/>
    </row>
    <row r="7116" spans="32:32">
      <c r="AF7116" s="21"/>
    </row>
    <row r="7117" spans="32:32">
      <c r="AF7117" s="21"/>
    </row>
    <row r="7118" spans="32:32">
      <c r="AF7118" s="21"/>
    </row>
    <row r="7119" spans="32:32">
      <c r="AF7119" s="21"/>
    </row>
    <row r="7120" spans="32:32">
      <c r="AF7120" s="21"/>
    </row>
    <row r="7121" spans="32:32">
      <c r="AF7121" s="21"/>
    </row>
    <row r="7122" spans="32:32">
      <c r="AF7122" s="21"/>
    </row>
    <row r="7123" spans="32:32">
      <c r="AF7123" s="21"/>
    </row>
    <row r="7124" spans="32:32">
      <c r="AF7124" s="21"/>
    </row>
    <row r="7137" spans="32:32">
      <c r="AF7137" s="21"/>
    </row>
    <row r="7138" spans="32:32">
      <c r="AF7138" s="21"/>
    </row>
    <row r="7139" spans="32:32">
      <c r="AF7139" s="21"/>
    </row>
    <row r="7140" spans="32:32">
      <c r="AF7140" s="21"/>
    </row>
    <row r="7141" spans="32:32">
      <c r="AF7141" s="21"/>
    </row>
    <row r="7142" spans="32:32">
      <c r="AF7142" s="21"/>
    </row>
    <row r="7143" spans="32:32">
      <c r="AF7143" s="21"/>
    </row>
    <row r="7144" spans="32:32">
      <c r="AF7144" s="21"/>
    </row>
    <row r="7145" spans="32:32">
      <c r="AF7145" s="21"/>
    </row>
    <row r="7159" spans="32:32">
      <c r="AF7159" s="21"/>
    </row>
    <row r="7160" spans="32:32">
      <c r="AF7160" s="21"/>
    </row>
    <row r="7161" spans="32:32">
      <c r="AF7161" s="21"/>
    </row>
    <row r="7162" spans="32:32">
      <c r="AF7162" s="21"/>
    </row>
    <row r="7163" spans="32:32">
      <c r="AF7163" s="21"/>
    </row>
    <row r="7164" spans="32:32">
      <c r="AF7164" s="21"/>
    </row>
    <row r="7165" spans="32:32">
      <c r="AF7165" s="21"/>
    </row>
    <row r="7166" spans="32:32">
      <c r="AF7166" s="21"/>
    </row>
    <row r="7180" spans="32:32">
      <c r="AF7180" s="21"/>
    </row>
    <row r="7181" spans="32:32">
      <c r="AF7181" s="21"/>
    </row>
    <row r="7182" spans="32:32">
      <c r="AF7182" s="21"/>
    </row>
    <row r="7183" spans="32:32">
      <c r="AF7183" s="21"/>
    </row>
    <row r="7184" spans="32:32">
      <c r="AF7184" s="21"/>
    </row>
    <row r="7185" spans="32:32">
      <c r="AF7185" s="21"/>
    </row>
    <row r="7186" spans="32:32">
      <c r="AF7186" s="21"/>
    </row>
    <row r="7187" spans="32:32">
      <c r="AF7187" s="21"/>
    </row>
    <row r="7201" spans="32:32">
      <c r="AF7201" s="21"/>
    </row>
    <row r="7202" spans="32:32">
      <c r="AF7202" s="21"/>
    </row>
    <row r="7203" spans="32:32">
      <c r="AF7203" s="21"/>
    </row>
    <row r="7204" spans="32:32">
      <c r="AF7204" s="21"/>
    </row>
    <row r="7205" spans="32:32">
      <c r="AF7205" s="21"/>
    </row>
    <row r="7206" spans="32:32">
      <c r="AF7206" s="21"/>
    </row>
    <row r="7207" spans="32:32">
      <c r="AF7207" s="21"/>
    </row>
    <row r="7208" spans="32:32">
      <c r="AF7208" s="21"/>
    </row>
    <row r="7224" spans="32:32">
      <c r="AF7224" s="21"/>
    </row>
    <row r="7225" spans="32:32">
      <c r="AF7225" s="21"/>
    </row>
    <row r="7226" spans="32:32">
      <c r="AF7226" s="21"/>
    </row>
    <row r="7227" spans="32:32">
      <c r="AF7227" s="21"/>
    </row>
    <row r="7228" spans="32:32">
      <c r="AF7228" s="21"/>
    </row>
    <row r="7229" spans="32:32">
      <c r="AF7229" s="21"/>
    </row>
    <row r="7230" spans="32:32">
      <c r="AF7230" s="21"/>
    </row>
    <row r="7243" spans="32:32">
      <c r="AF7243" s="21"/>
    </row>
    <row r="7244" spans="32:32">
      <c r="AF7244" s="21"/>
    </row>
    <row r="7245" spans="32:32">
      <c r="AF7245" s="21"/>
    </row>
    <row r="7246" spans="32:32">
      <c r="AF7246" s="21"/>
    </row>
    <row r="7247" spans="32:32">
      <c r="AF7247" s="21"/>
    </row>
    <row r="7248" spans="32:32">
      <c r="AF7248" s="21"/>
    </row>
    <row r="7249" spans="32:32">
      <c r="AF7249" s="21"/>
    </row>
    <row r="7250" spans="32:32">
      <c r="AF7250" s="21"/>
    </row>
    <row r="7251" spans="32:32">
      <c r="AF7251" s="21"/>
    </row>
    <row r="7252" spans="32:32">
      <c r="AF7252" s="21"/>
    </row>
    <row r="7266" spans="32:32">
      <c r="AF7266" s="21"/>
    </row>
    <row r="7267" spans="32:32">
      <c r="AF7267" s="21"/>
    </row>
    <row r="7268" spans="32:32">
      <c r="AF7268" s="21"/>
    </row>
    <row r="7269" spans="32:32">
      <c r="AF7269" s="21"/>
    </row>
    <row r="7270" spans="32:32">
      <c r="AF7270" s="21"/>
    </row>
    <row r="7271" spans="32:32">
      <c r="AF7271" s="21"/>
    </row>
    <row r="7272" spans="32:32">
      <c r="AF7272" s="21"/>
    </row>
    <row r="7273" spans="32:32">
      <c r="AF7273" s="21"/>
    </row>
    <row r="7287" spans="32:32">
      <c r="AF7287" s="21"/>
    </row>
    <row r="7288" spans="32:32">
      <c r="AF7288" s="21"/>
    </row>
    <row r="7289" spans="32:32">
      <c r="AF7289" s="21"/>
    </row>
    <row r="7290" spans="32:32">
      <c r="AF7290" s="21"/>
    </row>
    <row r="7291" spans="32:32">
      <c r="AF7291" s="21"/>
    </row>
    <row r="7292" spans="32:32">
      <c r="AF7292" s="21"/>
    </row>
    <row r="7293" spans="32:32">
      <c r="AF7293" s="21"/>
    </row>
    <row r="7306" spans="32:32">
      <c r="AF7306" s="21"/>
    </row>
    <row r="7307" spans="32:32">
      <c r="AF7307" s="21"/>
    </row>
    <row r="7308" spans="32:32">
      <c r="AF7308" s="21"/>
    </row>
    <row r="7309" spans="32:32">
      <c r="AF7309" s="21"/>
    </row>
    <row r="7310" spans="32:32">
      <c r="AF7310" s="21"/>
    </row>
    <row r="7311" spans="32:32">
      <c r="AF7311" s="21"/>
    </row>
    <row r="7312" spans="32:32">
      <c r="AF7312" s="21"/>
    </row>
    <row r="7313" spans="32:32">
      <c r="AF7313" s="21"/>
    </row>
    <row r="7327" spans="32:32">
      <c r="AF7327" s="21"/>
    </row>
    <row r="7328" spans="32:32">
      <c r="AF7328" s="21"/>
    </row>
    <row r="7329" spans="32:32">
      <c r="AF7329" s="21"/>
    </row>
    <row r="7330" spans="32:32">
      <c r="AF7330" s="21"/>
    </row>
    <row r="7331" spans="32:32">
      <c r="AF7331" s="21"/>
    </row>
    <row r="7332" spans="32:32">
      <c r="AF7332" s="21"/>
    </row>
    <row r="7333" spans="32:32">
      <c r="AF7333" s="21"/>
    </row>
    <row r="7334" spans="32:32">
      <c r="AF7334" s="21"/>
    </row>
    <row r="7346" spans="32:32">
      <c r="AF7346" s="21"/>
    </row>
    <row r="7347" spans="32:32">
      <c r="AF7347" s="21"/>
    </row>
    <row r="7348" spans="32:32">
      <c r="AF7348" s="21"/>
    </row>
    <row r="7349" spans="32:32">
      <c r="AF7349" s="21"/>
    </row>
    <row r="7350" spans="32:32">
      <c r="AF7350" s="21"/>
    </row>
    <row r="7351" spans="32:32">
      <c r="AF7351" s="21"/>
    </row>
    <row r="7352" spans="32:32">
      <c r="AF7352" s="21"/>
    </row>
    <row r="7353" spans="32:32">
      <c r="AF7353" s="21"/>
    </row>
    <row r="7367" spans="32:32">
      <c r="AF7367" s="21"/>
    </row>
    <row r="7368" spans="32:32">
      <c r="AF7368" s="21"/>
    </row>
    <row r="7369" spans="32:32">
      <c r="AF7369" s="21"/>
    </row>
    <row r="7370" spans="32:32">
      <c r="AF7370" s="21"/>
    </row>
    <row r="7371" spans="32:32">
      <c r="AF7371" s="21"/>
    </row>
    <row r="7372" spans="32:32">
      <c r="AF7372" s="21"/>
    </row>
    <row r="7373" spans="32:32">
      <c r="AF7373" s="21"/>
    </row>
    <row r="7374" spans="32:32">
      <c r="AF7374" s="21"/>
    </row>
    <row r="7375" spans="32:32">
      <c r="AF7375" s="21"/>
    </row>
    <row r="7376" spans="32:32">
      <c r="AF7376" s="21"/>
    </row>
    <row r="7388" spans="32:32">
      <c r="AF7388" s="21"/>
    </row>
    <row r="7389" spans="32:32">
      <c r="AF7389" s="21"/>
    </row>
    <row r="7390" spans="32:32">
      <c r="AF7390" s="21"/>
    </row>
    <row r="7391" spans="32:32">
      <c r="AF7391" s="21"/>
    </row>
    <row r="7392" spans="32:32">
      <c r="AF7392" s="21"/>
    </row>
    <row r="7393" spans="32:32">
      <c r="AF7393" s="21"/>
    </row>
    <row r="7394" spans="32:32">
      <c r="AF7394" s="21"/>
    </row>
    <row r="7395" spans="32:32">
      <c r="AF7395" s="21"/>
    </row>
    <row r="7410" spans="32:32">
      <c r="AF7410" s="21"/>
    </row>
    <row r="7411" spans="32:32">
      <c r="AF7411" s="21"/>
    </row>
    <row r="7412" spans="32:32">
      <c r="AF7412" s="21"/>
    </row>
    <row r="7413" spans="32:32">
      <c r="AF7413" s="21"/>
    </row>
    <row r="7414" spans="32:32">
      <c r="AF7414" s="21"/>
    </row>
    <row r="7415" spans="32:32">
      <c r="AF7415" s="21"/>
    </row>
    <row r="7416" spans="32:32">
      <c r="AF7416" s="21"/>
    </row>
    <row r="7417" spans="32:32">
      <c r="AF7417" s="21"/>
    </row>
    <row r="7430" spans="32:32">
      <c r="AF7430" s="21"/>
    </row>
    <row r="7431" spans="32:32">
      <c r="AF7431" s="21"/>
    </row>
    <row r="7432" spans="32:32">
      <c r="AF7432" s="21"/>
    </row>
    <row r="7433" spans="32:32">
      <c r="AF7433" s="21"/>
    </row>
    <row r="7434" spans="32:32">
      <c r="AF7434" s="21"/>
    </row>
    <row r="7435" spans="32:32">
      <c r="AF7435" s="21"/>
    </row>
    <row r="7436" spans="32:32">
      <c r="AF7436" s="21"/>
    </row>
    <row r="7437" spans="32:32">
      <c r="AF7437" s="21"/>
    </row>
    <row r="7438" spans="32:32">
      <c r="AF7438" s="21"/>
    </row>
    <row r="7452" spans="32:32">
      <c r="AF7452" s="21"/>
    </row>
    <row r="7453" spans="32:32">
      <c r="AF7453" s="21"/>
    </row>
    <row r="7454" spans="32:32">
      <c r="AF7454" s="21"/>
    </row>
    <row r="7455" spans="32:32">
      <c r="AF7455" s="21"/>
    </row>
    <row r="7456" spans="32:32">
      <c r="AF7456" s="21"/>
    </row>
    <row r="7457" spans="32:32">
      <c r="AF7457" s="21"/>
    </row>
    <row r="7458" spans="32:32">
      <c r="AF7458" s="21"/>
    </row>
    <row r="7459" spans="32:32">
      <c r="AF7459" s="21"/>
    </row>
    <row r="7474" spans="32:32">
      <c r="AF7474" s="21"/>
    </row>
    <row r="7475" spans="32:32">
      <c r="AF7475" s="21"/>
    </row>
    <row r="7476" spans="32:32">
      <c r="AF7476" s="21"/>
    </row>
    <row r="7477" spans="32:32">
      <c r="AF7477" s="21"/>
    </row>
    <row r="7478" spans="32:32">
      <c r="AF7478" s="21"/>
    </row>
    <row r="7479" spans="32:32">
      <c r="AF7479" s="21"/>
    </row>
    <row r="7480" spans="32:32">
      <c r="AF7480" s="21"/>
    </row>
    <row r="7481" spans="32:32">
      <c r="AF7481" s="21"/>
    </row>
    <row r="7494" spans="32:32">
      <c r="AF7494" s="21"/>
    </row>
    <row r="7495" spans="32:32">
      <c r="AF7495" s="21"/>
    </row>
    <row r="7496" spans="32:32">
      <c r="AF7496" s="21"/>
    </row>
    <row r="7497" spans="32:32">
      <c r="AF7497" s="21"/>
    </row>
    <row r="7498" spans="32:32">
      <c r="AF7498" s="21"/>
    </row>
    <row r="7499" spans="32:32">
      <c r="AF7499" s="21"/>
    </row>
    <row r="7500" spans="32:32">
      <c r="AF7500" s="21"/>
    </row>
    <row r="7501" spans="32:32">
      <c r="AF7501" s="21"/>
    </row>
    <row r="7502" spans="32:32">
      <c r="AF7502" s="21"/>
    </row>
    <row r="7517" spans="32:32">
      <c r="AF7517" s="21"/>
    </row>
    <row r="7518" spans="32:32">
      <c r="AF7518" s="21"/>
    </row>
    <row r="7519" spans="32:32">
      <c r="AF7519" s="21"/>
    </row>
    <row r="7520" spans="32:32">
      <c r="AF7520" s="21"/>
    </row>
    <row r="7521" spans="32:32">
      <c r="AF7521" s="21"/>
    </row>
    <row r="7522" spans="32:32">
      <c r="AF7522" s="21"/>
    </row>
    <row r="7523" spans="32:32">
      <c r="AF7523" s="21"/>
    </row>
    <row r="7524" spans="32:32">
      <c r="AF7524" s="21"/>
    </row>
    <row r="7537" spans="32:32">
      <c r="AF7537" s="21"/>
    </row>
    <row r="7538" spans="32:32">
      <c r="AF7538" s="21"/>
    </row>
    <row r="7539" spans="32:32">
      <c r="AF7539" s="21"/>
    </row>
    <row r="7540" spans="32:32">
      <c r="AF7540" s="21"/>
    </row>
    <row r="7541" spans="32:32">
      <c r="AF7541" s="21"/>
    </row>
    <row r="7542" spans="32:32">
      <c r="AF7542" s="21"/>
    </row>
    <row r="7543" spans="32:32">
      <c r="AF7543" s="21"/>
    </row>
    <row r="7544" spans="32:32">
      <c r="AF7544" s="21"/>
    </row>
    <row r="7545" spans="32:32">
      <c r="AF7545" s="21"/>
    </row>
    <row r="7558" spans="32:32">
      <c r="AF7558" s="21"/>
    </row>
    <row r="7559" spans="32:32">
      <c r="AF7559" s="21"/>
    </row>
    <row r="7560" spans="32:32">
      <c r="AF7560" s="21"/>
    </row>
    <row r="7561" spans="32:32">
      <c r="AF7561" s="21"/>
    </row>
    <row r="7562" spans="32:32">
      <c r="AF7562" s="21"/>
    </row>
    <row r="7563" spans="32:32">
      <c r="AF7563" s="21"/>
    </row>
    <row r="7564" spans="32:32">
      <c r="AF7564" s="21"/>
    </row>
    <row r="7579" spans="32:32">
      <c r="AF7579" s="21"/>
    </row>
    <row r="7580" spans="32:32">
      <c r="AF7580" s="21"/>
    </row>
    <row r="7581" spans="32:32">
      <c r="AF7581" s="21"/>
    </row>
    <row r="7582" spans="32:32">
      <c r="AF7582" s="21"/>
    </row>
    <row r="7583" spans="32:32">
      <c r="AF7583" s="21"/>
    </row>
    <row r="7584" spans="32:32">
      <c r="AF7584" s="21"/>
    </row>
    <row r="7585" spans="32:32">
      <c r="AF7585" s="21"/>
    </row>
    <row r="7586" spans="32:32">
      <c r="AF7586" s="21"/>
    </row>
    <row r="7598" spans="32:32">
      <c r="AF7598" s="21"/>
    </row>
    <row r="7599" spans="32:32">
      <c r="AF7599" s="21"/>
    </row>
    <row r="7600" spans="32:32">
      <c r="AF7600" s="21"/>
    </row>
    <row r="7601" spans="32:32">
      <c r="AF7601" s="21"/>
    </row>
    <row r="7602" spans="32:32">
      <c r="AF7602" s="21"/>
    </row>
    <row r="7603" spans="32:32">
      <c r="AF7603" s="21"/>
    </row>
    <row r="7604" spans="32:32">
      <c r="AF7604" s="21"/>
    </row>
    <row r="7605" spans="32:32">
      <c r="AF7605" s="21"/>
    </row>
    <row r="7606" spans="32:32">
      <c r="AF7606" s="21"/>
    </row>
    <row r="7620" spans="32:32">
      <c r="AF7620" s="21"/>
    </row>
    <row r="7621" spans="32:32">
      <c r="AF7621" s="21"/>
    </row>
    <row r="7622" spans="32:32">
      <c r="AF7622" s="21"/>
    </row>
    <row r="7623" spans="32:32">
      <c r="AF7623" s="21"/>
    </row>
    <row r="7624" spans="32:32">
      <c r="AF7624" s="21"/>
    </row>
    <row r="7625" spans="32:32">
      <c r="AF7625" s="21"/>
    </row>
    <row r="7626" spans="32:32">
      <c r="AF7626" s="21"/>
    </row>
    <row r="7641" spans="32:32">
      <c r="AF7641" s="21"/>
    </row>
    <row r="7642" spans="32:32">
      <c r="AF7642" s="21"/>
    </row>
    <row r="7643" spans="32:32">
      <c r="AF7643" s="21"/>
    </row>
    <row r="7644" spans="32:32">
      <c r="AF7644" s="21"/>
    </row>
    <row r="7645" spans="32:32">
      <c r="AF7645" s="21"/>
    </row>
    <row r="7646" spans="32:32">
      <c r="AF7646" s="21"/>
    </row>
    <row r="7647" spans="32:32">
      <c r="AF7647" s="21"/>
    </row>
    <row r="7648" spans="32:32">
      <c r="AF7648" s="21"/>
    </row>
    <row r="7661" spans="32:32">
      <c r="AF7661" s="21"/>
    </row>
    <row r="7662" spans="32:32">
      <c r="AF7662" s="21"/>
    </row>
    <row r="7663" spans="32:32">
      <c r="AF7663" s="21"/>
    </row>
    <row r="7664" spans="32:32">
      <c r="AF7664" s="21"/>
    </row>
    <row r="7665" spans="32:32">
      <c r="AF7665" s="21"/>
    </row>
    <row r="7666" spans="32:32">
      <c r="AF7666" s="21"/>
    </row>
    <row r="7667" spans="32:32">
      <c r="AF7667" s="21"/>
    </row>
    <row r="7668" spans="32:32">
      <c r="AF7668" s="21"/>
    </row>
    <row r="7669" spans="32:32">
      <c r="AF7669" s="21"/>
    </row>
    <row r="7670" spans="32:32">
      <c r="AF7670" s="21"/>
    </row>
    <row r="7683" spans="32:32">
      <c r="AF7683" s="21"/>
    </row>
    <row r="7684" spans="32:32">
      <c r="AF7684" s="21"/>
    </row>
    <row r="7685" spans="32:32">
      <c r="AF7685" s="21"/>
    </row>
    <row r="7686" spans="32:32">
      <c r="AF7686" s="21"/>
    </row>
    <row r="7687" spans="32:32">
      <c r="AF7687" s="21"/>
    </row>
    <row r="7688" spans="32:32">
      <c r="AF7688" s="21"/>
    </row>
    <row r="7689" spans="32:32">
      <c r="AF7689" s="21"/>
    </row>
    <row r="7705" spans="32:32">
      <c r="AF7705" s="21"/>
    </row>
    <row r="7706" spans="32:32">
      <c r="AF7706" s="21"/>
    </row>
    <row r="7707" spans="32:32">
      <c r="AF7707" s="21"/>
    </row>
    <row r="7708" spans="32:32">
      <c r="AF7708" s="21"/>
    </row>
    <row r="7709" spans="32:32">
      <c r="AF7709" s="21"/>
    </row>
    <row r="7710" spans="32:32">
      <c r="AF7710" s="21"/>
    </row>
    <row r="7711" spans="32:32">
      <c r="AF7711" s="21"/>
    </row>
    <row r="7712" spans="32:32">
      <c r="AF7712" s="21"/>
    </row>
    <row r="7726" spans="32:32">
      <c r="AF7726" s="21"/>
    </row>
    <row r="7727" spans="32:32">
      <c r="AF7727" s="21"/>
    </row>
    <row r="7728" spans="32:32">
      <c r="AF7728" s="21"/>
    </row>
    <row r="7729" spans="32:32">
      <c r="AF7729" s="21"/>
    </row>
    <row r="7730" spans="32:32">
      <c r="AF7730" s="21"/>
    </row>
    <row r="7731" spans="32:32">
      <c r="AF7731" s="21"/>
    </row>
    <row r="7732" spans="32:32">
      <c r="AF7732" s="21"/>
    </row>
    <row r="7733" spans="32:32">
      <c r="AF7733" s="21"/>
    </row>
    <row r="7747" spans="32:32">
      <c r="AF7747" s="21"/>
    </row>
    <row r="7748" spans="32:32">
      <c r="AF7748" s="21"/>
    </row>
    <row r="7749" spans="32:32">
      <c r="AF7749" s="21"/>
    </row>
    <row r="7750" spans="32:32">
      <c r="AF7750" s="21"/>
    </row>
    <row r="7751" spans="32:32">
      <c r="AF7751" s="21"/>
    </row>
    <row r="7752" spans="32:32">
      <c r="AF7752" s="21"/>
    </row>
    <row r="7753" spans="32:32">
      <c r="AF7753" s="21"/>
    </row>
    <row r="7754" spans="32:32">
      <c r="AF7754" s="21"/>
    </row>
    <row r="7769" spans="32:32">
      <c r="AF7769" s="21"/>
    </row>
    <row r="7770" spans="32:32">
      <c r="AF7770" s="21"/>
    </row>
    <row r="7771" spans="32:32">
      <c r="AF7771" s="21"/>
    </row>
    <row r="7772" spans="32:32">
      <c r="AF7772" s="21"/>
    </row>
    <row r="7773" spans="32:32">
      <c r="AF7773" s="21"/>
    </row>
    <row r="7774" spans="32:32">
      <c r="AF7774" s="21"/>
    </row>
    <row r="7775" spans="32:32">
      <c r="AF7775" s="21"/>
    </row>
    <row r="7776" spans="32:32">
      <c r="AF7776" s="21"/>
    </row>
    <row r="7777" spans="32:32">
      <c r="AF7777" s="21"/>
    </row>
    <row r="7789" spans="32:32">
      <c r="AF7789" s="21"/>
    </row>
    <row r="7790" spans="32:32">
      <c r="AF7790" s="21"/>
    </row>
    <row r="7791" spans="32:32">
      <c r="AF7791" s="21"/>
    </row>
    <row r="7792" spans="32:32">
      <c r="AF7792" s="21"/>
    </row>
    <row r="7793" spans="32:32">
      <c r="AF7793" s="21"/>
    </row>
    <row r="7794" spans="32:32">
      <c r="AF7794" s="21"/>
    </row>
    <row r="7795" spans="32:32">
      <c r="AF7795" s="21"/>
    </row>
    <row r="7796" spans="32:32">
      <c r="AF7796" s="21"/>
    </row>
    <row r="7797" spans="32:32">
      <c r="AF7797" s="21"/>
    </row>
    <row r="7811" spans="32:32">
      <c r="AF7811" s="21"/>
    </row>
    <row r="7812" spans="32:32">
      <c r="AF7812" s="21"/>
    </row>
    <row r="7813" spans="32:32">
      <c r="AF7813" s="21"/>
    </row>
    <row r="7814" spans="32:32">
      <c r="AF7814" s="21"/>
    </row>
    <row r="7815" spans="32:32">
      <c r="AF7815" s="21"/>
    </row>
    <row r="7816" spans="32:32">
      <c r="AF7816" s="21"/>
    </row>
    <row r="7817" spans="32:32">
      <c r="AF7817" s="21"/>
    </row>
    <row r="7830" spans="32:32">
      <c r="AF7830" s="21"/>
    </row>
    <row r="7831" spans="32:32">
      <c r="AF7831" s="21"/>
    </row>
    <row r="7832" spans="32:32">
      <c r="AF7832" s="21"/>
    </row>
    <row r="7833" spans="32:32">
      <c r="AF7833" s="21"/>
    </row>
    <row r="7834" spans="32:32">
      <c r="AF7834" s="21"/>
    </row>
    <row r="7835" spans="32:32">
      <c r="AF7835" s="21"/>
    </row>
    <row r="7836" spans="32:32">
      <c r="AF7836" s="21"/>
    </row>
    <row r="7837" spans="32:32">
      <c r="AF7837" s="21"/>
    </row>
    <row r="7838" spans="32:32">
      <c r="AF7838" s="21"/>
    </row>
    <row r="7839" spans="32:32">
      <c r="AF7839" s="21"/>
    </row>
    <row r="7849" spans="32:32">
      <c r="AF7849" s="21"/>
    </row>
    <row r="7850" spans="32:32">
      <c r="AF7850" s="21"/>
    </row>
    <row r="7851" spans="32:32">
      <c r="AF7851" s="21"/>
    </row>
    <row r="7852" spans="32:32">
      <c r="AF7852" s="21"/>
    </row>
    <row r="7853" spans="32:32">
      <c r="AF7853" s="21"/>
    </row>
    <row r="7854" spans="32:32">
      <c r="AF7854" s="21"/>
    </row>
    <row r="7855" spans="32:32">
      <c r="AF7855" s="21"/>
    </row>
    <row r="7856" spans="32:32">
      <c r="AF7856" s="21"/>
    </row>
    <row r="7857" spans="32:32">
      <c r="AF7857" s="21"/>
    </row>
    <row r="7858" spans="32:32">
      <c r="AF7858" s="21"/>
    </row>
    <row r="7872" spans="32:32">
      <c r="AF7872" s="21"/>
    </row>
    <row r="7873" spans="32:32">
      <c r="AF7873" s="21"/>
    </row>
    <row r="7874" spans="32:32">
      <c r="AF7874" s="21"/>
    </row>
    <row r="7875" spans="32:32">
      <c r="AF7875" s="21"/>
    </row>
    <row r="7876" spans="32:32">
      <c r="AF7876" s="21"/>
    </row>
    <row r="7877" spans="32:32">
      <c r="AF7877" s="21"/>
    </row>
    <row r="7878" spans="32:32">
      <c r="AF7878" s="21"/>
    </row>
    <row r="7893" spans="32:32">
      <c r="AF7893" s="21"/>
    </row>
    <row r="7894" spans="32:32">
      <c r="AF7894" s="21"/>
    </row>
    <row r="7895" spans="32:32">
      <c r="AF7895" s="21"/>
    </row>
    <row r="7896" spans="32:32">
      <c r="AF7896" s="21"/>
    </row>
    <row r="7897" spans="32:32">
      <c r="AF7897" s="21"/>
    </row>
    <row r="7898" spans="32:32">
      <c r="AF7898" s="21"/>
    </row>
    <row r="7899" spans="32:32">
      <c r="AF7899" s="21"/>
    </row>
    <row r="7900" spans="32:32">
      <c r="AF7900" s="21"/>
    </row>
    <row r="7913" spans="32:32">
      <c r="AF7913" s="21"/>
    </row>
    <row r="7914" spans="32:32">
      <c r="AF7914" s="21"/>
    </row>
    <row r="7915" spans="32:32">
      <c r="AF7915" s="21"/>
    </row>
    <row r="7916" spans="32:32">
      <c r="AF7916" s="21"/>
    </row>
    <row r="7917" spans="32:32">
      <c r="AF7917" s="21"/>
    </row>
    <row r="7918" spans="32:32">
      <c r="AF7918" s="21"/>
    </row>
    <row r="7919" spans="32:32">
      <c r="AF7919" s="21"/>
    </row>
    <row r="7920" spans="32:32">
      <c r="AF7920" s="21"/>
    </row>
    <row r="7921" spans="32:32">
      <c r="AF7921" s="21"/>
    </row>
    <row r="7935" spans="32:32">
      <c r="AF7935" s="21"/>
    </row>
    <row r="7936" spans="32:32">
      <c r="AF7936" s="21"/>
    </row>
    <row r="7937" spans="32:32">
      <c r="AF7937" s="21"/>
    </row>
    <row r="7938" spans="32:32">
      <c r="AF7938" s="21"/>
    </row>
    <row r="7939" spans="32:32">
      <c r="AF7939" s="21"/>
    </row>
    <row r="7940" spans="32:32">
      <c r="AF7940" s="21"/>
    </row>
    <row r="7941" spans="32:32">
      <c r="AF7941" s="21"/>
    </row>
    <row r="7956" spans="32:32">
      <c r="AF7956" s="21"/>
    </row>
    <row r="7957" spans="32:32">
      <c r="AF7957" s="21"/>
    </row>
    <row r="7958" spans="32:32">
      <c r="AF7958" s="21"/>
    </row>
    <row r="7959" spans="32:32">
      <c r="AF7959" s="21"/>
    </row>
    <row r="7960" spans="32:32">
      <c r="AF7960" s="21"/>
    </row>
    <row r="7961" spans="32:32">
      <c r="AF7961" s="21"/>
    </row>
    <row r="7962" spans="32:32">
      <c r="AF7962" s="21"/>
    </row>
    <row r="7963" spans="32:32">
      <c r="AF7963" s="21"/>
    </row>
    <row r="7964" spans="32:32">
      <c r="AF7964" s="21"/>
    </row>
    <row r="7978" spans="32:32">
      <c r="AF7978" s="21"/>
    </row>
    <row r="7979" spans="32:32">
      <c r="AF7979" s="21"/>
    </row>
    <row r="7980" spans="32:32">
      <c r="AF7980" s="21"/>
    </row>
    <row r="7981" spans="32:32">
      <c r="AF7981" s="21"/>
    </row>
    <row r="7982" spans="32:32">
      <c r="AF7982" s="21"/>
    </row>
    <row r="7983" spans="32:32">
      <c r="AF7983" s="21"/>
    </row>
    <row r="7984" spans="32:32">
      <c r="AF7984" s="21"/>
    </row>
    <row r="7999" spans="32:32">
      <c r="AF7999" s="21"/>
    </row>
    <row r="8000" spans="32:32">
      <c r="AF8000" s="21"/>
    </row>
    <row r="8001" spans="32:32">
      <c r="AF8001" s="21"/>
    </row>
    <row r="8002" spans="32:32">
      <c r="AF8002" s="21"/>
    </row>
    <row r="8003" spans="32:32">
      <c r="AF8003" s="21"/>
    </row>
    <row r="8004" spans="32:32">
      <c r="AF8004" s="21"/>
    </row>
    <row r="8005" spans="32:32">
      <c r="AF8005" s="21"/>
    </row>
    <row r="8006" spans="32:32">
      <c r="AF8006" s="21"/>
    </row>
    <row r="8020" spans="32:32">
      <c r="AF8020" s="21"/>
    </row>
    <row r="8021" spans="32:32">
      <c r="AF8021" s="21"/>
    </row>
    <row r="8022" spans="32:32">
      <c r="AF8022" s="21"/>
    </row>
    <row r="8023" spans="32:32">
      <c r="AF8023" s="21"/>
    </row>
    <row r="8024" spans="32:32">
      <c r="AF8024" s="21"/>
    </row>
    <row r="8025" spans="32:32">
      <c r="AF8025" s="21"/>
    </row>
    <row r="8026" spans="32:32">
      <c r="AF8026" s="21"/>
    </row>
    <row r="8027" spans="32:32">
      <c r="AF8027" s="21"/>
    </row>
    <row r="8028" spans="32:32">
      <c r="AF8028" s="21"/>
    </row>
    <row r="8029" spans="32:32">
      <c r="AF8029" s="21"/>
    </row>
    <row r="8041" spans="32:32">
      <c r="AF8041" s="21"/>
    </row>
    <row r="8042" spans="32:32">
      <c r="AF8042" s="21"/>
    </row>
    <row r="8043" spans="32:32">
      <c r="AF8043" s="21"/>
    </row>
    <row r="8044" spans="32:32">
      <c r="AF8044" s="21"/>
    </row>
    <row r="8045" spans="32:32">
      <c r="AF8045" s="21"/>
    </row>
    <row r="8046" spans="32:32">
      <c r="AF8046" s="21"/>
    </row>
    <row r="8047" spans="32:32">
      <c r="AF8047" s="21"/>
    </row>
    <row r="8048" spans="32:32">
      <c r="AF8048" s="21"/>
    </row>
    <row r="8063" spans="32:32">
      <c r="AF8063" s="21"/>
    </row>
    <row r="8064" spans="32:32">
      <c r="AF8064" s="21"/>
    </row>
    <row r="8065" spans="32:32">
      <c r="AF8065" s="21"/>
    </row>
    <row r="8066" spans="32:32">
      <c r="AF8066" s="21"/>
    </row>
    <row r="8067" spans="32:32">
      <c r="AF8067" s="21"/>
    </row>
    <row r="8068" spans="32:32">
      <c r="AF8068" s="21"/>
    </row>
    <row r="8069" spans="32:32">
      <c r="AF8069" s="21"/>
    </row>
    <row r="8070" spans="32:32">
      <c r="AF8070" s="21"/>
    </row>
    <row r="8083" spans="32:32">
      <c r="AF8083" s="21"/>
    </row>
    <row r="8084" spans="32:32">
      <c r="AF8084" s="21"/>
    </row>
    <row r="8085" spans="32:32">
      <c r="AF8085" s="21"/>
    </row>
    <row r="8086" spans="32:32">
      <c r="AF8086" s="21"/>
    </row>
    <row r="8087" spans="32:32">
      <c r="AF8087" s="21"/>
    </row>
    <row r="8088" spans="32:32">
      <c r="AF8088" s="21"/>
    </row>
    <row r="8089" spans="32:32">
      <c r="AF8089" s="21"/>
    </row>
    <row r="8090" spans="32:32">
      <c r="AF8090" s="21"/>
    </row>
    <row r="8091" spans="32:32">
      <c r="AF8091" s="21"/>
    </row>
    <row r="8102" spans="32:32">
      <c r="AF8102" s="21"/>
    </row>
    <row r="8103" spans="32:32">
      <c r="AF8103" s="21"/>
    </row>
    <row r="8104" spans="32:32">
      <c r="AF8104" s="21"/>
    </row>
    <row r="8105" spans="32:32">
      <c r="AF8105" s="21"/>
    </row>
    <row r="8106" spans="32:32">
      <c r="AF8106" s="21"/>
    </row>
    <row r="8107" spans="32:32">
      <c r="AF8107" s="21"/>
    </row>
    <row r="8108" spans="32:32">
      <c r="AF8108" s="21"/>
    </row>
    <row r="8109" spans="32:32">
      <c r="AF8109" s="21"/>
    </row>
    <row r="8110" spans="32:32">
      <c r="AF8110" s="21"/>
    </row>
    <row r="8125" spans="32:32">
      <c r="AF8125" s="21"/>
    </row>
    <row r="8126" spans="32:32">
      <c r="AF8126" s="21"/>
    </row>
    <row r="8127" spans="32:32">
      <c r="AF8127" s="21"/>
    </row>
    <row r="8128" spans="32:32">
      <c r="AF8128" s="21"/>
    </row>
    <row r="8129" spans="32:32">
      <c r="AF8129" s="21"/>
    </row>
    <row r="8130" spans="32:32">
      <c r="AF8130" s="21"/>
    </row>
    <row r="8131" spans="32:32">
      <c r="AF8131" s="21"/>
    </row>
    <row r="8132" spans="32:32">
      <c r="AF8132" s="21"/>
    </row>
    <row r="8145" spans="32:32">
      <c r="AF8145" s="21"/>
    </row>
    <row r="8146" spans="32:32">
      <c r="AF8146" s="21"/>
    </row>
    <row r="8147" spans="32:32">
      <c r="AF8147" s="21"/>
    </row>
    <row r="8148" spans="32:32">
      <c r="AF8148" s="21"/>
    </row>
    <row r="8149" spans="32:32">
      <c r="AF8149" s="21"/>
    </row>
    <row r="8150" spans="32:32">
      <c r="AF8150" s="21"/>
    </row>
    <row r="8151" spans="32:32">
      <c r="AF8151" s="21"/>
    </row>
    <row r="8152" spans="32:32">
      <c r="AF8152" s="21"/>
    </row>
    <row r="8153" spans="32:32">
      <c r="AF8153" s="21"/>
    </row>
    <row r="8167" spans="32:32">
      <c r="AF8167" s="21"/>
    </row>
    <row r="8168" spans="32:32">
      <c r="AF8168" s="21"/>
    </row>
    <row r="8169" spans="32:32">
      <c r="AF8169" s="21"/>
    </row>
    <row r="8170" spans="32:32">
      <c r="AF8170" s="21"/>
    </row>
    <row r="8171" spans="32:32">
      <c r="AF8171" s="21"/>
    </row>
    <row r="8172" spans="32:32">
      <c r="AF8172" s="21"/>
    </row>
    <row r="8173" spans="32:32">
      <c r="AF8173" s="21"/>
    </row>
    <row r="8174" spans="32:32">
      <c r="AF8174" s="21"/>
    </row>
    <row r="8189" spans="32:32">
      <c r="AF8189" s="21"/>
    </row>
    <row r="8190" spans="32:32">
      <c r="AF8190" s="21"/>
    </row>
    <row r="8191" spans="32:32">
      <c r="AF8191" s="21"/>
    </row>
    <row r="8192" spans="32:32">
      <c r="AF8192" s="21"/>
    </row>
    <row r="8193" spans="32:32">
      <c r="AF8193" s="21"/>
    </row>
    <row r="8194" spans="32:32">
      <c r="AF8194" s="21"/>
    </row>
    <row r="8195" spans="32:32">
      <c r="AF8195" s="21"/>
    </row>
    <row r="8196" spans="32:32">
      <c r="AF8196" s="21"/>
    </row>
    <row r="8210" spans="32:32">
      <c r="AF8210" s="21"/>
    </row>
    <row r="8211" spans="32:32">
      <c r="AF8211" s="21"/>
    </row>
    <row r="8212" spans="32:32">
      <c r="AF8212" s="21"/>
    </row>
    <row r="8213" spans="32:32">
      <c r="AF8213" s="21"/>
    </row>
    <row r="8214" spans="32:32">
      <c r="AF8214" s="21"/>
    </row>
    <row r="8215" spans="32:32">
      <c r="AF8215" s="21"/>
    </row>
    <row r="8216" spans="32:32">
      <c r="AF8216" s="21"/>
    </row>
    <row r="8217" spans="32:32">
      <c r="AF8217" s="21"/>
    </row>
    <row r="8218" spans="32:32">
      <c r="AF8218" s="21"/>
    </row>
    <row r="8219" spans="32:32">
      <c r="AF8219" s="21"/>
    </row>
    <row r="8233" spans="32:32">
      <c r="AF8233" s="21"/>
    </row>
    <row r="8234" spans="32:32">
      <c r="AF8234" s="21"/>
    </row>
    <row r="8235" spans="32:32">
      <c r="AF8235" s="21"/>
    </row>
    <row r="8236" spans="32:32">
      <c r="AF8236" s="21"/>
    </row>
    <row r="8237" spans="32:32">
      <c r="AF8237" s="21"/>
    </row>
    <row r="8238" spans="32:32">
      <c r="AF8238" s="21"/>
    </row>
    <row r="8239" spans="32:32">
      <c r="AF8239" s="21"/>
    </row>
    <row r="8240" spans="32:32">
      <c r="AF8240" s="21"/>
    </row>
    <row r="8255" spans="32:32">
      <c r="AF8255" s="21"/>
    </row>
    <row r="8256" spans="32:32">
      <c r="AF8256" s="21"/>
    </row>
    <row r="8257" spans="32:32">
      <c r="AF8257" s="21"/>
    </row>
    <row r="8258" spans="32:32">
      <c r="AF8258" s="21"/>
    </row>
    <row r="8259" spans="32:32">
      <c r="AF8259" s="21"/>
    </row>
    <row r="8260" spans="32:32">
      <c r="AF8260" s="21"/>
    </row>
    <row r="8261" spans="32:32">
      <c r="AF8261" s="21"/>
    </row>
    <row r="8262" spans="32:32">
      <c r="AF8262" s="21"/>
    </row>
    <row r="8276" spans="32:32">
      <c r="AF8276" s="21"/>
    </row>
    <row r="8277" spans="32:32">
      <c r="AF8277" s="21"/>
    </row>
    <row r="8278" spans="32:32">
      <c r="AF8278" s="21"/>
    </row>
    <row r="8279" spans="32:32">
      <c r="AF8279" s="21"/>
    </row>
    <row r="8280" spans="32:32">
      <c r="AF8280" s="21"/>
    </row>
    <row r="8281" spans="32:32">
      <c r="AF8281" s="21"/>
    </row>
    <row r="8282" spans="32:32">
      <c r="AF8282" s="21"/>
    </row>
    <row r="8283" spans="32:32">
      <c r="AF8283" s="21"/>
    </row>
    <row r="8284" spans="32:32">
      <c r="AF8284" s="21"/>
    </row>
    <row r="8298" spans="32:32">
      <c r="AF8298" s="21"/>
    </row>
    <row r="8299" spans="32:32">
      <c r="AF8299" s="21"/>
    </row>
    <row r="8300" spans="32:32">
      <c r="AF8300" s="21"/>
    </row>
    <row r="8301" spans="32:32">
      <c r="AF8301" s="21"/>
    </row>
    <row r="8302" spans="32:32">
      <c r="AF8302" s="21"/>
    </row>
    <row r="8303" spans="32:32">
      <c r="AF8303" s="21"/>
    </row>
    <row r="8304" spans="32:32">
      <c r="AF8304" s="21"/>
    </row>
    <row r="8305" spans="32:32">
      <c r="AF8305" s="21"/>
    </row>
    <row r="8319" spans="32:32">
      <c r="AF8319" s="21"/>
    </row>
    <row r="8320" spans="32:32">
      <c r="AF8320" s="21"/>
    </row>
    <row r="8321" spans="32:32">
      <c r="AF8321" s="21"/>
    </row>
    <row r="8322" spans="32:32">
      <c r="AF8322" s="21"/>
    </row>
    <row r="8323" spans="32:32">
      <c r="AF8323" s="21"/>
    </row>
    <row r="8324" spans="32:32">
      <c r="AF8324" s="21"/>
    </row>
    <row r="8325" spans="32:32">
      <c r="AF8325" s="21"/>
    </row>
    <row r="8326" spans="32:32">
      <c r="AF8326" s="21"/>
    </row>
    <row r="8340" spans="32:32">
      <c r="AF8340" s="21"/>
    </row>
    <row r="8341" spans="32:32">
      <c r="AF8341" s="21"/>
    </row>
    <row r="8342" spans="32:32">
      <c r="AF8342" s="21"/>
    </row>
    <row r="8343" spans="32:32">
      <c r="AF8343" s="21"/>
    </row>
    <row r="8344" spans="32:32">
      <c r="AF8344" s="21"/>
    </row>
    <row r="8345" spans="32:32">
      <c r="AF8345" s="21"/>
    </row>
    <row r="8346" spans="32:32">
      <c r="AF8346" s="21"/>
    </row>
    <row r="8347" spans="32:32">
      <c r="AF8347" s="21"/>
    </row>
    <row r="8360" spans="32:32">
      <c r="AF8360" s="21"/>
    </row>
    <row r="8361" spans="32:32">
      <c r="AF8361" s="21"/>
    </row>
    <row r="8362" spans="32:32">
      <c r="AF8362" s="21"/>
    </row>
    <row r="8363" spans="32:32">
      <c r="AF8363" s="21"/>
    </row>
    <row r="8364" spans="32:32">
      <c r="AF8364" s="21"/>
    </row>
    <row r="8365" spans="32:32">
      <c r="AF8365" s="21"/>
    </row>
    <row r="8366" spans="32:32">
      <c r="AF8366" s="21"/>
    </row>
    <row r="8367" spans="32:32">
      <c r="AF8367" s="21"/>
    </row>
    <row r="8383" spans="32:32">
      <c r="AF8383" s="21"/>
    </row>
    <row r="8384" spans="32:32">
      <c r="AF8384" s="21"/>
    </row>
    <row r="8385" spans="32:32">
      <c r="AF8385" s="21"/>
    </row>
    <row r="8386" spans="32:32">
      <c r="AF8386" s="21"/>
    </row>
    <row r="8387" spans="32:32">
      <c r="AF8387" s="21"/>
    </row>
    <row r="8388" spans="32:32">
      <c r="AF8388" s="21"/>
    </row>
    <row r="8389" spans="32:32">
      <c r="AF8389" s="21"/>
    </row>
    <row r="8402" spans="32:32">
      <c r="AF8402" s="21"/>
    </row>
    <row r="8403" spans="32:32">
      <c r="AF8403" s="21"/>
    </row>
    <row r="8404" spans="32:32">
      <c r="AF8404" s="21"/>
    </row>
    <row r="8405" spans="32:32">
      <c r="AF8405" s="21"/>
    </row>
    <row r="8406" spans="32:32">
      <c r="AF8406" s="21"/>
    </row>
    <row r="8407" spans="32:32">
      <c r="AF8407" s="21"/>
    </row>
    <row r="8408" spans="32:32">
      <c r="AF8408" s="21"/>
    </row>
    <row r="8409" spans="32:32">
      <c r="AF8409" s="21"/>
    </row>
    <row r="8410" spans="32:32">
      <c r="AF8410" s="21"/>
    </row>
    <row r="8411" spans="32:32">
      <c r="AF8411" s="21"/>
    </row>
    <row r="8425" spans="32:32">
      <c r="AF8425" s="21"/>
    </row>
    <row r="8426" spans="32:32">
      <c r="AF8426" s="21"/>
    </row>
    <row r="8427" spans="32:32">
      <c r="AF8427" s="21"/>
    </row>
    <row r="8428" spans="32:32">
      <c r="AF8428" s="21"/>
    </row>
    <row r="8429" spans="32:32">
      <c r="AF8429" s="21"/>
    </row>
    <row r="8430" spans="32:32">
      <c r="AF8430" s="21"/>
    </row>
    <row r="8431" spans="32:32">
      <c r="AF8431" s="21"/>
    </row>
    <row r="8432" spans="32:32">
      <c r="AF8432" s="21"/>
    </row>
    <row r="8447" spans="32:32">
      <c r="AF8447" s="21"/>
    </row>
    <row r="8448" spans="32:32">
      <c r="AF8448" s="21"/>
    </row>
    <row r="8449" spans="32:32">
      <c r="AF8449" s="21"/>
    </row>
    <row r="8450" spans="32:32">
      <c r="AF8450" s="21"/>
    </row>
    <row r="8451" spans="32:32">
      <c r="AF8451" s="21"/>
    </row>
    <row r="8452" spans="32:32">
      <c r="AF8452" s="21"/>
    </row>
    <row r="8453" spans="32:32">
      <c r="AF8453" s="21"/>
    </row>
    <row r="8454" spans="32:32">
      <c r="AF8454" s="21"/>
    </row>
    <row r="8468" spans="32:32">
      <c r="AF8468" s="21"/>
    </row>
    <row r="8469" spans="32:32">
      <c r="AF8469" s="21"/>
    </row>
    <row r="8470" spans="32:32">
      <c r="AF8470" s="21"/>
    </row>
    <row r="8471" spans="32:32">
      <c r="AF8471" s="21"/>
    </row>
    <row r="8472" spans="32:32">
      <c r="AF8472" s="21"/>
    </row>
    <row r="8473" spans="32:32">
      <c r="AF8473" s="21"/>
    </row>
    <row r="8474" spans="32:32">
      <c r="AF8474" s="21"/>
    </row>
    <row r="8475" spans="32:32">
      <c r="AF8475" s="21"/>
    </row>
    <row r="8476" spans="32:32">
      <c r="AF8476" s="21"/>
    </row>
    <row r="8491" spans="32:32">
      <c r="AF8491" s="21"/>
    </row>
    <row r="8492" spans="32:32">
      <c r="AF8492" s="21"/>
    </row>
    <row r="8493" spans="32:32">
      <c r="AF8493" s="21"/>
    </row>
    <row r="8494" spans="32:32">
      <c r="AF8494" s="21"/>
    </row>
    <row r="8495" spans="32:32">
      <c r="AF8495" s="21"/>
    </row>
    <row r="8496" spans="32:32">
      <c r="AF8496" s="21"/>
    </row>
    <row r="8497" spans="32:32">
      <c r="AF8497" s="21"/>
    </row>
    <row r="8498" spans="32:32">
      <c r="AF8498" s="21"/>
    </row>
    <row r="8512" spans="32:32">
      <c r="AF8512" s="21"/>
    </row>
    <row r="8513" spans="32:32">
      <c r="AF8513" s="21"/>
    </row>
    <row r="8514" spans="32:32">
      <c r="AF8514" s="21"/>
    </row>
    <row r="8515" spans="32:32">
      <c r="AF8515" s="21"/>
    </row>
    <row r="8516" spans="32:32">
      <c r="AF8516" s="21"/>
    </row>
    <row r="8517" spans="32:32">
      <c r="AF8517" s="21"/>
    </row>
    <row r="8518" spans="32:32">
      <c r="AF8518" s="21"/>
    </row>
    <row r="8519" spans="32:32">
      <c r="AF8519" s="21"/>
    </row>
    <row r="8520" spans="32:32">
      <c r="AF8520" s="21"/>
    </row>
    <row r="8534" spans="32:32">
      <c r="AF8534" s="21"/>
    </row>
    <row r="8535" spans="32:32">
      <c r="AF8535" s="21"/>
    </row>
    <row r="8536" spans="32:32">
      <c r="AF8536" s="21"/>
    </row>
    <row r="8537" spans="32:32">
      <c r="AF8537" s="21"/>
    </row>
    <row r="8538" spans="32:32">
      <c r="AF8538" s="21"/>
    </row>
    <row r="8539" spans="32:32">
      <c r="AF8539" s="21"/>
    </row>
    <row r="8540" spans="32:32">
      <c r="AF8540" s="21"/>
    </row>
    <row r="8541" spans="32:32">
      <c r="AF8541" s="21"/>
    </row>
    <row r="8556" spans="32:32">
      <c r="AF8556" s="21"/>
    </row>
    <row r="8557" spans="32:32">
      <c r="AF8557" s="21"/>
    </row>
    <row r="8558" spans="32:32">
      <c r="AF8558" s="21"/>
    </row>
    <row r="8559" spans="32:32">
      <c r="AF8559" s="21"/>
    </row>
    <row r="8560" spans="32:32">
      <c r="AF8560" s="21"/>
    </row>
    <row r="8561" spans="32:32">
      <c r="AF8561" s="21"/>
    </row>
    <row r="8562" spans="32:32">
      <c r="AF8562" s="21"/>
    </row>
    <row r="8563" spans="32:32">
      <c r="AF8563" s="21"/>
    </row>
    <row r="8576" spans="32:32">
      <c r="AF8576" s="21"/>
    </row>
    <row r="8577" spans="32:32">
      <c r="AF8577" s="21"/>
    </row>
    <row r="8578" spans="32:32">
      <c r="AF8578" s="21"/>
    </row>
    <row r="8579" spans="32:32">
      <c r="AF8579" s="21"/>
    </row>
    <row r="8580" spans="32:32">
      <c r="AF8580" s="21"/>
    </row>
    <row r="8581" spans="32:32">
      <c r="AF8581" s="21"/>
    </row>
    <row r="8582" spans="32:32">
      <c r="AF8582" s="21"/>
    </row>
    <row r="8583" spans="32:32">
      <c r="AF8583" s="21"/>
    </row>
    <row r="8584" spans="32:32">
      <c r="AF8584" s="21"/>
    </row>
    <row r="8598" spans="32:32">
      <c r="AF8598" s="21"/>
    </row>
    <row r="8599" spans="32:32">
      <c r="AF8599" s="21"/>
    </row>
    <row r="8600" spans="32:32">
      <c r="AF8600" s="21"/>
    </row>
    <row r="8601" spans="32:32">
      <c r="AF8601" s="21"/>
    </row>
    <row r="8602" spans="32:32">
      <c r="AF8602" s="21"/>
    </row>
    <row r="8603" spans="32:32">
      <c r="AF8603" s="21"/>
    </row>
    <row r="8604" spans="32:32">
      <c r="AF8604" s="21"/>
    </row>
    <row r="8605" spans="32:32">
      <c r="AF8605" s="21"/>
    </row>
    <row r="8619" spans="32:32">
      <c r="AF8619" s="21"/>
    </row>
    <row r="8620" spans="32:32">
      <c r="AF8620" s="21"/>
    </row>
    <row r="8621" spans="32:32">
      <c r="AF8621" s="21"/>
    </row>
    <row r="8622" spans="32:32">
      <c r="AF8622" s="21"/>
    </row>
    <row r="8623" spans="32:32">
      <c r="AF8623" s="21"/>
    </row>
    <row r="8624" spans="32:32">
      <c r="AF8624" s="21"/>
    </row>
    <row r="8625" spans="32:32">
      <c r="AF8625" s="21"/>
    </row>
    <row r="8626" spans="32:32">
      <c r="AF8626" s="21"/>
    </row>
    <row r="8639" spans="32:32">
      <c r="AF8639" s="21"/>
    </row>
    <row r="8640" spans="32:32">
      <c r="AF8640" s="21"/>
    </row>
    <row r="8641" spans="32:32">
      <c r="AF8641" s="21"/>
    </row>
    <row r="8642" spans="32:32">
      <c r="AF8642" s="21"/>
    </row>
    <row r="8643" spans="32:32">
      <c r="AF8643" s="21"/>
    </row>
    <row r="8644" spans="32:32">
      <c r="AF8644" s="21"/>
    </row>
    <row r="8645" spans="32:32">
      <c r="AF8645" s="21"/>
    </row>
    <row r="8646" spans="32:32">
      <c r="AF8646" s="21"/>
    </row>
    <row r="8647" spans="32:32">
      <c r="AF8647" s="21"/>
    </row>
    <row r="8648" spans="32:32">
      <c r="AF8648" s="21"/>
    </row>
    <row r="8661" spans="32:32">
      <c r="AF8661" s="21"/>
    </row>
    <row r="8662" spans="32:32">
      <c r="AF8662" s="21"/>
    </row>
    <row r="8663" spans="32:32">
      <c r="AF8663" s="21"/>
    </row>
    <row r="8664" spans="32:32">
      <c r="AF8664" s="21"/>
    </row>
    <row r="8665" spans="32:32">
      <c r="AF8665" s="21"/>
    </row>
    <row r="8666" spans="32:32">
      <c r="AF8666" s="21"/>
    </row>
    <row r="8667" spans="32:32">
      <c r="AF8667" s="21"/>
    </row>
    <row r="8668" spans="32:32">
      <c r="AF8668" s="21"/>
    </row>
    <row r="8684" spans="32:32">
      <c r="AF8684" s="21"/>
    </row>
    <row r="8685" spans="32:32">
      <c r="AF8685" s="21"/>
    </row>
    <row r="8686" spans="32:32">
      <c r="AF8686" s="21"/>
    </row>
    <row r="8687" spans="32:32">
      <c r="AF8687" s="21"/>
    </row>
    <row r="8688" spans="32:32">
      <c r="AF8688" s="21"/>
    </row>
    <row r="8689" spans="32:32">
      <c r="AF8689" s="21"/>
    </row>
    <row r="8690" spans="32:32">
      <c r="AF8690" s="21"/>
    </row>
    <row r="8691" spans="32:32">
      <c r="AF8691" s="21"/>
    </row>
    <row r="8704" spans="32:32">
      <c r="AF8704" s="21"/>
    </row>
    <row r="8705" spans="32:32">
      <c r="AF8705" s="21"/>
    </row>
    <row r="8706" spans="32:32">
      <c r="AF8706" s="21"/>
    </row>
    <row r="8707" spans="32:32">
      <c r="AF8707" s="21"/>
    </row>
    <row r="8708" spans="32:32">
      <c r="AF8708" s="21"/>
    </row>
    <row r="8709" spans="32:32">
      <c r="AF8709" s="21"/>
    </row>
    <row r="8710" spans="32:32">
      <c r="AF8710" s="21"/>
    </row>
    <row r="8711" spans="32:32">
      <c r="AF8711" s="21"/>
    </row>
    <row r="8712" spans="32:32">
      <c r="AF8712" s="21"/>
    </row>
    <row r="8713" spans="32:32">
      <c r="AF8713" s="21"/>
    </row>
    <row r="8727" spans="32:32">
      <c r="AF8727" s="21"/>
    </row>
    <row r="8728" spans="32:32">
      <c r="AF8728" s="21"/>
    </row>
    <row r="8729" spans="32:32">
      <c r="AF8729" s="21"/>
    </row>
    <row r="8730" spans="32:32">
      <c r="AF8730" s="21"/>
    </row>
    <row r="8731" spans="32:32">
      <c r="AF8731" s="21"/>
    </row>
    <row r="8732" spans="32:32">
      <c r="AF8732" s="21"/>
    </row>
    <row r="8733" spans="32:32">
      <c r="AF8733" s="21"/>
    </row>
    <row r="8734" spans="32:32">
      <c r="AF8734" s="21"/>
    </row>
    <row r="8749" spans="32:32">
      <c r="AF8749" s="21"/>
    </row>
    <row r="8750" spans="32:32">
      <c r="AF8750" s="21"/>
    </row>
    <row r="8751" spans="32:32">
      <c r="AF8751" s="21"/>
    </row>
    <row r="8752" spans="32:32">
      <c r="AF8752" s="21"/>
    </row>
    <row r="8753" spans="32:32">
      <c r="AF8753" s="21"/>
    </row>
    <row r="8754" spans="32:32">
      <c r="AF8754" s="21"/>
    </row>
    <row r="8755" spans="32:32">
      <c r="AF8755" s="21"/>
    </row>
    <row r="8756" spans="32:32">
      <c r="AF8756" s="21"/>
    </row>
    <row r="8757" spans="32:32">
      <c r="AF8757" s="21"/>
    </row>
    <row r="8770" spans="32:32">
      <c r="AF8770" s="21"/>
    </row>
    <row r="8771" spans="32:32">
      <c r="AF8771" s="21"/>
    </row>
    <row r="8772" spans="32:32">
      <c r="AF8772" s="21"/>
    </row>
    <row r="8773" spans="32:32">
      <c r="AF8773" s="21"/>
    </row>
    <row r="8774" spans="32:32">
      <c r="AF8774" s="21"/>
    </row>
    <row r="8775" spans="32:32">
      <c r="AF8775" s="21"/>
    </row>
    <row r="8776" spans="32:32">
      <c r="AF8776" s="21"/>
    </row>
    <row r="8777" spans="32:32">
      <c r="AF8777" s="21"/>
    </row>
    <row r="8778" spans="32:32">
      <c r="AF8778" s="21"/>
    </row>
    <row r="8793" spans="32:32">
      <c r="AF8793" s="21"/>
    </row>
    <row r="8794" spans="32:32">
      <c r="AF8794" s="21"/>
    </row>
    <row r="8795" spans="32:32">
      <c r="AF8795" s="21"/>
    </row>
    <row r="8796" spans="32:32">
      <c r="AF8796" s="21"/>
    </row>
    <row r="8797" spans="32:32">
      <c r="AF8797" s="21"/>
    </row>
    <row r="8798" spans="32:32">
      <c r="AF8798" s="21"/>
    </row>
    <row r="8799" spans="32:32">
      <c r="AF8799" s="21"/>
    </row>
    <row r="8800" spans="32:32">
      <c r="AF8800" s="21"/>
    </row>
    <row r="8814" spans="32:32">
      <c r="AF8814" s="21"/>
    </row>
    <row r="8815" spans="32:32">
      <c r="AF8815" s="21"/>
    </row>
    <row r="8816" spans="32:32">
      <c r="AF8816" s="21"/>
    </row>
    <row r="8817" spans="32:32">
      <c r="AF8817" s="21"/>
    </row>
    <row r="8818" spans="32:32">
      <c r="AF8818" s="21"/>
    </row>
    <row r="8819" spans="32:32">
      <c r="AF8819" s="21"/>
    </row>
    <row r="8820" spans="32:32">
      <c r="AF8820" s="21"/>
    </row>
    <row r="8821" spans="32:32">
      <c r="AF8821" s="21"/>
    </row>
    <row r="8822" spans="32:32">
      <c r="AF8822" s="21"/>
    </row>
    <row r="8835" spans="32:32">
      <c r="AF8835" s="21"/>
    </row>
    <row r="8836" spans="32:32">
      <c r="AF8836" s="21"/>
    </row>
    <row r="8837" spans="32:32">
      <c r="AF8837" s="21"/>
    </row>
    <row r="8838" spans="32:32">
      <c r="AF8838" s="21"/>
    </row>
    <row r="8839" spans="32:32">
      <c r="AF8839" s="21"/>
    </row>
    <row r="8840" spans="32:32">
      <c r="AF8840" s="21"/>
    </row>
    <row r="8841" spans="32:32">
      <c r="AF8841" s="21"/>
    </row>
    <row r="8857" spans="32:32">
      <c r="AF8857" s="21"/>
    </row>
    <row r="8858" spans="32:32">
      <c r="AF8858" s="21"/>
    </row>
    <row r="8859" spans="32:32">
      <c r="AF8859" s="21"/>
    </row>
    <row r="8860" spans="32:32">
      <c r="AF8860" s="21"/>
    </row>
    <row r="8861" spans="32:32">
      <c r="AF8861" s="21"/>
    </row>
    <row r="8862" spans="32:32">
      <c r="AF8862" s="21"/>
    </row>
    <row r="8863" spans="32:32">
      <c r="AF8863" s="21"/>
    </row>
    <row r="8864" spans="32:32">
      <c r="AF8864" s="21"/>
    </row>
    <row r="8877" spans="32:32">
      <c r="AF8877" s="21"/>
    </row>
    <row r="8878" spans="32:32">
      <c r="AF8878" s="21"/>
    </row>
    <row r="8879" spans="32:32">
      <c r="AF8879" s="21"/>
    </row>
    <row r="8880" spans="32:32">
      <c r="AF8880" s="21"/>
    </row>
    <row r="8881" spans="32:32">
      <c r="AF8881" s="21"/>
    </row>
    <row r="8882" spans="32:32">
      <c r="AF8882" s="21"/>
    </row>
    <row r="8883" spans="32:32">
      <c r="AF8883" s="21"/>
    </row>
    <row r="8884" spans="32:32">
      <c r="AF8884" s="21"/>
    </row>
    <row r="8898" spans="32:32">
      <c r="AF8898" s="21"/>
    </row>
    <row r="8899" spans="32:32">
      <c r="AF8899" s="21"/>
    </row>
    <row r="8900" spans="32:32">
      <c r="AF8900" s="21"/>
    </row>
    <row r="8901" spans="32:32">
      <c r="AF8901" s="21"/>
    </row>
    <row r="8902" spans="32:32">
      <c r="AF8902" s="21"/>
    </row>
    <row r="8903" spans="32:32">
      <c r="AF8903" s="21"/>
    </row>
    <row r="8904" spans="32:32">
      <c r="AF8904" s="21"/>
    </row>
    <row r="8905" spans="32:32">
      <c r="AF8905" s="21"/>
    </row>
    <row r="8906" spans="32:32">
      <c r="AF8906" s="21"/>
    </row>
    <row r="8919" spans="32:32">
      <c r="AF8919" s="21"/>
    </row>
    <row r="8920" spans="32:32">
      <c r="AF8920" s="21"/>
    </row>
    <row r="8921" spans="32:32">
      <c r="AF8921" s="21"/>
    </row>
    <row r="8922" spans="32:32">
      <c r="AF8922" s="21"/>
    </row>
    <row r="8923" spans="32:32">
      <c r="AF8923" s="21"/>
    </row>
    <row r="8924" spans="32:32">
      <c r="AF8924" s="21"/>
    </row>
    <row r="8925" spans="32:32">
      <c r="AF8925" s="21"/>
    </row>
    <row r="8926" spans="32:32">
      <c r="AF8926" s="21"/>
    </row>
    <row r="8941" spans="32:32">
      <c r="AF8941" s="21"/>
    </row>
    <row r="8942" spans="32:32">
      <c r="AF8942" s="21"/>
    </row>
    <row r="8943" spans="32:32">
      <c r="AF8943" s="21"/>
    </row>
    <row r="8944" spans="32:32">
      <c r="AF8944" s="21"/>
    </row>
    <row r="8945" spans="32:32">
      <c r="AF8945" s="21"/>
    </row>
    <row r="8946" spans="32:32">
      <c r="AF8946" s="21"/>
    </row>
    <row r="8947" spans="32:32">
      <c r="AF8947" s="21"/>
    </row>
    <row r="8948" spans="32:32">
      <c r="AF8948" s="21"/>
    </row>
    <row r="8949" spans="32:32">
      <c r="AF8949" s="21"/>
    </row>
    <row r="8962" spans="32:32">
      <c r="AF8962" s="21"/>
    </row>
    <row r="8963" spans="32:32">
      <c r="AF8963" s="21"/>
    </row>
    <row r="8964" spans="32:32">
      <c r="AF8964" s="21"/>
    </row>
    <row r="8965" spans="32:32">
      <c r="AF8965" s="21"/>
    </row>
    <row r="8966" spans="32:32">
      <c r="AF8966" s="21"/>
    </row>
    <row r="8967" spans="32:32">
      <c r="AF8967" s="21"/>
    </row>
    <row r="8968" spans="32:32">
      <c r="AF8968" s="21"/>
    </row>
    <row r="8969" spans="32:32">
      <c r="AF8969" s="21"/>
    </row>
    <row r="8970" spans="32:32">
      <c r="AF8970" s="21"/>
    </row>
    <row r="8985" spans="32:32">
      <c r="AF8985" s="21"/>
    </row>
    <row r="8986" spans="32:32">
      <c r="AF8986" s="21"/>
    </row>
    <row r="8987" spans="32:32">
      <c r="AF8987" s="21"/>
    </row>
    <row r="8988" spans="32:32">
      <c r="AF8988" s="21"/>
    </row>
    <row r="8989" spans="32:32">
      <c r="AF8989" s="21"/>
    </row>
    <row r="8990" spans="32:32">
      <c r="AF8990" s="21"/>
    </row>
    <row r="8991" spans="32:32">
      <c r="AF8991" s="21"/>
    </row>
    <row r="8992" spans="32:32">
      <c r="AF8992" s="21"/>
    </row>
    <row r="9006" spans="32:32">
      <c r="AF9006" s="21"/>
    </row>
    <row r="9007" spans="32:32">
      <c r="AF9007" s="21"/>
    </row>
    <row r="9008" spans="32:32">
      <c r="AF9008" s="21"/>
    </row>
    <row r="9009" spans="32:32">
      <c r="AF9009" s="21"/>
    </row>
    <row r="9010" spans="32:32">
      <c r="AF9010" s="21"/>
    </row>
    <row r="9011" spans="32:32">
      <c r="AF9011" s="21"/>
    </row>
    <row r="9012" spans="32:32">
      <c r="AF9012" s="21"/>
    </row>
    <row r="9013" spans="32:32">
      <c r="AF9013" s="21"/>
    </row>
    <row r="9014" spans="32:32">
      <c r="AF9014" s="21"/>
    </row>
    <row r="9015" spans="32:32">
      <c r="AF9015" s="21"/>
    </row>
    <row r="9028" spans="32:32">
      <c r="AF9028" s="21"/>
    </row>
    <row r="9029" spans="32:32">
      <c r="AF9029" s="21"/>
    </row>
    <row r="9030" spans="32:32">
      <c r="AF9030" s="21"/>
    </row>
    <row r="9031" spans="32:32">
      <c r="AF9031" s="21"/>
    </row>
    <row r="9032" spans="32:32">
      <c r="AF9032" s="21"/>
    </row>
    <row r="9033" spans="32:32">
      <c r="AF9033" s="21"/>
    </row>
    <row r="9034" spans="32:32">
      <c r="AF9034" s="21"/>
    </row>
    <row r="9035" spans="32:32">
      <c r="AF9035" s="21"/>
    </row>
    <row r="9051" spans="32:32">
      <c r="AF9051" s="21"/>
    </row>
    <row r="9052" spans="32:32">
      <c r="AF9052" s="21"/>
    </row>
    <row r="9053" spans="32:32">
      <c r="AF9053" s="21"/>
    </row>
    <row r="9054" spans="32:32">
      <c r="AF9054" s="21"/>
    </row>
    <row r="9055" spans="32:32">
      <c r="AF9055" s="21"/>
    </row>
    <row r="9056" spans="32:32">
      <c r="AF9056" s="21"/>
    </row>
    <row r="9057" spans="32:32">
      <c r="AF9057" s="21"/>
    </row>
    <row r="9058" spans="32:32">
      <c r="AF9058" s="21"/>
    </row>
    <row r="9071" spans="32:32">
      <c r="AF9071" s="21"/>
    </row>
    <row r="9072" spans="32:32">
      <c r="AF9072" s="21"/>
    </row>
    <row r="9073" spans="32:32">
      <c r="AF9073" s="21"/>
    </row>
    <row r="9074" spans="32:32">
      <c r="AF9074" s="21"/>
    </row>
    <row r="9075" spans="32:32">
      <c r="AF9075" s="21"/>
    </row>
    <row r="9076" spans="32:32">
      <c r="AF9076" s="21"/>
    </row>
    <row r="9077" spans="32:32">
      <c r="AF9077" s="21"/>
    </row>
    <row r="9078" spans="32:32">
      <c r="AF9078" s="21"/>
    </row>
    <row r="9079" spans="32:32">
      <c r="AF9079" s="21"/>
    </row>
    <row r="9080" spans="32:32">
      <c r="AF9080" s="21"/>
    </row>
    <row r="9093" spans="32:32">
      <c r="AF9093" s="21"/>
    </row>
    <row r="9094" spans="32:32">
      <c r="AF9094" s="21"/>
    </row>
    <row r="9095" spans="32:32">
      <c r="AF9095" s="21"/>
    </row>
    <row r="9096" spans="32:32">
      <c r="AF9096" s="21"/>
    </row>
    <row r="9097" spans="32:32">
      <c r="AF9097" s="21"/>
    </row>
    <row r="9098" spans="32:32">
      <c r="AF9098" s="21"/>
    </row>
    <row r="9099" spans="32:32">
      <c r="AF9099" s="21"/>
    </row>
    <row r="9114" spans="32:32">
      <c r="AF9114" s="21"/>
    </row>
    <row r="9115" spans="32:32">
      <c r="AF9115" s="21"/>
    </row>
    <row r="9116" spans="32:32">
      <c r="AF9116" s="21"/>
    </row>
    <row r="9117" spans="32:32">
      <c r="AF9117" s="21"/>
    </row>
    <row r="9118" spans="32:32">
      <c r="AF9118" s="21"/>
    </row>
    <row r="9119" spans="32:32">
      <c r="AF9119" s="21"/>
    </row>
    <row r="9120" spans="32:32">
      <c r="AF9120" s="21"/>
    </row>
    <row r="9121" spans="32:32">
      <c r="AF9121" s="21"/>
    </row>
    <row r="9122" spans="32:32">
      <c r="AF9122" s="21"/>
    </row>
    <row r="9134" spans="32:32">
      <c r="AF9134" s="21"/>
    </row>
    <row r="9135" spans="32:32">
      <c r="AF9135" s="21"/>
    </row>
    <row r="9136" spans="32:32">
      <c r="AF9136" s="21"/>
    </row>
    <row r="9137" spans="32:32">
      <c r="AF9137" s="21"/>
    </row>
    <row r="9138" spans="32:32">
      <c r="AF9138" s="21"/>
    </row>
    <row r="9139" spans="32:32">
      <c r="AF9139" s="21"/>
    </row>
    <row r="9140" spans="32:32">
      <c r="AF9140" s="21"/>
    </row>
    <row r="9141" spans="32:32">
      <c r="AF9141" s="21"/>
    </row>
    <row r="9142" spans="32:32">
      <c r="AF9142" s="21"/>
    </row>
    <row r="9156" spans="32:32">
      <c r="AF9156" s="21"/>
    </row>
    <row r="9157" spans="32:32">
      <c r="AF9157" s="21"/>
    </row>
    <row r="9158" spans="32:32">
      <c r="AF9158" s="21"/>
    </row>
    <row r="9159" spans="32:32">
      <c r="AF9159" s="21"/>
    </row>
    <row r="9160" spans="32:32">
      <c r="AF9160" s="21"/>
    </row>
    <row r="9161" spans="32:32">
      <c r="AF9161" s="21"/>
    </row>
    <row r="9162" spans="32:32">
      <c r="AF9162" s="21"/>
    </row>
    <row r="9177" spans="32:32">
      <c r="AF9177" s="21"/>
    </row>
    <row r="9178" spans="32:32">
      <c r="AF9178" s="21"/>
    </row>
    <row r="9179" spans="32:32">
      <c r="AF9179" s="21"/>
    </row>
    <row r="9180" spans="32:32">
      <c r="AF9180" s="21"/>
    </row>
    <row r="9181" spans="32:32">
      <c r="AF9181" s="21"/>
    </row>
    <row r="9182" spans="32:32">
      <c r="AF9182" s="21"/>
    </row>
    <row r="9183" spans="32:32">
      <c r="AF9183" s="21"/>
    </row>
    <row r="9184" spans="32:32">
      <c r="AF9184" s="21"/>
    </row>
    <row r="9198" spans="32:32">
      <c r="AF9198" s="21"/>
    </row>
    <row r="9199" spans="32:32">
      <c r="AF9199" s="21"/>
    </row>
    <row r="9200" spans="32:32">
      <c r="AF9200" s="21"/>
    </row>
    <row r="9201" spans="32:32">
      <c r="AF9201" s="21"/>
    </row>
    <row r="9202" spans="32:32">
      <c r="AF9202" s="21"/>
    </row>
    <row r="9203" spans="32:32">
      <c r="AF9203" s="21"/>
    </row>
    <row r="9204" spans="32:32">
      <c r="AF9204" s="21"/>
    </row>
    <row r="9205" spans="32:32">
      <c r="AF9205" s="21"/>
    </row>
    <row r="9206" spans="32:32">
      <c r="AF9206" s="21"/>
    </row>
    <row r="9207" spans="32:32">
      <c r="AF9207" s="21"/>
    </row>
    <row r="9220" spans="32:32">
      <c r="AF9220" s="21"/>
    </row>
    <row r="9221" spans="32:32">
      <c r="AF9221" s="21"/>
    </row>
    <row r="9222" spans="32:32">
      <c r="AF9222" s="21"/>
    </row>
    <row r="9223" spans="32:32">
      <c r="AF9223" s="21"/>
    </row>
    <row r="9224" spans="32:32">
      <c r="AF9224" s="21"/>
    </row>
    <row r="9225" spans="32:32">
      <c r="AF9225" s="21"/>
    </row>
    <row r="9226" spans="32:32">
      <c r="AF9226" s="21"/>
    </row>
    <row r="9227" spans="32:32">
      <c r="AF9227" s="21"/>
    </row>
    <row r="9243" spans="32:32">
      <c r="AF9243" s="21"/>
    </row>
    <row r="9244" spans="32:32">
      <c r="AF9244" s="21"/>
    </row>
    <row r="9245" spans="32:32">
      <c r="AF9245" s="21"/>
    </row>
    <row r="9246" spans="32:32">
      <c r="AF9246" s="21"/>
    </row>
    <row r="9247" spans="32:32">
      <c r="AF9247" s="21"/>
    </row>
    <row r="9248" spans="32:32">
      <c r="AF9248" s="21"/>
    </row>
    <row r="9249" spans="32:32">
      <c r="AF9249" s="21"/>
    </row>
    <row r="9250" spans="32:32">
      <c r="AF9250" s="2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76"/>
  <sheetViews>
    <sheetView topLeftCell="B1" zoomScale="85" zoomScaleNormal="85" workbookViewId="0">
      <selection activeCell="E6" sqref="E6"/>
    </sheetView>
  </sheetViews>
  <sheetFormatPr defaultColWidth="9.109375" defaultRowHeight="14.4"/>
  <cols>
    <col min="1" max="1" width="16.44140625" style="1" hidden="1" customWidth="1"/>
    <col min="2" max="2" width="19.6640625" style="1" customWidth="1"/>
    <col min="3" max="3" width="18.6640625" style="1" customWidth="1"/>
    <col min="4" max="4" width="11.109375" style="1" customWidth="1"/>
    <col min="5" max="5" width="23.33203125" style="1" customWidth="1"/>
    <col min="6" max="11" width="9.109375" style="1" customWidth="1"/>
    <col min="12" max="15" width="23" style="1" hidden="1" customWidth="1"/>
    <col min="16" max="16" width="13" style="1" hidden="1" customWidth="1"/>
    <col min="17" max="17" width="19.5546875" style="1" hidden="1" customWidth="1"/>
    <col min="18" max="18" width="19.88671875" style="1" hidden="1" customWidth="1"/>
    <col min="19" max="19" width="18.6640625" style="1" hidden="1" customWidth="1"/>
    <col min="20" max="20" width="16.6640625" style="1" hidden="1" customWidth="1"/>
    <col min="21" max="23" width="9.109375" style="1" customWidth="1"/>
    <col min="24" max="16384" width="9.109375" style="1"/>
  </cols>
  <sheetData>
    <row r="1" spans="2:20">
      <c r="L1" s="2" t="s">
        <v>214</v>
      </c>
      <c r="M1" s="3" t="s">
        <v>215</v>
      </c>
      <c r="N1" s="3" t="s">
        <v>216</v>
      </c>
      <c r="O1" s="4" t="s">
        <v>217</v>
      </c>
      <c r="Q1" s="5" t="s">
        <v>218</v>
      </c>
      <c r="R1" s="5" t="s">
        <v>219</v>
      </c>
      <c r="S1" s="4" t="s">
        <v>220</v>
      </c>
      <c r="T1" s="5" t="s">
        <v>221</v>
      </c>
    </row>
    <row r="2" spans="2:20">
      <c r="B2" s="27" t="s">
        <v>222</v>
      </c>
      <c r="C2" s="28"/>
      <c r="D2" s="28"/>
      <c r="E2" s="29"/>
      <c r="J2" s="1" t="s">
        <v>223</v>
      </c>
      <c r="L2" s="6">
        <f>Trades!P2</f>
        <v>24214</v>
      </c>
      <c r="M2" s="7">
        <f>Trades!T2</f>
        <v>2.4154983597460759E-2</v>
      </c>
      <c r="N2" s="7">
        <f>Trades!U2</f>
        <v>2.0822538799591561E-2</v>
      </c>
      <c r="O2" s="7">
        <f>Trades!W2</f>
        <v>1.7487745017332121E-2</v>
      </c>
      <c r="Q2" s="1">
        <v>0</v>
      </c>
      <c r="R2" s="1">
        <v>3</v>
      </c>
      <c r="S2" s="1">
        <f>AVERAGEIFS(Trades!W:W,Trades!N:N,"&gt;="&amp;Q2,Trades!N:N,"&lt;="&amp;R2)</f>
        <v>6.5848140539837965E-2</v>
      </c>
      <c r="T2" s="1">
        <f>COUNTIFS(Trades!N:N,"&gt;="&amp;Q2,Trades!N:N,"&lt;="&amp;R2)</f>
        <v>17</v>
      </c>
    </row>
    <row r="3" spans="2:20">
      <c r="L3" s="6">
        <f>Trades!P3</f>
        <v>24606</v>
      </c>
      <c r="M3" s="7">
        <f>M2+Trades!T3</f>
        <v>6.7822223641431922E-2</v>
      </c>
      <c r="N3" s="7">
        <f>N2+Trades!U3</f>
        <v>6.1157159291379673E-2</v>
      </c>
      <c r="O3" s="7">
        <f>O2+Trades!W3</f>
        <v>5.4487571726860792E-2</v>
      </c>
      <c r="Q3" s="1">
        <v>4</v>
      </c>
      <c r="R3" s="1">
        <v>7</v>
      </c>
      <c r="S3" s="1">
        <f>AVERAGEIFS(Trades!W:W,Trades!N:N,"&gt;="&amp;Q3,Trades!N:N,"&lt;="&amp;R3)</f>
        <v>3.2396840469536295E-2</v>
      </c>
      <c r="T3" s="1">
        <f>COUNTIFS(Trades!N:N,"&gt;="&amp;Q3,Trades!N:N,"&lt;="&amp;R3)</f>
        <v>36</v>
      </c>
    </row>
    <row r="4" spans="2:20">
      <c r="B4" s="1" t="s">
        <v>224</v>
      </c>
      <c r="C4" s="1" t="s">
        <v>225</v>
      </c>
      <c r="D4" s="1" t="s">
        <v>226</v>
      </c>
      <c r="E4" s="1" t="s">
        <v>227</v>
      </c>
      <c r="L4" s="6">
        <f>Trades!P4</f>
        <v>24848</v>
      </c>
      <c r="M4" s="7">
        <f>M3+Trades!T4</f>
        <v>7.2054022294906012E-2</v>
      </c>
      <c r="N4" s="7">
        <f>N3+Trades!U4</f>
        <v>6.2055967232023557E-2</v>
      </c>
      <c r="O4" s="7">
        <f>O3+Trades!W4</f>
        <v>5.2051585885245236E-2</v>
      </c>
      <c r="Q4" s="1">
        <v>8</v>
      </c>
      <c r="R4" s="1">
        <v>11</v>
      </c>
      <c r="S4" s="1">
        <f>AVERAGEIFS(Trades!W:W,Trades!N:N,"&gt;="&amp;Q4,Trades!N:N,"&lt;="&amp;R4)</f>
        <v>2.4198473827108456E-2</v>
      </c>
      <c r="T4" s="1">
        <f>COUNTIFS(Trades!N:N,"&gt;="&amp;Q4,Trades!N:N,"&lt;="&amp;R4)</f>
        <v>23</v>
      </c>
    </row>
    <row r="5" spans="2:20">
      <c r="B5" s="1" t="s">
        <v>228</v>
      </c>
      <c r="C5" s="8">
        <f>SUM(Trades!T2:T9652)</f>
        <v>3.4931890468685598</v>
      </c>
      <c r="D5" s="8">
        <f>SUM(Trades!U2:U9652)</f>
        <v>2.8531147547744116</v>
      </c>
      <c r="E5" s="8">
        <f>SUM(Trades!W2:W9652)</f>
        <v>2.2131071125147459</v>
      </c>
      <c r="L5" s="6">
        <f>Trades!P5</f>
        <v>24996</v>
      </c>
      <c r="M5" s="7">
        <f>M4+Trades!T5</f>
        <v>0.10989765832320822</v>
      </c>
      <c r="N5" s="7">
        <f>N4+Trades!U5</f>
        <v>9.6564378684048657E-2</v>
      </c>
      <c r="O5" s="7">
        <f>O4+Trades!W5</f>
        <v>8.322507052707015E-2</v>
      </c>
      <c r="Q5" s="1">
        <v>12</v>
      </c>
      <c r="R5" s="1">
        <v>15</v>
      </c>
      <c r="S5" s="1">
        <f>AVERAGEIFS(Trades!W:W,Trades!N:N,"&gt;="&amp;Q5,Trades!N:N,"&lt;="&amp;R5)</f>
        <v>1.9780891200440499E-2</v>
      </c>
      <c r="T5" s="1">
        <f>COUNTIFS(Trades!N:N,"&gt;="&amp;Q5,Trades!N:N,"&lt;="&amp;R5)</f>
        <v>23</v>
      </c>
    </row>
    <row r="6" spans="2:20">
      <c r="B6" s="1" t="s">
        <v>229</v>
      </c>
      <c r="C6" s="8">
        <f>AVERAGE(Trades!T:T)</f>
        <v>2.030923864458465E-2</v>
      </c>
      <c r="D6" s="8">
        <f>AVERAGE(Trades!U:U)</f>
        <v>1.6587876481246579E-2</v>
      </c>
      <c r="E6" s="8">
        <f>AVERAGE(Trades!W:W)</f>
        <v>1.2866901816946196E-2</v>
      </c>
      <c r="F6" s="9"/>
      <c r="L6" s="6">
        <f>Trades!P6</f>
        <v>25392</v>
      </c>
      <c r="M6" s="7">
        <f>M5+Trades!T6</f>
        <v>0.14071718810098172</v>
      </c>
      <c r="N6" s="7">
        <f>N5+Trades!U6</f>
        <v>0.12404061424334759</v>
      </c>
      <c r="O6" s="7">
        <f>O5+Trades!W6</f>
        <v>0.10736637927616889</v>
      </c>
      <c r="Q6" s="1">
        <v>16</v>
      </c>
      <c r="R6" s="1">
        <v>19</v>
      </c>
      <c r="S6" s="1">
        <f>AVERAGEIFS(Trades!W:W,Trades!N:N,"&gt;="&amp;Q6,Trades!N:N,"&lt;="&amp;R6)</f>
        <v>-3.8241362997671695E-3</v>
      </c>
      <c r="T6" s="1">
        <f>COUNTIFS(Trades!N:N,"&gt;="&amp;Q6,Trades!N:N,"&lt;="&amp;R6)</f>
        <v>17</v>
      </c>
    </row>
    <row r="7" spans="2:20">
      <c r="B7" s="1" t="s">
        <v>230</v>
      </c>
      <c r="C7" s="8">
        <f>MEDIAN(Trades!T:T)</f>
        <v>1.666820129972851E-2</v>
      </c>
      <c r="D7" s="8">
        <f>MEDIAN(Trades!U:U)</f>
        <v>1.301584762536912E-2</v>
      </c>
      <c r="E7" s="8">
        <f>MEDIAN(Trades!W:W)</f>
        <v>9.2512431989897892E-3</v>
      </c>
      <c r="L7" s="6">
        <f>Trades!P7</f>
        <v>25731</v>
      </c>
      <c r="M7" s="7">
        <f>M6+Trades!T7</f>
        <v>0.12499990810589964</v>
      </c>
      <c r="N7" s="7">
        <f>N6+Trades!U7</f>
        <v>0.10498528230938253</v>
      </c>
      <c r="O7" s="7">
        <f>O6+Trades!W7</f>
        <v>8.4976253559944398E-2</v>
      </c>
      <c r="Q7" s="1">
        <v>20</v>
      </c>
      <c r="R7" s="1">
        <v>23</v>
      </c>
      <c r="S7" s="1">
        <f>AVERAGEIFS(Trades!W:W,Trades!N:N,"&gt;="&amp;Q7,Trades!N:N,"&lt;="&amp;R7)</f>
        <v>-8.0220136551117493E-3</v>
      </c>
      <c r="T7" s="1">
        <f>COUNTIFS(Trades!N:N,"&gt;="&amp;Q7,Trades!N:N,"&lt;="&amp;R7)</f>
        <v>26</v>
      </c>
    </row>
    <row r="8" spans="2:20">
      <c r="B8" s="1" t="s">
        <v>231</v>
      </c>
      <c r="C8" s="8">
        <f>MIN(Trades!T:T)</f>
        <v>-8.7068106719013411E-2</v>
      </c>
      <c r="D8" s="8">
        <f>MIN(Trades!U:U)</f>
        <v>-9.119182242689472E-2</v>
      </c>
      <c r="E8" s="8">
        <f>MIN(Trades!W:W)</f>
        <v>-9.5289890925097653E-2</v>
      </c>
      <c r="L8" s="6">
        <f>Trades!P8</f>
        <v>25758</v>
      </c>
      <c r="M8" s="7">
        <f>M7+Trades!T8</f>
        <v>0.13581127214435745</v>
      </c>
      <c r="N8" s="7">
        <f>N7+Trades!U8</f>
        <v>0.11246473431369826</v>
      </c>
      <c r="O8" s="7">
        <f>O7+Trades!W8</f>
        <v>8.9120911782000684E-2</v>
      </c>
      <c r="Q8" s="1">
        <v>24</v>
      </c>
      <c r="R8" s="1">
        <v>27</v>
      </c>
      <c r="S8" s="1">
        <f>AVERAGEIFS(Trades!W:W,Trades!N:N,"&gt;="&amp;Q8,Trades!N:N,"&lt;="&amp;R8)</f>
        <v>-2.2393822732818106E-2</v>
      </c>
      <c r="T8" s="1">
        <f>COUNTIFS(Trades!N:N,"&gt;="&amp;Q8,Trades!N:N,"&lt;="&amp;R8)</f>
        <v>15</v>
      </c>
    </row>
    <row r="9" spans="2:20">
      <c r="B9" s="1" t="s">
        <v>232</v>
      </c>
      <c r="C9" s="8">
        <f>MAX(Trades!T:T)</f>
        <v>0.30702651127921998</v>
      </c>
      <c r="D9" s="8">
        <f>MAX(Trades!U:U)</f>
        <v>0.3031196580838233</v>
      </c>
      <c r="E9" s="8">
        <f>MAX(Trades!W:W)</f>
        <v>0.29918210848171167</v>
      </c>
      <c r="L9" s="6">
        <f>Trades!P9</f>
        <v>26942</v>
      </c>
      <c r="M9" s="7">
        <f>M8+Trades!T9</f>
        <v>0.16614086503040157</v>
      </c>
      <c r="N9" s="7">
        <f>N8+Trades!U9</f>
        <v>0.13944670556770186</v>
      </c>
      <c r="O9" s="7">
        <f>O8+Trades!W9</f>
        <v>0.1127679562258041</v>
      </c>
      <c r="Q9" s="1">
        <v>28</v>
      </c>
      <c r="R9" s="1">
        <v>34</v>
      </c>
      <c r="S9" s="1">
        <f>AVERAGEIFS(Trades!W:W,Trades!N:N,"&gt;="&amp;Q9,Trades!N:N,"&lt;="&amp;R9)</f>
        <v>-1.6174125643953159E-2</v>
      </c>
      <c r="T9" s="1">
        <f>COUNTIFS(Trades!N:N,"&gt;="&amp;Q9,Trades!N:N,"&lt;="&amp;R9)</f>
        <v>8</v>
      </c>
    </row>
    <row r="10" spans="2:20">
      <c r="B10" s="1" t="s">
        <v>42</v>
      </c>
      <c r="C10" s="10">
        <f>COUNTIF(Trades!T:T,"&gt;0")/(COUNTIF(Trades!T:T,"&gt;0")+COUNTIF(Trades!T:T,"&lt;0"))</f>
        <v>0.7441860465116279</v>
      </c>
      <c r="D10" s="10">
        <f>COUNTIF(Trades!U:U,"&gt;0")/(COUNTIF(Trades!U:U,"&gt;0")+COUNTIF(Trades!U:U,"&lt;0"))</f>
        <v>0.69767441860465118</v>
      </c>
      <c r="E10" s="10">
        <f>COUNTIF(Trades!W:W,"&gt;0")/(COUNTIF(Trades!W:W,"&gt;0")+COUNTIF(Trades!W:W,"&lt;0"))</f>
        <v>0.65697674418604646</v>
      </c>
      <c r="L10" s="6">
        <f>Trades!P10</f>
        <v>27332</v>
      </c>
      <c r="M10" s="7">
        <f>M9+Trades!T10</f>
        <v>0.19014346306098065</v>
      </c>
      <c r="N10" s="7">
        <f>N9+Trades!U10</f>
        <v>0.16012330455078794</v>
      </c>
      <c r="O10" s="7">
        <f>O9+Trades!W10</f>
        <v>0.13010976142663072</v>
      </c>
      <c r="Q10" s="1">
        <v>35</v>
      </c>
      <c r="R10" s="1">
        <v>40</v>
      </c>
      <c r="S10" s="1">
        <f>AVERAGEIFS(Trades!W:W,Trades!N:N,"&gt;="&amp;Q10,Trades!N:N,"&lt;="&amp;R10)</f>
        <v>-4.5173001067921034E-2</v>
      </c>
      <c r="T10" s="1">
        <f>COUNTIFS(Trades!N:N,"&gt;="&amp;Q10,Trades!N:N,"&lt;="&amp;R10)</f>
        <v>4</v>
      </c>
    </row>
    <row r="11" spans="2:20">
      <c r="B11" s="11" t="s">
        <v>233</v>
      </c>
      <c r="C11" s="12">
        <f>SUMIF(Trades!T:T,"&gt;0",Trades!T:T)/ABS(SUMIF(Trades!T:T,"&lt;0",Trades!T:T))</f>
        <v>4.0983255393693909</v>
      </c>
      <c r="D11" s="12">
        <f>SUMIF(Trades!U:U,"&gt;0",Trades!U:U)/ABS(SUMIF(Trades!U:U,"&lt;0",Trades!U:U))</f>
        <v>3.184493771812952</v>
      </c>
      <c r="E11" s="12">
        <f>SUMIF(Trades!W:W,"&gt;0",Trades!W:W)/ABS(SUMIF(Trades!W:W,"&lt;0",Trades!W:W))</f>
        <v>2.4623543021493388</v>
      </c>
      <c r="L11" s="6"/>
      <c r="M11" s="7"/>
      <c r="N11" s="7"/>
      <c r="O11" s="7"/>
    </row>
    <row r="12" spans="2:20">
      <c r="L12" s="6">
        <f>Trades!P11</f>
        <v>27725</v>
      </c>
      <c r="M12" s="7">
        <f>M10+Trades!T11</f>
        <v>0.20793840132603078</v>
      </c>
      <c r="N12" s="7">
        <f>N10+Trades!U11</f>
        <v>0.17456115923416643</v>
      </c>
      <c r="O12" s="7">
        <f>O10+Trades!W11</f>
        <v>0.14121268929980901</v>
      </c>
      <c r="Q12" s="1">
        <v>41</v>
      </c>
      <c r="R12" s="1">
        <v>47</v>
      </c>
      <c r="S12" s="1">
        <f>AVERAGEIFS(Trades!W:W,Trades!N:N,"&gt;="&amp;Q12,Trades!N:N,"&lt;="&amp;R12)</f>
        <v>-3.2076202372143321E-2</v>
      </c>
      <c r="T12" s="1">
        <f>COUNTIFS(Trades!N:N,"&gt;="&amp;Q12,Trades!N:N,"&lt;="&amp;R12)</f>
        <v>1</v>
      </c>
    </row>
    <row r="13" spans="2:20">
      <c r="B13" s="1" t="s">
        <v>224</v>
      </c>
      <c r="C13" s="1" t="s">
        <v>234</v>
      </c>
      <c r="L13" s="6">
        <f>Trades!P12</f>
        <v>27924</v>
      </c>
      <c r="M13" s="7">
        <f>M12+Trades!T12</f>
        <v>0.22286537698817735</v>
      </c>
      <c r="N13" s="7">
        <f>N12+Trades!U12</f>
        <v>0.18618113767912919</v>
      </c>
      <c r="O13" s="7">
        <f>O12+Trades!W12</f>
        <v>0.1495249306621978</v>
      </c>
    </row>
    <row r="14" spans="2:20">
      <c r="B14" s="1" t="s">
        <v>235</v>
      </c>
      <c r="C14" s="1">
        <f>COUNTA(Trades!A:A)-1</f>
        <v>172</v>
      </c>
      <c r="L14" s="6">
        <f>Trades!P13</f>
        <v>28504</v>
      </c>
      <c r="M14" s="7">
        <f>M13+Trades!T13</f>
        <v>0.25930309113961558</v>
      </c>
      <c r="N14" s="7">
        <f>N13+Trades!U13</f>
        <v>0.21931620094598239</v>
      </c>
      <c r="O14" s="7">
        <f>O13+Trades!W13</f>
        <v>0.17935225684647702</v>
      </c>
    </row>
    <row r="15" spans="2:20">
      <c r="B15" s="1" t="s">
        <v>236</v>
      </c>
      <c r="C15" s="1">
        <f>AVERAGE(Trades!N:N)</f>
        <v>14.773255813953488</v>
      </c>
      <c r="F15" s="13"/>
      <c r="L15" s="6">
        <f>Trades!P14</f>
        <v>28639</v>
      </c>
      <c r="M15" s="7">
        <f>M14+Trades!T14</f>
        <v>0.29182340827646713</v>
      </c>
      <c r="N15" s="7">
        <f>N14+Trades!U14</f>
        <v>0.24852756748714372</v>
      </c>
      <c r="O15" s="7">
        <f>O14+Trades!W14</f>
        <v>0.20525574786632475</v>
      </c>
    </row>
    <row r="16" spans="2:20">
      <c r="B16" s="1" t="s">
        <v>237</v>
      </c>
      <c r="C16" s="1">
        <f>MEDIAN(Trades!N:N)</f>
        <v>13</v>
      </c>
      <c r="L16" s="6">
        <f>Trades!P15</f>
        <v>28735</v>
      </c>
      <c r="M16" s="7">
        <f>M15+Trades!T15</f>
        <v>0.28796932873987646</v>
      </c>
      <c r="N16" s="7">
        <f>N15+Trades!U15</f>
        <v>0.24136687099213974</v>
      </c>
      <c r="O16" s="7">
        <f>O15+Trades!W15</f>
        <v>0.19478717585000718</v>
      </c>
    </row>
    <row r="17" spans="2:15">
      <c r="B17" s="1" t="s">
        <v>238</v>
      </c>
      <c r="C17" s="1">
        <f>MAX(Trades!N:N)</f>
        <v>66</v>
      </c>
      <c r="L17" s="6">
        <f>Trades!P16</f>
        <v>29599</v>
      </c>
      <c r="M17" s="7">
        <f>M16+Trades!T16</f>
        <v>0.31468688599178507</v>
      </c>
      <c r="N17" s="7">
        <f>N16+Trades!U16</f>
        <v>0.26477929369782965</v>
      </c>
      <c r="O17" s="7">
        <f>O16+Trades!W16</f>
        <v>0.21489186147312311</v>
      </c>
    </row>
    <row r="18" spans="2:15">
      <c r="L18" s="6">
        <f>Trades!P17</f>
        <v>29691</v>
      </c>
      <c r="M18" s="7">
        <f>M17+Trades!T17</f>
        <v>0.288728832969328</v>
      </c>
      <c r="N18" s="7">
        <f>N17+Trades!U17</f>
        <v>0.23550579149779258</v>
      </c>
      <c r="O18" s="7">
        <f>O17+Trades!W17</f>
        <v>0.18231062219051206</v>
      </c>
    </row>
    <row r="19" spans="2:15">
      <c r="B19" s="1" t="s">
        <v>224</v>
      </c>
      <c r="C19" s="1" t="s">
        <v>239</v>
      </c>
      <c r="D19" s="1" t="s">
        <v>240</v>
      </c>
      <c r="L19" s="6">
        <f>Trades!P18</f>
        <v>30065</v>
      </c>
      <c r="M19" s="7">
        <f>M18+Trades!T18</f>
        <v>0.32089860931862713</v>
      </c>
      <c r="N19" s="7">
        <f>N18+Trades!U18</f>
        <v>0.26436159863742603</v>
      </c>
      <c r="O19" s="7">
        <f>O18+Trades!W18</f>
        <v>0.20785855380883189</v>
      </c>
    </row>
    <row r="20" spans="2:15">
      <c r="B20" s="1" t="s">
        <v>241</v>
      </c>
      <c r="C20" s="1">
        <f>AVERAGEIF(Trades!I:I,"&gt;0",Trades!I:I)</f>
        <v>4.1598565042975588</v>
      </c>
      <c r="D20" s="1">
        <f>AVERAGEIF(Trades!I:I,"&lt;0",Trades!I:I)</f>
        <v>-4.1734012259366384</v>
      </c>
      <c r="L20" s="6">
        <f>Trades!P19</f>
        <v>31227</v>
      </c>
      <c r="M20" s="7">
        <f>M19+Trades!T19</f>
        <v>0.34256177823113931</v>
      </c>
      <c r="N20" s="7">
        <f>N19+Trades!U19</f>
        <v>0.28271006624999023</v>
      </c>
      <c r="O20" s="7">
        <f>O19+Trades!W19</f>
        <v>0.22289914590008247</v>
      </c>
    </row>
    <row r="21" spans="2:15">
      <c r="B21" s="1" t="s">
        <v>242</v>
      </c>
      <c r="C21" s="1">
        <f t="array" ref="C21">MEDIAN(_xlfn._xlws.FILTER(Trades!I:I,Trades!I:I&gt;0))</f>
        <v>3.9703403840108162</v>
      </c>
      <c r="D21" s="1">
        <f t="array" ref="D21">MEDIAN(_xlfn._xlws.FILTER(Trades!I:I,Trades!I:I&lt;0))</f>
        <v>-3.9798413268370085</v>
      </c>
      <c r="L21" s="6">
        <f>Trades!P20</f>
        <v>31824</v>
      </c>
      <c r="M21" s="7">
        <f>M20+Trades!T20</f>
        <v>0.33955469714827768</v>
      </c>
      <c r="N21" s="7">
        <f>N20+Trades!U20</f>
        <v>0.27622552031451753</v>
      </c>
      <c r="O21" s="7">
        <f>O20+Trades!W20</f>
        <v>0.21293738353652009</v>
      </c>
    </row>
    <row r="22" spans="2:15">
      <c r="B22" s="1" t="s">
        <v>243</v>
      </c>
      <c r="C22" s="1">
        <f>_xlfn.MAXIFS(Trades!I:I,Trades!I:I,"&gt;0")</f>
        <v>5.2946421827665366</v>
      </c>
      <c r="D22" s="1">
        <f>_xlfn.MINIFS(Trades!I:I,Trades!I:I,"&lt;0")</f>
        <v>-5.2946500306393149</v>
      </c>
      <c r="L22" s="6">
        <f>Trades!P21</f>
        <v>32055</v>
      </c>
      <c r="M22" s="7">
        <f>M21+Trades!T21</f>
        <v>0.26376453565742819</v>
      </c>
      <c r="N22" s="7">
        <f>N21+Trades!U21</f>
        <v>0.19694353052848873</v>
      </c>
      <c r="O22" s="7">
        <f>O21+Trades!W21</f>
        <v>0.1301782818895727</v>
      </c>
    </row>
    <row r="23" spans="2:15">
      <c r="B23" s="1" t="s">
        <v>244</v>
      </c>
      <c r="C23" s="1">
        <f>AVERAGEIF(Trades!S:S,"&gt;0",Trades!S:S)</f>
        <v>0.27675900202931564</v>
      </c>
      <c r="D23" s="1">
        <f>AVERAGEIF(Trades!S:S,"&lt;0",Trades!S:S)</f>
        <v>-0.30373698039203717</v>
      </c>
      <c r="L23" s="6">
        <f>Trades!P22</f>
        <v>32218</v>
      </c>
      <c r="M23" s="7">
        <f>M22+Trades!T22</f>
        <v>0.28591620658502076</v>
      </c>
      <c r="N23" s="7">
        <f>N22+Trades!U22</f>
        <v>0.2156196919929157</v>
      </c>
      <c r="O23" s="7">
        <f>O22+Trades!W22</f>
        <v>0.14537722692590996</v>
      </c>
    </row>
    <row r="24" spans="2:15">
      <c r="B24" s="1" t="s">
        <v>245</v>
      </c>
      <c r="C24" s="1">
        <f t="array" ref="C24">MEDIAN(_xlfn._xlws.FILTER(Trades!S:S,Trades!S:S&gt;0))</f>
        <v>0.28602684927109634</v>
      </c>
      <c r="D24" s="1">
        <f t="array" ref="D24">MEDIAN(_xlfn._xlws.FILTER(Trades!S:S,Trades!S:S&lt;0))</f>
        <v>-0.31610594925401103</v>
      </c>
      <c r="L24" s="6">
        <f>Trades!P23</f>
        <v>32631</v>
      </c>
      <c r="M24" s="7">
        <f>M23+Trades!T23</f>
        <v>0.29704249800862925</v>
      </c>
      <c r="N24" s="7">
        <f>N23+Trades!U23</f>
        <v>0.22327425114998878</v>
      </c>
      <c r="O24" s="7">
        <f>O23+Trades!W23</f>
        <v>0.14955456965489333</v>
      </c>
    </row>
    <row r="25" spans="2:15">
      <c r="B25" s="1" t="s">
        <v>246</v>
      </c>
      <c r="C25" s="1">
        <f>_xlfn.MAXIFS(Trades!S:S,Trades!S:S,"&gt;0")</f>
        <v>0.49471769269850158</v>
      </c>
      <c r="D25" s="1">
        <f>_xlfn.MINIFS(Trades!S:S,Trades!S:S,"&lt;0")</f>
        <v>-0.49975108101308469</v>
      </c>
      <c r="L25" s="6">
        <f>Trades!P24</f>
        <v>33015</v>
      </c>
      <c r="M25" s="7">
        <f>M24+Trades!T24</f>
        <v>0.2993266652606642</v>
      </c>
      <c r="N25" s="7">
        <f>N24+Trades!U24</f>
        <v>0.22207258306405872</v>
      </c>
      <c r="O25" s="7">
        <f>O24+Trades!W24</f>
        <v>0.14487578970804466</v>
      </c>
    </row>
    <row r="26" spans="2:15">
      <c r="G26" s="14">
        <v>1</v>
      </c>
      <c r="H26" s="14" t="s">
        <v>247</v>
      </c>
      <c r="L26" s="6">
        <f>Trades!P25</f>
        <v>34564</v>
      </c>
      <c r="M26" s="7">
        <f>M25+Trades!T25</f>
        <v>0.33131965176522327</v>
      </c>
      <c r="N26" s="7">
        <f>N25+Trades!U25</f>
        <v>0.25059168700686185</v>
      </c>
      <c r="O26" s="7">
        <f>O25+Trades!W25</f>
        <v>0.1699177817899292</v>
      </c>
    </row>
    <row r="27" spans="2:15">
      <c r="B27" s="1" t="s">
        <v>224</v>
      </c>
      <c r="C27" s="1" t="s">
        <v>248</v>
      </c>
      <c r="D27" s="1" t="s">
        <v>249</v>
      </c>
      <c r="E27" s="1" t="s">
        <v>250</v>
      </c>
      <c r="F27" s="1" t="s">
        <v>251</v>
      </c>
      <c r="L27" s="6">
        <f>Trades!P26</f>
        <v>35310</v>
      </c>
      <c r="M27" s="7">
        <f>M26+Trades!T26</f>
        <v>0.39184873145185456</v>
      </c>
      <c r="N27" s="7">
        <f>N26+Trades!U26</f>
        <v>0.3076364865800213</v>
      </c>
      <c r="O27" s="7">
        <f>O26+Trades!W26</f>
        <v>0.22348536493499893</v>
      </c>
    </row>
    <row r="28" spans="2:15">
      <c r="B28" s="1" t="s">
        <v>252</v>
      </c>
      <c r="C28" s="1">
        <f>SUMIF(Trades!M:M,"LONG",Trades!T:T)</f>
        <v>1.5203961908842272</v>
      </c>
      <c r="D28" s="1">
        <f>SUMIF(Trades!M:M,"SHORT",Trades!T:T)</f>
        <v>1.9727928559843328</v>
      </c>
      <c r="E28" s="1">
        <f>SUMIF(Trades!O:O,"Signal",Trades!T:T)</f>
        <v>3.4931890468685598</v>
      </c>
      <c r="F28" s="1">
        <f>SUMIF(Trades!O:O,"Forced",Trades!T:T)</f>
        <v>0</v>
      </c>
      <c r="L28" s="6">
        <f>Trades!P27</f>
        <v>35725</v>
      </c>
      <c r="M28" s="7">
        <f>M27+Trades!T27</f>
        <v>0.34908833122248001</v>
      </c>
      <c r="N28" s="7">
        <f>N27+Trades!U27</f>
        <v>0.26140099580512732</v>
      </c>
      <c r="O28" s="7">
        <f>O27+Trades!W27</f>
        <v>0.17377276229918637</v>
      </c>
    </row>
    <row r="29" spans="2:15">
      <c r="B29" s="1" t="s">
        <v>253</v>
      </c>
      <c r="C29" s="1">
        <f>COUNTIF(Trades!M:M,"LONG")</f>
        <v>76</v>
      </c>
      <c r="D29" s="1">
        <f>COUNTIF(Trades!M:M,"SHORT")</f>
        <v>96</v>
      </c>
      <c r="E29" s="1">
        <f>COUNTIF(Trades!O:O,"Signal")</f>
        <v>172</v>
      </c>
      <c r="F29" s="1">
        <f>COUNTIF(Trades!O:O,"Forced")</f>
        <v>0</v>
      </c>
      <c r="L29" s="6">
        <f>Trades!P28</f>
        <v>36516</v>
      </c>
      <c r="M29" s="7">
        <f>M28+Trades!T28</f>
        <v>0.42457391475079753</v>
      </c>
      <c r="N29" s="7">
        <f>N28+Trades!U28</f>
        <v>0.33352922508657867</v>
      </c>
      <c r="O29" s="7">
        <f>O28+Trades!W28</f>
        <v>0.24255003277957204</v>
      </c>
    </row>
    <row r="30" spans="2:15">
      <c r="L30" s="6">
        <f>Trades!P29</f>
        <v>37315</v>
      </c>
      <c r="M30" s="7">
        <f>M29+Trades!T29</f>
        <v>0.47391020216208202</v>
      </c>
      <c r="N30" s="7">
        <f>N29+Trades!U29</f>
        <v>0.37950105237352449</v>
      </c>
      <c r="O30" s="7">
        <f>O29+Trades!W29</f>
        <v>0.28517090126545219</v>
      </c>
    </row>
    <row r="31" spans="2:15">
      <c r="B31" s="1" t="s">
        <v>254</v>
      </c>
      <c r="C31" s="1" t="s">
        <v>255</v>
      </c>
      <c r="D31" s="1" t="s">
        <v>42</v>
      </c>
      <c r="L31" s="6">
        <f>Trades!P30</f>
        <v>37701</v>
      </c>
      <c r="M31" s="7">
        <f>M30+Trades!T30</f>
        <v>0.46854692165055545</v>
      </c>
      <c r="N31" s="7">
        <f>N30+Trades!U30</f>
        <v>0.37078081726825907</v>
      </c>
      <c r="O31" s="7">
        <f>O30+Trades!W30</f>
        <v>0.27309983718034297</v>
      </c>
    </row>
    <row r="32" spans="2:15">
      <c r="B32" s="1">
        <v>0</v>
      </c>
      <c r="C32" s="1">
        <v>3</v>
      </c>
      <c r="D32" s="1">
        <f>COUNTIFS(Trades!N:N,"&gt;="&amp;B32,Trades!N:N,"&lt;="&amp;C32,Trades!T:T,"&gt;0")/(COUNTIFS(Trades!N:N,"&gt;="&amp;B32,Trades!N:N,"&lt;="&amp;C32,Trades!T:T,"&gt;0")+COUNTIFS(Trades!N:N,"&gt;="&amp;B32,Trades!N:N,"&lt;="&amp;C32,Trades!T:T,"&lt;0"))</f>
        <v>1</v>
      </c>
      <c r="L32" s="6">
        <f>Trades!P31</f>
        <v>38206</v>
      </c>
      <c r="M32" s="7">
        <f>M31+Trades!T31</f>
        <v>0.46803659315086066</v>
      </c>
      <c r="N32" s="7">
        <f>N31+Trades!U31</f>
        <v>0.3669180350285543</v>
      </c>
      <c r="O32" s="7">
        <f>O31+Trades!W31</f>
        <v>0.26588622596079442</v>
      </c>
    </row>
    <row r="33" spans="2:26">
      <c r="B33" s="1">
        <v>4</v>
      </c>
      <c r="C33" s="1">
        <v>7</v>
      </c>
      <c r="D33" s="1">
        <f>COUNTIFS(Trades!N:N,"&gt;="&amp;B33,Trades!N:N,"&lt;="&amp;C33,Trades!T:T,"&gt;0")/(COUNTIFS(Trades!N:N,"&gt;="&amp;B33,Trades!N:N,"&lt;="&amp;C33,Trades!T:T,"&gt;0")+COUNTIFS(Trades!N:N,"&gt;="&amp;B33,Trades!N:N,"&lt;="&amp;C33,Trades!T:T,"&lt;0"))</f>
        <v>1</v>
      </c>
      <c r="L33" s="6">
        <f>Trades!P32</f>
        <v>38333</v>
      </c>
      <c r="M33" s="7">
        <f>M32+Trades!T32</f>
        <v>0.46572662357152372</v>
      </c>
      <c r="N33" s="7">
        <f>N32+Trades!U32</f>
        <v>0.36125783373793974</v>
      </c>
      <c r="O33" s="7">
        <f>O32+Trades!W32</f>
        <v>0.25687506586911413</v>
      </c>
    </row>
    <row r="34" spans="2:26">
      <c r="B34" s="1">
        <v>8</v>
      </c>
      <c r="C34" s="1">
        <v>11</v>
      </c>
      <c r="D34" s="1">
        <f>COUNTIFS(Trades!N:N,"&gt;="&amp;B34,Trades!N:N,"&lt;="&amp;C34,Trades!T:T,"&gt;0")/(COUNTIFS(Trades!N:N,"&gt;="&amp;B34,Trades!N:N,"&lt;="&amp;C34,Trades!T:T,"&gt;0")+COUNTIFS(Trades!N:N,"&gt;="&amp;B34,Trades!N:N,"&lt;="&amp;C34,Trades!T:T,"&lt;0"))</f>
        <v>1</v>
      </c>
      <c r="L34" s="6">
        <f>Trades!P33</f>
        <v>38674</v>
      </c>
      <c r="M34" s="7">
        <f>M33+Trades!T33</f>
        <v>0.47411326992374053</v>
      </c>
      <c r="N34" s="7">
        <f>N33+Trades!U33</f>
        <v>0.36629174389918945</v>
      </c>
      <c r="O34" s="7">
        <f>O33+Trades!W33</f>
        <v>0.25855801722929816</v>
      </c>
    </row>
    <row r="35" spans="2:26">
      <c r="B35" s="1">
        <v>12</v>
      </c>
      <c r="C35" s="1">
        <v>15</v>
      </c>
      <c r="D35" s="1">
        <f>COUNTIFS(Trades!N:N,"&gt;="&amp;B35,Trades!N:N,"&lt;="&amp;C35,Trades!T:T,"&gt;0")/(COUNTIFS(Trades!N:N,"&gt;="&amp;B35,Trades!N:N,"&lt;="&amp;C35,Trades!T:T,"&gt;0")+COUNTIFS(Trades!N:N,"&gt;="&amp;B35,Trades!N:N,"&lt;="&amp;C35,Trades!T:T,"&lt;0"))</f>
        <v>0.91304347826086951</v>
      </c>
      <c r="L35" s="6">
        <f>Trades!P34</f>
        <v>39068</v>
      </c>
      <c r="M35" s="7">
        <f>M34+Trades!T34</f>
        <v>0.4900650934007974</v>
      </c>
      <c r="N35" s="7">
        <f>N34+Trades!U34</f>
        <v>0.37889391417724677</v>
      </c>
      <c r="O35" s="7">
        <f>O34+Trades!W34</f>
        <v>0.2678093585275117</v>
      </c>
    </row>
    <row r="36" spans="2:26">
      <c r="B36" s="1">
        <v>16</v>
      </c>
      <c r="C36" s="1">
        <v>1000000</v>
      </c>
      <c r="D36" s="1">
        <f>COUNTIFS(Trades!N:N,"&gt;="&amp;B36,Trades!N:N,"&lt;="&amp;C36,Trades!T:T,"&gt;0")/(COUNTIFS(Trades!N:N,"&gt;="&amp;B36,Trades!N:N,"&lt;="&amp;C36,Trades!T:T,"&gt;0")+COUNTIFS(Trades!N:N,"&gt;="&amp;B36,Trades!N:N,"&lt;="&amp;C36,Trades!T:T,"&lt;0"))</f>
        <v>0.42465753424657532</v>
      </c>
      <c r="L36" s="6">
        <f>Trades!P35</f>
        <v>39472</v>
      </c>
      <c r="M36" s="7">
        <f>M35+Trades!T35</f>
        <v>0.48895605413801208</v>
      </c>
      <c r="N36" s="7">
        <f>N35+Trades!U35</f>
        <v>0.37444046607337456</v>
      </c>
      <c r="O36" s="7">
        <f>O35+Trades!W35</f>
        <v>0.26000495162257375</v>
      </c>
    </row>
    <row r="37" spans="2:26">
      <c r="L37" s="6">
        <f>Trades!P36</f>
        <v>39624</v>
      </c>
      <c r="M37" s="7">
        <f>M36+Trades!T36</f>
        <v>0.48939196095122894</v>
      </c>
      <c r="N37" s="7">
        <f>N36+Trades!U36</f>
        <v>0.37157092214298815</v>
      </c>
      <c r="O37" s="7">
        <f>O36+Trades!W36</f>
        <v>0.25382880781519013</v>
      </c>
    </row>
    <row r="38" spans="2:26">
      <c r="L38" s="6">
        <f>Trades!P37</f>
        <v>39854</v>
      </c>
      <c r="M38" s="7">
        <f>M37+Trades!T37</f>
        <v>0.50577913691952214</v>
      </c>
      <c r="N38" s="7">
        <f>N37+Trades!U37</f>
        <v>0.38465968226993824</v>
      </c>
      <c r="O38" s="7">
        <f>O37+Trades!W37</f>
        <v>0.263610968065143</v>
      </c>
    </row>
    <row r="39" spans="2:26">
      <c r="B39" s="15" t="s">
        <v>256</v>
      </c>
      <c r="C39" s="27"/>
      <c r="D39" s="28"/>
      <c r="E39" s="29"/>
      <c r="L39" s="6">
        <f>Trades!P38</f>
        <v>41036</v>
      </c>
      <c r="M39" s="7">
        <f>M38+Trades!T38</f>
        <v>0.43575967533788262</v>
      </c>
      <c r="N39" s="7">
        <f>N38+Trades!U38</f>
        <v>0.31130821511592305</v>
      </c>
      <c r="O39" s="7">
        <f>O38+Trades!W38</f>
        <v>0.18695290103413059</v>
      </c>
    </row>
    <row r="40" spans="2:26">
      <c r="B40" s="30" t="s">
        <v>257</v>
      </c>
      <c r="C40" s="31"/>
      <c r="D40" s="31"/>
      <c r="E40" s="32"/>
      <c r="L40" s="6">
        <f>Trades!P39</f>
        <v>41209</v>
      </c>
      <c r="M40" s="7">
        <f>M39+Trades!T39</f>
        <v>0.45162358057737323</v>
      </c>
      <c r="N40" s="7">
        <f>N39+Trades!U39</f>
        <v>0.32386596009268631</v>
      </c>
      <c r="O40" s="7">
        <f>O39+Trades!W39</f>
        <v>0.19620404613389664</v>
      </c>
    </row>
    <row r="41" spans="2:26">
      <c r="B41" s="33"/>
      <c r="C41" s="34"/>
      <c r="D41" s="34"/>
      <c r="E41" s="35"/>
      <c r="L41" s="6">
        <f>Trades!P40</f>
        <v>41414</v>
      </c>
      <c r="M41" s="7">
        <f>M40+Trades!T40</f>
        <v>0.49614059560335494</v>
      </c>
      <c r="N41" s="7">
        <f>N40+Trades!U40</f>
        <v>0.3650816461287546</v>
      </c>
      <c r="O41" s="7">
        <f>O40+Trades!W40</f>
        <v>0.23411313229296773</v>
      </c>
    </row>
    <row r="42" spans="2:26">
      <c r="B42" s="33"/>
      <c r="C42" s="34"/>
      <c r="D42" s="34"/>
      <c r="E42" s="35"/>
      <c r="L42" s="6">
        <f>Trades!P41</f>
        <v>41825</v>
      </c>
      <c r="M42" s="7">
        <f>M41+Trades!T41</f>
        <v>0.47364815794149112</v>
      </c>
      <c r="N42" s="7">
        <f>N41+Trades!U41</f>
        <v>0.3392986434940331</v>
      </c>
      <c r="O42" s="7">
        <f>O41+Trades!W41</f>
        <v>0.20502339111509102</v>
      </c>
    </row>
    <row r="43" spans="2:26">
      <c r="B43" s="33"/>
      <c r="C43" s="34"/>
      <c r="D43" s="34"/>
      <c r="E43" s="35"/>
      <c r="L43" s="6">
        <f>Trades!P42</f>
        <v>42181</v>
      </c>
      <c r="M43" s="7">
        <f>M42+Trades!T42</f>
        <v>0.50644907968852437</v>
      </c>
      <c r="N43" s="7">
        <f>N42+Trades!U42</f>
        <v>0.36878933913144069</v>
      </c>
      <c r="O43" s="7">
        <f>O42+Trades!W42</f>
        <v>0.23120734820934341</v>
      </c>
    </row>
    <row r="44" spans="2:26">
      <c r="B44" s="36"/>
      <c r="C44" s="37"/>
      <c r="D44" s="37"/>
      <c r="E44" s="38"/>
      <c r="L44" s="6">
        <f>Trades!P43</f>
        <v>42965</v>
      </c>
      <c r="M44" s="7">
        <f>M43+Trades!T43</f>
        <v>0.58492767324925321</v>
      </c>
      <c r="N44" s="7">
        <f>N43+Trades!U43</f>
        <v>0.44397670765181285</v>
      </c>
      <c r="O44" s="7">
        <f>O43+Trades!W43</f>
        <v>0.30308797818656036</v>
      </c>
    </row>
    <row r="45" spans="2:26">
      <c r="L45" s="6">
        <f>Trades!P44</f>
        <v>43338</v>
      </c>
      <c r="M45" s="7">
        <f>M44+Trades!T44</f>
        <v>0.59627367749300331</v>
      </c>
      <c r="N45" s="7">
        <f>N44+Trades!U44</f>
        <v>0.45201690192229427</v>
      </c>
      <c r="O45" s="7">
        <f>O44+Trades!W44</f>
        <v>0.30782157258004456</v>
      </c>
    </row>
    <row r="46" spans="2:26">
      <c r="G46" s="14">
        <v>2</v>
      </c>
      <c r="H46" s="14" t="s">
        <v>258</v>
      </c>
      <c r="L46" s="6">
        <f>Trades!P45</f>
        <v>43524</v>
      </c>
      <c r="M46" s="7">
        <f>M45+Trades!T45</f>
        <v>0.6102500351450626</v>
      </c>
      <c r="N46" s="7">
        <f>N45+Trades!U45</f>
        <v>0.46278079037186232</v>
      </c>
      <c r="O46" s="7">
        <f>O45+Trades!W45</f>
        <v>0.31537154435390197</v>
      </c>
      <c r="Y46" s="14">
        <v>3</v>
      </c>
      <c r="Z46" s="14" t="s">
        <v>259</v>
      </c>
    </row>
    <row r="47" spans="2:26">
      <c r="L47" s="6">
        <f>Trades!P46</f>
        <v>43755</v>
      </c>
      <c r="M47" s="7">
        <f>M46+Trades!T46</f>
        <v>0.60441415166650969</v>
      </c>
      <c r="N47" s="7">
        <f>N46+Trades!U46</f>
        <v>0.45377303926369245</v>
      </c>
      <c r="O47" s="7">
        <f>O46+Trades!W46</f>
        <v>0.30314971936907664</v>
      </c>
    </row>
    <row r="48" spans="2:26">
      <c r="L48" s="6">
        <f>Trades!P47</f>
        <v>44024</v>
      </c>
      <c r="M48" s="7">
        <f>M47+Trades!T47</f>
        <v>0.58563592173338075</v>
      </c>
      <c r="N48" s="7">
        <f>N47+Trades!U47</f>
        <v>0.43177770721479813</v>
      </c>
      <c r="O48" s="7">
        <f>O47+Trades!W47</f>
        <v>0.27794047064447164</v>
      </c>
    </row>
    <row r="49" spans="3:15">
      <c r="L49" s="6">
        <f>Trades!P48</f>
        <v>44544</v>
      </c>
      <c r="M49" s="7">
        <f>M48+Trades!T48</f>
        <v>0.62362232467173406</v>
      </c>
      <c r="N49" s="7">
        <f>N48+Trades!U48</f>
        <v>0.46656030225066059</v>
      </c>
      <c r="O49" s="7">
        <f>O48+Trades!W48</f>
        <v>0.30950914900462345</v>
      </c>
    </row>
    <row r="50" spans="3:15">
      <c r="C50" s="18"/>
      <c r="D50" s="19"/>
      <c r="E50" s="19"/>
      <c r="F50" s="19"/>
      <c r="G50" s="19"/>
      <c r="H50" s="19"/>
      <c r="I50" s="19"/>
      <c r="L50" s="6">
        <f>Trades!P49</f>
        <v>44948</v>
      </c>
      <c r="M50" s="7">
        <f>M49+Trades!T49</f>
        <v>0.64556355961899115</v>
      </c>
      <c r="N50" s="7">
        <f>N49+Trades!U49</f>
        <v>0.48527559906939588</v>
      </c>
      <c r="O50" s="7">
        <f>O49+Trades!W49</f>
        <v>0.32501037194670335</v>
      </c>
    </row>
    <row r="51" spans="3:15">
      <c r="C51" s="17"/>
      <c r="D51" s="16"/>
      <c r="E51" s="16"/>
      <c r="F51" s="16"/>
      <c r="G51" s="16"/>
      <c r="H51" s="16"/>
      <c r="I51" s="16"/>
      <c r="L51" s="6">
        <f>Trades!P50</f>
        <v>45534</v>
      </c>
      <c r="M51" s="7">
        <f>M50+Trades!T50</f>
        <v>0.65055513203605697</v>
      </c>
      <c r="N51" s="7">
        <f>N50+Trades!U50</f>
        <v>0.48705458399430401</v>
      </c>
      <c r="O51" s="7">
        <f>O50+Trades!W50</f>
        <v>0.32357544019590084</v>
      </c>
    </row>
    <row r="52" spans="3:15">
      <c r="C52" s="17"/>
      <c r="D52" s="16"/>
      <c r="E52" s="16"/>
      <c r="F52" s="16"/>
      <c r="G52" s="16"/>
      <c r="H52" s="16"/>
      <c r="I52" s="16"/>
      <c r="L52" s="6">
        <f>Trades!P51</f>
        <v>45725</v>
      </c>
      <c r="M52" s="7">
        <f>M51+Trades!T51</f>
        <v>0.68541144612542371</v>
      </c>
      <c r="N52" s="7">
        <f>N51+Trades!U51</f>
        <v>0.51868676697657334</v>
      </c>
      <c r="O52" s="7">
        <f>O51+Trades!W51</f>
        <v>0.35199370650245942</v>
      </c>
    </row>
    <row r="53" spans="3:15">
      <c r="C53" s="17"/>
      <c r="D53" s="16"/>
      <c r="E53" s="16"/>
      <c r="F53" s="16"/>
      <c r="G53" s="16"/>
      <c r="H53" s="16"/>
      <c r="I53" s="16"/>
      <c r="L53" s="6">
        <f>Trades!P52</f>
        <v>45815</v>
      </c>
      <c r="M53" s="7">
        <f>M52+Trades!T52</f>
        <v>0.69719542153964909</v>
      </c>
      <c r="N53" s="7">
        <f>N52+Trades!U52</f>
        <v>0.52725613668375393</v>
      </c>
      <c r="O53" s="7">
        <f>O52+Trades!W52</f>
        <v>0.35734915953392937</v>
      </c>
    </row>
    <row r="54" spans="3:15">
      <c r="L54" s="6">
        <f>Trades!P53</f>
        <v>46118</v>
      </c>
      <c r="M54" s="7">
        <f>M53+Trades!T53</f>
        <v>0.67830864546040093</v>
      </c>
      <c r="N54" s="7">
        <f>N53+Trades!U53</f>
        <v>0.50515578968078612</v>
      </c>
      <c r="O54" s="7">
        <f>O53+Trades!W53</f>
        <v>0.33203473865430616</v>
      </c>
    </row>
    <row r="55" spans="3:15">
      <c r="L55" s="6">
        <f>Trades!P54</f>
        <v>46496</v>
      </c>
      <c r="M55" s="7">
        <f>M54+Trades!T54</f>
        <v>0.69611105658109851</v>
      </c>
      <c r="N55" s="7">
        <f>N54+Trades!U54</f>
        <v>0.51973914596320103</v>
      </c>
      <c r="O55" s="7">
        <f>O54+Trades!W54</f>
        <v>0.34340417826101038</v>
      </c>
    </row>
    <row r="56" spans="3:15">
      <c r="L56" s="6">
        <f>Trades!P55</f>
        <v>47299</v>
      </c>
      <c r="M56" s="7">
        <f>M55+Trades!T55</f>
        <v>0.68064227380000586</v>
      </c>
      <c r="N56" s="7">
        <f>N55+Trades!U55</f>
        <v>0.50105462853486638</v>
      </c>
      <c r="O56" s="7">
        <f>O55+Trades!W55</f>
        <v>0.32150558695602027</v>
      </c>
    </row>
    <row r="57" spans="3:15">
      <c r="L57" s="6">
        <f>Trades!P56</f>
        <v>47424</v>
      </c>
      <c r="M57" s="7">
        <f>M56+Trades!T56</f>
        <v>0.68538795404334629</v>
      </c>
      <c r="N57" s="7">
        <f>N56+Trades!U56</f>
        <v>0.50170170913662282</v>
      </c>
      <c r="O57" s="7">
        <f>O56+Trades!W56</f>
        <v>0.31805459905957378</v>
      </c>
    </row>
    <row r="58" spans="3:15">
      <c r="L58" s="6">
        <f>Trades!P57</f>
        <v>47667</v>
      </c>
      <c r="M58" s="7">
        <f>M57+Trades!T57</f>
        <v>0.66934401822858203</v>
      </c>
      <c r="N58" s="7">
        <f>N57+Trades!U57</f>
        <v>0.4815312538908007</v>
      </c>
      <c r="O58" s="7">
        <f>O57+Trades!W57</f>
        <v>0.29378609492728719</v>
      </c>
    </row>
    <row r="59" spans="3:15">
      <c r="L59" s="6">
        <f>Trades!P58</f>
        <v>47973</v>
      </c>
      <c r="M59" s="7">
        <f>M58+Trades!T58</f>
        <v>0.69622047179630164</v>
      </c>
      <c r="N59" s="7">
        <f>N58+Trades!U58</f>
        <v>0.50430636587058564</v>
      </c>
      <c r="O59" s="7">
        <f>O58+Trades!W58</f>
        <v>0.31246315802060759</v>
      </c>
    </row>
    <row r="60" spans="3:15">
      <c r="L60" s="6">
        <f>Trades!P59</f>
        <v>48243</v>
      </c>
      <c r="M60" s="7">
        <f>M59+Trades!T59</f>
        <v>0.7025059252787178</v>
      </c>
      <c r="N60" s="7">
        <f>N59+Trades!U59</f>
        <v>0.50649590365916775</v>
      </c>
      <c r="O60" s="7">
        <f>O59+Trades!W59</f>
        <v>0.31055464692272527</v>
      </c>
    </row>
    <row r="61" spans="3:15">
      <c r="L61" s="6">
        <f>Trades!P60</f>
        <v>48835</v>
      </c>
      <c r="M61" s="7">
        <f>M60+Trades!T60</f>
        <v>0.74527590466049731</v>
      </c>
      <c r="N61" s="7">
        <f>N60+Trades!U60</f>
        <v>0.54517517711520536</v>
      </c>
      <c r="O61" s="7">
        <f>O60+Trades!W60</f>
        <v>0.34513585188055995</v>
      </c>
    </row>
    <row r="62" spans="3:15">
      <c r="L62" s="6">
        <f>Trades!P61</f>
        <v>49254</v>
      </c>
      <c r="M62" s="7">
        <f>M61+Trades!T61</f>
        <v>0.68884292868792441</v>
      </c>
      <c r="N62" s="7">
        <f>N61+Trades!U61</f>
        <v>0.48464311677557637</v>
      </c>
      <c r="O62" s="7">
        <f>O61+Trades!W61</f>
        <v>0.28050574265446648</v>
      </c>
    </row>
    <row r="63" spans="3:15">
      <c r="L63" s="6">
        <f>Trades!P62</f>
        <v>49618</v>
      </c>
      <c r="M63" s="7">
        <f>M62+Trades!T62</f>
        <v>0.72784484495961632</v>
      </c>
      <c r="N63" s="7">
        <f>N62+Trades!U62</f>
        <v>0.51955552384516035</v>
      </c>
      <c r="O63" s="7">
        <f>O62+Trades!W62</f>
        <v>0.31132010083758599</v>
      </c>
    </row>
    <row r="64" spans="3:15">
      <c r="L64" s="6">
        <f>Trades!P63</f>
        <v>50031</v>
      </c>
      <c r="M64" s="7">
        <f>M63+Trades!T63</f>
        <v>0.64077673824060288</v>
      </c>
      <c r="N64" s="7">
        <f>N63+Trades!U63</f>
        <v>0.42836370141826563</v>
      </c>
      <c r="O64" s="7">
        <f>O63+Trades!W63</f>
        <v>0.21603020991248834</v>
      </c>
    </row>
    <row r="65" spans="12:15">
      <c r="L65" s="6">
        <f>Trades!P64</f>
        <v>50395</v>
      </c>
      <c r="M65" s="7">
        <f>M64+Trades!T64</f>
        <v>0.67711557822440216</v>
      </c>
      <c r="N65" s="7">
        <f>N64+Trades!U64</f>
        <v>0.46060808543040332</v>
      </c>
      <c r="O65" s="7">
        <f>O64+Trades!W64</f>
        <v>0.24417654503816152</v>
      </c>
    </row>
    <row r="66" spans="12:15">
      <c r="L66" s="6">
        <f>Trades!P65</f>
        <v>50810</v>
      </c>
      <c r="M66" s="7">
        <f>M65+Trades!T65</f>
        <v>0.66043255152775615</v>
      </c>
      <c r="N66" s="7">
        <f>N65+Trades!U65</f>
        <v>0.43983143289638982</v>
      </c>
      <c r="O66" s="7">
        <f>O65+Trades!W65</f>
        <v>0.21930182400594508</v>
      </c>
    </row>
    <row r="67" spans="12:15">
      <c r="L67" s="6">
        <f>Trades!P66</f>
        <v>51195</v>
      </c>
      <c r="M67" s="7">
        <f>M66+Trades!T66</f>
        <v>0.62379767691626409</v>
      </c>
      <c r="N67" s="7">
        <f>N66+Trades!U66</f>
        <v>0.39911733941606853</v>
      </c>
      <c r="O67" s="7">
        <f>O66+Trades!W66</f>
        <v>0.17448966202742083</v>
      </c>
    </row>
    <row r="68" spans="12:15">
      <c r="L68" s="6">
        <f>Trades!P67</f>
        <v>51324</v>
      </c>
      <c r="M68" s="7">
        <f>M67+Trades!T67</f>
        <v>0.63271985767113936</v>
      </c>
      <c r="N68" s="7">
        <f>N67+Trades!U67</f>
        <v>0.40402510999868846</v>
      </c>
      <c r="O68" s="7">
        <f>O67+Trades!W67</f>
        <v>0.17537713661481222</v>
      </c>
    </row>
    <row r="69" spans="12:15">
      <c r="L69" s="6">
        <f>Trades!P68</f>
        <v>51579</v>
      </c>
      <c r="M69" s="7">
        <f>M68+Trades!T68</f>
        <v>0.65030551865641617</v>
      </c>
      <c r="N69" s="7">
        <f>N68+Trades!U68</f>
        <v>0.4175884607449829</v>
      </c>
      <c r="O69" s="7">
        <f>O68+Trades!W68</f>
        <v>0.18492019136587817</v>
      </c>
    </row>
    <row r="70" spans="12:15">
      <c r="L70" s="6">
        <f>Trades!P69</f>
        <v>52356</v>
      </c>
      <c r="M70" s="7">
        <f>M69+Trades!T69</f>
        <v>0.70981931061131942</v>
      </c>
      <c r="N70" s="7">
        <f>N69+Trades!U69</f>
        <v>0.47307467921269403</v>
      </c>
      <c r="O70" s="7">
        <f>O69+Trades!W69</f>
        <v>0.23638611789715391</v>
      </c>
    </row>
    <row r="71" spans="12:15">
      <c r="L71" s="6">
        <f>Trades!P70</f>
        <v>53145</v>
      </c>
      <c r="M71" s="7">
        <f>M70+Trades!T70</f>
        <v>0.7449227910265146</v>
      </c>
      <c r="N71" s="7">
        <f>N70+Trades!U70</f>
        <v>0.50415053503059692</v>
      </c>
      <c r="O71" s="7">
        <f>O70+Trades!W70</f>
        <v>0.26344167771982829</v>
      </c>
    </row>
    <row r="72" spans="12:15">
      <c r="L72" s="6">
        <f>Trades!P71</f>
        <v>53383</v>
      </c>
      <c r="M72" s="7">
        <f>M71+Trades!T71</f>
        <v>0.75793816219029042</v>
      </c>
      <c r="N72" s="7">
        <f>N71+Trades!U71</f>
        <v>0.51313754286133217</v>
      </c>
      <c r="O72" s="7">
        <f>O71+Trades!W71</f>
        <v>0.26840839361412816</v>
      </c>
    </row>
    <row r="73" spans="12:15">
      <c r="L73" s="6">
        <f>Trades!P72</f>
        <v>53535</v>
      </c>
      <c r="M73" s="7">
        <f>M72+Trades!T72</f>
        <v>0.74157913944179898</v>
      </c>
      <c r="N73" s="7">
        <f>N72+Trades!U72</f>
        <v>0.49277045953969589</v>
      </c>
      <c r="O73" s="7">
        <f>O72+Trades!W72</f>
        <v>0.24402101429726333</v>
      </c>
    </row>
    <row r="74" spans="12:15">
      <c r="L74" s="6">
        <f>Trades!P73</f>
        <v>53791</v>
      </c>
      <c r="M74" s="7">
        <f>M73+Trades!T73</f>
        <v>0.77925503439484178</v>
      </c>
      <c r="N74" s="7">
        <f>N73+Trades!U73</f>
        <v>0.52641774433022159</v>
      </c>
      <c r="O74" s="7">
        <f>O73+Trades!W73</f>
        <v>0.27364800309256049</v>
      </c>
    </row>
    <row r="75" spans="12:15">
      <c r="L75" s="6">
        <f>Trades!P74</f>
        <v>53929</v>
      </c>
      <c r="M75" s="7">
        <f>M74+Trades!T74</f>
        <v>0.75883940393088833</v>
      </c>
      <c r="N75" s="7">
        <f>N74+Trades!U74</f>
        <v>0.50200288853040576</v>
      </c>
      <c r="O75" s="7">
        <f>O74+Trades!W74</f>
        <v>0.24521285535630929</v>
      </c>
    </row>
    <row r="76" spans="12:15">
      <c r="L76" s="6">
        <f>Trades!P75</f>
        <v>54324</v>
      </c>
      <c r="M76" s="7">
        <f>M75+Trades!T75</f>
        <v>0.69641343628684271</v>
      </c>
      <c r="N76" s="7">
        <f>N75+Trades!U75</f>
        <v>0.43557048675128551</v>
      </c>
      <c r="O76" s="7">
        <f>O75+Trades!W75</f>
        <v>0.17476015758196051</v>
      </c>
    </row>
    <row r="77" spans="12:15">
      <c r="L77" s="6">
        <f>Trades!P76</f>
        <v>55224</v>
      </c>
      <c r="M77" s="7">
        <f>M76+Trades!T76</f>
        <v>0.69363473514811991</v>
      </c>
      <c r="N77" s="7">
        <f>N76+Trades!U76</f>
        <v>0.42886175637904977</v>
      </c>
      <c r="O77" s="7">
        <f>O76+Trades!W76</f>
        <v>0.16411387760761317</v>
      </c>
    </row>
    <row r="78" spans="12:15">
      <c r="L78" s="6">
        <f>Trades!P77</f>
        <v>55503</v>
      </c>
      <c r="M78" s="7">
        <f>M77+Trades!T77</f>
        <v>0.65726356638479411</v>
      </c>
      <c r="N78" s="7">
        <f>N77+Trades!U77</f>
        <v>0.38859163842394284</v>
      </c>
      <c r="O78" s="7">
        <f>O77+Trades!W77</f>
        <v>0.11990621005039465</v>
      </c>
    </row>
    <row r="79" spans="12:15">
      <c r="L79" s="6">
        <f>Trades!P78</f>
        <v>56250</v>
      </c>
      <c r="M79" s="7">
        <f>M78+Trades!T78</f>
        <v>0.85424474571280395</v>
      </c>
      <c r="N79" s="7">
        <f>N78+Trades!U78</f>
        <v>0.5816597303701293</v>
      </c>
      <c r="O79" s="7">
        <f>O78+Trades!W78</f>
        <v>0.30903675239446954</v>
      </c>
    </row>
    <row r="80" spans="12:15">
      <c r="L80" s="6">
        <f>Trades!P79</f>
        <v>56647</v>
      </c>
      <c r="M80" s="7">
        <f>M79+Trades!T79</f>
        <v>0.88117066314011105</v>
      </c>
      <c r="N80" s="7">
        <f>N79+Trades!U79</f>
        <v>0.60465311520325593</v>
      </c>
      <c r="O80" s="7">
        <f>O79+Trades!W79</f>
        <v>0.32809258762548454</v>
      </c>
    </row>
    <row r="81" spans="12:15">
      <c r="L81" s="6">
        <f>Trades!P80</f>
        <v>57049</v>
      </c>
      <c r="M81" s="7">
        <f>M80+Trades!T80</f>
        <v>0.8844876964552032</v>
      </c>
      <c r="N81" s="7">
        <f>N80+Trades!U80</f>
        <v>0.60402925073369129</v>
      </c>
      <c r="O81" s="7">
        <f>O80+Trades!W80</f>
        <v>0.32353117355380828</v>
      </c>
    </row>
    <row r="82" spans="12:15">
      <c r="L82" s="6">
        <f>Trades!P81</f>
        <v>57428</v>
      </c>
      <c r="M82" s="7">
        <f>M81+Trades!T81</f>
        <v>1.1915142077344232</v>
      </c>
      <c r="N82" s="7">
        <f>N81+Trades!U81</f>
        <v>0.90714890881751464</v>
      </c>
      <c r="O82" s="7">
        <f>O81+Trades!W81</f>
        <v>0.6227132820355199</v>
      </c>
    </row>
    <row r="83" spans="12:15">
      <c r="L83" s="6">
        <f>Trades!P82</f>
        <v>57831</v>
      </c>
      <c r="M83" s="7">
        <f>M82+Trades!T82</f>
        <v>1.2228306200335259</v>
      </c>
      <c r="N83" s="7">
        <f>N82+Trades!U82</f>
        <v>0.9345355740507465</v>
      </c>
      <c r="O83" s="7">
        <f>O82+Trades!W82</f>
        <v>0.64616239766664019</v>
      </c>
    </row>
    <row r="84" spans="12:15">
      <c r="L84" s="6">
        <f>Trades!P83</f>
        <v>58222</v>
      </c>
      <c r="M84" s="7">
        <f>M83+Trades!T83</f>
        <v>1.2533061411844022</v>
      </c>
      <c r="N84" s="7">
        <f>N83+Trades!U83</f>
        <v>0.96107972208145631</v>
      </c>
      <c r="O84" s="7">
        <f>O83+Trades!W83</f>
        <v>0.66876898360640769</v>
      </c>
    </row>
    <row r="85" spans="12:15">
      <c r="L85" s="6">
        <f>Trades!P84</f>
        <v>58490</v>
      </c>
      <c r="M85" s="7">
        <f>M84+Trades!T84</f>
        <v>1.2740112700742898</v>
      </c>
      <c r="N85" s="7">
        <f>N84+Trades!U84</f>
        <v>0.97784857746711906</v>
      </c>
      <c r="O85" s="7">
        <f>O84+Trades!W84</f>
        <v>0.68160027690112812</v>
      </c>
    </row>
    <row r="86" spans="12:15">
      <c r="L86" s="6">
        <f>Trades!P85</f>
        <v>58607</v>
      </c>
      <c r="M86" s="7">
        <f>M85+Trades!T85</f>
        <v>1.3112115507667328</v>
      </c>
      <c r="N86" s="7">
        <f>N85+Trades!U85</f>
        <v>1.0111104176929897</v>
      </c>
      <c r="O86" s="7">
        <f>O85+Trades!W85</f>
        <v>0.7109245675248872</v>
      </c>
    </row>
    <row r="87" spans="12:15">
      <c r="L87" s="6">
        <f>Trades!P86</f>
        <v>59003</v>
      </c>
      <c r="M87" s="7">
        <f>M86+Trades!T86</f>
        <v>1.3282044334211622</v>
      </c>
      <c r="N87" s="7">
        <f>N86+Trades!U86</f>
        <v>1.0241743760104349</v>
      </c>
      <c r="O87" s="7">
        <f>O86+Trades!W86</f>
        <v>0.72005097624022074</v>
      </c>
    </row>
    <row r="88" spans="12:15">
      <c r="L88" s="6">
        <f>Trades!P87</f>
        <v>59124</v>
      </c>
      <c r="M88" s="7">
        <f>M87+Trades!T87</f>
        <v>1.3149725889474082</v>
      </c>
      <c r="N88" s="7">
        <f>N87+Trades!U87</f>
        <v>1.0073040053340248</v>
      </c>
      <c r="O88" s="7">
        <f>O87+Trades!W87</f>
        <v>0.69955174857402525</v>
      </c>
    </row>
    <row r="89" spans="12:15">
      <c r="L89" s="6">
        <f>Trades!P88</f>
        <v>60167</v>
      </c>
      <c r="M89" s="7">
        <f>M88+Trades!T88</f>
        <v>1.3307388343913744</v>
      </c>
      <c r="N89" s="7">
        <f>N88+Trades!U88</f>
        <v>1.0194302850163883</v>
      </c>
      <c r="O89" s="7">
        <f>O88+Trades!W88</f>
        <v>0.70804917126660349</v>
      </c>
    </row>
    <row r="90" spans="12:15">
      <c r="L90" s="6">
        <f>Trades!P89</f>
        <v>60519</v>
      </c>
      <c r="M90" s="7">
        <f>M89+Trades!T89</f>
        <v>1.3387935726252216</v>
      </c>
      <c r="N90" s="7">
        <f>N89+Trades!U89</f>
        <v>1.0238570392043158</v>
      </c>
      <c r="O90" s="7">
        <f>O89+Trades!W89</f>
        <v>0.7088469942435659</v>
      </c>
    </row>
    <row r="91" spans="12:15">
      <c r="L91" s="6">
        <f>Trades!P90</f>
        <v>60566</v>
      </c>
      <c r="M91" s="7">
        <f>M90+Trades!T90</f>
        <v>1.3654611084952593</v>
      </c>
      <c r="N91" s="7">
        <f>N90+Trades!U90</f>
        <v>1.0468887163467766</v>
      </c>
      <c r="O91" s="7">
        <f>O90+Trades!W90</f>
        <v>0.72824974017506161</v>
      </c>
    </row>
    <row r="92" spans="12:15">
      <c r="L92" s="6">
        <f>Trades!P91</f>
        <v>61358</v>
      </c>
      <c r="M92" s="7">
        <f>M91+Trades!T91</f>
        <v>1.3766196673200828</v>
      </c>
      <c r="N92" s="7">
        <f>N91+Trades!U91</f>
        <v>1.0544203645910093</v>
      </c>
      <c r="O92" s="7">
        <f>O91+Trades!W91</f>
        <v>0.73215245720832911</v>
      </c>
    </row>
    <row r="93" spans="12:15">
      <c r="L93" s="6">
        <f>Trades!P92</f>
        <v>61737</v>
      </c>
      <c r="M93" s="7">
        <f>M92+Trades!T92</f>
        <v>1.4174736348302068</v>
      </c>
      <c r="N93" s="7">
        <f>N92+Trades!U92</f>
        <v>1.0916045453614931</v>
      </c>
      <c r="O93" s="7">
        <f>O92+Trades!W92</f>
        <v>0.76570770676784772</v>
      </c>
    </row>
    <row r="94" spans="12:15">
      <c r="L94" s="6">
        <f>Trades!P93</f>
        <v>62130</v>
      </c>
      <c r="M94" s="7">
        <f>M93+Trades!T93</f>
        <v>1.4278749246601281</v>
      </c>
      <c r="N94" s="7">
        <f>N93+Trades!U93</f>
        <v>1.0983659246307131</v>
      </c>
      <c r="O94" s="7">
        <f>O93+Trades!W93</f>
        <v>0.76884015482610257</v>
      </c>
    </row>
    <row r="95" spans="12:15">
      <c r="L95" s="6">
        <f>Trades!P94</f>
        <v>62597</v>
      </c>
      <c r="M95" s="7">
        <f>M94+Trades!T94</f>
        <v>1.4400181650052355</v>
      </c>
      <c r="N95" s="7">
        <f>N94+Trades!U94</f>
        <v>1.1068839958254049</v>
      </c>
      <c r="O95" s="7">
        <f>O94+Trades!W94</f>
        <v>0.77372936903100897</v>
      </c>
    </row>
    <row r="96" spans="12:15">
      <c r="L96" s="6">
        <f>Trades!P95</f>
        <v>62907</v>
      </c>
      <c r="M96" s="7">
        <f>M95+Trades!T95</f>
        <v>1.4666606317376236</v>
      </c>
      <c r="N96" s="7">
        <f>N95+Trades!U95</f>
        <v>1.1298939029440107</v>
      </c>
      <c r="O96" s="7">
        <f>O95+Trades!W95</f>
        <v>0.79311034493864974</v>
      </c>
    </row>
    <row r="97" spans="12:15">
      <c r="L97" s="6">
        <f>Trades!P96</f>
        <v>63024</v>
      </c>
      <c r="M97" s="7">
        <f>M96+Trades!T96</f>
        <v>1.4432083942367082</v>
      </c>
      <c r="N97" s="7">
        <f>N96+Trades!U96</f>
        <v>1.1026340584966052</v>
      </c>
      <c r="O97" s="7">
        <f>O96+Trades!W96</f>
        <v>0.76204211822857792</v>
      </c>
    </row>
    <row r="98" spans="12:15">
      <c r="L98" s="6">
        <f>Trades!P97</f>
        <v>63289</v>
      </c>
      <c r="M98" s="7">
        <f>M97+Trades!T97</f>
        <v>1.4604018171497197</v>
      </c>
      <c r="N98" s="7">
        <f>N97+Trades!U97</f>
        <v>1.1160387783705605</v>
      </c>
      <c r="O98" s="7">
        <f>O97+Trades!W97</f>
        <v>0.77163845583986701</v>
      </c>
    </row>
    <row r="99" spans="12:15">
      <c r="L99" s="6">
        <f>Trades!P98</f>
        <v>63477</v>
      </c>
      <c r="M99" s="7">
        <f>M98+Trades!T98</f>
        <v>1.4787517546055808</v>
      </c>
      <c r="N99" s="7">
        <f>N98+Trades!U98</f>
        <v>1.1305806733284489</v>
      </c>
      <c r="O99" s="7">
        <f>O98+Trades!W98</f>
        <v>0.78237200686246922</v>
      </c>
    </row>
    <row r="100" spans="12:15">
      <c r="L100" s="6">
        <f>Trades!P99</f>
        <v>63678</v>
      </c>
      <c r="M100" s="7">
        <f>M99+Trades!T99</f>
        <v>1.5506554332576268</v>
      </c>
      <c r="N100" s="7">
        <f>N99+Trades!U99</f>
        <v>1.1986738835909083</v>
      </c>
      <c r="O100" s="7">
        <f>O99+Trades!W99</f>
        <v>0.84665687318964244</v>
      </c>
    </row>
    <row r="101" spans="12:15">
      <c r="L101" s="6">
        <f>Trades!P100</f>
        <v>64258</v>
      </c>
      <c r="M101" s="7">
        <f>M100+Trades!T100</f>
        <v>1.5805820598263607</v>
      </c>
      <c r="N101" s="7">
        <f>N100+Trades!U100</f>
        <v>1.2247849011355634</v>
      </c>
      <c r="O101" s="7">
        <f>O100+Trades!W100</f>
        <v>0.86895954679901133</v>
      </c>
    </row>
    <row r="102" spans="12:15">
      <c r="L102" s="6">
        <f>Trades!P101</f>
        <v>64468</v>
      </c>
      <c r="M102" s="7">
        <f>M101+Trades!T101</f>
        <v>1.6525108881436039</v>
      </c>
      <c r="N102" s="7">
        <f>N101+Trades!U101</f>
        <v>1.2929125592366626</v>
      </c>
      <c r="O102" s="7">
        <f>O101+Trades!W101</f>
        <v>0.9332788609648246</v>
      </c>
    </row>
    <row r="103" spans="12:15">
      <c r="L103" s="6">
        <f>Trades!P102</f>
        <v>64726</v>
      </c>
      <c r="M103" s="7">
        <f>M102+Trades!T102</f>
        <v>1.6712156525865416</v>
      </c>
      <c r="N103" s="7">
        <f>N102+Trades!U102</f>
        <v>1.3078102635738564</v>
      </c>
      <c r="O103" s="7">
        <f>O102+Trades!W102</f>
        <v>0.94436818303935222</v>
      </c>
    </row>
    <row r="104" spans="12:15">
      <c r="L104" s="6">
        <f>Trades!P103</f>
        <v>64850</v>
      </c>
      <c r="M104" s="7">
        <f>M103+Trades!T103</f>
        <v>1.7838833803896166</v>
      </c>
      <c r="N104" s="7">
        <f>N103+Trades!U103</f>
        <v>1.4166807024467287</v>
      </c>
      <c r="O104" s="7">
        <f>O103+Trades!W103</f>
        <v>1.0494302396495581</v>
      </c>
    </row>
    <row r="105" spans="12:15">
      <c r="L105" s="6">
        <f>Trades!P104</f>
        <v>65251</v>
      </c>
      <c r="M105" s="7">
        <f>M104+Trades!T104</f>
        <v>1.8198213786922439</v>
      </c>
      <c r="N105" s="7">
        <f>N104+Trades!U104</f>
        <v>1.4488088066728648</v>
      </c>
      <c r="O105" s="7">
        <f>O104+Trades!W104</f>
        <v>1.0777499999404081</v>
      </c>
    </row>
    <row r="106" spans="12:15">
      <c r="L106" s="6">
        <f>Trades!P105</f>
        <v>65806</v>
      </c>
      <c r="M106" s="7">
        <f>M105+Trades!T105</f>
        <v>1.8220456756049417</v>
      </c>
      <c r="N106" s="7">
        <f>N105+Trades!U105</f>
        <v>1.4472256411266198</v>
      </c>
      <c r="O106" s="7">
        <f>O105+Trades!W105</f>
        <v>1.072358490458877</v>
      </c>
    </row>
    <row r="107" spans="12:15">
      <c r="L107" s="6">
        <f>Trades!P106</f>
        <v>65877</v>
      </c>
      <c r="M107" s="7">
        <f>M106+Trades!T106</f>
        <v>1.8532510776765356</v>
      </c>
      <c r="N107" s="7">
        <f>N106+Trades!U106</f>
        <v>1.4746219860639302</v>
      </c>
      <c r="O107" s="7">
        <f>O106+Trades!W106</f>
        <v>1.0959464914609014</v>
      </c>
    </row>
    <row r="108" spans="12:15">
      <c r="L108" s="6">
        <f>Trades!P107</f>
        <v>66028</v>
      </c>
      <c r="M108" s="7">
        <f>M107+Trades!T107</f>
        <v>1.8249759043707572</v>
      </c>
      <c r="N108" s="7">
        <f>N107+Trades!U107</f>
        <v>1.4424769290269805</v>
      </c>
      <c r="O108" s="7">
        <f>O107+Trades!W107</f>
        <v>1.0599930904886656</v>
      </c>
    </row>
    <row r="109" spans="12:15">
      <c r="L109" s="6">
        <f>Trades!P108</f>
        <v>66409</v>
      </c>
      <c r="M109" s="7">
        <f>M108+Trades!T108</f>
        <v>1.8752283105258842</v>
      </c>
      <c r="N109" s="7">
        <f>N108+Trades!U108</f>
        <v>1.4889220074797145</v>
      </c>
      <c r="O109" s="7">
        <f>O108+Trades!W108</f>
        <v>1.1026297866787333</v>
      </c>
    </row>
    <row r="110" spans="12:15">
      <c r="L110" s="6">
        <f>Trades!P109</f>
        <v>66551</v>
      </c>
      <c r="M110" s="7">
        <f>M109+Trades!T109</f>
        <v>1.8927228239474043</v>
      </c>
      <c r="N110" s="7">
        <f>N109+Trades!U109</f>
        <v>1.5026064083509172</v>
      </c>
      <c r="O110" s="7">
        <f>O109+Trades!W109</f>
        <v>1.11250584361465</v>
      </c>
    </row>
    <row r="111" spans="12:15">
      <c r="L111" s="6">
        <f>Trades!P110</f>
        <v>66924</v>
      </c>
      <c r="M111" s="7">
        <f>M110+Trades!T110</f>
        <v>1.8856788897481622</v>
      </c>
      <c r="N111" s="7">
        <f>N110+Trades!U110</f>
        <v>1.4916939277071108</v>
      </c>
      <c r="O111" s="7">
        <f>O110+Trades!W110</f>
        <v>1.0977244357124809</v>
      </c>
    </row>
    <row r="112" spans="12:15">
      <c r="L112" s="6">
        <f>Trades!P111</f>
        <v>67203</v>
      </c>
      <c r="M112" s="7">
        <f>M111+Trades!T111</f>
        <v>1.9158981802592581</v>
      </c>
      <c r="N112" s="7">
        <f>N111+Trades!U111</f>
        <v>1.5180473259974816</v>
      </c>
      <c r="O112" s="7">
        <f>O111+Trades!W111</f>
        <v>1.1202089067444889</v>
      </c>
    </row>
    <row r="113" spans="12:15">
      <c r="L113" s="6">
        <f>Trades!P112</f>
        <v>67528</v>
      </c>
      <c r="M113" s="7">
        <f>M112+Trades!T112</f>
        <v>1.9263126181664363</v>
      </c>
      <c r="N113" s="7">
        <f>N112+Trades!U112</f>
        <v>1.5245919866913986</v>
      </c>
      <c r="O113" s="7">
        <f>O112+Trades!W112</f>
        <v>1.1228846663972134</v>
      </c>
    </row>
    <row r="114" spans="12:15">
      <c r="L114" s="6">
        <f>Trades!P113</f>
        <v>67621</v>
      </c>
      <c r="M114" s="7">
        <f>M113+Trades!T113</f>
        <v>1.8869855704787</v>
      </c>
      <c r="N114" s="7">
        <f>N113+Trades!U113</f>
        <v>1.4814107101226206</v>
      </c>
      <c r="O114" s="7">
        <f>O113+Trades!W113</f>
        <v>1.0758344625700726</v>
      </c>
    </row>
    <row r="115" spans="12:15">
      <c r="L115" s="6">
        <f>Trades!P114</f>
        <v>68021</v>
      </c>
      <c r="M115" s="7">
        <f>M114+Trades!T114</f>
        <v>1.9825678100597719</v>
      </c>
      <c r="N115" s="7">
        <f>N114+Trades!U114</f>
        <v>1.5731493795174982</v>
      </c>
      <c r="O115" s="7">
        <f>O114+Trades!W114</f>
        <v>1.1637042047065875</v>
      </c>
    </row>
    <row r="116" spans="12:15">
      <c r="L116" s="6">
        <f>Trades!P115</f>
        <v>68392</v>
      </c>
      <c r="M116" s="7">
        <f>M115+Trades!T115</f>
        <v>2.065102436905633</v>
      </c>
      <c r="N116" s="7">
        <f>N115+Trades!U115</f>
        <v>1.6518044488887207</v>
      </c>
      <c r="O116" s="7">
        <f>O115+Trades!W115</f>
        <v>1.2384903468194473</v>
      </c>
    </row>
    <row r="117" spans="12:15">
      <c r="L117" s="6">
        <f>Trades!P116</f>
        <v>68774</v>
      </c>
      <c r="M117" s="7">
        <f>M116+Trades!T116</f>
        <v>2.1667809760025212</v>
      </c>
      <c r="N117" s="7">
        <f>N116+Trades!U116</f>
        <v>1.7495983742188961</v>
      </c>
      <c r="O117" s="7">
        <f>O116+Trades!W116</f>
        <v>1.3324153711084299</v>
      </c>
    </row>
    <row r="118" spans="12:15">
      <c r="L118" s="6">
        <f>Trades!P117</f>
        <v>69319</v>
      </c>
      <c r="M118" s="7">
        <f>M117+Trades!T117</f>
        <v>2.1836149531848346</v>
      </c>
      <c r="N118" s="7">
        <f>N117+Trades!U117</f>
        <v>1.7625661111521891</v>
      </c>
      <c r="O118" s="7">
        <f>O117+Trades!W117</f>
        <v>1.3415142070005301</v>
      </c>
    </row>
    <row r="119" spans="12:15">
      <c r="L119" s="6">
        <f>Trades!P118</f>
        <v>69400</v>
      </c>
      <c r="M119" s="7">
        <f>M118+Trades!T118</f>
        <v>2.2001173786019783</v>
      </c>
      <c r="N119" s="7">
        <f>N118+Trades!U118</f>
        <v>1.7752017968626923</v>
      </c>
      <c r="O119" s="7">
        <f>O118+Trades!W118</f>
        <v>1.3502809654526706</v>
      </c>
    </row>
    <row r="120" spans="12:15">
      <c r="L120" s="6">
        <f>Trades!P119</f>
        <v>69518</v>
      </c>
      <c r="M120" s="7">
        <f>M119+Trades!T119</f>
        <v>2.2060060083448154</v>
      </c>
      <c r="N120" s="7">
        <f>N119+Trades!U119</f>
        <v>1.7772229749100599</v>
      </c>
      <c r="O120" s="7">
        <f>O119+Trades!W119</f>
        <v>1.3484332162416754</v>
      </c>
    </row>
    <row r="121" spans="12:15">
      <c r="L121" s="6">
        <f>Trades!P120</f>
        <v>69561</v>
      </c>
      <c r="M121" s="7">
        <f>M120+Trades!T120</f>
        <v>2.2529287198252059</v>
      </c>
      <c r="N121" s="7">
        <f>N120+Trades!U120</f>
        <v>1.8202631918551986</v>
      </c>
      <c r="O121" s="7">
        <f>O120+Trades!W120</f>
        <v>1.3876045321456214</v>
      </c>
    </row>
    <row r="122" spans="12:15">
      <c r="L122" s="6">
        <f>Trades!P121</f>
        <v>70554</v>
      </c>
      <c r="M122" s="7">
        <f>M121+Trades!T121</f>
        <v>2.2773925085695392</v>
      </c>
      <c r="N122" s="7">
        <f>N121+Trades!U121</f>
        <v>1.8408636891123775</v>
      </c>
      <c r="O122" s="7">
        <f>O121+Trades!W121</f>
        <v>1.4043361021444374</v>
      </c>
    </row>
    <row r="123" spans="12:15">
      <c r="L123" s="6">
        <f>Trades!P122</f>
        <v>70735</v>
      </c>
      <c r="M123" s="7">
        <f>M122+Trades!T122</f>
        <v>2.3161587214003436</v>
      </c>
      <c r="N123" s="7">
        <f>N122+Trades!U122</f>
        <v>1.8757613522041063</v>
      </c>
      <c r="O123" s="7">
        <f>O122+Trades!W122</f>
        <v>1.4353648641949737</v>
      </c>
    </row>
    <row r="124" spans="12:15">
      <c r="L124" s="6">
        <f>Trades!P123</f>
        <v>70824</v>
      </c>
      <c r="M124" s="7">
        <f>M123+Trades!T123</f>
        <v>2.3077856377232</v>
      </c>
      <c r="N124" s="7">
        <f>N123+Trades!U123</f>
        <v>1.8635025307934507</v>
      </c>
      <c r="O124" s="7">
        <f>O123+Trades!W123</f>
        <v>1.4192179226139208</v>
      </c>
    </row>
    <row r="125" spans="12:15">
      <c r="L125" s="6">
        <f>Trades!P124</f>
        <v>71121</v>
      </c>
      <c r="M125" s="7">
        <f>M124+Trades!T124</f>
        <v>2.3482401364786183</v>
      </c>
      <c r="N125" s="7">
        <f>N124+Trades!U124</f>
        <v>1.9000595131874045</v>
      </c>
      <c r="O125" s="7">
        <f>O124+Trades!W124</f>
        <v>1.451886807215681</v>
      </c>
    </row>
    <row r="126" spans="12:15">
      <c r="L126" s="6">
        <f>Trades!P125</f>
        <v>71516</v>
      </c>
      <c r="M126" s="7">
        <f>M125+Trades!T125</f>
        <v>2.3562680039968646</v>
      </c>
      <c r="N126" s="7">
        <f>N125+Trades!U125</f>
        <v>1.9041974079296478</v>
      </c>
      <c r="O126" s="7">
        <f>O125+Trades!W125</f>
        <v>1.4521366041657306</v>
      </c>
    </row>
    <row r="127" spans="12:15">
      <c r="L127" s="6">
        <f>Trades!P126</f>
        <v>71897</v>
      </c>
      <c r="M127" s="7">
        <f>M126+Trades!T126</f>
        <v>2.3989878331175487</v>
      </c>
      <c r="N127" s="7">
        <f>N126+Trades!U126</f>
        <v>1.9430248560861234</v>
      </c>
      <c r="O127" s="7">
        <f>O126+Trades!W126</f>
        <v>1.4870759321518088</v>
      </c>
    </row>
    <row r="128" spans="12:15">
      <c r="L128" s="6">
        <f>Trades!P127</f>
        <v>72060</v>
      </c>
      <c r="M128" s="7">
        <f>M127+Trades!T127</f>
        <v>2.4234237732878992</v>
      </c>
      <c r="N128" s="7">
        <f>N127+Trades!U127</f>
        <v>1.9635706320388926</v>
      </c>
      <c r="O128" s="7">
        <f>O127+Trades!W127</f>
        <v>1.5037335879341807</v>
      </c>
    </row>
    <row r="129" spans="12:15">
      <c r="L129" s="6">
        <f>Trades!P128</f>
        <v>72292</v>
      </c>
      <c r="M129" s="7">
        <f>M128+Trades!T128</f>
        <v>2.4741854981876661</v>
      </c>
      <c r="N129" s="7">
        <f>N128+Trades!U128</f>
        <v>2.0104339064174135</v>
      </c>
      <c r="O129" s="7">
        <f>O128+Trades!W128</f>
        <v>1.5467087421423042</v>
      </c>
    </row>
    <row r="130" spans="12:15">
      <c r="L130" s="6">
        <f>Trades!P129</f>
        <v>72578</v>
      </c>
      <c r="M130" s="7">
        <f>M129+Trades!T129</f>
        <v>2.4770620797166316</v>
      </c>
      <c r="N130" s="7">
        <f>N129+Trades!U129</f>
        <v>2.0094194430018479</v>
      </c>
      <c r="O130" s="7">
        <f>O129+Trades!W129</f>
        <v>1.5418061809345449</v>
      </c>
    </row>
    <row r="131" spans="12:15">
      <c r="L131" s="6">
        <f>Trades!P130</f>
        <v>72680</v>
      </c>
      <c r="M131" s="7">
        <f>M130+Trades!T130</f>
        <v>2.523010521345165</v>
      </c>
      <c r="N131" s="7">
        <f>N130+Trades!U130</f>
        <v>2.0514804711667685</v>
      </c>
      <c r="O131" s="7">
        <f>O130+Trades!W130</f>
        <v>1.5799790889290681</v>
      </c>
    </row>
    <row r="132" spans="12:15">
      <c r="L132" s="6">
        <f>Trades!P131</f>
        <v>73088</v>
      </c>
      <c r="M132" s="7">
        <f>M131+Trades!T131</f>
        <v>2.5317868400003243</v>
      </c>
      <c r="N132" s="7">
        <f>N131+Trades!U131</f>
        <v>2.0563623732740064</v>
      </c>
      <c r="O132" s="7">
        <f>O131+Trades!W131</f>
        <v>1.5809728708659088</v>
      </c>
    </row>
    <row r="133" spans="12:15">
      <c r="L133" s="6">
        <f>Trades!P132</f>
        <v>73766</v>
      </c>
      <c r="M133" s="7">
        <f>M132+Trades!T132</f>
        <v>2.547064133431153</v>
      </c>
      <c r="N133" s="7">
        <f>N132+Trades!U132</f>
        <v>2.0677496703789866</v>
      </c>
      <c r="O133" s="7">
        <f>O132+Trades!W132</f>
        <v>1.5884720701786954</v>
      </c>
    </row>
    <row r="134" spans="12:15">
      <c r="L134" s="6">
        <f>Trades!P133</f>
        <v>73858</v>
      </c>
      <c r="M134" s="7">
        <f>M133+Trades!T133</f>
        <v>2.6761483447308323</v>
      </c>
      <c r="N134" s="7">
        <f>N133+Trades!U133</f>
        <v>2.1929229527718173</v>
      </c>
      <c r="O134" s="7">
        <f>O133+Trades!W133</f>
        <v>1.7097572547793323</v>
      </c>
    </row>
    <row r="135" spans="12:15">
      <c r="L135" s="6">
        <f>Trades!P134</f>
        <v>74724</v>
      </c>
      <c r="M135" s="7">
        <f>M134+Trades!T134</f>
        <v>2.6891219609052985</v>
      </c>
      <c r="N135" s="7">
        <f>N134+Trades!U134</f>
        <v>2.2019707245421438</v>
      </c>
      <c r="O135" s="7">
        <f>O134+Trades!W134</f>
        <v>1.7148749813358763</v>
      </c>
    </row>
    <row r="136" spans="12:15">
      <c r="L136" s="6">
        <f>Trades!P135</f>
        <v>75628</v>
      </c>
      <c r="M136" s="7">
        <f>M135+Trades!T135</f>
        <v>2.6891368668450575</v>
      </c>
      <c r="N136" s="7">
        <f>N135+Trades!U135</f>
        <v>2.1980493465129154</v>
      </c>
      <c r="O136" s="7">
        <f>O135+Trades!W135</f>
        <v>1.7070235720852223</v>
      </c>
    </row>
    <row r="137" spans="12:15">
      <c r="L137" s="6">
        <f>Trades!P136</f>
        <v>75823</v>
      </c>
      <c r="M137" s="7">
        <f>M136+Trades!T136</f>
        <v>2.6864629119999339</v>
      </c>
      <c r="N137" s="7">
        <f>N136+Trades!U136</f>
        <v>2.191449718686965</v>
      </c>
      <c r="O137" s="7">
        <f>O136+Trades!W136</f>
        <v>1.6964938990454896</v>
      </c>
    </row>
    <row r="138" spans="12:15">
      <c r="L138" s="6">
        <f>Trades!P137</f>
        <v>76211</v>
      </c>
      <c r="M138" s="7">
        <f>M137+Trades!T137</f>
        <v>2.7956337395848672</v>
      </c>
      <c r="N138" s="7">
        <f>N137+Trades!U137</f>
        <v>2.2966794040731155</v>
      </c>
      <c r="O138" s="7">
        <f>O137+Trades!W137</f>
        <v>1.7977935532102145</v>
      </c>
    </row>
    <row r="139" spans="12:15">
      <c r="L139" s="6">
        <f>Trades!P138</f>
        <v>76588</v>
      </c>
      <c r="M139" s="7">
        <f>M138+Trades!T138</f>
        <v>2.8523849230491187</v>
      </c>
      <c r="N139" s="7">
        <f>N138+Trades!U138</f>
        <v>2.3495005672629254</v>
      </c>
      <c r="O139" s="7">
        <f>O138+Trades!W138</f>
        <v>1.8466846711862424</v>
      </c>
    </row>
    <row r="140" spans="12:15">
      <c r="L140" s="6">
        <f>Trades!P139</f>
        <v>77307</v>
      </c>
      <c r="M140" s="7">
        <f>M139+Trades!T139</f>
        <v>2.8872607421902865</v>
      </c>
      <c r="N140" s="7">
        <f>N139+Trades!U139</f>
        <v>2.3804436057610583</v>
      </c>
      <c r="O140" s="7">
        <f>O139+Trades!W139</f>
        <v>1.8736976784629493</v>
      </c>
    </row>
    <row r="141" spans="12:15">
      <c r="L141" s="6">
        <f>Trades!P140</f>
        <v>77370</v>
      </c>
      <c r="M141" s="7">
        <f>M140+Trades!T140</f>
        <v>2.9322145828808495</v>
      </c>
      <c r="N141" s="7">
        <f>N140+Trades!U140</f>
        <v>2.4214811471570417</v>
      </c>
      <c r="O141" s="7">
        <f>O140+Trades!W140</f>
        <v>1.9108051746451504</v>
      </c>
    </row>
    <row r="142" spans="12:15">
      <c r="L142" s="6">
        <f>Trades!P141</f>
        <v>77763</v>
      </c>
      <c r="M142" s="7">
        <f>M141+Trades!T141</f>
        <v>2.9578314523966034</v>
      </c>
      <c r="N142" s="7">
        <f>N141+Trades!U141</f>
        <v>2.4431657908097582</v>
      </c>
      <c r="O142" s="7">
        <f>O141+Trades!W141</f>
        <v>1.928559787076441</v>
      </c>
    </row>
    <row r="143" spans="12:15">
      <c r="L143" s="6">
        <f>Trades!P142</f>
        <v>78146</v>
      </c>
      <c r="M143" s="7">
        <f>M142+Trades!T142</f>
        <v>2.9928213387750526</v>
      </c>
      <c r="N143" s="7">
        <f>N142+Trades!U142</f>
        <v>2.4742364571625823</v>
      </c>
      <c r="O143" s="7">
        <f>O142+Trades!W142</f>
        <v>1.9557004222078396</v>
      </c>
    </row>
    <row r="144" spans="12:15">
      <c r="L144" s="6">
        <f>Trades!P143</f>
        <v>78625</v>
      </c>
      <c r="M144" s="7">
        <f>M143+Trades!T143</f>
        <v>2.999976202808107</v>
      </c>
      <c r="N144" s="7">
        <f>N143+Trades!U143</f>
        <v>2.4774255223025543</v>
      </c>
      <c r="O144" s="7">
        <f>O143+Trades!W143</f>
        <v>1.9549229696197643</v>
      </c>
    </row>
    <row r="145" spans="12:15">
      <c r="L145" s="6">
        <f>Trades!P144</f>
        <v>78927</v>
      </c>
      <c r="M145" s="7">
        <f>M144+Trades!T144</f>
        <v>3.0811739833564866</v>
      </c>
      <c r="N145" s="7">
        <f>N144+Trades!U144</f>
        <v>2.5546475815399243</v>
      </c>
      <c r="O145" s="7">
        <f>O144+Trades!W144</f>
        <v>2.0281785178262113</v>
      </c>
    </row>
    <row r="146" spans="12:15">
      <c r="L146" s="6">
        <f>Trades!P145</f>
        <v>79321</v>
      </c>
      <c r="M146" s="7">
        <f>M145+Trades!T145</f>
        <v>3.1118709858844755</v>
      </c>
      <c r="N146" s="7">
        <f>N145+Trades!U145</f>
        <v>2.5813811393886792</v>
      </c>
      <c r="O146" s="7">
        <f>O145+Trades!W145</f>
        <v>2.0509455646440435</v>
      </c>
    </row>
    <row r="147" spans="12:15">
      <c r="L147" s="6">
        <f>Trades!P146</f>
        <v>79680</v>
      </c>
      <c r="M147" s="7">
        <f>M146+Trades!T146</f>
        <v>3.1256167766467273</v>
      </c>
      <c r="N147" s="7">
        <f>N146+Trades!U146</f>
        <v>2.5911588628964926</v>
      </c>
      <c r="O147" s="7">
        <f>O146+Trades!W146</f>
        <v>2.0567567704238097</v>
      </c>
    </row>
    <row r="148" spans="12:15">
      <c r="L148" s="6">
        <f>Trades!P147</f>
        <v>80113</v>
      </c>
      <c r="M148" s="7">
        <f>M147+Trades!T147</f>
        <v>3.1258284340432718</v>
      </c>
      <c r="N148" s="7">
        <f>N147+Trades!U147</f>
        <v>2.5874056359724706</v>
      </c>
      <c r="O148" s="7">
        <f>O147+Trades!W147</f>
        <v>2.0490370324688647</v>
      </c>
    </row>
    <row r="149" spans="12:15">
      <c r="L149" s="6">
        <f>Trades!P148</f>
        <v>80490</v>
      </c>
      <c r="M149" s="7">
        <f>M148+Trades!T148</f>
        <v>3.2659050575796811</v>
      </c>
      <c r="N149" s="7">
        <f>N148+Trades!U148</f>
        <v>2.7235304933953421</v>
      </c>
      <c r="O149" s="7">
        <f>O148+Trades!W148</f>
        <v>2.181195372163689</v>
      </c>
    </row>
    <row r="150" spans="12:15">
      <c r="L150" s="6">
        <f>Trades!P149</f>
        <v>81280</v>
      </c>
      <c r="M150" s="7">
        <f>M149+Trades!T149</f>
        <v>3.3104852038039567</v>
      </c>
      <c r="N150" s="7">
        <f>N149+Trades!U149</f>
        <v>2.7641511021203833</v>
      </c>
      <c r="O150" s="7">
        <f>O149+Trades!W149</f>
        <v>2.2178494698578071</v>
      </c>
    </row>
    <row r="151" spans="12:15">
      <c r="L151" s="6">
        <f>Trades!P150</f>
        <v>81433</v>
      </c>
      <c r="M151" s="7">
        <f>M150+Trades!T150</f>
        <v>3.3350400464013394</v>
      </c>
      <c r="N151" s="7">
        <f>N150+Trades!U150</f>
        <v>2.7847405747155936</v>
      </c>
      <c r="O151" s="7">
        <f>O150+Trades!W150</f>
        <v>2.2344724247249701</v>
      </c>
    </row>
    <row r="152" spans="12:15">
      <c r="L152" s="6">
        <f>Trades!P151</f>
        <v>81663</v>
      </c>
      <c r="M152" s="7">
        <f>M151+Trades!T151</f>
        <v>3.4586873441000612</v>
      </c>
      <c r="N152" s="7">
        <f>N151+Trades!U151</f>
        <v>2.9044011953102586</v>
      </c>
      <c r="O152" s="7">
        <f>O151+Trades!W151</f>
        <v>2.3501665342887121</v>
      </c>
    </row>
    <row r="153" spans="12:15">
      <c r="L153" s="6">
        <f>Trades!P152</f>
        <v>82452</v>
      </c>
      <c r="M153" s="7">
        <f>M152+Trades!T152</f>
        <v>3.5086962742661623</v>
      </c>
      <c r="N153" s="7">
        <f>N152+Trades!U152</f>
        <v>2.9504486119898932</v>
      </c>
      <c r="O153" s="7">
        <f>O152+Trades!W152</f>
        <v>2.3922474399374236</v>
      </c>
    </row>
    <row r="154" spans="12:15">
      <c r="L154" s="6">
        <f>Trades!P153</f>
        <v>82524</v>
      </c>
      <c r="M154" s="7">
        <f>M153+Trades!T153</f>
        <v>3.4839755998942978</v>
      </c>
      <c r="N154" s="7">
        <f>N153+Trades!U153</f>
        <v>2.9222947595559945</v>
      </c>
      <c r="O154" s="7">
        <f>O153+Trades!W153</f>
        <v>2.3606601600906281</v>
      </c>
    </row>
    <row r="155" spans="12:15">
      <c r="L155" s="6">
        <f>Trades!P154</f>
        <v>82792</v>
      </c>
      <c r="M155" s="7">
        <f>M154+Trades!T154</f>
        <v>3.4868512803228331</v>
      </c>
      <c r="N155" s="7">
        <f>N154+Trades!U154</f>
        <v>2.9217365221825209</v>
      </c>
      <c r="O155" s="7">
        <f>O154+Trades!W154</f>
        <v>2.3566683820010708</v>
      </c>
    </row>
    <row r="156" spans="12:15">
      <c r="L156" s="6">
        <f>Trades!P155</f>
        <v>82839</v>
      </c>
      <c r="M156" s="7">
        <f>M155+Trades!T155</f>
        <v>3.5168514153107462</v>
      </c>
      <c r="N156" s="7">
        <f>N155+Trades!U155</f>
        <v>2.9482965952749134</v>
      </c>
      <c r="O156" s="7">
        <f>O155+Trades!W155</f>
        <v>2.3797950276805668</v>
      </c>
    </row>
    <row r="157" spans="12:15">
      <c r="L157" s="6">
        <f>Trades!P156</f>
        <v>83142</v>
      </c>
      <c r="M157" s="7">
        <f>M156+Trades!T156</f>
        <v>3.5327849520787704</v>
      </c>
      <c r="N157" s="7">
        <f>N156+Trades!U156</f>
        <v>2.9607944735022151</v>
      </c>
      <c r="O157" s="7">
        <f>O156+Trades!W156</f>
        <v>2.3888593651917844</v>
      </c>
    </row>
    <row r="158" spans="12:15">
      <c r="L158" s="6">
        <f>Trades!P157</f>
        <v>83676</v>
      </c>
      <c r="M158" s="7">
        <f>M157+Trades!T157</f>
        <v>3.5075735400141399</v>
      </c>
      <c r="N158" s="7">
        <f>N157+Trades!U157</f>
        <v>2.9321518118461558</v>
      </c>
      <c r="O158" s="7">
        <f>O157+Trades!W157</f>
        <v>2.356783162819641</v>
      </c>
    </row>
    <row r="159" spans="12:15">
      <c r="L159" s="6">
        <f>Trades!P158</f>
        <v>84022</v>
      </c>
      <c r="M159" s="7">
        <f>M158+Trades!T158</f>
        <v>3.4881982231364517</v>
      </c>
      <c r="N159" s="7">
        <f>N158+Trades!U158</f>
        <v>2.909336022929315</v>
      </c>
      <c r="O159" s="7">
        <f>O158+Trades!W158</f>
        <v>2.3305339464899033</v>
      </c>
    </row>
    <row r="160" spans="12:15">
      <c r="L160" s="6">
        <f>Trades!P159</f>
        <v>84229</v>
      </c>
      <c r="M160" s="7">
        <f>M159+Trades!T159</f>
        <v>3.4924611611533325</v>
      </c>
      <c r="N160" s="7">
        <f>N159+Trades!U159</f>
        <v>2.9101650505879033</v>
      </c>
      <c r="O160" s="7">
        <f>O159+Trades!W159</f>
        <v>2.3279294334324074</v>
      </c>
    </row>
    <row r="161" spans="12:15">
      <c r="L161" s="6">
        <f>Trades!P160</f>
        <v>84788</v>
      </c>
      <c r="M161" s="7">
        <f>M160+Trades!T160</f>
        <v>3.4716180508363013</v>
      </c>
      <c r="N161" s="7">
        <f>N160+Trades!U160</f>
        <v>2.8858960615664127</v>
      </c>
      <c r="O161" s="7">
        <f>O160+Trades!W160</f>
        <v>2.3002270169980199</v>
      </c>
    </row>
    <row r="162" spans="12:15">
      <c r="L162" s="6">
        <f>Trades!P161</f>
        <v>85194</v>
      </c>
      <c r="M162" s="7">
        <f>M161+Trades!T161</f>
        <v>3.4634454744731835</v>
      </c>
      <c r="N162" s="7">
        <f>N161+Trades!U161</f>
        <v>2.8742782312217514</v>
      </c>
      <c r="O162" s="7">
        <f>O161+Trades!W161</f>
        <v>2.2851757592404618</v>
      </c>
    </row>
    <row r="163" spans="12:15">
      <c r="L163" s="6">
        <f>Trades!P162</f>
        <v>85896</v>
      </c>
      <c r="M163" s="7">
        <f>M162+Trades!T162</f>
        <v>3.4503687909576519</v>
      </c>
      <c r="N163" s="7">
        <f>N162+Trades!U162</f>
        <v>2.8577655687001076</v>
      </c>
      <c r="O163" s="7">
        <f>O162+Trades!W162</f>
        <v>2.2652296693059211</v>
      </c>
    </row>
    <row r="164" spans="12:15">
      <c r="L164" s="6">
        <f>Trades!P163</f>
        <v>86348</v>
      </c>
      <c r="M164" s="7">
        <f>M163+Trades!T163</f>
        <v>3.4657640306298005</v>
      </c>
      <c r="N164" s="7">
        <f>N163+Trades!U163</f>
        <v>2.869727831168519</v>
      </c>
      <c r="O164" s="7">
        <f>O163+Trades!W163</f>
        <v>2.2737585043614357</v>
      </c>
    </row>
    <row r="165" spans="12:15">
      <c r="L165" s="6">
        <f>Trades!P164</f>
        <v>86424</v>
      </c>
      <c r="M165" s="7">
        <f>M164+Trades!T164</f>
        <v>3.4450396644847818</v>
      </c>
      <c r="N165" s="7">
        <f>N164+Trades!U164</f>
        <v>2.8445958327055259</v>
      </c>
      <c r="O165" s="7">
        <f>O164+Trades!W164</f>
        <v>2.2442227228120002</v>
      </c>
    </row>
    <row r="166" spans="12:15">
      <c r="L166" s="6">
        <f>Trades!P165</f>
        <v>86751</v>
      </c>
      <c r="M166" s="7">
        <f>M165+Trades!T165</f>
        <v>3.5039876778369123</v>
      </c>
      <c r="N166" s="7">
        <f>N165+Trades!U165</f>
        <v>2.8991451149119962</v>
      </c>
      <c r="O166" s="7">
        <f>O165+Trades!W165</f>
        <v>2.2943681411673351</v>
      </c>
    </row>
    <row r="167" spans="12:15">
      <c r="L167" s="6">
        <f>Trades!P166</f>
        <v>87177</v>
      </c>
      <c r="M167" s="7">
        <f>M166+Trades!T166</f>
        <v>3.4278152905753414</v>
      </c>
      <c r="N167" s="7">
        <f>N166+Trades!U166</f>
        <v>2.8185444281780736</v>
      </c>
      <c r="O167" s="7">
        <f>O166+Trades!W166</f>
        <v>2.2093636713469706</v>
      </c>
    </row>
    <row r="168" spans="12:15">
      <c r="L168" s="6">
        <f>Trades!P167</f>
        <v>87550</v>
      </c>
      <c r="M168" s="7">
        <f>M167+Trades!T167</f>
        <v>3.3877926252046464</v>
      </c>
      <c r="N168" s="7">
        <f>N167+Trades!U167</f>
        <v>2.7741307871408285</v>
      </c>
      <c r="O168" s="7">
        <f>O167+Trades!W167</f>
        <v>2.1605462472232837</v>
      </c>
    </row>
    <row r="169" spans="12:15">
      <c r="L169" s="6">
        <f>Trades!P168</f>
        <v>87887</v>
      </c>
      <c r="M169" s="7">
        <f>M168+Trades!T168</f>
        <v>3.4006131678522786</v>
      </c>
      <c r="N169" s="7">
        <f>N168+Trades!U168</f>
        <v>2.7825489862194912</v>
      </c>
      <c r="O169" s="7">
        <f>O168+Trades!W168</f>
        <v>2.1645605824508105</v>
      </c>
    </row>
    <row r="170" spans="12:15">
      <c r="L170" s="6">
        <f>Trades!P169</f>
        <v>88316</v>
      </c>
      <c r="M170" s="7">
        <f>M169+Trades!T169</f>
        <v>3.463607160351081</v>
      </c>
      <c r="N170" s="7">
        <f>N169+Trades!U169</f>
        <v>2.8411531948333058</v>
      </c>
      <c r="O170" s="7">
        <f>O169+Trades!W169</f>
        <v>2.2187609272134892</v>
      </c>
    </row>
    <row r="171" spans="12:15">
      <c r="L171" s="6">
        <f>Trades!P170</f>
        <v>88707</v>
      </c>
      <c r="M171" s="7">
        <f>M170+Trades!T170</f>
        <v>3.5109110115373703</v>
      </c>
      <c r="N171" s="7">
        <f>N170+Trades!U170</f>
        <v>2.8840491929365362</v>
      </c>
      <c r="O171" s="7">
        <f>O170+Trades!W170</f>
        <v>2.2572530614655841</v>
      </c>
    </row>
    <row r="172" spans="12:15">
      <c r="L172" s="6">
        <f>Trades!P171</f>
        <v>89488</v>
      </c>
      <c r="M172" s="7">
        <f>M171+Trades!T171</f>
        <v>3.5708620873777743</v>
      </c>
      <c r="N172" s="7">
        <f>N171+Trades!U171</f>
        <v>2.9395906420000939</v>
      </c>
      <c r="O172" s="7">
        <f>O171+Trades!W171</f>
        <v>2.3083907274427</v>
      </c>
    </row>
    <row r="173" spans="12:15">
      <c r="L173" s="6">
        <f>Trades!P172</f>
        <v>89896</v>
      </c>
      <c r="M173" s="7">
        <f>M172+Trades!T172</f>
        <v>3.5581397364393523</v>
      </c>
      <c r="N173" s="7">
        <f>N172+Trades!U172</f>
        <v>2.9224624351353135</v>
      </c>
      <c r="O173" s="7">
        <f>O172+Trades!W172</f>
        <v>2.2868586567267837</v>
      </c>
    </row>
    <row r="174" spans="12:15">
      <c r="L174" s="6">
        <f>Trades!P173</f>
        <v>90290</v>
      </c>
      <c r="M174" s="7">
        <f>M173+Trades!T173</f>
        <v>3.4931890468685598</v>
      </c>
      <c r="N174" s="7">
        <f>N173+Trades!U173</f>
        <v>2.8531147547744116</v>
      </c>
      <c r="O174" s="7">
        <f>O173+Trades!W173</f>
        <v>2.2131071125147459</v>
      </c>
    </row>
    <row r="175" spans="12:15">
      <c r="L175" s="6">
        <f>Trades!P174</f>
        <v>0</v>
      </c>
      <c r="M175" s="7">
        <f>M174+Trades!T174</f>
        <v>3.4931890468685598</v>
      </c>
      <c r="N175" s="7">
        <f>N174+Trades!U174</f>
        <v>2.8531147547744116</v>
      </c>
      <c r="O175" s="7">
        <f>O174+Trades!W174</f>
        <v>2.2131071125147459</v>
      </c>
    </row>
    <row r="176" spans="12:15">
      <c r="L176" s="6">
        <f>Trades!P175</f>
        <v>0</v>
      </c>
      <c r="M176" s="7">
        <f>M175+Trades!T175</f>
        <v>3.4931890468685598</v>
      </c>
      <c r="N176" s="7">
        <f>N175+Trades!U175</f>
        <v>2.8531147547744116</v>
      </c>
      <c r="O176" s="7">
        <f>O175+Trades!W175</f>
        <v>2.2131071125147459</v>
      </c>
    </row>
  </sheetData>
  <mergeCells count="3">
    <mergeCell ref="B2:E2"/>
    <mergeCell ref="C39:E39"/>
    <mergeCell ref="B40:E44"/>
  </mergeCells>
  <pageMargins left="0.7" right="0.7" top="0.75" bottom="0.75" header="0.3" footer="0.3"/>
  <drawing r:id="rId1"/>
  <tableParts count="5">
    <tablePart r:id="rId2"/>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8E699-CB05-4E99-AD95-F2D319B9C8CF}">
  <dimension ref="B2:J263"/>
  <sheetViews>
    <sheetView tabSelected="1" workbookViewId="0">
      <selection activeCell="B8" sqref="B8"/>
    </sheetView>
  </sheetViews>
  <sheetFormatPr defaultRowHeight="14.4"/>
  <cols>
    <col min="2" max="2" width="23.21875" bestFit="1" customWidth="1"/>
    <col min="3" max="3" width="12.6640625" bestFit="1" customWidth="1"/>
  </cols>
  <sheetData>
    <row r="2" spans="2:10">
      <c r="B2" s="18" t="s">
        <v>47</v>
      </c>
      <c r="C2" s="18" t="s">
        <v>260</v>
      </c>
      <c r="J2" t="s">
        <v>267</v>
      </c>
    </row>
    <row r="3" spans="2:10">
      <c r="B3" s="23" t="s">
        <v>54</v>
      </c>
      <c r="C3" s="23">
        <f>SUM(Trades!W2:W9652)</f>
        <v>2.2131071125147459</v>
      </c>
    </row>
    <row r="4" spans="2:10">
      <c r="B4" s="23" t="s">
        <v>221</v>
      </c>
      <c r="C4" s="23">
        <f>COUNTA(Trades!A:A)-1</f>
        <v>172</v>
      </c>
      <c r="I4" cm="1">
        <f t="array" ref="I4:I263">_xlfn.LET(
_xlpm.dates,_xlfn.SEQUENCE(DATE(2026,8,2)-DATE(2025,8,2)+1,,DATE(2025,8,2)),
_xlfn._xlws.FILTER(_xlpm.dates,WEEKDAY(_xlpm.dates,2)&lt;=5)
)</f>
        <v>45873</v>
      </c>
      <c r="J4" cm="1">
        <f t="array" ref="J4:J263">SUMIFS('trades edited'!$W$2:$W$100000,'trades edited'!$Y$2:$Y$100000,_xlfn.ANCHORARRAY(I4))</f>
        <v>0</v>
      </c>
    </row>
    <row r="5" spans="2:10">
      <c r="B5" s="23" t="s">
        <v>261</v>
      </c>
      <c r="C5" s="23">
        <f>AVERAGE(Trades!W:W)</f>
        <v>1.2866901816946196E-2</v>
      </c>
      <c r="I5">
        <v>45874</v>
      </c>
      <c r="J5">
        <v>0</v>
      </c>
    </row>
    <row r="6" spans="2:10">
      <c r="B6" s="23" t="s">
        <v>262</v>
      </c>
      <c r="C6" s="23">
        <f>_xlfn.STDEV.S(_xlfn.ANCHORARRAY(J4))</f>
        <v>3.6810941960568486E-2</v>
      </c>
      <c r="I6">
        <v>45875</v>
      </c>
      <c r="J6">
        <v>0</v>
      </c>
    </row>
    <row r="7" spans="2:10">
      <c r="B7" s="23" t="s">
        <v>269</v>
      </c>
      <c r="C7" s="23">
        <f>AVERAGE(_xlfn.ANCHORARRAY(J4))/_xlfn.STDEV.S(_xlfn.ANCHORARRAY(J4))*SQRT(252)</f>
        <v>3.6707298674322879</v>
      </c>
      <c r="I7">
        <v>45876</v>
      </c>
      <c r="J7">
        <v>0</v>
      </c>
    </row>
    <row r="8" spans="2:10">
      <c r="B8" s="23" t="s">
        <v>231</v>
      </c>
      <c r="C8" s="23">
        <f>MIN(Trades!W:W)</f>
        <v>-9.5289890925097653E-2</v>
      </c>
      <c r="I8">
        <v>45877</v>
      </c>
      <c r="J8">
        <v>0</v>
      </c>
    </row>
    <row r="9" spans="2:10">
      <c r="B9" s="23" t="s">
        <v>263</v>
      </c>
      <c r="C9" s="23">
        <f>C8/C3</f>
        <v>-4.3057062347434276E-2</v>
      </c>
      <c r="I9">
        <v>45880</v>
      </c>
      <c r="J9">
        <v>0</v>
      </c>
    </row>
    <row r="10" spans="2:10">
      <c r="B10" s="23" t="s">
        <v>264</v>
      </c>
      <c r="C10" s="23"/>
      <c r="I10">
        <v>45881</v>
      </c>
      <c r="J10">
        <v>0</v>
      </c>
    </row>
    <row r="11" spans="2:10">
      <c r="B11" s="23" t="s">
        <v>265</v>
      </c>
      <c r="C11" s="23"/>
      <c r="I11">
        <v>45882</v>
      </c>
      <c r="J11">
        <v>0</v>
      </c>
    </row>
    <row r="12" spans="2:10">
      <c r="B12" s="23" t="s">
        <v>266</v>
      </c>
      <c r="C12" s="23"/>
      <c r="I12">
        <v>45883</v>
      </c>
      <c r="J12">
        <v>0</v>
      </c>
    </row>
    <row r="13" spans="2:10">
      <c r="I13">
        <v>45884</v>
      </c>
      <c r="J13">
        <v>0</v>
      </c>
    </row>
    <row r="14" spans="2:10">
      <c r="I14">
        <v>45887</v>
      </c>
      <c r="J14">
        <v>0</v>
      </c>
    </row>
    <row r="15" spans="2:10">
      <c r="I15">
        <v>45888</v>
      </c>
      <c r="J15">
        <v>0</v>
      </c>
    </row>
    <row r="16" spans="2:10">
      <c r="I16">
        <v>45889</v>
      </c>
      <c r="J16">
        <v>0</v>
      </c>
    </row>
    <row r="17" spans="9:10">
      <c r="I17">
        <v>45890</v>
      </c>
      <c r="J17">
        <v>0</v>
      </c>
    </row>
    <row r="18" spans="9:10">
      <c r="I18">
        <v>45891</v>
      </c>
      <c r="J18">
        <v>0</v>
      </c>
    </row>
    <row r="19" spans="9:10">
      <c r="I19">
        <v>45894</v>
      </c>
      <c r="J19">
        <v>0</v>
      </c>
    </row>
    <row r="20" spans="9:10">
      <c r="I20">
        <v>45895</v>
      </c>
      <c r="J20">
        <v>0</v>
      </c>
    </row>
    <row r="21" spans="9:10">
      <c r="I21">
        <v>45896</v>
      </c>
      <c r="J21">
        <v>0</v>
      </c>
    </row>
    <row r="22" spans="9:10">
      <c r="I22">
        <v>45897</v>
      </c>
      <c r="J22">
        <v>0</v>
      </c>
    </row>
    <row r="23" spans="9:10">
      <c r="I23">
        <v>45898</v>
      </c>
      <c r="J23">
        <v>0</v>
      </c>
    </row>
    <row r="24" spans="9:10">
      <c r="I24">
        <v>45901</v>
      </c>
      <c r="J24">
        <v>0</v>
      </c>
    </row>
    <row r="25" spans="9:10">
      <c r="I25">
        <v>45902</v>
      </c>
      <c r="J25">
        <v>0</v>
      </c>
    </row>
    <row r="26" spans="9:10">
      <c r="I26">
        <v>45903</v>
      </c>
      <c r="J26">
        <v>0</v>
      </c>
    </row>
    <row r="27" spans="9:10">
      <c r="I27">
        <v>45904</v>
      </c>
      <c r="J27">
        <v>0</v>
      </c>
    </row>
    <row r="28" spans="9:10">
      <c r="I28">
        <v>45905</v>
      </c>
      <c r="J28">
        <v>0</v>
      </c>
    </row>
    <row r="29" spans="9:10">
      <c r="I29">
        <v>45908</v>
      </c>
      <c r="J29">
        <v>0</v>
      </c>
    </row>
    <row r="30" spans="9:10">
      <c r="I30">
        <v>45909</v>
      </c>
      <c r="J30">
        <v>0</v>
      </c>
    </row>
    <row r="31" spans="9:10">
      <c r="I31">
        <v>45910</v>
      </c>
      <c r="J31">
        <v>0</v>
      </c>
    </row>
    <row r="32" spans="9:10">
      <c r="I32">
        <v>45911</v>
      </c>
      <c r="J32">
        <v>0</v>
      </c>
    </row>
    <row r="33" spans="9:10">
      <c r="I33">
        <v>45912</v>
      </c>
      <c r="J33">
        <v>0</v>
      </c>
    </row>
    <row r="34" spans="9:10">
      <c r="I34">
        <v>45915</v>
      </c>
      <c r="J34">
        <v>0</v>
      </c>
    </row>
    <row r="35" spans="9:10">
      <c r="I35">
        <v>45916</v>
      </c>
      <c r="J35">
        <v>0</v>
      </c>
    </row>
    <row r="36" spans="9:10">
      <c r="I36">
        <v>45917</v>
      </c>
      <c r="J36">
        <v>0</v>
      </c>
    </row>
    <row r="37" spans="9:10">
      <c r="I37">
        <v>45918</v>
      </c>
      <c r="J37">
        <v>0</v>
      </c>
    </row>
    <row r="38" spans="9:10">
      <c r="I38">
        <v>45919</v>
      </c>
      <c r="J38">
        <v>0</v>
      </c>
    </row>
    <row r="39" spans="9:10">
      <c r="I39">
        <v>45922</v>
      </c>
      <c r="J39">
        <v>0</v>
      </c>
    </row>
    <row r="40" spans="9:10">
      <c r="I40">
        <v>45923</v>
      </c>
      <c r="J40">
        <v>0</v>
      </c>
    </row>
    <row r="41" spans="9:10">
      <c r="I41">
        <v>45924</v>
      </c>
      <c r="J41">
        <v>0</v>
      </c>
    </row>
    <row r="42" spans="9:10">
      <c r="I42">
        <v>45925</v>
      </c>
      <c r="J42">
        <v>0</v>
      </c>
    </row>
    <row r="43" spans="9:10">
      <c r="I43">
        <v>45926</v>
      </c>
      <c r="J43">
        <v>0</v>
      </c>
    </row>
    <row r="44" spans="9:10">
      <c r="I44">
        <v>45929</v>
      </c>
      <c r="J44">
        <v>0</v>
      </c>
    </row>
    <row r="45" spans="9:10">
      <c r="I45">
        <v>45930</v>
      </c>
      <c r="J45">
        <v>0</v>
      </c>
    </row>
    <row r="46" spans="9:10">
      <c r="I46">
        <v>45931</v>
      </c>
      <c r="J46">
        <v>0</v>
      </c>
    </row>
    <row r="47" spans="9:10">
      <c r="I47">
        <v>45932</v>
      </c>
      <c r="J47">
        <v>0</v>
      </c>
    </row>
    <row r="48" spans="9:10">
      <c r="I48">
        <v>45933</v>
      </c>
      <c r="J48">
        <v>0</v>
      </c>
    </row>
    <row r="49" spans="9:10">
      <c r="I49">
        <v>45936</v>
      </c>
      <c r="J49">
        <v>0</v>
      </c>
    </row>
    <row r="50" spans="9:10">
      <c r="I50">
        <v>45937</v>
      </c>
      <c r="J50">
        <v>0</v>
      </c>
    </row>
    <row r="51" spans="9:10">
      <c r="I51">
        <v>45938</v>
      </c>
      <c r="J51">
        <v>0</v>
      </c>
    </row>
    <row r="52" spans="9:10">
      <c r="I52">
        <v>45939</v>
      </c>
      <c r="J52">
        <v>0</v>
      </c>
    </row>
    <row r="53" spans="9:10">
      <c r="I53">
        <v>45940</v>
      </c>
      <c r="J53">
        <v>0</v>
      </c>
    </row>
    <row r="54" spans="9:10">
      <c r="I54">
        <v>45943</v>
      </c>
      <c r="J54">
        <v>0</v>
      </c>
    </row>
    <row r="55" spans="9:10">
      <c r="I55">
        <v>45944</v>
      </c>
      <c r="J55">
        <v>0</v>
      </c>
    </row>
    <row r="56" spans="9:10">
      <c r="I56">
        <v>45945</v>
      </c>
      <c r="J56">
        <v>0</v>
      </c>
    </row>
    <row r="57" spans="9:10">
      <c r="I57">
        <v>45946</v>
      </c>
      <c r="J57">
        <v>0</v>
      </c>
    </row>
    <row r="58" spans="9:10">
      <c r="I58">
        <v>45947</v>
      </c>
      <c r="J58">
        <v>0</v>
      </c>
    </row>
    <row r="59" spans="9:10">
      <c r="I59">
        <v>45950</v>
      </c>
      <c r="J59">
        <v>0</v>
      </c>
    </row>
    <row r="60" spans="9:10">
      <c r="I60">
        <v>45951</v>
      </c>
      <c r="J60">
        <v>0</v>
      </c>
    </row>
    <row r="61" spans="9:10">
      <c r="I61">
        <v>45952</v>
      </c>
      <c r="J61">
        <v>0</v>
      </c>
    </row>
    <row r="62" spans="9:10">
      <c r="I62">
        <v>45953</v>
      </c>
      <c r="J62">
        <v>0</v>
      </c>
    </row>
    <row r="63" spans="9:10">
      <c r="I63">
        <v>45954</v>
      </c>
      <c r="J63">
        <v>0</v>
      </c>
    </row>
    <row r="64" spans="9:10">
      <c r="I64">
        <v>45957</v>
      </c>
      <c r="J64">
        <v>0</v>
      </c>
    </row>
    <row r="65" spans="9:10">
      <c r="I65">
        <v>45958</v>
      </c>
      <c r="J65">
        <v>1.7487745017332121E-2</v>
      </c>
    </row>
    <row r="66" spans="9:10">
      <c r="I66">
        <v>45959</v>
      </c>
      <c r="J66">
        <v>3.4563840867913115E-2</v>
      </c>
    </row>
    <row r="67" spans="9:10">
      <c r="I67">
        <v>45960</v>
      </c>
      <c r="J67">
        <v>3.117348464182491E-2</v>
      </c>
    </row>
    <row r="68" spans="9:10">
      <c r="I68">
        <v>45961</v>
      </c>
      <c r="J68">
        <v>1.7511830328742518E-3</v>
      </c>
    </row>
    <row r="69" spans="9:10">
      <c r="I69">
        <v>45964</v>
      </c>
      <c r="J69">
        <v>4.144658222056289E-3</v>
      </c>
    </row>
    <row r="70" spans="9:10">
      <c r="I70">
        <v>45965</v>
      </c>
      <c r="J70">
        <v>0</v>
      </c>
    </row>
    <row r="71" spans="9:10">
      <c r="I71">
        <v>45966</v>
      </c>
      <c r="J71">
        <v>0</v>
      </c>
    </row>
    <row r="72" spans="9:10">
      <c r="I72">
        <v>45967</v>
      </c>
      <c r="J72">
        <v>2.364704444380341E-2</v>
      </c>
    </row>
    <row r="73" spans="9:10">
      <c r="I73">
        <v>45968</v>
      </c>
      <c r="J73">
        <v>1.7341805200826631E-2</v>
      </c>
    </row>
    <row r="74" spans="9:10">
      <c r="I74">
        <v>45971</v>
      </c>
      <c r="J74">
        <v>1.9415169235567076E-2</v>
      </c>
    </row>
    <row r="75" spans="9:10">
      <c r="I75">
        <v>45972</v>
      </c>
      <c r="J75">
        <v>0</v>
      </c>
    </row>
    <row r="76" spans="9:10">
      <c r="I76">
        <v>45973</v>
      </c>
      <c r="J76">
        <v>4.5262245187809372E-2</v>
      </c>
    </row>
    <row r="77" spans="9:10">
      <c r="I77">
        <v>45974</v>
      </c>
      <c r="J77">
        <v>0</v>
      </c>
    </row>
    <row r="78" spans="9:10">
      <c r="I78">
        <v>45975</v>
      </c>
      <c r="J78">
        <v>2.0104685623115921E-2</v>
      </c>
    </row>
    <row r="79" spans="9:10">
      <c r="I79">
        <v>45978</v>
      </c>
      <c r="J79">
        <v>-3.2581239282611058E-2</v>
      </c>
    </row>
    <row r="80" spans="9:10">
      <c r="I80">
        <v>45979</v>
      </c>
      <c r="J80">
        <v>2.5547931618319839E-2</v>
      </c>
    </row>
    <row r="81" spans="9:10">
      <c r="I81">
        <v>45980</v>
      </c>
      <c r="J81">
        <v>0</v>
      </c>
    </row>
    <row r="82" spans="9:10">
      <c r="I82">
        <v>45981</v>
      </c>
      <c r="J82">
        <v>0</v>
      </c>
    </row>
    <row r="83" spans="9:10">
      <c r="I83">
        <v>45982</v>
      </c>
      <c r="J83">
        <v>1.5040592091250591E-2</v>
      </c>
    </row>
    <row r="84" spans="9:10">
      <c r="I84">
        <v>45985</v>
      </c>
      <c r="J84">
        <v>-9.961762363562391E-3</v>
      </c>
    </row>
    <row r="85" spans="9:10">
      <c r="I85">
        <v>45986</v>
      </c>
      <c r="J85">
        <v>-6.7560156610610114E-2</v>
      </c>
    </row>
    <row r="86" spans="9:10">
      <c r="I86">
        <v>45987</v>
      </c>
      <c r="J86">
        <v>4.1773427289833794E-3</v>
      </c>
    </row>
    <row r="87" spans="9:10">
      <c r="I87">
        <v>45988</v>
      </c>
      <c r="J87">
        <v>-4.6787799468486707E-3</v>
      </c>
    </row>
    <row r="88" spans="9:10">
      <c r="I88">
        <v>45989</v>
      </c>
      <c r="J88">
        <v>0</v>
      </c>
    </row>
    <row r="89" spans="9:10">
      <c r="I89">
        <v>45992</v>
      </c>
      <c r="J89">
        <v>0</v>
      </c>
    </row>
    <row r="90" spans="9:10">
      <c r="I90">
        <v>45993</v>
      </c>
      <c r="J90">
        <v>0</v>
      </c>
    </row>
    <row r="91" spans="9:10">
      <c r="I91">
        <v>45994</v>
      </c>
      <c r="J91">
        <v>2.5041992081884529E-2</v>
      </c>
    </row>
    <row r="92" spans="9:10">
      <c r="I92">
        <v>45995</v>
      </c>
      <c r="J92">
        <v>0</v>
      </c>
    </row>
    <row r="93" spans="9:10">
      <c r="I93">
        <v>45996</v>
      </c>
      <c r="J93">
        <v>5.3567583145069722E-2</v>
      </c>
    </row>
    <row r="94" spans="9:10">
      <c r="I94">
        <v>45999</v>
      </c>
      <c r="J94">
        <v>-4.9712602635812557E-2</v>
      </c>
    </row>
    <row r="95" spans="9:10">
      <c r="I95">
        <v>46000</v>
      </c>
      <c r="J95">
        <v>0</v>
      </c>
    </row>
    <row r="96" spans="9:10">
      <c r="I96">
        <v>46001</v>
      </c>
      <c r="J96">
        <v>6.8777270480385663E-2</v>
      </c>
    </row>
    <row r="97" spans="9:10">
      <c r="I97">
        <v>46002</v>
      </c>
      <c r="J97">
        <v>0</v>
      </c>
    </row>
    <row r="98" spans="9:10">
      <c r="I98">
        <v>46003</v>
      </c>
      <c r="J98">
        <v>4.262086848588012E-2</v>
      </c>
    </row>
    <row r="99" spans="9:10">
      <c r="I99">
        <v>46006</v>
      </c>
      <c r="J99">
        <v>-1.2071064085109219E-2</v>
      </c>
    </row>
    <row r="100" spans="9:10">
      <c r="I100">
        <v>46007</v>
      </c>
      <c r="J100">
        <v>-7.2136112195485443E-3</v>
      </c>
    </row>
    <row r="101" spans="9:10">
      <c r="I101">
        <v>46008</v>
      </c>
      <c r="J101">
        <v>-9.0111600916802752E-3</v>
      </c>
    </row>
    <row r="102" spans="9:10">
      <c r="I102">
        <v>46009</v>
      </c>
      <c r="J102">
        <v>1.682951360184025E-3</v>
      </c>
    </row>
    <row r="103" spans="9:10">
      <c r="I103">
        <v>46010</v>
      </c>
      <c r="J103">
        <v>9.2513412982135178E-3</v>
      </c>
    </row>
    <row r="104" spans="9:10">
      <c r="I104">
        <v>46013</v>
      </c>
      <c r="J104">
        <v>-1.398055071232155E-2</v>
      </c>
    </row>
    <row r="105" spans="9:10">
      <c r="I105">
        <v>46014</v>
      </c>
      <c r="J105">
        <v>9.7821602499528829E-3</v>
      </c>
    </row>
    <row r="106" spans="9:10">
      <c r="I106">
        <v>46015</v>
      </c>
      <c r="J106">
        <v>0</v>
      </c>
    </row>
    <row r="107" spans="9:10">
      <c r="I107">
        <v>46016</v>
      </c>
      <c r="J107">
        <v>0</v>
      </c>
    </row>
    <row r="108" spans="9:10">
      <c r="I108">
        <v>46017</v>
      </c>
      <c r="J108">
        <v>-6.7406921931246352E-2</v>
      </c>
    </row>
    <row r="109" spans="9:10">
      <c r="I109">
        <v>46020</v>
      </c>
      <c r="J109">
        <v>3.7909086159071098E-2</v>
      </c>
    </row>
    <row r="110" spans="9:10">
      <c r="I110">
        <v>46021</v>
      </c>
      <c r="J110">
        <v>-2.9089741177876709E-2</v>
      </c>
    </row>
    <row r="111" spans="9:10">
      <c r="I111">
        <v>46022</v>
      </c>
      <c r="J111">
        <v>2.6183957094252398E-2</v>
      </c>
    </row>
    <row r="112" spans="9:10">
      <c r="I112">
        <v>46023</v>
      </c>
      <c r="J112">
        <v>0</v>
      </c>
    </row>
    <row r="113" spans="9:10">
      <c r="I113">
        <v>46024</v>
      </c>
      <c r="J113">
        <v>7.1880629977216948E-2</v>
      </c>
    </row>
    <row r="114" spans="9:10">
      <c r="I114">
        <v>46027</v>
      </c>
      <c r="J114">
        <v>1.2283566167341607E-2</v>
      </c>
    </row>
    <row r="115" spans="9:10">
      <c r="I115">
        <v>46028</v>
      </c>
      <c r="J115">
        <v>-3.7431073709430301E-2</v>
      </c>
    </row>
    <row r="116" spans="9:10">
      <c r="I116">
        <v>46029</v>
      </c>
      <c r="J116">
        <v>0</v>
      </c>
    </row>
    <row r="117" spans="9:10">
      <c r="I117">
        <v>46030</v>
      </c>
      <c r="J117">
        <v>3.1568678360151793E-2</v>
      </c>
    </row>
    <row r="118" spans="9:10">
      <c r="I118">
        <v>46031</v>
      </c>
      <c r="J118">
        <v>1.5501222942079869E-2</v>
      </c>
    </row>
    <row r="119" spans="9:10">
      <c r="I119">
        <v>46034</v>
      </c>
      <c r="J119">
        <v>-1.4349317508025191E-3</v>
      </c>
    </row>
    <row r="120" spans="9:10">
      <c r="I120">
        <v>46035</v>
      </c>
      <c r="J120">
        <v>3.377371933802855E-2</v>
      </c>
    </row>
    <row r="121" spans="9:10">
      <c r="I121">
        <v>46036</v>
      </c>
      <c r="J121">
        <v>-2.5314420879623191E-2</v>
      </c>
    </row>
    <row r="122" spans="9:10">
      <c r="I122">
        <v>46037</v>
      </c>
      <c r="J122">
        <v>1.1369439606704231E-2</v>
      </c>
    </row>
    <row r="123" spans="9:10">
      <c r="I123">
        <v>46038</v>
      </c>
      <c r="J123">
        <v>0</v>
      </c>
    </row>
    <row r="124" spans="9:10">
      <c r="I124">
        <v>46041</v>
      </c>
      <c r="J124">
        <v>-2.5349579201436587E-2</v>
      </c>
    </row>
    <row r="125" spans="9:10">
      <c r="I125">
        <v>46042</v>
      </c>
      <c r="J125">
        <v>-2.4268504132286609E-2</v>
      </c>
    </row>
    <row r="126" spans="9:10">
      <c r="I126">
        <v>46043</v>
      </c>
      <c r="J126">
        <v>1.6768551995438103E-2</v>
      </c>
    </row>
    <row r="127" spans="9:10">
      <c r="I127">
        <v>46044</v>
      </c>
      <c r="J127">
        <v>0</v>
      </c>
    </row>
    <row r="128" spans="9:10">
      <c r="I128">
        <v>46045</v>
      </c>
      <c r="J128">
        <v>3.4581204957834698E-2</v>
      </c>
    </row>
    <row r="129" spans="9:10">
      <c r="I129">
        <v>46048</v>
      </c>
      <c r="J129">
        <v>-6.4630109226093468E-2</v>
      </c>
    </row>
    <row r="130" spans="9:10">
      <c r="I130">
        <v>46049</v>
      </c>
      <c r="J130">
        <v>3.0814358183119499E-2</v>
      </c>
    </row>
    <row r="131" spans="9:10">
      <c r="I131">
        <v>46050</v>
      </c>
      <c r="J131">
        <v>-9.5289890925097653E-2</v>
      </c>
    </row>
    <row r="132" spans="9:10">
      <c r="I132">
        <v>46051</v>
      </c>
      <c r="J132">
        <v>2.8146335125673199E-2</v>
      </c>
    </row>
    <row r="133" spans="9:10">
      <c r="I133">
        <v>46052</v>
      </c>
      <c r="J133">
        <v>-2.4874721032216451E-2</v>
      </c>
    </row>
    <row r="134" spans="9:10">
      <c r="I134">
        <v>46055</v>
      </c>
      <c r="J134">
        <v>-4.3924687391132859E-2</v>
      </c>
    </row>
    <row r="135" spans="9:10">
      <c r="I135">
        <v>46056</v>
      </c>
      <c r="J135">
        <v>9.543054751065946E-3</v>
      </c>
    </row>
    <row r="136" spans="9:10">
      <c r="I136">
        <v>46057</v>
      </c>
      <c r="J136">
        <v>0</v>
      </c>
    </row>
    <row r="137" spans="9:10">
      <c r="I137">
        <v>46058</v>
      </c>
      <c r="J137">
        <v>5.1465926531275727E-2</v>
      </c>
    </row>
    <row r="138" spans="9:10">
      <c r="I138">
        <v>46059</v>
      </c>
      <c r="J138">
        <v>0</v>
      </c>
    </row>
    <row r="139" spans="9:10">
      <c r="I139">
        <v>46062</v>
      </c>
      <c r="J139">
        <v>3.2022275716974281E-2</v>
      </c>
    </row>
    <row r="140" spans="9:10">
      <c r="I140">
        <v>46063</v>
      </c>
      <c r="J140">
        <v>5.2396094784323312E-3</v>
      </c>
    </row>
    <row r="141" spans="9:10">
      <c r="I141">
        <v>46064</v>
      </c>
      <c r="J141">
        <v>-2.84351477362512E-2</v>
      </c>
    </row>
    <row r="142" spans="9:10">
      <c r="I142">
        <v>46065</v>
      </c>
      <c r="J142">
        <v>-7.0452697774348788E-2</v>
      </c>
    </row>
    <row r="143" spans="9:10">
      <c r="I143">
        <v>46066</v>
      </c>
      <c r="J143">
        <v>0</v>
      </c>
    </row>
    <row r="144" spans="9:10">
      <c r="I144">
        <v>46069</v>
      </c>
      <c r="J144">
        <v>-1.064627997434734E-2</v>
      </c>
    </row>
    <row r="145" spans="9:10">
      <c r="I145">
        <v>46070</v>
      </c>
      <c r="J145">
        <v>-4.4207667557218527E-2</v>
      </c>
    </row>
    <row r="146" spans="9:10">
      <c r="I146">
        <v>46071</v>
      </c>
      <c r="J146">
        <v>0</v>
      </c>
    </row>
    <row r="147" spans="9:10">
      <c r="I147">
        <v>46072</v>
      </c>
      <c r="J147">
        <v>0.18913054234407489</v>
      </c>
    </row>
    <row r="148" spans="9:10">
      <c r="I148">
        <v>46073</v>
      </c>
      <c r="J148">
        <v>1.905583523101503E-2</v>
      </c>
    </row>
    <row r="149" spans="9:10">
      <c r="I149">
        <v>46076</v>
      </c>
      <c r="J149">
        <v>-4.5614140716762619E-3</v>
      </c>
    </row>
    <row r="150" spans="9:10">
      <c r="I150">
        <v>46077</v>
      </c>
      <c r="J150">
        <v>0.29918210848171167</v>
      </c>
    </row>
    <row r="151" spans="9:10">
      <c r="I151">
        <v>46078</v>
      </c>
      <c r="J151">
        <v>2.344911563112027E-2</v>
      </c>
    </row>
    <row r="152" spans="9:10">
      <c r="I152">
        <v>46079</v>
      </c>
      <c r="J152">
        <v>3.5437879234488032E-2</v>
      </c>
    </row>
    <row r="153" spans="9:10">
      <c r="I153">
        <v>46080</v>
      </c>
      <c r="J153">
        <v>2.932429062375902E-2</v>
      </c>
    </row>
    <row r="154" spans="9:10">
      <c r="I154">
        <v>46083</v>
      </c>
      <c r="J154">
        <v>-1.1372818950861844E-2</v>
      </c>
    </row>
    <row r="155" spans="9:10">
      <c r="I155">
        <v>46084</v>
      </c>
      <c r="J155">
        <v>0</v>
      </c>
    </row>
    <row r="156" spans="9:10">
      <c r="I156">
        <v>46085</v>
      </c>
      <c r="J156">
        <v>0</v>
      </c>
    </row>
    <row r="157" spans="9:10">
      <c r="I157">
        <v>46086</v>
      </c>
      <c r="J157">
        <v>8.4974226925782874E-3</v>
      </c>
    </row>
    <row r="158" spans="9:10">
      <c r="I158">
        <v>46087</v>
      </c>
      <c r="J158">
        <v>2.0200568908458057E-2</v>
      </c>
    </row>
    <row r="159" spans="9:10">
      <c r="I159">
        <v>46090</v>
      </c>
      <c r="J159">
        <v>0</v>
      </c>
    </row>
    <row r="160" spans="9:10">
      <c r="I160">
        <v>46091</v>
      </c>
      <c r="J160">
        <v>3.9027170332674829E-3</v>
      </c>
    </row>
    <row r="161" spans="9:10">
      <c r="I161">
        <v>46092</v>
      </c>
      <c r="J161">
        <v>3.3555249559518642E-2</v>
      </c>
    </row>
    <row r="162" spans="9:10">
      <c r="I162">
        <v>46093</v>
      </c>
      <c r="J162">
        <v>3.13244805825487E-3</v>
      </c>
    </row>
    <row r="163" spans="9:10">
      <c r="I163">
        <v>46094</v>
      </c>
      <c r="J163">
        <v>4.889214204906415E-3</v>
      </c>
    </row>
    <row r="164" spans="9:10">
      <c r="I164">
        <v>46097</v>
      </c>
      <c r="J164">
        <v>-1.168725080243109E-2</v>
      </c>
    </row>
    <row r="165" spans="9:10">
      <c r="I165">
        <v>46098</v>
      </c>
      <c r="J165">
        <v>2.032988863389126E-2</v>
      </c>
    </row>
    <row r="166" spans="9:10">
      <c r="I166">
        <v>46099</v>
      </c>
      <c r="J166">
        <v>6.4284866327173271E-2</v>
      </c>
    </row>
    <row r="167" spans="9:10">
      <c r="I167">
        <v>46100</v>
      </c>
      <c r="J167">
        <v>2.2302673609368859E-2</v>
      </c>
    </row>
    <row r="168" spans="9:10">
      <c r="I168">
        <v>46101</v>
      </c>
      <c r="J168">
        <v>7.5408636240340804E-2</v>
      </c>
    </row>
    <row r="169" spans="9:10">
      <c r="I169">
        <v>46104</v>
      </c>
      <c r="J169">
        <v>0.1050620566102059</v>
      </c>
    </row>
    <row r="170" spans="9:10">
      <c r="I170">
        <v>46105</v>
      </c>
      <c r="J170">
        <v>2.8319760290850031E-2</v>
      </c>
    </row>
    <row r="171" spans="9:10">
      <c r="I171">
        <v>46106</v>
      </c>
      <c r="J171">
        <v>1.8196491520493178E-2</v>
      </c>
    </row>
    <row r="172" spans="9:10">
      <c r="I172">
        <v>46107</v>
      </c>
      <c r="J172">
        <v>-3.5953400972235802E-2</v>
      </c>
    </row>
    <row r="173" spans="9:10">
      <c r="I173">
        <v>46108</v>
      </c>
      <c r="J173">
        <v>5.2512753125984198E-2</v>
      </c>
    </row>
    <row r="174" spans="9:10">
      <c r="I174">
        <v>46111</v>
      </c>
      <c r="J174">
        <v>-1.478140790216918E-2</v>
      </c>
    </row>
    <row r="175" spans="9:10">
      <c r="I175">
        <v>46112</v>
      </c>
      <c r="J175">
        <v>2.248447103200792E-2</v>
      </c>
    </row>
    <row r="176" spans="9:10">
      <c r="I176">
        <v>46113</v>
      </c>
      <c r="J176">
        <v>-4.4374444174416473E-2</v>
      </c>
    </row>
    <row r="177" spans="9:10">
      <c r="I177">
        <v>46114</v>
      </c>
      <c r="J177">
        <v>8.7869742136514814E-2</v>
      </c>
    </row>
    <row r="178" spans="9:10">
      <c r="I178">
        <v>46115</v>
      </c>
      <c r="J178">
        <v>7.4786142112859763E-2</v>
      </c>
    </row>
    <row r="179" spans="9:10">
      <c r="I179">
        <v>46118</v>
      </c>
      <c r="J179">
        <v>9.3925024288982556E-2</v>
      </c>
    </row>
    <row r="180" spans="9:10">
      <c r="I180">
        <v>46119</v>
      </c>
      <c r="J180">
        <v>1.7865594344240739E-2</v>
      </c>
    </row>
    <row r="181" spans="9:10">
      <c r="I181">
        <v>46120</v>
      </c>
      <c r="J181">
        <v>3.732356669295063E-2</v>
      </c>
    </row>
    <row r="182" spans="9:10">
      <c r="I182">
        <v>46121</v>
      </c>
      <c r="J182">
        <v>0</v>
      </c>
    </row>
    <row r="183" spans="9:10">
      <c r="I183">
        <v>46122</v>
      </c>
      <c r="J183">
        <v>1.6731569998816049E-2</v>
      </c>
    </row>
    <row r="184" spans="9:10">
      <c r="I184">
        <v>46125</v>
      </c>
      <c r="J184">
        <v>1.4881820469483331E-2</v>
      </c>
    </row>
    <row r="185" spans="9:10">
      <c r="I185">
        <v>46126</v>
      </c>
      <c r="J185">
        <v>3.2668884601760227E-2</v>
      </c>
    </row>
    <row r="186" spans="9:10">
      <c r="I186">
        <v>46127</v>
      </c>
      <c r="J186">
        <v>2.4979695004967011E-4</v>
      </c>
    </row>
    <row r="187" spans="9:10">
      <c r="I187">
        <v>46128</v>
      </c>
      <c r="J187">
        <v>5.1596983768450067E-2</v>
      </c>
    </row>
    <row r="188" spans="9:10">
      <c r="I188">
        <v>46129</v>
      </c>
      <c r="J188">
        <v>4.2975154208123527E-2</v>
      </c>
    </row>
    <row r="189" spans="9:10">
      <c r="I189">
        <v>46132</v>
      </c>
      <c r="J189">
        <v>3.3270346786763903E-2</v>
      </c>
    </row>
    <row r="190" spans="9:10">
      <c r="I190">
        <v>46133</v>
      </c>
      <c r="J190">
        <v>9.9378193684065584E-4</v>
      </c>
    </row>
    <row r="191" spans="9:10">
      <c r="I191">
        <v>46134</v>
      </c>
      <c r="J191">
        <v>0</v>
      </c>
    </row>
    <row r="192" spans="9:10">
      <c r="I192">
        <v>46135</v>
      </c>
      <c r="J192">
        <v>0.12878438391342359</v>
      </c>
    </row>
    <row r="193" spans="9:10">
      <c r="I193">
        <v>46136</v>
      </c>
      <c r="J193">
        <v>0</v>
      </c>
    </row>
    <row r="194" spans="9:10">
      <c r="I194">
        <v>46139</v>
      </c>
      <c r="J194">
        <v>5.1177265565441471E-3</v>
      </c>
    </row>
    <row r="195" spans="9:10">
      <c r="I195">
        <v>46140</v>
      </c>
      <c r="J195">
        <v>0</v>
      </c>
    </row>
    <row r="196" spans="9:10">
      <c r="I196">
        <v>46141</v>
      </c>
      <c r="J196">
        <v>-7.8514092506540619E-3</v>
      </c>
    </row>
    <row r="197" spans="9:10">
      <c r="I197">
        <v>46142</v>
      </c>
      <c r="J197">
        <v>-1.0529673039732649E-2</v>
      </c>
    </row>
    <row r="198" spans="9:10">
      <c r="I198">
        <v>46143</v>
      </c>
      <c r="J198">
        <v>0.10129965416472481</v>
      </c>
    </row>
    <row r="199" spans="9:10">
      <c r="I199">
        <v>46146</v>
      </c>
      <c r="J199">
        <v>4.8891117976027777E-2</v>
      </c>
    </row>
    <row r="200" spans="9:10">
      <c r="I200">
        <v>46147</v>
      </c>
      <c r="J200">
        <v>0</v>
      </c>
    </row>
    <row r="201" spans="9:10">
      <c r="I201">
        <v>46148</v>
      </c>
      <c r="J201">
        <v>6.4120503458908129E-2</v>
      </c>
    </row>
    <row r="202" spans="9:10">
      <c r="I202">
        <v>46149</v>
      </c>
      <c r="J202">
        <v>1.7754612431290711E-2</v>
      </c>
    </row>
    <row r="203" spans="9:10">
      <c r="I203">
        <v>46150</v>
      </c>
      <c r="J203">
        <v>2.7140635131398579E-2</v>
      </c>
    </row>
    <row r="204" spans="9:10">
      <c r="I204">
        <v>46153</v>
      </c>
      <c r="J204">
        <v>-7.7745258807532551E-4</v>
      </c>
    </row>
    <row r="205" spans="9:10">
      <c r="I205">
        <v>46154</v>
      </c>
      <c r="J205">
        <v>7.3255548206447155E-2</v>
      </c>
    </row>
    <row r="206" spans="9:10">
      <c r="I206">
        <v>46155</v>
      </c>
      <c r="J206">
        <v>2.2767046817832069E-2</v>
      </c>
    </row>
    <row r="207" spans="9:10">
      <c r="I207">
        <v>46156</v>
      </c>
      <c r="J207">
        <v>5.8112057797661872E-3</v>
      </c>
    </row>
    <row r="208" spans="9:10">
      <c r="I208">
        <v>46157</v>
      </c>
      <c r="J208">
        <v>-7.7197379549449894E-3</v>
      </c>
    </row>
    <row r="209" spans="9:10">
      <c r="I209">
        <v>46160</v>
      </c>
      <c r="J209">
        <v>0.13215833969482429</v>
      </c>
    </row>
    <row r="210" spans="9:10">
      <c r="I210">
        <v>46161</v>
      </c>
      <c r="J210">
        <v>0</v>
      </c>
    </row>
    <row r="211" spans="9:10">
      <c r="I211">
        <v>46162</v>
      </c>
      <c r="J211">
        <v>5.3277052561281305E-2</v>
      </c>
    </row>
    <row r="212" spans="9:10">
      <c r="I212">
        <v>46163</v>
      </c>
      <c r="J212">
        <v>0.1156941095637422</v>
      </c>
    </row>
    <row r="213" spans="9:10">
      <c r="I213">
        <v>46164</v>
      </c>
      <c r="J213">
        <v>0</v>
      </c>
    </row>
    <row r="214" spans="9:10">
      <c r="I214">
        <v>46167</v>
      </c>
      <c r="J214">
        <v>1.0493625801915846E-2</v>
      </c>
    </row>
    <row r="215" spans="9:10">
      <c r="I215">
        <v>46168</v>
      </c>
      <c r="J215">
        <v>1.9134867589938542E-2</v>
      </c>
    </row>
    <row r="216" spans="9:10">
      <c r="I216">
        <v>46169</v>
      </c>
      <c r="J216">
        <v>9.0643375112176554E-3</v>
      </c>
    </row>
    <row r="217" spans="9:10">
      <c r="I217">
        <v>46170</v>
      </c>
      <c r="J217">
        <v>-3.2076202372143321E-2</v>
      </c>
    </row>
    <row r="218" spans="9:10">
      <c r="I218">
        <v>46171</v>
      </c>
      <c r="J218">
        <v>-2.8853729387233309E-2</v>
      </c>
    </row>
    <row r="219" spans="9:10">
      <c r="I219">
        <v>46174</v>
      </c>
      <c r="J219">
        <v>0</v>
      </c>
    </row>
    <row r="220" spans="9:10">
      <c r="I220">
        <v>46175</v>
      </c>
      <c r="J220">
        <v>-2.7702416434387499E-2</v>
      </c>
    </row>
    <row r="221" spans="9:10">
      <c r="I221">
        <v>46176</v>
      </c>
      <c r="J221">
        <v>-1.5051257757557911E-2</v>
      </c>
    </row>
    <row r="222" spans="9:10">
      <c r="I222">
        <v>46177</v>
      </c>
      <c r="J222">
        <v>0</v>
      </c>
    </row>
    <row r="223" spans="9:10">
      <c r="I223">
        <v>46178</v>
      </c>
      <c r="J223">
        <v>-1.9946089934540751E-2</v>
      </c>
    </row>
    <row r="224" spans="9:10">
      <c r="I224">
        <v>46181</v>
      </c>
      <c r="J224">
        <v>-2.1006946493920587E-2</v>
      </c>
    </row>
    <row r="225" spans="9:10">
      <c r="I225">
        <v>46182</v>
      </c>
      <c r="J225">
        <v>5.014541835533478E-2</v>
      </c>
    </row>
    <row r="226" spans="9:10">
      <c r="I226">
        <v>46183</v>
      </c>
      <c r="J226">
        <v>-8.5004469820364414E-2</v>
      </c>
    </row>
    <row r="227" spans="9:10">
      <c r="I227">
        <v>46184</v>
      </c>
      <c r="J227">
        <v>-4.8817424123686927E-2</v>
      </c>
    </row>
    <row r="228" spans="9:10">
      <c r="I228">
        <v>46185</v>
      </c>
      <c r="J228">
        <v>4.0143352275268246E-3</v>
      </c>
    </row>
    <row r="229" spans="9:10">
      <c r="I229">
        <v>46188</v>
      </c>
      <c r="J229">
        <v>5.4200344762678723E-2</v>
      </c>
    </row>
    <row r="230" spans="9:10">
      <c r="I230">
        <v>46189</v>
      </c>
      <c r="J230">
        <v>3.8492134252094849E-2</v>
      </c>
    </row>
    <row r="231" spans="9:10">
      <c r="I231">
        <v>46190</v>
      </c>
      <c r="J231">
        <v>0</v>
      </c>
    </row>
    <row r="232" spans="9:10">
      <c r="I232">
        <v>46191</v>
      </c>
      <c r="J232">
        <v>5.1137665977115727E-2</v>
      </c>
    </row>
    <row r="233" spans="9:10">
      <c r="I233">
        <v>46192</v>
      </c>
      <c r="J233">
        <v>-2.1532070715916181E-2</v>
      </c>
    </row>
    <row r="234" spans="9:10">
      <c r="I234">
        <v>46195</v>
      </c>
      <c r="J234">
        <v>-7.3751544212037751E-2</v>
      </c>
    </row>
    <row r="235" spans="9:10">
      <c r="I235">
        <v>46196</v>
      </c>
      <c r="J235">
        <v>0</v>
      </c>
    </row>
    <row r="236" spans="9:10">
      <c r="I236">
        <v>46197</v>
      </c>
      <c r="J236">
        <v>0</v>
      </c>
    </row>
    <row r="237" spans="9:10">
      <c r="I237">
        <v>46198</v>
      </c>
      <c r="J237">
        <v>0</v>
      </c>
    </row>
    <row r="238" spans="9:10">
      <c r="I238">
        <v>46199</v>
      </c>
      <c r="J238">
        <v>0</v>
      </c>
    </row>
    <row r="239" spans="9:10">
      <c r="I239">
        <v>46202</v>
      </c>
      <c r="J239">
        <v>0</v>
      </c>
    </row>
    <row r="240" spans="9:10">
      <c r="I240">
        <v>46203</v>
      </c>
      <c r="J240">
        <v>0</v>
      </c>
    </row>
    <row r="241" spans="9:10">
      <c r="I241">
        <v>46204</v>
      </c>
      <c r="J241">
        <v>0</v>
      </c>
    </row>
    <row r="242" spans="9:10">
      <c r="I242">
        <v>46205</v>
      </c>
      <c r="J242">
        <v>0</v>
      </c>
    </row>
    <row r="243" spans="9:10">
      <c r="I243">
        <v>46206</v>
      </c>
      <c r="J243">
        <v>0</v>
      </c>
    </row>
    <row r="244" spans="9:10">
      <c r="I244">
        <v>46209</v>
      </c>
      <c r="J244">
        <v>0</v>
      </c>
    </row>
    <row r="245" spans="9:10">
      <c r="I245">
        <v>46210</v>
      </c>
      <c r="J245">
        <v>0</v>
      </c>
    </row>
    <row r="246" spans="9:10">
      <c r="I246">
        <v>46211</v>
      </c>
      <c r="J246">
        <v>0</v>
      </c>
    </row>
    <row r="247" spans="9:10">
      <c r="I247">
        <v>46212</v>
      </c>
      <c r="J247">
        <v>0</v>
      </c>
    </row>
    <row r="248" spans="9:10">
      <c r="I248">
        <v>46213</v>
      </c>
      <c r="J248">
        <v>0</v>
      </c>
    </row>
    <row r="249" spans="9:10">
      <c r="I249">
        <v>46216</v>
      </c>
      <c r="J249">
        <v>0</v>
      </c>
    </row>
    <row r="250" spans="9:10">
      <c r="I250">
        <v>46217</v>
      </c>
      <c r="J250">
        <v>0</v>
      </c>
    </row>
    <row r="251" spans="9:10">
      <c r="I251">
        <v>46218</v>
      </c>
      <c r="J251">
        <v>0</v>
      </c>
    </row>
    <row r="252" spans="9:10">
      <c r="I252">
        <v>46219</v>
      </c>
      <c r="J252">
        <v>0</v>
      </c>
    </row>
    <row r="253" spans="9:10">
      <c r="I253">
        <v>46220</v>
      </c>
      <c r="J253">
        <v>0</v>
      </c>
    </row>
    <row r="254" spans="9:10">
      <c r="I254">
        <v>46223</v>
      </c>
      <c r="J254">
        <v>0</v>
      </c>
    </row>
    <row r="255" spans="9:10">
      <c r="I255">
        <v>46224</v>
      </c>
      <c r="J255">
        <v>0</v>
      </c>
    </row>
    <row r="256" spans="9:10">
      <c r="I256">
        <v>46225</v>
      </c>
      <c r="J256">
        <v>0</v>
      </c>
    </row>
    <row r="257" spans="9:10">
      <c r="I257">
        <v>46226</v>
      </c>
      <c r="J257">
        <v>0</v>
      </c>
    </row>
    <row r="258" spans="9:10">
      <c r="I258">
        <v>46227</v>
      </c>
      <c r="J258">
        <v>0</v>
      </c>
    </row>
    <row r="259" spans="9:10">
      <c r="I259">
        <v>46230</v>
      </c>
      <c r="J259">
        <v>0</v>
      </c>
    </row>
    <row r="260" spans="9:10">
      <c r="I260">
        <v>46231</v>
      </c>
      <c r="J260">
        <v>0</v>
      </c>
    </row>
    <row r="261" spans="9:10">
      <c r="I261">
        <v>46232</v>
      </c>
      <c r="J261">
        <v>0</v>
      </c>
    </row>
    <row r="262" spans="9:10">
      <c r="I262">
        <v>46233</v>
      </c>
      <c r="J262">
        <v>0</v>
      </c>
    </row>
    <row r="263" spans="9:10">
      <c r="I263">
        <v>46234</v>
      </c>
      <c r="J26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Trades</vt:lpstr>
      <vt:lpstr>trades edited</vt:lpstr>
      <vt:lpstr>Analysis</vt:lpstr>
      <vt:lpstr>Comparison with multiple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Bibby</cp:lastModifiedBy>
  <dcterms:created xsi:type="dcterms:W3CDTF">2026-08-14T19:11:45Z</dcterms:created>
  <dcterms:modified xsi:type="dcterms:W3CDTF">2026-08-21T20:41:09Z</dcterms:modified>
</cp:coreProperties>
</file>