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8_{E4A7A2E0-A5D6-432B-97E0-66DCE0640BB6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Trades" sheetId="1" r:id="rId1"/>
    <sheet name="trades edited" sheetId="2" r:id="rId2"/>
    <sheet name="Analysis" sheetId="3" r:id="rId3"/>
    <sheet name="comparison with single pair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5" i="4"/>
  <c r="J263" i="4"/>
  <c r="J260" i="4"/>
  <c r="J259" i="4"/>
  <c r="J258" i="4"/>
  <c r="J252" i="4"/>
  <c r="J251" i="4"/>
  <c r="J247" i="4"/>
  <c r="J246" i="4"/>
  <c r="J245" i="4"/>
  <c r="J244" i="4"/>
  <c r="J236" i="4"/>
  <c r="J235" i="4"/>
  <c r="J233" i="4"/>
  <c r="J232" i="4"/>
  <c r="J231" i="4"/>
  <c r="J230" i="4"/>
  <c r="J222" i="4"/>
  <c r="J221" i="4"/>
  <c r="J219" i="4"/>
  <c r="J218" i="4"/>
  <c r="J217" i="4"/>
  <c r="J216" i="4"/>
  <c r="J208" i="4"/>
  <c r="J207" i="4"/>
  <c r="J205" i="4"/>
  <c r="J204" i="4"/>
  <c r="J203" i="4"/>
  <c r="J200" i="4"/>
  <c r="J194" i="4"/>
  <c r="J193" i="4"/>
  <c r="J191" i="4"/>
  <c r="J188" i="4"/>
  <c r="J187" i="4"/>
  <c r="J186" i="4"/>
  <c r="J180" i="4"/>
  <c r="J179" i="4"/>
  <c r="J175" i="4"/>
  <c r="J174" i="4"/>
  <c r="J173" i="4"/>
  <c r="J172" i="4"/>
  <c r="J164" i="4"/>
  <c r="J163" i="4"/>
  <c r="J161" i="4"/>
  <c r="J160" i="4"/>
  <c r="J159" i="4"/>
  <c r="J158" i="4"/>
  <c r="J150" i="4"/>
  <c r="J149" i="4"/>
  <c r="J147" i="4"/>
  <c r="J146" i="4"/>
  <c r="J145" i="4"/>
  <c r="J144" i="4"/>
  <c r="J136" i="4"/>
  <c r="J135" i="4"/>
  <c r="J133" i="4"/>
  <c r="J132" i="4"/>
  <c r="J131" i="4"/>
  <c r="J128" i="4"/>
  <c r="J122" i="4"/>
  <c r="J121" i="4"/>
  <c r="J119" i="4"/>
  <c r="J116" i="4"/>
  <c r="J115" i="4"/>
  <c r="J114" i="4"/>
  <c r="J108" i="4"/>
  <c r="J107" i="4"/>
  <c r="J103" i="4"/>
  <c r="J102" i="4"/>
  <c r="J101" i="4"/>
  <c r="J100" i="4"/>
  <c r="J92" i="4"/>
  <c r="J91" i="4"/>
  <c r="J89" i="4"/>
  <c r="J88" i="4"/>
  <c r="J87" i="4"/>
  <c r="J86" i="4"/>
  <c r="J78" i="4"/>
  <c r="J77" i="4"/>
  <c r="J75" i="4"/>
  <c r="J74" i="4"/>
  <c r="J73" i="4"/>
  <c r="J72" i="4"/>
  <c r="J64" i="4"/>
  <c r="J63" i="4"/>
  <c r="J61" i="4"/>
  <c r="J60" i="4"/>
  <c r="J59" i="4"/>
  <c r="J56" i="4"/>
  <c r="J50" i="4"/>
  <c r="J49" i="4"/>
  <c r="J47" i="4"/>
  <c r="J44" i="4"/>
  <c r="J43" i="4"/>
  <c r="J42" i="4"/>
  <c r="J36" i="4"/>
  <c r="J35" i="4"/>
  <c r="J31" i="4"/>
  <c r="J30" i="4"/>
  <c r="J29" i="4"/>
  <c r="J28" i="4"/>
  <c r="J20" i="4"/>
  <c r="J19" i="4"/>
  <c r="J17" i="4"/>
  <c r="J16" i="4"/>
  <c r="J15" i="4"/>
  <c r="J14" i="4"/>
  <c r="J6" i="4"/>
  <c r="J5" i="4"/>
  <c r="J4" i="4" a="1"/>
  <c r="J4" i="4"/>
  <c r="C4" i="4"/>
  <c r="C3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 s="1"/>
  <c r="C24" i="3" a="1"/>
  <c r="C24" i="3"/>
  <c r="L23" i="3"/>
  <c r="D23" i="3"/>
  <c r="C23" i="3"/>
  <c r="L22" i="3"/>
  <c r="D22" i="3"/>
  <c r="C22" i="3"/>
  <c r="L21" i="3"/>
  <c r="D21" i="3" a="1"/>
  <c r="D21" i="3" s="1"/>
  <c r="C21" i="3" a="1"/>
  <c r="C21" i="3" s="1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M6" i="3"/>
  <c r="M7" i="3" s="1"/>
  <c r="M8" i="3" s="1"/>
  <c r="M9" i="3" s="1"/>
  <c r="M10" i="3" s="1"/>
  <c r="L6" i="3"/>
  <c r="E6" i="3"/>
  <c r="D6" i="3"/>
  <c r="C6" i="3"/>
  <c r="T5" i="3"/>
  <c r="S5" i="3"/>
  <c r="O5" i="3"/>
  <c r="O6" i="3" s="1"/>
  <c r="O7" i="3" s="1"/>
  <c r="O8" i="3" s="1"/>
  <c r="O9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L5" i="3"/>
  <c r="E5" i="3"/>
  <c r="D5" i="3"/>
  <c r="C5" i="3"/>
  <c r="T4" i="3"/>
  <c r="S4" i="3"/>
  <c r="L4" i="3"/>
  <c r="T3" i="3"/>
  <c r="S3" i="3"/>
  <c r="O3" i="3"/>
  <c r="O4" i="3" s="1"/>
  <c r="N3" i="3"/>
  <c r="N4" i="3" s="1"/>
  <c r="N5" i="3" s="1"/>
  <c r="N6" i="3" s="1"/>
  <c r="N7" i="3" s="1"/>
  <c r="N8" i="3" s="1"/>
  <c r="N9" i="3" s="1"/>
  <c r="M3" i="3"/>
  <c r="M4" i="3" s="1"/>
  <c r="M5" i="3" s="1"/>
  <c r="L3" i="3"/>
  <c r="T2" i="3"/>
  <c r="S2" i="3"/>
  <c r="O2" i="3"/>
  <c r="N2" i="3"/>
  <c r="M2" i="3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AE556" i="2"/>
  <c r="Y556" i="2"/>
  <c r="X556" i="2"/>
  <c r="AE555" i="2"/>
  <c r="Y555" i="2"/>
  <c r="X555" i="2"/>
  <c r="AE554" i="2"/>
  <c r="Y554" i="2"/>
  <c r="X554" i="2"/>
  <c r="AE553" i="2"/>
  <c r="Y553" i="2"/>
  <c r="X553" i="2"/>
  <c r="AE552" i="2"/>
  <c r="Y552" i="2"/>
  <c r="X552" i="2"/>
  <c r="AE551" i="2"/>
  <c r="Y551" i="2"/>
  <c r="X551" i="2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AE544" i="2"/>
  <c r="Y544" i="2"/>
  <c r="X544" i="2"/>
  <c r="AE543" i="2"/>
  <c r="Y543" i="2"/>
  <c r="X543" i="2"/>
  <c r="AE542" i="2"/>
  <c r="Y542" i="2"/>
  <c r="X542" i="2"/>
  <c r="AE541" i="2"/>
  <c r="Y541" i="2"/>
  <c r="X541" i="2"/>
  <c r="AE540" i="2"/>
  <c r="Y540" i="2"/>
  <c r="X540" i="2"/>
  <c r="AE539" i="2"/>
  <c r="Y539" i="2"/>
  <c r="X539" i="2"/>
  <c r="AE538" i="2"/>
  <c r="Y538" i="2"/>
  <c r="X538" i="2"/>
  <c r="AE537" i="2"/>
  <c r="Y537" i="2"/>
  <c r="X537" i="2"/>
  <c r="AE536" i="2"/>
  <c r="Y536" i="2"/>
  <c r="X536" i="2"/>
  <c r="AE535" i="2"/>
  <c r="Y535" i="2"/>
  <c r="X535" i="2"/>
  <c r="AE534" i="2"/>
  <c r="Y534" i="2"/>
  <c r="X534" i="2"/>
  <c r="AE533" i="2"/>
  <c r="Y533" i="2"/>
  <c r="X533" i="2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AE523" i="2"/>
  <c r="Y523" i="2"/>
  <c r="X523" i="2"/>
  <c r="AE522" i="2"/>
  <c r="Y522" i="2"/>
  <c r="X522" i="2"/>
  <c r="AE521" i="2"/>
  <c r="Y521" i="2"/>
  <c r="X521" i="2"/>
  <c r="AE520" i="2"/>
  <c r="Y520" i="2"/>
  <c r="X520" i="2"/>
  <c r="AE519" i="2"/>
  <c r="Y519" i="2"/>
  <c r="X519" i="2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AE508" i="2"/>
  <c r="Y508" i="2"/>
  <c r="X508" i="2"/>
  <c r="AE507" i="2"/>
  <c r="Y507" i="2"/>
  <c r="X507" i="2"/>
  <c r="AE506" i="2"/>
  <c r="Y506" i="2"/>
  <c r="X506" i="2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AE499" i="2"/>
  <c r="Y499" i="2"/>
  <c r="X499" i="2"/>
  <c r="AE498" i="2"/>
  <c r="Y498" i="2"/>
  <c r="X498" i="2"/>
  <c r="AE497" i="2"/>
  <c r="Y497" i="2"/>
  <c r="X497" i="2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Y468" i="2"/>
  <c r="X468" i="2"/>
  <c r="AE467" i="2"/>
  <c r="Y467" i="2"/>
  <c r="X467" i="2"/>
  <c r="AE466" i="2"/>
  <c r="Y466" i="2"/>
  <c r="X466" i="2"/>
  <c r="AE465" i="2"/>
  <c r="Y465" i="2"/>
  <c r="X465" i="2"/>
  <c r="AE464" i="2"/>
  <c r="Y464" i="2"/>
  <c r="X464" i="2"/>
  <c r="AE463" i="2"/>
  <c r="Y463" i="2"/>
  <c r="X463" i="2"/>
  <c r="AE462" i="2"/>
  <c r="Y462" i="2"/>
  <c r="X462" i="2"/>
  <c r="AE461" i="2"/>
  <c r="Y461" i="2"/>
  <c r="X461" i="2"/>
  <c r="AE460" i="2"/>
  <c r="Y460" i="2"/>
  <c r="X460" i="2"/>
  <c r="AE459" i="2"/>
  <c r="Y459" i="2"/>
  <c r="X459" i="2"/>
  <c r="AE458" i="2"/>
  <c r="Y458" i="2"/>
  <c r="X458" i="2"/>
  <c r="AE457" i="2"/>
  <c r="Y457" i="2"/>
  <c r="X457" i="2"/>
  <c r="AE456" i="2"/>
  <c r="Y456" i="2"/>
  <c r="X456" i="2"/>
  <c r="AE455" i="2"/>
  <c r="Y455" i="2"/>
  <c r="X455" i="2"/>
  <c r="AE454" i="2"/>
  <c r="Y454" i="2"/>
  <c r="X454" i="2"/>
  <c r="AE453" i="2"/>
  <c r="Y453" i="2"/>
  <c r="X453" i="2"/>
  <c r="AE452" i="2"/>
  <c r="Y452" i="2"/>
  <c r="X452" i="2"/>
  <c r="AE451" i="2"/>
  <c r="Y451" i="2"/>
  <c r="X451" i="2"/>
  <c r="AE450" i="2"/>
  <c r="Y450" i="2"/>
  <c r="X450" i="2"/>
  <c r="AE449" i="2"/>
  <c r="Y449" i="2"/>
  <c r="X449" i="2"/>
  <c r="AE448" i="2"/>
  <c r="Y448" i="2"/>
  <c r="X448" i="2"/>
  <c r="AE447" i="2"/>
  <c r="Y447" i="2"/>
  <c r="X447" i="2"/>
  <c r="AE446" i="2"/>
  <c r="Y446" i="2"/>
  <c r="X446" i="2"/>
  <c r="AE445" i="2"/>
  <c r="Y445" i="2"/>
  <c r="X445" i="2"/>
  <c r="AE444" i="2"/>
  <c r="Y444" i="2"/>
  <c r="X444" i="2"/>
  <c r="AE443" i="2"/>
  <c r="Y443" i="2"/>
  <c r="X443" i="2"/>
  <c r="AE442" i="2"/>
  <c r="Y442" i="2"/>
  <c r="X442" i="2"/>
  <c r="AE441" i="2"/>
  <c r="Y441" i="2"/>
  <c r="X441" i="2"/>
  <c r="AE440" i="2"/>
  <c r="Y440" i="2"/>
  <c r="X440" i="2"/>
  <c r="AE439" i="2"/>
  <c r="Y439" i="2"/>
  <c r="X439" i="2"/>
  <c r="AE438" i="2"/>
  <c r="Y438" i="2"/>
  <c r="X438" i="2"/>
  <c r="AE437" i="2"/>
  <c r="Y437" i="2"/>
  <c r="X437" i="2"/>
  <c r="AE436" i="2"/>
  <c r="Y436" i="2"/>
  <c r="X436" i="2"/>
  <c r="AE435" i="2"/>
  <c r="Y435" i="2"/>
  <c r="X435" i="2"/>
  <c r="AE434" i="2"/>
  <c r="Y434" i="2"/>
  <c r="X434" i="2"/>
  <c r="AE433" i="2"/>
  <c r="Y433" i="2"/>
  <c r="X433" i="2"/>
  <c r="AE432" i="2"/>
  <c r="Y432" i="2"/>
  <c r="X432" i="2"/>
  <c r="AE431" i="2"/>
  <c r="Y431" i="2"/>
  <c r="X431" i="2"/>
  <c r="AE430" i="2"/>
  <c r="Y430" i="2"/>
  <c r="X430" i="2"/>
  <c r="AE429" i="2"/>
  <c r="Y429" i="2"/>
  <c r="X429" i="2"/>
  <c r="AE428" i="2"/>
  <c r="Y428" i="2"/>
  <c r="X428" i="2"/>
  <c r="AE427" i="2"/>
  <c r="Y427" i="2"/>
  <c r="X427" i="2"/>
  <c r="AE426" i="2"/>
  <c r="Y426" i="2"/>
  <c r="X426" i="2"/>
  <c r="AE425" i="2"/>
  <c r="Y425" i="2"/>
  <c r="X425" i="2"/>
  <c r="AE424" i="2"/>
  <c r="Y424" i="2"/>
  <c r="X424" i="2"/>
  <c r="AE423" i="2"/>
  <c r="Y423" i="2"/>
  <c r="X423" i="2"/>
  <c r="AE422" i="2"/>
  <c r="Y422" i="2"/>
  <c r="X422" i="2"/>
  <c r="AE421" i="2"/>
  <c r="Y421" i="2"/>
  <c r="X421" i="2"/>
  <c r="AE420" i="2"/>
  <c r="Y420" i="2"/>
  <c r="X420" i="2"/>
  <c r="AE419" i="2"/>
  <c r="Y419" i="2"/>
  <c r="X419" i="2"/>
  <c r="AE418" i="2"/>
  <c r="Y418" i="2"/>
  <c r="X418" i="2"/>
  <c r="AE417" i="2"/>
  <c r="Y417" i="2"/>
  <c r="X417" i="2"/>
  <c r="AE416" i="2"/>
  <c r="Y416" i="2"/>
  <c r="X416" i="2"/>
  <c r="AE415" i="2"/>
  <c r="Y415" i="2"/>
  <c r="X415" i="2"/>
  <c r="AE414" i="2"/>
  <c r="Y414" i="2"/>
  <c r="X414" i="2"/>
  <c r="AE413" i="2"/>
  <c r="Y413" i="2"/>
  <c r="X413" i="2"/>
  <c r="AE412" i="2"/>
  <c r="Y412" i="2"/>
  <c r="X412" i="2"/>
  <c r="AE411" i="2"/>
  <c r="Y411" i="2"/>
  <c r="X411" i="2"/>
  <c r="AE410" i="2"/>
  <c r="Y410" i="2"/>
  <c r="X410" i="2"/>
  <c r="AE409" i="2"/>
  <c r="Y409" i="2"/>
  <c r="X409" i="2"/>
  <c r="AE408" i="2"/>
  <c r="Y408" i="2"/>
  <c r="X408" i="2"/>
  <c r="AE407" i="2"/>
  <c r="Y407" i="2"/>
  <c r="X407" i="2"/>
  <c r="AE406" i="2"/>
  <c r="Y406" i="2"/>
  <c r="X406" i="2"/>
  <c r="AE405" i="2"/>
  <c r="Y405" i="2"/>
  <c r="X405" i="2"/>
  <c r="AE404" i="2"/>
  <c r="Y404" i="2"/>
  <c r="X404" i="2"/>
  <c r="AE403" i="2"/>
  <c r="Y403" i="2"/>
  <c r="X403" i="2"/>
  <c r="AE402" i="2"/>
  <c r="Y402" i="2"/>
  <c r="X402" i="2"/>
  <c r="AE401" i="2"/>
  <c r="Y401" i="2"/>
  <c r="X401" i="2"/>
  <c r="AE400" i="2"/>
  <c r="Y400" i="2"/>
  <c r="X400" i="2"/>
  <c r="AE399" i="2"/>
  <c r="Y399" i="2"/>
  <c r="X399" i="2"/>
  <c r="AE398" i="2"/>
  <c r="Y398" i="2"/>
  <c r="X398" i="2"/>
  <c r="AE397" i="2"/>
  <c r="Y397" i="2"/>
  <c r="X397" i="2"/>
  <c r="AE396" i="2"/>
  <c r="Y396" i="2"/>
  <c r="X396" i="2"/>
  <c r="AE395" i="2"/>
  <c r="Y395" i="2"/>
  <c r="X395" i="2"/>
  <c r="AE394" i="2"/>
  <c r="Y394" i="2"/>
  <c r="X394" i="2"/>
  <c r="AE393" i="2"/>
  <c r="Y393" i="2"/>
  <c r="X393" i="2"/>
  <c r="AE392" i="2"/>
  <c r="Y392" i="2"/>
  <c r="X392" i="2"/>
  <c r="AE391" i="2"/>
  <c r="Y391" i="2"/>
  <c r="X391" i="2"/>
  <c r="AE390" i="2"/>
  <c r="Y390" i="2"/>
  <c r="X390" i="2"/>
  <c r="AE389" i="2"/>
  <c r="Y389" i="2"/>
  <c r="X389" i="2"/>
  <c r="AE388" i="2"/>
  <c r="Y388" i="2"/>
  <c r="X388" i="2"/>
  <c r="AE387" i="2"/>
  <c r="Y387" i="2"/>
  <c r="X387" i="2"/>
  <c r="AE386" i="2"/>
  <c r="Y386" i="2"/>
  <c r="X386" i="2"/>
  <c r="AE385" i="2"/>
  <c r="Y385" i="2"/>
  <c r="X385" i="2"/>
  <c r="AE384" i="2"/>
  <c r="Y384" i="2"/>
  <c r="X384" i="2"/>
  <c r="AE383" i="2"/>
  <c r="Y383" i="2"/>
  <c r="X383" i="2"/>
  <c r="AE382" i="2"/>
  <c r="Y382" i="2"/>
  <c r="X382" i="2"/>
  <c r="AE381" i="2"/>
  <c r="Y381" i="2"/>
  <c r="X381" i="2"/>
  <c r="AE380" i="2"/>
  <c r="Y380" i="2"/>
  <c r="X380" i="2"/>
  <c r="AE379" i="2"/>
  <c r="Y379" i="2"/>
  <c r="X379" i="2"/>
  <c r="AE378" i="2"/>
  <c r="Y378" i="2"/>
  <c r="X378" i="2"/>
  <c r="AE377" i="2"/>
  <c r="Y377" i="2"/>
  <c r="X377" i="2"/>
  <c r="AE376" i="2"/>
  <c r="Y376" i="2"/>
  <c r="X376" i="2"/>
  <c r="AE375" i="2"/>
  <c r="Y375" i="2"/>
  <c r="X375" i="2"/>
  <c r="AE374" i="2"/>
  <c r="Y374" i="2"/>
  <c r="X374" i="2"/>
  <c r="AE373" i="2"/>
  <c r="Y373" i="2"/>
  <c r="X373" i="2"/>
  <c r="AE372" i="2"/>
  <c r="Y372" i="2"/>
  <c r="X372" i="2"/>
  <c r="AE371" i="2"/>
  <c r="Y371" i="2"/>
  <c r="X371" i="2"/>
  <c r="AE370" i="2"/>
  <c r="Y370" i="2"/>
  <c r="X370" i="2"/>
  <c r="AE369" i="2"/>
  <c r="Y369" i="2"/>
  <c r="X369" i="2"/>
  <c r="AE368" i="2"/>
  <c r="Y368" i="2"/>
  <c r="X368" i="2"/>
  <c r="AE367" i="2"/>
  <c r="Y367" i="2"/>
  <c r="X367" i="2"/>
  <c r="AE366" i="2"/>
  <c r="Y366" i="2"/>
  <c r="X366" i="2"/>
  <c r="AE365" i="2"/>
  <c r="Y365" i="2"/>
  <c r="X365" i="2"/>
  <c r="AE364" i="2"/>
  <c r="Y364" i="2"/>
  <c r="X364" i="2"/>
  <c r="AE363" i="2"/>
  <c r="Y363" i="2"/>
  <c r="X363" i="2"/>
  <c r="AE362" i="2"/>
  <c r="Y362" i="2"/>
  <c r="X362" i="2"/>
  <c r="AE361" i="2"/>
  <c r="Y361" i="2"/>
  <c r="X361" i="2"/>
  <c r="AE360" i="2"/>
  <c r="Y360" i="2"/>
  <c r="X360" i="2"/>
  <c r="AE359" i="2"/>
  <c r="Y359" i="2"/>
  <c r="X359" i="2"/>
  <c r="AE358" i="2"/>
  <c r="Y358" i="2"/>
  <c r="X358" i="2"/>
  <c r="AE357" i="2"/>
  <c r="Y357" i="2"/>
  <c r="X357" i="2"/>
  <c r="AE356" i="2"/>
  <c r="Y356" i="2"/>
  <c r="X356" i="2"/>
  <c r="AE355" i="2"/>
  <c r="Y355" i="2"/>
  <c r="X355" i="2"/>
  <c r="AE354" i="2"/>
  <c r="Y354" i="2"/>
  <c r="X354" i="2"/>
  <c r="AE353" i="2"/>
  <c r="Y353" i="2"/>
  <c r="X353" i="2"/>
  <c r="AE352" i="2"/>
  <c r="Y352" i="2"/>
  <c r="X352" i="2"/>
  <c r="AE351" i="2"/>
  <c r="Y351" i="2"/>
  <c r="X351" i="2"/>
  <c r="AE350" i="2"/>
  <c r="Y350" i="2"/>
  <c r="X350" i="2"/>
  <c r="AE349" i="2"/>
  <c r="Y349" i="2"/>
  <c r="X349" i="2"/>
  <c r="AE348" i="2"/>
  <c r="Y348" i="2"/>
  <c r="X348" i="2"/>
  <c r="AE347" i="2"/>
  <c r="Y347" i="2"/>
  <c r="X347" i="2"/>
  <c r="AE346" i="2"/>
  <c r="Y346" i="2"/>
  <c r="X346" i="2"/>
  <c r="AE345" i="2"/>
  <c r="Y345" i="2"/>
  <c r="X345" i="2"/>
  <c r="AE344" i="2"/>
  <c r="Y344" i="2"/>
  <c r="X344" i="2"/>
  <c r="AE343" i="2"/>
  <c r="Y343" i="2"/>
  <c r="X343" i="2"/>
  <c r="AE342" i="2"/>
  <c r="Y342" i="2"/>
  <c r="X342" i="2"/>
  <c r="AE341" i="2"/>
  <c r="Y341" i="2"/>
  <c r="X341" i="2"/>
  <c r="AE340" i="2"/>
  <c r="Y340" i="2"/>
  <c r="X340" i="2"/>
  <c r="AE339" i="2"/>
  <c r="Y339" i="2"/>
  <c r="X339" i="2"/>
  <c r="AE338" i="2"/>
  <c r="Y338" i="2"/>
  <c r="X338" i="2"/>
  <c r="AE337" i="2"/>
  <c r="Y337" i="2"/>
  <c r="X337" i="2"/>
  <c r="AE336" i="2"/>
  <c r="Y336" i="2"/>
  <c r="X336" i="2"/>
  <c r="AE335" i="2"/>
  <c r="Y335" i="2"/>
  <c r="X335" i="2"/>
  <c r="AE334" i="2"/>
  <c r="Y334" i="2"/>
  <c r="X334" i="2"/>
  <c r="AE333" i="2"/>
  <c r="Y333" i="2"/>
  <c r="X333" i="2"/>
  <c r="AE332" i="2"/>
  <c r="Y332" i="2"/>
  <c r="X332" i="2"/>
  <c r="AE331" i="2"/>
  <c r="Y331" i="2"/>
  <c r="X331" i="2"/>
  <c r="AE330" i="2"/>
  <c r="Y330" i="2"/>
  <c r="X330" i="2"/>
  <c r="AE329" i="2"/>
  <c r="Y329" i="2"/>
  <c r="X329" i="2"/>
  <c r="AE328" i="2"/>
  <c r="Y328" i="2"/>
  <c r="X328" i="2"/>
  <c r="AE327" i="2"/>
  <c r="Y327" i="2"/>
  <c r="X327" i="2"/>
  <c r="AE326" i="2"/>
  <c r="Y326" i="2"/>
  <c r="X326" i="2"/>
  <c r="AE325" i="2"/>
  <c r="Y325" i="2"/>
  <c r="X325" i="2"/>
  <c r="AE324" i="2"/>
  <c r="Y324" i="2"/>
  <c r="X324" i="2"/>
  <c r="AE323" i="2"/>
  <c r="Y323" i="2"/>
  <c r="X323" i="2"/>
  <c r="AE322" i="2"/>
  <c r="Y322" i="2"/>
  <c r="X322" i="2"/>
  <c r="AE321" i="2"/>
  <c r="Y321" i="2"/>
  <c r="X321" i="2"/>
  <c r="AE320" i="2"/>
  <c r="Y320" i="2"/>
  <c r="X320" i="2"/>
  <c r="AE319" i="2"/>
  <c r="Y319" i="2"/>
  <c r="X319" i="2"/>
  <c r="AE318" i="2"/>
  <c r="Y318" i="2"/>
  <c r="X318" i="2"/>
  <c r="AE317" i="2"/>
  <c r="Y317" i="2"/>
  <c r="X317" i="2"/>
  <c r="AE316" i="2"/>
  <c r="Y316" i="2"/>
  <c r="X316" i="2"/>
  <c r="AE315" i="2"/>
  <c r="Y315" i="2"/>
  <c r="X315" i="2"/>
  <c r="AE314" i="2"/>
  <c r="Y314" i="2"/>
  <c r="X314" i="2"/>
  <c r="AE313" i="2"/>
  <c r="Y313" i="2"/>
  <c r="X313" i="2"/>
  <c r="AE312" i="2"/>
  <c r="Y312" i="2"/>
  <c r="X312" i="2"/>
  <c r="AE311" i="2"/>
  <c r="Y311" i="2"/>
  <c r="X311" i="2"/>
  <c r="AE310" i="2"/>
  <c r="Y310" i="2"/>
  <c r="X310" i="2"/>
  <c r="AE309" i="2"/>
  <c r="Y309" i="2"/>
  <c r="X309" i="2"/>
  <c r="AE308" i="2"/>
  <c r="Y308" i="2"/>
  <c r="X308" i="2"/>
  <c r="AE307" i="2"/>
  <c r="Y307" i="2"/>
  <c r="X307" i="2"/>
  <c r="AE306" i="2"/>
  <c r="Y306" i="2"/>
  <c r="X306" i="2"/>
  <c r="AE305" i="2"/>
  <c r="Y305" i="2"/>
  <c r="X305" i="2"/>
  <c r="AE304" i="2"/>
  <c r="Y304" i="2"/>
  <c r="X304" i="2"/>
  <c r="AE303" i="2"/>
  <c r="Y303" i="2"/>
  <c r="X303" i="2"/>
  <c r="AE302" i="2"/>
  <c r="Y302" i="2"/>
  <c r="X302" i="2"/>
  <c r="AE301" i="2"/>
  <c r="Y301" i="2"/>
  <c r="X301" i="2"/>
  <c r="AE300" i="2"/>
  <c r="Y300" i="2"/>
  <c r="X300" i="2"/>
  <c r="AE299" i="2"/>
  <c r="Y299" i="2"/>
  <c r="X299" i="2"/>
  <c r="AE298" i="2"/>
  <c r="Y298" i="2"/>
  <c r="X298" i="2"/>
  <c r="AE297" i="2"/>
  <c r="Y297" i="2"/>
  <c r="X297" i="2"/>
  <c r="AE296" i="2"/>
  <c r="Y296" i="2"/>
  <c r="X296" i="2"/>
  <c r="AE295" i="2"/>
  <c r="Y295" i="2"/>
  <c r="X295" i="2"/>
  <c r="AE294" i="2"/>
  <c r="Y294" i="2"/>
  <c r="X294" i="2"/>
  <c r="AE293" i="2"/>
  <c r="Y293" i="2"/>
  <c r="X293" i="2"/>
  <c r="AE292" i="2"/>
  <c r="Y292" i="2"/>
  <c r="X292" i="2"/>
  <c r="AE291" i="2"/>
  <c r="Y291" i="2"/>
  <c r="X291" i="2"/>
  <c r="AE290" i="2"/>
  <c r="Y290" i="2"/>
  <c r="X290" i="2"/>
  <c r="AE289" i="2"/>
  <c r="Y289" i="2"/>
  <c r="X289" i="2"/>
  <c r="AE288" i="2"/>
  <c r="Y288" i="2"/>
  <c r="X288" i="2"/>
  <c r="AE287" i="2"/>
  <c r="Y287" i="2"/>
  <c r="X287" i="2"/>
  <c r="AE286" i="2"/>
  <c r="Y286" i="2"/>
  <c r="X286" i="2"/>
  <c r="AE285" i="2"/>
  <c r="Y285" i="2"/>
  <c r="X285" i="2"/>
  <c r="AE284" i="2"/>
  <c r="Y284" i="2"/>
  <c r="X284" i="2"/>
  <c r="AE283" i="2"/>
  <c r="Y283" i="2"/>
  <c r="X283" i="2"/>
  <c r="AE282" i="2"/>
  <c r="Y282" i="2"/>
  <c r="X282" i="2"/>
  <c r="AE281" i="2"/>
  <c r="Y281" i="2"/>
  <c r="X281" i="2"/>
  <c r="AE280" i="2"/>
  <c r="Y280" i="2"/>
  <c r="X280" i="2"/>
  <c r="AE279" i="2"/>
  <c r="Y279" i="2"/>
  <c r="X279" i="2"/>
  <c r="AE278" i="2"/>
  <c r="Y278" i="2"/>
  <c r="X278" i="2"/>
  <c r="AE277" i="2"/>
  <c r="Y277" i="2"/>
  <c r="X277" i="2"/>
  <c r="AE276" i="2"/>
  <c r="Y276" i="2"/>
  <c r="X276" i="2"/>
  <c r="AE275" i="2"/>
  <c r="Y275" i="2"/>
  <c r="X275" i="2"/>
  <c r="AE274" i="2"/>
  <c r="Y274" i="2"/>
  <c r="X274" i="2"/>
  <c r="AE273" i="2"/>
  <c r="Y273" i="2"/>
  <c r="X273" i="2"/>
  <c r="AE272" i="2"/>
  <c r="Y272" i="2"/>
  <c r="X272" i="2"/>
  <c r="AE271" i="2"/>
  <c r="Y271" i="2"/>
  <c r="X271" i="2"/>
  <c r="AE270" i="2"/>
  <c r="Y270" i="2"/>
  <c r="X270" i="2"/>
  <c r="AE269" i="2"/>
  <c r="Y269" i="2"/>
  <c r="X269" i="2"/>
  <c r="AE268" i="2"/>
  <c r="Y268" i="2"/>
  <c r="X268" i="2"/>
  <c r="AE267" i="2"/>
  <c r="Y267" i="2"/>
  <c r="X267" i="2"/>
  <c r="AE266" i="2"/>
  <c r="Y266" i="2"/>
  <c r="X266" i="2"/>
  <c r="AE265" i="2"/>
  <c r="Y265" i="2"/>
  <c r="X265" i="2"/>
  <c r="AE264" i="2"/>
  <c r="Y264" i="2"/>
  <c r="X264" i="2"/>
  <c r="AE263" i="2"/>
  <c r="Y263" i="2"/>
  <c r="X263" i="2"/>
  <c r="AE262" i="2"/>
  <c r="Y262" i="2"/>
  <c r="X262" i="2"/>
  <c r="AE261" i="2"/>
  <c r="Y261" i="2"/>
  <c r="X261" i="2"/>
  <c r="AE260" i="2"/>
  <c r="Y260" i="2"/>
  <c r="X260" i="2"/>
  <c r="AE259" i="2"/>
  <c r="Y259" i="2"/>
  <c r="X259" i="2"/>
  <c r="AE258" i="2"/>
  <c r="Y258" i="2"/>
  <c r="X258" i="2"/>
  <c r="AE257" i="2"/>
  <c r="Y257" i="2"/>
  <c r="X257" i="2"/>
  <c r="AE256" i="2"/>
  <c r="Y256" i="2"/>
  <c r="X256" i="2"/>
  <c r="AE255" i="2"/>
  <c r="Y255" i="2"/>
  <c r="X255" i="2"/>
  <c r="AE254" i="2"/>
  <c r="Y254" i="2"/>
  <c r="X254" i="2"/>
  <c r="AE253" i="2"/>
  <c r="Y253" i="2"/>
  <c r="X253" i="2"/>
  <c r="AE252" i="2"/>
  <c r="Y252" i="2"/>
  <c r="X252" i="2"/>
  <c r="AE251" i="2"/>
  <c r="Y251" i="2"/>
  <c r="X251" i="2"/>
  <c r="AE250" i="2"/>
  <c r="Y250" i="2"/>
  <c r="X250" i="2"/>
  <c r="AE249" i="2"/>
  <c r="Y249" i="2"/>
  <c r="X249" i="2"/>
  <c r="AE248" i="2"/>
  <c r="Y248" i="2"/>
  <c r="X248" i="2"/>
  <c r="AE247" i="2"/>
  <c r="Y247" i="2"/>
  <c r="X247" i="2"/>
  <c r="AE246" i="2"/>
  <c r="Y246" i="2"/>
  <c r="X246" i="2"/>
  <c r="AE245" i="2"/>
  <c r="Y245" i="2"/>
  <c r="X245" i="2"/>
  <c r="AE244" i="2"/>
  <c r="Y244" i="2"/>
  <c r="X244" i="2"/>
  <c r="AE243" i="2"/>
  <c r="Y243" i="2"/>
  <c r="X243" i="2"/>
  <c r="AE242" i="2"/>
  <c r="Y242" i="2"/>
  <c r="X242" i="2"/>
  <c r="AE241" i="2"/>
  <c r="Y241" i="2"/>
  <c r="X241" i="2"/>
  <c r="AE240" i="2"/>
  <c r="Y240" i="2"/>
  <c r="X240" i="2"/>
  <c r="AE239" i="2"/>
  <c r="Y239" i="2"/>
  <c r="X239" i="2"/>
  <c r="AE238" i="2"/>
  <c r="Y238" i="2"/>
  <c r="X238" i="2"/>
  <c r="AE237" i="2"/>
  <c r="Y237" i="2"/>
  <c r="X237" i="2"/>
  <c r="AE236" i="2"/>
  <c r="Y236" i="2"/>
  <c r="X236" i="2"/>
  <c r="AE235" i="2"/>
  <c r="Y235" i="2"/>
  <c r="X235" i="2"/>
  <c r="AE234" i="2"/>
  <c r="Y234" i="2"/>
  <c r="X234" i="2"/>
  <c r="AE233" i="2"/>
  <c r="Y233" i="2"/>
  <c r="X233" i="2"/>
  <c r="AE232" i="2"/>
  <c r="Y232" i="2"/>
  <c r="X232" i="2"/>
  <c r="AE231" i="2"/>
  <c r="Y231" i="2"/>
  <c r="X231" i="2"/>
  <c r="AE230" i="2"/>
  <c r="Y230" i="2"/>
  <c r="X230" i="2"/>
  <c r="AE229" i="2"/>
  <c r="Y229" i="2"/>
  <c r="X229" i="2"/>
  <c r="AE228" i="2"/>
  <c r="Y228" i="2"/>
  <c r="X228" i="2"/>
  <c r="AE227" i="2"/>
  <c r="Y227" i="2"/>
  <c r="X227" i="2"/>
  <c r="AE226" i="2"/>
  <c r="Y226" i="2"/>
  <c r="X226" i="2"/>
  <c r="AE225" i="2"/>
  <c r="Y225" i="2"/>
  <c r="X225" i="2"/>
  <c r="AE224" i="2"/>
  <c r="Y224" i="2"/>
  <c r="X224" i="2"/>
  <c r="AE223" i="2"/>
  <c r="Y223" i="2"/>
  <c r="X223" i="2"/>
  <c r="AE222" i="2"/>
  <c r="Y222" i="2"/>
  <c r="X222" i="2"/>
  <c r="AE221" i="2"/>
  <c r="Y221" i="2"/>
  <c r="X221" i="2"/>
  <c r="AE220" i="2"/>
  <c r="Y220" i="2"/>
  <c r="X220" i="2"/>
  <c r="AE219" i="2"/>
  <c r="Y219" i="2"/>
  <c r="X219" i="2"/>
  <c r="AE218" i="2"/>
  <c r="Y218" i="2"/>
  <c r="X218" i="2"/>
  <c r="AE217" i="2"/>
  <c r="Y217" i="2"/>
  <c r="X217" i="2"/>
  <c r="AE216" i="2"/>
  <c r="Y216" i="2"/>
  <c r="X216" i="2"/>
  <c r="AE215" i="2"/>
  <c r="Y215" i="2"/>
  <c r="X215" i="2"/>
  <c r="AE214" i="2"/>
  <c r="Y214" i="2"/>
  <c r="X214" i="2"/>
  <c r="AE213" i="2"/>
  <c r="Y213" i="2"/>
  <c r="X213" i="2"/>
  <c r="AE212" i="2"/>
  <c r="Y212" i="2"/>
  <c r="X212" i="2"/>
  <c r="AE211" i="2"/>
  <c r="Y211" i="2"/>
  <c r="X211" i="2"/>
  <c r="AE210" i="2"/>
  <c r="Y210" i="2"/>
  <c r="X210" i="2"/>
  <c r="AE209" i="2"/>
  <c r="Y209" i="2"/>
  <c r="X209" i="2"/>
  <c r="AE208" i="2"/>
  <c r="Y208" i="2"/>
  <c r="X208" i="2"/>
  <c r="AE207" i="2"/>
  <c r="Y207" i="2"/>
  <c r="X207" i="2"/>
  <c r="AE206" i="2"/>
  <c r="Y206" i="2"/>
  <c r="X206" i="2"/>
  <c r="AE205" i="2"/>
  <c r="Y205" i="2"/>
  <c r="X205" i="2"/>
  <c r="AE204" i="2"/>
  <c r="Y204" i="2"/>
  <c r="X204" i="2"/>
  <c r="AE203" i="2"/>
  <c r="Y203" i="2"/>
  <c r="X203" i="2"/>
  <c r="AE202" i="2"/>
  <c r="Y202" i="2"/>
  <c r="X202" i="2"/>
  <c r="AE201" i="2"/>
  <c r="Y201" i="2"/>
  <c r="X201" i="2"/>
  <c r="AE200" i="2"/>
  <c r="Y200" i="2"/>
  <c r="X200" i="2"/>
  <c r="AE199" i="2"/>
  <c r="Y199" i="2"/>
  <c r="X199" i="2"/>
  <c r="AE198" i="2"/>
  <c r="Y198" i="2"/>
  <c r="X198" i="2"/>
  <c r="AE197" i="2"/>
  <c r="Y197" i="2"/>
  <c r="X197" i="2"/>
  <c r="AE196" i="2"/>
  <c r="Y196" i="2"/>
  <c r="X196" i="2"/>
  <c r="AE195" i="2"/>
  <c r="Y195" i="2"/>
  <c r="X195" i="2"/>
  <c r="AE194" i="2"/>
  <c r="Y194" i="2"/>
  <c r="X194" i="2"/>
  <c r="AE193" i="2"/>
  <c r="Y193" i="2"/>
  <c r="X193" i="2"/>
  <c r="AE192" i="2"/>
  <c r="Y192" i="2"/>
  <c r="X192" i="2"/>
  <c r="AE191" i="2"/>
  <c r="Y191" i="2"/>
  <c r="X191" i="2"/>
  <c r="AE190" i="2"/>
  <c r="Y190" i="2"/>
  <c r="X190" i="2"/>
  <c r="AE189" i="2"/>
  <c r="Y189" i="2"/>
  <c r="X189" i="2"/>
  <c r="AE188" i="2"/>
  <c r="Y188" i="2"/>
  <c r="X188" i="2"/>
  <c r="AE187" i="2"/>
  <c r="Y187" i="2"/>
  <c r="X187" i="2"/>
  <c r="AE186" i="2"/>
  <c r="Y186" i="2"/>
  <c r="X186" i="2"/>
  <c r="AE185" i="2"/>
  <c r="Y185" i="2"/>
  <c r="X185" i="2"/>
  <c r="AE184" i="2"/>
  <c r="Y184" i="2"/>
  <c r="X184" i="2"/>
  <c r="AE183" i="2"/>
  <c r="Y183" i="2"/>
  <c r="X183" i="2"/>
  <c r="AE182" i="2"/>
  <c r="Y182" i="2"/>
  <c r="X182" i="2"/>
  <c r="AE181" i="2"/>
  <c r="Y181" i="2"/>
  <c r="X181" i="2"/>
  <c r="AE180" i="2"/>
  <c r="Y180" i="2"/>
  <c r="X180" i="2"/>
  <c r="AE179" i="2"/>
  <c r="Y179" i="2"/>
  <c r="X179" i="2"/>
  <c r="AE178" i="2"/>
  <c r="Y178" i="2"/>
  <c r="X178" i="2"/>
  <c r="AE177" i="2"/>
  <c r="Y177" i="2"/>
  <c r="X177" i="2"/>
  <c r="AE176" i="2"/>
  <c r="Y176" i="2"/>
  <c r="X176" i="2"/>
  <c r="AE175" i="2"/>
  <c r="Y175" i="2"/>
  <c r="X175" i="2"/>
  <c r="AE174" i="2"/>
  <c r="Y174" i="2"/>
  <c r="X174" i="2"/>
  <c r="AE173" i="2"/>
  <c r="Y173" i="2"/>
  <c r="X173" i="2"/>
  <c r="AE172" i="2"/>
  <c r="Y172" i="2"/>
  <c r="X172" i="2"/>
  <c r="AE171" i="2"/>
  <c r="Y171" i="2"/>
  <c r="X171" i="2"/>
  <c r="AE170" i="2"/>
  <c r="Y170" i="2"/>
  <c r="X170" i="2"/>
  <c r="AE169" i="2"/>
  <c r="Y169" i="2"/>
  <c r="X169" i="2"/>
  <c r="AE168" i="2"/>
  <c r="Y168" i="2"/>
  <c r="X168" i="2"/>
  <c r="AE167" i="2"/>
  <c r="Y167" i="2"/>
  <c r="X167" i="2"/>
  <c r="AE166" i="2"/>
  <c r="Y166" i="2"/>
  <c r="X166" i="2"/>
  <c r="AE165" i="2"/>
  <c r="Y165" i="2"/>
  <c r="X165" i="2"/>
  <c r="AE164" i="2"/>
  <c r="Y164" i="2"/>
  <c r="X164" i="2"/>
  <c r="AE163" i="2"/>
  <c r="Y163" i="2"/>
  <c r="X163" i="2"/>
  <c r="AE162" i="2"/>
  <c r="Y162" i="2"/>
  <c r="X162" i="2"/>
  <c r="AE161" i="2"/>
  <c r="Y161" i="2"/>
  <c r="X161" i="2"/>
  <c r="AE160" i="2"/>
  <c r="Y160" i="2"/>
  <c r="X160" i="2"/>
  <c r="AE159" i="2"/>
  <c r="Y159" i="2"/>
  <c r="X159" i="2"/>
  <c r="AE158" i="2"/>
  <c r="Y158" i="2"/>
  <c r="X158" i="2"/>
  <c r="AE157" i="2"/>
  <c r="Y157" i="2"/>
  <c r="X157" i="2"/>
  <c r="AE156" i="2"/>
  <c r="Y156" i="2"/>
  <c r="X156" i="2"/>
  <c r="AE155" i="2"/>
  <c r="Y155" i="2"/>
  <c r="X155" i="2"/>
  <c r="AE154" i="2"/>
  <c r="Y154" i="2"/>
  <c r="X154" i="2"/>
  <c r="AE153" i="2"/>
  <c r="Y153" i="2"/>
  <c r="X153" i="2"/>
  <c r="AE152" i="2"/>
  <c r="Y152" i="2"/>
  <c r="X152" i="2"/>
  <c r="AE151" i="2"/>
  <c r="Y151" i="2"/>
  <c r="X151" i="2"/>
  <c r="AE150" i="2"/>
  <c r="Y150" i="2"/>
  <c r="X150" i="2"/>
  <c r="AE149" i="2"/>
  <c r="Y149" i="2"/>
  <c r="X149" i="2"/>
  <c r="AE148" i="2"/>
  <c r="Y148" i="2"/>
  <c r="X148" i="2"/>
  <c r="AE147" i="2"/>
  <c r="Y147" i="2"/>
  <c r="X147" i="2"/>
  <c r="AE146" i="2"/>
  <c r="Y146" i="2"/>
  <c r="X146" i="2"/>
  <c r="AE145" i="2"/>
  <c r="Y145" i="2"/>
  <c r="X145" i="2"/>
  <c r="AE144" i="2"/>
  <c r="Y144" i="2"/>
  <c r="X144" i="2"/>
  <c r="AE143" i="2"/>
  <c r="Y143" i="2"/>
  <c r="X143" i="2"/>
  <c r="AE142" i="2"/>
  <c r="Y142" i="2"/>
  <c r="X142" i="2"/>
  <c r="AE141" i="2"/>
  <c r="Y141" i="2"/>
  <c r="X141" i="2"/>
  <c r="AE140" i="2"/>
  <c r="Y140" i="2"/>
  <c r="X140" i="2"/>
  <c r="AE139" i="2"/>
  <c r="Y139" i="2"/>
  <c r="X139" i="2"/>
  <c r="AE138" i="2"/>
  <c r="Y138" i="2"/>
  <c r="X138" i="2"/>
  <c r="AE137" i="2"/>
  <c r="Y137" i="2"/>
  <c r="X137" i="2"/>
  <c r="AE136" i="2"/>
  <c r="Y136" i="2"/>
  <c r="X136" i="2"/>
  <c r="AE135" i="2"/>
  <c r="Y135" i="2"/>
  <c r="X135" i="2"/>
  <c r="AE134" i="2"/>
  <c r="Y134" i="2"/>
  <c r="X134" i="2"/>
  <c r="AE133" i="2"/>
  <c r="Y133" i="2"/>
  <c r="X133" i="2"/>
  <c r="AE132" i="2"/>
  <c r="Y132" i="2"/>
  <c r="X132" i="2"/>
  <c r="AE131" i="2"/>
  <c r="Y131" i="2"/>
  <c r="X131" i="2"/>
  <c r="AE130" i="2"/>
  <c r="Y130" i="2"/>
  <c r="X130" i="2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AE124" i="2"/>
  <c r="Y124" i="2"/>
  <c r="X124" i="2"/>
  <c r="AE123" i="2"/>
  <c r="Y123" i="2"/>
  <c r="X123" i="2"/>
  <c r="AE122" i="2"/>
  <c r="Y122" i="2"/>
  <c r="X122" i="2"/>
  <c r="AE121" i="2"/>
  <c r="Y121" i="2"/>
  <c r="X121" i="2"/>
  <c r="AE120" i="2"/>
  <c r="Y120" i="2"/>
  <c r="X120" i="2"/>
  <c r="AE119" i="2"/>
  <c r="Y119" i="2"/>
  <c r="X119" i="2"/>
  <c r="AE118" i="2"/>
  <c r="Y118" i="2"/>
  <c r="X118" i="2"/>
  <c r="AE117" i="2"/>
  <c r="Y117" i="2"/>
  <c r="X117" i="2"/>
  <c r="AE116" i="2"/>
  <c r="Y116" i="2"/>
  <c r="X116" i="2"/>
  <c r="AE115" i="2"/>
  <c r="Y115" i="2"/>
  <c r="X115" i="2"/>
  <c r="AE114" i="2"/>
  <c r="Y114" i="2"/>
  <c r="X114" i="2"/>
  <c r="AE113" i="2"/>
  <c r="Y113" i="2"/>
  <c r="X113" i="2"/>
  <c r="AE112" i="2"/>
  <c r="Y112" i="2"/>
  <c r="X112" i="2"/>
  <c r="AE111" i="2"/>
  <c r="Y111" i="2"/>
  <c r="X111" i="2"/>
  <c r="AE110" i="2"/>
  <c r="Y110" i="2"/>
  <c r="X110" i="2"/>
  <c r="AE109" i="2"/>
  <c r="Y109" i="2"/>
  <c r="X109" i="2"/>
  <c r="AE108" i="2"/>
  <c r="Y108" i="2"/>
  <c r="X108" i="2"/>
  <c r="AE107" i="2"/>
  <c r="Y107" i="2"/>
  <c r="X107" i="2"/>
  <c r="AE106" i="2"/>
  <c r="Y106" i="2"/>
  <c r="X106" i="2"/>
  <c r="AE105" i="2"/>
  <c r="Y105" i="2"/>
  <c r="X105" i="2"/>
  <c r="AE104" i="2"/>
  <c r="Y104" i="2"/>
  <c r="X104" i="2"/>
  <c r="AE103" i="2"/>
  <c r="Y103" i="2"/>
  <c r="X103" i="2"/>
  <c r="AE102" i="2"/>
  <c r="Y102" i="2"/>
  <c r="X102" i="2"/>
  <c r="AE101" i="2"/>
  <c r="Y101" i="2"/>
  <c r="X101" i="2"/>
  <c r="AE100" i="2"/>
  <c r="Y100" i="2"/>
  <c r="X100" i="2"/>
  <c r="AE99" i="2"/>
  <c r="Y99" i="2"/>
  <c r="X99" i="2"/>
  <c r="AE98" i="2"/>
  <c r="Y98" i="2"/>
  <c r="X98" i="2"/>
  <c r="AE97" i="2"/>
  <c r="Y97" i="2"/>
  <c r="X97" i="2"/>
  <c r="AE96" i="2"/>
  <c r="Y96" i="2"/>
  <c r="X96" i="2"/>
  <c r="AE95" i="2"/>
  <c r="Y95" i="2"/>
  <c r="X95" i="2"/>
  <c r="AE94" i="2"/>
  <c r="Y94" i="2"/>
  <c r="X94" i="2"/>
  <c r="AE93" i="2"/>
  <c r="Y93" i="2"/>
  <c r="X93" i="2"/>
  <c r="AE92" i="2"/>
  <c r="Y92" i="2"/>
  <c r="X92" i="2"/>
  <c r="AE91" i="2"/>
  <c r="Y91" i="2"/>
  <c r="X91" i="2"/>
  <c r="AE90" i="2"/>
  <c r="Y90" i="2"/>
  <c r="X90" i="2"/>
  <c r="AE89" i="2"/>
  <c r="Y89" i="2"/>
  <c r="X89" i="2"/>
  <c r="AE88" i="2"/>
  <c r="Y88" i="2"/>
  <c r="X88" i="2"/>
  <c r="AE87" i="2"/>
  <c r="Y87" i="2"/>
  <c r="X87" i="2"/>
  <c r="Z87" i="2" s="1" a="1"/>
  <c r="Z87" i="2" s="1"/>
  <c r="AE86" i="2"/>
  <c r="Y86" i="2"/>
  <c r="X86" i="2"/>
  <c r="AE85" i="2"/>
  <c r="Y85" i="2"/>
  <c r="X85" i="2"/>
  <c r="AE84" i="2"/>
  <c r="Y84" i="2"/>
  <c r="X84" i="2"/>
  <c r="AE83" i="2"/>
  <c r="Y83" i="2"/>
  <c r="X83" i="2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AE77" i="2"/>
  <c r="Y77" i="2"/>
  <c r="X77" i="2"/>
  <c r="AE76" i="2"/>
  <c r="Y76" i="2"/>
  <c r="X76" i="2"/>
  <c r="AE75" i="2"/>
  <c r="Y75" i="2"/>
  <c r="X75" i="2"/>
  <c r="AE74" i="2"/>
  <c r="Y74" i="2"/>
  <c r="X74" i="2"/>
  <c r="AE73" i="2"/>
  <c r="Y73" i="2"/>
  <c r="X73" i="2"/>
  <c r="AE72" i="2"/>
  <c r="Y72" i="2"/>
  <c r="X72" i="2"/>
  <c r="AE71" i="2"/>
  <c r="Y71" i="2"/>
  <c r="X71" i="2"/>
  <c r="AE70" i="2"/>
  <c r="Y70" i="2"/>
  <c r="X70" i="2"/>
  <c r="AE69" i="2"/>
  <c r="Y69" i="2"/>
  <c r="X69" i="2"/>
  <c r="AE68" i="2"/>
  <c r="Y68" i="2"/>
  <c r="X68" i="2"/>
  <c r="AE67" i="2"/>
  <c r="Y67" i="2"/>
  <c r="X67" i="2"/>
  <c r="AE66" i="2"/>
  <c r="Y66" i="2"/>
  <c r="X66" i="2"/>
  <c r="AE65" i="2"/>
  <c r="Y65" i="2"/>
  <c r="X65" i="2"/>
  <c r="AE64" i="2"/>
  <c r="Y64" i="2"/>
  <c r="X64" i="2"/>
  <c r="AE63" i="2"/>
  <c r="Y63" i="2"/>
  <c r="X63" i="2"/>
  <c r="AE62" i="2"/>
  <c r="Y62" i="2"/>
  <c r="X62" i="2"/>
  <c r="AE61" i="2"/>
  <c r="Y61" i="2"/>
  <c r="X61" i="2"/>
  <c r="AE60" i="2"/>
  <c r="Y60" i="2"/>
  <c r="X60" i="2"/>
  <c r="AE59" i="2"/>
  <c r="Y59" i="2"/>
  <c r="X59" i="2"/>
  <c r="AE58" i="2"/>
  <c r="Y58" i="2"/>
  <c r="X58" i="2"/>
  <c r="Z58" i="2" s="1" a="1"/>
  <c r="Z58" i="2" s="1"/>
  <c r="AE57" i="2"/>
  <c r="Y57" i="2"/>
  <c r="X57" i="2"/>
  <c r="AE56" i="2"/>
  <c r="Y56" i="2"/>
  <c r="X56" i="2"/>
  <c r="AE55" i="2"/>
  <c r="Y55" i="2"/>
  <c r="X55" i="2"/>
  <c r="AE54" i="2"/>
  <c r="Y54" i="2"/>
  <c r="X54" i="2"/>
  <c r="AE53" i="2"/>
  <c r="Z96" i="2" s="1" a="1"/>
  <c r="Z96" i="2" s="1"/>
  <c r="Y53" i="2"/>
  <c r="X53" i="2"/>
  <c r="AE52" i="2"/>
  <c r="Y52" i="2"/>
  <c r="X52" i="2"/>
  <c r="AE51" i="2"/>
  <c r="Y51" i="2"/>
  <c r="X51" i="2"/>
  <c r="AE50" i="2"/>
  <c r="Z50" i="2" a="1"/>
  <c r="Z50" i="2" s="1"/>
  <c r="Y50" i="2"/>
  <c r="X50" i="2"/>
  <c r="AE49" i="2"/>
  <c r="Y49" i="2"/>
  <c r="X49" i="2"/>
  <c r="AE48" i="2"/>
  <c r="Y48" i="2"/>
  <c r="X48" i="2"/>
  <c r="AE47" i="2"/>
  <c r="Y47" i="2"/>
  <c r="X47" i="2"/>
  <c r="AE46" i="2"/>
  <c r="Y46" i="2"/>
  <c r="X46" i="2"/>
  <c r="AE45" i="2"/>
  <c r="Y45" i="2"/>
  <c r="X45" i="2"/>
  <c r="AE44" i="2"/>
  <c r="Z44" i="2" a="1"/>
  <c r="Z44" i="2" s="1"/>
  <c r="Y44" i="2"/>
  <c r="X44" i="2"/>
  <c r="AE43" i="2"/>
  <c r="Y43" i="2"/>
  <c r="X43" i="2"/>
  <c r="AE42" i="2"/>
  <c r="Y42" i="2"/>
  <c r="X42" i="2"/>
  <c r="Z42" i="2" s="1" a="1"/>
  <c r="Z42" i="2" s="1"/>
  <c r="AE41" i="2"/>
  <c r="Y41" i="2"/>
  <c r="X41" i="2"/>
  <c r="AE40" i="2"/>
  <c r="Y40" i="2"/>
  <c r="X40" i="2"/>
  <c r="AE39" i="2"/>
  <c r="Y39" i="2"/>
  <c r="X39" i="2"/>
  <c r="AE38" i="2"/>
  <c r="Y38" i="2"/>
  <c r="X38" i="2"/>
  <c r="AE37" i="2"/>
  <c r="Y37" i="2"/>
  <c r="X37" i="2"/>
  <c r="AE36" i="2"/>
  <c r="Y36" i="2"/>
  <c r="X36" i="2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AE27" i="2"/>
  <c r="Y27" i="2"/>
  <c r="X27" i="2"/>
  <c r="AE26" i="2"/>
  <c r="Y26" i="2"/>
  <c r="X26" i="2"/>
  <c r="AE25" i="2"/>
  <c r="Y25" i="2"/>
  <c r="X25" i="2"/>
  <c r="AE24" i="2"/>
  <c r="Y24" i="2"/>
  <c r="X24" i="2"/>
  <c r="Z24" i="2" s="1" a="1"/>
  <c r="Z24" i="2" s="1"/>
  <c r="AE23" i="2"/>
  <c r="Y23" i="2"/>
  <c r="X23" i="2"/>
  <c r="AE22" i="2"/>
  <c r="Y22" i="2"/>
  <c r="X22" i="2"/>
  <c r="AE21" i="2"/>
  <c r="Y21" i="2"/>
  <c r="X21" i="2"/>
  <c r="Z21" i="2" s="1" a="1"/>
  <c r="Z21" i="2" s="1"/>
  <c r="AE20" i="2"/>
  <c r="Y20" i="2"/>
  <c r="X20" i="2"/>
  <c r="AE19" i="2"/>
  <c r="Y19" i="2"/>
  <c r="X19" i="2"/>
  <c r="Z19" i="2" s="1" a="1"/>
  <c r="Z19" i="2" s="1"/>
  <c r="AE18" i="2"/>
  <c r="Y18" i="2"/>
  <c r="X18" i="2"/>
  <c r="AE17" i="2"/>
  <c r="Y17" i="2"/>
  <c r="X17" i="2"/>
  <c r="AE16" i="2"/>
  <c r="Y16" i="2"/>
  <c r="X16" i="2"/>
  <c r="Z16" i="2" s="1" a="1"/>
  <c r="Z16" i="2" s="1"/>
  <c r="AE15" i="2"/>
  <c r="Y15" i="2"/>
  <c r="X15" i="2"/>
  <c r="Z15" i="2" s="1" a="1"/>
  <c r="Z15" i="2" s="1"/>
  <c r="AE14" i="2"/>
  <c r="Y14" i="2"/>
  <c r="X14" i="2"/>
  <c r="AE13" i="2"/>
  <c r="Y13" i="2"/>
  <c r="X13" i="2"/>
  <c r="AE12" i="2"/>
  <c r="Y12" i="2"/>
  <c r="X12" i="2"/>
  <c r="AE11" i="2"/>
  <c r="Y11" i="2"/>
  <c r="X11" i="2"/>
  <c r="AE10" i="2"/>
  <c r="Y10" i="2"/>
  <c r="X10" i="2"/>
  <c r="AE9" i="2"/>
  <c r="Z171" i="2" s="1" a="1"/>
  <c r="Z171" i="2" s="1"/>
  <c r="Y9" i="2"/>
  <c r="X9" i="2"/>
  <c r="AE8" i="2"/>
  <c r="Y8" i="2"/>
  <c r="X8" i="2"/>
  <c r="AE7" i="2"/>
  <c r="Y7" i="2"/>
  <c r="X7" i="2"/>
  <c r="AE6" i="2"/>
  <c r="Y6" i="2"/>
  <c r="X6" i="2"/>
  <c r="Z6" i="2" s="1" a="1"/>
  <c r="Z6" i="2" s="1"/>
  <c r="AE5" i="2"/>
  <c r="Y5" i="2"/>
  <c r="X5" i="2"/>
  <c r="Z5" i="2" s="1" a="1"/>
  <c r="Z5" i="2" s="1"/>
  <c r="AE4" i="2"/>
  <c r="Y4" i="2"/>
  <c r="X4" i="2"/>
  <c r="AE3" i="2"/>
  <c r="Z502" i="2" s="1" a="1"/>
  <c r="Z502" i="2" s="1"/>
  <c r="Y3" i="2"/>
  <c r="X3" i="2"/>
  <c r="AE2" i="2"/>
  <c r="Z2" i="2" a="1"/>
  <c r="Z2" i="2" s="1"/>
  <c r="Y2" i="2"/>
  <c r="X2" i="2"/>
  <c r="Z9" i="2" l="1" a="1"/>
  <c r="Z9" i="2" s="1"/>
  <c r="Z12" i="2" a="1"/>
  <c r="Z12" i="2" s="1"/>
  <c r="Z33" i="2" a="1"/>
  <c r="Z33" i="2" s="1"/>
  <c r="Z57" i="2" a="1"/>
  <c r="Z57" i="2" s="1"/>
  <c r="Z69" i="2" a="1"/>
  <c r="Z69" i="2" s="1"/>
  <c r="Z84" i="2" a="1"/>
  <c r="Z84" i="2" s="1"/>
  <c r="Z115" i="2" a="1"/>
  <c r="Z115" i="2" s="1"/>
  <c r="Z137" i="2" a="1"/>
  <c r="Z137" i="2" s="1"/>
  <c r="Z143" i="2" a="1"/>
  <c r="Z143" i="2" s="1"/>
  <c r="Z156" i="2" a="1"/>
  <c r="Z156" i="2" s="1"/>
  <c r="Z185" i="2" a="1"/>
  <c r="Z185" i="2" s="1"/>
  <c r="Z192" i="2" a="1"/>
  <c r="Z192" i="2" s="1"/>
  <c r="Z221" i="2" a="1"/>
  <c r="Z221" i="2" s="1"/>
  <c r="Z228" i="2" a="1"/>
  <c r="Z228" i="2" s="1"/>
  <c r="Z257" i="2" a="1"/>
  <c r="Z257" i="2" s="1"/>
  <c r="Z264" i="2" a="1"/>
  <c r="Z264" i="2" s="1"/>
  <c r="Z293" i="2" a="1"/>
  <c r="Z293" i="2" s="1"/>
  <c r="Z300" i="2" a="1"/>
  <c r="Z300" i="2" s="1"/>
  <c r="Z329" i="2" a="1"/>
  <c r="Z329" i="2" s="1"/>
  <c r="Z336" i="2" a="1"/>
  <c r="Z336" i="2" s="1"/>
  <c r="Z360" i="2" a="1"/>
  <c r="Z360" i="2" s="1"/>
  <c r="Z366" i="2" a="1"/>
  <c r="Z366" i="2" s="1"/>
  <c r="Z401" i="2" a="1"/>
  <c r="Z401" i="2" s="1"/>
  <c r="Z405" i="2" a="1"/>
  <c r="Z405" i="2" s="1"/>
  <c r="Z411" i="2" a="1"/>
  <c r="Z411" i="2" s="1"/>
  <c r="Z415" i="2" a="1"/>
  <c r="Z415" i="2" s="1"/>
  <c r="Z418" i="2" a="1"/>
  <c r="Z418" i="2" s="1"/>
  <c r="Z436" i="2" a="1"/>
  <c r="Z436" i="2" s="1"/>
  <c r="Z454" i="2" a="1"/>
  <c r="Z454" i="2" s="1"/>
  <c r="Z472" i="2" a="1"/>
  <c r="Z472" i="2" s="1"/>
  <c r="Z508" i="2" a="1"/>
  <c r="Z508" i="2" s="1"/>
  <c r="Z534" i="2" a="1"/>
  <c r="Z534" i="2" s="1"/>
  <c r="Z545" i="2" a="1"/>
  <c r="Z545" i="2" s="1"/>
  <c r="Z75" i="2" a="1"/>
  <c r="Z75" i="2" s="1"/>
  <c r="Z97" i="2" a="1"/>
  <c r="Z97" i="2" s="1"/>
  <c r="Z104" i="2" a="1"/>
  <c r="Z104" i="2" s="1"/>
  <c r="Z121" i="2" a="1"/>
  <c r="Z121" i="2" s="1"/>
  <c r="Z127" i="2" a="1"/>
  <c r="Z127" i="2" s="1"/>
  <c r="Z150" i="2" a="1"/>
  <c r="Z150" i="2" s="1"/>
  <c r="Z162" i="2" a="1"/>
  <c r="Z162" i="2" s="1"/>
  <c r="Z172" i="2" a="1"/>
  <c r="Z172" i="2" s="1"/>
  <c r="Z189" i="2" a="1"/>
  <c r="Z189" i="2" s="1"/>
  <c r="Z198" i="2" a="1"/>
  <c r="Z198" i="2" s="1"/>
  <c r="Z208" i="2" a="1"/>
  <c r="Z208" i="2" s="1"/>
  <c r="Z225" i="2" a="1"/>
  <c r="Z225" i="2" s="1"/>
  <c r="Z234" i="2" a="1"/>
  <c r="Z234" i="2" s="1"/>
  <c r="Z244" i="2" a="1"/>
  <c r="Z244" i="2" s="1"/>
  <c r="Z261" i="2" a="1"/>
  <c r="Z261" i="2" s="1"/>
  <c r="Z270" i="2" a="1"/>
  <c r="Z270" i="2" s="1"/>
  <c r="Z280" i="2" a="1"/>
  <c r="Z280" i="2" s="1"/>
  <c r="Z297" i="2" a="1"/>
  <c r="Z297" i="2" s="1"/>
  <c r="Z306" i="2" a="1"/>
  <c r="Z306" i="2" s="1"/>
  <c r="Z316" i="2" a="1"/>
  <c r="Z316" i="2" s="1"/>
  <c r="Z333" i="2" a="1"/>
  <c r="Z333" i="2" s="1"/>
  <c r="Z342" i="2" a="1"/>
  <c r="Z342" i="2" s="1"/>
  <c r="Z377" i="2" a="1"/>
  <c r="Z377" i="2" s="1"/>
  <c r="Z381" i="2" a="1"/>
  <c r="Z381" i="2" s="1"/>
  <c r="Z387" i="2" a="1"/>
  <c r="Z387" i="2" s="1"/>
  <c r="Z391" i="2" a="1"/>
  <c r="Z391" i="2" s="1"/>
  <c r="Z394" i="2" a="1"/>
  <c r="Z394" i="2" s="1"/>
  <c r="Z451" i="2" a="1"/>
  <c r="Z451" i="2" s="1"/>
  <c r="Z480" i="2" a="1"/>
  <c r="Z480" i="2" s="1"/>
  <c r="Z487" i="2" a="1"/>
  <c r="Z487" i="2" s="1"/>
  <c r="Z490" i="2" a="1"/>
  <c r="Z490" i="2" s="1"/>
  <c r="Z523" i="2" a="1"/>
  <c r="Z523" i="2" s="1"/>
  <c r="Z566" i="2" a="1"/>
  <c r="Z566" i="2" s="1"/>
  <c r="Z31" i="2" a="1"/>
  <c r="Z31" i="2" s="1"/>
  <c r="Z94" i="2" a="1"/>
  <c r="Z94" i="2" s="1"/>
  <c r="Z100" i="2" a="1"/>
  <c r="Z100" i="2" s="1"/>
  <c r="Z106" i="2" a="1"/>
  <c r="Z106" i="2" s="1"/>
  <c r="Z10" i="2" a="1"/>
  <c r="Z10" i="2" s="1"/>
  <c r="Z18" i="2" a="1"/>
  <c r="Z18" i="2" s="1"/>
  <c r="Z37" i="2" a="1"/>
  <c r="Z37" i="2" s="1"/>
  <c r="Z39" i="2" a="1"/>
  <c r="Z39" i="2" s="1"/>
  <c r="Z48" i="2" a="1"/>
  <c r="Z48" i="2" s="1"/>
  <c r="Z60" i="2" a="1"/>
  <c r="Z60" i="2" s="1"/>
  <c r="Z88" i="2" a="1"/>
  <c r="Z88" i="2" s="1"/>
  <c r="Z113" i="2" a="1"/>
  <c r="Z113" i="2" s="1"/>
  <c r="Z119" i="2" a="1"/>
  <c r="Z119" i="2" s="1"/>
  <c r="Z153" i="2" a="1"/>
  <c r="Z153" i="2" s="1"/>
  <c r="Z169" i="2" a="1"/>
  <c r="Z169" i="2" s="1"/>
  <c r="Z205" i="2" a="1"/>
  <c r="Z205" i="2" s="1"/>
  <c r="Z241" i="2" a="1"/>
  <c r="Z241" i="2" s="1"/>
  <c r="Z277" i="2" a="1"/>
  <c r="Z277" i="2" s="1"/>
  <c r="Z313" i="2" a="1"/>
  <c r="Z313" i="2" s="1"/>
  <c r="Z353" i="2" a="1"/>
  <c r="Z353" i="2" s="1"/>
  <c r="Z357" i="2" a="1"/>
  <c r="Z357" i="2" s="1"/>
  <c r="Z363" i="2" a="1"/>
  <c r="Z363" i="2" s="1"/>
  <c r="Z367" i="2" a="1"/>
  <c r="Z367" i="2" s="1"/>
  <c r="Z370" i="2" a="1"/>
  <c r="Z370" i="2" s="1"/>
  <c r="Z412" i="2" a="1"/>
  <c r="Z412" i="2" s="1"/>
  <c r="Z444" i="2" a="1"/>
  <c r="Z444" i="2" s="1"/>
  <c r="Z516" i="2" a="1"/>
  <c r="Z516" i="2" s="1"/>
  <c r="Z527" i="2" a="1"/>
  <c r="Z527" i="2" s="1"/>
  <c r="Z538" i="2" a="1"/>
  <c r="Z538" i="2" s="1"/>
  <c r="Z563" i="2" a="1"/>
  <c r="Z563" i="2" s="1"/>
  <c r="Z7" i="2" a="1"/>
  <c r="Z7" i="2" s="1"/>
  <c r="Z76" i="2" a="1"/>
  <c r="Z76" i="2" s="1"/>
  <c r="Z138" i="2" a="1"/>
  <c r="Z138" i="2" s="1"/>
  <c r="Z182" i="2" a="1"/>
  <c r="Z182" i="2" s="1"/>
  <c r="Z199" i="2" a="1"/>
  <c r="Z199" i="2" s="1"/>
  <c r="Z218" i="2" a="1"/>
  <c r="Z218" i="2" s="1"/>
  <c r="Z231" i="2" a="1"/>
  <c r="Z231" i="2" s="1"/>
  <c r="Z235" i="2" a="1"/>
  <c r="Z235" i="2" s="1"/>
  <c r="Z238" i="2" a="1"/>
  <c r="Z238" i="2" s="1"/>
  <c r="Z254" i="2" a="1"/>
  <c r="Z254" i="2" s="1"/>
  <c r="Z267" i="2" a="1"/>
  <c r="Z267" i="2" s="1"/>
  <c r="Z271" i="2" a="1"/>
  <c r="Z271" i="2" s="1"/>
  <c r="Z274" i="2" a="1"/>
  <c r="Z274" i="2" s="1"/>
  <c r="Z290" i="2" a="1"/>
  <c r="Z290" i="2" s="1"/>
  <c r="Z303" i="2" a="1"/>
  <c r="Z303" i="2" s="1"/>
  <c r="Z307" i="2" a="1"/>
  <c r="Z307" i="2" s="1"/>
  <c r="Z310" i="2" a="1"/>
  <c r="Z310" i="2" s="1"/>
  <c r="Z326" i="2" a="1"/>
  <c r="Z326" i="2" s="1"/>
  <c r="Z339" i="2" a="1"/>
  <c r="Z339" i="2" s="1"/>
  <c r="Z343" i="2" a="1"/>
  <c r="Z343" i="2" s="1"/>
  <c r="Z346" i="2" a="1"/>
  <c r="Z346" i="2" s="1"/>
  <c r="Z388" i="2" a="1"/>
  <c r="Z388" i="2" s="1"/>
  <c r="Z422" i="2" a="1"/>
  <c r="Z422" i="2" s="1"/>
  <c r="Z433" i="2" a="1"/>
  <c r="Z433" i="2" s="1"/>
  <c r="Z441" i="2" a="1"/>
  <c r="Z441" i="2" s="1"/>
  <c r="Z458" i="2" a="1"/>
  <c r="Z458" i="2" s="1"/>
  <c r="Z477" i="2" a="1"/>
  <c r="Z477" i="2" s="1"/>
  <c r="Z494" i="2" a="1"/>
  <c r="Z494" i="2" s="1"/>
  <c r="Z505" i="2" a="1"/>
  <c r="Z505" i="2" s="1"/>
  <c r="Z513" i="2" a="1"/>
  <c r="Z513" i="2" s="1"/>
  <c r="Z535" i="2" a="1"/>
  <c r="Z535" i="2" s="1"/>
  <c r="Z556" i="2" a="1"/>
  <c r="Z556" i="2" s="1"/>
  <c r="Z571" i="2" a="1"/>
  <c r="Z571" i="2" s="1"/>
  <c r="Z81" i="2" a="1"/>
  <c r="Z81" i="2" s="1"/>
  <c r="Z22" i="2" a="1"/>
  <c r="Z22" i="2" s="1"/>
  <c r="Z54" i="2" a="1"/>
  <c r="Z54" i="2" s="1"/>
  <c r="Z128" i="2" a="1"/>
  <c r="Z128" i="2" s="1"/>
  <c r="Z163" i="2" a="1"/>
  <c r="Z163" i="2" s="1"/>
  <c r="Z195" i="2" a="1"/>
  <c r="Z195" i="2" s="1"/>
  <c r="Z202" i="2" a="1"/>
  <c r="Z202" i="2" s="1"/>
  <c r="Z3" i="2" a="1"/>
  <c r="Z3" i="2" s="1"/>
  <c r="AM3" i="2" s="1"/>
  <c r="Z28" i="2" a="1"/>
  <c r="Z28" i="2" s="1"/>
  <c r="Z40" i="2" a="1"/>
  <c r="Z40" i="2" s="1"/>
  <c r="Z52" i="2" a="1"/>
  <c r="Z52" i="2" s="1"/>
  <c r="Z61" i="2" a="1"/>
  <c r="Z61" i="2" s="1"/>
  <c r="Z64" i="2" a="1"/>
  <c r="Z64" i="2" s="1"/>
  <c r="Z79" i="2" a="1"/>
  <c r="Z79" i="2" s="1"/>
  <c r="Z110" i="2" a="1"/>
  <c r="Z110" i="2" s="1"/>
  <c r="Z125" i="2" a="1"/>
  <c r="Z125" i="2" s="1"/>
  <c r="Z151" i="2" a="1"/>
  <c r="Z151" i="2" s="1"/>
  <c r="Z173" i="2" a="1"/>
  <c r="Z173" i="2" s="1"/>
  <c r="Z180" i="2" a="1"/>
  <c r="Z180" i="2" s="1"/>
  <c r="Z209" i="2" a="1"/>
  <c r="Z209" i="2" s="1"/>
  <c r="Z216" i="2" a="1"/>
  <c r="Z216" i="2" s="1"/>
  <c r="Z245" i="2" a="1"/>
  <c r="Z245" i="2" s="1"/>
  <c r="Z252" i="2" a="1"/>
  <c r="Z252" i="2" s="1"/>
  <c r="Z281" i="2" a="1"/>
  <c r="Z281" i="2" s="1"/>
  <c r="Z288" i="2" a="1"/>
  <c r="Z288" i="2" s="1"/>
  <c r="Z317" i="2" a="1"/>
  <c r="Z317" i="2" s="1"/>
  <c r="Z324" i="2" a="1"/>
  <c r="Z324" i="2" s="1"/>
  <c r="Z364" i="2" a="1"/>
  <c r="Z364" i="2" s="1"/>
  <c r="Z398" i="2" a="1"/>
  <c r="Z398" i="2" s="1"/>
  <c r="Z409" i="2" a="1"/>
  <c r="Z409" i="2" s="1"/>
  <c r="Z430" i="2" a="1"/>
  <c r="Z430" i="2" s="1"/>
  <c r="Z448" i="2" a="1"/>
  <c r="Z448" i="2" s="1"/>
  <c r="Z484" i="2" a="1"/>
  <c r="Z484" i="2" s="1"/>
  <c r="Z520" i="2" a="1"/>
  <c r="Z520" i="2" s="1"/>
  <c r="Z564" i="2" a="1"/>
  <c r="Z564" i="2" s="1"/>
  <c r="Z90" i="2" a="1"/>
  <c r="Z90" i="2" s="1"/>
  <c r="Z25" i="2" a="1"/>
  <c r="Z25" i="2" s="1"/>
  <c r="Z82" i="2" a="1"/>
  <c r="Z82" i="2" s="1"/>
  <c r="Z140" i="2" a="1"/>
  <c r="Z140" i="2" s="1"/>
  <c r="Z166" i="2" a="1"/>
  <c r="Z166" i="2" s="1"/>
  <c r="Z462" i="2" a="1"/>
  <c r="Z462" i="2" s="1"/>
  <c r="Z459" i="2" a="1"/>
  <c r="Z459" i="2" s="1"/>
  <c r="Z438" i="2" a="1"/>
  <c r="Z438" i="2" s="1"/>
  <c r="Z435" i="2" a="1"/>
  <c r="Z435" i="2" s="1"/>
  <c r="Z573" i="2" a="1"/>
  <c r="Z573" i="2" s="1"/>
  <c r="Z553" i="2" a="1"/>
  <c r="Z553" i="2" s="1"/>
  <c r="Z445" i="2" a="1"/>
  <c r="Z445" i="2" s="1"/>
  <c r="Z397" i="2" a="1"/>
  <c r="Z397" i="2" s="1"/>
  <c r="Z525" i="2" a="1"/>
  <c r="Z525" i="2" s="1"/>
  <c r="Z493" i="2" a="1"/>
  <c r="Z493" i="2" s="1"/>
  <c r="Z349" i="2" a="1"/>
  <c r="Z349" i="2" s="1"/>
  <c r="Z576" i="2" a="1"/>
  <c r="Z576" i="2" s="1"/>
  <c r="Z517" i="2" a="1"/>
  <c r="Z517" i="2" s="1"/>
  <c r="Z469" i="2" a="1"/>
  <c r="Z469" i="2" s="1"/>
  <c r="Z421" i="2" a="1"/>
  <c r="Z421" i="2" s="1"/>
  <c r="Z373" i="2" a="1"/>
  <c r="Z373" i="2" s="1"/>
  <c r="Z378" i="2" a="1"/>
  <c r="Z378" i="2" s="1"/>
  <c r="Z375" i="2" a="1"/>
  <c r="Z375" i="2" s="1"/>
  <c r="Z354" i="2" a="1"/>
  <c r="Z354" i="2" s="1"/>
  <c r="Z351" i="2" a="1"/>
  <c r="Z351" i="2" s="1"/>
  <c r="Z260" i="2" a="1"/>
  <c r="Z260" i="2" s="1"/>
  <c r="Z212" i="2" a="1"/>
  <c r="Z212" i="2" s="1"/>
  <c r="Z164" i="2" a="1"/>
  <c r="Z164" i="2" s="1"/>
  <c r="Z284" i="2" a="1"/>
  <c r="Z284" i="2" s="1"/>
  <c r="Z236" i="2" a="1"/>
  <c r="Z236" i="2" s="1"/>
  <c r="Z188" i="2" a="1"/>
  <c r="Z188" i="2" s="1"/>
  <c r="Z98" i="2" a="1"/>
  <c r="Z98" i="2" s="1"/>
  <c r="Z26" i="2" a="1"/>
  <c r="Z26" i="2" s="1"/>
  <c r="Z13" i="2" a="1"/>
  <c r="Z13" i="2" s="1"/>
  <c r="Z34" i="2" a="1"/>
  <c r="Z34" i="2" s="1"/>
  <c r="Z46" i="2" a="1"/>
  <c r="Z46" i="2" s="1"/>
  <c r="Z70" i="2" a="1"/>
  <c r="Z70" i="2" s="1"/>
  <c r="Z85" i="2" a="1"/>
  <c r="Z85" i="2" s="1"/>
  <c r="Z91" i="2" a="1"/>
  <c r="Z91" i="2" s="1"/>
  <c r="Z101" i="2" a="1"/>
  <c r="Z101" i="2" s="1"/>
  <c r="Z114" i="2" a="1"/>
  <c r="Z114" i="2" s="1"/>
  <c r="Z116" i="2" a="1"/>
  <c r="Z116" i="2" s="1"/>
  <c r="Z122" i="2" a="1"/>
  <c r="Z122" i="2" s="1"/>
  <c r="Z160" i="2" a="1"/>
  <c r="Z160" i="2" s="1"/>
  <c r="Z177" i="2" a="1"/>
  <c r="Z177" i="2" s="1"/>
  <c r="Z186" i="2" a="1"/>
  <c r="Z186" i="2" s="1"/>
  <c r="Z196" i="2" a="1"/>
  <c r="Z196" i="2" s="1"/>
  <c r="Z213" i="2" a="1"/>
  <c r="Z213" i="2" s="1"/>
  <c r="Z222" i="2" a="1"/>
  <c r="Z222" i="2" s="1"/>
  <c r="Z232" i="2" a="1"/>
  <c r="Z232" i="2" s="1"/>
  <c r="Z249" i="2" a="1"/>
  <c r="Z249" i="2" s="1"/>
  <c r="Z258" i="2" a="1"/>
  <c r="Z258" i="2" s="1"/>
  <c r="Z268" i="2" a="1"/>
  <c r="Z268" i="2" s="1"/>
  <c r="Z285" i="2" a="1"/>
  <c r="Z285" i="2" s="1"/>
  <c r="Z294" i="2" a="1"/>
  <c r="Z294" i="2" s="1"/>
  <c r="Z304" i="2" a="1"/>
  <c r="Z304" i="2" s="1"/>
  <c r="Z321" i="2" a="1"/>
  <c r="Z321" i="2" s="1"/>
  <c r="Z330" i="2" a="1"/>
  <c r="Z330" i="2" s="1"/>
  <c r="Z340" i="2" a="1"/>
  <c r="Z340" i="2" s="1"/>
  <c r="Z374" i="2" a="1"/>
  <c r="Z374" i="2" s="1"/>
  <c r="Z385" i="2" a="1"/>
  <c r="Z385" i="2" s="1"/>
  <c r="Z406" i="2" a="1"/>
  <c r="Z406" i="2" s="1"/>
  <c r="Z420" i="2" a="1"/>
  <c r="Z420" i="2" s="1"/>
  <c r="Z427" i="2" a="1"/>
  <c r="Z427" i="2" s="1"/>
  <c r="Z456" i="2" a="1"/>
  <c r="Z456" i="2" s="1"/>
  <c r="Z463" i="2" a="1"/>
  <c r="Z463" i="2" s="1"/>
  <c r="Z466" i="2" a="1"/>
  <c r="Z466" i="2" s="1"/>
  <c r="Z499" i="2" a="1"/>
  <c r="Z499" i="2" s="1"/>
  <c r="Z546" i="2" a="1"/>
  <c r="Z546" i="2" s="1"/>
  <c r="Z561" i="2" a="1"/>
  <c r="Z561" i="2" s="1"/>
  <c r="N10" i="3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Z51" i="2" a="1"/>
  <c r="Z51" i="2" s="1"/>
  <c r="Z45" i="2" a="1"/>
  <c r="Z45" i="2" s="1"/>
  <c r="Z159" i="2" a="1"/>
  <c r="Z159" i="2" s="1"/>
  <c r="Z11" i="2" a="1"/>
  <c r="Z11" i="2" s="1"/>
  <c r="Z32" i="2" a="1"/>
  <c r="Z32" i="2" s="1"/>
  <c r="Z43" i="2" a="1"/>
  <c r="Z43" i="2" s="1"/>
  <c r="Z77" i="2" a="1"/>
  <c r="Z77" i="2" s="1"/>
  <c r="Z83" i="2" a="1"/>
  <c r="Z83" i="2" s="1"/>
  <c r="Z108" i="2" a="1"/>
  <c r="Z108" i="2" s="1"/>
  <c r="Z129" i="2" a="1"/>
  <c r="Z129" i="2" s="1"/>
  <c r="Z135" i="2" a="1"/>
  <c r="Z135" i="2" s="1"/>
  <c r="Z157" i="2" a="1"/>
  <c r="Z157" i="2" s="1"/>
  <c r="Z193" i="2" a="1"/>
  <c r="Z193" i="2" s="1"/>
  <c r="Z229" i="2" a="1"/>
  <c r="Z229" i="2" s="1"/>
  <c r="Z265" i="2" a="1"/>
  <c r="Z265" i="2" s="1"/>
  <c r="Z301" i="2" a="1"/>
  <c r="Z301" i="2" s="1"/>
  <c r="Z337" i="2" a="1"/>
  <c r="Z337" i="2" s="1"/>
  <c r="Z350" i="2" a="1"/>
  <c r="Z350" i="2" s="1"/>
  <c r="Z361" i="2" a="1"/>
  <c r="Z361" i="2" s="1"/>
  <c r="Z382" i="2" a="1"/>
  <c r="Z382" i="2" s="1"/>
  <c r="Z396" i="2" a="1"/>
  <c r="Z396" i="2" s="1"/>
  <c r="Z403" i="2" a="1"/>
  <c r="Z403" i="2" s="1"/>
  <c r="Z417" i="2" a="1"/>
  <c r="Z417" i="2" s="1"/>
  <c r="Z492" i="2" a="1"/>
  <c r="Z492" i="2" s="1"/>
  <c r="Z572" i="2" a="1"/>
  <c r="Z572" i="2" s="1"/>
  <c r="Z41" i="2" a="1"/>
  <c r="Z41" i="2" s="1"/>
  <c r="Z92" i="2" a="1"/>
  <c r="Z92" i="2" s="1"/>
  <c r="Z148" i="2" a="1"/>
  <c r="Z148" i="2" s="1"/>
  <c r="Z170" i="2" a="1"/>
  <c r="Z170" i="2" s="1"/>
  <c r="Z187" i="2" a="1"/>
  <c r="Z187" i="2" s="1"/>
  <c r="Z190" i="2" a="1"/>
  <c r="Z190" i="2" s="1"/>
  <c r="Z206" i="2" a="1"/>
  <c r="Z206" i="2" s="1"/>
  <c r="Z219" i="2" a="1"/>
  <c r="Z219" i="2" s="1"/>
  <c r="Z223" i="2" a="1"/>
  <c r="Z223" i="2" s="1"/>
  <c r="Z226" i="2" a="1"/>
  <c r="Z226" i="2" s="1"/>
  <c r="Z242" i="2" a="1"/>
  <c r="Z242" i="2" s="1"/>
  <c r="Z255" i="2" a="1"/>
  <c r="Z255" i="2" s="1"/>
  <c r="Z259" i="2" a="1"/>
  <c r="Z259" i="2" s="1"/>
  <c r="Z262" i="2" a="1"/>
  <c r="Z262" i="2" s="1"/>
  <c r="Z278" i="2" a="1"/>
  <c r="Z278" i="2" s="1"/>
  <c r="Z291" i="2" a="1"/>
  <c r="Z291" i="2" s="1"/>
  <c r="Z295" i="2" a="1"/>
  <c r="Z295" i="2" s="1"/>
  <c r="Z298" i="2" a="1"/>
  <c r="Z298" i="2" s="1"/>
  <c r="Z314" i="2" a="1"/>
  <c r="Z314" i="2" s="1"/>
  <c r="Z327" i="2" a="1"/>
  <c r="Z327" i="2" s="1"/>
  <c r="Z331" i="2" a="1"/>
  <c r="Z331" i="2" s="1"/>
  <c r="Z334" i="2" a="1"/>
  <c r="Z334" i="2" s="1"/>
  <c r="Z358" i="2" a="1"/>
  <c r="Z358" i="2" s="1"/>
  <c r="Z372" i="2" a="1"/>
  <c r="Z372" i="2" s="1"/>
  <c r="Z379" i="2" a="1"/>
  <c r="Z379" i="2" s="1"/>
  <c r="Z393" i="2" a="1"/>
  <c r="Z393" i="2" s="1"/>
  <c r="Z434" i="2" a="1"/>
  <c r="Z434" i="2" s="1"/>
  <c r="Z453" i="2" a="1"/>
  <c r="Z453" i="2" s="1"/>
  <c r="Z470" i="2" a="1"/>
  <c r="Z470" i="2" s="1"/>
  <c r="Z481" i="2" a="1"/>
  <c r="Z481" i="2" s="1"/>
  <c r="Z489" i="2" a="1"/>
  <c r="Z489" i="2" s="1"/>
  <c r="Z506" i="2" a="1"/>
  <c r="Z506" i="2" s="1"/>
  <c r="Z532" i="2" a="1"/>
  <c r="Z532" i="2" s="1"/>
  <c r="Z73" i="2" a="1"/>
  <c r="Z73" i="2" s="1"/>
  <c r="Z68" i="2" a="1"/>
  <c r="Z68" i="2" s="1"/>
  <c r="Z141" i="2" a="1"/>
  <c r="Z141" i="2" s="1"/>
  <c r="Z47" i="2" a="1"/>
  <c r="Z47" i="2" s="1"/>
  <c r="Z89" i="2" a="1"/>
  <c r="Z89" i="2" s="1"/>
  <c r="Z105" i="2" a="1"/>
  <c r="Z105" i="2" s="1"/>
  <c r="Z120" i="2" a="1"/>
  <c r="Z120" i="2" s="1"/>
  <c r="Z133" i="2" a="1"/>
  <c r="Z133" i="2" s="1"/>
  <c r="Z161" i="2" a="1"/>
  <c r="Z161" i="2" s="1"/>
  <c r="Z168" i="2" a="1"/>
  <c r="Z168" i="2" s="1"/>
  <c r="Z197" i="2" a="1"/>
  <c r="Z197" i="2" s="1"/>
  <c r="Z204" i="2" a="1"/>
  <c r="Z204" i="2" s="1"/>
  <c r="Z233" i="2" a="1"/>
  <c r="Z233" i="2" s="1"/>
  <c r="Z240" i="2" a="1"/>
  <c r="Z240" i="2" s="1"/>
  <c r="Z269" i="2" a="1"/>
  <c r="Z269" i="2" s="1"/>
  <c r="Z276" i="2" a="1"/>
  <c r="Z276" i="2" s="1"/>
  <c r="Z305" i="2" a="1"/>
  <c r="Z305" i="2" s="1"/>
  <c r="Z312" i="2" a="1"/>
  <c r="Z312" i="2" s="1"/>
  <c r="Z348" i="2" a="1"/>
  <c r="Z348" i="2" s="1"/>
  <c r="Z355" i="2" a="1"/>
  <c r="Z355" i="2" s="1"/>
  <c r="Z369" i="2" a="1"/>
  <c r="Z369" i="2" s="1"/>
  <c r="Z410" i="2" a="1"/>
  <c r="Z410" i="2" s="1"/>
  <c r="Z424" i="2" a="1"/>
  <c r="Z424" i="2" s="1"/>
  <c r="Z460" i="2" a="1"/>
  <c r="Z460" i="2" s="1"/>
  <c r="Z478" i="2" a="1"/>
  <c r="Z478" i="2" s="1"/>
  <c r="Z496" i="2" a="1"/>
  <c r="Z496" i="2" s="1"/>
  <c r="Z551" i="2" a="1"/>
  <c r="Z551" i="2" s="1"/>
  <c r="Z548" i="2" a="1"/>
  <c r="Z548" i="2" s="1"/>
  <c r="Z67" i="2" a="1"/>
  <c r="Z67" i="2" s="1"/>
  <c r="Z49" i="2" a="1"/>
  <c r="Z49" i="2" s="1"/>
  <c r="Z102" i="2" a="1"/>
  <c r="Z102" i="2" s="1"/>
  <c r="Z152" i="2" a="1"/>
  <c r="Z152" i="2" s="1"/>
  <c r="Z183" i="2" a="1"/>
  <c r="Z183" i="2" s="1"/>
  <c r="Z20" i="2" a="1"/>
  <c r="Z20" i="2" s="1"/>
  <c r="Z74" i="2" a="1"/>
  <c r="Z74" i="2" s="1"/>
  <c r="Z17" i="2" a="1"/>
  <c r="Z17" i="2" s="1"/>
  <c r="Z56" i="2" a="1"/>
  <c r="Z56" i="2" s="1"/>
  <c r="Z80" i="2" a="1"/>
  <c r="Z80" i="2" s="1"/>
  <c r="Z109" i="2" a="1"/>
  <c r="Z109" i="2" s="1"/>
  <c r="Z117" i="2" a="1"/>
  <c r="Z117" i="2" s="1"/>
  <c r="Z130" i="2" a="1"/>
  <c r="Z130" i="2" s="1"/>
  <c r="Z145" i="2" a="1"/>
  <c r="Z145" i="2" s="1"/>
  <c r="Z165" i="2" a="1"/>
  <c r="Z165" i="2" s="1"/>
  <c r="Z174" i="2" a="1"/>
  <c r="Z174" i="2" s="1"/>
  <c r="Z184" i="2" a="1"/>
  <c r="Z184" i="2" s="1"/>
  <c r="Z201" i="2" a="1"/>
  <c r="Z201" i="2" s="1"/>
  <c r="Z210" i="2" a="1"/>
  <c r="Z210" i="2" s="1"/>
  <c r="Z220" i="2" a="1"/>
  <c r="Z220" i="2" s="1"/>
  <c r="Z237" i="2" a="1"/>
  <c r="Z237" i="2" s="1"/>
  <c r="Z246" i="2" a="1"/>
  <c r="Z246" i="2" s="1"/>
  <c r="Z256" i="2" a="1"/>
  <c r="Z256" i="2" s="1"/>
  <c r="Z273" i="2" a="1"/>
  <c r="Z273" i="2" s="1"/>
  <c r="Z282" i="2" a="1"/>
  <c r="Z282" i="2" s="1"/>
  <c r="Z292" i="2" a="1"/>
  <c r="Z292" i="2" s="1"/>
  <c r="Z309" i="2" a="1"/>
  <c r="Z309" i="2" s="1"/>
  <c r="Z318" i="2" a="1"/>
  <c r="Z318" i="2" s="1"/>
  <c r="Z328" i="2" a="1"/>
  <c r="Z328" i="2" s="1"/>
  <c r="Z345" i="2" a="1"/>
  <c r="Z345" i="2" s="1"/>
  <c r="Z386" i="2" a="1"/>
  <c r="Z386" i="2" s="1"/>
  <c r="Z400" i="2" a="1"/>
  <c r="Z400" i="2" s="1"/>
  <c r="Z432" i="2" a="1"/>
  <c r="Z432" i="2" s="1"/>
  <c r="Z439" i="2" a="1"/>
  <c r="Z439" i="2" s="1"/>
  <c r="Z442" i="2" a="1"/>
  <c r="Z442" i="2" s="1"/>
  <c r="Z475" i="2" a="1"/>
  <c r="Z475" i="2" s="1"/>
  <c r="Z504" i="2" a="1"/>
  <c r="Z504" i="2" s="1"/>
  <c r="Z511" i="2" a="1"/>
  <c r="Z511" i="2" s="1"/>
  <c r="Z514" i="2" a="1"/>
  <c r="Z514" i="2" s="1"/>
  <c r="Z569" i="2" a="1"/>
  <c r="Z569" i="2" s="1"/>
  <c r="Z4" i="2" a="1"/>
  <c r="Z4" i="2" s="1"/>
  <c r="Z55" i="2" a="1"/>
  <c r="Z55" i="2" s="1"/>
  <c r="Z99" i="2" a="1"/>
  <c r="Z99" i="2" s="1"/>
  <c r="Z123" i="2" a="1"/>
  <c r="Z123" i="2" s="1"/>
  <c r="Z154" i="2" a="1"/>
  <c r="Z154" i="2" s="1"/>
  <c r="Z8" i="2" a="1"/>
  <c r="Z8" i="2" s="1"/>
  <c r="Z29" i="2" a="1"/>
  <c r="Z29" i="2" s="1"/>
  <c r="Z65" i="2" a="1"/>
  <c r="Z65" i="2" s="1"/>
  <c r="Z14" i="2" a="1"/>
  <c r="Z14" i="2" s="1"/>
  <c r="Z38" i="2" a="1"/>
  <c r="Z38" i="2" s="1"/>
  <c r="Z78" i="2" a="1"/>
  <c r="Z78" i="2" s="1"/>
  <c r="Z86" i="2" a="1"/>
  <c r="Z86" i="2" s="1"/>
  <c r="Z111" i="2" a="1"/>
  <c r="Z111" i="2" s="1"/>
  <c r="Z126" i="2" a="1"/>
  <c r="Z126" i="2" s="1"/>
  <c r="Z142" i="2" a="1"/>
  <c r="Z142" i="2" s="1"/>
  <c r="Z27" i="2" a="1"/>
  <c r="Z27" i="2" s="1"/>
  <c r="Z30" i="2" a="1"/>
  <c r="Z30" i="2" s="1"/>
  <c r="Z36" i="2" a="1"/>
  <c r="Z36" i="2" s="1"/>
  <c r="Z53" i="2" a="1"/>
  <c r="Z53" i="2" s="1"/>
  <c r="Z63" i="2" a="1"/>
  <c r="Z63" i="2" s="1"/>
  <c r="Z66" i="2" a="1"/>
  <c r="Z66" i="2" s="1"/>
  <c r="Z72" i="2" a="1"/>
  <c r="Z72" i="2" s="1"/>
  <c r="Z93" i="2" a="1"/>
  <c r="Z93" i="2" s="1"/>
  <c r="Z103" i="2" a="1"/>
  <c r="Z103" i="2" s="1"/>
  <c r="Z124" i="2" a="1"/>
  <c r="Z124" i="2" s="1"/>
  <c r="Z136" i="2" a="1"/>
  <c r="Z136" i="2" s="1"/>
  <c r="Z139" i="2" a="1"/>
  <c r="Z139" i="2" s="1"/>
  <c r="Z181" i="2" a="1"/>
  <c r="Z181" i="2" s="1"/>
  <c r="Z217" i="2" a="1"/>
  <c r="Z217" i="2" s="1"/>
  <c r="Z253" i="2" a="1"/>
  <c r="Z253" i="2" s="1"/>
  <c r="Z289" i="2" a="1"/>
  <c r="Z289" i="2" s="1"/>
  <c r="Z325" i="2" a="1"/>
  <c r="Z325" i="2" s="1"/>
  <c r="Z362" i="2" a="1"/>
  <c r="Z362" i="2" s="1"/>
  <c r="Z376" i="2" a="1"/>
  <c r="Z376" i="2" s="1"/>
  <c r="Z408" i="2" a="1"/>
  <c r="Z408" i="2" s="1"/>
  <c r="Z414" i="2" a="1"/>
  <c r="Z414" i="2" s="1"/>
  <c r="Z468" i="2" a="1"/>
  <c r="Z468" i="2" s="1"/>
  <c r="Z522" i="2" a="1"/>
  <c r="Z522" i="2" s="1"/>
  <c r="Z555" i="2" a="1"/>
  <c r="Z555" i="2" s="1"/>
  <c r="Z112" i="2" a="1"/>
  <c r="Z112" i="2" s="1"/>
  <c r="Z118" i="2" a="1"/>
  <c r="Z118" i="2" s="1"/>
  <c r="Z149" i="2" a="1"/>
  <c r="Z149" i="2" s="1"/>
  <c r="Z158" i="2" a="1"/>
  <c r="Z158" i="2" s="1"/>
  <c r="Z175" i="2" a="1"/>
  <c r="Z175" i="2" s="1"/>
  <c r="Z178" i="2" a="1"/>
  <c r="Z178" i="2" s="1"/>
  <c r="Z194" i="2" a="1"/>
  <c r="Z194" i="2" s="1"/>
  <c r="Z207" i="2" a="1"/>
  <c r="Z207" i="2" s="1"/>
  <c r="Z211" i="2" a="1"/>
  <c r="Z211" i="2" s="1"/>
  <c r="Z214" i="2" a="1"/>
  <c r="Z214" i="2" s="1"/>
  <c r="Z230" i="2" a="1"/>
  <c r="Z230" i="2" s="1"/>
  <c r="Z243" i="2" a="1"/>
  <c r="Z243" i="2" s="1"/>
  <c r="Z247" i="2" a="1"/>
  <c r="Z247" i="2" s="1"/>
  <c r="Z250" i="2" a="1"/>
  <c r="Z250" i="2" s="1"/>
  <c r="Z266" i="2" a="1"/>
  <c r="Z266" i="2" s="1"/>
  <c r="Z279" i="2" a="1"/>
  <c r="Z279" i="2" s="1"/>
  <c r="Z283" i="2" a="1"/>
  <c r="Z283" i="2" s="1"/>
  <c r="Z286" i="2" a="1"/>
  <c r="Z286" i="2" s="1"/>
  <c r="Z302" i="2" a="1"/>
  <c r="Z302" i="2" s="1"/>
  <c r="Z315" i="2" a="1"/>
  <c r="Z315" i="2" s="1"/>
  <c r="Z319" i="2" a="1"/>
  <c r="Z319" i="2" s="1"/>
  <c r="Z322" i="2" a="1"/>
  <c r="Z322" i="2" s="1"/>
  <c r="Z338" i="2" a="1"/>
  <c r="Z338" i="2" s="1"/>
  <c r="Z352" i="2" a="1"/>
  <c r="Z352" i="2" s="1"/>
  <c r="Z384" i="2" a="1"/>
  <c r="Z384" i="2" s="1"/>
  <c r="Z390" i="2" a="1"/>
  <c r="Z390" i="2" s="1"/>
  <c r="Z429" i="2" a="1"/>
  <c r="Z429" i="2" s="1"/>
  <c r="Z446" i="2" a="1"/>
  <c r="Z446" i="2" s="1"/>
  <c r="Z457" i="2" a="1"/>
  <c r="Z457" i="2" s="1"/>
  <c r="Z465" i="2" a="1"/>
  <c r="Z465" i="2" s="1"/>
  <c r="Z482" i="2" a="1"/>
  <c r="Z482" i="2" s="1"/>
  <c r="Z501" i="2" a="1"/>
  <c r="Z501" i="2" s="1"/>
  <c r="Z518" i="2" a="1"/>
  <c r="Z518" i="2" s="1"/>
  <c r="Z541" i="2" a="1"/>
  <c r="Z541" i="2" s="1"/>
  <c r="Z559" i="2" a="1"/>
  <c r="Z559" i="2" s="1"/>
  <c r="Z332" i="2" a="1"/>
  <c r="Z332" i="2" s="1"/>
  <c r="Z356" i="2" a="1"/>
  <c r="Z356" i="2" s="1"/>
  <c r="Z380" i="2" a="1"/>
  <c r="Z380" i="2" s="1"/>
  <c r="Z404" i="2" a="1"/>
  <c r="Z404" i="2" s="1"/>
  <c r="Z428" i="2" a="1"/>
  <c r="Z428" i="2" s="1"/>
  <c r="Z452" i="2" a="1"/>
  <c r="Z452" i="2" s="1"/>
  <c r="Z476" i="2" a="1"/>
  <c r="Z476" i="2" s="1"/>
  <c r="Z500" i="2" a="1"/>
  <c r="Z500" i="2" s="1"/>
  <c r="Z533" i="2" a="1"/>
  <c r="Z533" i="2" s="1"/>
  <c r="Z550" i="2" a="1"/>
  <c r="Z550" i="2" s="1"/>
  <c r="Z567" i="2" a="1"/>
  <c r="Z567" i="2" s="1"/>
  <c r="Z308" i="2" a="1"/>
  <c r="Z308" i="2" s="1"/>
  <c r="Z59" i="2" a="1"/>
  <c r="Z59" i="2" s="1"/>
  <c r="Z131" i="2" a="1"/>
  <c r="Z131" i="2" s="1"/>
  <c r="Z144" i="2" a="1"/>
  <c r="Z144" i="2" s="1"/>
  <c r="Z146" i="2" a="1"/>
  <c r="Z146" i="2" s="1"/>
  <c r="Z530" i="2" a="1"/>
  <c r="Z530" i="2" s="1"/>
  <c r="Z558" i="2" a="1"/>
  <c r="Z558" i="2" s="1"/>
  <c r="Z341" i="2" a="1"/>
  <c r="Z341" i="2" s="1"/>
  <c r="Z365" i="2" a="1"/>
  <c r="Z365" i="2" s="1"/>
  <c r="Z389" i="2" a="1"/>
  <c r="Z389" i="2" s="1"/>
  <c r="Z399" i="2" a="1"/>
  <c r="Z399" i="2" s="1"/>
  <c r="Z402" i="2" a="1"/>
  <c r="Z402" i="2" s="1"/>
  <c r="Z413" i="2" a="1"/>
  <c r="Z413" i="2" s="1"/>
  <c r="Z423" i="2" a="1"/>
  <c r="Z423" i="2" s="1"/>
  <c r="Z426" i="2" a="1"/>
  <c r="Z426" i="2" s="1"/>
  <c r="Z437" i="2" a="1"/>
  <c r="Z437" i="2" s="1"/>
  <c r="Z447" i="2" a="1"/>
  <c r="Z447" i="2" s="1"/>
  <c r="Z450" i="2" a="1"/>
  <c r="Z450" i="2" s="1"/>
  <c r="Z461" i="2" a="1"/>
  <c r="Z461" i="2" s="1"/>
  <c r="Z471" i="2" a="1"/>
  <c r="Z471" i="2" s="1"/>
  <c r="Z474" i="2" a="1"/>
  <c r="Z474" i="2" s="1"/>
  <c r="Z485" i="2" a="1"/>
  <c r="Z485" i="2" s="1"/>
  <c r="Z495" i="2" a="1"/>
  <c r="Z495" i="2" s="1"/>
  <c r="Z498" i="2" a="1"/>
  <c r="Z498" i="2" s="1"/>
  <c r="Z509" i="2" a="1"/>
  <c r="Z509" i="2" s="1"/>
  <c r="Z519" i="2" a="1"/>
  <c r="Z519" i="2" s="1"/>
  <c r="Z528" i="2" a="1"/>
  <c r="Z528" i="2" s="1"/>
  <c r="Z539" i="2" a="1"/>
  <c r="Z539" i="2" s="1"/>
  <c r="Z547" i="2" a="1"/>
  <c r="Z547" i="2" s="1"/>
  <c r="Z35" i="2" a="1"/>
  <c r="Z35" i="2" s="1"/>
  <c r="Z107" i="2" a="1"/>
  <c r="Z107" i="2" s="1"/>
  <c r="Z155" i="2" a="1"/>
  <c r="Z155" i="2" s="1"/>
  <c r="Z179" i="2" a="1"/>
  <c r="Z179" i="2" s="1"/>
  <c r="Z203" i="2" a="1"/>
  <c r="Z203" i="2" s="1"/>
  <c r="Z227" i="2" a="1"/>
  <c r="Z227" i="2" s="1"/>
  <c r="Z251" i="2" a="1"/>
  <c r="Z251" i="2" s="1"/>
  <c r="Z275" i="2" a="1"/>
  <c r="Z275" i="2" s="1"/>
  <c r="Z299" i="2" a="1"/>
  <c r="Z299" i="2" s="1"/>
  <c r="Z323" i="2" a="1"/>
  <c r="Z323" i="2" s="1"/>
  <c r="Z347" i="2" a="1"/>
  <c r="Z347" i="2" s="1"/>
  <c r="Z371" i="2" a="1"/>
  <c r="Z371" i="2" s="1"/>
  <c r="Z395" i="2" a="1"/>
  <c r="Z395" i="2" s="1"/>
  <c r="Z419" i="2" a="1"/>
  <c r="Z419" i="2" s="1"/>
  <c r="Z443" i="2" a="1"/>
  <c r="Z443" i="2" s="1"/>
  <c r="Z467" i="2" a="1"/>
  <c r="Z467" i="2" s="1"/>
  <c r="Z491" i="2" a="1"/>
  <c r="Z491" i="2" s="1"/>
  <c r="Z515" i="2" a="1"/>
  <c r="Z515" i="2" s="1"/>
  <c r="Z542" i="2" a="1"/>
  <c r="Z542" i="2" s="1"/>
  <c r="Z562" i="2" a="1"/>
  <c r="Z562" i="2" s="1"/>
  <c r="Z565" i="2" a="1"/>
  <c r="Z565" i="2" s="1"/>
  <c r="Z134" i="2" a="1"/>
  <c r="Z134" i="2" s="1"/>
  <c r="Z62" i="2" a="1"/>
  <c r="Z62" i="2" s="1"/>
  <c r="Z147" i="2" a="1"/>
  <c r="Z147" i="2" s="1"/>
  <c r="Z200" i="2" a="1"/>
  <c r="Z200" i="2" s="1"/>
  <c r="Z248" i="2" a="1"/>
  <c r="Z248" i="2" s="1"/>
  <c r="Z296" i="2" a="1"/>
  <c r="Z296" i="2" s="1"/>
  <c r="Z320" i="2" a="1"/>
  <c r="Z320" i="2" s="1"/>
  <c r="Z344" i="2" a="1"/>
  <c r="Z344" i="2" s="1"/>
  <c r="Z368" i="2" a="1"/>
  <c r="Z368" i="2" s="1"/>
  <c r="Z392" i="2" a="1"/>
  <c r="Z392" i="2" s="1"/>
  <c r="Z416" i="2" a="1"/>
  <c r="Z416" i="2" s="1"/>
  <c r="Z440" i="2" a="1"/>
  <c r="Z440" i="2" s="1"/>
  <c r="Z464" i="2" a="1"/>
  <c r="Z464" i="2" s="1"/>
  <c r="Z488" i="2" a="1"/>
  <c r="Z488" i="2" s="1"/>
  <c r="Z512" i="2" a="1"/>
  <c r="Z512" i="2" s="1"/>
  <c r="Z531" i="2" a="1"/>
  <c r="Z531" i="2" s="1"/>
  <c r="Z540" i="2" a="1"/>
  <c r="Z540" i="2" s="1"/>
  <c r="Z536" i="2" a="1"/>
  <c r="Z536" i="2" s="1"/>
  <c r="Z524" i="2" a="1"/>
  <c r="Z524" i="2" s="1"/>
  <c r="Z570" i="2" a="1"/>
  <c r="Z570" i="2" s="1"/>
  <c r="Z132" i="2" a="1"/>
  <c r="Z132" i="2" s="1"/>
  <c r="Z176" i="2" a="1"/>
  <c r="Z176" i="2" s="1"/>
  <c r="Z224" i="2" a="1"/>
  <c r="Z224" i="2" s="1"/>
  <c r="Z272" i="2" a="1"/>
  <c r="Z272" i="2" s="1"/>
  <c r="Z23" i="2" a="1"/>
  <c r="Z23" i="2" s="1"/>
  <c r="Z95" i="2" a="1"/>
  <c r="Z95" i="2" s="1"/>
  <c r="Z560" i="2" a="1"/>
  <c r="Z560" i="2" s="1"/>
  <c r="Z568" i="2" a="1"/>
  <c r="Z568" i="2" s="1"/>
  <c r="Z425" i="2" a="1"/>
  <c r="Z425" i="2" s="1"/>
  <c r="Z449" i="2" a="1"/>
  <c r="Z449" i="2" s="1"/>
  <c r="Z473" i="2" a="1"/>
  <c r="Z473" i="2" s="1"/>
  <c r="Z483" i="2" a="1"/>
  <c r="Z483" i="2" s="1"/>
  <c r="Z486" i="2" a="1"/>
  <c r="Z486" i="2" s="1"/>
  <c r="Z497" i="2" a="1"/>
  <c r="Z497" i="2" s="1"/>
  <c r="Z507" i="2" a="1"/>
  <c r="Z507" i="2" s="1"/>
  <c r="Z510" i="2" a="1"/>
  <c r="Z510" i="2" s="1"/>
  <c r="Z521" i="2" a="1"/>
  <c r="Z521" i="2" s="1"/>
  <c r="Z526" i="2" a="1"/>
  <c r="Z526" i="2" s="1"/>
  <c r="Z529" i="2" a="1"/>
  <c r="Z529" i="2" s="1"/>
  <c r="Z537" i="2" a="1"/>
  <c r="Z537" i="2" s="1"/>
  <c r="Z549" i="2" a="1"/>
  <c r="Z549" i="2" s="1"/>
  <c r="Z554" i="2" a="1"/>
  <c r="Z554" i="2" s="1"/>
  <c r="Z557" i="2" a="1"/>
  <c r="Z557" i="2" s="1"/>
  <c r="Z574" i="2" a="1"/>
  <c r="Z574" i="2" s="1"/>
  <c r="O10" i="3"/>
  <c r="Z575" i="2" a="1"/>
  <c r="Z575" i="2" s="1"/>
  <c r="Z71" i="2" a="1"/>
  <c r="Z71" i="2" s="1"/>
  <c r="Z167" i="2" a="1"/>
  <c r="Z167" i="2" s="1"/>
  <c r="Z191" i="2" a="1"/>
  <c r="Z191" i="2" s="1"/>
  <c r="Z215" i="2" a="1"/>
  <c r="Z215" i="2" s="1"/>
  <c r="Z239" i="2" a="1"/>
  <c r="Z239" i="2" s="1"/>
  <c r="Z263" i="2" a="1"/>
  <c r="Z263" i="2" s="1"/>
  <c r="Z287" i="2" a="1"/>
  <c r="Z287" i="2" s="1"/>
  <c r="Z311" i="2" a="1"/>
  <c r="Z311" i="2" s="1"/>
  <c r="Z335" i="2" a="1"/>
  <c r="Z335" i="2" s="1"/>
  <c r="Z359" i="2" a="1"/>
  <c r="Z359" i="2" s="1"/>
  <c r="Z383" i="2" a="1"/>
  <c r="Z383" i="2" s="1"/>
  <c r="Z407" i="2" a="1"/>
  <c r="Z407" i="2" s="1"/>
  <c r="Z431" i="2" a="1"/>
  <c r="Z431" i="2" s="1"/>
  <c r="Z455" i="2" a="1"/>
  <c r="Z455" i="2" s="1"/>
  <c r="Z479" i="2" a="1"/>
  <c r="Z479" i="2" s="1"/>
  <c r="Z503" i="2" a="1"/>
  <c r="Z503" i="2" s="1"/>
  <c r="Z544" i="2" a="1"/>
  <c r="Z544" i="2" s="1"/>
  <c r="Z552" i="2" a="1"/>
  <c r="Z552" i="2" s="1"/>
  <c r="Z543" i="2" a="1"/>
  <c r="Z543" i="2" s="1"/>
  <c r="J262" i="4"/>
  <c r="J250" i="4"/>
  <c r="J238" i="4"/>
  <c r="J226" i="4"/>
  <c r="J214" i="4"/>
  <c r="J202" i="4"/>
  <c r="J190" i="4"/>
  <c r="J178" i="4"/>
  <c r="J166" i="4"/>
  <c r="J154" i="4"/>
  <c r="J142" i="4"/>
  <c r="J130" i="4"/>
  <c r="J118" i="4"/>
  <c r="J106" i="4"/>
  <c r="J94" i="4"/>
  <c r="J82" i="4"/>
  <c r="J70" i="4"/>
  <c r="J58" i="4"/>
  <c r="J46" i="4"/>
  <c r="J34" i="4"/>
  <c r="J22" i="4"/>
  <c r="J10" i="4"/>
  <c r="J261" i="4"/>
  <c r="J249" i="4"/>
  <c r="J237" i="4"/>
  <c r="J225" i="4"/>
  <c r="J213" i="4"/>
  <c r="J201" i="4"/>
  <c r="J189" i="4"/>
  <c r="J177" i="4"/>
  <c r="J165" i="4"/>
  <c r="J153" i="4"/>
  <c r="J141" i="4"/>
  <c r="J129" i="4"/>
  <c r="J117" i="4"/>
  <c r="J105" i="4"/>
  <c r="J93" i="4"/>
  <c r="J81" i="4"/>
  <c r="J69" i="4"/>
  <c r="J57" i="4"/>
  <c r="J45" i="4"/>
  <c r="J33" i="4"/>
  <c r="J21" i="4"/>
  <c r="J9" i="4"/>
  <c r="J18" i="4"/>
  <c r="J32" i="4"/>
  <c r="J48" i="4"/>
  <c r="J62" i="4"/>
  <c r="J76" i="4"/>
  <c r="J90" i="4"/>
  <c r="J104" i="4"/>
  <c r="J120" i="4"/>
  <c r="J134" i="4"/>
  <c r="J148" i="4"/>
  <c r="J162" i="4"/>
  <c r="J176" i="4"/>
  <c r="J192" i="4"/>
  <c r="J206" i="4"/>
  <c r="J220" i="4"/>
  <c r="J234" i="4"/>
  <c r="J248" i="4"/>
  <c r="J7" i="4"/>
  <c r="K4" i="4" s="1" a="1"/>
  <c r="J23" i="4"/>
  <c r="J37" i="4"/>
  <c r="J51" i="4"/>
  <c r="J65" i="4"/>
  <c r="J79" i="4"/>
  <c r="J95" i="4"/>
  <c r="J109" i="4"/>
  <c r="J123" i="4"/>
  <c r="J137" i="4"/>
  <c r="J151" i="4"/>
  <c r="J167" i="4"/>
  <c r="J181" i="4"/>
  <c r="J195" i="4"/>
  <c r="J209" i="4"/>
  <c r="J223" i="4"/>
  <c r="J239" i="4"/>
  <c r="J253" i="4"/>
  <c r="J8" i="4"/>
  <c r="J24" i="4"/>
  <c r="J38" i="4"/>
  <c r="J52" i="4"/>
  <c r="J66" i="4"/>
  <c r="J80" i="4"/>
  <c r="J96" i="4"/>
  <c r="J110" i="4"/>
  <c r="J124" i="4"/>
  <c r="J138" i="4"/>
  <c r="J152" i="4"/>
  <c r="J168" i="4"/>
  <c r="J182" i="4"/>
  <c r="J196" i="4"/>
  <c r="J210" i="4"/>
  <c r="J224" i="4"/>
  <c r="J240" i="4"/>
  <c r="J254" i="4"/>
  <c r="J11" i="4"/>
  <c r="J25" i="4"/>
  <c r="J39" i="4"/>
  <c r="J53" i="4"/>
  <c r="J67" i="4"/>
  <c r="J83" i="4"/>
  <c r="J97" i="4"/>
  <c r="J111" i="4"/>
  <c r="J125" i="4"/>
  <c r="J139" i="4"/>
  <c r="J155" i="4"/>
  <c r="J169" i="4"/>
  <c r="J183" i="4"/>
  <c r="J197" i="4"/>
  <c r="J211" i="4"/>
  <c r="J227" i="4"/>
  <c r="J241" i="4"/>
  <c r="J255" i="4"/>
  <c r="J12" i="4"/>
  <c r="J26" i="4"/>
  <c r="J40" i="4"/>
  <c r="J54" i="4"/>
  <c r="J68" i="4"/>
  <c r="J84" i="4"/>
  <c r="J98" i="4"/>
  <c r="J112" i="4"/>
  <c r="J126" i="4"/>
  <c r="J140" i="4"/>
  <c r="J156" i="4"/>
  <c r="J170" i="4"/>
  <c r="J184" i="4"/>
  <c r="J198" i="4"/>
  <c r="J212" i="4"/>
  <c r="J228" i="4"/>
  <c r="J242" i="4"/>
  <c r="J256" i="4"/>
  <c r="J13" i="4"/>
  <c r="J27" i="4"/>
  <c r="J41" i="4"/>
  <c r="J55" i="4"/>
  <c r="J71" i="4"/>
  <c r="J85" i="4"/>
  <c r="J99" i="4"/>
  <c r="J113" i="4"/>
  <c r="J127" i="4"/>
  <c r="J143" i="4"/>
  <c r="J157" i="4"/>
  <c r="J171" i="4"/>
  <c r="J185" i="4"/>
  <c r="J199" i="4"/>
  <c r="J215" i="4"/>
  <c r="J229" i="4"/>
  <c r="J243" i="4"/>
  <c r="J257" i="4"/>
  <c r="C9" i="4"/>
  <c r="K256" i="4" l="1"/>
  <c r="K244" i="4"/>
  <c r="K232" i="4"/>
  <c r="K220" i="4"/>
  <c r="K208" i="4"/>
  <c r="K196" i="4"/>
  <c r="K184" i="4"/>
  <c r="K172" i="4"/>
  <c r="K160" i="4"/>
  <c r="K148" i="4"/>
  <c r="K136" i="4"/>
  <c r="K124" i="4"/>
  <c r="K112" i="4"/>
  <c r="K100" i="4"/>
  <c r="K88" i="4"/>
  <c r="K76" i="4"/>
  <c r="K64" i="4"/>
  <c r="K52" i="4"/>
  <c r="K40" i="4"/>
  <c r="K28" i="4"/>
  <c r="K16" i="4"/>
  <c r="K253" i="4"/>
  <c r="K241" i="4"/>
  <c r="K229" i="4"/>
  <c r="K217" i="4"/>
  <c r="K205" i="4"/>
  <c r="K193" i="4"/>
  <c r="K181" i="4"/>
  <c r="K169" i="4"/>
  <c r="K157" i="4"/>
  <c r="K145" i="4"/>
  <c r="K133" i="4"/>
  <c r="K121" i="4"/>
  <c r="K109" i="4"/>
  <c r="K97" i="4"/>
  <c r="K85" i="4"/>
  <c r="K73" i="4"/>
  <c r="K61" i="4"/>
  <c r="K49" i="4"/>
  <c r="K37" i="4"/>
  <c r="K25" i="4"/>
  <c r="K13" i="4"/>
  <c r="K252" i="4"/>
  <c r="K240" i="4"/>
  <c r="K228" i="4"/>
  <c r="K216" i="4"/>
  <c r="K204" i="4"/>
  <c r="K192" i="4"/>
  <c r="K180" i="4"/>
  <c r="K168" i="4"/>
  <c r="K156" i="4"/>
  <c r="K144" i="4"/>
  <c r="K132" i="4"/>
  <c r="K120" i="4"/>
  <c r="K108" i="4"/>
  <c r="K96" i="4"/>
  <c r="K84" i="4"/>
  <c r="K72" i="4"/>
  <c r="K60" i="4"/>
  <c r="K48" i="4"/>
  <c r="K36" i="4"/>
  <c r="K24" i="4"/>
  <c r="K12" i="4"/>
  <c r="K251" i="4"/>
  <c r="K236" i="4"/>
  <c r="K221" i="4"/>
  <c r="K203" i="4"/>
  <c r="K188" i="4"/>
  <c r="K173" i="4"/>
  <c r="K155" i="4"/>
  <c r="K140" i="4"/>
  <c r="K125" i="4"/>
  <c r="K107" i="4"/>
  <c r="K92" i="4"/>
  <c r="K77" i="4"/>
  <c r="K59" i="4"/>
  <c r="K44" i="4"/>
  <c r="K29" i="4"/>
  <c r="K11" i="4"/>
  <c r="K250" i="4"/>
  <c r="K235" i="4"/>
  <c r="K219" i="4"/>
  <c r="K202" i="4"/>
  <c r="K187" i="4"/>
  <c r="K171" i="4"/>
  <c r="K154" i="4"/>
  <c r="K139" i="4"/>
  <c r="K123" i="4"/>
  <c r="K106" i="4"/>
  <c r="K91" i="4"/>
  <c r="K75" i="4"/>
  <c r="K58" i="4"/>
  <c r="K43" i="4"/>
  <c r="K27" i="4"/>
  <c r="K10" i="4"/>
  <c r="K249" i="4"/>
  <c r="K234" i="4"/>
  <c r="K218" i="4"/>
  <c r="K201" i="4"/>
  <c r="K186" i="4"/>
  <c r="K170" i="4"/>
  <c r="K153" i="4"/>
  <c r="K138" i="4"/>
  <c r="K122" i="4"/>
  <c r="K105" i="4"/>
  <c r="K90" i="4"/>
  <c r="K74" i="4"/>
  <c r="K57" i="4"/>
  <c r="K42" i="4"/>
  <c r="K26" i="4"/>
  <c r="K9" i="4"/>
  <c r="K263" i="4"/>
  <c r="K248" i="4"/>
  <c r="K233" i="4"/>
  <c r="K215" i="4"/>
  <c r="K200" i="4"/>
  <c r="K185" i="4"/>
  <c r="K167" i="4"/>
  <c r="K152" i="4"/>
  <c r="K137" i="4"/>
  <c r="K119" i="4"/>
  <c r="K104" i="4"/>
  <c r="K89" i="4"/>
  <c r="K71" i="4"/>
  <c r="K56" i="4"/>
  <c r="K41" i="4"/>
  <c r="K23" i="4"/>
  <c r="K8" i="4"/>
  <c r="K262" i="4"/>
  <c r="K247" i="4"/>
  <c r="K231" i="4"/>
  <c r="K214" i="4"/>
  <c r="K199" i="4"/>
  <c r="K183" i="4"/>
  <c r="K166" i="4"/>
  <c r="K151" i="4"/>
  <c r="K135" i="4"/>
  <c r="K118" i="4"/>
  <c r="K103" i="4"/>
  <c r="K87" i="4"/>
  <c r="K70" i="4"/>
  <c r="K55" i="4"/>
  <c r="K39" i="4"/>
  <c r="K22" i="4"/>
  <c r="K7" i="4"/>
  <c r="K259" i="4"/>
  <c r="K243" i="4"/>
  <c r="K226" i="4"/>
  <c r="K211" i="4"/>
  <c r="K195" i="4"/>
  <c r="K178" i="4"/>
  <c r="K163" i="4"/>
  <c r="K147" i="4"/>
  <c r="K130" i="4"/>
  <c r="K115" i="4"/>
  <c r="K99" i="4"/>
  <c r="K82" i="4"/>
  <c r="K67" i="4"/>
  <c r="K51" i="4"/>
  <c r="K34" i="4"/>
  <c r="K19" i="4"/>
  <c r="K4" i="4"/>
  <c r="K238" i="4"/>
  <c r="K207" i="4"/>
  <c r="K175" i="4"/>
  <c r="K142" i="4"/>
  <c r="K111" i="4"/>
  <c r="K79" i="4"/>
  <c r="K46" i="4"/>
  <c r="K15" i="4"/>
  <c r="K237" i="4"/>
  <c r="K206" i="4"/>
  <c r="K174" i="4"/>
  <c r="K141" i="4"/>
  <c r="K110" i="4"/>
  <c r="K78" i="4"/>
  <c r="K45" i="4"/>
  <c r="K14" i="4"/>
  <c r="K261" i="4"/>
  <c r="K230" i="4"/>
  <c r="K198" i="4"/>
  <c r="K165" i="4"/>
  <c r="K134" i="4"/>
  <c r="K102" i="4"/>
  <c r="K69" i="4"/>
  <c r="K38" i="4"/>
  <c r="K6" i="4"/>
  <c r="K260" i="4"/>
  <c r="K227" i="4"/>
  <c r="K197" i="4"/>
  <c r="K164" i="4"/>
  <c r="K131" i="4"/>
  <c r="K101" i="4"/>
  <c r="K68" i="4"/>
  <c r="K35" i="4"/>
  <c r="K5" i="4"/>
  <c r="K257" i="4"/>
  <c r="K224" i="4"/>
  <c r="K191" i="4"/>
  <c r="K161" i="4"/>
  <c r="K128" i="4"/>
  <c r="K95" i="4"/>
  <c r="K65" i="4"/>
  <c r="K32" i="4"/>
  <c r="K255" i="4"/>
  <c r="K223" i="4"/>
  <c r="K190" i="4"/>
  <c r="K159" i="4"/>
  <c r="K127" i="4"/>
  <c r="K94" i="4"/>
  <c r="K63" i="4"/>
  <c r="K31" i="4"/>
  <c r="K254" i="4"/>
  <c r="K222" i="4"/>
  <c r="K189" i="4"/>
  <c r="K158" i="4"/>
  <c r="K126" i="4"/>
  <c r="K93" i="4"/>
  <c r="K62" i="4"/>
  <c r="K30" i="4"/>
  <c r="K194" i="4"/>
  <c r="K116" i="4"/>
  <c r="K47" i="4"/>
  <c r="K182" i="4"/>
  <c r="K114" i="4"/>
  <c r="K33" i="4"/>
  <c r="K258" i="4"/>
  <c r="K179" i="4"/>
  <c r="K113" i="4"/>
  <c r="K21" i="4"/>
  <c r="K246" i="4"/>
  <c r="K177" i="4"/>
  <c r="K98" i="4"/>
  <c r="K20" i="4"/>
  <c r="K245" i="4"/>
  <c r="K176" i="4"/>
  <c r="K86" i="4"/>
  <c r="K18" i="4"/>
  <c r="K225" i="4"/>
  <c r="K149" i="4"/>
  <c r="K80" i="4"/>
  <c r="K129" i="4"/>
  <c r="K117" i="4"/>
  <c r="K242" i="4"/>
  <c r="K83" i="4"/>
  <c r="K239" i="4"/>
  <c r="K81" i="4"/>
  <c r="K213" i="4"/>
  <c r="K66" i="4"/>
  <c r="K209" i="4"/>
  <c r="K50" i="4"/>
  <c r="K212" i="4"/>
  <c r="K210" i="4"/>
  <c r="K162" i="4"/>
  <c r="K143" i="4"/>
  <c r="K150" i="4"/>
  <c r="K146" i="4"/>
  <c r="K54" i="4"/>
  <c r="K53" i="4"/>
  <c r="K17" i="4"/>
  <c r="AM4" i="2"/>
  <c r="AN4" i="2"/>
  <c r="AL4" i="2"/>
  <c r="AL3" i="2"/>
  <c r="AK3" i="2" s="1"/>
  <c r="AN3" i="2"/>
  <c r="AL5" i="2"/>
  <c r="AM5" i="2"/>
  <c r="AN5" i="2"/>
  <c r="AK4" i="2" l="1"/>
  <c r="AK5" i="2"/>
  <c r="C6" i="4"/>
  <c r="C7" i="4"/>
</calcChain>
</file>

<file path=xl/sharedStrings.xml><?xml version="1.0" encoding="utf-8"?>
<sst xmlns="http://schemas.openxmlformats.org/spreadsheetml/2006/main" count="4449" uniqueCount="276">
  <si>
    <t>window_id</t>
  </si>
  <si>
    <t>stock1</t>
  </si>
  <si>
    <t>stock2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</si>
  <si>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</si>
  <si>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</si>
  <si>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</si>
  <si>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</si>
  <si>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</si>
  <si>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</si>
  <si>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</si>
  <si>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</si>
  <si>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</si>
  <si>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</si>
  <si>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</si>
  <si>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</si>
  <si>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</si>
  <si>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</si>
  <si>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</si>
  <si>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</si>
  <si>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</si>
  <si>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</si>
  <si>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</si>
  <si>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net_pnl</t>
  </si>
  <si>
    <t>exit_price_age_1</t>
  </si>
  <si>
    <t>exit_price_age_2</t>
  </si>
  <si>
    <t>JPM</t>
  </si>
  <si>
    <t>GS</t>
  </si>
  <si>
    <t>SHORT</t>
  </si>
  <si>
    <t>signal</t>
  </si>
  <si>
    <t>LONG</t>
  </si>
  <si>
    <t>BAC</t>
  </si>
  <si>
    <t>WFC</t>
  </si>
  <si>
    <t>USB</t>
  </si>
  <si>
    <t>PNC</t>
  </si>
  <si>
    <t>TFC</t>
  </si>
  <si>
    <t>Entry day</t>
  </si>
  <si>
    <t>Exit day</t>
  </si>
  <si>
    <t>VIX on entry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</si>
  <si>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</si>
  <si>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</si>
  <si>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</si>
  <si>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</si>
  <si>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</si>
  <si>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</si>
  <si>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</si>
  <si>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</si>
  <si>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</si>
  <si>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</si>
  <si>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</si>
  <si>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</si>
  <si>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</si>
  <si>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</si>
  <si>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</si>
  <si>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</si>
  <si>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</si>
  <si>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</si>
  <si>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</si>
  <si>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</si>
  <si>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</si>
  <si>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</si>
  <si>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</si>
  <si>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</si>
  <si>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</si>
  <si>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</si>
  <si>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</si>
  <si>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</si>
  <si>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</si>
  <si>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</si>
  <si>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</si>
  <si>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</si>
  <si>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</si>
  <si>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</si>
  <si>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</si>
  <si>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</si>
  <si>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09/15/2025</t>
  </si>
  <si>
    <t>09/16/2025</t>
  </si>
  <si>
    <t>MS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</si>
  <si>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</si>
  <si>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</si>
  <si>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</si>
  <si>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</si>
  <si>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</si>
  <si>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</si>
  <si>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</si>
  <si>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</si>
  <si>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</si>
  <si>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</si>
  <si>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C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</si>
  <si>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</si>
  <si>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</si>
  <si>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</si>
  <si>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</si>
  <si>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</si>
  <si>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</si>
  <si>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</si>
  <si>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</si>
  <si>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</si>
  <si>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</si>
  <si>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</si>
  <si>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</si>
  <si>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</si>
  <si>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</si>
  <si>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</si>
  <si>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</si>
  <si>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</si>
  <si>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</si>
  <si>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</si>
  <si>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</si>
  <si>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</si>
  <si>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</si>
  <si>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</si>
  <si>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</si>
  <si>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</si>
  <si>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</si>
  <si>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</si>
  <si>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</si>
  <si>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</si>
  <si>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</si>
  <si>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</si>
  <si>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</si>
  <si>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</si>
  <si>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</si>
  <si>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</si>
  <si>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</si>
  <si>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</si>
  <si>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</si>
  <si>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</si>
  <si>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</si>
  <si>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</si>
  <si>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</si>
  <si>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</si>
  <si>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</si>
  <si>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</si>
  <si>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</si>
  <si>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</si>
  <si>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</si>
  <si>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</si>
  <si>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</si>
  <si>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</si>
  <si>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</si>
  <si>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</si>
  <si>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</si>
  <si>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</si>
  <si>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</si>
  <si>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</si>
  <si>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</si>
  <si>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</si>
  <si>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</si>
  <si>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</si>
  <si>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</si>
  <si>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</si>
  <si>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</si>
  <si>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COF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</si>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</sst>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;[Red]\(0.00000\);\-"/>
    <numFmt numFmtId="165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42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7" fillId="0" borderId="13" xfId="0" applyFont="1" applyBorder="1" applyAlignment="1">
      <alignment horizontal="center" vertical="top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3" fillId="2" borderId="16" xfId="1" applyFont="1" applyFill="1" applyBorder="1" applyAlignment="1">
      <alignment horizontal="center"/>
    </xf>
    <xf numFmtId="0" fontId="8" fillId="0" borderId="18" xfId="0" applyFont="1" applyBorder="1" applyAlignment="1">
      <alignment horizontal="center" vertical="top"/>
    </xf>
    <xf numFmtId="0" fontId="2" fillId="0" borderId="17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7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7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3.1531910093554952E-2</c:v>
                </c:pt>
                <c:pt idx="1">
                  <c:v>2.5899140387179213E-2</c:v>
                </c:pt>
                <c:pt idx="2">
                  <c:v>2.3782929059623304E-2</c:v>
                </c:pt>
                <c:pt idx="3">
                  <c:v>1.4300092994346843E-2</c:v>
                </c:pt>
                <c:pt idx="4">
                  <c:v>-4.5318447755517844E-3</c:v>
                </c:pt>
                <c:pt idx="5">
                  <c:v>-1.285790311796888E-2</c:v>
                </c:pt>
                <c:pt idx="6">
                  <c:v>-2.462431681983996E-2</c:v>
                </c:pt>
                <c:pt idx="7">
                  <c:v>-1.6174125643953159E-2</c:v>
                </c:pt>
                <c:pt idx="8">
                  <c:v>-4.5173001067921034E-2</c:v>
                </c:pt>
                <c:pt idx="10">
                  <c:v>-3.2076202372143321E-2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3-4C60-AFF1-994D94C6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27924</c:v>
                </c:pt>
                <c:pt idx="11">
                  <c:v>32055</c:v>
                </c:pt>
                <c:pt idx="12">
                  <c:v>28504</c:v>
                </c:pt>
                <c:pt idx="13">
                  <c:v>32218</c:v>
                </c:pt>
                <c:pt idx="14">
                  <c:v>32631</c:v>
                </c:pt>
                <c:pt idx="15">
                  <c:v>33015</c:v>
                </c:pt>
                <c:pt idx="16">
                  <c:v>28639</c:v>
                </c:pt>
                <c:pt idx="17">
                  <c:v>28735</c:v>
                </c:pt>
                <c:pt idx="18">
                  <c:v>34564</c:v>
                </c:pt>
                <c:pt idx="19">
                  <c:v>35310</c:v>
                </c:pt>
                <c:pt idx="20">
                  <c:v>29691</c:v>
                </c:pt>
                <c:pt idx="21">
                  <c:v>35725</c:v>
                </c:pt>
                <c:pt idx="22">
                  <c:v>36516</c:v>
                </c:pt>
                <c:pt idx="23">
                  <c:v>30065</c:v>
                </c:pt>
                <c:pt idx="24">
                  <c:v>31227</c:v>
                </c:pt>
                <c:pt idx="25">
                  <c:v>31824</c:v>
                </c:pt>
                <c:pt idx="26">
                  <c:v>37315</c:v>
                </c:pt>
                <c:pt idx="27">
                  <c:v>39624</c:v>
                </c:pt>
                <c:pt idx="28">
                  <c:v>44024</c:v>
                </c:pt>
                <c:pt idx="29">
                  <c:v>47424</c:v>
                </c:pt>
                <c:pt idx="30">
                  <c:v>39854</c:v>
                </c:pt>
                <c:pt idx="31">
                  <c:v>44544</c:v>
                </c:pt>
                <c:pt idx="32">
                  <c:v>37701</c:v>
                </c:pt>
                <c:pt idx="33">
                  <c:v>38206</c:v>
                </c:pt>
                <c:pt idx="34">
                  <c:v>41036</c:v>
                </c:pt>
                <c:pt idx="35">
                  <c:v>47667</c:v>
                </c:pt>
                <c:pt idx="36">
                  <c:v>47973</c:v>
                </c:pt>
                <c:pt idx="37">
                  <c:v>38333</c:v>
                </c:pt>
                <c:pt idx="38">
                  <c:v>38674</c:v>
                </c:pt>
                <c:pt idx="39">
                  <c:v>44948</c:v>
                </c:pt>
                <c:pt idx="40">
                  <c:v>48243</c:v>
                </c:pt>
                <c:pt idx="41">
                  <c:v>45534</c:v>
                </c:pt>
                <c:pt idx="42">
                  <c:v>41209</c:v>
                </c:pt>
                <c:pt idx="43">
                  <c:v>45725</c:v>
                </c:pt>
                <c:pt idx="44">
                  <c:v>41414</c:v>
                </c:pt>
                <c:pt idx="45">
                  <c:v>41825</c:v>
                </c:pt>
                <c:pt idx="46">
                  <c:v>48835</c:v>
                </c:pt>
                <c:pt idx="47">
                  <c:v>45815</c:v>
                </c:pt>
                <c:pt idx="48">
                  <c:v>49254</c:v>
                </c:pt>
                <c:pt idx="49">
                  <c:v>46118</c:v>
                </c:pt>
                <c:pt idx="50">
                  <c:v>49618</c:v>
                </c:pt>
                <c:pt idx="51">
                  <c:v>39068</c:v>
                </c:pt>
                <c:pt idx="52">
                  <c:v>42181</c:v>
                </c:pt>
                <c:pt idx="53">
                  <c:v>50031</c:v>
                </c:pt>
                <c:pt idx="54">
                  <c:v>47299</c:v>
                </c:pt>
                <c:pt idx="55">
                  <c:v>50395</c:v>
                </c:pt>
                <c:pt idx="56">
                  <c:v>43338</c:v>
                </c:pt>
                <c:pt idx="57">
                  <c:v>50810</c:v>
                </c:pt>
                <c:pt idx="58">
                  <c:v>39472</c:v>
                </c:pt>
                <c:pt idx="59">
                  <c:v>43524</c:v>
                </c:pt>
                <c:pt idx="60">
                  <c:v>51195</c:v>
                </c:pt>
                <c:pt idx="61">
                  <c:v>51324</c:v>
                </c:pt>
                <c:pt idx="62">
                  <c:v>56647</c:v>
                </c:pt>
                <c:pt idx="63">
                  <c:v>61358</c:v>
                </c:pt>
                <c:pt idx="64">
                  <c:v>57049</c:v>
                </c:pt>
                <c:pt idx="65">
                  <c:v>51579</c:v>
                </c:pt>
                <c:pt idx="66">
                  <c:v>61737</c:v>
                </c:pt>
                <c:pt idx="67">
                  <c:v>52356</c:v>
                </c:pt>
                <c:pt idx="68">
                  <c:v>57831</c:v>
                </c:pt>
                <c:pt idx="69">
                  <c:v>58222</c:v>
                </c:pt>
                <c:pt idx="70">
                  <c:v>58490</c:v>
                </c:pt>
                <c:pt idx="71">
                  <c:v>62130</c:v>
                </c:pt>
                <c:pt idx="72">
                  <c:v>53145</c:v>
                </c:pt>
                <c:pt idx="73">
                  <c:v>53383</c:v>
                </c:pt>
                <c:pt idx="74">
                  <c:v>62597</c:v>
                </c:pt>
                <c:pt idx="75">
                  <c:v>58607</c:v>
                </c:pt>
                <c:pt idx="76">
                  <c:v>53535</c:v>
                </c:pt>
                <c:pt idx="77">
                  <c:v>59003</c:v>
                </c:pt>
                <c:pt idx="78">
                  <c:v>53791</c:v>
                </c:pt>
                <c:pt idx="79">
                  <c:v>62907</c:v>
                </c:pt>
                <c:pt idx="80">
                  <c:v>63024</c:v>
                </c:pt>
                <c:pt idx="81">
                  <c:v>59124</c:v>
                </c:pt>
                <c:pt idx="82">
                  <c:v>53929</c:v>
                </c:pt>
                <c:pt idx="83">
                  <c:v>63477</c:v>
                </c:pt>
                <c:pt idx="84">
                  <c:v>54324</c:v>
                </c:pt>
                <c:pt idx="85">
                  <c:v>55224</c:v>
                </c:pt>
                <c:pt idx="86">
                  <c:v>64258</c:v>
                </c:pt>
                <c:pt idx="87">
                  <c:v>60167</c:v>
                </c:pt>
                <c:pt idx="88">
                  <c:v>60519</c:v>
                </c:pt>
                <c:pt idx="89">
                  <c:v>55503</c:v>
                </c:pt>
                <c:pt idx="90">
                  <c:v>60566</c:v>
                </c:pt>
                <c:pt idx="91">
                  <c:v>65251</c:v>
                </c:pt>
                <c:pt idx="92">
                  <c:v>65806</c:v>
                </c:pt>
                <c:pt idx="93">
                  <c:v>71516</c:v>
                </c:pt>
                <c:pt idx="94">
                  <c:v>66028</c:v>
                </c:pt>
                <c:pt idx="95">
                  <c:v>71897</c:v>
                </c:pt>
                <c:pt idx="96">
                  <c:v>67621</c:v>
                </c:pt>
                <c:pt idx="97">
                  <c:v>68021</c:v>
                </c:pt>
                <c:pt idx="98">
                  <c:v>68392</c:v>
                </c:pt>
                <c:pt idx="99">
                  <c:v>72060</c:v>
                </c:pt>
                <c:pt idx="100">
                  <c:v>69319</c:v>
                </c:pt>
                <c:pt idx="101">
                  <c:v>72578</c:v>
                </c:pt>
                <c:pt idx="102">
                  <c:v>69400</c:v>
                </c:pt>
                <c:pt idx="103">
                  <c:v>73088</c:v>
                </c:pt>
                <c:pt idx="104">
                  <c:v>74724</c:v>
                </c:pt>
                <c:pt idx="105">
                  <c:v>69518</c:v>
                </c:pt>
                <c:pt idx="106">
                  <c:v>75628</c:v>
                </c:pt>
                <c:pt idx="107">
                  <c:v>70735</c:v>
                </c:pt>
                <c:pt idx="108">
                  <c:v>75823</c:v>
                </c:pt>
                <c:pt idx="109">
                  <c:v>70824</c:v>
                </c:pt>
                <c:pt idx="110">
                  <c:v>77763</c:v>
                </c:pt>
                <c:pt idx="111">
                  <c:v>71121</c:v>
                </c:pt>
                <c:pt idx="112">
                  <c:v>0</c:v>
                </c:pt>
                <c:pt idx="113">
                  <c:v>78927</c:v>
                </c:pt>
                <c:pt idx="114">
                  <c:v>85194</c:v>
                </c:pt>
                <c:pt idx="115">
                  <c:v>89896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85896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90290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80113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81280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86348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81433</c:v>
                </c:pt>
                <c:pt idx="197">
                  <c:v>86424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86751</c:v>
                </c:pt>
                <c:pt idx="205">
                  <c:v>0</c:v>
                </c:pt>
                <c:pt idx="206">
                  <c:v>87177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82524</c:v>
                </c:pt>
                <c:pt idx="211">
                  <c:v>0</c:v>
                </c:pt>
                <c:pt idx="212">
                  <c:v>82792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87550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82839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83142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87887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83676</c:v>
                </c:pt>
                <c:pt idx="267">
                  <c:v>88316</c:v>
                </c:pt>
                <c:pt idx="268">
                  <c:v>0</c:v>
                </c:pt>
                <c:pt idx="269">
                  <c:v>0</c:v>
                </c:pt>
                <c:pt idx="270">
                  <c:v>88707</c:v>
                </c:pt>
                <c:pt idx="271">
                  <c:v>0</c:v>
                </c:pt>
                <c:pt idx="272">
                  <c:v>84022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84229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84788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89488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2.4154983597460759E-2</c:v>
                </c:pt>
                <c:pt idx="1">
                  <c:v>6.7822223641431922E-2</c:v>
                </c:pt>
                <c:pt idx="2">
                  <c:v>7.2054022294906012E-2</c:v>
                </c:pt>
                <c:pt idx="3">
                  <c:v>0.10989765832320822</c:v>
                </c:pt>
                <c:pt idx="4">
                  <c:v>0.14071718810098172</c:v>
                </c:pt>
                <c:pt idx="5">
                  <c:v>0.12499990810589964</c:v>
                </c:pt>
                <c:pt idx="6">
                  <c:v>0.13581127214435745</c:v>
                </c:pt>
                <c:pt idx="7">
                  <c:v>0.16614086503040157</c:v>
                </c:pt>
                <c:pt idx="8">
                  <c:v>0.19014346306098065</c:v>
                </c:pt>
                <c:pt idx="9">
                  <c:v>0.1839358032954517</c:v>
                </c:pt>
                <c:pt idx="10">
                  <c:v>0.1941326654590293</c:v>
                </c:pt>
                <c:pt idx="11">
                  <c:v>0.1183425039681798</c:v>
                </c:pt>
                <c:pt idx="12">
                  <c:v>0.15478021811961803</c:v>
                </c:pt>
                <c:pt idx="13">
                  <c:v>0.17693188904721063</c:v>
                </c:pt>
                <c:pt idx="14">
                  <c:v>0.18805818047081915</c:v>
                </c:pt>
                <c:pt idx="15">
                  <c:v>0.1903423477228541</c:v>
                </c:pt>
                <c:pt idx="16">
                  <c:v>0.22286266485970563</c:v>
                </c:pt>
                <c:pt idx="17">
                  <c:v>0.21900858532311493</c:v>
                </c:pt>
                <c:pt idx="18">
                  <c:v>0.25100157182767402</c:v>
                </c:pt>
                <c:pt idx="19">
                  <c:v>0.31153065151430531</c:v>
                </c:pt>
                <c:pt idx="20">
                  <c:v>0.28557259849184824</c:v>
                </c:pt>
                <c:pt idx="21">
                  <c:v>0.25803359172475709</c:v>
                </c:pt>
                <c:pt idx="22">
                  <c:v>0.33351917525307462</c:v>
                </c:pt>
                <c:pt idx="23">
                  <c:v>0.36568895160237375</c:v>
                </c:pt>
                <c:pt idx="24">
                  <c:v>0.38735212051488593</c:v>
                </c:pt>
                <c:pt idx="25">
                  <c:v>0.3843450394320243</c:v>
                </c:pt>
                <c:pt idx="26">
                  <c:v>0.43368132684330879</c:v>
                </c:pt>
                <c:pt idx="27">
                  <c:v>0.43411723365652566</c:v>
                </c:pt>
                <c:pt idx="28">
                  <c:v>0.41533900372339677</c:v>
                </c:pt>
                <c:pt idx="29">
                  <c:v>0.42008468396673715</c:v>
                </c:pt>
                <c:pt idx="30">
                  <c:v>0.43647185993503029</c:v>
                </c:pt>
                <c:pt idx="31">
                  <c:v>0.47445826287338366</c:v>
                </c:pt>
                <c:pt idx="32">
                  <c:v>0.46909498236185709</c:v>
                </c:pt>
                <c:pt idx="33">
                  <c:v>0.4685846538621623</c:v>
                </c:pt>
                <c:pt idx="34">
                  <c:v>0.39856519228052278</c:v>
                </c:pt>
                <c:pt idx="35">
                  <c:v>0.38252125646575852</c:v>
                </c:pt>
                <c:pt idx="36">
                  <c:v>0.40939771003347808</c:v>
                </c:pt>
                <c:pt idx="37">
                  <c:v>0.4070877404541412</c:v>
                </c:pt>
                <c:pt idx="38">
                  <c:v>0.41547438680635801</c:v>
                </c:pt>
                <c:pt idx="39">
                  <c:v>0.43741562175361515</c:v>
                </c:pt>
                <c:pt idx="40">
                  <c:v>0.44370107523603131</c:v>
                </c:pt>
                <c:pt idx="41">
                  <c:v>0.44869264765309708</c:v>
                </c:pt>
                <c:pt idx="42">
                  <c:v>0.46455655289258768</c:v>
                </c:pt>
                <c:pt idx="43">
                  <c:v>0.49941286698195436</c:v>
                </c:pt>
                <c:pt idx="44">
                  <c:v>0.54392988200793613</c:v>
                </c:pt>
                <c:pt idx="45">
                  <c:v>0.52143744434607231</c:v>
                </c:pt>
                <c:pt idx="46">
                  <c:v>0.56420742372785182</c:v>
                </c:pt>
                <c:pt idx="47">
                  <c:v>0.5759913991420772</c:v>
                </c:pt>
                <c:pt idx="48">
                  <c:v>0.51955842316950429</c:v>
                </c:pt>
                <c:pt idx="49">
                  <c:v>0.50067164709025613</c:v>
                </c:pt>
                <c:pt idx="50">
                  <c:v>0.53967356336194805</c:v>
                </c:pt>
                <c:pt idx="51">
                  <c:v>0.55562538683900498</c:v>
                </c:pt>
                <c:pt idx="52">
                  <c:v>0.58842630858603828</c:v>
                </c:pt>
                <c:pt idx="53">
                  <c:v>0.50135820186702484</c:v>
                </c:pt>
                <c:pt idx="54">
                  <c:v>0.48588941908593219</c:v>
                </c:pt>
                <c:pt idx="55">
                  <c:v>0.52222825906973147</c:v>
                </c:pt>
                <c:pt idx="56">
                  <c:v>0.53357426331348157</c:v>
                </c:pt>
                <c:pt idx="57">
                  <c:v>0.51689123661683556</c:v>
                </c:pt>
                <c:pt idx="58">
                  <c:v>0.51578219735405029</c:v>
                </c:pt>
                <c:pt idx="59">
                  <c:v>0.52975855500610958</c:v>
                </c:pt>
                <c:pt idx="60">
                  <c:v>0.49312368039461751</c:v>
                </c:pt>
                <c:pt idx="61">
                  <c:v>0.50204586114949279</c:v>
                </c:pt>
                <c:pt idx="62">
                  <c:v>0.52897177857679989</c:v>
                </c:pt>
                <c:pt idx="63">
                  <c:v>0.54013033740162342</c:v>
                </c:pt>
                <c:pt idx="64">
                  <c:v>0.54344737071671556</c:v>
                </c:pt>
                <c:pt idx="65">
                  <c:v>0.56103303170199237</c:v>
                </c:pt>
                <c:pt idx="66">
                  <c:v>0.60188699921211652</c:v>
                </c:pt>
                <c:pt idx="67">
                  <c:v>0.66140079116701977</c:v>
                </c:pt>
                <c:pt idx="68">
                  <c:v>0.69271720346612242</c:v>
                </c:pt>
                <c:pt idx="69">
                  <c:v>0.72319272461699879</c:v>
                </c:pt>
                <c:pt idx="70">
                  <c:v>0.74389785350688653</c:v>
                </c:pt>
                <c:pt idx="71">
                  <c:v>0.75429914333680781</c:v>
                </c:pt>
                <c:pt idx="72">
                  <c:v>0.78940262375200299</c:v>
                </c:pt>
                <c:pt idx="73">
                  <c:v>0.80241799491577881</c:v>
                </c:pt>
                <c:pt idx="74">
                  <c:v>0.8145612352608862</c:v>
                </c:pt>
                <c:pt idx="75">
                  <c:v>0.85176151595332916</c:v>
                </c:pt>
                <c:pt idx="76">
                  <c:v>0.83540249320483773</c:v>
                </c:pt>
                <c:pt idx="77">
                  <c:v>0.85239537585926717</c:v>
                </c:pt>
                <c:pt idx="78">
                  <c:v>0.89007127081230997</c:v>
                </c:pt>
                <c:pt idx="79">
                  <c:v>0.91671373754469809</c:v>
                </c:pt>
                <c:pt idx="80">
                  <c:v>0.89326150004378269</c:v>
                </c:pt>
                <c:pt idx="81">
                  <c:v>0.88002965557002855</c:v>
                </c:pt>
                <c:pt idx="82">
                  <c:v>0.8596140251060751</c:v>
                </c:pt>
                <c:pt idx="83">
                  <c:v>0.87796396256193621</c:v>
                </c:pt>
                <c:pt idx="84">
                  <c:v>0.81553799491789059</c:v>
                </c:pt>
                <c:pt idx="85">
                  <c:v>0.81275929377916778</c:v>
                </c:pt>
                <c:pt idx="86">
                  <c:v>0.84268592034790168</c:v>
                </c:pt>
                <c:pt idx="87">
                  <c:v>0.85845216579186789</c:v>
                </c:pt>
                <c:pt idx="88">
                  <c:v>0.86650690402571517</c:v>
                </c:pt>
                <c:pt idx="89">
                  <c:v>0.83013573526238937</c:v>
                </c:pt>
                <c:pt idx="90">
                  <c:v>0.85680327113242705</c:v>
                </c:pt>
                <c:pt idx="91">
                  <c:v>0.89274126943505439</c:v>
                </c:pt>
                <c:pt idx="92">
                  <c:v>0.89496556634775204</c:v>
                </c:pt>
                <c:pt idx="93">
                  <c:v>0.90299343386599862</c:v>
                </c:pt>
                <c:pt idx="94">
                  <c:v>0.87471826056022017</c:v>
                </c:pt>
                <c:pt idx="95">
                  <c:v>0.91743808968090401</c:v>
                </c:pt>
                <c:pt idx="96">
                  <c:v>0.87811104199316758</c:v>
                </c:pt>
                <c:pt idx="97">
                  <c:v>0.97369328157423951</c:v>
                </c:pt>
                <c:pt idx="98">
                  <c:v>1.0562279084201005</c:v>
                </c:pt>
                <c:pt idx="99">
                  <c:v>1.0806638485904507</c:v>
                </c:pt>
                <c:pt idx="100">
                  <c:v>1.0974978257727641</c:v>
                </c:pt>
                <c:pt idx="101">
                  <c:v>1.1003744073017296</c:v>
                </c:pt>
                <c:pt idx="102">
                  <c:v>1.1168768327188732</c:v>
                </c:pt>
                <c:pt idx="103">
                  <c:v>1.1256531513740322</c:v>
                </c:pt>
                <c:pt idx="104">
                  <c:v>1.1298579007412415</c:v>
                </c:pt>
                <c:pt idx="105">
                  <c:v>1.1357465304840786</c:v>
                </c:pt>
                <c:pt idx="106">
                  <c:v>1.1357614364238373</c:v>
                </c:pt>
                <c:pt idx="107">
                  <c:v>1.1745276492546417</c:v>
                </c:pt>
                <c:pt idx="108">
                  <c:v>1.1718536944095181</c:v>
                </c:pt>
                <c:pt idx="109">
                  <c:v>1.1634806107323745</c:v>
                </c:pt>
                <c:pt idx="110">
                  <c:v>1.1890974802481284</c:v>
                </c:pt>
                <c:pt idx="111">
                  <c:v>1.2295519790035467</c:v>
                </c:pt>
                <c:pt idx="112">
                  <c:v>1.2295519790035467</c:v>
                </c:pt>
                <c:pt idx="113">
                  <c:v>1.3107497595519264</c:v>
                </c:pt>
                <c:pt idx="114">
                  <c:v>1.3025771831888084</c:v>
                </c:pt>
                <c:pt idx="115">
                  <c:v>1.2898548322503862</c:v>
                </c:pt>
                <c:pt idx="116">
                  <c:v>1.2898548322503862</c:v>
                </c:pt>
                <c:pt idx="117">
                  <c:v>1.2898548322503862</c:v>
                </c:pt>
                <c:pt idx="118">
                  <c:v>1.2898548322503862</c:v>
                </c:pt>
                <c:pt idx="119">
                  <c:v>1.2898548322503862</c:v>
                </c:pt>
                <c:pt idx="120">
                  <c:v>1.2898548322503862</c:v>
                </c:pt>
                <c:pt idx="121">
                  <c:v>1.2898548322503862</c:v>
                </c:pt>
                <c:pt idx="122">
                  <c:v>1.2898548322503862</c:v>
                </c:pt>
                <c:pt idx="123">
                  <c:v>1.2898548322503862</c:v>
                </c:pt>
                <c:pt idx="124">
                  <c:v>1.2898548322503862</c:v>
                </c:pt>
                <c:pt idx="125">
                  <c:v>1.2898548322503862</c:v>
                </c:pt>
                <c:pt idx="126">
                  <c:v>1.2898548322503862</c:v>
                </c:pt>
                <c:pt idx="127">
                  <c:v>1.2898548322503862</c:v>
                </c:pt>
                <c:pt idx="128">
                  <c:v>1.2898548322503862</c:v>
                </c:pt>
                <c:pt idx="129">
                  <c:v>1.2898548322503862</c:v>
                </c:pt>
                <c:pt idx="130">
                  <c:v>1.2898548322503862</c:v>
                </c:pt>
                <c:pt idx="131">
                  <c:v>1.2898548322503862</c:v>
                </c:pt>
                <c:pt idx="132">
                  <c:v>1.2898548322503862</c:v>
                </c:pt>
                <c:pt idx="133">
                  <c:v>1.2898548322503862</c:v>
                </c:pt>
                <c:pt idx="134">
                  <c:v>1.2898548322503862</c:v>
                </c:pt>
                <c:pt idx="135">
                  <c:v>1.2898548322503862</c:v>
                </c:pt>
                <c:pt idx="136">
                  <c:v>1.2898548322503862</c:v>
                </c:pt>
                <c:pt idx="137">
                  <c:v>1.2898548322503862</c:v>
                </c:pt>
                <c:pt idx="138">
                  <c:v>1.2767781487348544</c:v>
                </c:pt>
                <c:pt idx="139">
                  <c:v>1.2767781487348544</c:v>
                </c:pt>
                <c:pt idx="140">
                  <c:v>1.2767781487348544</c:v>
                </c:pt>
                <c:pt idx="141">
                  <c:v>1.2767781487348544</c:v>
                </c:pt>
                <c:pt idx="142">
                  <c:v>1.2767781487348544</c:v>
                </c:pt>
                <c:pt idx="143">
                  <c:v>1.2767781487348544</c:v>
                </c:pt>
                <c:pt idx="144">
                  <c:v>1.2767781487348544</c:v>
                </c:pt>
                <c:pt idx="145">
                  <c:v>1.2767781487348544</c:v>
                </c:pt>
                <c:pt idx="146">
                  <c:v>1.2767781487348544</c:v>
                </c:pt>
                <c:pt idx="147">
                  <c:v>1.2767781487348544</c:v>
                </c:pt>
                <c:pt idx="148">
                  <c:v>1.2767781487348544</c:v>
                </c:pt>
                <c:pt idx="149">
                  <c:v>1.2118274591640619</c:v>
                </c:pt>
                <c:pt idx="150">
                  <c:v>1.2118274591640619</c:v>
                </c:pt>
                <c:pt idx="151">
                  <c:v>1.2118274591640619</c:v>
                </c:pt>
                <c:pt idx="152">
                  <c:v>1.2118274591640619</c:v>
                </c:pt>
                <c:pt idx="153">
                  <c:v>1.2118274591640619</c:v>
                </c:pt>
                <c:pt idx="154">
                  <c:v>1.2118274591640619</c:v>
                </c:pt>
                <c:pt idx="155">
                  <c:v>1.2118274591640619</c:v>
                </c:pt>
                <c:pt idx="156">
                  <c:v>1.2118274591640619</c:v>
                </c:pt>
                <c:pt idx="157">
                  <c:v>1.2118274591640619</c:v>
                </c:pt>
                <c:pt idx="158">
                  <c:v>1.2120391165606061</c:v>
                </c:pt>
                <c:pt idx="159">
                  <c:v>1.2120391165606061</c:v>
                </c:pt>
                <c:pt idx="160">
                  <c:v>1.2120391165606061</c:v>
                </c:pt>
                <c:pt idx="161">
                  <c:v>1.2120391165606061</c:v>
                </c:pt>
                <c:pt idx="162">
                  <c:v>1.2120391165606061</c:v>
                </c:pt>
                <c:pt idx="163">
                  <c:v>1.2566192627848816</c:v>
                </c:pt>
                <c:pt idx="164">
                  <c:v>1.2566192627848816</c:v>
                </c:pt>
                <c:pt idx="165">
                  <c:v>1.2566192627848816</c:v>
                </c:pt>
                <c:pt idx="166">
                  <c:v>1.2566192627848816</c:v>
                </c:pt>
                <c:pt idx="167">
                  <c:v>1.2566192627848816</c:v>
                </c:pt>
                <c:pt idx="168">
                  <c:v>1.2566192627848816</c:v>
                </c:pt>
                <c:pt idx="169">
                  <c:v>1.2566192627848816</c:v>
                </c:pt>
                <c:pt idx="170">
                  <c:v>1.2566192627848816</c:v>
                </c:pt>
                <c:pt idx="171">
                  <c:v>1.2720145024570302</c:v>
                </c:pt>
                <c:pt idx="172">
                  <c:v>1.2720145024570302</c:v>
                </c:pt>
                <c:pt idx="173">
                  <c:v>1.2720145024570302</c:v>
                </c:pt>
                <c:pt idx="174">
                  <c:v>1.2720145024570302</c:v>
                </c:pt>
                <c:pt idx="175">
                  <c:v>1.2720145024570302</c:v>
                </c:pt>
                <c:pt idx="176">
                  <c:v>1.2720145024570302</c:v>
                </c:pt>
                <c:pt idx="177">
                  <c:v>1.2720145024570302</c:v>
                </c:pt>
                <c:pt idx="178">
                  <c:v>1.2720145024570302</c:v>
                </c:pt>
                <c:pt idx="179">
                  <c:v>1.2720145024570302</c:v>
                </c:pt>
                <c:pt idx="180">
                  <c:v>1.2720145024570302</c:v>
                </c:pt>
                <c:pt idx="181">
                  <c:v>1.2720145024570302</c:v>
                </c:pt>
                <c:pt idx="182">
                  <c:v>1.2720145024570302</c:v>
                </c:pt>
                <c:pt idx="183">
                  <c:v>1.2720145024570302</c:v>
                </c:pt>
                <c:pt idx="184">
                  <c:v>1.2720145024570302</c:v>
                </c:pt>
                <c:pt idx="185">
                  <c:v>1.2720145024570302</c:v>
                </c:pt>
                <c:pt idx="186">
                  <c:v>1.2720145024570302</c:v>
                </c:pt>
                <c:pt idx="187">
                  <c:v>1.2720145024570302</c:v>
                </c:pt>
                <c:pt idx="188">
                  <c:v>1.2720145024570302</c:v>
                </c:pt>
                <c:pt idx="189">
                  <c:v>1.2720145024570302</c:v>
                </c:pt>
                <c:pt idx="190">
                  <c:v>1.2720145024570302</c:v>
                </c:pt>
                <c:pt idx="191">
                  <c:v>1.2720145024570302</c:v>
                </c:pt>
                <c:pt idx="192">
                  <c:v>1.2720145024570302</c:v>
                </c:pt>
                <c:pt idx="193">
                  <c:v>1.2720145024570302</c:v>
                </c:pt>
                <c:pt idx="194">
                  <c:v>1.2720145024570302</c:v>
                </c:pt>
                <c:pt idx="195">
                  <c:v>1.2720145024570302</c:v>
                </c:pt>
                <c:pt idx="196">
                  <c:v>1.2965693450544131</c:v>
                </c:pt>
                <c:pt idx="197">
                  <c:v>1.2758449789093944</c:v>
                </c:pt>
                <c:pt idx="198">
                  <c:v>1.2758449789093944</c:v>
                </c:pt>
                <c:pt idx="199">
                  <c:v>1.2758449789093944</c:v>
                </c:pt>
                <c:pt idx="200">
                  <c:v>1.2758449789093944</c:v>
                </c:pt>
                <c:pt idx="201">
                  <c:v>1.2758449789093944</c:v>
                </c:pt>
                <c:pt idx="202">
                  <c:v>1.2758449789093944</c:v>
                </c:pt>
                <c:pt idx="203">
                  <c:v>1.2758449789093944</c:v>
                </c:pt>
                <c:pt idx="204">
                  <c:v>1.3347929922615249</c:v>
                </c:pt>
                <c:pt idx="205">
                  <c:v>1.3347929922615249</c:v>
                </c:pt>
                <c:pt idx="206">
                  <c:v>1.258620604999954</c:v>
                </c:pt>
                <c:pt idx="207">
                  <c:v>1.258620604999954</c:v>
                </c:pt>
                <c:pt idx="208">
                  <c:v>1.258620604999954</c:v>
                </c:pt>
                <c:pt idx="209">
                  <c:v>1.258620604999954</c:v>
                </c:pt>
                <c:pt idx="210">
                  <c:v>1.2338999306280898</c:v>
                </c:pt>
                <c:pt idx="211">
                  <c:v>1.2338999306280898</c:v>
                </c:pt>
                <c:pt idx="212">
                  <c:v>1.236775611056625</c:v>
                </c:pt>
                <c:pt idx="213">
                  <c:v>1.236775611056625</c:v>
                </c:pt>
                <c:pt idx="214">
                  <c:v>1.236775611056625</c:v>
                </c:pt>
                <c:pt idx="215">
                  <c:v>1.236775611056625</c:v>
                </c:pt>
                <c:pt idx="216">
                  <c:v>1.236775611056625</c:v>
                </c:pt>
                <c:pt idx="217">
                  <c:v>1.236775611056625</c:v>
                </c:pt>
                <c:pt idx="218">
                  <c:v>1.236775611056625</c:v>
                </c:pt>
                <c:pt idx="219">
                  <c:v>1.236775611056625</c:v>
                </c:pt>
                <c:pt idx="220">
                  <c:v>1.236775611056625</c:v>
                </c:pt>
                <c:pt idx="221">
                  <c:v>1.236775611056625</c:v>
                </c:pt>
                <c:pt idx="222">
                  <c:v>1.236775611056625</c:v>
                </c:pt>
                <c:pt idx="223">
                  <c:v>1.236775611056625</c:v>
                </c:pt>
                <c:pt idx="224">
                  <c:v>1.236775611056625</c:v>
                </c:pt>
                <c:pt idx="225">
                  <c:v>1.236775611056625</c:v>
                </c:pt>
                <c:pt idx="226">
                  <c:v>1.236775611056625</c:v>
                </c:pt>
                <c:pt idx="227">
                  <c:v>1.1967529456859303</c:v>
                </c:pt>
                <c:pt idx="228">
                  <c:v>1.1967529456859303</c:v>
                </c:pt>
                <c:pt idx="229">
                  <c:v>1.1967529456859303</c:v>
                </c:pt>
                <c:pt idx="230">
                  <c:v>1.1967529456859303</c:v>
                </c:pt>
                <c:pt idx="231">
                  <c:v>1.1967529456859303</c:v>
                </c:pt>
                <c:pt idx="232">
                  <c:v>1.1967529456859303</c:v>
                </c:pt>
                <c:pt idx="233">
                  <c:v>1.1967529456859303</c:v>
                </c:pt>
                <c:pt idx="234">
                  <c:v>1.1967529456859303</c:v>
                </c:pt>
                <c:pt idx="235">
                  <c:v>1.1967529456859303</c:v>
                </c:pt>
                <c:pt idx="236">
                  <c:v>1.1967529456859303</c:v>
                </c:pt>
                <c:pt idx="237">
                  <c:v>1.1967529456859303</c:v>
                </c:pt>
                <c:pt idx="238">
                  <c:v>1.1967529456859303</c:v>
                </c:pt>
                <c:pt idx="239">
                  <c:v>1.1967529456859303</c:v>
                </c:pt>
                <c:pt idx="240">
                  <c:v>1.1967529456859303</c:v>
                </c:pt>
                <c:pt idx="241">
                  <c:v>1.1967529456859303</c:v>
                </c:pt>
                <c:pt idx="242">
                  <c:v>1.1967529456859303</c:v>
                </c:pt>
                <c:pt idx="243">
                  <c:v>1.1967529456859303</c:v>
                </c:pt>
                <c:pt idx="244">
                  <c:v>1.2267530806738436</c:v>
                </c:pt>
                <c:pt idx="245">
                  <c:v>1.2267530806738436</c:v>
                </c:pt>
                <c:pt idx="246">
                  <c:v>1.2267530806738436</c:v>
                </c:pt>
                <c:pt idx="247">
                  <c:v>1.2267530806738436</c:v>
                </c:pt>
                <c:pt idx="248">
                  <c:v>1.2426866174418676</c:v>
                </c:pt>
                <c:pt idx="249">
                  <c:v>1.2426866174418676</c:v>
                </c:pt>
                <c:pt idx="250">
                  <c:v>1.2426866174418676</c:v>
                </c:pt>
                <c:pt idx="251">
                  <c:v>1.2426866174418676</c:v>
                </c:pt>
                <c:pt idx="252">
                  <c:v>1.2426866174418676</c:v>
                </c:pt>
                <c:pt idx="253">
                  <c:v>1.2426866174418676</c:v>
                </c:pt>
                <c:pt idx="254">
                  <c:v>1.2426866174418676</c:v>
                </c:pt>
                <c:pt idx="255">
                  <c:v>1.2426866174418676</c:v>
                </c:pt>
                <c:pt idx="256">
                  <c:v>1.2426866174418676</c:v>
                </c:pt>
                <c:pt idx="257">
                  <c:v>1.2426866174418676</c:v>
                </c:pt>
                <c:pt idx="258">
                  <c:v>1.2426866174418676</c:v>
                </c:pt>
                <c:pt idx="259">
                  <c:v>1.2426866174418676</c:v>
                </c:pt>
                <c:pt idx="260">
                  <c:v>1.2555071600895</c:v>
                </c:pt>
                <c:pt idx="261">
                  <c:v>1.2555071600895</c:v>
                </c:pt>
                <c:pt idx="262">
                  <c:v>1.2555071600895</c:v>
                </c:pt>
                <c:pt idx="263">
                  <c:v>1.2555071600895</c:v>
                </c:pt>
                <c:pt idx="264">
                  <c:v>1.2555071600895</c:v>
                </c:pt>
                <c:pt idx="265">
                  <c:v>1.2555071600895</c:v>
                </c:pt>
                <c:pt idx="266">
                  <c:v>1.2302957480248693</c:v>
                </c:pt>
                <c:pt idx="267">
                  <c:v>1.2932897405236716</c:v>
                </c:pt>
                <c:pt idx="268">
                  <c:v>1.2932897405236716</c:v>
                </c:pt>
                <c:pt idx="269">
                  <c:v>1.2932897405236716</c:v>
                </c:pt>
                <c:pt idx="270">
                  <c:v>1.3405935917099607</c:v>
                </c:pt>
                <c:pt idx="271">
                  <c:v>1.3405935917099607</c:v>
                </c:pt>
                <c:pt idx="272">
                  <c:v>1.3212182748322725</c:v>
                </c:pt>
                <c:pt idx="273">
                  <c:v>1.3212182748322725</c:v>
                </c:pt>
                <c:pt idx="274">
                  <c:v>1.3212182748322725</c:v>
                </c:pt>
                <c:pt idx="275">
                  <c:v>1.3212182748322725</c:v>
                </c:pt>
                <c:pt idx="276">
                  <c:v>1.3212182748322725</c:v>
                </c:pt>
                <c:pt idx="277">
                  <c:v>1.3212182748322725</c:v>
                </c:pt>
                <c:pt idx="278">
                  <c:v>1.3212182748322725</c:v>
                </c:pt>
                <c:pt idx="279">
                  <c:v>1.3212182748322725</c:v>
                </c:pt>
                <c:pt idx="280">
                  <c:v>1.3212182748322725</c:v>
                </c:pt>
                <c:pt idx="281">
                  <c:v>1.3212182748322725</c:v>
                </c:pt>
                <c:pt idx="282">
                  <c:v>1.3212182748322725</c:v>
                </c:pt>
                <c:pt idx="283">
                  <c:v>1.3212182748322725</c:v>
                </c:pt>
                <c:pt idx="284">
                  <c:v>1.3212182748322725</c:v>
                </c:pt>
                <c:pt idx="285">
                  <c:v>1.3212182748322725</c:v>
                </c:pt>
                <c:pt idx="286">
                  <c:v>1.3212182748322725</c:v>
                </c:pt>
                <c:pt idx="287">
                  <c:v>1.3212182748322725</c:v>
                </c:pt>
                <c:pt idx="288">
                  <c:v>1.3212182748322725</c:v>
                </c:pt>
                <c:pt idx="289">
                  <c:v>1.3212182748322725</c:v>
                </c:pt>
                <c:pt idx="290">
                  <c:v>1.3212182748322725</c:v>
                </c:pt>
                <c:pt idx="291">
                  <c:v>1.3212182748322725</c:v>
                </c:pt>
                <c:pt idx="292">
                  <c:v>1.3212182748322725</c:v>
                </c:pt>
                <c:pt idx="293">
                  <c:v>1.3212182748322725</c:v>
                </c:pt>
                <c:pt idx="294">
                  <c:v>1.3212182748322725</c:v>
                </c:pt>
                <c:pt idx="295">
                  <c:v>1.3212182748322725</c:v>
                </c:pt>
                <c:pt idx="296">
                  <c:v>1.3212182748322725</c:v>
                </c:pt>
                <c:pt idx="297">
                  <c:v>1.3212182748322725</c:v>
                </c:pt>
                <c:pt idx="298">
                  <c:v>1.3212182748322725</c:v>
                </c:pt>
                <c:pt idx="299">
                  <c:v>1.3212182748322725</c:v>
                </c:pt>
                <c:pt idx="300">
                  <c:v>1.3212182748322725</c:v>
                </c:pt>
                <c:pt idx="301">
                  <c:v>1.3212182748322725</c:v>
                </c:pt>
                <c:pt idx="302">
                  <c:v>1.3212182748322725</c:v>
                </c:pt>
                <c:pt idx="303">
                  <c:v>1.3212182748322725</c:v>
                </c:pt>
                <c:pt idx="304">
                  <c:v>1.3212182748322725</c:v>
                </c:pt>
                <c:pt idx="305">
                  <c:v>1.3212182748322725</c:v>
                </c:pt>
                <c:pt idx="306">
                  <c:v>1.3212182748322725</c:v>
                </c:pt>
                <c:pt idx="307">
                  <c:v>1.3212182748322725</c:v>
                </c:pt>
                <c:pt idx="308">
                  <c:v>1.3212182748322725</c:v>
                </c:pt>
                <c:pt idx="309">
                  <c:v>1.3212182748322725</c:v>
                </c:pt>
                <c:pt idx="310">
                  <c:v>1.3212182748322725</c:v>
                </c:pt>
                <c:pt idx="311">
                  <c:v>1.3212182748322725</c:v>
                </c:pt>
                <c:pt idx="312">
                  <c:v>1.3212182748322725</c:v>
                </c:pt>
                <c:pt idx="313">
                  <c:v>1.3212182748322725</c:v>
                </c:pt>
                <c:pt idx="314">
                  <c:v>1.3212182748322725</c:v>
                </c:pt>
                <c:pt idx="315">
                  <c:v>1.3212182748322725</c:v>
                </c:pt>
                <c:pt idx="316">
                  <c:v>1.3212182748322725</c:v>
                </c:pt>
                <c:pt idx="317">
                  <c:v>1.3212182748322725</c:v>
                </c:pt>
                <c:pt idx="318">
                  <c:v>1.3212182748322725</c:v>
                </c:pt>
                <c:pt idx="319">
                  <c:v>1.3212182748322725</c:v>
                </c:pt>
                <c:pt idx="320">
                  <c:v>1.3212182748322725</c:v>
                </c:pt>
                <c:pt idx="321">
                  <c:v>1.3212182748322725</c:v>
                </c:pt>
                <c:pt idx="322">
                  <c:v>1.3212182748322725</c:v>
                </c:pt>
                <c:pt idx="323">
                  <c:v>1.3212182748322725</c:v>
                </c:pt>
                <c:pt idx="324">
                  <c:v>1.3212182748322725</c:v>
                </c:pt>
                <c:pt idx="325">
                  <c:v>1.3212182748322725</c:v>
                </c:pt>
                <c:pt idx="326">
                  <c:v>1.3212182748322725</c:v>
                </c:pt>
                <c:pt idx="327">
                  <c:v>1.3212182748322725</c:v>
                </c:pt>
                <c:pt idx="328">
                  <c:v>1.3212182748322725</c:v>
                </c:pt>
                <c:pt idx="329">
                  <c:v>1.3254812128491535</c:v>
                </c:pt>
                <c:pt idx="330">
                  <c:v>1.3254812128491535</c:v>
                </c:pt>
                <c:pt idx="331">
                  <c:v>1.3254812128491535</c:v>
                </c:pt>
                <c:pt idx="332">
                  <c:v>1.3254812128491535</c:v>
                </c:pt>
                <c:pt idx="333">
                  <c:v>1.3254812128491535</c:v>
                </c:pt>
                <c:pt idx="334">
                  <c:v>1.3254812128491535</c:v>
                </c:pt>
                <c:pt idx="335">
                  <c:v>1.3254812128491535</c:v>
                </c:pt>
                <c:pt idx="336">
                  <c:v>1.3254812128491535</c:v>
                </c:pt>
                <c:pt idx="337">
                  <c:v>1.3254812128491535</c:v>
                </c:pt>
                <c:pt idx="338">
                  <c:v>1.3046381025321221</c:v>
                </c:pt>
                <c:pt idx="339">
                  <c:v>1.3046381025321221</c:v>
                </c:pt>
                <c:pt idx="340">
                  <c:v>1.3046381025321221</c:v>
                </c:pt>
                <c:pt idx="341">
                  <c:v>1.3046381025321221</c:v>
                </c:pt>
                <c:pt idx="342">
                  <c:v>1.3645891783725261</c:v>
                </c:pt>
                <c:pt idx="343">
                  <c:v>1.3645891783725261</c:v>
                </c:pt>
                <c:pt idx="344">
                  <c:v>1.3645891783725261</c:v>
                </c:pt>
                <c:pt idx="345">
                  <c:v>1.3645891783725261</c:v>
                </c:pt>
                <c:pt idx="346">
                  <c:v>1.3645891783725261</c:v>
                </c:pt>
                <c:pt idx="347">
                  <c:v>1.3645891783725261</c:v>
                </c:pt>
                <c:pt idx="348">
                  <c:v>1.3645891783725261</c:v>
                </c:pt>
                <c:pt idx="349">
                  <c:v>1.3645891783725261</c:v>
                </c:pt>
                <c:pt idx="350">
                  <c:v>1.3645891783725261</c:v>
                </c:pt>
                <c:pt idx="351">
                  <c:v>1.3645891783725261</c:v>
                </c:pt>
                <c:pt idx="352">
                  <c:v>1.3645891783725261</c:v>
                </c:pt>
                <c:pt idx="353">
                  <c:v>1.3645891783725261</c:v>
                </c:pt>
                <c:pt idx="354">
                  <c:v>1.3645891783725261</c:v>
                </c:pt>
                <c:pt idx="355">
                  <c:v>1.3645891783725261</c:v>
                </c:pt>
                <c:pt idx="356">
                  <c:v>1.3645891783725261</c:v>
                </c:pt>
                <c:pt idx="357">
                  <c:v>1.3645891783725261</c:v>
                </c:pt>
                <c:pt idx="358">
                  <c:v>1.3645891783725261</c:v>
                </c:pt>
                <c:pt idx="359">
                  <c:v>1.3645891783725261</c:v>
                </c:pt>
                <c:pt idx="360">
                  <c:v>1.3645891783725261</c:v>
                </c:pt>
                <c:pt idx="361">
                  <c:v>1.3645891783725261</c:v>
                </c:pt>
                <c:pt idx="362">
                  <c:v>1.3645891783725261</c:v>
                </c:pt>
                <c:pt idx="363">
                  <c:v>1.3645891783725261</c:v>
                </c:pt>
                <c:pt idx="364">
                  <c:v>1.3645891783725261</c:v>
                </c:pt>
                <c:pt idx="365">
                  <c:v>1.3645891783725261</c:v>
                </c:pt>
                <c:pt idx="366">
                  <c:v>1.3645891783725261</c:v>
                </c:pt>
                <c:pt idx="367">
                  <c:v>1.3645891783725261</c:v>
                </c:pt>
                <c:pt idx="368">
                  <c:v>1.3645891783725261</c:v>
                </c:pt>
                <c:pt idx="369">
                  <c:v>1.3645891783725261</c:v>
                </c:pt>
                <c:pt idx="370">
                  <c:v>1.3645891783725261</c:v>
                </c:pt>
                <c:pt idx="371">
                  <c:v>1.3645891783725261</c:v>
                </c:pt>
                <c:pt idx="372">
                  <c:v>1.3645891783725261</c:v>
                </c:pt>
                <c:pt idx="373">
                  <c:v>1.3645891783725261</c:v>
                </c:pt>
                <c:pt idx="374">
                  <c:v>1.3645891783725261</c:v>
                </c:pt>
                <c:pt idx="375">
                  <c:v>1.3645891783725261</c:v>
                </c:pt>
                <c:pt idx="376">
                  <c:v>1.3645891783725261</c:v>
                </c:pt>
                <c:pt idx="377">
                  <c:v>1.3645891783725261</c:v>
                </c:pt>
                <c:pt idx="378">
                  <c:v>1.3645891783725261</c:v>
                </c:pt>
                <c:pt idx="379">
                  <c:v>1.3645891783725261</c:v>
                </c:pt>
                <c:pt idx="380">
                  <c:v>1.3645891783725261</c:v>
                </c:pt>
                <c:pt idx="381">
                  <c:v>1.3645891783725261</c:v>
                </c:pt>
                <c:pt idx="382">
                  <c:v>1.3645891783725261</c:v>
                </c:pt>
                <c:pt idx="383">
                  <c:v>1.3645891783725261</c:v>
                </c:pt>
                <c:pt idx="384">
                  <c:v>1.3645891783725261</c:v>
                </c:pt>
                <c:pt idx="385">
                  <c:v>1.3645891783725261</c:v>
                </c:pt>
                <c:pt idx="386">
                  <c:v>1.3645891783725261</c:v>
                </c:pt>
                <c:pt idx="387">
                  <c:v>1.3645891783725261</c:v>
                </c:pt>
                <c:pt idx="388">
                  <c:v>1.3645891783725261</c:v>
                </c:pt>
                <c:pt idx="389">
                  <c:v>1.3645891783725261</c:v>
                </c:pt>
                <c:pt idx="390">
                  <c:v>1.3645891783725261</c:v>
                </c:pt>
                <c:pt idx="391">
                  <c:v>1.3645891783725261</c:v>
                </c:pt>
                <c:pt idx="392">
                  <c:v>1.3645891783725261</c:v>
                </c:pt>
                <c:pt idx="393">
                  <c:v>1.3645891783725261</c:v>
                </c:pt>
                <c:pt idx="394">
                  <c:v>1.3645891783725261</c:v>
                </c:pt>
                <c:pt idx="395">
                  <c:v>1.3645891783725261</c:v>
                </c:pt>
                <c:pt idx="396">
                  <c:v>1.3645891783725261</c:v>
                </c:pt>
                <c:pt idx="397">
                  <c:v>1.3645891783725261</c:v>
                </c:pt>
                <c:pt idx="398">
                  <c:v>1.3645891783725261</c:v>
                </c:pt>
                <c:pt idx="399">
                  <c:v>1.3645891783725261</c:v>
                </c:pt>
                <c:pt idx="400">
                  <c:v>1.3645891783725261</c:v>
                </c:pt>
                <c:pt idx="401">
                  <c:v>1.3645891783725261</c:v>
                </c:pt>
                <c:pt idx="402">
                  <c:v>1.3645891783725261</c:v>
                </c:pt>
                <c:pt idx="403">
                  <c:v>1.3645891783725261</c:v>
                </c:pt>
                <c:pt idx="404">
                  <c:v>1.3645891783725261</c:v>
                </c:pt>
                <c:pt idx="405">
                  <c:v>1.3645891783725261</c:v>
                </c:pt>
                <c:pt idx="406">
                  <c:v>1.3645891783725261</c:v>
                </c:pt>
                <c:pt idx="407">
                  <c:v>1.3645891783725261</c:v>
                </c:pt>
                <c:pt idx="408">
                  <c:v>1.3645891783725261</c:v>
                </c:pt>
                <c:pt idx="409">
                  <c:v>1.3645891783725261</c:v>
                </c:pt>
                <c:pt idx="410">
                  <c:v>1.3645891783725261</c:v>
                </c:pt>
                <c:pt idx="411">
                  <c:v>1.3645891783725261</c:v>
                </c:pt>
                <c:pt idx="412">
                  <c:v>1.3645891783725261</c:v>
                </c:pt>
                <c:pt idx="413">
                  <c:v>1.3645891783725261</c:v>
                </c:pt>
                <c:pt idx="414">
                  <c:v>1.3645891783725261</c:v>
                </c:pt>
                <c:pt idx="415">
                  <c:v>1.3645891783725261</c:v>
                </c:pt>
                <c:pt idx="416">
                  <c:v>1.3645891783725261</c:v>
                </c:pt>
                <c:pt idx="417">
                  <c:v>1.3645891783725261</c:v>
                </c:pt>
                <c:pt idx="418">
                  <c:v>1.3645891783725261</c:v>
                </c:pt>
                <c:pt idx="419">
                  <c:v>1.3645891783725261</c:v>
                </c:pt>
                <c:pt idx="420">
                  <c:v>1.3645891783725261</c:v>
                </c:pt>
                <c:pt idx="421">
                  <c:v>1.3645891783725261</c:v>
                </c:pt>
                <c:pt idx="422">
                  <c:v>1.3645891783725261</c:v>
                </c:pt>
                <c:pt idx="423">
                  <c:v>1.3645891783725261</c:v>
                </c:pt>
                <c:pt idx="424">
                  <c:v>1.3645891783725261</c:v>
                </c:pt>
                <c:pt idx="425">
                  <c:v>1.3645891783725261</c:v>
                </c:pt>
                <c:pt idx="426">
                  <c:v>1.3645891783725261</c:v>
                </c:pt>
                <c:pt idx="427">
                  <c:v>1.3645891783725261</c:v>
                </c:pt>
                <c:pt idx="428">
                  <c:v>1.3645891783725261</c:v>
                </c:pt>
                <c:pt idx="429">
                  <c:v>1.3645891783725261</c:v>
                </c:pt>
                <c:pt idx="430">
                  <c:v>1.3645891783725261</c:v>
                </c:pt>
                <c:pt idx="431">
                  <c:v>1.3645891783725261</c:v>
                </c:pt>
                <c:pt idx="432">
                  <c:v>1.3645891783725261</c:v>
                </c:pt>
                <c:pt idx="433">
                  <c:v>1.3645891783725261</c:v>
                </c:pt>
                <c:pt idx="434">
                  <c:v>1.3645891783725261</c:v>
                </c:pt>
                <c:pt idx="435">
                  <c:v>1.3645891783725261</c:v>
                </c:pt>
                <c:pt idx="436">
                  <c:v>1.3645891783725261</c:v>
                </c:pt>
                <c:pt idx="437">
                  <c:v>1.3645891783725261</c:v>
                </c:pt>
                <c:pt idx="438">
                  <c:v>1.3645891783725261</c:v>
                </c:pt>
                <c:pt idx="439">
                  <c:v>1.3645891783725261</c:v>
                </c:pt>
                <c:pt idx="440">
                  <c:v>1.3645891783725261</c:v>
                </c:pt>
                <c:pt idx="441">
                  <c:v>1.3645891783725261</c:v>
                </c:pt>
                <c:pt idx="442">
                  <c:v>1.3645891783725261</c:v>
                </c:pt>
                <c:pt idx="443">
                  <c:v>1.3645891783725261</c:v>
                </c:pt>
                <c:pt idx="444">
                  <c:v>1.3645891783725261</c:v>
                </c:pt>
                <c:pt idx="445">
                  <c:v>1.3645891783725261</c:v>
                </c:pt>
                <c:pt idx="446">
                  <c:v>1.3645891783725261</c:v>
                </c:pt>
                <c:pt idx="447">
                  <c:v>1.3645891783725261</c:v>
                </c:pt>
                <c:pt idx="448">
                  <c:v>1.3645891783725261</c:v>
                </c:pt>
                <c:pt idx="449">
                  <c:v>1.3645891783725261</c:v>
                </c:pt>
                <c:pt idx="450">
                  <c:v>1.3645891783725261</c:v>
                </c:pt>
                <c:pt idx="451">
                  <c:v>1.3645891783725261</c:v>
                </c:pt>
                <c:pt idx="452">
                  <c:v>1.3645891783725261</c:v>
                </c:pt>
                <c:pt idx="453">
                  <c:v>1.3645891783725261</c:v>
                </c:pt>
                <c:pt idx="454">
                  <c:v>1.3645891783725261</c:v>
                </c:pt>
                <c:pt idx="455">
                  <c:v>1.3645891783725261</c:v>
                </c:pt>
                <c:pt idx="456">
                  <c:v>1.3645891783725261</c:v>
                </c:pt>
                <c:pt idx="457">
                  <c:v>1.3645891783725261</c:v>
                </c:pt>
                <c:pt idx="458">
                  <c:v>1.3645891783725261</c:v>
                </c:pt>
                <c:pt idx="459">
                  <c:v>1.3645891783725261</c:v>
                </c:pt>
                <c:pt idx="460">
                  <c:v>1.3645891783725261</c:v>
                </c:pt>
                <c:pt idx="461">
                  <c:v>1.3645891783725261</c:v>
                </c:pt>
                <c:pt idx="462">
                  <c:v>1.3645891783725261</c:v>
                </c:pt>
                <c:pt idx="463">
                  <c:v>1.3645891783725261</c:v>
                </c:pt>
                <c:pt idx="464">
                  <c:v>1.3645891783725261</c:v>
                </c:pt>
                <c:pt idx="465">
                  <c:v>1.3645891783725261</c:v>
                </c:pt>
                <c:pt idx="466">
                  <c:v>1.3645891783725261</c:v>
                </c:pt>
                <c:pt idx="467">
                  <c:v>1.3645891783725261</c:v>
                </c:pt>
                <c:pt idx="468">
                  <c:v>1.3645891783725261</c:v>
                </c:pt>
                <c:pt idx="469">
                  <c:v>1.3645891783725261</c:v>
                </c:pt>
                <c:pt idx="470">
                  <c:v>1.3645891783725261</c:v>
                </c:pt>
                <c:pt idx="471">
                  <c:v>1.3645891783725261</c:v>
                </c:pt>
                <c:pt idx="472">
                  <c:v>1.3645891783725261</c:v>
                </c:pt>
                <c:pt idx="473">
                  <c:v>1.3645891783725261</c:v>
                </c:pt>
                <c:pt idx="474">
                  <c:v>1.3645891783725261</c:v>
                </c:pt>
                <c:pt idx="475">
                  <c:v>1.3645891783725261</c:v>
                </c:pt>
                <c:pt idx="476">
                  <c:v>1.3645891783725261</c:v>
                </c:pt>
                <c:pt idx="477">
                  <c:v>1.3645891783725261</c:v>
                </c:pt>
                <c:pt idx="478">
                  <c:v>1.3645891783725261</c:v>
                </c:pt>
                <c:pt idx="479">
                  <c:v>1.3645891783725261</c:v>
                </c:pt>
                <c:pt idx="480">
                  <c:v>1.3645891783725261</c:v>
                </c:pt>
                <c:pt idx="481">
                  <c:v>1.3645891783725261</c:v>
                </c:pt>
                <c:pt idx="482">
                  <c:v>1.3645891783725261</c:v>
                </c:pt>
                <c:pt idx="483">
                  <c:v>1.3645891783725261</c:v>
                </c:pt>
                <c:pt idx="484">
                  <c:v>1.3645891783725261</c:v>
                </c:pt>
                <c:pt idx="485">
                  <c:v>1.3645891783725261</c:v>
                </c:pt>
                <c:pt idx="486">
                  <c:v>1.3645891783725261</c:v>
                </c:pt>
                <c:pt idx="487">
                  <c:v>1.3645891783725261</c:v>
                </c:pt>
                <c:pt idx="488">
                  <c:v>1.3645891783725261</c:v>
                </c:pt>
                <c:pt idx="489">
                  <c:v>1.3645891783725261</c:v>
                </c:pt>
                <c:pt idx="490">
                  <c:v>1.3645891783725261</c:v>
                </c:pt>
                <c:pt idx="491">
                  <c:v>1.3645891783725261</c:v>
                </c:pt>
                <c:pt idx="492">
                  <c:v>1.3645891783725261</c:v>
                </c:pt>
                <c:pt idx="493">
                  <c:v>1.3645891783725261</c:v>
                </c:pt>
                <c:pt idx="494">
                  <c:v>1.3645891783725261</c:v>
                </c:pt>
                <c:pt idx="495">
                  <c:v>1.3645891783725261</c:v>
                </c:pt>
                <c:pt idx="496">
                  <c:v>1.3645891783725261</c:v>
                </c:pt>
                <c:pt idx="497">
                  <c:v>1.3645891783725261</c:v>
                </c:pt>
                <c:pt idx="498">
                  <c:v>1.3645891783725261</c:v>
                </c:pt>
                <c:pt idx="499">
                  <c:v>1.3645891783725261</c:v>
                </c:pt>
                <c:pt idx="500">
                  <c:v>1.3645891783725261</c:v>
                </c:pt>
                <c:pt idx="501">
                  <c:v>1.3645891783725261</c:v>
                </c:pt>
                <c:pt idx="502">
                  <c:v>1.3645891783725261</c:v>
                </c:pt>
                <c:pt idx="503">
                  <c:v>1.3645891783725261</c:v>
                </c:pt>
                <c:pt idx="504">
                  <c:v>1.3645891783725261</c:v>
                </c:pt>
                <c:pt idx="505">
                  <c:v>1.3645891783725261</c:v>
                </c:pt>
                <c:pt idx="506">
                  <c:v>1.3645891783725261</c:v>
                </c:pt>
                <c:pt idx="507">
                  <c:v>1.3645891783725261</c:v>
                </c:pt>
                <c:pt idx="508">
                  <c:v>1.3645891783725261</c:v>
                </c:pt>
                <c:pt idx="509">
                  <c:v>1.3645891783725261</c:v>
                </c:pt>
                <c:pt idx="510">
                  <c:v>1.3645891783725261</c:v>
                </c:pt>
                <c:pt idx="511">
                  <c:v>1.3645891783725261</c:v>
                </c:pt>
                <c:pt idx="512">
                  <c:v>1.3645891783725261</c:v>
                </c:pt>
                <c:pt idx="513">
                  <c:v>1.3645891783725261</c:v>
                </c:pt>
                <c:pt idx="514">
                  <c:v>1.3645891783725261</c:v>
                </c:pt>
                <c:pt idx="515">
                  <c:v>1.3645891783725261</c:v>
                </c:pt>
                <c:pt idx="516">
                  <c:v>1.3645891783725261</c:v>
                </c:pt>
                <c:pt idx="517">
                  <c:v>1.3645891783725261</c:v>
                </c:pt>
                <c:pt idx="518">
                  <c:v>1.3645891783725261</c:v>
                </c:pt>
                <c:pt idx="519">
                  <c:v>1.3645891783725261</c:v>
                </c:pt>
                <c:pt idx="520">
                  <c:v>1.3645891783725261</c:v>
                </c:pt>
                <c:pt idx="521">
                  <c:v>1.3645891783725261</c:v>
                </c:pt>
                <c:pt idx="522">
                  <c:v>1.3645891783725261</c:v>
                </c:pt>
                <c:pt idx="523">
                  <c:v>1.3645891783725261</c:v>
                </c:pt>
                <c:pt idx="524">
                  <c:v>1.3645891783725261</c:v>
                </c:pt>
                <c:pt idx="525">
                  <c:v>1.3645891783725261</c:v>
                </c:pt>
                <c:pt idx="526">
                  <c:v>1.3645891783725261</c:v>
                </c:pt>
                <c:pt idx="527">
                  <c:v>1.3645891783725261</c:v>
                </c:pt>
                <c:pt idx="528">
                  <c:v>1.3645891783725261</c:v>
                </c:pt>
                <c:pt idx="529">
                  <c:v>1.3645891783725261</c:v>
                </c:pt>
                <c:pt idx="530">
                  <c:v>1.3645891783725261</c:v>
                </c:pt>
                <c:pt idx="531">
                  <c:v>1.3645891783725261</c:v>
                </c:pt>
                <c:pt idx="532">
                  <c:v>1.3645891783725261</c:v>
                </c:pt>
                <c:pt idx="533">
                  <c:v>1.3645891783725261</c:v>
                </c:pt>
                <c:pt idx="534">
                  <c:v>1.3645891783725261</c:v>
                </c:pt>
                <c:pt idx="535">
                  <c:v>1.3645891783725261</c:v>
                </c:pt>
                <c:pt idx="536">
                  <c:v>1.3645891783725261</c:v>
                </c:pt>
                <c:pt idx="537">
                  <c:v>1.3645891783725261</c:v>
                </c:pt>
                <c:pt idx="538">
                  <c:v>1.3645891783725261</c:v>
                </c:pt>
                <c:pt idx="539">
                  <c:v>1.3645891783725261</c:v>
                </c:pt>
                <c:pt idx="540">
                  <c:v>1.3645891783725261</c:v>
                </c:pt>
                <c:pt idx="541">
                  <c:v>1.3645891783725261</c:v>
                </c:pt>
                <c:pt idx="542">
                  <c:v>1.3645891783725261</c:v>
                </c:pt>
                <c:pt idx="543">
                  <c:v>1.3645891783725261</c:v>
                </c:pt>
                <c:pt idx="544">
                  <c:v>1.3645891783725261</c:v>
                </c:pt>
                <c:pt idx="545">
                  <c:v>1.3645891783725261</c:v>
                </c:pt>
                <c:pt idx="546">
                  <c:v>1.3645891783725261</c:v>
                </c:pt>
                <c:pt idx="547">
                  <c:v>1.3645891783725261</c:v>
                </c:pt>
                <c:pt idx="548">
                  <c:v>1.3645891783725261</c:v>
                </c:pt>
                <c:pt idx="549">
                  <c:v>1.3645891783725261</c:v>
                </c:pt>
                <c:pt idx="550">
                  <c:v>1.3645891783725261</c:v>
                </c:pt>
                <c:pt idx="551">
                  <c:v>1.3645891783725261</c:v>
                </c:pt>
                <c:pt idx="552">
                  <c:v>1.3645891783725261</c:v>
                </c:pt>
                <c:pt idx="553">
                  <c:v>1.3645891783725261</c:v>
                </c:pt>
                <c:pt idx="554">
                  <c:v>1.3645891783725261</c:v>
                </c:pt>
                <c:pt idx="555">
                  <c:v>1.3645891783725261</c:v>
                </c:pt>
                <c:pt idx="556">
                  <c:v>1.3645891783725261</c:v>
                </c:pt>
                <c:pt idx="557">
                  <c:v>1.3645891783725261</c:v>
                </c:pt>
                <c:pt idx="558">
                  <c:v>1.3645891783725261</c:v>
                </c:pt>
                <c:pt idx="559">
                  <c:v>1.3645891783725261</c:v>
                </c:pt>
                <c:pt idx="560">
                  <c:v>1.3645891783725261</c:v>
                </c:pt>
                <c:pt idx="561">
                  <c:v>1.3645891783725261</c:v>
                </c:pt>
                <c:pt idx="562">
                  <c:v>1.3645891783725261</c:v>
                </c:pt>
                <c:pt idx="563">
                  <c:v>1.3645891783725261</c:v>
                </c:pt>
                <c:pt idx="564">
                  <c:v>1.3645891783725261</c:v>
                </c:pt>
                <c:pt idx="565">
                  <c:v>1.3645891783725261</c:v>
                </c:pt>
                <c:pt idx="566">
                  <c:v>1.3645891783725261</c:v>
                </c:pt>
                <c:pt idx="567">
                  <c:v>1.3645891783725261</c:v>
                </c:pt>
                <c:pt idx="568">
                  <c:v>1.3645891783725261</c:v>
                </c:pt>
                <c:pt idx="569">
                  <c:v>1.3645891783725261</c:v>
                </c:pt>
                <c:pt idx="570">
                  <c:v>1.3645891783725261</c:v>
                </c:pt>
                <c:pt idx="571">
                  <c:v>1.3645891783725261</c:v>
                </c:pt>
                <c:pt idx="572">
                  <c:v>1.3645891783725261</c:v>
                </c:pt>
                <c:pt idx="573">
                  <c:v>1.3645891783725261</c:v>
                </c:pt>
                <c:pt idx="574">
                  <c:v>1.3645891783725261</c:v>
                </c:pt>
                <c:pt idx="575">
                  <c:v>1.3645891783725261</c:v>
                </c:pt>
                <c:pt idx="576">
                  <c:v>1.3645891783725261</c:v>
                </c:pt>
                <c:pt idx="577">
                  <c:v>1.3645891783725261</c:v>
                </c:pt>
                <c:pt idx="578">
                  <c:v>1.3645891783725261</c:v>
                </c:pt>
                <c:pt idx="579">
                  <c:v>1.3645891783725261</c:v>
                </c:pt>
                <c:pt idx="580">
                  <c:v>1.3645891783725261</c:v>
                </c:pt>
                <c:pt idx="581">
                  <c:v>1.3645891783725261</c:v>
                </c:pt>
                <c:pt idx="582">
                  <c:v>1.3645891783725261</c:v>
                </c:pt>
                <c:pt idx="583">
                  <c:v>1.3645891783725261</c:v>
                </c:pt>
                <c:pt idx="584">
                  <c:v>1.3645891783725261</c:v>
                </c:pt>
                <c:pt idx="585">
                  <c:v>1.3645891783725261</c:v>
                </c:pt>
                <c:pt idx="586">
                  <c:v>1.3645891783725261</c:v>
                </c:pt>
                <c:pt idx="587">
                  <c:v>1.3645891783725261</c:v>
                </c:pt>
                <c:pt idx="588">
                  <c:v>1.3645891783725261</c:v>
                </c:pt>
                <c:pt idx="589">
                  <c:v>1.3645891783725261</c:v>
                </c:pt>
                <c:pt idx="590">
                  <c:v>1.3645891783725261</c:v>
                </c:pt>
                <c:pt idx="591">
                  <c:v>1.3645891783725261</c:v>
                </c:pt>
                <c:pt idx="592">
                  <c:v>1.3645891783725261</c:v>
                </c:pt>
                <c:pt idx="593">
                  <c:v>1.3645891783725261</c:v>
                </c:pt>
                <c:pt idx="594">
                  <c:v>1.3645891783725261</c:v>
                </c:pt>
                <c:pt idx="595">
                  <c:v>1.3645891783725261</c:v>
                </c:pt>
                <c:pt idx="596">
                  <c:v>1.3645891783725261</c:v>
                </c:pt>
                <c:pt idx="597">
                  <c:v>1.3645891783725261</c:v>
                </c:pt>
                <c:pt idx="598">
                  <c:v>1.3645891783725261</c:v>
                </c:pt>
                <c:pt idx="599">
                  <c:v>1.3645891783725261</c:v>
                </c:pt>
                <c:pt idx="600">
                  <c:v>1.3645891783725261</c:v>
                </c:pt>
                <c:pt idx="601">
                  <c:v>1.3645891783725261</c:v>
                </c:pt>
                <c:pt idx="602">
                  <c:v>1.3645891783725261</c:v>
                </c:pt>
                <c:pt idx="603">
                  <c:v>1.3645891783725261</c:v>
                </c:pt>
                <c:pt idx="604">
                  <c:v>1.3645891783725261</c:v>
                </c:pt>
                <c:pt idx="605">
                  <c:v>1.3645891783725261</c:v>
                </c:pt>
                <c:pt idx="606">
                  <c:v>1.3645891783725261</c:v>
                </c:pt>
                <c:pt idx="607">
                  <c:v>1.3645891783725261</c:v>
                </c:pt>
                <c:pt idx="608">
                  <c:v>1.3645891783725261</c:v>
                </c:pt>
                <c:pt idx="609">
                  <c:v>1.3645891783725261</c:v>
                </c:pt>
                <c:pt idx="610">
                  <c:v>1.3645891783725261</c:v>
                </c:pt>
                <c:pt idx="611">
                  <c:v>1.3645891783725261</c:v>
                </c:pt>
                <c:pt idx="612">
                  <c:v>1.3645891783725261</c:v>
                </c:pt>
                <c:pt idx="613">
                  <c:v>1.3645891783725261</c:v>
                </c:pt>
                <c:pt idx="614">
                  <c:v>1.3645891783725261</c:v>
                </c:pt>
                <c:pt idx="615">
                  <c:v>1.3645891783725261</c:v>
                </c:pt>
                <c:pt idx="616">
                  <c:v>1.3645891783725261</c:v>
                </c:pt>
                <c:pt idx="617">
                  <c:v>1.3645891783725261</c:v>
                </c:pt>
                <c:pt idx="618">
                  <c:v>1.3645891783725261</c:v>
                </c:pt>
                <c:pt idx="619">
                  <c:v>1.3645891783725261</c:v>
                </c:pt>
                <c:pt idx="620">
                  <c:v>1.3645891783725261</c:v>
                </c:pt>
                <c:pt idx="621">
                  <c:v>1.3645891783725261</c:v>
                </c:pt>
                <c:pt idx="622">
                  <c:v>1.3645891783725261</c:v>
                </c:pt>
                <c:pt idx="623">
                  <c:v>1.3645891783725261</c:v>
                </c:pt>
                <c:pt idx="624">
                  <c:v>1.3645891783725261</c:v>
                </c:pt>
                <c:pt idx="625">
                  <c:v>1.3645891783725261</c:v>
                </c:pt>
                <c:pt idx="626">
                  <c:v>1.3645891783725261</c:v>
                </c:pt>
                <c:pt idx="627">
                  <c:v>1.3645891783725261</c:v>
                </c:pt>
                <c:pt idx="628">
                  <c:v>1.3645891783725261</c:v>
                </c:pt>
                <c:pt idx="629">
                  <c:v>1.3645891783725261</c:v>
                </c:pt>
                <c:pt idx="630">
                  <c:v>1.3645891783725261</c:v>
                </c:pt>
                <c:pt idx="631">
                  <c:v>1.3645891783725261</c:v>
                </c:pt>
                <c:pt idx="632">
                  <c:v>1.3645891783725261</c:v>
                </c:pt>
                <c:pt idx="633">
                  <c:v>1.3645891783725261</c:v>
                </c:pt>
                <c:pt idx="634">
                  <c:v>1.3645891783725261</c:v>
                </c:pt>
                <c:pt idx="635">
                  <c:v>1.3645891783725261</c:v>
                </c:pt>
                <c:pt idx="636">
                  <c:v>1.3645891783725261</c:v>
                </c:pt>
                <c:pt idx="637">
                  <c:v>1.3645891783725261</c:v>
                </c:pt>
                <c:pt idx="638">
                  <c:v>1.3645891783725261</c:v>
                </c:pt>
                <c:pt idx="639">
                  <c:v>1.3645891783725261</c:v>
                </c:pt>
                <c:pt idx="640">
                  <c:v>1.3645891783725261</c:v>
                </c:pt>
                <c:pt idx="641">
                  <c:v>1.3645891783725261</c:v>
                </c:pt>
                <c:pt idx="642">
                  <c:v>1.3645891783725261</c:v>
                </c:pt>
                <c:pt idx="643">
                  <c:v>1.3645891783725261</c:v>
                </c:pt>
                <c:pt idx="644">
                  <c:v>1.3645891783725261</c:v>
                </c:pt>
                <c:pt idx="645">
                  <c:v>1.3645891783725261</c:v>
                </c:pt>
                <c:pt idx="646">
                  <c:v>1.3645891783725261</c:v>
                </c:pt>
                <c:pt idx="647">
                  <c:v>1.3645891783725261</c:v>
                </c:pt>
                <c:pt idx="648">
                  <c:v>1.3645891783725261</c:v>
                </c:pt>
                <c:pt idx="649">
                  <c:v>1.3645891783725261</c:v>
                </c:pt>
                <c:pt idx="650">
                  <c:v>1.3645891783725261</c:v>
                </c:pt>
                <c:pt idx="651">
                  <c:v>1.3645891783725261</c:v>
                </c:pt>
                <c:pt idx="652">
                  <c:v>1.3645891783725261</c:v>
                </c:pt>
                <c:pt idx="653">
                  <c:v>1.3645891783725261</c:v>
                </c:pt>
                <c:pt idx="654">
                  <c:v>1.3645891783725261</c:v>
                </c:pt>
                <c:pt idx="655">
                  <c:v>1.3645891783725261</c:v>
                </c:pt>
                <c:pt idx="656">
                  <c:v>1.3645891783725261</c:v>
                </c:pt>
                <c:pt idx="657">
                  <c:v>1.3645891783725261</c:v>
                </c:pt>
                <c:pt idx="658">
                  <c:v>1.3645891783725261</c:v>
                </c:pt>
                <c:pt idx="659">
                  <c:v>1.3645891783725261</c:v>
                </c:pt>
                <c:pt idx="660">
                  <c:v>1.3645891783725261</c:v>
                </c:pt>
                <c:pt idx="661">
                  <c:v>1.3645891783725261</c:v>
                </c:pt>
                <c:pt idx="662">
                  <c:v>1.3645891783725261</c:v>
                </c:pt>
                <c:pt idx="663">
                  <c:v>1.3645891783725261</c:v>
                </c:pt>
                <c:pt idx="664">
                  <c:v>1.3645891783725261</c:v>
                </c:pt>
                <c:pt idx="665">
                  <c:v>1.3645891783725261</c:v>
                </c:pt>
                <c:pt idx="666">
                  <c:v>1.3645891783725261</c:v>
                </c:pt>
                <c:pt idx="667">
                  <c:v>1.3645891783725261</c:v>
                </c:pt>
                <c:pt idx="668">
                  <c:v>1.3645891783725261</c:v>
                </c:pt>
                <c:pt idx="669">
                  <c:v>1.3645891783725261</c:v>
                </c:pt>
                <c:pt idx="670">
                  <c:v>1.3645891783725261</c:v>
                </c:pt>
                <c:pt idx="671">
                  <c:v>1.3645891783725261</c:v>
                </c:pt>
                <c:pt idx="672">
                  <c:v>1.3645891783725261</c:v>
                </c:pt>
                <c:pt idx="673">
                  <c:v>1.3645891783725261</c:v>
                </c:pt>
                <c:pt idx="674">
                  <c:v>1.3645891783725261</c:v>
                </c:pt>
                <c:pt idx="675">
                  <c:v>1.3645891783725261</c:v>
                </c:pt>
                <c:pt idx="676">
                  <c:v>1.3645891783725261</c:v>
                </c:pt>
                <c:pt idx="677">
                  <c:v>1.3645891783725261</c:v>
                </c:pt>
                <c:pt idx="678">
                  <c:v>1.3645891783725261</c:v>
                </c:pt>
                <c:pt idx="679">
                  <c:v>1.3645891783725261</c:v>
                </c:pt>
                <c:pt idx="680">
                  <c:v>1.3645891783725261</c:v>
                </c:pt>
                <c:pt idx="681">
                  <c:v>1.3645891783725261</c:v>
                </c:pt>
                <c:pt idx="682">
                  <c:v>1.3645891783725261</c:v>
                </c:pt>
                <c:pt idx="683">
                  <c:v>1.3645891783725261</c:v>
                </c:pt>
                <c:pt idx="684">
                  <c:v>1.3645891783725261</c:v>
                </c:pt>
                <c:pt idx="685">
                  <c:v>1.3645891783725261</c:v>
                </c:pt>
                <c:pt idx="686">
                  <c:v>1.3645891783725261</c:v>
                </c:pt>
                <c:pt idx="687">
                  <c:v>1.3645891783725261</c:v>
                </c:pt>
                <c:pt idx="688">
                  <c:v>1.3645891783725261</c:v>
                </c:pt>
                <c:pt idx="689">
                  <c:v>1.3645891783725261</c:v>
                </c:pt>
                <c:pt idx="690">
                  <c:v>1.3645891783725261</c:v>
                </c:pt>
                <c:pt idx="691">
                  <c:v>1.3645891783725261</c:v>
                </c:pt>
                <c:pt idx="692">
                  <c:v>1.3645891783725261</c:v>
                </c:pt>
                <c:pt idx="693">
                  <c:v>1.3645891783725261</c:v>
                </c:pt>
                <c:pt idx="694">
                  <c:v>1.3645891783725261</c:v>
                </c:pt>
                <c:pt idx="695">
                  <c:v>1.3645891783725261</c:v>
                </c:pt>
                <c:pt idx="696">
                  <c:v>1.3645891783725261</c:v>
                </c:pt>
                <c:pt idx="697">
                  <c:v>1.3645891783725261</c:v>
                </c:pt>
                <c:pt idx="698">
                  <c:v>1.3645891783725261</c:v>
                </c:pt>
                <c:pt idx="699">
                  <c:v>1.3645891783725261</c:v>
                </c:pt>
                <c:pt idx="700">
                  <c:v>1.3645891783725261</c:v>
                </c:pt>
                <c:pt idx="701">
                  <c:v>1.3645891783725261</c:v>
                </c:pt>
                <c:pt idx="702">
                  <c:v>1.3645891783725261</c:v>
                </c:pt>
                <c:pt idx="703">
                  <c:v>1.3645891783725261</c:v>
                </c:pt>
                <c:pt idx="704">
                  <c:v>1.3645891783725261</c:v>
                </c:pt>
                <c:pt idx="705">
                  <c:v>1.3645891783725261</c:v>
                </c:pt>
                <c:pt idx="706">
                  <c:v>1.3645891783725261</c:v>
                </c:pt>
                <c:pt idx="707">
                  <c:v>1.3645891783725261</c:v>
                </c:pt>
                <c:pt idx="708">
                  <c:v>1.3645891783725261</c:v>
                </c:pt>
                <c:pt idx="709">
                  <c:v>1.3645891783725261</c:v>
                </c:pt>
                <c:pt idx="710">
                  <c:v>1.3645891783725261</c:v>
                </c:pt>
                <c:pt idx="711">
                  <c:v>1.3645891783725261</c:v>
                </c:pt>
                <c:pt idx="712">
                  <c:v>1.3645891783725261</c:v>
                </c:pt>
                <c:pt idx="713">
                  <c:v>1.3645891783725261</c:v>
                </c:pt>
                <c:pt idx="714">
                  <c:v>1.3645891783725261</c:v>
                </c:pt>
                <c:pt idx="715">
                  <c:v>1.3645891783725261</c:v>
                </c:pt>
                <c:pt idx="716">
                  <c:v>1.3645891783725261</c:v>
                </c:pt>
                <c:pt idx="717">
                  <c:v>1.3645891783725261</c:v>
                </c:pt>
                <c:pt idx="718">
                  <c:v>1.3645891783725261</c:v>
                </c:pt>
                <c:pt idx="719">
                  <c:v>1.3645891783725261</c:v>
                </c:pt>
                <c:pt idx="720">
                  <c:v>1.3645891783725261</c:v>
                </c:pt>
                <c:pt idx="721">
                  <c:v>1.3645891783725261</c:v>
                </c:pt>
                <c:pt idx="722">
                  <c:v>1.3645891783725261</c:v>
                </c:pt>
                <c:pt idx="723">
                  <c:v>1.3645891783725261</c:v>
                </c:pt>
                <c:pt idx="724">
                  <c:v>1.3645891783725261</c:v>
                </c:pt>
                <c:pt idx="725">
                  <c:v>1.3645891783725261</c:v>
                </c:pt>
                <c:pt idx="726">
                  <c:v>1.3645891783725261</c:v>
                </c:pt>
                <c:pt idx="727">
                  <c:v>1.3645891783725261</c:v>
                </c:pt>
                <c:pt idx="728">
                  <c:v>1.3645891783725261</c:v>
                </c:pt>
                <c:pt idx="729">
                  <c:v>1.3645891783725261</c:v>
                </c:pt>
                <c:pt idx="730">
                  <c:v>1.3645891783725261</c:v>
                </c:pt>
                <c:pt idx="731">
                  <c:v>1.3645891783725261</c:v>
                </c:pt>
                <c:pt idx="732">
                  <c:v>1.3645891783725261</c:v>
                </c:pt>
                <c:pt idx="733">
                  <c:v>1.3645891783725261</c:v>
                </c:pt>
                <c:pt idx="734">
                  <c:v>1.3645891783725261</c:v>
                </c:pt>
                <c:pt idx="735">
                  <c:v>1.3645891783725261</c:v>
                </c:pt>
                <c:pt idx="736">
                  <c:v>1.3645891783725261</c:v>
                </c:pt>
                <c:pt idx="737">
                  <c:v>1.3645891783725261</c:v>
                </c:pt>
                <c:pt idx="738">
                  <c:v>1.3645891783725261</c:v>
                </c:pt>
                <c:pt idx="739">
                  <c:v>1.3645891783725261</c:v>
                </c:pt>
                <c:pt idx="740">
                  <c:v>1.3645891783725261</c:v>
                </c:pt>
                <c:pt idx="741">
                  <c:v>1.3645891783725261</c:v>
                </c:pt>
                <c:pt idx="742">
                  <c:v>1.3645891783725261</c:v>
                </c:pt>
                <c:pt idx="743">
                  <c:v>1.3645891783725261</c:v>
                </c:pt>
                <c:pt idx="744">
                  <c:v>1.3645891783725261</c:v>
                </c:pt>
                <c:pt idx="745">
                  <c:v>1.3645891783725261</c:v>
                </c:pt>
                <c:pt idx="746">
                  <c:v>1.3645891783725261</c:v>
                </c:pt>
                <c:pt idx="747">
                  <c:v>1.3645891783725261</c:v>
                </c:pt>
                <c:pt idx="748">
                  <c:v>1.3645891783725261</c:v>
                </c:pt>
                <c:pt idx="749">
                  <c:v>1.3645891783725261</c:v>
                </c:pt>
                <c:pt idx="750">
                  <c:v>1.3645891783725261</c:v>
                </c:pt>
                <c:pt idx="751">
                  <c:v>1.3645891783725261</c:v>
                </c:pt>
                <c:pt idx="752">
                  <c:v>1.3645891783725261</c:v>
                </c:pt>
                <c:pt idx="753">
                  <c:v>1.3645891783725261</c:v>
                </c:pt>
                <c:pt idx="754">
                  <c:v>1.3645891783725261</c:v>
                </c:pt>
                <c:pt idx="755">
                  <c:v>1.3645891783725261</c:v>
                </c:pt>
                <c:pt idx="756">
                  <c:v>1.3645891783725261</c:v>
                </c:pt>
                <c:pt idx="757">
                  <c:v>1.3645891783725261</c:v>
                </c:pt>
                <c:pt idx="758">
                  <c:v>1.3645891783725261</c:v>
                </c:pt>
                <c:pt idx="759">
                  <c:v>1.3645891783725261</c:v>
                </c:pt>
                <c:pt idx="760">
                  <c:v>1.3645891783725261</c:v>
                </c:pt>
                <c:pt idx="761">
                  <c:v>1.3645891783725261</c:v>
                </c:pt>
                <c:pt idx="762">
                  <c:v>1.3645891783725261</c:v>
                </c:pt>
                <c:pt idx="763">
                  <c:v>1.3645891783725261</c:v>
                </c:pt>
                <c:pt idx="764">
                  <c:v>1.3645891783725261</c:v>
                </c:pt>
                <c:pt idx="765">
                  <c:v>1.3645891783725261</c:v>
                </c:pt>
                <c:pt idx="766">
                  <c:v>1.3645891783725261</c:v>
                </c:pt>
                <c:pt idx="767">
                  <c:v>1.3645891783725261</c:v>
                </c:pt>
                <c:pt idx="768">
                  <c:v>1.3645891783725261</c:v>
                </c:pt>
                <c:pt idx="769">
                  <c:v>1.3645891783725261</c:v>
                </c:pt>
                <c:pt idx="770">
                  <c:v>1.3645891783725261</c:v>
                </c:pt>
                <c:pt idx="771">
                  <c:v>1.3645891783725261</c:v>
                </c:pt>
                <c:pt idx="772">
                  <c:v>1.3645891783725261</c:v>
                </c:pt>
                <c:pt idx="773">
                  <c:v>1.3645891783725261</c:v>
                </c:pt>
                <c:pt idx="774">
                  <c:v>1.3645891783725261</c:v>
                </c:pt>
                <c:pt idx="775">
                  <c:v>1.3645891783725261</c:v>
                </c:pt>
                <c:pt idx="776">
                  <c:v>1.3645891783725261</c:v>
                </c:pt>
                <c:pt idx="777">
                  <c:v>1.3645891783725261</c:v>
                </c:pt>
                <c:pt idx="778">
                  <c:v>1.3645891783725261</c:v>
                </c:pt>
                <c:pt idx="779">
                  <c:v>1.3645891783725261</c:v>
                </c:pt>
                <c:pt idx="780">
                  <c:v>1.3645891783725261</c:v>
                </c:pt>
                <c:pt idx="781">
                  <c:v>1.3645891783725261</c:v>
                </c:pt>
                <c:pt idx="782">
                  <c:v>1.3645891783725261</c:v>
                </c:pt>
                <c:pt idx="783">
                  <c:v>1.3645891783725261</c:v>
                </c:pt>
                <c:pt idx="784">
                  <c:v>1.3645891783725261</c:v>
                </c:pt>
                <c:pt idx="785">
                  <c:v>1.3645891783725261</c:v>
                </c:pt>
                <c:pt idx="786">
                  <c:v>1.3645891783725261</c:v>
                </c:pt>
                <c:pt idx="787">
                  <c:v>1.3645891783725261</c:v>
                </c:pt>
                <c:pt idx="788">
                  <c:v>1.3645891783725261</c:v>
                </c:pt>
                <c:pt idx="789">
                  <c:v>1.3645891783725261</c:v>
                </c:pt>
                <c:pt idx="790">
                  <c:v>1.3645891783725261</c:v>
                </c:pt>
                <c:pt idx="791">
                  <c:v>1.3645891783725261</c:v>
                </c:pt>
                <c:pt idx="792">
                  <c:v>1.3645891783725261</c:v>
                </c:pt>
                <c:pt idx="793">
                  <c:v>1.3645891783725261</c:v>
                </c:pt>
                <c:pt idx="794">
                  <c:v>1.3645891783725261</c:v>
                </c:pt>
                <c:pt idx="795">
                  <c:v>1.3645891783725261</c:v>
                </c:pt>
                <c:pt idx="796">
                  <c:v>1.3645891783725261</c:v>
                </c:pt>
                <c:pt idx="797">
                  <c:v>1.3645891783725261</c:v>
                </c:pt>
                <c:pt idx="798">
                  <c:v>1.3645891783725261</c:v>
                </c:pt>
                <c:pt idx="799">
                  <c:v>1.3645891783725261</c:v>
                </c:pt>
                <c:pt idx="800">
                  <c:v>1.3645891783725261</c:v>
                </c:pt>
                <c:pt idx="801">
                  <c:v>1.3645891783725261</c:v>
                </c:pt>
                <c:pt idx="802">
                  <c:v>1.3645891783725261</c:v>
                </c:pt>
                <c:pt idx="803">
                  <c:v>1.3645891783725261</c:v>
                </c:pt>
                <c:pt idx="804">
                  <c:v>1.3645891783725261</c:v>
                </c:pt>
                <c:pt idx="805">
                  <c:v>1.3645891783725261</c:v>
                </c:pt>
                <c:pt idx="806">
                  <c:v>1.3645891783725261</c:v>
                </c:pt>
                <c:pt idx="807">
                  <c:v>1.3645891783725261</c:v>
                </c:pt>
                <c:pt idx="808">
                  <c:v>1.3645891783725261</c:v>
                </c:pt>
                <c:pt idx="809">
                  <c:v>1.3645891783725261</c:v>
                </c:pt>
                <c:pt idx="810">
                  <c:v>1.3645891783725261</c:v>
                </c:pt>
                <c:pt idx="811">
                  <c:v>1.3645891783725261</c:v>
                </c:pt>
                <c:pt idx="812">
                  <c:v>1.3645891783725261</c:v>
                </c:pt>
                <c:pt idx="813">
                  <c:v>1.3645891783725261</c:v>
                </c:pt>
                <c:pt idx="814">
                  <c:v>1.3645891783725261</c:v>
                </c:pt>
                <c:pt idx="815">
                  <c:v>1.3645891783725261</c:v>
                </c:pt>
                <c:pt idx="816">
                  <c:v>1.3645891783725261</c:v>
                </c:pt>
                <c:pt idx="817">
                  <c:v>1.3645891783725261</c:v>
                </c:pt>
                <c:pt idx="818">
                  <c:v>1.3645891783725261</c:v>
                </c:pt>
                <c:pt idx="819">
                  <c:v>1.3645891783725261</c:v>
                </c:pt>
                <c:pt idx="820">
                  <c:v>1.3645891783725261</c:v>
                </c:pt>
                <c:pt idx="821">
                  <c:v>1.3645891783725261</c:v>
                </c:pt>
                <c:pt idx="822">
                  <c:v>1.3645891783725261</c:v>
                </c:pt>
                <c:pt idx="823">
                  <c:v>1.3645891783725261</c:v>
                </c:pt>
                <c:pt idx="824">
                  <c:v>1.3645891783725261</c:v>
                </c:pt>
                <c:pt idx="825">
                  <c:v>1.3645891783725261</c:v>
                </c:pt>
                <c:pt idx="826">
                  <c:v>1.3645891783725261</c:v>
                </c:pt>
                <c:pt idx="827">
                  <c:v>1.3645891783725261</c:v>
                </c:pt>
                <c:pt idx="828">
                  <c:v>1.3645891783725261</c:v>
                </c:pt>
                <c:pt idx="829">
                  <c:v>1.3645891783725261</c:v>
                </c:pt>
                <c:pt idx="830">
                  <c:v>1.3645891783725261</c:v>
                </c:pt>
                <c:pt idx="831">
                  <c:v>1.3645891783725261</c:v>
                </c:pt>
                <c:pt idx="832">
                  <c:v>1.3645891783725261</c:v>
                </c:pt>
                <c:pt idx="833">
                  <c:v>1.3645891783725261</c:v>
                </c:pt>
                <c:pt idx="834">
                  <c:v>1.3645891783725261</c:v>
                </c:pt>
                <c:pt idx="835">
                  <c:v>1.3645891783725261</c:v>
                </c:pt>
                <c:pt idx="836">
                  <c:v>1.3645891783725261</c:v>
                </c:pt>
                <c:pt idx="837">
                  <c:v>1.3645891783725261</c:v>
                </c:pt>
                <c:pt idx="838">
                  <c:v>1.3645891783725261</c:v>
                </c:pt>
                <c:pt idx="839">
                  <c:v>1.3645891783725261</c:v>
                </c:pt>
                <c:pt idx="840">
                  <c:v>1.3645891783725261</c:v>
                </c:pt>
                <c:pt idx="841">
                  <c:v>1.3645891783725261</c:v>
                </c:pt>
                <c:pt idx="842">
                  <c:v>1.3645891783725261</c:v>
                </c:pt>
                <c:pt idx="843">
                  <c:v>1.3645891783725261</c:v>
                </c:pt>
                <c:pt idx="844">
                  <c:v>1.3645891783725261</c:v>
                </c:pt>
                <c:pt idx="845">
                  <c:v>1.3645891783725261</c:v>
                </c:pt>
                <c:pt idx="846">
                  <c:v>1.3645891783725261</c:v>
                </c:pt>
                <c:pt idx="847">
                  <c:v>1.3645891783725261</c:v>
                </c:pt>
                <c:pt idx="848">
                  <c:v>1.3645891783725261</c:v>
                </c:pt>
                <c:pt idx="849">
                  <c:v>1.3645891783725261</c:v>
                </c:pt>
                <c:pt idx="850">
                  <c:v>1.3645891783725261</c:v>
                </c:pt>
                <c:pt idx="851">
                  <c:v>1.3645891783725261</c:v>
                </c:pt>
                <c:pt idx="852">
                  <c:v>1.3645891783725261</c:v>
                </c:pt>
                <c:pt idx="853">
                  <c:v>1.3645891783725261</c:v>
                </c:pt>
                <c:pt idx="854">
                  <c:v>1.3645891783725261</c:v>
                </c:pt>
                <c:pt idx="855">
                  <c:v>1.3645891783725261</c:v>
                </c:pt>
                <c:pt idx="856">
                  <c:v>1.3645891783725261</c:v>
                </c:pt>
                <c:pt idx="857">
                  <c:v>1.3645891783725261</c:v>
                </c:pt>
                <c:pt idx="858">
                  <c:v>1.3645891783725261</c:v>
                </c:pt>
                <c:pt idx="859">
                  <c:v>1.3645891783725261</c:v>
                </c:pt>
                <c:pt idx="860">
                  <c:v>1.3645891783725261</c:v>
                </c:pt>
                <c:pt idx="861">
                  <c:v>1.3645891783725261</c:v>
                </c:pt>
                <c:pt idx="862">
                  <c:v>1.3645891783725261</c:v>
                </c:pt>
                <c:pt idx="863">
                  <c:v>1.3645891783725261</c:v>
                </c:pt>
                <c:pt idx="864">
                  <c:v>1.3645891783725261</c:v>
                </c:pt>
                <c:pt idx="865">
                  <c:v>1.3645891783725261</c:v>
                </c:pt>
                <c:pt idx="866">
                  <c:v>1.3645891783725261</c:v>
                </c:pt>
                <c:pt idx="867">
                  <c:v>1.3645891783725261</c:v>
                </c:pt>
                <c:pt idx="868">
                  <c:v>1.3645891783725261</c:v>
                </c:pt>
                <c:pt idx="869">
                  <c:v>1.3645891783725261</c:v>
                </c:pt>
                <c:pt idx="870">
                  <c:v>1.3645891783725261</c:v>
                </c:pt>
                <c:pt idx="871">
                  <c:v>1.3645891783725261</c:v>
                </c:pt>
                <c:pt idx="872">
                  <c:v>1.3645891783725261</c:v>
                </c:pt>
                <c:pt idx="873">
                  <c:v>1.3645891783725261</c:v>
                </c:pt>
                <c:pt idx="874">
                  <c:v>1.3645891783725261</c:v>
                </c:pt>
                <c:pt idx="875">
                  <c:v>1.3645891783725261</c:v>
                </c:pt>
                <c:pt idx="876">
                  <c:v>1.3645891783725261</c:v>
                </c:pt>
                <c:pt idx="877">
                  <c:v>1.3645891783725261</c:v>
                </c:pt>
                <c:pt idx="878">
                  <c:v>1.3645891783725261</c:v>
                </c:pt>
                <c:pt idx="879">
                  <c:v>1.3645891783725261</c:v>
                </c:pt>
                <c:pt idx="880">
                  <c:v>1.3645891783725261</c:v>
                </c:pt>
                <c:pt idx="881">
                  <c:v>1.3645891783725261</c:v>
                </c:pt>
                <c:pt idx="882">
                  <c:v>1.3645891783725261</c:v>
                </c:pt>
                <c:pt idx="883">
                  <c:v>1.3645891783725261</c:v>
                </c:pt>
                <c:pt idx="884">
                  <c:v>1.3645891783725261</c:v>
                </c:pt>
                <c:pt idx="885">
                  <c:v>1.3645891783725261</c:v>
                </c:pt>
                <c:pt idx="886">
                  <c:v>1.3645891783725261</c:v>
                </c:pt>
                <c:pt idx="887">
                  <c:v>1.3645891783725261</c:v>
                </c:pt>
                <c:pt idx="888">
                  <c:v>1.3645891783725261</c:v>
                </c:pt>
                <c:pt idx="889">
                  <c:v>1.3645891783725261</c:v>
                </c:pt>
                <c:pt idx="890">
                  <c:v>1.3645891783725261</c:v>
                </c:pt>
                <c:pt idx="891">
                  <c:v>1.3645891783725261</c:v>
                </c:pt>
                <c:pt idx="892">
                  <c:v>1.3645891783725261</c:v>
                </c:pt>
                <c:pt idx="893">
                  <c:v>1.3645891783725261</c:v>
                </c:pt>
                <c:pt idx="894">
                  <c:v>1.3645891783725261</c:v>
                </c:pt>
                <c:pt idx="895">
                  <c:v>1.3645891783725261</c:v>
                </c:pt>
                <c:pt idx="896">
                  <c:v>1.3645891783725261</c:v>
                </c:pt>
                <c:pt idx="897">
                  <c:v>1.3645891783725261</c:v>
                </c:pt>
                <c:pt idx="898">
                  <c:v>1.3645891783725261</c:v>
                </c:pt>
                <c:pt idx="899">
                  <c:v>1.3645891783725261</c:v>
                </c:pt>
                <c:pt idx="900">
                  <c:v>1.3645891783725261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6-4F9A-9C69-E6016AB5EF5D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27924</c:v>
                </c:pt>
                <c:pt idx="11">
                  <c:v>32055</c:v>
                </c:pt>
                <c:pt idx="12">
                  <c:v>28504</c:v>
                </c:pt>
                <c:pt idx="13">
                  <c:v>32218</c:v>
                </c:pt>
                <c:pt idx="14">
                  <c:v>32631</c:v>
                </c:pt>
                <c:pt idx="15">
                  <c:v>33015</c:v>
                </c:pt>
                <c:pt idx="16">
                  <c:v>28639</c:v>
                </c:pt>
                <c:pt idx="17">
                  <c:v>28735</c:v>
                </c:pt>
                <c:pt idx="18">
                  <c:v>34564</c:v>
                </c:pt>
                <c:pt idx="19">
                  <c:v>35310</c:v>
                </c:pt>
                <c:pt idx="20">
                  <c:v>29691</c:v>
                </c:pt>
                <c:pt idx="21">
                  <c:v>35725</c:v>
                </c:pt>
                <c:pt idx="22">
                  <c:v>36516</c:v>
                </c:pt>
                <c:pt idx="23">
                  <c:v>30065</c:v>
                </c:pt>
                <c:pt idx="24">
                  <c:v>31227</c:v>
                </c:pt>
                <c:pt idx="25">
                  <c:v>31824</c:v>
                </c:pt>
                <c:pt idx="26">
                  <c:v>37315</c:v>
                </c:pt>
                <c:pt idx="27">
                  <c:v>39624</c:v>
                </c:pt>
                <c:pt idx="28">
                  <c:v>44024</c:v>
                </c:pt>
                <c:pt idx="29">
                  <c:v>47424</c:v>
                </c:pt>
                <c:pt idx="30">
                  <c:v>39854</c:v>
                </c:pt>
                <c:pt idx="31">
                  <c:v>44544</c:v>
                </c:pt>
                <c:pt idx="32">
                  <c:v>37701</c:v>
                </c:pt>
                <c:pt idx="33">
                  <c:v>38206</c:v>
                </c:pt>
                <c:pt idx="34">
                  <c:v>41036</c:v>
                </c:pt>
                <c:pt idx="35">
                  <c:v>47667</c:v>
                </c:pt>
                <c:pt idx="36">
                  <c:v>47973</c:v>
                </c:pt>
                <c:pt idx="37">
                  <c:v>38333</c:v>
                </c:pt>
                <c:pt idx="38">
                  <c:v>38674</c:v>
                </c:pt>
                <c:pt idx="39">
                  <c:v>44948</c:v>
                </c:pt>
                <c:pt idx="40">
                  <c:v>48243</c:v>
                </c:pt>
                <c:pt idx="41">
                  <c:v>45534</c:v>
                </c:pt>
                <c:pt idx="42">
                  <c:v>41209</c:v>
                </c:pt>
                <c:pt idx="43">
                  <c:v>45725</c:v>
                </c:pt>
                <c:pt idx="44">
                  <c:v>41414</c:v>
                </c:pt>
                <c:pt idx="45">
                  <c:v>41825</c:v>
                </c:pt>
                <c:pt idx="46">
                  <c:v>48835</c:v>
                </c:pt>
                <c:pt idx="47">
                  <c:v>45815</c:v>
                </c:pt>
                <c:pt idx="48">
                  <c:v>49254</c:v>
                </c:pt>
                <c:pt idx="49">
                  <c:v>46118</c:v>
                </c:pt>
                <c:pt idx="50">
                  <c:v>49618</c:v>
                </c:pt>
                <c:pt idx="51">
                  <c:v>39068</c:v>
                </c:pt>
                <c:pt idx="52">
                  <c:v>42181</c:v>
                </c:pt>
                <c:pt idx="53">
                  <c:v>50031</c:v>
                </c:pt>
                <c:pt idx="54">
                  <c:v>47299</c:v>
                </c:pt>
                <c:pt idx="55">
                  <c:v>50395</c:v>
                </c:pt>
                <c:pt idx="56">
                  <c:v>43338</c:v>
                </c:pt>
                <c:pt idx="57">
                  <c:v>50810</c:v>
                </c:pt>
                <c:pt idx="58">
                  <c:v>39472</c:v>
                </c:pt>
                <c:pt idx="59">
                  <c:v>43524</c:v>
                </c:pt>
                <c:pt idx="60">
                  <c:v>51195</c:v>
                </c:pt>
                <c:pt idx="61">
                  <c:v>51324</c:v>
                </c:pt>
                <c:pt idx="62">
                  <c:v>56647</c:v>
                </c:pt>
                <c:pt idx="63">
                  <c:v>61358</c:v>
                </c:pt>
                <c:pt idx="64">
                  <c:v>57049</c:v>
                </c:pt>
                <c:pt idx="65">
                  <c:v>51579</c:v>
                </c:pt>
                <c:pt idx="66">
                  <c:v>61737</c:v>
                </c:pt>
                <c:pt idx="67">
                  <c:v>52356</c:v>
                </c:pt>
                <c:pt idx="68">
                  <c:v>57831</c:v>
                </c:pt>
                <c:pt idx="69">
                  <c:v>58222</c:v>
                </c:pt>
                <c:pt idx="70">
                  <c:v>58490</c:v>
                </c:pt>
                <c:pt idx="71">
                  <c:v>62130</c:v>
                </c:pt>
                <c:pt idx="72">
                  <c:v>53145</c:v>
                </c:pt>
                <c:pt idx="73">
                  <c:v>53383</c:v>
                </c:pt>
                <c:pt idx="74">
                  <c:v>62597</c:v>
                </c:pt>
                <c:pt idx="75">
                  <c:v>58607</c:v>
                </c:pt>
                <c:pt idx="76">
                  <c:v>53535</c:v>
                </c:pt>
                <c:pt idx="77">
                  <c:v>59003</c:v>
                </c:pt>
                <c:pt idx="78">
                  <c:v>53791</c:v>
                </c:pt>
                <c:pt idx="79">
                  <c:v>62907</c:v>
                </c:pt>
                <c:pt idx="80">
                  <c:v>63024</c:v>
                </c:pt>
                <c:pt idx="81">
                  <c:v>59124</c:v>
                </c:pt>
                <c:pt idx="82">
                  <c:v>53929</c:v>
                </c:pt>
                <c:pt idx="83">
                  <c:v>63477</c:v>
                </c:pt>
                <c:pt idx="84">
                  <c:v>54324</c:v>
                </c:pt>
                <c:pt idx="85">
                  <c:v>55224</c:v>
                </c:pt>
                <c:pt idx="86">
                  <c:v>64258</c:v>
                </c:pt>
                <c:pt idx="87">
                  <c:v>60167</c:v>
                </c:pt>
                <c:pt idx="88">
                  <c:v>60519</c:v>
                </c:pt>
                <c:pt idx="89">
                  <c:v>55503</c:v>
                </c:pt>
                <c:pt idx="90">
                  <c:v>60566</c:v>
                </c:pt>
                <c:pt idx="91">
                  <c:v>65251</c:v>
                </c:pt>
                <c:pt idx="92">
                  <c:v>65806</c:v>
                </c:pt>
                <c:pt idx="93">
                  <c:v>71516</c:v>
                </c:pt>
                <c:pt idx="94">
                  <c:v>66028</c:v>
                </c:pt>
                <c:pt idx="95">
                  <c:v>71897</c:v>
                </c:pt>
                <c:pt idx="96">
                  <c:v>67621</c:v>
                </c:pt>
                <c:pt idx="97">
                  <c:v>68021</c:v>
                </c:pt>
                <c:pt idx="98">
                  <c:v>68392</c:v>
                </c:pt>
                <c:pt idx="99">
                  <c:v>72060</c:v>
                </c:pt>
                <c:pt idx="100">
                  <c:v>69319</c:v>
                </c:pt>
                <c:pt idx="101">
                  <c:v>72578</c:v>
                </c:pt>
                <c:pt idx="102">
                  <c:v>69400</c:v>
                </c:pt>
                <c:pt idx="103">
                  <c:v>73088</c:v>
                </c:pt>
                <c:pt idx="104">
                  <c:v>74724</c:v>
                </c:pt>
                <c:pt idx="105">
                  <c:v>69518</c:v>
                </c:pt>
                <c:pt idx="106">
                  <c:v>75628</c:v>
                </c:pt>
                <c:pt idx="107">
                  <c:v>70735</c:v>
                </c:pt>
                <c:pt idx="108">
                  <c:v>75823</c:v>
                </c:pt>
                <c:pt idx="109">
                  <c:v>70824</c:v>
                </c:pt>
                <c:pt idx="110">
                  <c:v>77763</c:v>
                </c:pt>
                <c:pt idx="111">
                  <c:v>71121</c:v>
                </c:pt>
                <c:pt idx="112">
                  <c:v>0</c:v>
                </c:pt>
                <c:pt idx="113">
                  <c:v>78927</c:v>
                </c:pt>
                <c:pt idx="114">
                  <c:v>85194</c:v>
                </c:pt>
                <c:pt idx="115">
                  <c:v>89896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85896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90290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80113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81280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86348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81433</c:v>
                </c:pt>
                <c:pt idx="197">
                  <c:v>86424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86751</c:v>
                </c:pt>
                <c:pt idx="205">
                  <c:v>0</c:v>
                </c:pt>
                <c:pt idx="206">
                  <c:v>87177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82524</c:v>
                </c:pt>
                <c:pt idx="211">
                  <c:v>0</c:v>
                </c:pt>
                <c:pt idx="212">
                  <c:v>82792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87550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82839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83142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87887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83676</c:v>
                </c:pt>
                <c:pt idx="267">
                  <c:v>88316</c:v>
                </c:pt>
                <c:pt idx="268">
                  <c:v>0</c:v>
                </c:pt>
                <c:pt idx="269">
                  <c:v>0</c:v>
                </c:pt>
                <c:pt idx="270">
                  <c:v>88707</c:v>
                </c:pt>
                <c:pt idx="271">
                  <c:v>0</c:v>
                </c:pt>
                <c:pt idx="272">
                  <c:v>84022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84229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84788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89488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2.0822538799591561E-2</c:v>
                </c:pt>
                <c:pt idx="1">
                  <c:v>6.1157159291379673E-2</c:v>
                </c:pt>
                <c:pt idx="2">
                  <c:v>6.2055967232023557E-2</c:v>
                </c:pt>
                <c:pt idx="3">
                  <c:v>9.6564378684048657E-2</c:v>
                </c:pt>
                <c:pt idx="4">
                  <c:v>0.12404061424334759</c:v>
                </c:pt>
                <c:pt idx="5">
                  <c:v>0.10498528230938253</c:v>
                </c:pt>
                <c:pt idx="6">
                  <c:v>0.11246473431369826</c:v>
                </c:pt>
                <c:pt idx="7">
                  <c:v>0.13944670556770186</c:v>
                </c:pt>
                <c:pt idx="8">
                  <c:v>0.16012330455078794</c:v>
                </c:pt>
                <c:pt idx="9">
                  <c:v>0.15388456025108035</c:v>
                </c:pt>
                <c:pt idx="10">
                  <c:v>0.16077520885418989</c:v>
                </c:pt>
                <c:pt idx="11">
                  <c:v>8.1493219068161107E-2</c:v>
                </c:pt>
                <c:pt idx="12">
                  <c:v>0.11462828233501429</c:v>
                </c:pt>
                <c:pt idx="13">
                  <c:v>0.13330444379944129</c:v>
                </c:pt>
                <c:pt idx="14">
                  <c:v>0.14095900295651437</c:v>
                </c:pt>
                <c:pt idx="15">
                  <c:v>0.13975733487058431</c:v>
                </c:pt>
                <c:pt idx="16">
                  <c:v>0.16896870141174564</c:v>
                </c:pt>
                <c:pt idx="17">
                  <c:v>0.16180800491674166</c:v>
                </c:pt>
                <c:pt idx="18">
                  <c:v>0.19032710885954479</c:v>
                </c:pt>
                <c:pt idx="19">
                  <c:v>0.24737190843270424</c:v>
                </c:pt>
                <c:pt idx="20">
                  <c:v>0.21809840623266716</c:v>
                </c:pt>
                <c:pt idx="21">
                  <c:v>0.18721437131910779</c:v>
                </c:pt>
                <c:pt idx="22">
                  <c:v>0.25934260060055914</c:v>
                </c:pt>
                <c:pt idx="23">
                  <c:v>0.28819840774019256</c:v>
                </c:pt>
                <c:pt idx="24">
                  <c:v>0.30654687535275676</c:v>
                </c:pt>
                <c:pt idx="25">
                  <c:v>0.30006232941728406</c:v>
                </c:pt>
                <c:pt idx="26">
                  <c:v>0.34603415670422988</c:v>
                </c:pt>
                <c:pt idx="27">
                  <c:v>0.34316461277384347</c:v>
                </c:pt>
                <c:pt idx="28">
                  <c:v>0.32116928072494916</c:v>
                </c:pt>
                <c:pt idx="29">
                  <c:v>0.3218163613267056</c:v>
                </c:pt>
                <c:pt idx="30">
                  <c:v>0.3349051214536557</c:v>
                </c:pt>
                <c:pt idx="31">
                  <c:v>0.36968771648951815</c:v>
                </c:pt>
                <c:pt idx="32">
                  <c:v>0.36096748138425272</c:v>
                </c:pt>
                <c:pt idx="33">
                  <c:v>0.35710469914454795</c:v>
                </c:pt>
                <c:pt idx="34">
                  <c:v>0.28375323199053276</c:v>
                </c:pt>
                <c:pt idx="35">
                  <c:v>0.26358277674471065</c:v>
                </c:pt>
                <c:pt idx="36">
                  <c:v>0.28635788872449552</c:v>
                </c:pt>
                <c:pt idx="37">
                  <c:v>0.28069768743388096</c:v>
                </c:pt>
                <c:pt idx="38">
                  <c:v>0.28573159759513067</c:v>
                </c:pt>
                <c:pt idx="39">
                  <c:v>0.30444689441386596</c:v>
                </c:pt>
                <c:pt idx="40">
                  <c:v>0.30663643220244813</c:v>
                </c:pt>
                <c:pt idx="41">
                  <c:v>0.30841541712735626</c:v>
                </c:pt>
                <c:pt idx="42">
                  <c:v>0.32097316210411952</c:v>
                </c:pt>
                <c:pt idx="43">
                  <c:v>0.3526053450863888</c:v>
                </c:pt>
                <c:pt idx="44">
                  <c:v>0.39382103112245709</c:v>
                </c:pt>
                <c:pt idx="45">
                  <c:v>0.36803802848773559</c:v>
                </c:pt>
                <c:pt idx="46">
                  <c:v>0.4067173019437732</c:v>
                </c:pt>
                <c:pt idx="47">
                  <c:v>0.41528667165095379</c:v>
                </c:pt>
                <c:pt idx="48">
                  <c:v>0.3547546113113248</c:v>
                </c:pt>
                <c:pt idx="49">
                  <c:v>0.33265426430835704</c:v>
                </c:pt>
                <c:pt idx="50">
                  <c:v>0.36756667137794102</c:v>
                </c:pt>
                <c:pt idx="51">
                  <c:v>0.38016884165599835</c:v>
                </c:pt>
                <c:pt idx="52">
                  <c:v>0.40965953729340593</c:v>
                </c:pt>
                <c:pt idx="53">
                  <c:v>0.31846771486651121</c:v>
                </c:pt>
                <c:pt idx="54">
                  <c:v>0.29978319743817655</c:v>
                </c:pt>
                <c:pt idx="55">
                  <c:v>0.33202758145031419</c:v>
                </c:pt>
                <c:pt idx="56">
                  <c:v>0.34006777572079561</c:v>
                </c:pt>
                <c:pt idx="57">
                  <c:v>0.3192911231867821</c:v>
                </c:pt>
                <c:pt idx="58">
                  <c:v>0.31483767508290988</c:v>
                </c:pt>
                <c:pt idx="59">
                  <c:v>0.32560156353247793</c:v>
                </c:pt>
                <c:pt idx="60">
                  <c:v>0.28488747005215664</c:v>
                </c:pt>
                <c:pt idx="61">
                  <c:v>0.28979524063477657</c:v>
                </c:pt>
                <c:pt idx="62">
                  <c:v>0.3127886254679032</c:v>
                </c:pt>
                <c:pt idx="63">
                  <c:v>0.32032027371213584</c:v>
                </c:pt>
                <c:pt idx="64">
                  <c:v>0.31969640924257114</c:v>
                </c:pt>
                <c:pt idx="65">
                  <c:v>0.33325975998886559</c:v>
                </c:pt>
                <c:pt idx="66">
                  <c:v>0.37044394075934939</c:v>
                </c:pt>
                <c:pt idx="67">
                  <c:v>0.42593015922706051</c:v>
                </c:pt>
                <c:pt idx="68">
                  <c:v>0.45331682446029237</c:v>
                </c:pt>
                <c:pt idx="69">
                  <c:v>0.47986097249100218</c:v>
                </c:pt>
                <c:pt idx="70">
                  <c:v>0.49662982787666499</c:v>
                </c:pt>
                <c:pt idx="71">
                  <c:v>0.50339120714588503</c:v>
                </c:pt>
                <c:pt idx="72">
                  <c:v>0.53446706296378799</c:v>
                </c:pt>
                <c:pt idx="73">
                  <c:v>0.54345407079452324</c:v>
                </c:pt>
                <c:pt idx="74">
                  <c:v>0.55197214198921485</c:v>
                </c:pt>
                <c:pt idx="75">
                  <c:v>0.58523398221508549</c:v>
                </c:pt>
                <c:pt idx="76">
                  <c:v>0.56486689889344921</c:v>
                </c:pt>
                <c:pt idx="77">
                  <c:v>0.57793085721089443</c:v>
                </c:pt>
                <c:pt idx="78">
                  <c:v>0.61157814200142013</c:v>
                </c:pt>
                <c:pt idx="79">
                  <c:v>0.63458804912002609</c:v>
                </c:pt>
                <c:pt idx="80">
                  <c:v>0.6073282046726205</c:v>
                </c:pt>
                <c:pt idx="81">
                  <c:v>0.59045783399621032</c:v>
                </c:pt>
                <c:pt idx="82">
                  <c:v>0.56604297819639449</c:v>
                </c:pt>
                <c:pt idx="83">
                  <c:v>0.58058487315428287</c:v>
                </c:pt>
                <c:pt idx="84">
                  <c:v>0.51415247137516262</c:v>
                </c:pt>
                <c:pt idx="85">
                  <c:v>0.50744374100292688</c:v>
                </c:pt>
                <c:pt idx="86">
                  <c:v>0.53355475854758183</c:v>
                </c:pt>
                <c:pt idx="87">
                  <c:v>0.5456810382299454</c:v>
                </c:pt>
                <c:pt idx="88">
                  <c:v>0.55010779241787289</c:v>
                </c:pt>
                <c:pt idx="89">
                  <c:v>0.50983767446276596</c:v>
                </c:pt>
                <c:pt idx="90">
                  <c:v>0.53286935160522675</c:v>
                </c:pt>
                <c:pt idx="91">
                  <c:v>0.56499745583136285</c:v>
                </c:pt>
                <c:pt idx="92">
                  <c:v>0.5634142902851178</c:v>
                </c:pt>
                <c:pt idx="93">
                  <c:v>0.56755218502736104</c:v>
                </c:pt>
                <c:pt idx="94">
                  <c:v>0.53540712799041135</c:v>
                </c:pt>
                <c:pt idx="95">
                  <c:v>0.57423457614688689</c:v>
                </c:pt>
                <c:pt idx="96">
                  <c:v>0.53105329957810876</c:v>
                </c:pt>
                <c:pt idx="97">
                  <c:v>0.62279196897298639</c:v>
                </c:pt>
                <c:pt idx="98">
                  <c:v>0.70144703834420896</c:v>
                </c:pt>
                <c:pt idx="99">
                  <c:v>0.72199281429697815</c:v>
                </c:pt>
                <c:pt idx="100">
                  <c:v>0.73496055123027115</c:v>
                </c:pt>
                <c:pt idx="101">
                  <c:v>0.73394608781470549</c:v>
                </c:pt>
                <c:pt idx="102">
                  <c:v>0.74658177352520871</c:v>
                </c:pt>
                <c:pt idx="103">
                  <c:v>0.75146367563244665</c:v>
                </c:pt>
                <c:pt idx="104">
                  <c:v>0.7517417037088342</c:v>
                </c:pt>
                <c:pt idx="105">
                  <c:v>0.75376288175620165</c:v>
                </c:pt>
                <c:pt idx="106">
                  <c:v>0.74984150372697334</c:v>
                </c:pt>
                <c:pt idx="107">
                  <c:v>0.78473916681870226</c:v>
                </c:pt>
                <c:pt idx="108">
                  <c:v>0.77813953899275179</c:v>
                </c:pt>
                <c:pt idx="109">
                  <c:v>0.7658807175820963</c:v>
                </c:pt>
                <c:pt idx="110">
                  <c:v>0.7875653612348128</c:v>
                </c:pt>
                <c:pt idx="111">
                  <c:v>0.82412234362876657</c:v>
                </c:pt>
                <c:pt idx="112">
                  <c:v>0.82412234362876657</c:v>
                </c:pt>
                <c:pt idx="113">
                  <c:v>0.90134440286613671</c:v>
                </c:pt>
                <c:pt idx="114">
                  <c:v>0.88972657252147558</c:v>
                </c:pt>
                <c:pt idx="115">
                  <c:v>0.87259836565669513</c:v>
                </c:pt>
                <c:pt idx="116">
                  <c:v>0.87259836565669513</c:v>
                </c:pt>
                <c:pt idx="117">
                  <c:v>0.87259836565669513</c:v>
                </c:pt>
                <c:pt idx="118">
                  <c:v>0.87259836565669513</c:v>
                </c:pt>
                <c:pt idx="119">
                  <c:v>0.87259836565669513</c:v>
                </c:pt>
                <c:pt idx="120">
                  <c:v>0.87259836565669513</c:v>
                </c:pt>
                <c:pt idx="121">
                  <c:v>0.87259836565669513</c:v>
                </c:pt>
                <c:pt idx="122">
                  <c:v>0.87259836565669513</c:v>
                </c:pt>
                <c:pt idx="123">
                  <c:v>0.87259836565669513</c:v>
                </c:pt>
                <c:pt idx="124">
                  <c:v>0.87259836565669513</c:v>
                </c:pt>
                <c:pt idx="125">
                  <c:v>0.87259836565669513</c:v>
                </c:pt>
                <c:pt idx="126">
                  <c:v>0.87259836565669513</c:v>
                </c:pt>
                <c:pt idx="127">
                  <c:v>0.87259836565669513</c:v>
                </c:pt>
                <c:pt idx="128">
                  <c:v>0.87259836565669513</c:v>
                </c:pt>
                <c:pt idx="129">
                  <c:v>0.87259836565669513</c:v>
                </c:pt>
                <c:pt idx="130">
                  <c:v>0.87259836565669513</c:v>
                </c:pt>
                <c:pt idx="131">
                  <c:v>0.87259836565669513</c:v>
                </c:pt>
                <c:pt idx="132">
                  <c:v>0.87259836565669513</c:v>
                </c:pt>
                <c:pt idx="133">
                  <c:v>0.87259836565669513</c:v>
                </c:pt>
                <c:pt idx="134">
                  <c:v>0.87259836565669513</c:v>
                </c:pt>
                <c:pt idx="135">
                  <c:v>0.87259836565669513</c:v>
                </c:pt>
                <c:pt idx="136">
                  <c:v>0.87259836565669513</c:v>
                </c:pt>
                <c:pt idx="137">
                  <c:v>0.87259836565669513</c:v>
                </c:pt>
                <c:pt idx="138">
                  <c:v>0.85608570313505117</c:v>
                </c:pt>
                <c:pt idx="139">
                  <c:v>0.85608570313505117</c:v>
                </c:pt>
                <c:pt idx="140">
                  <c:v>0.85608570313505117</c:v>
                </c:pt>
                <c:pt idx="141">
                  <c:v>0.85608570313505117</c:v>
                </c:pt>
                <c:pt idx="142">
                  <c:v>0.85608570313505117</c:v>
                </c:pt>
                <c:pt idx="143">
                  <c:v>0.85608570313505117</c:v>
                </c:pt>
                <c:pt idx="144">
                  <c:v>0.85608570313505117</c:v>
                </c:pt>
                <c:pt idx="145">
                  <c:v>0.85608570313505117</c:v>
                </c:pt>
                <c:pt idx="146">
                  <c:v>0.85608570313505117</c:v>
                </c:pt>
                <c:pt idx="147">
                  <c:v>0.85608570313505117</c:v>
                </c:pt>
                <c:pt idx="148">
                  <c:v>0.85608570313505117</c:v>
                </c:pt>
                <c:pt idx="149">
                  <c:v>0.78673802277414917</c:v>
                </c:pt>
                <c:pt idx="150">
                  <c:v>0.78673802277414917</c:v>
                </c:pt>
                <c:pt idx="151">
                  <c:v>0.78673802277414917</c:v>
                </c:pt>
                <c:pt idx="152">
                  <c:v>0.78673802277414917</c:v>
                </c:pt>
                <c:pt idx="153">
                  <c:v>0.78673802277414917</c:v>
                </c:pt>
                <c:pt idx="154">
                  <c:v>0.78673802277414917</c:v>
                </c:pt>
                <c:pt idx="155">
                  <c:v>0.78673802277414917</c:v>
                </c:pt>
                <c:pt idx="156">
                  <c:v>0.78673802277414917</c:v>
                </c:pt>
                <c:pt idx="157">
                  <c:v>0.78673802277414917</c:v>
                </c:pt>
                <c:pt idx="158">
                  <c:v>0.78298479585012715</c:v>
                </c:pt>
                <c:pt idx="159">
                  <c:v>0.78298479585012715</c:v>
                </c:pt>
                <c:pt idx="160">
                  <c:v>0.78298479585012715</c:v>
                </c:pt>
                <c:pt idx="161">
                  <c:v>0.78298479585012715</c:v>
                </c:pt>
                <c:pt idx="162">
                  <c:v>0.78298479585012715</c:v>
                </c:pt>
                <c:pt idx="163">
                  <c:v>0.8236054045751684</c:v>
                </c:pt>
                <c:pt idx="164">
                  <c:v>0.8236054045751684</c:v>
                </c:pt>
                <c:pt idx="165">
                  <c:v>0.8236054045751684</c:v>
                </c:pt>
                <c:pt idx="166">
                  <c:v>0.8236054045751684</c:v>
                </c:pt>
                <c:pt idx="167">
                  <c:v>0.8236054045751684</c:v>
                </c:pt>
                <c:pt idx="168">
                  <c:v>0.8236054045751684</c:v>
                </c:pt>
                <c:pt idx="169">
                  <c:v>0.8236054045751684</c:v>
                </c:pt>
                <c:pt idx="170">
                  <c:v>0.8236054045751684</c:v>
                </c:pt>
                <c:pt idx="171">
                  <c:v>0.83556766704357999</c:v>
                </c:pt>
                <c:pt idx="172">
                  <c:v>0.83556766704357999</c:v>
                </c:pt>
                <c:pt idx="173">
                  <c:v>0.83556766704357999</c:v>
                </c:pt>
                <c:pt idx="174">
                  <c:v>0.83556766704357999</c:v>
                </c:pt>
                <c:pt idx="175">
                  <c:v>0.83556766704357999</c:v>
                </c:pt>
                <c:pt idx="176">
                  <c:v>0.83556766704357999</c:v>
                </c:pt>
                <c:pt idx="177">
                  <c:v>0.83556766704357999</c:v>
                </c:pt>
                <c:pt idx="178">
                  <c:v>0.83556766704357999</c:v>
                </c:pt>
                <c:pt idx="179">
                  <c:v>0.83556766704357999</c:v>
                </c:pt>
                <c:pt idx="180">
                  <c:v>0.83556766704357999</c:v>
                </c:pt>
                <c:pt idx="181">
                  <c:v>0.83556766704357999</c:v>
                </c:pt>
                <c:pt idx="182">
                  <c:v>0.83556766704357999</c:v>
                </c:pt>
                <c:pt idx="183">
                  <c:v>0.83556766704357999</c:v>
                </c:pt>
                <c:pt idx="184">
                  <c:v>0.83556766704357999</c:v>
                </c:pt>
                <c:pt idx="185">
                  <c:v>0.83556766704357999</c:v>
                </c:pt>
                <c:pt idx="186">
                  <c:v>0.83556766704357999</c:v>
                </c:pt>
                <c:pt idx="187">
                  <c:v>0.83556766704357999</c:v>
                </c:pt>
                <c:pt idx="188">
                  <c:v>0.83556766704357999</c:v>
                </c:pt>
                <c:pt idx="189">
                  <c:v>0.83556766704357999</c:v>
                </c:pt>
                <c:pt idx="190">
                  <c:v>0.83556766704357999</c:v>
                </c:pt>
                <c:pt idx="191">
                  <c:v>0.83556766704357999</c:v>
                </c:pt>
                <c:pt idx="192">
                  <c:v>0.83556766704357999</c:v>
                </c:pt>
                <c:pt idx="193">
                  <c:v>0.83556766704357999</c:v>
                </c:pt>
                <c:pt idx="194">
                  <c:v>0.83556766704357999</c:v>
                </c:pt>
                <c:pt idx="195">
                  <c:v>0.83556766704357999</c:v>
                </c:pt>
                <c:pt idx="196">
                  <c:v>0.85615713963879014</c:v>
                </c:pt>
                <c:pt idx="197">
                  <c:v>0.83102514117579673</c:v>
                </c:pt>
                <c:pt idx="198">
                  <c:v>0.83102514117579673</c:v>
                </c:pt>
                <c:pt idx="199">
                  <c:v>0.83102514117579673</c:v>
                </c:pt>
                <c:pt idx="200">
                  <c:v>0.83102514117579673</c:v>
                </c:pt>
                <c:pt idx="201">
                  <c:v>0.83102514117579673</c:v>
                </c:pt>
                <c:pt idx="202">
                  <c:v>0.83102514117579673</c:v>
                </c:pt>
                <c:pt idx="203">
                  <c:v>0.83102514117579673</c:v>
                </c:pt>
                <c:pt idx="204">
                  <c:v>0.88557442338226722</c:v>
                </c:pt>
                <c:pt idx="205">
                  <c:v>0.88557442338226722</c:v>
                </c:pt>
                <c:pt idx="206">
                  <c:v>0.80497373664834482</c:v>
                </c:pt>
                <c:pt idx="207">
                  <c:v>0.80497373664834482</c:v>
                </c:pt>
                <c:pt idx="208">
                  <c:v>0.80497373664834482</c:v>
                </c:pt>
                <c:pt idx="209">
                  <c:v>0.80497373664834482</c:v>
                </c:pt>
                <c:pt idx="210">
                  <c:v>0.77681988421444592</c:v>
                </c:pt>
                <c:pt idx="211">
                  <c:v>0.77681988421444592</c:v>
                </c:pt>
                <c:pt idx="212">
                  <c:v>0.77626164684097243</c:v>
                </c:pt>
                <c:pt idx="213">
                  <c:v>0.77626164684097243</c:v>
                </c:pt>
                <c:pt idx="214">
                  <c:v>0.77626164684097243</c:v>
                </c:pt>
                <c:pt idx="215">
                  <c:v>0.77626164684097243</c:v>
                </c:pt>
                <c:pt idx="216">
                  <c:v>0.77626164684097243</c:v>
                </c:pt>
                <c:pt idx="217">
                  <c:v>0.77626164684097243</c:v>
                </c:pt>
                <c:pt idx="218">
                  <c:v>0.77626164684097243</c:v>
                </c:pt>
                <c:pt idx="219">
                  <c:v>0.77626164684097243</c:v>
                </c:pt>
                <c:pt idx="220">
                  <c:v>0.77626164684097243</c:v>
                </c:pt>
                <c:pt idx="221">
                  <c:v>0.77626164684097243</c:v>
                </c:pt>
                <c:pt idx="222">
                  <c:v>0.77626164684097243</c:v>
                </c:pt>
                <c:pt idx="223">
                  <c:v>0.77626164684097243</c:v>
                </c:pt>
                <c:pt idx="224">
                  <c:v>0.77626164684097243</c:v>
                </c:pt>
                <c:pt idx="225">
                  <c:v>0.77626164684097243</c:v>
                </c:pt>
                <c:pt idx="226">
                  <c:v>0.77626164684097243</c:v>
                </c:pt>
                <c:pt idx="227">
                  <c:v>0.73184800580372744</c:v>
                </c:pt>
                <c:pt idx="228">
                  <c:v>0.73184800580372744</c:v>
                </c:pt>
                <c:pt idx="229">
                  <c:v>0.73184800580372744</c:v>
                </c:pt>
                <c:pt idx="230">
                  <c:v>0.73184800580372744</c:v>
                </c:pt>
                <c:pt idx="231">
                  <c:v>0.73184800580372744</c:v>
                </c:pt>
                <c:pt idx="232">
                  <c:v>0.73184800580372744</c:v>
                </c:pt>
                <c:pt idx="233">
                  <c:v>0.73184800580372744</c:v>
                </c:pt>
                <c:pt idx="234">
                  <c:v>0.73184800580372744</c:v>
                </c:pt>
                <c:pt idx="235">
                  <c:v>0.73184800580372744</c:v>
                </c:pt>
                <c:pt idx="236">
                  <c:v>0.73184800580372744</c:v>
                </c:pt>
                <c:pt idx="237">
                  <c:v>0.73184800580372744</c:v>
                </c:pt>
                <c:pt idx="238">
                  <c:v>0.73184800580372744</c:v>
                </c:pt>
                <c:pt idx="239">
                  <c:v>0.73184800580372744</c:v>
                </c:pt>
                <c:pt idx="240">
                  <c:v>0.73184800580372744</c:v>
                </c:pt>
                <c:pt idx="241">
                  <c:v>0.73184800580372744</c:v>
                </c:pt>
                <c:pt idx="242">
                  <c:v>0.73184800580372744</c:v>
                </c:pt>
                <c:pt idx="243">
                  <c:v>0.73184800580372744</c:v>
                </c:pt>
                <c:pt idx="244">
                  <c:v>0.75840807889612016</c:v>
                </c:pt>
                <c:pt idx="245">
                  <c:v>0.75840807889612016</c:v>
                </c:pt>
                <c:pt idx="246">
                  <c:v>0.75840807889612016</c:v>
                </c:pt>
                <c:pt idx="247">
                  <c:v>0.75840807889612016</c:v>
                </c:pt>
                <c:pt idx="248">
                  <c:v>0.77090595712342169</c:v>
                </c:pt>
                <c:pt idx="249">
                  <c:v>0.77090595712342169</c:v>
                </c:pt>
                <c:pt idx="250">
                  <c:v>0.77090595712342169</c:v>
                </c:pt>
                <c:pt idx="251">
                  <c:v>0.77090595712342169</c:v>
                </c:pt>
                <c:pt idx="252">
                  <c:v>0.77090595712342169</c:v>
                </c:pt>
                <c:pt idx="253">
                  <c:v>0.77090595712342169</c:v>
                </c:pt>
                <c:pt idx="254">
                  <c:v>0.77090595712342169</c:v>
                </c:pt>
                <c:pt idx="255">
                  <c:v>0.77090595712342169</c:v>
                </c:pt>
                <c:pt idx="256">
                  <c:v>0.77090595712342169</c:v>
                </c:pt>
                <c:pt idx="257">
                  <c:v>0.77090595712342169</c:v>
                </c:pt>
                <c:pt idx="258">
                  <c:v>0.77090595712342169</c:v>
                </c:pt>
                <c:pt idx="259">
                  <c:v>0.77090595712342169</c:v>
                </c:pt>
                <c:pt idx="260">
                  <c:v>0.77932415620208428</c:v>
                </c:pt>
                <c:pt idx="261">
                  <c:v>0.77932415620208428</c:v>
                </c:pt>
                <c:pt idx="262">
                  <c:v>0.77932415620208428</c:v>
                </c:pt>
                <c:pt idx="263">
                  <c:v>0.77932415620208428</c:v>
                </c:pt>
                <c:pt idx="264">
                  <c:v>0.77932415620208428</c:v>
                </c:pt>
                <c:pt idx="265">
                  <c:v>0.77932415620208428</c:v>
                </c:pt>
                <c:pt idx="266">
                  <c:v>0.75068149454602484</c:v>
                </c:pt>
                <c:pt idx="267">
                  <c:v>0.80928570315983928</c:v>
                </c:pt>
                <c:pt idx="268">
                  <c:v>0.80928570315983928</c:v>
                </c:pt>
                <c:pt idx="269">
                  <c:v>0.80928570315983928</c:v>
                </c:pt>
                <c:pt idx="270">
                  <c:v>0.85218170126306991</c:v>
                </c:pt>
                <c:pt idx="271">
                  <c:v>0.85218170126306991</c:v>
                </c:pt>
                <c:pt idx="272">
                  <c:v>0.82936591234622903</c:v>
                </c:pt>
                <c:pt idx="273">
                  <c:v>0.82936591234622903</c:v>
                </c:pt>
                <c:pt idx="274">
                  <c:v>0.82936591234622903</c:v>
                </c:pt>
                <c:pt idx="275">
                  <c:v>0.82936591234622903</c:v>
                </c:pt>
                <c:pt idx="276">
                  <c:v>0.82936591234622903</c:v>
                </c:pt>
                <c:pt idx="277">
                  <c:v>0.82936591234622903</c:v>
                </c:pt>
                <c:pt idx="278">
                  <c:v>0.82936591234622903</c:v>
                </c:pt>
                <c:pt idx="279">
                  <c:v>0.82936591234622903</c:v>
                </c:pt>
                <c:pt idx="280">
                  <c:v>0.82936591234622903</c:v>
                </c:pt>
                <c:pt idx="281">
                  <c:v>0.82936591234622903</c:v>
                </c:pt>
                <c:pt idx="282">
                  <c:v>0.82936591234622903</c:v>
                </c:pt>
                <c:pt idx="283">
                  <c:v>0.82936591234622903</c:v>
                </c:pt>
                <c:pt idx="284">
                  <c:v>0.82936591234622903</c:v>
                </c:pt>
                <c:pt idx="285">
                  <c:v>0.82936591234622903</c:v>
                </c:pt>
                <c:pt idx="286">
                  <c:v>0.82936591234622903</c:v>
                </c:pt>
                <c:pt idx="287">
                  <c:v>0.82936591234622903</c:v>
                </c:pt>
                <c:pt idx="288">
                  <c:v>0.82936591234622903</c:v>
                </c:pt>
                <c:pt idx="289">
                  <c:v>0.82936591234622903</c:v>
                </c:pt>
                <c:pt idx="290">
                  <c:v>0.82936591234622903</c:v>
                </c:pt>
                <c:pt idx="291">
                  <c:v>0.82936591234622903</c:v>
                </c:pt>
                <c:pt idx="292">
                  <c:v>0.82936591234622903</c:v>
                </c:pt>
                <c:pt idx="293">
                  <c:v>0.82936591234622903</c:v>
                </c:pt>
                <c:pt idx="294">
                  <c:v>0.82936591234622903</c:v>
                </c:pt>
                <c:pt idx="295">
                  <c:v>0.82936591234622903</c:v>
                </c:pt>
                <c:pt idx="296">
                  <c:v>0.82936591234622903</c:v>
                </c:pt>
                <c:pt idx="297">
                  <c:v>0.82936591234622903</c:v>
                </c:pt>
                <c:pt idx="298">
                  <c:v>0.82936591234622903</c:v>
                </c:pt>
                <c:pt idx="299">
                  <c:v>0.82936591234622903</c:v>
                </c:pt>
                <c:pt idx="300">
                  <c:v>0.82936591234622903</c:v>
                </c:pt>
                <c:pt idx="301">
                  <c:v>0.82936591234622903</c:v>
                </c:pt>
                <c:pt idx="302">
                  <c:v>0.82936591234622903</c:v>
                </c:pt>
                <c:pt idx="303">
                  <c:v>0.82936591234622903</c:v>
                </c:pt>
                <c:pt idx="304">
                  <c:v>0.82936591234622903</c:v>
                </c:pt>
                <c:pt idx="305">
                  <c:v>0.82936591234622903</c:v>
                </c:pt>
                <c:pt idx="306">
                  <c:v>0.82936591234622903</c:v>
                </c:pt>
                <c:pt idx="307">
                  <c:v>0.82936591234622903</c:v>
                </c:pt>
                <c:pt idx="308">
                  <c:v>0.82936591234622903</c:v>
                </c:pt>
                <c:pt idx="309">
                  <c:v>0.82936591234622903</c:v>
                </c:pt>
                <c:pt idx="310">
                  <c:v>0.82936591234622903</c:v>
                </c:pt>
                <c:pt idx="311">
                  <c:v>0.82936591234622903</c:v>
                </c:pt>
                <c:pt idx="312">
                  <c:v>0.82936591234622903</c:v>
                </c:pt>
                <c:pt idx="313">
                  <c:v>0.82936591234622903</c:v>
                </c:pt>
                <c:pt idx="314">
                  <c:v>0.82936591234622903</c:v>
                </c:pt>
                <c:pt idx="315">
                  <c:v>0.82936591234622903</c:v>
                </c:pt>
                <c:pt idx="316">
                  <c:v>0.82936591234622903</c:v>
                </c:pt>
                <c:pt idx="317">
                  <c:v>0.82936591234622903</c:v>
                </c:pt>
                <c:pt idx="318">
                  <c:v>0.82936591234622903</c:v>
                </c:pt>
                <c:pt idx="319">
                  <c:v>0.82936591234622903</c:v>
                </c:pt>
                <c:pt idx="320">
                  <c:v>0.82936591234622903</c:v>
                </c:pt>
                <c:pt idx="321">
                  <c:v>0.82936591234622903</c:v>
                </c:pt>
                <c:pt idx="322">
                  <c:v>0.82936591234622903</c:v>
                </c:pt>
                <c:pt idx="323">
                  <c:v>0.82936591234622903</c:v>
                </c:pt>
                <c:pt idx="324">
                  <c:v>0.82936591234622903</c:v>
                </c:pt>
                <c:pt idx="325">
                  <c:v>0.82936591234622903</c:v>
                </c:pt>
                <c:pt idx="326">
                  <c:v>0.82936591234622903</c:v>
                </c:pt>
                <c:pt idx="327">
                  <c:v>0.82936591234622903</c:v>
                </c:pt>
                <c:pt idx="328">
                  <c:v>0.82936591234622903</c:v>
                </c:pt>
                <c:pt idx="329">
                  <c:v>0.83019494000481731</c:v>
                </c:pt>
                <c:pt idx="330">
                  <c:v>0.83019494000481731</c:v>
                </c:pt>
                <c:pt idx="331">
                  <c:v>0.83019494000481731</c:v>
                </c:pt>
                <c:pt idx="332">
                  <c:v>0.83019494000481731</c:v>
                </c:pt>
                <c:pt idx="333">
                  <c:v>0.83019494000481731</c:v>
                </c:pt>
                <c:pt idx="334">
                  <c:v>0.83019494000481731</c:v>
                </c:pt>
                <c:pt idx="335">
                  <c:v>0.83019494000481731</c:v>
                </c:pt>
                <c:pt idx="336">
                  <c:v>0.83019494000481731</c:v>
                </c:pt>
                <c:pt idx="337">
                  <c:v>0.83019494000481731</c:v>
                </c:pt>
                <c:pt idx="338">
                  <c:v>0.80592595098332664</c:v>
                </c:pt>
                <c:pt idx="339">
                  <c:v>0.80592595098332664</c:v>
                </c:pt>
                <c:pt idx="340">
                  <c:v>0.80592595098332664</c:v>
                </c:pt>
                <c:pt idx="341">
                  <c:v>0.80592595098332664</c:v>
                </c:pt>
                <c:pt idx="342">
                  <c:v>0.86146740004688438</c:v>
                </c:pt>
                <c:pt idx="343">
                  <c:v>0.86146740004688438</c:v>
                </c:pt>
                <c:pt idx="344">
                  <c:v>0.86146740004688438</c:v>
                </c:pt>
                <c:pt idx="345">
                  <c:v>0.86146740004688438</c:v>
                </c:pt>
                <c:pt idx="346">
                  <c:v>0.86146740004688438</c:v>
                </c:pt>
                <c:pt idx="347">
                  <c:v>0.86146740004688438</c:v>
                </c:pt>
                <c:pt idx="348">
                  <c:v>0.86146740004688438</c:v>
                </c:pt>
                <c:pt idx="349">
                  <c:v>0.86146740004688438</c:v>
                </c:pt>
                <c:pt idx="350">
                  <c:v>0.86146740004688438</c:v>
                </c:pt>
                <c:pt idx="351">
                  <c:v>0.86146740004688438</c:v>
                </c:pt>
                <c:pt idx="352">
                  <c:v>0.86146740004688438</c:v>
                </c:pt>
                <c:pt idx="353">
                  <c:v>0.86146740004688438</c:v>
                </c:pt>
                <c:pt idx="354">
                  <c:v>0.86146740004688438</c:v>
                </c:pt>
                <c:pt idx="355">
                  <c:v>0.86146740004688438</c:v>
                </c:pt>
                <c:pt idx="356">
                  <c:v>0.86146740004688438</c:v>
                </c:pt>
                <c:pt idx="357">
                  <c:v>0.86146740004688438</c:v>
                </c:pt>
                <c:pt idx="358">
                  <c:v>0.86146740004688438</c:v>
                </c:pt>
                <c:pt idx="359">
                  <c:v>0.86146740004688438</c:v>
                </c:pt>
                <c:pt idx="360">
                  <c:v>0.86146740004688438</c:v>
                </c:pt>
                <c:pt idx="361">
                  <c:v>0.86146740004688438</c:v>
                </c:pt>
                <c:pt idx="362">
                  <c:v>0.86146740004688438</c:v>
                </c:pt>
                <c:pt idx="363">
                  <c:v>0.86146740004688438</c:v>
                </c:pt>
                <c:pt idx="364">
                  <c:v>0.86146740004688438</c:v>
                </c:pt>
                <c:pt idx="365">
                  <c:v>0.86146740004688438</c:v>
                </c:pt>
                <c:pt idx="366">
                  <c:v>0.86146740004688438</c:v>
                </c:pt>
                <c:pt idx="367">
                  <c:v>0.86146740004688438</c:v>
                </c:pt>
                <c:pt idx="368">
                  <c:v>0.86146740004688438</c:v>
                </c:pt>
                <c:pt idx="369">
                  <c:v>0.86146740004688438</c:v>
                </c:pt>
                <c:pt idx="370">
                  <c:v>0.86146740004688438</c:v>
                </c:pt>
                <c:pt idx="371">
                  <c:v>0.86146740004688438</c:v>
                </c:pt>
                <c:pt idx="372">
                  <c:v>0.86146740004688438</c:v>
                </c:pt>
                <c:pt idx="373">
                  <c:v>0.86146740004688438</c:v>
                </c:pt>
                <c:pt idx="374">
                  <c:v>0.86146740004688438</c:v>
                </c:pt>
                <c:pt idx="375">
                  <c:v>0.86146740004688438</c:v>
                </c:pt>
                <c:pt idx="376">
                  <c:v>0.86146740004688438</c:v>
                </c:pt>
                <c:pt idx="377">
                  <c:v>0.86146740004688438</c:v>
                </c:pt>
                <c:pt idx="378">
                  <c:v>0.86146740004688438</c:v>
                </c:pt>
                <c:pt idx="379">
                  <c:v>0.86146740004688438</c:v>
                </c:pt>
                <c:pt idx="380">
                  <c:v>0.86146740004688438</c:v>
                </c:pt>
                <c:pt idx="381">
                  <c:v>0.86146740004688438</c:v>
                </c:pt>
                <c:pt idx="382">
                  <c:v>0.86146740004688438</c:v>
                </c:pt>
                <c:pt idx="383">
                  <c:v>0.86146740004688438</c:v>
                </c:pt>
                <c:pt idx="384">
                  <c:v>0.86146740004688438</c:v>
                </c:pt>
                <c:pt idx="385">
                  <c:v>0.86146740004688438</c:v>
                </c:pt>
                <c:pt idx="386">
                  <c:v>0.86146740004688438</c:v>
                </c:pt>
                <c:pt idx="387">
                  <c:v>0.86146740004688438</c:v>
                </c:pt>
                <c:pt idx="388">
                  <c:v>0.86146740004688438</c:v>
                </c:pt>
                <c:pt idx="389">
                  <c:v>0.86146740004688438</c:v>
                </c:pt>
                <c:pt idx="390">
                  <c:v>0.86146740004688438</c:v>
                </c:pt>
                <c:pt idx="391">
                  <c:v>0.86146740004688438</c:v>
                </c:pt>
                <c:pt idx="392">
                  <c:v>0.86146740004688438</c:v>
                </c:pt>
                <c:pt idx="393">
                  <c:v>0.86146740004688438</c:v>
                </c:pt>
                <c:pt idx="394">
                  <c:v>0.86146740004688438</c:v>
                </c:pt>
                <c:pt idx="395">
                  <c:v>0.86146740004688438</c:v>
                </c:pt>
                <c:pt idx="396">
                  <c:v>0.86146740004688438</c:v>
                </c:pt>
                <c:pt idx="397">
                  <c:v>0.86146740004688438</c:v>
                </c:pt>
                <c:pt idx="398">
                  <c:v>0.86146740004688438</c:v>
                </c:pt>
                <c:pt idx="399">
                  <c:v>0.86146740004688438</c:v>
                </c:pt>
                <c:pt idx="400">
                  <c:v>0.86146740004688438</c:v>
                </c:pt>
                <c:pt idx="401">
                  <c:v>0.86146740004688438</c:v>
                </c:pt>
                <c:pt idx="402">
                  <c:v>0.86146740004688438</c:v>
                </c:pt>
                <c:pt idx="403">
                  <c:v>0.86146740004688438</c:v>
                </c:pt>
                <c:pt idx="404">
                  <c:v>0.86146740004688438</c:v>
                </c:pt>
                <c:pt idx="405">
                  <c:v>0.86146740004688438</c:v>
                </c:pt>
                <c:pt idx="406">
                  <c:v>0.86146740004688438</c:v>
                </c:pt>
                <c:pt idx="407">
                  <c:v>0.86146740004688438</c:v>
                </c:pt>
                <c:pt idx="408">
                  <c:v>0.86146740004688438</c:v>
                </c:pt>
                <c:pt idx="409">
                  <c:v>0.86146740004688438</c:v>
                </c:pt>
                <c:pt idx="410">
                  <c:v>0.86146740004688438</c:v>
                </c:pt>
                <c:pt idx="411">
                  <c:v>0.86146740004688438</c:v>
                </c:pt>
                <c:pt idx="412">
                  <c:v>0.86146740004688438</c:v>
                </c:pt>
                <c:pt idx="413">
                  <c:v>0.86146740004688438</c:v>
                </c:pt>
                <c:pt idx="414">
                  <c:v>0.86146740004688438</c:v>
                </c:pt>
                <c:pt idx="415">
                  <c:v>0.86146740004688438</c:v>
                </c:pt>
                <c:pt idx="416">
                  <c:v>0.86146740004688438</c:v>
                </c:pt>
                <c:pt idx="417">
                  <c:v>0.86146740004688438</c:v>
                </c:pt>
                <c:pt idx="418">
                  <c:v>0.86146740004688438</c:v>
                </c:pt>
                <c:pt idx="419">
                  <c:v>0.86146740004688438</c:v>
                </c:pt>
                <c:pt idx="420">
                  <c:v>0.86146740004688438</c:v>
                </c:pt>
                <c:pt idx="421">
                  <c:v>0.86146740004688438</c:v>
                </c:pt>
                <c:pt idx="422">
                  <c:v>0.86146740004688438</c:v>
                </c:pt>
                <c:pt idx="423">
                  <c:v>0.86146740004688438</c:v>
                </c:pt>
                <c:pt idx="424">
                  <c:v>0.86146740004688438</c:v>
                </c:pt>
                <c:pt idx="425">
                  <c:v>0.86146740004688438</c:v>
                </c:pt>
                <c:pt idx="426">
                  <c:v>0.86146740004688438</c:v>
                </c:pt>
                <c:pt idx="427">
                  <c:v>0.86146740004688438</c:v>
                </c:pt>
                <c:pt idx="428">
                  <c:v>0.86146740004688438</c:v>
                </c:pt>
                <c:pt idx="429">
                  <c:v>0.86146740004688438</c:v>
                </c:pt>
                <c:pt idx="430">
                  <c:v>0.86146740004688438</c:v>
                </c:pt>
                <c:pt idx="431">
                  <c:v>0.86146740004688438</c:v>
                </c:pt>
                <c:pt idx="432">
                  <c:v>0.86146740004688438</c:v>
                </c:pt>
                <c:pt idx="433">
                  <c:v>0.86146740004688438</c:v>
                </c:pt>
                <c:pt idx="434">
                  <c:v>0.86146740004688438</c:v>
                </c:pt>
                <c:pt idx="435">
                  <c:v>0.86146740004688438</c:v>
                </c:pt>
                <c:pt idx="436">
                  <c:v>0.86146740004688438</c:v>
                </c:pt>
                <c:pt idx="437">
                  <c:v>0.86146740004688438</c:v>
                </c:pt>
                <c:pt idx="438">
                  <c:v>0.86146740004688438</c:v>
                </c:pt>
                <c:pt idx="439">
                  <c:v>0.86146740004688438</c:v>
                </c:pt>
                <c:pt idx="440">
                  <c:v>0.86146740004688438</c:v>
                </c:pt>
                <c:pt idx="441">
                  <c:v>0.86146740004688438</c:v>
                </c:pt>
                <c:pt idx="442">
                  <c:v>0.86146740004688438</c:v>
                </c:pt>
                <c:pt idx="443">
                  <c:v>0.86146740004688438</c:v>
                </c:pt>
                <c:pt idx="444">
                  <c:v>0.86146740004688438</c:v>
                </c:pt>
                <c:pt idx="445">
                  <c:v>0.86146740004688438</c:v>
                </c:pt>
                <c:pt idx="446">
                  <c:v>0.86146740004688438</c:v>
                </c:pt>
                <c:pt idx="447">
                  <c:v>0.86146740004688438</c:v>
                </c:pt>
                <c:pt idx="448">
                  <c:v>0.86146740004688438</c:v>
                </c:pt>
                <c:pt idx="449">
                  <c:v>0.86146740004688438</c:v>
                </c:pt>
                <c:pt idx="450">
                  <c:v>0.86146740004688438</c:v>
                </c:pt>
                <c:pt idx="451">
                  <c:v>0.86146740004688438</c:v>
                </c:pt>
                <c:pt idx="452">
                  <c:v>0.86146740004688438</c:v>
                </c:pt>
                <c:pt idx="453">
                  <c:v>0.86146740004688438</c:v>
                </c:pt>
                <c:pt idx="454">
                  <c:v>0.86146740004688438</c:v>
                </c:pt>
                <c:pt idx="455">
                  <c:v>0.86146740004688438</c:v>
                </c:pt>
                <c:pt idx="456">
                  <c:v>0.86146740004688438</c:v>
                </c:pt>
                <c:pt idx="457">
                  <c:v>0.86146740004688438</c:v>
                </c:pt>
                <c:pt idx="458">
                  <c:v>0.86146740004688438</c:v>
                </c:pt>
                <c:pt idx="459">
                  <c:v>0.86146740004688438</c:v>
                </c:pt>
                <c:pt idx="460">
                  <c:v>0.86146740004688438</c:v>
                </c:pt>
                <c:pt idx="461">
                  <c:v>0.86146740004688438</c:v>
                </c:pt>
                <c:pt idx="462">
                  <c:v>0.86146740004688438</c:v>
                </c:pt>
                <c:pt idx="463">
                  <c:v>0.86146740004688438</c:v>
                </c:pt>
                <c:pt idx="464">
                  <c:v>0.86146740004688438</c:v>
                </c:pt>
                <c:pt idx="465">
                  <c:v>0.86146740004688438</c:v>
                </c:pt>
                <c:pt idx="466">
                  <c:v>0.86146740004688438</c:v>
                </c:pt>
                <c:pt idx="467">
                  <c:v>0.86146740004688438</c:v>
                </c:pt>
                <c:pt idx="468">
                  <c:v>0.86146740004688438</c:v>
                </c:pt>
                <c:pt idx="469">
                  <c:v>0.86146740004688438</c:v>
                </c:pt>
                <c:pt idx="470">
                  <c:v>0.86146740004688438</c:v>
                </c:pt>
                <c:pt idx="471">
                  <c:v>0.86146740004688438</c:v>
                </c:pt>
                <c:pt idx="472">
                  <c:v>0.86146740004688438</c:v>
                </c:pt>
                <c:pt idx="473">
                  <c:v>0.86146740004688438</c:v>
                </c:pt>
                <c:pt idx="474">
                  <c:v>0.86146740004688438</c:v>
                </c:pt>
                <c:pt idx="475">
                  <c:v>0.86146740004688438</c:v>
                </c:pt>
                <c:pt idx="476">
                  <c:v>0.86146740004688438</c:v>
                </c:pt>
                <c:pt idx="477">
                  <c:v>0.86146740004688438</c:v>
                </c:pt>
                <c:pt idx="478">
                  <c:v>0.86146740004688438</c:v>
                </c:pt>
                <c:pt idx="479">
                  <c:v>0.86146740004688438</c:v>
                </c:pt>
                <c:pt idx="480">
                  <c:v>0.86146740004688438</c:v>
                </c:pt>
                <c:pt idx="481">
                  <c:v>0.86146740004688438</c:v>
                </c:pt>
                <c:pt idx="482">
                  <c:v>0.86146740004688438</c:v>
                </c:pt>
                <c:pt idx="483">
                  <c:v>0.86146740004688438</c:v>
                </c:pt>
                <c:pt idx="484">
                  <c:v>0.86146740004688438</c:v>
                </c:pt>
                <c:pt idx="485">
                  <c:v>0.86146740004688438</c:v>
                </c:pt>
                <c:pt idx="486">
                  <c:v>0.86146740004688438</c:v>
                </c:pt>
                <c:pt idx="487">
                  <c:v>0.86146740004688438</c:v>
                </c:pt>
                <c:pt idx="488">
                  <c:v>0.86146740004688438</c:v>
                </c:pt>
                <c:pt idx="489">
                  <c:v>0.86146740004688438</c:v>
                </c:pt>
                <c:pt idx="490">
                  <c:v>0.86146740004688438</c:v>
                </c:pt>
                <c:pt idx="491">
                  <c:v>0.86146740004688438</c:v>
                </c:pt>
                <c:pt idx="492">
                  <c:v>0.86146740004688438</c:v>
                </c:pt>
                <c:pt idx="493">
                  <c:v>0.86146740004688438</c:v>
                </c:pt>
                <c:pt idx="494">
                  <c:v>0.86146740004688438</c:v>
                </c:pt>
                <c:pt idx="495">
                  <c:v>0.86146740004688438</c:v>
                </c:pt>
                <c:pt idx="496">
                  <c:v>0.86146740004688438</c:v>
                </c:pt>
                <c:pt idx="497">
                  <c:v>0.86146740004688438</c:v>
                </c:pt>
                <c:pt idx="498">
                  <c:v>0.86146740004688438</c:v>
                </c:pt>
                <c:pt idx="499">
                  <c:v>0.86146740004688438</c:v>
                </c:pt>
                <c:pt idx="500">
                  <c:v>0.86146740004688438</c:v>
                </c:pt>
                <c:pt idx="501">
                  <c:v>0.86146740004688438</c:v>
                </c:pt>
                <c:pt idx="502">
                  <c:v>0.86146740004688438</c:v>
                </c:pt>
                <c:pt idx="503">
                  <c:v>0.86146740004688438</c:v>
                </c:pt>
                <c:pt idx="504">
                  <c:v>0.86146740004688438</c:v>
                </c:pt>
                <c:pt idx="505">
                  <c:v>0.86146740004688438</c:v>
                </c:pt>
                <c:pt idx="506">
                  <c:v>0.86146740004688438</c:v>
                </c:pt>
                <c:pt idx="507">
                  <c:v>0.86146740004688438</c:v>
                </c:pt>
                <c:pt idx="508">
                  <c:v>0.86146740004688438</c:v>
                </c:pt>
                <c:pt idx="509">
                  <c:v>0.86146740004688438</c:v>
                </c:pt>
                <c:pt idx="510">
                  <c:v>0.86146740004688438</c:v>
                </c:pt>
                <c:pt idx="511">
                  <c:v>0.86146740004688438</c:v>
                </c:pt>
                <c:pt idx="512">
                  <c:v>0.86146740004688438</c:v>
                </c:pt>
                <c:pt idx="513">
                  <c:v>0.86146740004688438</c:v>
                </c:pt>
                <c:pt idx="514">
                  <c:v>0.86146740004688438</c:v>
                </c:pt>
                <c:pt idx="515">
                  <c:v>0.86146740004688438</c:v>
                </c:pt>
                <c:pt idx="516">
                  <c:v>0.86146740004688438</c:v>
                </c:pt>
                <c:pt idx="517">
                  <c:v>0.86146740004688438</c:v>
                </c:pt>
                <c:pt idx="518">
                  <c:v>0.86146740004688438</c:v>
                </c:pt>
                <c:pt idx="519">
                  <c:v>0.86146740004688438</c:v>
                </c:pt>
                <c:pt idx="520">
                  <c:v>0.86146740004688438</c:v>
                </c:pt>
                <c:pt idx="521">
                  <c:v>0.86146740004688438</c:v>
                </c:pt>
                <c:pt idx="522">
                  <c:v>0.86146740004688438</c:v>
                </c:pt>
                <c:pt idx="523">
                  <c:v>0.86146740004688438</c:v>
                </c:pt>
                <c:pt idx="524">
                  <c:v>0.86146740004688438</c:v>
                </c:pt>
                <c:pt idx="525">
                  <c:v>0.86146740004688438</c:v>
                </c:pt>
                <c:pt idx="526">
                  <c:v>0.86146740004688438</c:v>
                </c:pt>
                <c:pt idx="527">
                  <c:v>0.86146740004688438</c:v>
                </c:pt>
                <c:pt idx="528">
                  <c:v>0.86146740004688438</c:v>
                </c:pt>
                <c:pt idx="529">
                  <c:v>0.86146740004688438</c:v>
                </c:pt>
                <c:pt idx="530">
                  <c:v>0.86146740004688438</c:v>
                </c:pt>
                <c:pt idx="531">
                  <c:v>0.86146740004688438</c:v>
                </c:pt>
                <c:pt idx="532">
                  <c:v>0.86146740004688438</c:v>
                </c:pt>
                <c:pt idx="533">
                  <c:v>0.86146740004688438</c:v>
                </c:pt>
                <c:pt idx="534">
                  <c:v>0.86146740004688438</c:v>
                </c:pt>
                <c:pt idx="535">
                  <c:v>0.86146740004688438</c:v>
                </c:pt>
                <c:pt idx="536">
                  <c:v>0.86146740004688438</c:v>
                </c:pt>
                <c:pt idx="537">
                  <c:v>0.86146740004688438</c:v>
                </c:pt>
                <c:pt idx="538">
                  <c:v>0.86146740004688438</c:v>
                </c:pt>
                <c:pt idx="539">
                  <c:v>0.86146740004688438</c:v>
                </c:pt>
                <c:pt idx="540">
                  <c:v>0.86146740004688438</c:v>
                </c:pt>
                <c:pt idx="541">
                  <c:v>0.86146740004688438</c:v>
                </c:pt>
                <c:pt idx="542">
                  <c:v>0.86146740004688438</c:v>
                </c:pt>
                <c:pt idx="543">
                  <c:v>0.86146740004688438</c:v>
                </c:pt>
                <c:pt idx="544">
                  <c:v>0.86146740004688438</c:v>
                </c:pt>
                <c:pt idx="545">
                  <c:v>0.86146740004688438</c:v>
                </c:pt>
                <c:pt idx="546">
                  <c:v>0.86146740004688438</c:v>
                </c:pt>
                <c:pt idx="547">
                  <c:v>0.86146740004688438</c:v>
                </c:pt>
                <c:pt idx="548">
                  <c:v>0.86146740004688438</c:v>
                </c:pt>
                <c:pt idx="549">
                  <c:v>0.86146740004688438</c:v>
                </c:pt>
                <c:pt idx="550">
                  <c:v>0.86146740004688438</c:v>
                </c:pt>
                <c:pt idx="551">
                  <c:v>0.86146740004688438</c:v>
                </c:pt>
                <c:pt idx="552">
                  <c:v>0.86146740004688438</c:v>
                </c:pt>
                <c:pt idx="553">
                  <c:v>0.86146740004688438</c:v>
                </c:pt>
                <c:pt idx="554">
                  <c:v>0.86146740004688438</c:v>
                </c:pt>
                <c:pt idx="555">
                  <c:v>0.86146740004688438</c:v>
                </c:pt>
                <c:pt idx="556">
                  <c:v>0.86146740004688438</c:v>
                </c:pt>
                <c:pt idx="557">
                  <c:v>0.86146740004688438</c:v>
                </c:pt>
                <c:pt idx="558">
                  <c:v>0.86146740004688438</c:v>
                </c:pt>
                <c:pt idx="559">
                  <c:v>0.86146740004688438</c:v>
                </c:pt>
                <c:pt idx="560">
                  <c:v>0.86146740004688438</c:v>
                </c:pt>
                <c:pt idx="561">
                  <c:v>0.86146740004688438</c:v>
                </c:pt>
                <c:pt idx="562">
                  <c:v>0.86146740004688438</c:v>
                </c:pt>
                <c:pt idx="563">
                  <c:v>0.86146740004688438</c:v>
                </c:pt>
                <c:pt idx="564">
                  <c:v>0.86146740004688438</c:v>
                </c:pt>
                <c:pt idx="565">
                  <c:v>0.86146740004688438</c:v>
                </c:pt>
                <c:pt idx="566">
                  <c:v>0.86146740004688438</c:v>
                </c:pt>
                <c:pt idx="567">
                  <c:v>0.86146740004688438</c:v>
                </c:pt>
                <c:pt idx="568">
                  <c:v>0.86146740004688438</c:v>
                </c:pt>
                <c:pt idx="569">
                  <c:v>0.86146740004688438</c:v>
                </c:pt>
                <c:pt idx="570">
                  <c:v>0.86146740004688438</c:v>
                </c:pt>
                <c:pt idx="571">
                  <c:v>0.86146740004688438</c:v>
                </c:pt>
                <c:pt idx="572">
                  <c:v>0.86146740004688438</c:v>
                </c:pt>
                <c:pt idx="573">
                  <c:v>0.86146740004688438</c:v>
                </c:pt>
                <c:pt idx="574">
                  <c:v>0.86146740004688438</c:v>
                </c:pt>
                <c:pt idx="575">
                  <c:v>0.86146740004688438</c:v>
                </c:pt>
                <c:pt idx="576">
                  <c:v>0.86146740004688438</c:v>
                </c:pt>
                <c:pt idx="577">
                  <c:v>0.86146740004688438</c:v>
                </c:pt>
                <c:pt idx="578">
                  <c:v>0.86146740004688438</c:v>
                </c:pt>
                <c:pt idx="579">
                  <c:v>0.86146740004688438</c:v>
                </c:pt>
                <c:pt idx="580">
                  <c:v>0.86146740004688438</c:v>
                </c:pt>
                <c:pt idx="581">
                  <c:v>0.86146740004688438</c:v>
                </c:pt>
                <c:pt idx="582">
                  <c:v>0.86146740004688438</c:v>
                </c:pt>
                <c:pt idx="583">
                  <c:v>0.86146740004688438</c:v>
                </c:pt>
                <c:pt idx="584">
                  <c:v>0.86146740004688438</c:v>
                </c:pt>
                <c:pt idx="585">
                  <c:v>0.86146740004688438</c:v>
                </c:pt>
                <c:pt idx="586">
                  <c:v>0.86146740004688438</c:v>
                </c:pt>
                <c:pt idx="587">
                  <c:v>0.86146740004688438</c:v>
                </c:pt>
                <c:pt idx="588">
                  <c:v>0.86146740004688438</c:v>
                </c:pt>
                <c:pt idx="589">
                  <c:v>0.86146740004688438</c:v>
                </c:pt>
                <c:pt idx="590">
                  <c:v>0.86146740004688438</c:v>
                </c:pt>
                <c:pt idx="591">
                  <c:v>0.86146740004688438</c:v>
                </c:pt>
                <c:pt idx="592">
                  <c:v>0.86146740004688438</c:v>
                </c:pt>
                <c:pt idx="593">
                  <c:v>0.86146740004688438</c:v>
                </c:pt>
                <c:pt idx="594">
                  <c:v>0.86146740004688438</c:v>
                </c:pt>
                <c:pt idx="595">
                  <c:v>0.86146740004688438</c:v>
                </c:pt>
                <c:pt idx="596">
                  <c:v>0.86146740004688438</c:v>
                </c:pt>
                <c:pt idx="597">
                  <c:v>0.86146740004688438</c:v>
                </c:pt>
                <c:pt idx="598">
                  <c:v>0.86146740004688438</c:v>
                </c:pt>
                <c:pt idx="599">
                  <c:v>0.86146740004688438</c:v>
                </c:pt>
                <c:pt idx="600">
                  <c:v>0.86146740004688438</c:v>
                </c:pt>
                <c:pt idx="601">
                  <c:v>0.86146740004688438</c:v>
                </c:pt>
                <c:pt idx="602">
                  <c:v>0.86146740004688438</c:v>
                </c:pt>
                <c:pt idx="603">
                  <c:v>0.86146740004688438</c:v>
                </c:pt>
                <c:pt idx="604">
                  <c:v>0.86146740004688438</c:v>
                </c:pt>
                <c:pt idx="605">
                  <c:v>0.86146740004688438</c:v>
                </c:pt>
                <c:pt idx="606">
                  <c:v>0.86146740004688438</c:v>
                </c:pt>
                <c:pt idx="607">
                  <c:v>0.86146740004688438</c:v>
                </c:pt>
                <c:pt idx="608">
                  <c:v>0.86146740004688438</c:v>
                </c:pt>
                <c:pt idx="609">
                  <c:v>0.86146740004688438</c:v>
                </c:pt>
                <c:pt idx="610">
                  <c:v>0.86146740004688438</c:v>
                </c:pt>
                <c:pt idx="611">
                  <c:v>0.86146740004688438</c:v>
                </c:pt>
                <c:pt idx="612">
                  <c:v>0.86146740004688438</c:v>
                </c:pt>
                <c:pt idx="613">
                  <c:v>0.86146740004688438</c:v>
                </c:pt>
                <c:pt idx="614">
                  <c:v>0.86146740004688438</c:v>
                </c:pt>
                <c:pt idx="615">
                  <c:v>0.86146740004688438</c:v>
                </c:pt>
                <c:pt idx="616">
                  <c:v>0.86146740004688438</c:v>
                </c:pt>
                <c:pt idx="617">
                  <c:v>0.86146740004688438</c:v>
                </c:pt>
                <c:pt idx="618">
                  <c:v>0.86146740004688438</c:v>
                </c:pt>
                <c:pt idx="619">
                  <c:v>0.86146740004688438</c:v>
                </c:pt>
                <c:pt idx="620">
                  <c:v>0.86146740004688438</c:v>
                </c:pt>
                <c:pt idx="621">
                  <c:v>0.86146740004688438</c:v>
                </c:pt>
                <c:pt idx="622">
                  <c:v>0.86146740004688438</c:v>
                </c:pt>
                <c:pt idx="623">
                  <c:v>0.86146740004688438</c:v>
                </c:pt>
                <c:pt idx="624">
                  <c:v>0.86146740004688438</c:v>
                </c:pt>
                <c:pt idx="625">
                  <c:v>0.86146740004688438</c:v>
                </c:pt>
                <c:pt idx="626">
                  <c:v>0.86146740004688438</c:v>
                </c:pt>
                <c:pt idx="627">
                  <c:v>0.86146740004688438</c:v>
                </c:pt>
                <c:pt idx="628">
                  <c:v>0.86146740004688438</c:v>
                </c:pt>
                <c:pt idx="629">
                  <c:v>0.86146740004688438</c:v>
                </c:pt>
                <c:pt idx="630">
                  <c:v>0.86146740004688438</c:v>
                </c:pt>
                <c:pt idx="631">
                  <c:v>0.86146740004688438</c:v>
                </c:pt>
                <c:pt idx="632">
                  <c:v>0.86146740004688438</c:v>
                </c:pt>
                <c:pt idx="633">
                  <c:v>0.86146740004688438</c:v>
                </c:pt>
                <c:pt idx="634">
                  <c:v>0.86146740004688438</c:v>
                </c:pt>
                <c:pt idx="635">
                  <c:v>0.86146740004688438</c:v>
                </c:pt>
                <c:pt idx="636">
                  <c:v>0.86146740004688438</c:v>
                </c:pt>
                <c:pt idx="637">
                  <c:v>0.86146740004688438</c:v>
                </c:pt>
                <c:pt idx="638">
                  <c:v>0.86146740004688438</c:v>
                </c:pt>
                <c:pt idx="639">
                  <c:v>0.86146740004688438</c:v>
                </c:pt>
                <c:pt idx="640">
                  <c:v>0.86146740004688438</c:v>
                </c:pt>
                <c:pt idx="641">
                  <c:v>0.86146740004688438</c:v>
                </c:pt>
                <c:pt idx="642">
                  <c:v>0.86146740004688438</c:v>
                </c:pt>
                <c:pt idx="643">
                  <c:v>0.86146740004688438</c:v>
                </c:pt>
                <c:pt idx="644">
                  <c:v>0.86146740004688438</c:v>
                </c:pt>
                <c:pt idx="645">
                  <c:v>0.86146740004688438</c:v>
                </c:pt>
                <c:pt idx="646">
                  <c:v>0.86146740004688438</c:v>
                </c:pt>
                <c:pt idx="647">
                  <c:v>0.86146740004688438</c:v>
                </c:pt>
                <c:pt idx="648">
                  <c:v>0.86146740004688438</c:v>
                </c:pt>
                <c:pt idx="649">
                  <c:v>0.86146740004688438</c:v>
                </c:pt>
                <c:pt idx="650">
                  <c:v>0.86146740004688438</c:v>
                </c:pt>
                <c:pt idx="651">
                  <c:v>0.86146740004688438</c:v>
                </c:pt>
                <c:pt idx="652">
                  <c:v>0.86146740004688438</c:v>
                </c:pt>
                <c:pt idx="653">
                  <c:v>0.86146740004688438</c:v>
                </c:pt>
                <c:pt idx="654">
                  <c:v>0.86146740004688438</c:v>
                </c:pt>
                <c:pt idx="655">
                  <c:v>0.86146740004688438</c:v>
                </c:pt>
                <c:pt idx="656">
                  <c:v>0.86146740004688438</c:v>
                </c:pt>
                <c:pt idx="657">
                  <c:v>0.86146740004688438</c:v>
                </c:pt>
                <c:pt idx="658">
                  <c:v>0.86146740004688438</c:v>
                </c:pt>
                <c:pt idx="659">
                  <c:v>0.86146740004688438</c:v>
                </c:pt>
                <c:pt idx="660">
                  <c:v>0.86146740004688438</c:v>
                </c:pt>
                <c:pt idx="661">
                  <c:v>0.86146740004688438</c:v>
                </c:pt>
                <c:pt idx="662">
                  <c:v>0.86146740004688438</c:v>
                </c:pt>
                <c:pt idx="663">
                  <c:v>0.86146740004688438</c:v>
                </c:pt>
                <c:pt idx="664">
                  <c:v>0.86146740004688438</c:v>
                </c:pt>
                <c:pt idx="665">
                  <c:v>0.86146740004688438</c:v>
                </c:pt>
                <c:pt idx="666">
                  <c:v>0.86146740004688438</c:v>
                </c:pt>
                <c:pt idx="667">
                  <c:v>0.86146740004688438</c:v>
                </c:pt>
                <c:pt idx="668">
                  <c:v>0.86146740004688438</c:v>
                </c:pt>
                <c:pt idx="669">
                  <c:v>0.86146740004688438</c:v>
                </c:pt>
                <c:pt idx="670">
                  <c:v>0.86146740004688438</c:v>
                </c:pt>
                <c:pt idx="671">
                  <c:v>0.86146740004688438</c:v>
                </c:pt>
                <c:pt idx="672">
                  <c:v>0.86146740004688438</c:v>
                </c:pt>
                <c:pt idx="673">
                  <c:v>0.86146740004688438</c:v>
                </c:pt>
                <c:pt idx="674">
                  <c:v>0.86146740004688438</c:v>
                </c:pt>
                <c:pt idx="675">
                  <c:v>0.86146740004688438</c:v>
                </c:pt>
                <c:pt idx="676">
                  <c:v>0.86146740004688438</c:v>
                </c:pt>
                <c:pt idx="677">
                  <c:v>0.86146740004688438</c:v>
                </c:pt>
                <c:pt idx="678">
                  <c:v>0.86146740004688438</c:v>
                </c:pt>
                <c:pt idx="679">
                  <c:v>0.86146740004688438</c:v>
                </c:pt>
                <c:pt idx="680">
                  <c:v>0.86146740004688438</c:v>
                </c:pt>
                <c:pt idx="681">
                  <c:v>0.86146740004688438</c:v>
                </c:pt>
                <c:pt idx="682">
                  <c:v>0.86146740004688438</c:v>
                </c:pt>
                <c:pt idx="683">
                  <c:v>0.86146740004688438</c:v>
                </c:pt>
                <c:pt idx="684">
                  <c:v>0.86146740004688438</c:v>
                </c:pt>
                <c:pt idx="685">
                  <c:v>0.86146740004688438</c:v>
                </c:pt>
                <c:pt idx="686">
                  <c:v>0.86146740004688438</c:v>
                </c:pt>
                <c:pt idx="687">
                  <c:v>0.86146740004688438</c:v>
                </c:pt>
                <c:pt idx="688">
                  <c:v>0.86146740004688438</c:v>
                </c:pt>
                <c:pt idx="689">
                  <c:v>0.86146740004688438</c:v>
                </c:pt>
                <c:pt idx="690">
                  <c:v>0.86146740004688438</c:v>
                </c:pt>
                <c:pt idx="691">
                  <c:v>0.86146740004688438</c:v>
                </c:pt>
                <c:pt idx="692">
                  <c:v>0.86146740004688438</c:v>
                </c:pt>
                <c:pt idx="693">
                  <c:v>0.86146740004688438</c:v>
                </c:pt>
                <c:pt idx="694">
                  <c:v>0.86146740004688438</c:v>
                </c:pt>
                <c:pt idx="695">
                  <c:v>0.86146740004688438</c:v>
                </c:pt>
                <c:pt idx="696">
                  <c:v>0.86146740004688438</c:v>
                </c:pt>
                <c:pt idx="697">
                  <c:v>0.86146740004688438</c:v>
                </c:pt>
                <c:pt idx="698">
                  <c:v>0.86146740004688438</c:v>
                </c:pt>
                <c:pt idx="699">
                  <c:v>0.86146740004688438</c:v>
                </c:pt>
                <c:pt idx="700">
                  <c:v>0.86146740004688438</c:v>
                </c:pt>
                <c:pt idx="701">
                  <c:v>0.86146740004688438</c:v>
                </c:pt>
                <c:pt idx="702">
                  <c:v>0.86146740004688438</c:v>
                </c:pt>
                <c:pt idx="703">
                  <c:v>0.86146740004688438</c:v>
                </c:pt>
                <c:pt idx="704">
                  <c:v>0.86146740004688438</c:v>
                </c:pt>
                <c:pt idx="705">
                  <c:v>0.86146740004688438</c:v>
                </c:pt>
                <c:pt idx="706">
                  <c:v>0.86146740004688438</c:v>
                </c:pt>
                <c:pt idx="707">
                  <c:v>0.86146740004688438</c:v>
                </c:pt>
                <c:pt idx="708">
                  <c:v>0.86146740004688438</c:v>
                </c:pt>
                <c:pt idx="709">
                  <c:v>0.86146740004688438</c:v>
                </c:pt>
                <c:pt idx="710">
                  <c:v>0.86146740004688438</c:v>
                </c:pt>
                <c:pt idx="711">
                  <c:v>0.86146740004688438</c:v>
                </c:pt>
                <c:pt idx="712">
                  <c:v>0.86146740004688438</c:v>
                </c:pt>
                <c:pt idx="713">
                  <c:v>0.86146740004688438</c:v>
                </c:pt>
                <c:pt idx="714">
                  <c:v>0.86146740004688438</c:v>
                </c:pt>
                <c:pt idx="715">
                  <c:v>0.86146740004688438</c:v>
                </c:pt>
                <c:pt idx="716">
                  <c:v>0.86146740004688438</c:v>
                </c:pt>
                <c:pt idx="717">
                  <c:v>0.86146740004688438</c:v>
                </c:pt>
                <c:pt idx="718">
                  <c:v>0.86146740004688438</c:v>
                </c:pt>
                <c:pt idx="719">
                  <c:v>0.86146740004688438</c:v>
                </c:pt>
                <c:pt idx="720">
                  <c:v>0.86146740004688438</c:v>
                </c:pt>
                <c:pt idx="721">
                  <c:v>0.86146740004688438</c:v>
                </c:pt>
                <c:pt idx="722">
                  <c:v>0.86146740004688438</c:v>
                </c:pt>
                <c:pt idx="723">
                  <c:v>0.86146740004688438</c:v>
                </c:pt>
                <c:pt idx="724">
                  <c:v>0.86146740004688438</c:v>
                </c:pt>
                <c:pt idx="725">
                  <c:v>0.86146740004688438</c:v>
                </c:pt>
                <c:pt idx="726">
                  <c:v>0.86146740004688438</c:v>
                </c:pt>
                <c:pt idx="727">
                  <c:v>0.86146740004688438</c:v>
                </c:pt>
                <c:pt idx="728">
                  <c:v>0.86146740004688438</c:v>
                </c:pt>
                <c:pt idx="729">
                  <c:v>0.86146740004688438</c:v>
                </c:pt>
                <c:pt idx="730">
                  <c:v>0.86146740004688438</c:v>
                </c:pt>
                <c:pt idx="731">
                  <c:v>0.86146740004688438</c:v>
                </c:pt>
                <c:pt idx="732">
                  <c:v>0.86146740004688438</c:v>
                </c:pt>
                <c:pt idx="733">
                  <c:v>0.86146740004688438</c:v>
                </c:pt>
                <c:pt idx="734">
                  <c:v>0.86146740004688438</c:v>
                </c:pt>
                <c:pt idx="735">
                  <c:v>0.86146740004688438</c:v>
                </c:pt>
                <c:pt idx="736">
                  <c:v>0.86146740004688438</c:v>
                </c:pt>
                <c:pt idx="737">
                  <c:v>0.86146740004688438</c:v>
                </c:pt>
                <c:pt idx="738">
                  <c:v>0.86146740004688438</c:v>
                </c:pt>
                <c:pt idx="739">
                  <c:v>0.86146740004688438</c:v>
                </c:pt>
                <c:pt idx="740">
                  <c:v>0.86146740004688438</c:v>
                </c:pt>
                <c:pt idx="741">
                  <c:v>0.86146740004688438</c:v>
                </c:pt>
                <c:pt idx="742">
                  <c:v>0.86146740004688438</c:v>
                </c:pt>
                <c:pt idx="743">
                  <c:v>0.86146740004688438</c:v>
                </c:pt>
                <c:pt idx="744">
                  <c:v>0.86146740004688438</c:v>
                </c:pt>
                <c:pt idx="745">
                  <c:v>0.86146740004688438</c:v>
                </c:pt>
                <c:pt idx="746">
                  <c:v>0.86146740004688438</c:v>
                </c:pt>
                <c:pt idx="747">
                  <c:v>0.86146740004688438</c:v>
                </c:pt>
                <c:pt idx="748">
                  <c:v>0.86146740004688438</c:v>
                </c:pt>
                <c:pt idx="749">
                  <c:v>0.86146740004688438</c:v>
                </c:pt>
                <c:pt idx="750">
                  <c:v>0.86146740004688438</c:v>
                </c:pt>
                <c:pt idx="751">
                  <c:v>0.86146740004688438</c:v>
                </c:pt>
                <c:pt idx="752">
                  <c:v>0.86146740004688438</c:v>
                </c:pt>
                <c:pt idx="753">
                  <c:v>0.86146740004688438</c:v>
                </c:pt>
                <c:pt idx="754">
                  <c:v>0.86146740004688438</c:v>
                </c:pt>
                <c:pt idx="755">
                  <c:v>0.86146740004688438</c:v>
                </c:pt>
                <c:pt idx="756">
                  <c:v>0.86146740004688438</c:v>
                </c:pt>
                <c:pt idx="757">
                  <c:v>0.86146740004688438</c:v>
                </c:pt>
                <c:pt idx="758">
                  <c:v>0.86146740004688438</c:v>
                </c:pt>
                <c:pt idx="759">
                  <c:v>0.86146740004688438</c:v>
                </c:pt>
                <c:pt idx="760">
                  <c:v>0.86146740004688438</c:v>
                </c:pt>
                <c:pt idx="761">
                  <c:v>0.86146740004688438</c:v>
                </c:pt>
                <c:pt idx="762">
                  <c:v>0.86146740004688438</c:v>
                </c:pt>
                <c:pt idx="763">
                  <c:v>0.86146740004688438</c:v>
                </c:pt>
                <c:pt idx="764">
                  <c:v>0.86146740004688438</c:v>
                </c:pt>
                <c:pt idx="765">
                  <c:v>0.86146740004688438</c:v>
                </c:pt>
                <c:pt idx="766">
                  <c:v>0.86146740004688438</c:v>
                </c:pt>
                <c:pt idx="767">
                  <c:v>0.86146740004688438</c:v>
                </c:pt>
                <c:pt idx="768">
                  <c:v>0.86146740004688438</c:v>
                </c:pt>
                <c:pt idx="769">
                  <c:v>0.86146740004688438</c:v>
                </c:pt>
                <c:pt idx="770">
                  <c:v>0.86146740004688438</c:v>
                </c:pt>
                <c:pt idx="771">
                  <c:v>0.86146740004688438</c:v>
                </c:pt>
                <c:pt idx="772">
                  <c:v>0.86146740004688438</c:v>
                </c:pt>
                <c:pt idx="773">
                  <c:v>0.86146740004688438</c:v>
                </c:pt>
                <c:pt idx="774">
                  <c:v>0.86146740004688438</c:v>
                </c:pt>
                <c:pt idx="775">
                  <c:v>0.86146740004688438</c:v>
                </c:pt>
                <c:pt idx="776">
                  <c:v>0.86146740004688438</c:v>
                </c:pt>
                <c:pt idx="777">
                  <c:v>0.86146740004688438</c:v>
                </c:pt>
                <c:pt idx="778">
                  <c:v>0.86146740004688438</c:v>
                </c:pt>
                <c:pt idx="779">
                  <c:v>0.86146740004688438</c:v>
                </c:pt>
                <c:pt idx="780">
                  <c:v>0.86146740004688438</c:v>
                </c:pt>
                <c:pt idx="781">
                  <c:v>0.86146740004688438</c:v>
                </c:pt>
                <c:pt idx="782">
                  <c:v>0.86146740004688438</c:v>
                </c:pt>
                <c:pt idx="783">
                  <c:v>0.86146740004688438</c:v>
                </c:pt>
                <c:pt idx="784">
                  <c:v>0.86146740004688438</c:v>
                </c:pt>
                <c:pt idx="785">
                  <c:v>0.86146740004688438</c:v>
                </c:pt>
                <c:pt idx="786">
                  <c:v>0.86146740004688438</c:v>
                </c:pt>
                <c:pt idx="787">
                  <c:v>0.86146740004688438</c:v>
                </c:pt>
                <c:pt idx="788">
                  <c:v>0.86146740004688438</c:v>
                </c:pt>
                <c:pt idx="789">
                  <c:v>0.86146740004688438</c:v>
                </c:pt>
                <c:pt idx="790">
                  <c:v>0.86146740004688438</c:v>
                </c:pt>
                <c:pt idx="791">
                  <c:v>0.86146740004688438</c:v>
                </c:pt>
                <c:pt idx="792">
                  <c:v>0.86146740004688438</c:v>
                </c:pt>
                <c:pt idx="793">
                  <c:v>0.86146740004688438</c:v>
                </c:pt>
                <c:pt idx="794">
                  <c:v>0.86146740004688438</c:v>
                </c:pt>
                <c:pt idx="795">
                  <c:v>0.86146740004688438</c:v>
                </c:pt>
                <c:pt idx="796">
                  <c:v>0.86146740004688438</c:v>
                </c:pt>
                <c:pt idx="797">
                  <c:v>0.86146740004688438</c:v>
                </c:pt>
                <c:pt idx="798">
                  <c:v>0.86146740004688438</c:v>
                </c:pt>
                <c:pt idx="799">
                  <c:v>0.86146740004688438</c:v>
                </c:pt>
                <c:pt idx="800">
                  <c:v>0.86146740004688438</c:v>
                </c:pt>
                <c:pt idx="801">
                  <c:v>0.86146740004688438</c:v>
                </c:pt>
                <c:pt idx="802">
                  <c:v>0.86146740004688438</c:v>
                </c:pt>
                <c:pt idx="803">
                  <c:v>0.86146740004688438</c:v>
                </c:pt>
                <c:pt idx="804">
                  <c:v>0.86146740004688438</c:v>
                </c:pt>
                <c:pt idx="805">
                  <c:v>0.86146740004688438</c:v>
                </c:pt>
                <c:pt idx="806">
                  <c:v>0.86146740004688438</c:v>
                </c:pt>
                <c:pt idx="807">
                  <c:v>0.86146740004688438</c:v>
                </c:pt>
                <c:pt idx="808">
                  <c:v>0.86146740004688438</c:v>
                </c:pt>
                <c:pt idx="809">
                  <c:v>0.86146740004688438</c:v>
                </c:pt>
                <c:pt idx="810">
                  <c:v>0.86146740004688438</c:v>
                </c:pt>
                <c:pt idx="811">
                  <c:v>0.86146740004688438</c:v>
                </c:pt>
                <c:pt idx="812">
                  <c:v>0.86146740004688438</c:v>
                </c:pt>
                <c:pt idx="813">
                  <c:v>0.86146740004688438</c:v>
                </c:pt>
                <c:pt idx="814">
                  <c:v>0.86146740004688438</c:v>
                </c:pt>
                <c:pt idx="815">
                  <c:v>0.86146740004688438</c:v>
                </c:pt>
                <c:pt idx="816">
                  <c:v>0.86146740004688438</c:v>
                </c:pt>
                <c:pt idx="817">
                  <c:v>0.86146740004688438</c:v>
                </c:pt>
                <c:pt idx="818">
                  <c:v>0.86146740004688438</c:v>
                </c:pt>
                <c:pt idx="819">
                  <c:v>0.86146740004688438</c:v>
                </c:pt>
                <c:pt idx="820">
                  <c:v>0.86146740004688438</c:v>
                </c:pt>
                <c:pt idx="821">
                  <c:v>0.86146740004688438</c:v>
                </c:pt>
                <c:pt idx="822">
                  <c:v>0.86146740004688438</c:v>
                </c:pt>
                <c:pt idx="823">
                  <c:v>0.86146740004688438</c:v>
                </c:pt>
                <c:pt idx="824">
                  <c:v>0.86146740004688438</c:v>
                </c:pt>
                <c:pt idx="825">
                  <c:v>0.86146740004688438</c:v>
                </c:pt>
                <c:pt idx="826">
                  <c:v>0.86146740004688438</c:v>
                </c:pt>
                <c:pt idx="827">
                  <c:v>0.86146740004688438</c:v>
                </c:pt>
                <c:pt idx="828">
                  <c:v>0.86146740004688438</c:v>
                </c:pt>
                <c:pt idx="829">
                  <c:v>0.86146740004688438</c:v>
                </c:pt>
                <c:pt idx="830">
                  <c:v>0.86146740004688438</c:v>
                </c:pt>
                <c:pt idx="831">
                  <c:v>0.86146740004688438</c:v>
                </c:pt>
                <c:pt idx="832">
                  <c:v>0.86146740004688438</c:v>
                </c:pt>
                <c:pt idx="833">
                  <c:v>0.86146740004688438</c:v>
                </c:pt>
                <c:pt idx="834">
                  <c:v>0.86146740004688438</c:v>
                </c:pt>
                <c:pt idx="835">
                  <c:v>0.86146740004688438</c:v>
                </c:pt>
                <c:pt idx="836">
                  <c:v>0.86146740004688438</c:v>
                </c:pt>
                <c:pt idx="837">
                  <c:v>0.86146740004688438</c:v>
                </c:pt>
                <c:pt idx="838">
                  <c:v>0.86146740004688438</c:v>
                </c:pt>
                <c:pt idx="839">
                  <c:v>0.86146740004688438</c:v>
                </c:pt>
                <c:pt idx="840">
                  <c:v>0.86146740004688438</c:v>
                </c:pt>
                <c:pt idx="841">
                  <c:v>0.86146740004688438</c:v>
                </c:pt>
                <c:pt idx="842">
                  <c:v>0.86146740004688438</c:v>
                </c:pt>
                <c:pt idx="843">
                  <c:v>0.86146740004688438</c:v>
                </c:pt>
                <c:pt idx="844">
                  <c:v>0.86146740004688438</c:v>
                </c:pt>
                <c:pt idx="845">
                  <c:v>0.86146740004688438</c:v>
                </c:pt>
                <c:pt idx="846">
                  <c:v>0.86146740004688438</c:v>
                </c:pt>
                <c:pt idx="847">
                  <c:v>0.86146740004688438</c:v>
                </c:pt>
                <c:pt idx="848">
                  <c:v>0.86146740004688438</c:v>
                </c:pt>
                <c:pt idx="849">
                  <c:v>0.86146740004688438</c:v>
                </c:pt>
                <c:pt idx="850">
                  <c:v>0.86146740004688438</c:v>
                </c:pt>
                <c:pt idx="851">
                  <c:v>0.86146740004688438</c:v>
                </c:pt>
                <c:pt idx="852">
                  <c:v>0.86146740004688438</c:v>
                </c:pt>
                <c:pt idx="853">
                  <c:v>0.86146740004688438</c:v>
                </c:pt>
                <c:pt idx="854">
                  <c:v>0.86146740004688438</c:v>
                </c:pt>
                <c:pt idx="855">
                  <c:v>0.86146740004688438</c:v>
                </c:pt>
                <c:pt idx="856">
                  <c:v>0.86146740004688438</c:v>
                </c:pt>
                <c:pt idx="857">
                  <c:v>0.86146740004688438</c:v>
                </c:pt>
                <c:pt idx="858">
                  <c:v>0.86146740004688438</c:v>
                </c:pt>
                <c:pt idx="859">
                  <c:v>0.86146740004688438</c:v>
                </c:pt>
                <c:pt idx="860">
                  <c:v>0.86146740004688438</c:v>
                </c:pt>
                <c:pt idx="861">
                  <c:v>0.86146740004688438</c:v>
                </c:pt>
                <c:pt idx="862">
                  <c:v>0.86146740004688438</c:v>
                </c:pt>
                <c:pt idx="863">
                  <c:v>0.86146740004688438</c:v>
                </c:pt>
                <c:pt idx="864">
                  <c:v>0.86146740004688438</c:v>
                </c:pt>
                <c:pt idx="865">
                  <c:v>0.86146740004688438</c:v>
                </c:pt>
                <c:pt idx="866">
                  <c:v>0.86146740004688438</c:v>
                </c:pt>
                <c:pt idx="867">
                  <c:v>0.86146740004688438</c:v>
                </c:pt>
                <c:pt idx="868">
                  <c:v>0.86146740004688438</c:v>
                </c:pt>
                <c:pt idx="869">
                  <c:v>0.86146740004688438</c:v>
                </c:pt>
                <c:pt idx="870">
                  <c:v>0.86146740004688438</c:v>
                </c:pt>
                <c:pt idx="871">
                  <c:v>0.86146740004688438</c:v>
                </c:pt>
                <c:pt idx="872">
                  <c:v>0.86146740004688438</c:v>
                </c:pt>
                <c:pt idx="873">
                  <c:v>0.86146740004688438</c:v>
                </c:pt>
                <c:pt idx="874">
                  <c:v>0.86146740004688438</c:v>
                </c:pt>
                <c:pt idx="875">
                  <c:v>0.86146740004688438</c:v>
                </c:pt>
                <c:pt idx="876">
                  <c:v>0.86146740004688438</c:v>
                </c:pt>
                <c:pt idx="877">
                  <c:v>0.86146740004688438</c:v>
                </c:pt>
                <c:pt idx="878">
                  <c:v>0.86146740004688438</c:v>
                </c:pt>
                <c:pt idx="879">
                  <c:v>0.86146740004688438</c:v>
                </c:pt>
                <c:pt idx="880">
                  <c:v>0.86146740004688438</c:v>
                </c:pt>
                <c:pt idx="881">
                  <c:v>0.86146740004688438</c:v>
                </c:pt>
                <c:pt idx="882">
                  <c:v>0.86146740004688438</c:v>
                </c:pt>
                <c:pt idx="883">
                  <c:v>0.86146740004688438</c:v>
                </c:pt>
                <c:pt idx="884">
                  <c:v>0.86146740004688438</c:v>
                </c:pt>
                <c:pt idx="885">
                  <c:v>0.86146740004688438</c:v>
                </c:pt>
                <c:pt idx="886">
                  <c:v>0.86146740004688438</c:v>
                </c:pt>
                <c:pt idx="887">
                  <c:v>0.86146740004688438</c:v>
                </c:pt>
                <c:pt idx="888">
                  <c:v>0.86146740004688438</c:v>
                </c:pt>
                <c:pt idx="889">
                  <c:v>0.86146740004688438</c:v>
                </c:pt>
                <c:pt idx="890">
                  <c:v>0.86146740004688438</c:v>
                </c:pt>
                <c:pt idx="891">
                  <c:v>0.86146740004688438</c:v>
                </c:pt>
                <c:pt idx="892">
                  <c:v>0.86146740004688438</c:v>
                </c:pt>
                <c:pt idx="893">
                  <c:v>0.86146740004688438</c:v>
                </c:pt>
                <c:pt idx="894">
                  <c:v>0.86146740004688438</c:v>
                </c:pt>
                <c:pt idx="895">
                  <c:v>0.86146740004688438</c:v>
                </c:pt>
                <c:pt idx="896">
                  <c:v>0.86146740004688438</c:v>
                </c:pt>
                <c:pt idx="897">
                  <c:v>0.86146740004688438</c:v>
                </c:pt>
                <c:pt idx="898">
                  <c:v>0.86146740004688438</c:v>
                </c:pt>
                <c:pt idx="899">
                  <c:v>0.86146740004688438</c:v>
                </c:pt>
                <c:pt idx="900">
                  <c:v>0.86146740004688438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36-4F9A-9C69-E6016AB5EF5D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Analysis!$L$2:$L$903</c:f>
              <c:numCache>
                <c:formatCode>0</c:formatCode>
                <c:ptCount val="902"/>
                <c:pt idx="0">
                  <c:v>24214</c:v>
                </c:pt>
                <c:pt idx="1">
                  <c:v>24606</c:v>
                </c:pt>
                <c:pt idx="2">
                  <c:v>24848</c:v>
                </c:pt>
                <c:pt idx="3">
                  <c:v>24996</c:v>
                </c:pt>
                <c:pt idx="4">
                  <c:v>25392</c:v>
                </c:pt>
                <c:pt idx="5">
                  <c:v>25731</c:v>
                </c:pt>
                <c:pt idx="6">
                  <c:v>25758</c:v>
                </c:pt>
                <c:pt idx="7">
                  <c:v>26942</c:v>
                </c:pt>
                <c:pt idx="8">
                  <c:v>27332</c:v>
                </c:pt>
                <c:pt idx="9">
                  <c:v>27725</c:v>
                </c:pt>
                <c:pt idx="10">
                  <c:v>27924</c:v>
                </c:pt>
                <c:pt idx="11">
                  <c:v>32055</c:v>
                </c:pt>
                <c:pt idx="12">
                  <c:v>28504</c:v>
                </c:pt>
                <c:pt idx="13">
                  <c:v>32218</c:v>
                </c:pt>
                <c:pt idx="14">
                  <c:v>32631</c:v>
                </c:pt>
                <c:pt idx="15">
                  <c:v>33015</c:v>
                </c:pt>
                <c:pt idx="16">
                  <c:v>28639</c:v>
                </c:pt>
                <c:pt idx="17">
                  <c:v>28735</c:v>
                </c:pt>
                <c:pt idx="18">
                  <c:v>34564</c:v>
                </c:pt>
                <c:pt idx="19">
                  <c:v>35310</c:v>
                </c:pt>
                <c:pt idx="20">
                  <c:v>29691</c:v>
                </c:pt>
                <c:pt idx="21">
                  <c:v>35725</c:v>
                </c:pt>
                <c:pt idx="22">
                  <c:v>36516</c:v>
                </c:pt>
                <c:pt idx="23">
                  <c:v>30065</c:v>
                </c:pt>
                <c:pt idx="24">
                  <c:v>31227</c:v>
                </c:pt>
                <c:pt idx="25">
                  <c:v>31824</c:v>
                </c:pt>
                <c:pt idx="26">
                  <c:v>37315</c:v>
                </c:pt>
                <c:pt idx="27">
                  <c:v>39624</c:v>
                </c:pt>
                <c:pt idx="28">
                  <c:v>44024</c:v>
                </c:pt>
                <c:pt idx="29">
                  <c:v>47424</c:v>
                </c:pt>
                <c:pt idx="30">
                  <c:v>39854</c:v>
                </c:pt>
                <c:pt idx="31">
                  <c:v>44544</c:v>
                </c:pt>
                <c:pt idx="32">
                  <c:v>37701</c:v>
                </c:pt>
                <c:pt idx="33">
                  <c:v>38206</c:v>
                </c:pt>
                <c:pt idx="34">
                  <c:v>41036</c:v>
                </c:pt>
                <c:pt idx="35">
                  <c:v>47667</c:v>
                </c:pt>
                <c:pt idx="36">
                  <c:v>47973</c:v>
                </c:pt>
                <c:pt idx="37">
                  <c:v>38333</c:v>
                </c:pt>
                <c:pt idx="38">
                  <c:v>38674</c:v>
                </c:pt>
                <c:pt idx="39">
                  <c:v>44948</c:v>
                </c:pt>
                <c:pt idx="40">
                  <c:v>48243</c:v>
                </c:pt>
                <c:pt idx="41">
                  <c:v>45534</c:v>
                </c:pt>
                <c:pt idx="42">
                  <c:v>41209</c:v>
                </c:pt>
                <c:pt idx="43">
                  <c:v>45725</c:v>
                </c:pt>
                <c:pt idx="44">
                  <c:v>41414</c:v>
                </c:pt>
                <c:pt idx="45">
                  <c:v>41825</c:v>
                </c:pt>
                <c:pt idx="46">
                  <c:v>48835</c:v>
                </c:pt>
                <c:pt idx="47">
                  <c:v>45815</c:v>
                </c:pt>
                <c:pt idx="48">
                  <c:v>49254</c:v>
                </c:pt>
                <c:pt idx="49">
                  <c:v>46118</c:v>
                </c:pt>
                <c:pt idx="50">
                  <c:v>49618</c:v>
                </c:pt>
                <c:pt idx="51">
                  <c:v>39068</c:v>
                </c:pt>
                <c:pt idx="52">
                  <c:v>42181</c:v>
                </c:pt>
                <c:pt idx="53">
                  <c:v>50031</c:v>
                </c:pt>
                <c:pt idx="54">
                  <c:v>47299</c:v>
                </c:pt>
                <c:pt idx="55">
                  <c:v>50395</c:v>
                </c:pt>
                <c:pt idx="56">
                  <c:v>43338</c:v>
                </c:pt>
                <c:pt idx="57">
                  <c:v>50810</c:v>
                </c:pt>
                <c:pt idx="58">
                  <c:v>39472</c:v>
                </c:pt>
                <c:pt idx="59">
                  <c:v>43524</c:v>
                </c:pt>
                <c:pt idx="60">
                  <c:v>51195</c:v>
                </c:pt>
                <c:pt idx="61">
                  <c:v>51324</c:v>
                </c:pt>
                <c:pt idx="62">
                  <c:v>56647</c:v>
                </c:pt>
                <c:pt idx="63">
                  <c:v>61358</c:v>
                </c:pt>
                <c:pt idx="64">
                  <c:v>57049</c:v>
                </c:pt>
                <c:pt idx="65">
                  <c:v>51579</c:v>
                </c:pt>
                <c:pt idx="66">
                  <c:v>61737</c:v>
                </c:pt>
                <c:pt idx="67">
                  <c:v>52356</c:v>
                </c:pt>
                <c:pt idx="68">
                  <c:v>57831</c:v>
                </c:pt>
                <c:pt idx="69">
                  <c:v>58222</c:v>
                </c:pt>
                <c:pt idx="70">
                  <c:v>58490</c:v>
                </c:pt>
                <c:pt idx="71">
                  <c:v>62130</c:v>
                </c:pt>
                <c:pt idx="72">
                  <c:v>53145</c:v>
                </c:pt>
                <c:pt idx="73">
                  <c:v>53383</c:v>
                </c:pt>
                <c:pt idx="74">
                  <c:v>62597</c:v>
                </c:pt>
                <c:pt idx="75">
                  <c:v>58607</c:v>
                </c:pt>
                <c:pt idx="76">
                  <c:v>53535</c:v>
                </c:pt>
                <c:pt idx="77">
                  <c:v>59003</c:v>
                </c:pt>
                <c:pt idx="78">
                  <c:v>53791</c:v>
                </c:pt>
                <c:pt idx="79">
                  <c:v>62907</c:v>
                </c:pt>
                <c:pt idx="80">
                  <c:v>63024</c:v>
                </c:pt>
                <c:pt idx="81">
                  <c:v>59124</c:v>
                </c:pt>
                <c:pt idx="82">
                  <c:v>53929</c:v>
                </c:pt>
                <c:pt idx="83">
                  <c:v>63477</c:v>
                </c:pt>
                <c:pt idx="84">
                  <c:v>54324</c:v>
                </c:pt>
                <c:pt idx="85">
                  <c:v>55224</c:v>
                </c:pt>
                <c:pt idx="86">
                  <c:v>64258</c:v>
                </c:pt>
                <c:pt idx="87">
                  <c:v>60167</c:v>
                </c:pt>
                <c:pt idx="88">
                  <c:v>60519</c:v>
                </c:pt>
                <c:pt idx="89">
                  <c:v>55503</c:v>
                </c:pt>
                <c:pt idx="90">
                  <c:v>60566</c:v>
                </c:pt>
                <c:pt idx="91">
                  <c:v>65251</c:v>
                </c:pt>
                <c:pt idx="92">
                  <c:v>65806</c:v>
                </c:pt>
                <c:pt idx="93">
                  <c:v>71516</c:v>
                </c:pt>
                <c:pt idx="94">
                  <c:v>66028</c:v>
                </c:pt>
                <c:pt idx="95">
                  <c:v>71897</c:v>
                </c:pt>
                <c:pt idx="96">
                  <c:v>67621</c:v>
                </c:pt>
                <c:pt idx="97">
                  <c:v>68021</c:v>
                </c:pt>
                <c:pt idx="98">
                  <c:v>68392</c:v>
                </c:pt>
                <c:pt idx="99">
                  <c:v>72060</c:v>
                </c:pt>
                <c:pt idx="100">
                  <c:v>69319</c:v>
                </c:pt>
                <c:pt idx="101">
                  <c:v>72578</c:v>
                </c:pt>
                <c:pt idx="102">
                  <c:v>69400</c:v>
                </c:pt>
                <c:pt idx="103">
                  <c:v>73088</c:v>
                </c:pt>
                <c:pt idx="104">
                  <c:v>74724</c:v>
                </c:pt>
                <c:pt idx="105">
                  <c:v>69518</c:v>
                </c:pt>
                <c:pt idx="106">
                  <c:v>75628</c:v>
                </c:pt>
                <c:pt idx="107">
                  <c:v>70735</c:v>
                </c:pt>
                <c:pt idx="108">
                  <c:v>75823</c:v>
                </c:pt>
                <c:pt idx="109">
                  <c:v>70824</c:v>
                </c:pt>
                <c:pt idx="110">
                  <c:v>77763</c:v>
                </c:pt>
                <c:pt idx="111">
                  <c:v>71121</c:v>
                </c:pt>
                <c:pt idx="112">
                  <c:v>0</c:v>
                </c:pt>
                <c:pt idx="113">
                  <c:v>78927</c:v>
                </c:pt>
                <c:pt idx="114">
                  <c:v>85194</c:v>
                </c:pt>
                <c:pt idx="115">
                  <c:v>89896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85896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90290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80113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81280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86348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81433</c:v>
                </c:pt>
                <c:pt idx="197">
                  <c:v>86424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86751</c:v>
                </c:pt>
                <c:pt idx="205">
                  <c:v>0</c:v>
                </c:pt>
                <c:pt idx="206">
                  <c:v>87177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82524</c:v>
                </c:pt>
                <c:pt idx="211">
                  <c:v>0</c:v>
                </c:pt>
                <c:pt idx="212">
                  <c:v>82792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87550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82839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83142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87887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83676</c:v>
                </c:pt>
                <c:pt idx="267">
                  <c:v>88316</c:v>
                </c:pt>
                <c:pt idx="268">
                  <c:v>0</c:v>
                </c:pt>
                <c:pt idx="269">
                  <c:v>0</c:v>
                </c:pt>
                <c:pt idx="270">
                  <c:v>88707</c:v>
                </c:pt>
                <c:pt idx="271">
                  <c:v>0</c:v>
                </c:pt>
                <c:pt idx="272">
                  <c:v>84022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84229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84788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89488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numCache>
            </c:num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1.7487745017332121E-2</c:v>
                </c:pt>
                <c:pt idx="1">
                  <c:v>5.4487571726860792E-2</c:v>
                </c:pt>
                <c:pt idx="2">
                  <c:v>5.2051585885245236E-2</c:v>
                </c:pt>
                <c:pt idx="3">
                  <c:v>8.322507052707015E-2</c:v>
                </c:pt>
                <c:pt idx="4">
                  <c:v>0.10736637927616889</c:v>
                </c:pt>
                <c:pt idx="5">
                  <c:v>8.4976253559944398E-2</c:v>
                </c:pt>
                <c:pt idx="6">
                  <c:v>8.9120911782000684E-2</c:v>
                </c:pt>
                <c:pt idx="7">
                  <c:v>0.1127679562258041</c:v>
                </c:pt>
                <c:pt idx="8">
                  <c:v>0.13010976142663072</c:v>
                </c:pt>
                <c:pt idx="9">
                  <c:v>0.12387088409898241</c:v>
                </c:pt>
                <c:pt idx="10">
                  <c:v>0.12745379561951795</c:v>
                </c:pt>
                <c:pt idx="11">
                  <c:v>4.4694693972570559E-2</c:v>
                </c:pt>
                <c:pt idx="12">
                  <c:v>7.4522020156849778E-2</c:v>
                </c:pt>
                <c:pt idx="13">
                  <c:v>8.9720965193187049E-2</c:v>
                </c:pt>
                <c:pt idx="14">
                  <c:v>9.3898307922170424E-2</c:v>
                </c:pt>
                <c:pt idx="15">
                  <c:v>8.9219527975321747E-2</c:v>
                </c:pt>
                <c:pt idx="16">
                  <c:v>0.11512301899516948</c:v>
                </c:pt>
                <c:pt idx="17">
                  <c:v>0.1046544469788519</c:v>
                </c:pt>
                <c:pt idx="18">
                  <c:v>0.12969643906073644</c:v>
                </c:pt>
                <c:pt idx="19">
                  <c:v>0.18326402220580618</c:v>
                </c:pt>
                <c:pt idx="20">
                  <c:v>0.15068278292319512</c:v>
                </c:pt>
                <c:pt idx="21">
                  <c:v>0.11644791902979197</c:v>
                </c:pt>
                <c:pt idx="22">
                  <c:v>0.18522518951017763</c:v>
                </c:pt>
                <c:pt idx="23">
                  <c:v>0.21077312112849747</c:v>
                </c:pt>
                <c:pt idx="24">
                  <c:v>0.22581371321974805</c:v>
                </c:pt>
                <c:pt idx="25">
                  <c:v>0.21585195085618566</c:v>
                </c:pt>
                <c:pt idx="26">
                  <c:v>0.25847281934206578</c:v>
                </c:pt>
                <c:pt idx="27">
                  <c:v>0.25229667553468216</c:v>
                </c:pt>
                <c:pt idx="28">
                  <c:v>0.22708742681007715</c:v>
                </c:pt>
                <c:pt idx="29">
                  <c:v>0.22363643891363066</c:v>
                </c:pt>
                <c:pt idx="30">
                  <c:v>0.23341859916358354</c:v>
                </c:pt>
                <c:pt idx="31">
                  <c:v>0.26498727752373535</c:v>
                </c:pt>
                <c:pt idx="32">
                  <c:v>0.25291621343862614</c:v>
                </c:pt>
                <c:pt idx="33">
                  <c:v>0.24570260221907758</c:v>
                </c:pt>
                <c:pt idx="34">
                  <c:v>0.16904453518806517</c:v>
                </c:pt>
                <c:pt idx="35">
                  <c:v>0.14477603105577858</c:v>
                </c:pt>
                <c:pt idx="36">
                  <c:v>0.163453094149099</c:v>
                </c:pt>
                <c:pt idx="37">
                  <c:v>0.15444193405741874</c:v>
                </c:pt>
                <c:pt idx="38">
                  <c:v>0.15612488541760278</c:v>
                </c:pt>
                <c:pt idx="39">
                  <c:v>0.17162610835968264</c:v>
                </c:pt>
                <c:pt idx="40">
                  <c:v>0.16971759726180033</c:v>
                </c:pt>
                <c:pt idx="41">
                  <c:v>0.1682826655109978</c:v>
                </c:pt>
                <c:pt idx="42">
                  <c:v>0.17753381061076384</c:v>
                </c:pt>
                <c:pt idx="43">
                  <c:v>0.20595207691732245</c:v>
                </c:pt>
                <c:pt idx="44">
                  <c:v>0.24386116307639355</c:v>
                </c:pt>
                <c:pt idx="45">
                  <c:v>0.21477142189851683</c:v>
                </c:pt>
                <c:pt idx="46">
                  <c:v>0.24935262685635154</c:v>
                </c:pt>
                <c:pt idx="47">
                  <c:v>0.25470807988782146</c:v>
                </c:pt>
                <c:pt idx="48">
                  <c:v>0.19007797066172799</c:v>
                </c:pt>
                <c:pt idx="49">
                  <c:v>0.16476354978210481</c:v>
                </c:pt>
                <c:pt idx="50">
                  <c:v>0.19557790796522431</c:v>
                </c:pt>
                <c:pt idx="51">
                  <c:v>0.20482924926343782</c:v>
                </c:pt>
                <c:pt idx="52">
                  <c:v>0.23101320635769021</c:v>
                </c:pt>
                <c:pt idx="53">
                  <c:v>0.13572331543259256</c:v>
                </c:pt>
                <c:pt idx="54">
                  <c:v>0.11382472412760244</c:v>
                </c:pt>
                <c:pt idx="55">
                  <c:v>0.14197105925327563</c:v>
                </c:pt>
                <c:pt idx="56">
                  <c:v>0.14670465364675986</c:v>
                </c:pt>
                <c:pt idx="57">
                  <c:v>0.1218299326145434</c:v>
                </c:pt>
                <c:pt idx="58">
                  <c:v>0.11402552570960547</c:v>
                </c:pt>
                <c:pt idx="59">
                  <c:v>0.12157549748346286</c:v>
                </c:pt>
                <c:pt idx="60">
                  <c:v>7.6763335504938607E-2</c:v>
                </c:pt>
                <c:pt idx="61">
                  <c:v>7.7650810092329992E-2</c:v>
                </c:pt>
                <c:pt idx="62">
                  <c:v>9.6706645323345025E-2</c:v>
                </c:pt>
                <c:pt idx="63">
                  <c:v>0.10060936235661251</c:v>
                </c:pt>
                <c:pt idx="64">
                  <c:v>9.6047948284936249E-2</c:v>
                </c:pt>
                <c:pt idx="65">
                  <c:v>0.10559100303600219</c:v>
                </c:pt>
                <c:pt idx="66">
                  <c:v>0.13914625259552083</c:v>
                </c:pt>
                <c:pt idx="67">
                  <c:v>0.19061217912679657</c:v>
                </c:pt>
                <c:pt idx="68">
                  <c:v>0.21406129475791683</c:v>
                </c:pt>
                <c:pt idx="69">
                  <c:v>0.23666788069768435</c:v>
                </c:pt>
                <c:pt idx="70">
                  <c:v>0.24949917399240484</c:v>
                </c:pt>
                <c:pt idx="71">
                  <c:v>0.2526316220506597</c:v>
                </c:pt>
                <c:pt idx="72">
                  <c:v>0.27968718187333408</c:v>
                </c:pt>
                <c:pt idx="73">
                  <c:v>0.28465389776763395</c:v>
                </c:pt>
                <c:pt idx="74">
                  <c:v>0.28954311197254035</c:v>
                </c:pt>
                <c:pt idx="75">
                  <c:v>0.31886740259629937</c:v>
                </c:pt>
                <c:pt idx="76">
                  <c:v>0.29448002327943451</c:v>
                </c:pt>
                <c:pt idx="77">
                  <c:v>0.30360643199476811</c:v>
                </c:pt>
                <c:pt idx="78">
                  <c:v>0.33323342079006529</c:v>
                </c:pt>
                <c:pt idx="79">
                  <c:v>0.35261439669770606</c:v>
                </c:pt>
                <c:pt idx="80">
                  <c:v>0.32154616998763419</c:v>
                </c:pt>
                <c:pt idx="81">
                  <c:v>0.30104694232143875</c:v>
                </c:pt>
                <c:pt idx="82">
                  <c:v>0.27261179458518753</c:v>
                </c:pt>
                <c:pt idx="83">
                  <c:v>0.28334534560778973</c:v>
                </c:pt>
                <c:pt idx="84">
                  <c:v>0.21289264783344095</c:v>
                </c:pt>
                <c:pt idx="85">
                  <c:v>0.20224636785909361</c:v>
                </c:pt>
                <c:pt idx="86">
                  <c:v>0.22454904146846247</c:v>
                </c:pt>
                <c:pt idx="87">
                  <c:v>0.23304646416104075</c:v>
                </c:pt>
                <c:pt idx="88">
                  <c:v>0.23384428713800312</c:v>
                </c:pt>
                <c:pt idx="89">
                  <c:v>0.18963661958078459</c:v>
                </c:pt>
                <c:pt idx="90">
                  <c:v>0.20903936551228028</c:v>
                </c:pt>
                <c:pt idx="91">
                  <c:v>0.23735912580313032</c:v>
                </c:pt>
                <c:pt idx="92">
                  <c:v>0.23196761632159918</c:v>
                </c:pt>
                <c:pt idx="93">
                  <c:v>0.23221741327164885</c:v>
                </c:pt>
                <c:pt idx="94">
                  <c:v>0.19626401229941304</c:v>
                </c:pt>
                <c:pt idx="95">
                  <c:v>0.23120334028549128</c:v>
                </c:pt>
                <c:pt idx="96">
                  <c:v>0.18415313645835041</c:v>
                </c:pt>
                <c:pt idx="97">
                  <c:v>0.27202287859486524</c:v>
                </c:pt>
                <c:pt idx="98">
                  <c:v>0.34680902070772501</c:v>
                </c:pt>
                <c:pt idx="99">
                  <c:v>0.36346667649009684</c:v>
                </c:pt>
                <c:pt idx="100">
                  <c:v>0.37256551238219715</c:v>
                </c:pt>
                <c:pt idx="101">
                  <c:v>0.36766295117443792</c:v>
                </c:pt>
                <c:pt idx="102">
                  <c:v>0.37642970962657835</c:v>
                </c:pt>
                <c:pt idx="103">
                  <c:v>0.37742349156341898</c:v>
                </c:pt>
                <c:pt idx="104">
                  <c:v>0.37377147442602432</c:v>
                </c:pt>
                <c:pt idx="105">
                  <c:v>0.37192372521502903</c:v>
                </c:pt>
                <c:pt idx="106">
                  <c:v>0.36407231596437495</c:v>
                </c:pt>
                <c:pt idx="107">
                  <c:v>0.39510107801491112</c:v>
                </c:pt>
                <c:pt idx="108">
                  <c:v>0.3845714049751785</c:v>
                </c:pt>
                <c:pt idx="109">
                  <c:v>0.36842446339412566</c:v>
                </c:pt>
                <c:pt idx="110">
                  <c:v>0.38617907582541638</c:v>
                </c:pt>
                <c:pt idx="111">
                  <c:v>0.41884796042717659</c:v>
                </c:pt>
                <c:pt idx="112">
                  <c:v>0.41884796042717659</c:v>
                </c:pt>
                <c:pt idx="113">
                  <c:v>0.49210350863362373</c:v>
                </c:pt>
                <c:pt idx="114">
                  <c:v>0.47705225087606584</c:v>
                </c:pt>
                <c:pt idx="115">
                  <c:v>0.45552018016014967</c:v>
                </c:pt>
                <c:pt idx="116">
                  <c:v>0.45552018016014967</c:v>
                </c:pt>
                <c:pt idx="117">
                  <c:v>0.45552018016014967</c:v>
                </c:pt>
                <c:pt idx="118">
                  <c:v>0.45552018016014967</c:v>
                </c:pt>
                <c:pt idx="119">
                  <c:v>0.45552018016014967</c:v>
                </c:pt>
                <c:pt idx="120">
                  <c:v>0.45552018016014967</c:v>
                </c:pt>
                <c:pt idx="121">
                  <c:v>0.45552018016014967</c:v>
                </c:pt>
                <c:pt idx="122">
                  <c:v>0.45552018016014967</c:v>
                </c:pt>
                <c:pt idx="123">
                  <c:v>0.45552018016014967</c:v>
                </c:pt>
                <c:pt idx="124">
                  <c:v>0.45552018016014967</c:v>
                </c:pt>
                <c:pt idx="125">
                  <c:v>0.45552018016014967</c:v>
                </c:pt>
                <c:pt idx="126">
                  <c:v>0.45552018016014967</c:v>
                </c:pt>
                <c:pt idx="127">
                  <c:v>0.45552018016014967</c:v>
                </c:pt>
                <c:pt idx="128">
                  <c:v>0.45552018016014967</c:v>
                </c:pt>
                <c:pt idx="129">
                  <c:v>0.45552018016014967</c:v>
                </c:pt>
                <c:pt idx="130">
                  <c:v>0.45552018016014967</c:v>
                </c:pt>
                <c:pt idx="131">
                  <c:v>0.45552018016014967</c:v>
                </c:pt>
                <c:pt idx="132">
                  <c:v>0.45552018016014967</c:v>
                </c:pt>
                <c:pt idx="133">
                  <c:v>0.45552018016014967</c:v>
                </c:pt>
                <c:pt idx="134">
                  <c:v>0.45552018016014967</c:v>
                </c:pt>
                <c:pt idx="135">
                  <c:v>0.45552018016014967</c:v>
                </c:pt>
                <c:pt idx="136">
                  <c:v>0.45552018016014967</c:v>
                </c:pt>
                <c:pt idx="137">
                  <c:v>0.45552018016014967</c:v>
                </c:pt>
                <c:pt idx="138">
                  <c:v>0.43557409022560889</c:v>
                </c:pt>
                <c:pt idx="139">
                  <c:v>0.43557409022560889</c:v>
                </c:pt>
                <c:pt idx="140">
                  <c:v>0.43557409022560889</c:v>
                </c:pt>
                <c:pt idx="141">
                  <c:v>0.43557409022560889</c:v>
                </c:pt>
                <c:pt idx="142">
                  <c:v>0.43557409022560889</c:v>
                </c:pt>
                <c:pt idx="143">
                  <c:v>0.43557409022560889</c:v>
                </c:pt>
                <c:pt idx="144">
                  <c:v>0.43557409022560889</c:v>
                </c:pt>
                <c:pt idx="145">
                  <c:v>0.43557409022560889</c:v>
                </c:pt>
                <c:pt idx="146">
                  <c:v>0.43557409022560889</c:v>
                </c:pt>
                <c:pt idx="147">
                  <c:v>0.43557409022560889</c:v>
                </c:pt>
                <c:pt idx="148">
                  <c:v>0.43557409022560889</c:v>
                </c:pt>
                <c:pt idx="149">
                  <c:v>0.36182254601357111</c:v>
                </c:pt>
                <c:pt idx="150">
                  <c:v>0.36182254601357111</c:v>
                </c:pt>
                <c:pt idx="151">
                  <c:v>0.36182254601357111</c:v>
                </c:pt>
                <c:pt idx="152">
                  <c:v>0.36182254601357111</c:v>
                </c:pt>
                <c:pt idx="153">
                  <c:v>0.36182254601357111</c:v>
                </c:pt>
                <c:pt idx="154">
                  <c:v>0.36182254601357111</c:v>
                </c:pt>
                <c:pt idx="155">
                  <c:v>0.36182254601357111</c:v>
                </c:pt>
                <c:pt idx="156">
                  <c:v>0.36182254601357111</c:v>
                </c:pt>
                <c:pt idx="157">
                  <c:v>0.36182254601357111</c:v>
                </c:pt>
                <c:pt idx="158">
                  <c:v>0.3541028080586261</c:v>
                </c:pt>
                <c:pt idx="159">
                  <c:v>0.3541028080586261</c:v>
                </c:pt>
                <c:pt idx="160">
                  <c:v>0.3541028080586261</c:v>
                </c:pt>
                <c:pt idx="161">
                  <c:v>0.3541028080586261</c:v>
                </c:pt>
                <c:pt idx="162">
                  <c:v>0.3541028080586261</c:v>
                </c:pt>
                <c:pt idx="163">
                  <c:v>0.39075690575274435</c:v>
                </c:pt>
                <c:pt idx="164">
                  <c:v>0.39075690575274435</c:v>
                </c:pt>
                <c:pt idx="165">
                  <c:v>0.39075690575274435</c:v>
                </c:pt>
                <c:pt idx="166">
                  <c:v>0.39075690575274435</c:v>
                </c:pt>
                <c:pt idx="167">
                  <c:v>0.39075690575274435</c:v>
                </c:pt>
                <c:pt idx="168">
                  <c:v>0.39075690575274435</c:v>
                </c:pt>
                <c:pt idx="169">
                  <c:v>0.39075690575274435</c:v>
                </c:pt>
                <c:pt idx="170">
                  <c:v>0.39075690575274435</c:v>
                </c:pt>
                <c:pt idx="171">
                  <c:v>0.39928574080825913</c:v>
                </c:pt>
                <c:pt idx="172">
                  <c:v>0.39928574080825913</c:v>
                </c:pt>
                <c:pt idx="173">
                  <c:v>0.39928574080825913</c:v>
                </c:pt>
                <c:pt idx="174">
                  <c:v>0.39928574080825913</c:v>
                </c:pt>
                <c:pt idx="175">
                  <c:v>0.39928574080825913</c:v>
                </c:pt>
                <c:pt idx="176">
                  <c:v>0.39928574080825913</c:v>
                </c:pt>
                <c:pt idx="177">
                  <c:v>0.39928574080825913</c:v>
                </c:pt>
                <c:pt idx="178">
                  <c:v>0.39928574080825913</c:v>
                </c:pt>
                <c:pt idx="179">
                  <c:v>0.39928574080825913</c:v>
                </c:pt>
                <c:pt idx="180">
                  <c:v>0.39928574080825913</c:v>
                </c:pt>
                <c:pt idx="181">
                  <c:v>0.39928574080825913</c:v>
                </c:pt>
                <c:pt idx="182">
                  <c:v>0.39928574080825913</c:v>
                </c:pt>
                <c:pt idx="183">
                  <c:v>0.39928574080825913</c:v>
                </c:pt>
                <c:pt idx="184">
                  <c:v>0.39928574080825913</c:v>
                </c:pt>
                <c:pt idx="185">
                  <c:v>0.39928574080825913</c:v>
                </c:pt>
                <c:pt idx="186">
                  <c:v>0.39928574080825913</c:v>
                </c:pt>
                <c:pt idx="187">
                  <c:v>0.39928574080825913</c:v>
                </c:pt>
                <c:pt idx="188">
                  <c:v>0.39928574080825913</c:v>
                </c:pt>
                <c:pt idx="189">
                  <c:v>0.39928574080825913</c:v>
                </c:pt>
                <c:pt idx="190">
                  <c:v>0.39928574080825913</c:v>
                </c:pt>
                <c:pt idx="191">
                  <c:v>0.39928574080825913</c:v>
                </c:pt>
                <c:pt idx="192">
                  <c:v>0.39928574080825913</c:v>
                </c:pt>
                <c:pt idx="193">
                  <c:v>0.39928574080825913</c:v>
                </c:pt>
                <c:pt idx="194">
                  <c:v>0.39928574080825913</c:v>
                </c:pt>
                <c:pt idx="195">
                  <c:v>0.39928574080825913</c:v>
                </c:pt>
                <c:pt idx="196">
                  <c:v>0.41590869567542216</c:v>
                </c:pt>
                <c:pt idx="197">
                  <c:v>0.38637291412598679</c:v>
                </c:pt>
                <c:pt idx="198">
                  <c:v>0.38637291412598679</c:v>
                </c:pt>
                <c:pt idx="199">
                  <c:v>0.38637291412598679</c:v>
                </c:pt>
                <c:pt idx="200">
                  <c:v>0.38637291412598679</c:v>
                </c:pt>
                <c:pt idx="201">
                  <c:v>0.38637291412598679</c:v>
                </c:pt>
                <c:pt idx="202">
                  <c:v>0.38637291412598679</c:v>
                </c:pt>
                <c:pt idx="203">
                  <c:v>0.38637291412598679</c:v>
                </c:pt>
                <c:pt idx="204">
                  <c:v>0.43651833248132155</c:v>
                </c:pt>
                <c:pt idx="205">
                  <c:v>0.43651833248132155</c:v>
                </c:pt>
                <c:pt idx="206">
                  <c:v>0.35151386266095713</c:v>
                </c:pt>
                <c:pt idx="207">
                  <c:v>0.35151386266095713</c:v>
                </c:pt>
                <c:pt idx="208">
                  <c:v>0.35151386266095713</c:v>
                </c:pt>
                <c:pt idx="209">
                  <c:v>0.35151386266095713</c:v>
                </c:pt>
                <c:pt idx="210">
                  <c:v>0.31992658281416148</c:v>
                </c:pt>
                <c:pt idx="211">
                  <c:v>0.31992658281416148</c:v>
                </c:pt>
                <c:pt idx="212">
                  <c:v>0.31593480472460411</c:v>
                </c:pt>
                <c:pt idx="213">
                  <c:v>0.31593480472460411</c:v>
                </c:pt>
                <c:pt idx="214">
                  <c:v>0.31593480472460411</c:v>
                </c:pt>
                <c:pt idx="215">
                  <c:v>0.31593480472460411</c:v>
                </c:pt>
                <c:pt idx="216">
                  <c:v>0.31593480472460411</c:v>
                </c:pt>
                <c:pt idx="217">
                  <c:v>0.31593480472460411</c:v>
                </c:pt>
                <c:pt idx="218">
                  <c:v>0.31593480472460411</c:v>
                </c:pt>
                <c:pt idx="219">
                  <c:v>0.31593480472460411</c:v>
                </c:pt>
                <c:pt idx="220">
                  <c:v>0.31593480472460411</c:v>
                </c:pt>
                <c:pt idx="221">
                  <c:v>0.31593480472460411</c:v>
                </c:pt>
                <c:pt idx="222">
                  <c:v>0.31593480472460411</c:v>
                </c:pt>
                <c:pt idx="223">
                  <c:v>0.31593480472460411</c:v>
                </c:pt>
                <c:pt idx="224">
                  <c:v>0.31593480472460411</c:v>
                </c:pt>
                <c:pt idx="225">
                  <c:v>0.31593480472460411</c:v>
                </c:pt>
                <c:pt idx="226">
                  <c:v>0.31593480472460411</c:v>
                </c:pt>
                <c:pt idx="227">
                  <c:v>0.26711738060091716</c:v>
                </c:pt>
                <c:pt idx="228">
                  <c:v>0.26711738060091716</c:v>
                </c:pt>
                <c:pt idx="229">
                  <c:v>0.26711738060091716</c:v>
                </c:pt>
                <c:pt idx="230">
                  <c:v>0.26711738060091716</c:v>
                </c:pt>
                <c:pt idx="231">
                  <c:v>0.26711738060091716</c:v>
                </c:pt>
                <c:pt idx="232">
                  <c:v>0.26711738060091716</c:v>
                </c:pt>
                <c:pt idx="233">
                  <c:v>0.26711738060091716</c:v>
                </c:pt>
                <c:pt idx="234">
                  <c:v>0.26711738060091716</c:v>
                </c:pt>
                <c:pt idx="235">
                  <c:v>0.26711738060091716</c:v>
                </c:pt>
                <c:pt idx="236">
                  <c:v>0.26711738060091716</c:v>
                </c:pt>
                <c:pt idx="237">
                  <c:v>0.26711738060091716</c:v>
                </c:pt>
                <c:pt idx="238">
                  <c:v>0.26711738060091716</c:v>
                </c:pt>
                <c:pt idx="239">
                  <c:v>0.26711738060091716</c:v>
                </c:pt>
                <c:pt idx="240">
                  <c:v>0.26711738060091716</c:v>
                </c:pt>
                <c:pt idx="241">
                  <c:v>0.26711738060091716</c:v>
                </c:pt>
                <c:pt idx="242">
                  <c:v>0.26711738060091716</c:v>
                </c:pt>
                <c:pt idx="243">
                  <c:v>0.26711738060091716</c:v>
                </c:pt>
                <c:pt idx="244">
                  <c:v>0.29024402628041307</c:v>
                </c:pt>
                <c:pt idx="245">
                  <c:v>0.29024402628041307</c:v>
                </c:pt>
                <c:pt idx="246">
                  <c:v>0.29024402628041307</c:v>
                </c:pt>
                <c:pt idx="247">
                  <c:v>0.29024402628041307</c:v>
                </c:pt>
                <c:pt idx="248">
                  <c:v>0.29930836379163073</c:v>
                </c:pt>
                <c:pt idx="249">
                  <c:v>0.29930836379163073</c:v>
                </c:pt>
                <c:pt idx="250">
                  <c:v>0.29930836379163073</c:v>
                </c:pt>
                <c:pt idx="251">
                  <c:v>0.29930836379163073</c:v>
                </c:pt>
                <c:pt idx="252">
                  <c:v>0.29930836379163073</c:v>
                </c:pt>
                <c:pt idx="253">
                  <c:v>0.29930836379163073</c:v>
                </c:pt>
                <c:pt idx="254">
                  <c:v>0.29930836379163073</c:v>
                </c:pt>
                <c:pt idx="255">
                  <c:v>0.29930836379163073</c:v>
                </c:pt>
                <c:pt idx="256">
                  <c:v>0.29930836379163073</c:v>
                </c:pt>
                <c:pt idx="257">
                  <c:v>0.29930836379163073</c:v>
                </c:pt>
                <c:pt idx="258">
                  <c:v>0.29930836379163073</c:v>
                </c:pt>
                <c:pt idx="259">
                  <c:v>0.29930836379163073</c:v>
                </c:pt>
                <c:pt idx="260">
                  <c:v>0.30332269901915754</c:v>
                </c:pt>
                <c:pt idx="261">
                  <c:v>0.30332269901915754</c:v>
                </c:pt>
                <c:pt idx="262">
                  <c:v>0.30332269901915754</c:v>
                </c:pt>
                <c:pt idx="263">
                  <c:v>0.30332269901915754</c:v>
                </c:pt>
                <c:pt idx="264">
                  <c:v>0.30332269901915754</c:v>
                </c:pt>
                <c:pt idx="265">
                  <c:v>0.30332269901915754</c:v>
                </c:pt>
                <c:pt idx="266">
                  <c:v>0.27124649664701422</c:v>
                </c:pt>
                <c:pt idx="267">
                  <c:v>0.32544684140969293</c:v>
                </c:pt>
                <c:pt idx="268">
                  <c:v>0.32544684140969293</c:v>
                </c:pt>
                <c:pt idx="269">
                  <c:v>0.32544684140969293</c:v>
                </c:pt>
                <c:pt idx="270">
                  <c:v>0.36393897566178779</c:v>
                </c:pt>
                <c:pt idx="271">
                  <c:v>0.36393897566178779</c:v>
                </c:pt>
                <c:pt idx="272">
                  <c:v>0.33768975933205014</c:v>
                </c:pt>
                <c:pt idx="273">
                  <c:v>0.33768975933205014</c:v>
                </c:pt>
                <c:pt idx="274">
                  <c:v>0.33768975933205014</c:v>
                </c:pt>
                <c:pt idx="275">
                  <c:v>0.33768975933205014</c:v>
                </c:pt>
                <c:pt idx="276">
                  <c:v>0.33768975933205014</c:v>
                </c:pt>
                <c:pt idx="277">
                  <c:v>0.33768975933205014</c:v>
                </c:pt>
                <c:pt idx="278">
                  <c:v>0.33768975933205014</c:v>
                </c:pt>
                <c:pt idx="279">
                  <c:v>0.33768975933205014</c:v>
                </c:pt>
                <c:pt idx="280">
                  <c:v>0.33768975933205014</c:v>
                </c:pt>
                <c:pt idx="281">
                  <c:v>0.33768975933205014</c:v>
                </c:pt>
                <c:pt idx="282">
                  <c:v>0.33768975933205014</c:v>
                </c:pt>
                <c:pt idx="283">
                  <c:v>0.33768975933205014</c:v>
                </c:pt>
                <c:pt idx="284">
                  <c:v>0.33768975933205014</c:v>
                </c:pt>
                <c:pt idx="285">
                  <c:v>0.33768975933205014</c:v>
                </c:pt>
                <c:pt idx="286">
                  <c:v>0.33768975933205014</c:v>
                </c:pt>
                <c:pt idx="287">
                  <c:v>0.33768975933205014</c:v>
                </c:pt>
                <c:pt idx="288">
                  <c:v>0.33768975933205014</c:v>
                </c:pt>
                <c:pt idx="289">
                  <c:v>0.33768975933205014</c:v>
                </c:pt>
                <c:pt idx="290">
                  <c:v>0.33768975933205014</c:v>
                </c:pt>
                <c:pt idx="291">
                  <c:v>0.33768975933205014</c:v>
                </c:pt>
                <c:pt idx="292">
                  <c:v>0.33768975933205014</c:v>
                </c:pt>
                <c:pt idx="293">
                  <c:v>0.33768975933205014</c:v>
                </c:pt>
                <c:pt idx="294">
                  <c:v>0.33768975933205014</c:v>
                </c:pt>
                <c:pt idx="295">
                  <c:v>0.33768975933205014</c:v>
                </c:pt>
                <c:pt idx="296">
                  <c:v>0.33768975933205014</c:v>
                </c:pt>
                <c:pt idx="297">
                  <c:v>0.33768975933205014</c:v>
                </c:pt>
                <c:pt idx="298">
                  <c:v>0.33768975933205014</c:v>
                </c:pt>
                <c:pt idx="299">
                  <c:v>0.33768975933205014</c:v>
                </c:pt>
                <c:pt idx="300">
                  <c:v>0.33768975933205014</c:v>
                </c:pt>
                <c:pt idx="301">
                  <c:v>0.33768975933205014</c:v>
                </c:pt>
                <c:pt idx="302">
                  <c:v>0.33768975933205014</c:v>
                </c:pt>
                <c:pt idx="303">
                  <c:v>0.33768975933205014</c:v>
                </c:pt>
                <c:pt idx="304">
                  <c:v>0.33768975933205014</c:v>
                </c:pt>
                <c:pt idx="305">
                  <c:v>0.33768975933205014</c:v>
                </c:pt>
                <c:pt idx="306">
                  <c:v>0.33768975933205014</c:v>
                </c:pt>
                <c:pt idx="307">
                  <c:v>0.33768975933205014</c:v>
                </c:pt>
                <c:pt idx="308">
                  <c:v>0.33768975933205014</c:v>
                </c:pt>
                <c:pt idx="309">
                  <c:v>0.33768975933205014</c:v>
                </c:pt>
                <c:pt idx="310">
                  <c:v>0.33768975933205014</c:v>
                </c:pt>
                <c:pt idx="311">
                  <c:v>0.33768975933205014</c:v>
                </c:pt>
                <c:pt idx="312">
                  <c:v>0.33768975933205014</c:v>
                </c:pt>
                <c:pt idx="313">
                  <c:v>0.33768975933205014</c:v>
                </c:pt>
                <c:pt idx="314">
                  <c:v>0.33768975933205014</c:v>
                </c:pt>
                <c:pt idx="315">
                  <c:v>0.33768975933205014</c:v>
                </c:pt>
                <c:pt idx="316">
                  <c:v>0.33768975933205014</c:v>
                </c:pt>
                <c:pt idx="317">
                  <c:v>0.33768975933205014</c:v>
                </c:pt>
                <c:pt idx="318">
                  <c:v>0.33768975933205014</c:v>
                </c:pt>
                <c:pt idx="319">
                  <c:v>0.33768975933205014</c:v>
                </c:pt>
                <c:pt idx="320">
                  <c:v>0.33768975933205014</c:v>
                </c:pt>
                <c:pt idx="321">
                  <c:v>0.33768975933205014</c:v>
                </c:pt>
                <c:pt idx="322">
                  <c:v>0.33768975933205014</c:v>
                </c:pt>
                <c:pt idx="323">
                  <c:v>0.33768975933205014</c:v>
                </c:pt>
                <c:pt idx="324">
                  <c:v>0.33768975933205014</c:v>
                </c:pt>
                <c:pt idx="325">
                  <c:v>0.33768975933205014</c:v>
                </c:pt>
                <c:pt idx="326">
                  <c:v>0.33768975933205014</c:v>
                </c:pt>
                <c:pt idx="327">
                  <c:v>0.33768975933205014</c:v>
                </c:pt>
                <c:pt idx="328">
                  <c:v>0.33768975933205014</c:v>
                </c:pt>
                <c:pt idx="329">
                  <c:v>0.33508524627455449</c:v>
                </c:pt>
                <c:pt idx="330">
                  <c:v>0.33508524627455449</c:v>
                </c:pt>
                <c:pt idx="331">
                  <c:v>0.33508524627455449</c:v>
                </c:pt>
                <c:pt idx="332">
                  <c:v>0.33508524627455449</c:v>
                </c:pt>
                <c:pt idx="333">
                  <c:v>0.33508524627455449</c:v>
                </c:pt>
                <c:pt idx="334">
                  <c:v>0.33508524627455449</c:v>
                </c:pt>
                <c:pt idx="335">
                  <c:v>0.33508524627455449</c:v>
                </c:pt>
                <c:pt idx="336">
                  <c:v>0.33508524627455449</c:v>
                </c:pt>
                <c:pt idx="337">
                  <c:v>0.33508524627455449</c:v>
                </c:pt>
                <c:pt idx="338">
                  <c:v>0.30738282984016702</c:v>
                </c:pt>
                <c:pt idx="339">
                  <c:v>0.30738282984016702</c:v>
                </c:pt>
                <c:pt idx="340">
                  <c:v>0.30738282984016702</c:v>
                </c:pt>
                <c:pt idx="341">
                  <c:v>0.30738282984016702</c:v>
                </c:pt>
                <c:pt idx="342">
                  <c:v>0.35852049581728274</c:v>
                </c:pt>
                <c:pt idx="343">
                  <c:v>0.35852049581728274</c:v>
                </c:pt>
                <c:pt idx="344">
                  <c:v>0.35852049581728274</c:v>
                </c:pt>
                <c:pt idx="345">
                  <c:v>0.35852049581728274</c:v>
                </c:pt>
                <c:pt idx="346">
                  <c:v>0.35852049581728274</c:v>
                </c:pt>
                <c:pt idx="347">
                  <c:v>0.35852049581728274</c:v>
                </c:pt>
                <c:pt idx="348">
                  <c:v>0.35852049581728274</c:v>
                </c:pt>
                <c:pt idx="349">
                  <c:v>0.35852049581728274</c:v>
                </c:pt>
                <c:pt idx="350">
                  <c:v>0.35852049581728274</c:v>
                </c:pt>
                <c:pt idx="351">
                  <c:v>0.35852049581728274</c:v>
                </c:pt>
                <c:pt idx="352">
                  <c:v>0.35852049581728274</c:v>
                </c:pt>
                <c:pt idx="353">
                  <c:v>0.35852049581728274</c:v>
                </c:pt>
                <c:pt idx="354">
                  <c:v>0.35852049581728274</c:v>
                </c:pt>
                <c:pt idx="355">
                  <c:v>0.35852049581728274</c:v>
                </c:pt>
                <c:pt idx="356">
                  <c:v>0.35852049581728274</c:v>
                </c:pt>
                <c:pt idx="357">
                  <c:v>0.35852049581728274</c:v>
                </c:pt>
                <c:pt idx="358">
                  <c:v>0.35852049581728274</c:v>
                </c:pt>
                <c:pt idx="359">
                  <c:v>0.35852049581728274</c:v>
                </c:pt>
                <c:pt idx="360">
                  <c:v>0.35852049581728274</c:v>
                </c:pt>
                <c:pt idx="361">
                  <c:v>0.35852049581728274</c:v>
                </c:pt>
                <c:pt idx="362">
                  <c:v>0.35852049581728274</c:v>
                </c:pt>
                <c:pt idx="363">
                  <c:v>0.35852049581728274</c:v>
                </c:pt>
                <c:pt idx="364">
                  <c:v>0.35852049581728274</c:v>
                </c:pt>
                <c:pt idx="365">
                  <c:v>0.35852049581728274</c:v>
                </c:pt>
                <c:pt idx="366">
                  <c:v>0.35852049581728274</c:v>
                </c:pt>
                <c:pt idx="367">
                  <c:v>0.35852049581728274</c:v>
                </c:pt>
                <c:pt idx="368">
                  <c:v>0.35852049581728274</c:v>
                </c:pt>
                <c:pt idx="369">
                  <c:v>0.35852049581728274</c:v>
                </c:pt>
                <c:pt idx="370">
                  <c:v>0.35852049581728274</c:v>
                </c:pt>
                <c:pt idx="371">
                  <c:v>0.35852049581728274</c:v>
                </c:pt>
                <c:pt idx="372">
                  <c:v>0.35852049581728274</c:v>
                </c:pt>
                <c:pt idx="373">
                  <c:v>0.35852049581728274</c:v>
                </c:pt>
                <c:pt idx="374">
                  <c:v>0.35852049581728274</c:v>
                </c:pt>
                <c:pt idx="375">
                  <c:v>0.35852049581728274</c:v>
                </c:pt>
                <c:pt idx="376">
                  <c:v>0.35852049581728274</c:v>
                </c:pt>
                <c:pt idx="377">
                  <c:v>0.35852049581728274</c:v>
                </c:pt>
                <c:pt idx="378">
                  <c:v>0.35852049581728274</c:v>
                </c:pt>
                <c:pt idx="379">
                  <c:v>0.35852049581728274</c:v>
                </c:pt>
                <c:pt idx="380">
                  <c:v>0.35852049581728274</c:v>
                </c:pt>
                <c:pt idx="381">
                  <c:v>0.35852049581728274</c:v>
                </c:pt>
                <c:pt idx="382">
                  <c:v>0.35852049581728274</c:v>
                </c:pt>
                <c:pt idx="383">
                  <c:v>0.35852049581728274</c:v>
                </c:pt>
                <c:pt idx="384">
                  <c:v>0.35852049581728274</c:v>
                </c:pt>
                <c:pt idx="385">
                  <c:v>0.35852049581728274</c:v>
                </c:pt>
                <c:pt idx="386">
                  <c:v>0.35852049581728274</c:v>
                </c:pt>
                <c:pt idx="387">
                  <c:v>0.35852049581728274</c:v>
                </c:pt>
                <c:pt idx="388">
                  <c:v>0.35852049581728274</c:v>
                </c:pt>
                <c:pt idx="389">
                  <c:v>0.35852049581728274</c:v>
                </c:pt>
                <c:pt idx="390">
                  <c:v>0.35852049581728274</c:v>
                </c:pt>
                <c:pt idx="391">
                  <c:v>0.35852049581728274</c:v>
                </c:pt>
                <c:pt idx="392">
                  <c:v>0.35852049581728274</c:v>
                </c:pt>
                <c:pt idx="393">
                  <c:v>0.35852049581728274</c:v>
                </c:pt>
                <c:pt idx="394">
                  <c:v>0.35852049581728274</c:v>
                </c:pt>
                <c:pt idx="395">
                  <c:v>0.35852049581728274</c:v>
                </c:pt>
                <c:pt idx="396">
                  <c:v>0.35852049581728274</c:v>
                </c:pt>
                <c:pt idx="397">
                  <c:v>0.35852049581728274</c:v>
                </c:pt>
                <c:pt idx="398">
                  <c:v>0.35852049581728274</c:v>
                </c:pt>
                <c:pt idx="399">
                  <c:v>0.35852049581728274</c:v>
                </c:pt>
                <c:pt idx="400">
                  <c:v>0.35852049581728274</c:v>
                </c:pt>
                <c:pt idx="401">
                  <c:v>0.35852049581728274</c:v>
                </c:pt>
                <c:pt idx="402">
                  <c:v>0.35852049581728274</c:v>
                </c:pt>
                <c:pt idx="403">
                  <c:v>0.35852049581728274</c:v>
                </c:pt>
                <c:pt idx="404">
                  <c:v>0.35852049581728274</c:v>
                </c:pt>
                <c:pt idx="405">
                  <c:v>0.35852049581728274</c:v>
                </c:pt>
                <c:pt idx="406">
                  <c:v>0.35852049581728274</c:v>
                </c:pt>
                <c:pt idx="407">
                  <c:v>0.35852049581728274</c:v>
                </c:pt>
                <c:pt idx="408">
                  <c:v>0.35852049581728274</c:v>
                </c:pt>
                <c:pt idx="409">
                  <c:v>0.35852049581728274</c:v>
                </c:pt>
                <c:pt idx="410">
                  <c:v>0.35852049581728274</c:v>
                </c:pt>
                <c:pt idx="411">
                  <c:v>0.35852049581728274</c:v>
                </c:pt>
                <c:pt idx="412">
                  <c:v>0.35852049581728274</c:v>
                </c:pt>
                <c:pt idx="413">
                  <c:v>0.35852049581728274</c:v>
                </c:pt>
                <c:pt idx="414">
                  <c:v>0.35852049581728274</c:v>
                </c:pt>
                <c:pt idx="415">
                  <c:v>0.35852049581728274</c:v>
                </c:pt>
                <c:pt idx="416">
                  <c:v>0.35852049581728274</c:v>
                </c:pt>
                <c:pt idx="417">
                  <c:v>0.35852049581728274</c:v>
                </c:pt>
                <c:pt idx="418">
                  <c:v>0.35852049581728274</c:v>
                </c:pt>
                <c:pt idx="419">
                  <c:v>0.35852049581728274</c:v>
                </c:pt>
                <c:pt idx="420">
                  <c:v>0.35852049581728274</c:v>
                </c:pt>
                <c:pt idx="421">
                  <c:v>0.35852049581728274</c:v>
                </c:pt>
                <c:pt idx="422">
                  <c:v>0.35852049581728274</c:v>
                </c:pt>
                <c:pt idx="423">
                  <c:v>0.35852049581728274</c:v>
                </c:pt>
                <c:pt idx="424">
                  <c:v>0.35852049581728274</c:v>
                </c:pt>
                <c:pt idx="425">
                  <c:v>0.35852049581728274</c:v>
                </c:pt>
                <c:pt idx="426">
                  <c:v>0.35852049581728274</c:v>
                </c:pt>
                <c:pt idx="427">
                  <c:v>0.35852049581728274</c:v>
                </c:pt>
                <c:pt idx="428">
                  <c:v>0.35852049581728274</c:v>
                </c:pt>
                <c:pt idx="429">
                  <c:v>0.35852049581728274</c:v>
                </c:pt>
                <c:pt idx="430">
                  <c:v>0.35852049581728274</c:v>
                </c:pt>
                <c:pt idx="431">
                  <c:v>0.35852049581728274</c:v>
                </c:pt>
                <c:pt idx="432">
                  <c:v>0.35852049581728274</c:v>
                </c:pt>
                <c:pt idx="433">
                  <c:v>0.35852049581728274</c:v>
                </c:pt>
                <c:pt idx="434">
                  <c:v>0.35852049581728274</c:v>
                </c:pt>
                <c:pt idx="435">
                  <c:v>0.35852049581728274</c:v>
                </c:pt>
                <c:pt idx="436">
                  <c:v>0.35852049581728274</c:v>
                </c:pt>
                <c:pt idx="437">
                  <c:v>0.35852049581728274</c:v>
                </c:pt>
                <c:pt idx="438">
                  <c:v>0.35852049581728274</c:v>
                </c:pt>
                <c:pt idx="439">
                  <c:v>0.35852049581728274</c:v>
                </c:pt>
                <c:pt idx="440">
                  <c:v>0.35852049581728274</c:v>
                </c:pt>
                <c:pt idx="441">
                  <c:v>0.35852049581728274</c:v>
                </c:pt>
                <c:pt idx="442">
                  <c:v>0.35852049581728274</c:v>
                </c:pt>
                <c:pt idx="443">
                  <c:v>0.35852049581728274</c:v>
                </c:pt>
                <c:pt idx="444">
                  <c:v>0.35852049581728274</c:v>
                </c:pt>
                <c:pt idx="445">
                  <c:v>0.35852049581728274</c:v>
                </c:pt>
                <c:pt idx="446">
                  <c:v>0.35852049581728274</c:v>
                </c:pt>
                <c:pt idx="447">
                  <c:v>0.35852049581728274</c:v>
                </c:pt>
                <c:pt idx="448">
                  <c:v>0.35852049581728274</c:v>
                </c:pt>
                <c:pt idx="449">
                  <c:v>0.35852049581728274</c:v>
                </c:pt>
                <c:pt idx="450">
                  <c:v>0.35852049581728274</c:v>
                </c:pt>
                <c:pt idx="451">
                  <c:v>0.35852049581728274</c:v>
                </c:pt>
                <c:pt idx="452">
                  <c:v>0.35852049581728274</c:v>
                </c:pt>
                <c:pt idx="453">
                  <c:v>0.35852049581728274</c:v>
                </c:pt>
                <c:pt idx="454">
                  <c:v>0.35852049581728274</c:v>
                </c:pt>
                <c:pt idx="455">
                  <c:v>0.35852049581728274</c:v>
                </c:pt>
                <c:pt idx="456">
                  <c:v>0.35852049581728274</c:v>
                </c:pt>
                <c:pt idx="457">
                  <c:v>0.35852049581728274</c:v>
                </c:pt>
                <c:pt idx="458">
                  <c:v>0.35852049581728274</c:v>
                </c:pt>
                <c:pt idx="459">
                  <c:v>0.35852049581728274</c:v>
                </c:pt>
                <c:pt idx="460">
                  <c:v>0.35852049581728274</c:v>
                </c:pt>
                <c:pt idx="461">
                  <c:v>0.35852049581728274</c:v>
                </c:pt>
                <c:pt idx="462">
                  <c:v>0.35852049581728274</c:v>
                </c:pt>
                <c:pt idx="463">
                  <c:v>0.35852049581728274</c:v>
                </c:pt>
                <c:pt idx="464">
                  <c:v>0.35852049581728274</c:v>
                </c:pt>
                <c:pt idx="465">
                  <c:v>0.35852049581728274</c:v>
                </c:pt>
                <c:pt idx="466">
                  <c:v>0.35852049581728274</c:v>
                </c:pt>
                <c:pt idx="467">
                  <c:v>0.35852049581728274</c:v>
                </c:pt>
                <c:pt idx="468">
                  <c:v>0.35852049581728274</c:v>
                </c:pt>
                <c:pt idx="469">
                  <c:v>0.35852049581728274</c:v>
                </c:pt>
                <c:pt idx="470">
                  <c:v>0.35852049581728274</c:v>
                </c:pt>
                <c:pt idx="471">
                  <c:v>0.35852049581728274</c:v>
                </c:pt>
                <c:pt idx="472">
                  <c:v>0.35852049581728274</c:v>
                </c:pt>
                <c:pt idx="473">
                  <c:v>0.35852049581728274</c:v>
                </c:pt>
                <c:pt idx="474">
                  <c:v>0.35852049581728274</c:v>
                </c:pt>
                <c:pt idx="475">
                  <c:v>0.35852049581728274</c:v>
                </c:pt>
                <c:pt idx="476">
                  <c:v>0.35852049581728274</c:v>
                </c:pt>
                <c:pt idx="477">
                  <c:v>0.35852049581728274</c:v>
                </c:pt>
                <c:pt idx="478">
                  <c:v>0.35852049581728274</c:v>
                </c:pt>
                <c:pt idx="479">
                  <c:v>0.35852049581728274</c:v>
                </c:pt>
                <c:pt idx="480">
                  <c:v>0.35852049581728274</c:v>
                </c:pt>
                <c:pt idx="481">
                  <c:v>0.35852049581728274</c:v>
                </c:pt>
                <c:pt idx="482">
                  <c:v>0.35852049581728274</c:v>
                </c:pt>
                <c:pt idx="483">
                  <c:v>0.35852049581728274</c:v>
                </c:pt>
                <c:pt idx="484">
                  <c:v>0.35852049581728274</c:v>
                </c:pt>
                <c:pt idx="485">
                  <c:v>0.35852049581728274</c:v>
                </c:pt>
                <c:pt idx="486">
                  <c:v>0.35852049581728274</c:v>
                </c:pt>
                <c:pt idx="487">
                  <c:v>0.35852049581728274</c:v>
                </c:pt>
                <c:pt idx="488">
                  <c:v>0.35852049581728274</c:v>
                </c:pt>
                <c:pt idx="489">
                  <c:v>0.35852049581728274</c:v>
                </c:pt>
                <c:pt idx="490">
                  <c:v>0.35852049581728274</c:v>
                </c:pt>
                <c:pt idx="491">
                  <c:v>0.35852049581728274</c:v>
                </c:pt>
                <c:pt idx="492">
                  <c:v>0.35852049581728274</c:v>
                </c:pt>
                <c:pt idx="493">
                  <c:v>0.35852049581728274</c:v>
                </c:pt>
                <c:pt idx="494">
                  <c:v>0.35852049581728274</c:v>
                </c:pt>
                <c:pt idx="495">
                  <c:v>0.35852049581728274</c:v>
                </c:pt>
                <c:pt idx="496">
                  <c:v>0.35852049581728274</c:v>
                </c:pt>
                <c:pt idx="497">
                  <c:v>0.35852049581728274</c:v>
                </c:pt>
                <c:pt idx="498">
                  <c:v>0.35852049581728274</c:v>
                </c:pt>
                <c:pt idx="499">
                  <c:v>0.35852049581728274</c:v>
                </c:pt>
                <c:pt idx="500">
                  <c:v>0.35852049581728274</c:v>
                </c:pt>
                <c:pt idx="501">
                  <c:v>0.35852049581728274</c:v>
                </c:pt>
                <c:pt idx="502">
                  <c:v>0.35852049581728274</c:v>
                </c:pt>
                <c:pt idx="503">
                  <c:v>0.35852049581728274</c:v>
                </c:pt>
                <c:pt idx="504">
                  <c:v>0.35852049581728274</c:v>
                </c:pt>
                <c:pt idx="505">
                  <c:v>0.35852049581728274</c:v>
                </c:pt>
                <c:pt idx="506">
                  <c:v>0.35852049581728274</c:v>
                </c:pt>
                <c:pt idx="507">
                  <c:v>0.35852049581728274</c:v>
                </c:pt>
                <c:pt idx="508">
                  <c:v>0.35852049581728274</c:v>
                </c:pt>
                <c:pt idx="509">
                  <c:v>0.35852049581728274</c:v>
                </c:pt>
                <c:pt idx="510">
                  <c:v>0.35852049581728274</c:v>
                </c:pt>
                <c:pt idx="511">
                  <c:v>0.35852049581728274</c:v>
                </c:pt>
                <c:pt idx="512">
                  <c:v>0.35852049581728274</c:v>
                </c:pt>
                <c:pt idx="513">
                  <c:v>0.35852049581728274</c:v>
                </c:pt>
                <c:pt idx="514">
                  <c:v>0.35852049581728274</c:v>
                </c:pt>
                <c:pt idx="515">
                  <c:v>0.35852049581728274</c:v>
                </c:pt>
                <c:pt idx="516">
                  <c:v>0.35852049581728274</c:v>
                </c:pt>
                <c:pt idx="517">
                  <c:v>0.35852049581728274</c:v>
                </c:pt>
                <c:pt idx="518">
                  <c:v>0.35852049581728274</c:v>
                </c:pt>
                <c:pt idx="519">
                  <c:v>0.35852049581728274</c:v>
                </c:pt>
                <c:pt idx="520">
                  <c:v>0.35852049581728274</c:v>
                </c:pt>
                <c:pt idx="521">
                  <c:v>0.35852049581728274</c:v>
                </c:pt>
                <c:pt idx="522">
                  <c:v>0.35852049581728274</c:v>
                </c:pt>
                <c:pt idx="523">
                  <c:v>0.35852049581728274</c:v>
                </c:pt>
                <c:pt idx="524">
                  <c:v>0.35852049581728274</c:v>
                </c:pt>
                <c:pt idx="525">
                  <c:v>0.35852049581728274</c:v>
                </c:pt>
                <c:pt idx="526">
                  <c:v>0.35852049581728274</c:v>
                </c:pt>
                <c:pt idx="527">
                  <c:v>0.35852049581728274</c:v>
                </c:pt>
                <c:pt idx="528">
                  <c:v>0.35852049581728274</c:v>
                </c:pt>
                <c:pt idx="529">
                  <c:v>0.35852049581728274</c:v>
                </c:pt>
                <c:pt idx="530">
                  <c:v>0.35852049581728274</c:v>
                </c:pt>
                <c:pt idx="531">
                  <c:v>0.35852049581728274</c:v>
                </c:pt>
                <c:pt idx="532">
                  <c:v>0.35852049581728274</c:v>
                </c:pt>
                <c:pt idx="533">
                  <c:v>0.35852049581728274</c:v>
                </c:pt>
                <c:pt idx="534">
                  <c:v>0.35852049581728274</c:v>
                </c:pt>
                <c:pt idx="535">
                  <c:v>0.35852049581728274</c:v>
                </c:pt>
                <c:pt idx="536">
                  <c:v>0.35852049581728274</c:v>
                </c:pt>
                <c:pt idx="537">
                  <c:v>0.35852049581728274</c:v>
                </c:pt>
                <c:pt idx="538">
                  <c:v>0.35852049581728274</c:v>
                </c:pt>
                <c:pt idx="539">
                  <c:v>0.35852049581728274</c:v>
                </c:pt>
                <c:pt idx="540">
                  <c:v>0.35852049581728274</c:v>
                </c:pt>
                <c:pt idx="541">
                  <c:v>0.35852049581728274</c:v>
                </c:pt>
                <c:pt idx="542">
                  <c:v>0.35852049581728274</c:v>
                </c:pt>
                <c:pt idx="543">
                  <c:v>0.35852049581728274</c:v>
                </c:pt>
                <c:pt idx="544">
                  <c:v>0.35852049581728274</c:v>
                </c:pt>
                <c:pt idx="545">
                  <c:v>0.35852049581728274</c:v>
                </c:pt>
                <c:pt idx="546">
                  <c:v>0.35852049581728274</c:v>
                </c:pt>
                <c:pt idx="547">
                  <c:v>0.35852049581728274</c:v>
                </c:pt>
                <c:pt idx="548">
                  <c:v>0.35852049581728274</c:v>
                </c:pt>
                <c:pt idx="549">
                  <c:v>0.35852049581728274</c:v>
                </c:pt>
                <c:pt idx="550">
                  <c:v>0.35852049581728274</c:v>
                </c:pt>
                <c:pt idx="551">
                  <c:v>0.35852049581728274</c:v>
                </c:pt>
                <c:pt idx="552">
                  <c:v>0.35852049581728274</c:v>
                </c:pt>
                <c:pt idx="553">
                  <c:v>0.35852049581728274</c:v>
                </c:pt>
                <c:pt idx="554">
                  <c:v>0.35852049581728274</c:v>
                </c:pt>
                <c:pt idx="555">
                  <c:v>0.35852049581728274</c:v>
                </c:pt>
                <c:pt idx="556">
                  <c:v>0.35852049581728274</c:v>
                </c:pt>
                <c:pt idx="557">
                  <c:v>0.35852049581728274</c:v>
                </c:pt>
                <c:pt idx="558">
                  <c:v>0.35852049581728274</c:v>
                </c:pt>
                <c:pt idx="559">
                  <c:v>0.35852049581728274</c:v>
                </c:pt>
                <c:pt idx="560">
                  <c:v>0.35852049581728274</c:v>
                </c:pt>
                <c:pt idx="561">
                  <c:v>0.35852049581728274</c:v>
                </c:pt>
                <c:pt idx="562">
                  <c:v>0.35852049581728274</c:v>
                </c:pt>
                <c:pt idx="563">
                  <c:v>0.35852049581728274</c:v>
                </c:pt>
                <c:pt idx="564">
                  <c:v>0.35852049581728274</c:v>
                </c:pt>
                <c:pt idx="565">
                  <c:v>0.35852049581728274</c:v>
                </c:pt>
                <c:pt idx="566">
                  <c:v>0.35852049581728274</c:v>
                </c:pt>
                <c:pt idx="567">
                  <c:v>0.35852049581728274</c:v>
                </c:pt>
                <c:pt idx="568">
                  <c:v>0.35852049581728274</c:v>
                </c:pt>
                <c:pt idx="569">
                  <c:v>0.35852049581728274</c:v>
                </c:pt>
                <c:pt idx="570">
                  <c:v>0.35852049581728274</c:v>
                </c:pt>
                <c:pt idx="571">
                  <c:v>0.35852049581728274</c:v>
                </c:pt>
                <c:pt idx="572">
                  <c:v>0.35852049581728274</c:v>
                </c:pt>
                <c:pt idx="573">
                  <c:v>0.35852049581728274</c:v>
                </c:pt>
                <c:pt idx="574">
                  <c:v>0.35852049581728274</c:v>
                </c:pt>
                <c:pt idx="575">
                  <c:v>0.35852049581728274</c:v>
                </c:pt>
                <c:pt idx="576">
                  <c:v>0.35852049581728274</c:v>
                </c:pt>
                <c:pt idx="577">
                  <c:v>0.35852049581728274</c:v>
                </c:pt>
                <c:pt idx="578">
                  <c:v>0.35852049581728274</c:v>
                </c:pt>
                <c:pt idx="579">
                  <c:v>0.35852049581728274</c:v>
                </c:pt>
                <c:pt idx="580">
                  <c:v>0.35852049581728274</c:v>
                </c:pt>
                <c:pt idx="581">
                  <c:v>0.35852049581728274</c:v>
                </c:pt>
                <c:pt idx="582">
                  <c:v>0.35852049581728274</c:v>
                </c:pt>
                <c:pt idx="583">
                  <c:v>0.35852049581728274</c:v>
                </c:pt>
                <c:pt idx="584">
                  <c:v>0.35852049581728274</c:v>
                </c:pt>
                <c:pt idx="585">
                  <c:v>0.35852049581728274</c:v>
                </c:pt>
                <c:pt idx="586">
                  <c:v>0.35852049581728274</c:v>
                </c:pt>
                <c:pt idx="587">
                  <c:v>0.35852049581728274</c:v>
                </c:pt>
                <c:pt idx="588">
                  <c:v>0.35852049581728274</c:v>
                </c:pt>
                <c:pt idx="589">
                  <c:v>0.35852049581728274</c:v>
                </c:pt>
                <c:pt idx="590">
                  <c:v>0.35852049581728274</c:v>
                </c:pt>
                <c:pt idx="591">
                  <c:v>0.35852049581728274</c:v>
                </c:pt>
                <c:pt idx="592">
                  <c:v>0.35852049581728274</c:v>
                </c:pt>
                <c:pt idx="593">
                  <c:v>0.35852049581728274</c:v>
                </c:pt>
                <c:pt idx="594">
                  <c:v>0.35852049581728274</c:v>
                </c:pt>
                <c:pt idx="595">
                  <c:v>0.35852049581728274</c:v>
                </c:pt>
                <c:pt idx="596">
                  <c:v>0.35852049581728274</c:v>
                </c:pt>
                <c:pt idx="597">
                  <c:v>0.35852049581728274</c:v>
                </c:pt>
                <c:pt idx="598">
                  <c:v>0.35852049581728274</c:v>
                </c:pt>
                <c:pt idx="599">
                  <c:v>0.35852049581728274</c:v>
                </c:pt>
                <c:pt idx="600">
                  <c:v>0.35852049581728274</c:v>
                </c:pt>
                <c:pt idx="601">
                  <c:v>0.35852049581728274</c:v>
                </c:pt>
                <c:pt idx="602">
                  <c:v>0.35852049581728274</c:v>
                </c:pt>
                <c:pt idx="603">
                  <c:v>0.35852049581728274</c:v>
                </c:pt>
                <c:pt idx="604">
                  <c:v>0.35852049581728274</c:v>
                </c:pt>
                <c:pt idx="605">
                  <c:v>0.35852049581728274</c:v>
                </c:pt>
                <c:pt idx="606">
                  <c:v>0.35852049581728274</c:v>
                </c:pt>
                <c:pt idx="607">
                  <c:v>0.35852049581728274</c:v>
                </c:pt>
                <c:pt idx="608">
                  <c:v>0.35852049581728274</c:v>
                </c:pt>
                <c:pt idx="609">
                  <c:v>0.35852049581728274</c:v>
                </c:pt>
                <c:pt idx="610">
                  <c:v>0.35852049581728274</c:v>
                </c:pt>
                <c:pt idx="611">
                  <c:v>0.35852049581728274</c:v>
                </c:pt>
                <c:pt idx="612">
                  <c:v>0.35852049581728274</c:v>
                </c:pt>
                <c:pt idx="613">
                  <c:v>0.35852049581728274</c:v>
                </c:pt>
                <c:pt idx="614">
                  <c:v>0.35852049581728274</c:v>
                </c:pt>
                <c:pt idx="615">
                  <c:v>0.35852049581728274</c:v>
                </c:pt>
                <c:pt idx="616">
                  <c:v>0.35852049581728274</c:v>
                </c:pt>
                <c:pt idx="617">
                  <c:v>0.35852049581728274</c:v>
                </c:pt>
                <c:pt idx="618">
                  <c:v>0.35852049581728274</c:v>
                </c:pt>
                <c:pt idx="619">
                  <c:v>0.35852049581728274</c:v>
                </c:pt>
                <c:pt idx="620">
                  <c:v>0.35852049581728274</c:v>
                </c:pt>
                <c:pt idx="621">
                  <c:v>0.35852049581728274</c:v>
                </c:pt>
                <c:pt idx="622">
                  <c:v>0.35852049581728274</c:v>
                </c:pt>
                <c:pt idx="623">
                  <c:v>0.35852049581728274</c:v>
                </c:pt>
                <c:pt idx="624">
                  <c:v>0.35852049581728274</c:v>
                </c:pt>
                <c:pt idx="625">
                  <c:v>0.35852049581728274</c:v>
                </c:pt>
                <c:pt idx="626">
                  <c:v>0.35852049581728274</c:v>
                </c:pt>
                <c:pt idx="627">
                  <c:v>0.35852049581728274</c:v>
                </c:pt>
                <c:pt idx="628">
                  <c:v>0.35852049581728274</c:v>
                </c:pt>
                <c:pt idx="629">
                  <c:v>0.35852049581728274</c:v>
                </c:pt>
                <c:pt idx="630">
                  <c:v>0.35852049581728274</c:v>
                </c:pt>
                <c:pt idx="631">
                  <c:v>0.35852049581728274</c:v>
                </c:pt>
                <c:pt idx="632">
                  <c:v>0.35852049581728274</c:v>
                </c:pt>
                <c:pt idx="633">
                  <c:v>0.35852049581728274</c:v>
                </c:pt>
                <c:pt idx="634">
                  <c:v>0.35852049581728274</c:v>
                </c:pt>
                <c:pt idx="635">
                  <c:v>0.35852049581728274</c:v>
                </c:pt>
                <c:pt idx="636">
                  <c:v>0.35852049581728274</c:v>
                </c:pt>
                <c:pt idx="637">
                  <c:v>0.35852049581728274</c:v>
                </c:pt>
                <c:pt idx="638">
                  <c:v>0.35852049581728274</c:v>
                </c:pt>
                <c:pt idx="639">
                  <c:v>0.35852049581728274</c:v>
                </c:pt>
                <c:pt idx="640">
                  <c:v>0.35852049581728274</c:v>
                </c:pt>
                <c:pt idx="641">
                  <c:v>0.35852049581728274</c:v>
                </c:pt>
                <c:pt idx="642">
                  <c:v>0.35852049581728274</c:v>
                </c:pt>
                <c:pt idx="643">
                  <c:v>0.35852049581728274</c:v>
                </c:pt>
                <c:pt idx="644">
                  <c:v>0.35852049581728274</c:v>
                </c:pt>
                <c:pt idx="645">
                  <c:v>0.35852049581728274</c:v>
                </c:pt>
                <c:pt idx="646">
                  <c:v>0.35852049581728274</c:v>
                </c:pt>
                <c:pt idx="647">
                  <c:v>0.35852049581728274</c:v>
                </c:pt>
                <c:pt idx="648">
                  <c:v>0.35852049581728274</c:v>
                </c:pt>
                <c:pt idx="649">
                  <c:v>0.35852049581728274</c:v>
                </c:pt>
                <c:pt idx="650">
                  <c:v>0.35852049581728274</c:v>
                </c:pt>
                <c:pt idx="651">
                  <c:v>0.35852049581728274</c:v>
                </c:pt>
                <c:pt idx="652">
                  <c:v>0.35852049581728274</c:v>
                </c:pt>
                <c:pt idx="653">
                  <c:v>0.35852049581728274</c:v>
                </c:pt>
                <c:pt idx="654">
                  <c:v>0.35852049581728274</c:v>
                </c:pt>
                <c:pt idx="655">
                  <c:v>0.35852049581728274</c:v>
                </c:pt>
                <c:pt idx="656">
                  <c:v>0.35852049581728274</c:v>
                </c:pt>
                <c:pt idx="657">
                  <c:v>0.35852049581728274</c:v>
                </c:pt>
                <c:pt idx="658">
                  <c:v>0.35852049581728274</c:v>
                </c:pt>
                <c:pt idx="659">
                  <c:v>0.35852049581728274</c:v>
                </c:pt>
                <c:pt idx="660">
                  <c:v>0.35852049581728274</c:v>
                </c:pt>
                <c:pt idx="661">
                  <c:v>0.35852049581728274</c:v>
                </c:pt>
                <c:pt idx="662">
                  <c:v>0.35852049581728274</c:v>
                </c:pt>
                <c:pt idx="663">
                  <c:v>0.35852049581728274</c:v>
                </c:pt>
                <c:pt idx="664">
                  <c:v>0.35852049581728274</c:v>
                </c:pt>
                <c:pt idx="665">
                  <c:v>0.35852049581728274</c:v>
                </c:pt>
                <c:pt idx="666">
                  <c:v>0.35852049581728274</c:v>
                </c:pt>
                <c:pt idx="667">
                  <c:v>0.35852049581728274</c:v>
                </c:pt>
                <c:pt idx="668">
                  <c:v>0.35852049581728274</c:v>
                </c:pt>
                <c:pt idx="669">
                  <c:v>0.35852049581728274</c:v>
                </c:pt>
                <c:pt idx="670">
                  <c:v>0.35852049581728274</c:v>
                </c:pt>
                <c:pt idx="671">
                  <c:v>0.35852049581728274</c:v>
                </c:pt>
                <c:pt idx="672">
                  <c:v>0.35852049581728274</c:v>
                </c:pt>
                <c:pt idx="673">
                  <c:v>0.35852049581728274</c:v>
                </c:pt>
                <c:pt idx="674">
                  <c:v>0.35852049581728274</c:v>
                </c:pt>
                <c:pt idx="675">
                  <c:v>0.35852049581728274</c:v>
                </c:pt>
                <c:pt idx="676">
                  <c:v>0.35852049581728274</c:v>
                </c:pt>
                <c:pt idx="677">
                  <c:v>0.35852049581728274</c:v>
                </c:pt>
                <c:pt idx="678">
                  <c:v>0.35852049581728274</c:v>
                </c:pt>
                <c:pt idx="679">
                  <c:v>0.35852049581728274</c:v>
                </c:pt>
                <c:pt idx="680">
                  <c:v>0.35852049581728274</c:v>
                </c:pt>
                <c:pt idx="681">
                  <c:v>0.35852049581728274</c:v>
                </c:pt>
                <c:pt idx="682">
                  <c:v>0.35852049581728274</c:v>
                </c:pt>
                <c:pt idx="683">
                  <c:v>0.35852049581728274</c:v>
                </c:pt>
                <c:pt idx="684">
                  <c:v>0.35852049581728274</c:v>
                </c:pt>
                <c:pt idx="685">
                  <c:v>0.35852049581728274</c:v>
                </c:pt>
                <c:pt idx="686">
                  <c:v>0.35852049581728274</c:v>
                </c:pt>
                <c:pt idx="687">
                  <c:v>0.35852049581728274</c:v>
                </c:pt>
                <c:pt idx="688">
                  <c:v>0.35852049581728274</c:v>
                </c:pt>
                <c:pt idx="689">
                  <c:v>0.35852049581728274</c:v>
                </c:pt>
                <c:pt idx="690">
                  <c:v>0.35852049581728274</c:v>
                </c:pt>
                <c:pt idx="691">
                  <c:v>0.35852049581728274</c:v>
                </c:pt>
                <c:pt idx="692">
                  <c:v>0.35852049581728274</c:v>
                </c:pt>
                <c:pt idx="693">
                  <c:v>0.35852049581728274</c:v>
                </c:pt>
                <c:pt idx="694">
                  <c:v>0.35852049581728274</c:v>
                </c:pt>
                <c:pt idx="695">
                  <c:v>0.35852049581728274</c:v>
                </c:pt>
                <c:pt idx="696">
                  <c:v>0.35852049581728274</c:v>
                </c:pt>
                <c:pt idx="697">
                  <c:v>0.35852049581728274</c:v>
                </c:pt>
                <c:pt idx="698">
                  <c:v>0.35852049581728274</c:v>
                </c:pt>
                <c:pt idx="699">
                  <c:v>0.35852049581728274</c:v>
                </c:pt>
                <c:pt idx="700">
                  <c:v>0.35852049581728274</c:v>
                </c:pt>
                <c:pt idx="701">
                  <c:v>0.35852049581728274</c:v>
                </c:pt>
                <c:pt idx="702">
                  <c:v>0.35852049581728274</c:v>
                </c:pt>
                <c:pt idx="703">
                  <c:v>0.35852049581728274</c:v>
                </c:pt>
                <c:pt idx="704">
                  <c:v>0.35852049581728274</c:v>
                </c:pt>
                <c:pt idx="705">
                  <c:v>0.35852049581728274</c:v>
                </c:pt>
                <c:pt idx="706">
                  <c:v>0.35852049581728274</c:v>
                </c:pt>
                <c:pt idx="707">
                  <c:v>0.35852049581728274</c:v>
                </c:pt>
                <c:pt idx="708">
                  <c:v>0.35852049581728274</c:v>
                </c:pt>
                <c:pt idx="709">
                  <c:v>0.35852049581728274</c:v>
                </c:pt>
                <c:pt idx="710">
                  <c:v>0.35852049581728274</c:v>
                </c:pt>
                <c:pt idx="711">
                  <c:v>0.35852049581728274</c:v>
                </c:pt>
                <c:pt idx="712">
                  <c:v>0.35852049581728274</c:v>
                </c:pt>
                <c:pt idx="713">
                  <c:v>0.35852049581728274</c:v>
                </c:pt>
                <c:pt idx="714">
                  <c:v>0.35852049581728274</c:v>
                </c:pt>
                <c:pt idx="715">
                  <c:v>0.35852049581728274</c:v>
                </c:pt>
                <c:pt idx="716">
                  <c:v>0.35852049581728274</c:v>
                </c:pt>
                <c:pt idx="717">
                  <c:v>0.35852049581728274</c:v>
                </c:pt>
                <c:pt idx="718">
                  <c:v>0.35852049581728274</c:v>
                </c:pt>
                <c:pt idx="719">
                  <c:v>0.35852049581728274</c:v>
                </c:pt>
                <c:pt idx="720">
                  <c:v>0.35852049581728274</c:v>
                </c:pt>
                <c:pt idx="721">
                  <c:v>0.35852049581728274</c:v>
                </c:pt>
                <c:pt idx="722">
                  <c:v>0.35852049581728274</c:v>
                </c:pt>
                <c:pt idx="723">
                  <c:v>0.35852049581728274</c:v>
                </c:pt>
                <c:pt idx="724">
                  <c:v>0.35852049581728274</c:v>
                </c:pt>
                <c:pt idx="725">
                  <c:v>0.35852049581728274</c:v>
                </c:pt>
                <c:pt idx="726">
                  <c:v>0.35852049581728274</c:v>
                </c:pt>
                <c:pt idx="727">
                  <c:v>0.35852049581728274</c:v>
                </c:pt>
                <c:pt idx="728">
                  <c:v>0.35852049581728274</c:v>
                </c:pt>
                <c:pt idx="729">
                  <c:v>0.35852049581728274</c:v>
                </c:pt>
                <c:pt idx="730">
                  <c:v>0.35852049581728274</c:v>
                </c:pt>
                <c:pt idx="731">
                  <c:v>0.35852049581728274</c:v>
                </c:pt>
                <c:pt idx="732">
                  <c:v>0.35852049581728274</c:v>
                </c:pt>
                <c:pt idx="733">
                  <c:v>0.35852049581728274</c:v>
                </c:pt>
                <c:pt idx="734">
                  <c:v>0.35852049581728274</c:v>
                </c:pt>
                <c:pt idx="735">
                  <c:v>0.35852049581728274</c:v>
                </c:pt>
                <c:pt idx="736">
                  <c:v>0.35852049581728274</c:v>
                </c:pt>
                <c:pt idx="737">
                  <c:v>0.35852049581728274</c:v>
                </c:pt>
                <c:pt idx="738">
                  <c:v>0.35852049581728274</c:v>
                </c:pt>
                <c:pt idx="739">
                  <c:v>0.35852049581728274</c:v>
                </c:pt>
                <c:pt idx="740">
                  <c:v>0.35852049581728274</c:v>
                </c:pt>
                <c:pt idx="741">
                  <c:v>0.35852049581728274</c:v>
                </c:pt>
                <c:pt idx="742">
                  <c:v>0.35852049581728274</c:v>
                </c:pt>
                <c:pt idx="743">
                  <c:v>0.35852049581728274</c:v>
                </c:pt>
                <c:pt idx="744">
                  <c:v>0.35852049581728274</c:v>
                </c:pt>
                <c:pt idx="745">
                  <c:v>0.35852049581728274</c:v>
                </c:pt>
                <c:pt idx="746">
                  <c:v>0.35852049581728274</c:v>
                </c:pt>
                <c:pt idx="747">
                  <c:v>0.35852049581728274</c:v>
                </c:pt>
                <c:pt idx="748">
                  <c:v>0.35852049581728274</c:v>
                </c:pt>
                <c:pt idx="749">
                  <c:v>0.35852049581728274</c:v>
                </c:pt>
                <c:pt idx="750">
                  <c:v>0.35852049581728274</c:v>
                </c:pt>
                <c:pt idx="751">
                  <c:v>0.35852049581728274</c:v>
                </c:pt>
                <c:pt idx="752">
                  <c:v>0.35852049581728274</c:v>
                </c:pt>
                <c:pt idx="753">
                  <c:v>0.35852049581728274</c:v>
                </c:pt>
                <c:pt idx="754">
                  <c:v>0.35852049581728274</c:v>
                </c:pt>
                <c:pt idx="755">
                  <c:v>0.35852049581728274</c:v>
                </c:pt>
                <c:pt idx="756">
                  <c:v>0.35852049581728274</c:v>
                </c:pt>
                <c:pt idx="757">
                  <c:v>0.35852049581728274</c:v>
                </c:pt>
                <c:pt idx="758">
                  <c:v>0.35852049581728274</c:v>
                </c:pt>
                <c:pt idx="759">
                  <c:v>0.35852049581728274</c:v>
                </c:pt>
                <c:pt idx="760">
                  <c:v>0.35852049581728274</c:v>
                </c:pt>
                <c:pt idx="761">
                  <c:v>0.35852049581728274</c:v>
                </c:pt>
                <c:pt idx="762">
                  <c:v>0.35852049581728274</c:v>
                </c:pt>
                <c:pt idx="763">
                  <c:v>0.35852049581728274</c:v>
                </c:pt>
                <c:pt idx="764">
                  <c:v>0.35852049581728274</c:v>
                </c:pt>
                <c:pt idx="765">
                  <c:v>0.35852049581728274</c:v>
                </c:pt>
                <c:pt idx="766">
                  <c:v>0.35852049581728274</c:v>
                </c:pt>
                <c:pt idx="767">
                  <c:v>0.35852049581728274</c:v>
                </c:pt>
                <c:pt idx="768">
                  <c:v>0.35852049581728274</c:v>
                </c:pt>
                <c:pt idx="769">
                  <c:v>0.35852049581728274</c:v>
                </c:pt>
                <c:pt idx="770">
                  <c:v>0.35852049581728274</c:v>
                </c:pt>
                <c:pt idx="771">
                  <c:v>0.35852049581728274</c:v>
                </c:pt>
                <c:pt idx="772">
                  <c:v>0.35852049581728274</c:v>
                </c:pt>
                <c:pt idx="773">
                  <c:v>0.35852049581728274</c:v>
                </c:pt>
                <c:pt idx="774">
                  <c:v>0.35852049581728274</c:v>
                </c:pt>
                <c:pt idx="775">
                  <c:v>0.35852049581728274</c:v>
                </c:pt>
                <c:pt idx="776">
                  <c:v>0.35852049581728274</c:v>
                </c:pt>
                <c:pt idx="777">
                  <c:v>0.35852049581728274</c:v>
                </c:pt>
                <c:pt idx="778">
                  <c:v>0.35852049581728274</c:v>
                </c:pt>
                <c:pt idx="779">
                  <c:v>0.35852049581728274</c:v>
                </c:pt>
                <c:pt idx="780">
                  <c:v>0.35852049581728274</c:v>
                </c:pt>
                <c:pt idx="781">
                  <c:v>0.35852049581728274</c:v>
                </c:pt>
                <c:pt idx="782">
                  <c:v>0.35852049581728274</c:v>
                </c:pt>
                <c:pt idx="783">
                  <c:v>0.35852049581728274</c:v>
                </c:pt>
                <c:pt idx="784">
                  <c:v>0.35852049581728274</c:v>
                </c:pt>
                <c:pt idx="785">
                  <c:v>0.35852049581728274</c:v>
                </c:pt>
                <c:pt idx="786">
                  <c:v>0.35852049581728274</c:v>
                </c:pt>
                <c:pt idx="787">
                  <c:v>0.35852049581728274</c:v>
                </c:pt>
                <c:pt idx="788">
                  <c:v>0.35852049581728274</c:v>
                </c:pt>
                <c:pt idx="789">
                  <c:v>0.35852049581728274</c:v>
                </c:pt>
                <c:pt idx="790">
                  <c:v>0.35852049581728274</c:v>
                </c:pt>
                <c:pt idx="791">
                  <c:v>0.35852049581728274</c:v>
                </c:pt>
                <c:pt idx="792">
                  <c:v>0.35852049581728274</c:v>
                </c:pt>
                <c:pt idx="793">
                  <c:v>0.35852049581728274</c:v>
                </c:pt>
                <c:pt idx="794">
                  <c:v>0.35852049581728274</c:v>
                </c:pt>
                <c:pt idx="795">
                  <c:v>0.35852049581728274</c:v>
                </c:pt>
                <c:pt idx="796">
                  <c:v>0.35852049581728274</c:v>
                </c:pt>
                <c:pt idx="797">
                  <c:v>0.35852049581728274</c:v>
                </c:pt>
                <c:pt idx="798">
                  <c:v>0.35852049581728274</c:v>
                </c:pt>
                <c:pt idx="799">
                  <c:v>0.35852049581728274</c:v>
                </c:pt>
                <c:pt idx="800">
                  <c:v>0.35852049581728274</c:v>
                </c:pt>
                <c:pt idx="801">
                  <c:v>0.35852049581728274</c:v>
                </c:pt>
                <c:pt idx="802">
                  <c:v>0.35852049581728274</c:v>
                </c:pt>
                <c:pt idx="803">
                  <c:v>0.35852049581728274</c:v>
                </c:pt>
                <c:pt idx="804">
                  <c:v>0.35852049581728274</c:v>
                </c:pt>
                <c:pt idx="805">
                  <c:v>0.35852049581728274</c:v>
                </c:pt>
                <c:pt idx="806">
                  <c:v>0.35852049581728274</c:v>
                </c:pt>
                <c:pt idx="807">
                  <c:v>0.35852049581728274</c:v>
                </c:pt>
                <c:pt idx="808">
                  <c:v>0.35852049581728274</c:v>
                </c:pt>
                <c:pt idx="809">
                  <c:v>0.35852049581728274</c:v>
                </c:pt>
                <c:pt idx="810">
                  <c:v>0.35852049581728274</c:v>
                </c:pt>
                <c:pt idx="811">
                  <c:v>0.35852049581728274</c:v>
                </c:pt>
                <c:pt idx="812">
                  <c:v>0.35852049581728274</c:v>
                </c:pt>
                <c:pt idx="813">
                  <c:v>0.35852049581728274</c:v>
                </c:pt>
                <c:pt idx="814">
                  <c:v>0.35852049581728274</c:v>
                </c:pt>
                <c:pt idx="815">
                  <c:v>0.35852049581728274</c:v>
                </c:pt>
                <c:pt idx="816">
                  <c:v>0.35852049581728274</c:v>
                </c:pt>
                <c:pt idx="817">
                  <c:v>0.35852049581728274</c:v>
                </c:pt>
                <c:pt idx="818">
                  <c:v>0.35852049581728274</c:v>
                </c:pt>
                <c:pt idx="819">
                  <c:v>0.35852049581728274</c:v>
                </c:pt>
                <c:pt idx="820">
                  <c:v>0.35852049581728274</c:v>
                </c:pt>
                <c:pt idx="821">
                  <c:v>0.35852049581728274</c:v>
                </c:pt>
                <c:pt idx="822">
                  <c:v>0.35852049581728274</c:v>
                </c:pt>
                <c:pt idx="823">
                  <c:v>0.35852049581728274</c:v>
                </c:pt>
                <c:pt idx="824">
                  <c:v>0.35852049581728274</c:v>
                </c:pt>
                <c:pt idx="825">
                  <c:v>0.35852049581728274</c:v>
                </c:pt>
                <c:pt idx="826">
                  <c:v>0.35852049581728274</c:v>
                </c:pt>
                <c:pt idx="827">
                  <c:v>0.35852049581728274</c:v>
                </c:pt>
                <c:pt idx="828">
                  <c:v>0.35852049581728274</c:v>
                </c:pt>
                <c:pt idx="829">
                  <c:v>0.35852049581728274</c:v>
                </c:pt>
                <c:pt idx="830">
                  <c:v>0.35852049581728274</c:v>
                </c:pt>
                <c:pt idx="831">
                  <c:v>0.35852049581728274</c:v>
                </c:pt>
                <c:pt idx="832">
                  <c:v>0.35852049581728274</c:v>
                </c:pt>
                <c:pt idx="833">
                  <c:v>0.35852049581728274</c:v>
                </c:pt>
                <c:pt idx="834">
                  <c:v>0.35852049581728274</c:v>
                </c:pt>
                <c:pt idx="835">
                  <c:v>0.35852049581728274</c:v>
                </c:pt>
                <c:pt idx="836">
                  <c:v>0.35852049581728274</c:v>
                </c:pt>
                <c:pt idx="837">
                  <c:v>0.35852049581728274</c:v>
                </c:pt>
                <c:pt idx="838">
                  <c:v>0.35852049581728274</c:v>
                </c:pt>
                <c:pt idx="839">
                  <c:v>0.35852049581728274</c:v>
                </c:pt>
                <c:pt idx="840">
                  <c:v>0.35852049581728274</c:v>
                </c:pt>
                <c:pt idx="841">
                  <c:v>0.35852049581728274</c:v>
                </c:pt>
                <c:pt idx="842">
                  <c:v>0.35852049581728274</c:v>
                </c:pt>
                <c:pt idx="843">
                  <c:v>0.35852049581728274</c:v>
                </c:pt>
                <c:pt idx="844">
                  <c:v>0.35852049581728274</c:v>
                </c:pt>
                <c:pt idx="845">
                  <c:v>0.35852049581728274</c:v>
                </c:pt>
                <c:pt idx="846">
                  <c:v>0.35852049581728274</c:v>
                </c:pt>
                <c:pt idx="847">
                  <c:v>0.35852049581728274</c:v>
                </c:pt>
                <c:pt idx="848">
                  <c:v>0.35852049581728274</c:v>
                </c:pt>
                <c:pt idx="849">
                  <c:v>0.35852049581728274</c:v>
                </c:pt>
                <c:pt idx="850">
                  <c:v>0.35852049581728274</c:v>
                </c:pt>
                <c:pt idx="851">
                  <c:v>0.35852049581728274</c:v>
                </c:pt>
                <c:pt idx="852">
                  <c:v>0.35852049581728274</c:v>
                </c:pt>
                <c:pt idx="853">
                  <c:v>0.35852049581728274</c:v>
                </c:pt>
                <c:pt idx="854">
                  <c:v>0.35852049581728274</c:v>
                </c:pt>
                <c:pt idx="855">
                  <c:v>0.35852049581728274</c:v>
                </c:pt>
                <c:pt idx="856">
                  <c:v>0.35852049581728274</c:v>
                </c:pt>
                <c:pt idx="857">
                  <c:v>0.35852049581728274</c:v>
                </c:pt>
                <c:pt idx="858">
                  <c:v>0.35852049581728274</c:v>
                </c:pt>
                <c:pt idx="859">
                  <c:v>0.35852049581728274</c:v>
                </c:pt>
                <c:pt idx="860">
                  <c:v>0.35852049581728274</c:v>
                </c:pt>
                <c:pt idx="861">
                  <c:v>0.35852049581728274</c:v>
                </c:pt>
                <c:pt idx="862">
                  <c:v>0.35852049581728274</c:v>
                </c:pt>
                <c:pt idx="863">
                  <c:v>0.35852049581728274</c:v>
                </c:pt>
                <c:pt idx="864">
                  <c:v>0.35852049581728274</c:v>
                </c:pt>
                <c:pt idx="865">
                  <c:v>0.35852049581728274</c:v>
                </c:pt>
                <c:pt idx="866">
                  <c:v>0.35852049581728274</c:v>
                </c:pt>
                <c:pt idx="867">
                  <c:v>0.35852049581728274</c:v>
                </c:pt>
                <c:pt idx="868">
                  <c:v>0.35852049581728274</c:v>
                </c:pt>
                <c:pt idx="869">
                  <c:v>0.35852049581728274</c:v>
                </c:pt>
                <c:pt idx="870">
                  <c:v>0.35852049581728274</c:v>
                </c:pt>
                <c:pt idx="871">
                  <c:v>0.35852049581728274</c:v>
                </c:pt>
                <c:pt idx="872">
                  <c:v>0.35852049581728274</c:v>
                </c:pt>
                <c:pt idx="873">
                  <c:v>0.35852049581728274</c:v>
                </c:pt>
                <c:pt idx="874">
                  <c:v>0.35852049581728274</c:v>
                </c:pt>
                <c:pt idx="875">
                  <c:v>0.35852049581728274</c:v>
                </c:pt>
                <c:pt idx="876">
                  <c:v>0.35852049581728274</c:v>
                </c:pt>
                <c:pt idx="877">
                  <c:v>0.35852049581728274</c:v>
                </c:pt>
                <c:pt idx="878">
                  <c:v>0.35852049581728274</c:v>
                </c:pt>
                <c:pt idx="879">
                  <c:v>0.35852049581728274</c:v>
                </c:pt>
                <c:pt idx="880">
                  <c:v>0.35852049581728274</c:v>
                </c:pt>
                <c:pt idx="881">
                  <c:v>0.35852049581728274</c:v>
                </c:pt>
                <c:pt idx="882">
                  <c:v>0.35852049581728274</c:v>
                </c:pt>
                <c:pt idx="883">
                  <c:v>0.35852049581728274</c:v>
                </c:pt>
                <c:pt idx="884">
                  <c:v>0.35852049581728274</c:v>
                </c:pt>
                <c:pt idx="885">
                  <c:v>0.35852049581728274</c:v>
                </c:pt>
                <c:pt idx="886">
                  <c:v>0.35852049581728274</c:v>
                </c:pt>
                <c:pt idx="887">
                  <c:v>0.35852049581728274</c:v>
                </c:pt>
                <c:pt idx="888">
                  <c:v>0.35852049581728274</c:v>
                </c:pt>
                <c:pt idx="889">
                  <c:v>0.35852049581728274</c:v>
                </c:pt>
                <c:pt idx="890">
                  <c:v>0.35852049581728274</c:v>
                </c:pt>
                <c:pt idx="891">
                  <c:v>0.35852049581728274</c:v>
                </c:pt>
                <c:pt idx="892">
                  <c:v>0.35852049581728274</c:v>
                </c:pt>
                <c:pt idx="893">
                  <c:v>0.35852049581728274</c:v>
                </c:pt>
                <c:pt idx="894">
                  <c:v>0.35852049581728274</c:v>
                </c:pt>
                <c:pt idx="895">
                  <c:v>0.35852049581728274</c:v>
                </c:pt>
                <c:pt idx="896">
                  <c:v>0.35852049581728274</c:v>
                </c:pt>
                <c:pt idx="897">
                  <c:v>0.35852049581728274</c:v>
                </c:pt>
                <c:pt idx="898">
                  <c:v>0.35852049581728274</c:v>
                </c:pt>
                <c:pt idx="899">
                  <c:v>0.35852049581728274</c:v>
                </c:pt>
                <c:pt idx="900">
                  <c:v>0.35852049581728274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36-4F9A-9C69-E6016AB5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8"/>
  <sheetViews>
    <sheetView workbookViewId="0"/>
  </sheetViews>
  <sheetFormatPr defaultRowHeight="14.4" x14ac:dyDescent="0.3"/>
  <sheetData>
    <row r="1" spans="1:25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</row>
    <row r="2" spans="1:25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>
        <v>305.61500000000001</v>
      </c>
      <c r="Y2">
        <v>782.97500000000002</v>
      </c>
    </row>
    <row r="3" spans="1:25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>
        <v>309.23</v>
      </c>
      <c r="Y3">
        <v>786.1</v>
      </c>
    </row>
    <row r="4" spans="1:25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>
        <v>309.315</v>
      </c>
      <c r="Y4">
        <v>783.6</v>
      </c>
    </row>
    <row r="5" spans="1:25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>
        <v>311.58999999999997</v>
      </c>
      <c r="Y5">
        <v>790.28</v>
      </c>
    </row>
    <row r="6" spans="1:25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>
        <v>307.42500000000001</v>
      </c>
      <c r="Y6">
        <v>778.79</v>
      </c>
    </row>
    <row r="7" spans="1:25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>
        <v>309.33999999999997</v>
      </c>
      <c r="Y7">
        <v>792.03</v>
      </c>
    </row>
    <row r="8" spans="1:25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>
        <v>309.59500000000003</v>
      </c>
      <c r="Y8">
        <v>792.46</v>
      </c>
    </row>
    <row r="9" spans="1:25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>
        <v>319.07</v>
      </c>
      <c r="Y9">
        <v>804.4</v>
      </c>
    </row>
    <row r="10" spans="1:25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>
        <v>316.99</v>
      </c>
      <c r="Y10">
        <v>797.74</v>
      </c>
    </row>
    <row r="11" spans="1:25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>
        <v>320.43</v>
      </c>
      <c r="Y11">
        <v>829.34</v>
      </c>
    </row>
    <row r="12" spans="1:25" x14ac:dyDescent="0.3">
      <c r="A12">
        <v>1</v>
      </c>
      <c r="B12" t="s">
        <v>25</v>
      </c>
      <c r="C12" t="s">
        <v>26</v>
      </c>
      <c r="D12">
        <v>27902</v>
      </c>
      <c r="E12">
        <v>321.54000000000002</v>
      </c>
      <c r="F12">
        <v>832.99</v>
      </c>
      <c r="G12">
        <v>321.50784599999997</v>
      </c>
      <c r="H12">
        <v>833.07329900000002</v>
      </c>
      <c r="I12">
        <v>3.6646558912114862</v>
      </c>
      <c r="J12">
        <v>0.65390315097189344</v>
      </c>
      <c r="K12">
        <v>-3.1100329663494429E-2</v>
      </c>
      <c r="L12">
        <v>7.8500720413437544E-3</v>
      </c>
      <c r="M12" t="s">
        <v>27</v>
      </c>
      <c r="N12">
        <v>22</v>
      </c>
      <c r="O12" t="s">
        <v>28</v>
      </c>
      <c r="P12">
        <v>27924</v>
      </c>
      <c r="Q12">
        <v>321.12</v>
      </c>
      <c r="R12">
        <v>832.625</v>
      </c>
      <c r="S12">
        <v>0.47150670739245332</v>
      </c>
      <c r="T12">
        <v>1.0196862163577611E-2</v>
      </c>
      <c r="U12">
        <v>6.890648603109532E-3</v>
      </c>
      <c r="V12">
        <v>3.3077370825739809E-3</v>
      </c>
      <c r="W12">
        <v>3.5829115205355511E-3</v>
      </c>
      <c r="X12">
        <v>321.12</v>
      </c>
      <c r="Y12">
        <v>832.625</v>
      </c>
    </row>
    <row r="13" spans="1:25" x14ac:dyDescent="0.3">
      <c r="A13">
        <v>1</v>
      </c>
      <c r="B13" t="s">
        <v>25</v>
      </c>
      <c r="C13" t="s">
        <v>26</v>
      </c>
      <c r="D13">
        <v>28497</v>
      </c>
      <c r="E13">
        <v>305.70999999999998</v>
      </c>
      <c r="F13">
        <v>787.29</v>
      </c>
      <c r="G13">
        <v>305.67942900000003</v>
      </c>
      <c r="H13">
        <v>787.36872899999992</v>
      </c>
      <c r="I13">
        <v>3.961248784974861</v>
      </c>
      <c r="J13">
        <v>0.65390315097189344</v>
      </c>
      <c r="K13">
        <v>-3.2710738935592558E-2</v>
      </c>
      <c r="L13">
        <v>8.3057469416846844E-3</v>
      </c>
      <c r="M13" t="s">
        <v>27</v>
      </c>
      <c r="N13">
        <v>7</v>
      </c>
      <c r="O13" t="s">
        <v>28</v>
      </c>
      <c r="P13">
        <v>28504</v>
      </c>
      <c r="Q13">
        <v>304.36500000000001</v>
      </c>
      <c r="R13">
        <v>786.38</v>
      </c>
      <c r="S13">
        <v>3.0918090914119251E-2</v>
      </c>
      <c r="T13">
        <v>3.6437714151438233E-2</v>
      </c>
      <c r="U13">
        <v>3.3135063266853192E-2</v>
      </c>
      <c r="V13">
        <v>3.3077370825739809E-3</v>
      </c>
      <c r="W13">
        <v>2.9827326184279211E-2</v>
      </c>
      <c r="X13">
        <v>304.36500000000001</v>
      </c>
      <c r="Y13">
        <v>786.38</v>
      </c>
    </row>
    <row r="14" spans="1:25" x14ac:dyDescent="0.3">
      <c r="A14">
        <v>1</v>
      </c>
      <c r="B14" t="s">
        <v>25</v>
      </c>
      <c r="C14" t="s">
        <v>26</v>
      </c>
      <c r="D14">
        <v>28630</v>
      </c>
      <c r="E14">
        <v>304.8</v>
      </c>
      <c r="F14">
        <v>797.31500000000005</v>
      </c>
      <c r="G14">
        <v>304.83048000000002</v>
      </c>
      <c r="H14">
        <v>797.23526850000007</v>
      </c>
      <c r="I14">
        <v>-3.626108387612347</v>
      </c>
      <c r="J14">
        <v>0.65390315097189344</v>
      </c>
      <c r="K14">
        <v>3.2808398950131233E-2</v>
      </c>
      <c r="L14">
        <v>-8.2013150507878746E-3</v>
      </c>
      <c r="M14" t="s">
        <v>29</v>
      </c>
      <c r="N14">
        <v>9</v>
      </c>
      <c r="O14" t="s">
        <v>28</v>
      </c>
      <c r="P14">
        <v>28639</v>
      </c>
      <c r="Q14">
        <v>305.47000000000003</v>
      </c>
      <c r="R14">
        <v>796.03</v>
      </c>
      <c r="S14">
        <v>0.26313252588381159</v>
      </c>
      <c r="T14">
        <v>3.2520317136851537E-2</v>
      </c>
      <c r="U14">
        <v>2.921136654116133E-2</v>
      </c>
      <c r="V14">
        <v>3.307875521313593E-3</v>
      </c>
      <c r="W14">
        <v>2.5903491019847739E-2</v>
      </c>
      <c r="X14">
        <v>305.47000000000003</v>
      </c>
      <c r="Y14">
        <v>796.03</v>
      </c>
    </row>
    <row r="15" spans="1:25" x14ac:dyDescent="0.3">
      <c r="A15">
        <v>1</v>
      </c>
      <c r="B15" t="s">
        <v>25</v>
      </c>
      <c r="C15" t="s">
        <v>26</v>
      </c>
      <c r="D15">
        <v>28708</v>
      </c>
      <c r="E15">
        <v>304.81</v>
      </c>
      <c r="F15">
        <v>797.11</v>
      </c>
      <c r="G15">
        <v>304.84048100000001</v>
      </c>
      <c r="H15">
        <v>797.03028900000004</v>
      </c>
      <c r="I15">
        <v>-3.5560199780060682</v>
      </c>
      <c r="J15">
        <v>0.65390315097189344</v>
      </c>
      <c r="K15">
        <v>3.2807322594403068E-2</v>
      </c>
      <c r="L15">
        <v>-8.2034242572780851E-3</v>
      </c>
      <c r="M15" t="s">
        <v>29</v>
      </c>
      <c r="N15">
        <v>27</v>
      </c>
      <c r="O15" t="s">
        <v>28</v>
      </c>
      <c r="P15">
        <v>28735</v>
      </c>
      <c r="Q15">
        <v>304.57</v>
      </c>
      <c r="R15">
        <v>796.62</v>
      </c>
      <c r="S15">
        <v>0.12160767258253349</v>
      </c>
      <c r="T15">
        <v>-3.8540795365906988E-3</v>
      </c>
      <c r="U15">
        <v>-7.1606964950039851E-3</v>
      </c>
      <c r="V15">
        <v>3.3078755213135922E-3</v>
      </c>
      <c r="W15">
        <v>-1.046857201631758E-2</v>
      </c>
      <c r="X15">
        <v>304.57</v>
      </c>
      <c r="Y15">
        <v>796.62</v>
      </c>
    </row>
    <row r="16" spans="1:25" x14ac:dyDescent="0.3">
      <c r="A16">
        <v>1</v>
      </c>
      <c r="B16" t="s">
        <v>25</v>
      </c>
      <c r="C16" t="s">
        <v>26</v>
      </c>
      <c r="D16">
        <v>29667</v>
      </c>
      <c r="E16">
        <v>300.82</v>
      </c>
      <c r="F16">
        <v>776.07</v>
      </c>
      <c r="G16">
        <v>300.789918</v>
      </c>
      <c r="H16">
        <v>776.14760699999999</v>
      </c>
      <c r="I16">
        <v>4.3180526865916153</v>
      </c>
      <c r="J16">
        <v>0.65390315097189344</v>
      </c>
      <c r="K16">
        <v>-3.324247058041354E-2</v>
      </c>
      <c r="L16">
        <v>8.4258269353523953E-3</v>
      </c>
      <c r="M16" t="s">
        <v>27</v>
      </c>
      <c r="N16">
        <v>24</v>
      </c>
      <c r="O16" t="s">
        <v>28</v>
      </c>
      <c r="P16">
        <v>29691</v>
      </c>
      <c r="Q16">
        <v>302.36</v>
      </c>
      <c r="R16">
        <v>779.06500000000005</v>
      </c>
      <c r="S16">
        <v>0.36508654889452202</v>
      </c>
      <c r="T16">
        <v>-2.5958053022457069E-2</v>
      </c>
      <c r="U16">
        <v>-2.9273502200037081E-2</v>
      </c>
      <c r="V16">
        <v>3.3077370825739809E-3</v>
      </c>
      <c r="W16">
        <v>-3.2581239282611058E-2</v>
      </c>
      <c r="X16">
        <v>302.36</v>
      </c>
      <c r="Y16">
        <v>779.06500000000005</v>
      </c>
    </row>
    <row r="17" spans="1:25" x14ac:dyDescent="0.3">
      <c r="A17">
        <v>1</v>
      </c>
      <c r="B17" t="s">
        <v>25</v>
      </c>
      <c r="C17" t="s">
        <v>26</v>
      </c>
      <c r="D17">
        <v>30059</v>
      </c>
      <c r="E17">
        <v>307.04000000000002</v>
      </c>
      <c r="F17">
        <v>805.745</v>
      </c>
      <c r="G17">
        <v>307.07070399999998</v>
      </c>
      <c r="H17">
        <v>805.66442549999999</v>
      </c>
      <c r="I17">
        <v>-3.861825877035987</v>
      </c>
      <c r="J17">
        <v>0.65390315097189344</v>
      </c>
      <c r="K17">
        <v>3.2569046378322038E-2</v>
      </c>
      <c r="L17">
        <v>-8.1155098818099201E-3</v>
      </c>
      <c r="M17" t="s">
        <v>29</v>
      </c>
      <c r="N17">
        <v>6</v>
      </c>
      <c r="O17" t="s">
        <v>28</v>
      </c>
      <c r="P17">
        <v>30065</v>
      </c>
      <c r="Q17">
        <v>308.48</v>
      </c>
      <c r="R17">
        <v>807.56</v>
      </c>
      <c r="S17">
        <v>-0.31972299532199389</v>
      </c>
      <c r="T17">
        <v>3.2169776349299142E-2</v>
      </c>
      <c r="U17">
        <v>2.885580713963343E-2</v>
      </c>
      <c r="V17">
        <v>3.3078755213135922E-3</v>
      </c>
      <c r="W17">
        <v>2.5547931618319839E-2</v>
      </c>
      <c r="X17">
        <v>308.48</v>
      </c>
      <c r="Y17">
        <v>807.56</v>
      </c>
    </row>
    <row r="18" spans="1:25" x14ac:dyDescent="0.3">
      <c r="A18">
        <v>1</v>
      </c>
      <c r="B18" t="s">
        <v>25</v>
      </c>
      <c r="C18" t="s">
        <v>26</v>
      </c>
      <c r="D18">
        <v>31217</v>
      </c>
      <c r="E18">
        <v>297.97000000000003</v>
      </c>
      <c r="F18">
        <v>792.37</v>
      </c>
      <c r="G18">
        <v>297.999797</v>
      </c>
      <c r="H18">
        <v>792.29076299999997</v>
      </c>
      <c r="I18">
        <v>-3.5745619995039339</v>
      </c>
      <c r="J18">
        <v>0.65390315097189344</v>
      </c>
      <c r="K18">
        <v>3.356042554619592E-2</v>
      </c>
      <c r="L18">
        <v>-8.2524975828450527E-3</v>
      </c>
      <c r="M18" t="s">
        <v>29</v>
      </c>
      <c r="N18">
        <v>10</v>
      </c>
      <c r="O18" t="s">
        <v>28</v>
      </c>
      <c r="P18">
        <v>31227</v>
      </c>
      <c r="Q18">
        <v>299.32</v>
      </c>
      <c r="R18">
        <v>795.23500000000001</v>
      </c>
      <c r="S18">
        <v>-0.43617297553798712</v>
      </c>
      <c r="T18">
        <v>2.1663168912512191E-2</v>
      </c>
      <c r="U18">
        <v>1.834846761256418E-2</v>
      </c>
      <c r="V18">
        <v>3.3078755213135922E-3</v>
      </c>
      <c r="W18">
        <v>1.5040592091250591E-2</v>
      </c>
      <c r="X18">
        <v>299.32</v>
      </c>
      <c r="Y18">
        <v>795.23500000000001</v>
      </c>
    </row>
    <row r="19" spans="1:25" x14ac:dyDescent="0.3">
      <c r="A19">
        <v>2</v>
      </c>
      <c r="B19" t="s">
        <v>30</v>
      </c>
      <c r="C19" t="s">
        <v>31</v>
      </c>
      <c r="D19">
        <v>31801</v>
      </c>
      <c r="E19">
        <v>53.09</v>
      </c>
      <c r="F19">
        <v>85.965000000000003</v>
      </c>
      <c r="G19">
        <v>53.095309</v>
      </c>
      <c r="H19">
        <v>85.956403500000008</v>
      </c>
      <c r="I19">
        <v>-5.2946208284457406</v>
      </c>
      <c r="J19">
        <v>0.73858207225207795</v>
      </c>
      <c r="K19">
        <v>0.18835938971557731</v>
      </c>
      <c r="L19">
        <v>-8.5916602367484204E-2</v>
      </c>
      <c r="M19" t="s">
        <v>29</v>
      </c>
      <c r="N19">
        <v>23</v>
      </c>
      <c r="O19" t="s">
        <v>28</v>
      </c>
      <c r="P19">
        <v>31824</v>
      </c>
      <c r="Q19">
        <v>53.09</v>
      </c>
      <c r="R19">
        <v>86</v>
      </c>
      <c r="S19">
        <v>-0.49061198670242301</v>
      </c>
      <c r="T19">
        <v>-3.0070810828616542E-3</v>
      </c>
      <c r="U19">
        <v>-6.484545935472685E-3</v>
      </c>
      <c r="V19">
        <v>3.477216428089706E-3</v>
      </c>
      <c r="W19">
        <v>-9.961762363562391E-3</v>
      </c>
      <c r="X19">
        <v>53.09</v>
      </c>
      <c r="Y19">
        <v>86</v>
      </c>
    </row>
    <row r="20" spans="1:25" x14ac:dyDescent="0.3">
      <c r="A20">
        <v>2</v>
      </c>
      <c r="B20" t="s">
        <v>30</v>
      </c>
      <c r="C20" t="s">
        <v>31</v>
      </c>
      <c r="D20">
        <v>32007</v>
      </c>
      <c r="E20">
        <v>53.05</v>
      </c>
      <c r="F20">
        <v>85.48</v>
      </c>
      <c r="G20">
        <v>53.044694999999997</v>
      </c>
      <c r="H20">
        <v>85.488548000000009</v>
      </c>
      <c r="I20">
        <v>4.5358081524885527</v>
      </c>
      <c r="J20">
        <v>0.73858207225207795</v>
      </c>
      <c r="K20">
        <v>-0.1885014137606032</v>
      </c>
      <c r="L20">
        <v>8.6404079580261806E-2</v>
      </c>
      <c r="M20" t="s">
        <v>27</v>
      </c>
      <c r="N20">
        <v>48</v>
      </c>
      <c r="O20" t="s">
        <v>28</v>
      </c>
      <c r="P20">
        <v>32055</v>
      </c>
      <c r="Q20">
        <v>53.64</v>
      </c>
      <c r="R20">
        <v>85.89</v>
      </c>
      <c r="S20">
        <v>0.45483686562535858</v>
      </c>
      <c r="T20">
        <v>-7.5790161490849495E-2</v>
      </c>
      <c r="U20">
        <v>-7.9281989786028781E-2</v>
      </c>
      <c r="V20">
        <v>3.4771118609186061E-3</v>
      </c>
      <c r="W20">
        <v>-8.2759101646947386E-2</v>
      </c>
      <c r="X20">
        <v>53.64</v>
      </c>
      <c r="Y20">
        <v>85.89</v>
      </c>
    </row>
    <row r="21" spans="1:25" x14ac:dyDescent="0.3">
      <c r="A21">
        <v>2</v>
      </c>
      <c r="B21" t="s">
        <v>30</v>
      </c>
      <c r="C21" t="s">
        <v>31</v>
      </c>
      <c r="D21">
        <v>32217</v>
      </c>
      <c r="E21">
        <v>53.524999999999999</v>
      </c>
      <c r="F21">
        <v>85.885000000000005</v>
      </c>
      <c r="G21">
        <v>53.530352499999999</v>
      </c>
      <c r="H21">
        <v>85.876411500000003</v>
      </c>
      <c r="I21">
        <v>-4.2270288898543331</v>
      </c>
      <c r="J21">
        <v>0.73858207225207795</v>
      </c>
      <c r="K21">
        <v>0.18682858477347031</v>
      </c>
      <c r="L21">
        <v>-8.5996631804398663E-2</v>
      </c>
      <c r="M21" t="s">
        <v>29</v>
      </c>
      <c r="N21">
        <v>1</v>
      </c>
      <c r="O21" t="s">
        <v>28</v>
      </c>
      <c r="P21">
        <v>32218</v>
      </c>
      <c r="Q21">
        <v>53.54</v>
      </c>
      <c r="R21">
        <v>85.66</v>
      </c>
      <c r="S21">
        <v>0.16301467559101179</v>
      </c>
      <c r="T21">
        <v>2.2151670927592591E-2</v>
      </c>
      <c r="U21">
        <v>1.867616146442698E-2</v>
      </c>
      <c r="V21">
        <v>3.4772164280897052E-3</v>
      </c>
      <c r="W21">
        <v>1.519894503633727E-2</v>
      </c>
      <c r="X21">
        <v>53.54</v>
      </c>
      <c r="Y21">
        <v>85.66</v>
      </c>
    </row>
    <row r="22" spans="1:25" x14ac:dyDescent="0.3">
      <c r="A22">
        <v>2</v>
      </c>
      <c r="B22" t="s">
        <v>30</v>
      </c>
      <c r="C22" t="s">
        <v>31</v>
      </c>
      <c r="D22">
        <v>32614</v>
      </c>
      <c r="E22">
        <v>53.25</v>
      </c>
      <c r="F22">
        <v>85.77</v>
      </c>
      <c r="G22">
        <v>53.255324999999999</v>
      </c>
      <c r="H22">
        <v>85.761422999999994</v>
      </c>
      <c r="I22">
        <v>-3.6888173964009101</v>
      </c>
      <c r="J22">
        <v>0.73858207225207795</v>
      </c>
      <c r="K22">
        <v>0.18779342723004691</v>
      </c>
      <c r="L22">
        <v>-8.6111935671222814E-2</v>
      </c>
      <c r="M22" t="s">
        <v>29</v>
      </c>
      <c r="N22">
        <v>17</v>
      </c>
      <c r="O22" t="s">
        <v>28</v>
      </c>
      <c r="P22">
        <v>32631</v>
      </c>
      <c r="Q22">
        <v>53.134999999999998</v>
      </c>
      <c r="R22">
        <v>85.39</v>
      </c>
      <c r="S22">
        <v>-0.28159100552270649</v>
      </c>
      <c r="T22">
        <v>1.1126291423608509E-2</v>
      </c>
      <c r="U22">
        <v>7.6545591570730846E-3</v>
      </c>
      <c r="V22">
        <v>3.477216428089706E-3</v>
      </c>
      <c r="W22">
        <v>4.1773427289833794E-3</v>
      </c>
      <c r="X22">
        <v>53.134999999999998</v>
      </c>
      <c r="Y22">
        <v>85.39</v>
      </c>
    </row>
    <row r="23" spans="1:25" x14ac:dyDescent="0.3">
      <c r="A23">
        <v>2</v>
      </c>
      <c r="B23" t="s">
        <v>30</v>
      </c>
      <c r="C23" t="s">
        <v>31</v>
      </c>
      <c r="D23">
        <v>32998</v>
      </c>
      <c r="E23">
        <v>53.3</v>
      </c>
      <c r="F23">
        <v>86.31</v>
      </c>
      <c r="G23">
        <v>53.294670000000004</v>
      </c>
      <c r="H23">
        <v>86.318630999999996</v>
      </c>
      <c r="I23">
        <v>4.1634247093211707</v>
      </c>
      <c r="J23">
        <v>0.73858207225207795</v>
      </c>
      <c r="K23">
        <v>-0.18761726078799251</v>
      </c>
      <c r="L23">
        <v>8.5573174864103582E-2</v>
      </c>
      <c r="M23" t="s">
        <v>27</v>
      </c>
      <c r="N23">
        <v>17</v>
      </c>
      <c r="O23" t="s">
        <v>28</v>
      </c>
      <c r="P23">
        <v>33015</v>
      </c>
      <c r="Q23">
        <v>53.524999999999999</v>
      </c>
      <c r="R23">
        <v>86.83</v>
      </c>
      <c r="S23">
        <v>0.47469369829974212</v>
      </c>
      <c r="T23">
        <v>2.2841672520349451E-3</v>
      </c>
      <c r="U23">
        <v>-1.2016680859300651E-3</v>
      </c>
      <c r="V23">
        <v>3.4771118609186061E-3</v>
      </c>
      <c r="W23">
        <v>-4.6787799468486707E-3</v>
      </c>
      <c r="X23">
        <v>53.524999999999999</v>
      </c>
      <c r="Y23">
        <v>86.83</v>
      </c>
    </row>
    <row r="24" spans="1:25" x14ac:dyDescent="0.3">
      <c r="A24">
        <v>2</v>
      </c>
      <c r="B24" t="s">
        <v>30</v>
      </c>
      <c r="C24" t="s">
        <v>31</v>
      </c>
      <c r="D24">
        <v>34559</v>
      </c>
      <c r="E24">
        <v>54.005000000000003</v>
      </c>
      <c r="F24">
        <v>89.76</v>
      </c>
      <c r="G24">
        <v>53.999599500000002</v>
      </c>
      <c r="H24">
        <v>89.768976000000009</v>
      </c>
      <c r="I24">
        <v>3.5672352167586561</v>
      </c>
      <c r="J24">
        <v>0.73858207225207795</v>
      </c>
      <c r="K24">
        <v>-0.18516803999629661</v>
      </c>
      <c r="L24">
        <v>8.2284098958564839E-2</v>
      </c>
      <c r="M24" t="s">
        <v>27</v>
      </c>
      <c r="N24">
        <v>5</v>
      </c>
      <c r="O24" t="s">
        <v>28</v>
      </c>
      <c r="P24">
        <v>34564</v>
      </c>
      <c r="Q24">
        <v>53.83</v>
      </c>
      <c r="R24">
        <v>89.754999999999995</v>
      </c>
      <c r="S24">
        <v>0.1189470488794544</v>
      </c>
      <c r="T24">
        <v>3.1992986504559083E-2</v>
      </c>
      <c r="U24">
        <v>2.8519103942803142E-2</v>
      </c>
      <c r="V24">
        <v>3.477111860918607E-3</v>
      </c>
      <c r="W24">
        <v>2.5041992081884529E-2</v>
      </c>
      <c r="X24">
        <v>53.83</v>
      </c>
      <c r="Y24">
        <v>89.754999999999995</v>
      </c>
    </row>
    <row r="25" spans="1:25" x14ac:dyDescent="0.3">
      <c r="A25">
        <v>2</v>
      </c>
      <c r="B25" t="s">
        <v>30</v>
      </c>
      <c r="C25" t="s">
        <v>31</v>
      </c>
      <c r="D25">
        <v>35304</v>
      </c>
      <c r="E25">
        <v>53.914999999999999</v>
      </c>
      <c r="F25">
        <v>90.32</v>
      </c>
      <c r="G25">
        <v>53.920391500000001</v>
      </c>
      <c r="H25">
        <v>90.310967999999988</v>
      </c>
      <c r="I25">
        <v>-3.5605367620328692</v>
      </c>
      <c r="J25">
        <v>0.73858207225207795</v>
      </c>
      <c r="K25">
        <v>0.18547713994250209</v>
      </c>
      <c r="L25">
        <v>-8.177392296856488E-2</v>
      </c>
      <c r="M25" t="s">
        <v>29</v>
      </c>
      <c r="N25">
        <v>6</v>
      </c>
      <c r="O25" t="s">
        <v>28</v>
      </c>
      <c r="P25">
        <v>35310</v>
      </c>
      <c r="Q25">
        <v>54.27</v>
      </c>
      <c r="R25">
        <v>90.385000000000005</v>
      </c>
      <c r="S25">
        <v>5.9936538940913317E-2</v>
      </c>
      <c r="T25">
        <v>6.0529079686631279E-2</v>
      </c>
      <c r="U25">
        <v>5.704479957315943E-2</v>
      </c>
      <c r="V25">
        <v>3.4772164280897052E-3</v>
      </c>
      <c r="W25">
        <v>5.3567583145069722E-2</v>
      </c>
      <c r="X25">
        <v>54.27</v>
      </c>
      <c r="Y25">
        <v>90.385000000000005</v>
      </c>
    </row>
    <row r="26" spans="1:25" x14ac:dyDescent="0.3">
      <c r="A26">
        <v>3</v>
      </c>
      <c r="B26" t="s">
        <v>30</v>
      </c>
      <c r="C26" t="s">
        <v>31</v>
      </c>
      <c r="D26">
        <v>35701</v>
      </c>
      <c r="E26">
        <v>54.63</v>
      </c>
      <c r="F26">
        <v>93.25</v>
      </c>
      <c r="G26">
        <v>54.624536999999997</v>
      </c>
      <c r="H26">
        <v>93.259325000000004</v>
      </c>
      <c r="I26">
        <v>5.294370344760746</v>
      </c>
      <c r="J26">
        <v>0.67544694522736837</v>
      </c>
      <c r="K26">
        <v>-0.18304960644334611</v>
      </c>
      <c r="L26">
        <v>7.2433988764329049E-2</v>
      </c>
      <c r="M26" t="s">
        <v>27</v>
      </c>
      <c r="N26">
        <v>24</v>
      </c>
      <c r="O26" t="s">
        <v>28</v>
      </c>
      <c r="P26">
        <v>35725</v>
      </c>
      <c r="Q26">
        <v>54.545000000000002</v>
      </c>
      <c r="R26">
        <v>92.655000000000001</v>
      </c>
      <c r="S26">
        <v>0.45326715002031898</v>
      </c>
      <c r="T26">
        <v>-2.7539006767091121E-2</v>
      </c>
      <c r="U26">
        <v>-3.0884034913559379E-2</v>
      </c>
      <c r="V26">
        <v>3.3508289798437822E-3</v>
      </c>
      <c r="W26">
        <v>-3.4234863893403147E-2</v>
      </c>
      <c r="X26">
        <v>54.545000000000002</v>
      </c>
      <c r="Y26">
        <v>92.655000000000001</v>
      </c>
    </row>
    <row r="27" spans="1:25" x14ac:dyDescent="0.3">
      <c r="A27">
        <v>3</v>
      </c>
      <c r="B27" t="s">
        <v>30</v>
      </c>
      <c r="C27" t="s">
        <v>31</v>
      </c>
      <c r="D27">
        <v>36509</v>
      </c>
      <c r="E27">
        <v>54.965000000000003</v>
      </c>
      <c r="F27">
        <v>93.105000000000004</v>
      </c>
      <c r="G27">
        <v>54.970496500000003</v>
      </c>
      <c r="H27">
        <v>93.095689500000006</v>
      </c>
      <c r="I27">
        <v>-4.8712868232379254</v>
      </c>
      <c r="J27">
        <v>0.67544694522736837</v>
      </c>
      <c r="K27">
        <v>0.18193395797325571</v>
      </c>
      <c r="L27">
        <v>-7.2546796114856163E-2</v>
      </c>
      <c r="M27" t="s">
        <v>29</v>
      </c>
      <c r="N27">
        <v>7</v>
      </c>
      <c r="O27" t="s">
        <v>28</v>
      </c>
      <c r="P27">
        <v>36516</v>
      </c>
      <c r="Q27">
        <v>55.35</v>
      </c>
      <c r="R27">
        <v>93.03</v>
      </c>
      <c r="S27">
        <v>-0.41313051329431483</v>
      </c>
      <c r="T27">
        <v>7.5485583528317496E-2</v>
      </c>
      <c r="U27">
        <v>7.212822928145135E-2</v>
      </c>
      <c r="V27">
        <v>3.350958801065691E-3</v>
      </c>
      <c r="W27">
        <v>6.8777270480385663E-2</v>
      </c>
      <c r="X27">
        <v>55.35</v>
      </c>
      <c r="Y27">
        <v>93.03</v>
      </c>
    </row>
    <row r="28" spans="1:25" x14ac:dyDescent="0.3">
      <c r="A28">
        <v>3</v>
      </c>
      <c r="B28" t="s">
        <v>30</v>
      </c>
      <c r="C28" t="s">
        <v>31</v>
      </c>
      <c r="D28">
        <v>37290</v>
      </c>
      <c r="E28">
        <v>54.594999999999999</v>
      </c>
      <c r="F28">
        <v>93.11</v>
      </c>
      <c r="G28">
        <v>54.600459499999999</v>
      </c>
      <c r="H28">
        <v>93.100689000000003</v>
      </c>
      <c r="I28">
        <v>-3.9272584295802511</v>
      </c>
      <c r="J28">
        <v>0.67544694522736837</v>
      </c>
      <c r="K28">
        <v>0.18316695668101471</v>
      </c>
      <c r="L28">
        <v>-7.2542900357358858E-2</v>
      </c>
      <c r="M28" t="s">
        <v>29</v>
      </c>
      <c r="N28">
        <v>25</v>
      </c>
      <c r="O28" t="s">
        <v>28</v>
      </c>
      <c r="P28">
        <v>37315</v>
      </c>
      <c r="Q28">
        <v>55.1</v>
      </c>
      <c r="R28">
        <v>93.704999999999998</v>
      </c>
      <c r="S28">
        <v>0.1467806767397242</v>
      </c>
      <c r="T28">
        <v>4.9336287411284471E-2</v>
      </c>
      <c r="U28">
        <v>4.5971827286945807E-2</v>
      </c>
      <c r="V28">
        <v>3.350958801065691E-3</v>
      </c>
      <c r="W28">
        <v>4.262086848588012E-2</v>
      </c>
      <c r="X28">
        <v>55.1</v>
      </c>
      <c r="Y28">
        <v>93.704999999999998</v>
      </c>
    </row>
    <row r="29" spans="1:25" x14ac:dyDescent="0.3">
      <c r="A29">
        <v>3</v>
      </c>
      <c r="B29" t="s">
        <v>30</v>
      </c>
      <c r="C29" t="s">
        <v>31</v>
      </c>
      <c r="D29">
        <v>37679</v>
      </c>
      <c r="E29">
        <v>54.57</v>
      </c>
      <c r="F29">
        <v>91.7</v>
      </c>
      <c r="G29">
        <v>54.564543</v>
      </c>
      <c r="H29">
        <v>91.70917</v>
      </c>
      <c r="I29">
        <v>4.6807257199290877</v>
      </c>
      <c r="J29">
        <v>0.67544694522736837</v>
      </c>
      <c r="K29">
        <v>-0.1832508704416346</v>
      </c>
      <c r="L29">
        <v>7.3658336447913669E-2</v>
      </c>
      <c r="M29" t="s">
        <v>27</v>
      </c>
      <c r="N29">
        <v>22</v>
      </c>
      <c r="O29" t="s">
        <v>28</v>
      </c>
      <c r="P29">
        <v>37701</v>
      </c>
      <c r="Q29">
        <v>54.75</v>
      </c>
      <c r="R29">
        <v>92.075000000000003</v>
      </c>
      <c r="S29">
        <v>0.41292147259224332</v>
      </c>
      <c r="T29">
        <v>-5.3632805115265518E-3</v>
      </c>
      <c r="U29">
        <v>-8.720235105265435E-3</v>
      </c>
      <c r="V29">
        <v>3.3508289798437822E-3</v>
      </c>
      <c r="W29">
        <v>-1.2071064085109219E-2</v>
      </c>
      <c r="X29">
        <v>54.75</v>
      </c>
      <c r="Y29">
        <v>92.075000000000003</v>
      </c>
    </row>
    <row r="30" spans="1:25" x14ac:dyDescent="0.3">
      <c r="A30">
        <v>3</v>
      </c>
      <c r="B30" t="s">
        <v>30</v>
      </c>
      <c r="C30" t="s">
        <v>31</v>
      </c>
      <c r="D30">
        <v>38190</v>
      </c>
      <c r="E30">
        <v>55.87</v>
      </c>
      <c r="F30">
        <v>94.01</v>
      </c>
      <c r="G30">
        <v>55.864412999999999</v>
      </c>
      <c r="H30">
        <v>94.019401000000002</v>
      </c>
      <c r="I30">
        <v>3.6342178099281259</v>
      </c>
      <c r="J30">
        <v>0.67544694522736837</v>
      </c>
      <c r="K30">
        <v>-0.1789869339538214</v>
      </c>
      <c r="L30">
        <v>7.1848414554554652E-2</v>
      </c>
      <c r="M30" t="s">
        <v>27</v>
      </c>
      <c r="N30">
        <v>16</v>
      </c>
      <c r="O30" t="s">
        <v>28</v>
      </c>
      <c r="P30">
        <v>38206</v>
      </c>
      <c r="Q30">
        <v>55.914999999999999</v>
      </c>
      <c r="R30">
        <v>94.114999999999995</v>
      </c>
      <c r="S30">
        <v>0.4871990736000601</v>
      </c>
      <c r="T30">
        <v>-5.1032849969476386E-4</v>
      </c>
      <c r="U30">
        <v>-3.8627822397047621E-3</v>
      </c>
      <c r="V30">
        <v>3.3508289798437822E-3</v>
      </c>
      <c r="W30">
        <v>-7.2136112195485443E-3</v>
      </c>
      <c r="X30">
        <v>55.914999999999999</v>
      </c>
      <c r="Y30">
        <v>94.114999999999995</v>
      </c>
    </row>
    <row r="31" spans="1:25" x14ac:dyDescent="0.3">
      <c r="A31">
        <v>3</v>
      </c>
      <c r="B31" t="s">
        <v>30</v>
      </c>
      <c r="C31" t="s">
        <v>31</v>
      </c>
      <c r="D31">
        <v>38306</v>
      </c>
      <c r="E31">
        <v>55.98</v>
      </c>
      <c r="F31">
        <v>93.99</v>
      </c>
      <c r="G31">
        <v>55.985598000000003</v>
      </c>
      <c r="H31">
        <v>93.980600999999993</v>
      </c>
      <c r="I31">
        <v>-4.0638487169769828</v>
      </c>
      <c r="J31">
        <v>0.67544694522736837</v>
      </c>
      <c r="K31">
        <v>0.17863522686673811</v>
      </c>
      <c r="L31">
        <v>-7.1863703077707036E-2</v>
      </c>
      <c r="M31" t="s">
        <v>29</v>
      </c>
      <c r="N31">
        <v>27</v>
      </c>
      <c r="O31" t="s">
        <v>28</v>
      </c>
      <c r="P31">
        <v>38333</v>
      </c>
      <c r="Q31">
        <v>55.954999999999998</v>
      </c>
      <c r="R31">
        <v>93.96</v>
      </c>
      <c r="S31">
        <v>1.747268571627382E-2</v>
      </c>
      <c r="T31">
        <v>-2.3099695793369068E-3</v>
      </c>
      <c r="U31">
        <v>-5.6602012906145829E-3</v>
      </c>
      <c r="V31">
        <v>3.350958801065691E-3</v>
      </c>
      <c r="W31">
        <v>-9.0111600916802752E-3</v>
      </c>
      <c r="X31">
        <v>55.954999999999998</v>
      </c>
      <c r="Y31">
        <v>93.96</v>
      </c>
    </row>
    <row r="32" spans="1:25" x14ac:dyDescent="0.3">
      <c r="A32">
        <v>3</v>
      </c>
      <c r="B32" t="s">
        <v>30</v>
      </c>
      <c r="C32" t="s">
        <v>31</v>
      </c>
      <c r="D32">
        <v>38659</v>
      </c>
      <c r="E32">
        <v>55.95</v>
      </c>
      <c r="F32">
        <v>94.22</v>
      </c>
      <c r="G32">
        <v>55.955595000000002</v>
      </c>
      <c r="H32">
        <v>94.210577999999998</v>
      </c>
      <c r="I32">
        <v>-3.6283825468592101</v>
      </c>
      <c r="J32">
        <v>0.67544694522736837</v>
      </c>
      <c r="K32">
        <v>0.17873100983020551</v>
      </c>
      <c r="L32">
        <v>-7.1688276929247327E-2</v>
      </c>
      <c r="M32" t="s">
        <v>29</v>
      </c>
      <c r="N32">
        <v>15</v>
      </c>
      <c r="O32" t="s">
        <v>28</v>
      </c>
      <c r="P32">
        <v>38674</v>
      </c>
      <c r="Q32">
        <v>56.024999999999999</v>
      </c>
      <c r="R32">
        <v>94.29</v>
      </c>
      <c r="S32">
        <v>0.17646003124991719</v>
      </c>
      <c r="T32">
        <v>8.3866463522168123E-3</v>
      </c>
      <c r="U32">
        <v>5.0339101612497167E-3</v>
      </c>
      <c r="V32">
        <v>3.350958801065691E-3</v>
      </c>
      <c r="W32">
        <v>1.682951360184025E-3</v>
      </c>
      <c r="X32">
        <v>56.024999999999999</v>
      </c>
      <c r="Y32">
        <v>94.29</v>
      </c>
    </row>
    <row r="33" spans="1:25" x14ac:dyDescent="0.3">
      <c r="A33">
        <v>3</v>
      </c>
      <c r="B33" t="s">
        <v>30</v>
      </c>
      <c r="C33" t="s">
        <v>31</v>
      </c>
      <c r="D33">
        <v>39059</v>
      </c>
      <c r="E33">
        <v>56.42</v>
      </c>
      <c r="F33">
        <v>95.27</v>
      </c>
      <c r="G33">
        <v>56.414358</v>
      </c>
      <c r="H33">
        <v>95.279527000000002</v>
      </c>
      <c r="I33">
        <v>3.7111055443046821</v>
      </c>
      <c r="J33">
        <v>0.67544694522736837</v>
      </c>
      <c r="K33">
        <v>-0.1772421127259837</v>
      </c>
      <c r="L33">
        <v>7.0898178359123376E-2</v>
      </c>
      <c r="M33" t="s">
        <v>27</v>
      </c>
      <c r="N33">
        <v>9</v>
      </c>
      <c r="O33" t="s">
        <v>28</v>
      </c>
      <c r="P33">
        <v>39068</v>
      </c>
      <c r="Q33">
        <v>56.34</v>
      </c>
      <c r="R33">
        <v>95.295000000000002</v>
      </c>
      <c r="S33">
        <v>0.16521923481350759</v>
      </c>
      <c r="T33">
        <v>1.5951823477056881E-2</v>
      </c>
      <c r="U33">
        <v>1.26021702780573E-2</v>
      </c>
      <c r="V33">
        <v>3.3508289798437822E-3</v>
      </c>
      <c r="W33">
        <v>9.2513412982135178E-3</v>
      </c>
      <c r="X33">
        <v>56.34</v>
      </c>
      <c r="Y33">
        <v>95.295000000000002</v>
      </c>
    </row>
    <row r="34" spans="1:25" x14ac:dyDescent="0.3">
      <c r="A34">
        <v>3</v>
      </c>
      <c r="B34" t="s">
        <v>30</v>
      </c>
      <c r="C34" t="s">
        <v>31</v>
      </c>
      <c r="D34">
        <v>39449</v>
      </c>
      <c r="E34">
        <v>56.094999999999999</v>
      </c>
      <c r="F34">
        <v>95.37</v>
      </c>
      <c r="G34">
        <v>56.100609499999997</v>
      </c>
      <c r="H34">
        <v>95.36046300000001</v>
      </c>
      <c r="I34">
        <v>-3.6509998603878122</v>
      </c>
      <c r="J34">
        <v>0.67544694522736837</v>
      </c>
      <c r="K34">
        <v>0.17826900793297079</v>
      </c>
      <c r="L34">
        <v>-7.0823838232921085E-2</v>
      </c>
      <c r="M34" t="s">
        <v>29</v>
      </c>
      <c r="N34">
        <v>23</v>
      </c>
      <c r="O34" t="s">
        <v>28</v>
      </c>
      <c r="P34">
        <v>39472</v>
      </c>
      <c r="Q34">
        <v>55.91</v>
      </c>
      <c r="R34">
        <v>94.92</v>
      </c>
      <c r="S34">
        <v>-0.4882463594947018</v>
      </c>
      <c r="T34">
        <v>-1.109039262785327E-3</v>
      </c>
      <c r="U34">
        <v>-4.4534481038722316E-3</v>
      </c>
      <c r="V34">
        <v>3.350958801065691E-3</v>
      </c>
      <c r="W34">
        <v>-7.8044069049379239E-3</v>
      </c>
      <c r="X34">
        <v>55.91</v>
      </c>
      <c r="Y34">
        <v>94.92</v>
      </c>
    </row>
    <row r="35" spans="1:25" x14ac:dyDescent="0.3">
      <c r="A35">
        <v>4</v>
      </c>
      <c r="B35" t="s">
        <v>30</v>
      </c>
      <c r="C35" t="s">
        <v>31</v>
      </c>
      <c r="D35">
        <v>39601</v>
      </c>
      <c r="E35">
        <v>55.465000000000003</v>
      </c>
      <c r="F35">
        <v>94.534999999999997</v>
      </c>
      <c r="G35">
        <v>55.459453500000002</v>
      </c>
      <c r="H35">
        <v>94.544453499999989</v>
      </c>
      <c r="I35">
        <v>5.2938913177704396</v>
      </c>
      <c r="J35">
        <v>0.6533346050381017</v>
      </c>
      <c r="K35">
        <v>-0.18029387902280719</v>
      </c>
      <c r="L35">
        <v>6.9110340618617622E-2</v>
      </c>
      <c r="M35" t="s">
        <v>27</v>
      </c>
      <c r="N35">
        <v>23</v>
      </c>
      <c r="O35" t="s">
        <v>28</v>
      </c>
      <c r="P35">
        <v>39624</v>
      </c>
      <c r="Q35">
        <v>55.43</v>
      </c>
      <c r="R35">
        <v>94.45</v>
      </c>
      <c r="S35">
        <v>0.48129622673129091</v>
      </c>
      <c r="T35">
        <v>4.3590681321685129E-4</v>
      </c>
      <c r="U35">
        <v>-2.8695439303864159E-3</v>
      </c>
      <c r="V35">
        <v>3.3065998769972109E-3</v>
      </c>
      <c r="W35">
        <v>-6.1761438073836272E-3</v>
      </c>
      <c r="X35">
        <v>55.43</v>
      </c>
      <c r="Y35">
        <v>94.45</v>
      </c>
    </row>
    <row r="36" spans="1:25" x14ac:dyDescent="0.3">
      <c r="A36">
        <v>4</v>
      </c>
      <c r="B36" t="s">
        <v>30</v>
      </c>
      <c r="C36" t="s">
        <v>31</v>
      </c>
      <c r="D36">
        <v>39839</v>
      </c>
      <c r="E36">
        <v>55.6</v>
      </c>
      <c r="F36">
        <v>94.82</v>
      </c>
      <c r="G36">
        <v>55.594439999999999</v>
      </c>
      <c r="H36">
        <v>94.829481999999999</v>
      </c>
      <c r="I36">
        <v>5.0316061210214436</v>
      </c>
      <c r="J36">
        <v>0.6533346050381017</v>
      </c>
      <c r="K36">
        <v>-0.17985611510791369</v>
      </c>
      <c r="L36">
        <v>6.8902616013299056E-2</v>
      </c>
      <c r="M36" t="s">
        <v>27</v>
      </c>
      <c r="N36">
        <v>15</v>
      </c>
      <c r="O36" t="s">
        <v>28</v>
      </c>
      <c r="P36">
        <v>39854</v>
      </c>
      <c r="Q36">
        <v>55.325000000000003</v>
      </c>
      <c r="R36">
        <v>94.34</v>
      </c>
      <c r="S36">
        <v>-8.6236820989901611E-2</v>
      </c>
      <c r="T36">
        <v>1.6387175968293161E-2</v>
      </c>
      <c r="U36">
        <v>1.3088760126950091E-2</v>
      </c>
      <c r="V36">
        <v>3.30659987699721E-3</v>
      </c>
      <c r="W36">
        <v>9.7821602499528829E-3</v>
      </c>
      <c r="X36">
        <v>55.325000000000003</v>
      </c>
      <c r="Y36">
        <v>94.34</v>
      </c>
    </row>
    <row r="37" spans="1:25" x14ac:dyDescent="0.3">
      <c r="A37">
        <v>4</v>
      </c>
      <c r="B37" t="s">
        <v>30</v>
      </c>
      <c r="C37" t="s">
        <v>31</v>
      </c>
      <c r="D37">
        <v>41009</v>
      </c>
      <c r="E37">
        <v>56.28</v>
      </c>
      <c r="F37">
        <v>95.5</v>
      </c>
      <c r="G37">
        <v>56.274372</v>
      </c>
      <c r="H37">
        <v>95.509550000000004</v>
      </c>
      <c r="I37">
        <v>5.022828063570846</v>
      </c>
      <c r="J37">
        <v>0.6533346050381017</v>
      </c>
      <c r="K37">
        <v>-0.177683013503909</v>
      </c>
      <c r="L37">
        <v>6.8412000527549907E-2</v>
      </c>
      <c r="M37" t="s">
        <v>27</v>
      </c>
      <c r="N37">
        <v>27</v>
      </c>
      <c r="O37" t="s">
        <v>28</v>
      </c>
      <c r="P37">
        <v>41036</v>
      </c>
      <c r="Q37">
        <v>57.19</v>
      </c>
      <c r="R37">
        <v>96.84</v>
      </c>
      <c r="S37">
        <v>0.39209776972051469</v>
      </c>
      <c r="T37">
        <v>-7.0019461581639506E-2</v>
      </c>
      <c r="U37">
        <v>-7.3351467154015193E-2</v>
      </c>
      <c r="V37">
        <v>3.3065998769972109E-3</v>
      </c>
      <c r="W37">
        <v>-7.6658067031012411E-2</v>
      </c>
      <c r="X37">
        <v>57.19</v>
      </c>
      <c r="Y37">
        <v>96.84</v>
      </c>
    </row>
    <row r="38" spans="1:25" x14ac:dyDescent="0.3">
      <c r="A38">
        <v>4</v>
      </c>
      <c r="B38" t="s">
        <v>30</v>
      </c>
      <c r="C38" t="s">
        <v>31</v>
      </c>
      <c r="D38">
        <v>41201</v>
      </c>
      <c r="E38">
        <v>57.27</v>
      </c>
      <c r="F38">
        <v>97.02</v>
      </c>
      <c r="G38">
        <v>57.264273000000003</v>
      </c>
      <c r="H38">
        <v>97.029702</v>
      </c>
      <c r="I38">
        <v>3.6553077959710518</v>
      </c>
      <c r="J38">
        <v>0.6533346050381017</v>
      </c>
      <c r="K38">
        <v>-0.17461148943600491</v>
      </c>
      <c r="L38">
        <v>6.7340198416625613E-2</v>
      </c>
      <c r="M38" t="s">
        <v>27</v>
      </c>
      <c r="N38">
        <v>8</v>
      </c>
      <c r="O38" t="s">
        <v>28</v>
      </c>
      <c r="P38">
        <v>41209</v>
      </c>
      <c r="Q38">
        <v>57.21</v>
      </c>
      <c r="R38">
        <v>97.1</v>
      </c>
      <c r="S38">
        <v>0.1047635235052741</v>
      </c>
      <c r="T38">
        <v>1.5863905239490619E-2</v>
      </c>
      <c r="U38">
        <v>1.255774497676327E-2</v>
      </c>
      <c r="V38">
        <v>3.3065998769972109E-3</v>
      </c>
      <c r="W38">
        <v>9.2511450997660588E-3</v>
      </c>
      <c r="X38">
        <v>57.21</v>
      </c>
      <c r="Y38">
        <v>97.1</v>
      </c>
    </row>
    <row r="39" spans="1:25" x14ac:dyDescent="0.3">
      <c r="A39">
        <v>4</v>
      </c>
      <c r="B39" t="s">
        <v>30</v>
      </c>
      <c r="C39" t="s">
        <v>31</v>
      </c>
      <c r="D39">
        <v>41399</v>
      </c>
      <c r="E39">
        <v>57.19</v>
      </c>
      <c r="F39">
        <v>95.59</v>
      </c>
      <c r="G39">
        <v>57.184280999999999</v>
      </c>
      <c r="H39">
        <v>95.599558999999999</v>
      </c>
      <c r="I39">
        <v>5.011156350320273</v>
      </c>
      <c r="J39">
        <v>0.6533346050381017</v>
      </c>
      <c r="K39">
        <v>-0.17485574401119081</v>
      </c>
      <c r="L39">
        <v>6.8347589186954869E-2</v>
      </c>
      <c r="M39" t="s">
        <v>27</v>
      </c>
      <c r="N39">
        <v>15</v>
      </c>
      <c r="O39" t="s">
        <v>28</v>
      </c>
      <c r="P39">
        <v>41414</v>
      </c>
      <c r="Q39">
        <v>56.91</v>
      </c>
      <c r="R39">
        <v>95.525000000000006</v>
      </c>
      <c r="S39">
        <v>0.46103593375211049</v>
      </c>
      <c r="T39">
        <v>4.451701502598171E-2</v>
      </c>
      <c r="U39">
        <v>4.1215686036068309E-2</v>
      </c>
      <c r="V39">
        <v>3.3065998769972109E-3</v>
      </c>
      <c r="W39">
        <v>3.7909086159071098E-2</v>
      </c>
      <c r="X39">
        <v>56.91</v>
      </c>
      <c r="Y39">
        <v>95.525000000000006</v>
      </c>
    </row>
    <row r="40" spans="1:25" x14ac:dyDescent="0.3">
      <c r="A40">
        <v>4</v>
      </c>
      <c r="B40" t="s">
        <v>30</v>
      </c>
      <c r="C40" t="s">
        <v>31</v>
      </c>
      <c r="D40">
        <v>41790</v>
      </c>
      <c r="E40">
        <v>56.664999999999999</v>
      </c>
      <c r="F40">
        <v>95.724999999999994</v>
      </c>
      <c r="G40">
        <v>56.670666500000003</v>
      </c>
      <c r="H40">
        <v>95.71542749999999</v>
      </c>
      <c r="I40">
        <v>-4.5347558837523056</v>
      </c>
      <c r="J40">
        <v>0.6533346050381017</v>
      </c>
      <c r="K40">
        <v>0.1764757786993735</v>
      </c>
      <c r="L40">
        <v>-6.8251199272718902E-2</v>
      </c>
      <c r="M40" t="s">
        <v>29</v>
      </c>
      <c r="N40">
        <v>35</v>
      </c>
      <c r="O40" t="s">
        <v>28</v>
      </c>
      <c r="P40">
        <v>41825</v>
      </c>
      <c r="Q40">
        <v>56.145000000000003</v>
      </c>
      <c r="R40">
        <v>94.71</v>
      </c>
      <c r="S40">
        <v>-6.4708702039577279E-2</v>
      </c>
      <c r="T40">
        <v>-2.24924376618638E-2</v>
      </c>
      <c r="U40">
        <v>-2.5783002634721511E-2</v>
      </c>
      <c r="V40">
        <v>3.3067385431551962E-3</v>
      </c>
      <c r="W40">
        <v>-2.9089741177876709E-2</v>
      </c>
      <c r="X40">
        <v>56.145000000000003</v>
      </c>
      <c r="Y40">
        <v>94.71</v>
      </c>
    </row>
    <row r="41" spans="1:25" x14ac:dyDescent="0.3">
      <c r="A41">
        <v>4</v>
      </c>
      <c r="B41" t="s">
        <v>30</v>
      </c>
      <c r="C41" t="s">
        <v>31</v>
      </c>
      <c r="D41">
        <v>42180</v>
      </c>
      <c r="E41">
        <v>55.58</v>
      </c>
      <c r="F41">
        <v>94.41</v>
      </c>
      <c r="G41">
        <v>55.585557999999999</v>
      </c>
      <c r="H41">
        <v>94.400559000000001</v>
      </c>
      <c r="I41">
        <v>-4.0714174166949224</v>
      </c>
      <c r="J41">
        <v>0.6533346050381017</v>
      </c>
      <c r="K41">
        <v>0.1799208348326736</v>
      </c>
      <c r="L41">
        <v>-6.9201843558743953E-2</v>
      </c>
      <c r="M41" t="s">
        <v>29</v>
      </c>
      <c r="N41">
        <v>1</v>
      </c>
      <c r="O41" t="s">
        <v>28</v>
      </c>
      <c r="P41">
        <v>42181</v>
      </c>
      <c r="Q41">
        <v>55.77</v>
      </c>
      <c r="R41">
        <v>94.43</v>
      </c>
      <c r="S41">
        <v>0.1184626704445758</v>
      </c>
      <c r="T41">
        <v>3.2800921747033272E-2</v>
      </c>
      <c r="U41">
        <v>2.94906956374076E-2</v>
      </c>
      <c r="V41">
        <v>3.3067385431551962E-3</v>
      </c>
      <c r="W41">
        <v>2.6183957094252398E-2</v>
      </c>
      <c r="X41">
        <v>55.77</v>
      </c>
      <c r="Y41">
        <v>94.43</v>
      </c>
    </row>
    <row r="42" spans="1:25" x14ac:dyDescent="0.3">
      <c r="A42">
        <v>4</v>
      </c>
      <c r="B42" t="s">
        <v>30</v>
      </c>
      <c r="C42" t="s">
        <v>31</v>
      </c>
      <c r="D42">
        <v>43332</v>
      </c>
      <c r="E42">
        <v>55.17</v>
      </c>
      <c r="F42">
        <v>94.905000000000001</v>
      </c>
      <c r="G42">
        <v>55.164482999999997</v>
      </c>
      <c r="H42">
        <v>94.914490499999999</v>
      </c>
      <c r="I42">
        <v>3.729497213089267</v>
      </c>
      <c r="J42">
        <v>0.6533346050381017</v>
      </c>
      <c r="K42">
        <v>-0.18125793003443899</v>
      </c>
      <c r="L42">
        <v>6.8840904592814042E-2</v>
      </c>
      <c r="M42" t="s">
        <v>27</v>
      </c>
      <c r="N42">
        <v>6</v>
      </c>
      <c r="O42" t="s">
        <v>28</v>
      </c>
      <c r="P42">
        <v>43338</v>
      </c>
      <c r="Q42">
        <v>55.115000000000002</v>
      </c>
      <c r="R42">
        <v>94.924999999999997</v>
      </c>
      <c r="S42">
        <v>0.1938784814554087</v>
      </c>
      <c r="T42">
        <v>1.13460042437501E-2</v>
      </c>
      <c r="U42">
        <v>8.0401942704814294E-3</v>
      </c>
      <c r="V42">
        <v>3.3065998769972109E-3</v>
      </c>
      <c r="W42">
        <v>4.7335943934842181E-3</v>
      </c>
      <c r="X42">
        <v>55.115000000000002</v>
      </c>
      <c r="Y42">
        <v>94.924999999999997</v>
      </c>
    </row>
    <row r="43" spans="1:25" x14ac:dyDescent="0.3">
      <c r="A43">
        <v>5</v>
      </c>
      <c r="B43" t="s">
        <v>30</v>
      </c>
      <c r="C43" t="s">
        <v>31</v>
      </c>
      <c r="D43">
        <v>43501</v>
      </c>
      <c r="E43">
        <v>54.725000000000001</v>
      </c>
      <c r="F43">
        <v>94.52</v>
      </c>
      <c r="G43">
        <v>54.719527500000012</v>
      </c>
      <c r="H43">
        <v>94.529451999999992</v>
      </c>
      <c r="I43">
        <v>5.2936414129398344</v>
      </c>
      <c r="J43">
        <v>0.60699763809152618</v>
      </c>
      <c r="K43">
        <v>-0.18273184102329831</v>
      </c>
      <c r="L43">
        <v>6.4218962980483088E-2</v>
      </c>
      <c r="M43" t="s">
        <v>27</v>
      </c>
      <c r="N43">
        <v>23</v>
      </c>
      <c r="O43" t="s">
        <v>28</v>
      </c>
      <c r="P43">
        <v>43524</v>
      </c>
      <c r="Q43">
        <v>54.645000000000003</v>
      </c>
      <c r="R43">
        <v>94.51</v>
      </c>
      <c r="S43">
        <v>0.47600914809084272</v>
      </c>
      <c r="T43">
        <v>1.3976357652059309E-2</v>
      </c>
      <c r="U43">
        <v>1.0763888449568061E-2</v>
      </c>
      <c r="V43">
        <v>3.2139166757106708E-3</v>
      </c>
      <c r="W43">
        <v>7.5499717738573887E-3</v>
      </c>
      <c r="X43">
        <v>54.645000000000003</v>
      </c>
      <c r="Y43">
        <v>94.51</v>
      </c>
    </row>
    <row r="44" spans="1:25" x14ac:dyDescent="0.3">
      <c r="A44">
        <v>5</v>
      </c>
      <c r="B44" t="s">
        <v>30</v>
      </c>
      <c r="C44" t="s">
        <v>31</v>
      </c>
      <c r="D44">
        <v>44003</v>
      </c>
      <c r="E44">
        <v>52.16</v>
      </c>
      <c r="F44">
        <v>88.9</v>
      </c>
      <c r="G44">
        <v>52.154783999999999</v>
      </c>
      <c r="H44">
        <v>88.90889</v>
      </c>
      <c r="I44">
        <v>3.5004358448484649</v>
      </c>
      <c r="J44">
        <v>0.60699763809152618</v>
      </c>
      <c r="K44">
        <v>-0.19171779141104289</v>
      </c>
      <c r="L44">
        <v>6.8278699447865701E-2</v>
      </c>
      <c r="M44" t="s">
        <v>27</v>
      </c>
      <c r="N44">
        <v>21</v>
      </c>
      <c r="O44" t="s">
        <v>28</v>
      </c>
      <c r="P44">
        <v>44024</v>
      </c>
      <c r="Q44">
        <v>52.29</v>
      </c>
      <c r="R44">
        <v>88.99</v>
      </c>
      <c r="S44">
        <v>0.49471769269850158</v>
      </c>
      <c r="T44">
        <v>-1.8778229933128901E-2</v>
      </c>
      <c r="U44">
        <v>-2.1995332048894329E-2</v>
      </c>
      <c r="V44">
        <v>3.2139166757106708E-3</v>
      </c>
      <c r="W44">
        <v>-2.5209248724605001E-2</v>
      </c>
      <c r="X44">
        <v>52.29</v>
      </c>
      <c r="Y44">
        <v>88.99</v>
      </c>
    </row>
    <row r="45" spans="1:25" x14ac:dyDescent="0.3">
      <c r="A45">
        <v>5</v>
      </c>
      <c r="B45" t="s">
        <v>30</v>
      </c>
      <c r="C45" t="s">
        <v>31</v>
      </c>
      <c r="D45">
        <v>44541</v>
      </c>
      <c r="E45">
        <v>52.91</v>
      </c>
      <c r="F45">
        <v>89.31</v>
      </c>
      <c r="G45">
        <v>52.904708999999997</v>
      </c>
      <c r="H45">
        <v>89.318931000000006</v>
      </c>
      <c r="I45">
        <v>4.4053721713600078</v>
      </c>
      <c r="J45">
        <v>0.60699763809152618</v>
      </c>
      <c r="K45">
        <v>-0.189000189000189</v>
      </c>
      <c r="L45">
        <v>6.7965248918545079E-2</v>
      </c>
      <c r="M45" t="s">
        <v>27</v>
      </c>
      <c r="N45">
        <v>3</v>
      </c>
      <c r="O45" t="s">
        <v>28</v>
      </c>
      <c r="P45">
        <v>44544</v>
      </c>
      <c r="Q45">
        <v>52.54</v>
      </c>
      <c r="R45">
        <v>88.84</v>
      </c>
      <c r="S45">
        <v>-3.1865355660327693E-2</v>
      </c>
      <c r="T45">
        <v>3.7986402938353342E-2</v>
      </c>
      <c r="U45">
        <v>3.4782595035862458E-2</v>
      </c>
      <c r="V45">
        <v>3.2139166757106708E-3</v>
      </c>
      <c r="W45">
        <v>3.1568678360151793E-2</v>
      </c>
      <c r="X45">
        <v>52.54</v>
      </c>
      <c r="Y45">
        <v>88.84</v>
      </c>
    </row>
    <row r="46" spans="1:25" x14ac:dyDescent="0.3">
      <c r="A46">
        <v>5</v>
      </c>
      <c r="B46" t="s">
        <v>30</v>
      </c>
      <c r="C46" t="s">
        <v>31</v>
      </c>
      <c r="D46">
        <v>44934</v>
      </c>
      <c r="E46">
        <v>52.344999999999999</v>
      </c>
      <c r="F46">
        <v>87.17</v>
      </c>
      <c r="G46">
        <v>52.350234499999999</v>
      </c>
      <c r="H46">
        <v>87.161282999999997</v>
      </c>
      <c r="I46">
        <v>-3.7539574893101659</v>
      </c>
      <c r="J46">
        <v>0.60699763809152618</v>
      </c>
      <c r="K46">
        <v>0.19104021396503959</v>
      </c>
      <c r="L46">
        <v>-6.9633777456868898E-2</v>
      </c>
      <c r="M46" t="s">
        <v>29</v>
      </c>
      <c r="N46">
        <v>14</v>
      </c>
      <c r="O46" t="s">
        <v>28</v>
      </c>
      <c r="P46">
        <v>44948</v>
      </c>
      <c r="Q46">
        <v>52.715000000000003</v>
      </c>
      <c r="R46">
        <v>87.87</v>
      </c>
      <c r="S46">
        <v>-0.18276601188841479</v>
      </c>
      <c r="T46">
        <v>2.194123494725711E-2</v>
      </c>
      <c r="U46">
        <v>1.8715296818735312E-2</v>
      </c>
      <c r="V46">
        <v>3.214073876655434E-3</v>
      </c>
      <c r="W46">
        <v>1.5501222942079869E-2</v>
      </c>
      <c r="X46">
        <v>52.715000000000003</v>
      </c>
      <c r="Y46">
        <v>87.87</v>
      </c>
    </row>
    <row r="47" spans="1:25" x14ac:dyDescent="0.3">
      <c r="A47">
        <v>5</v>
      </c>
      <c r="B47" t="s">
        <v>30</v>
      </c>
      <c r="C47" t="s">
        <v>31</v>
      </c>
      <c r="D47">
        <v>45515</v>
      </c>
      <c r="E47">
        <v>52.44</v>
      </c>
      <c r="F47">
        <v>86.844999999999999</v>
      </c>
      <c r="G47">
        <v>52.434756</v>
      </c>
      <c r="H47">
        <v>86.8536845</v>
      </c>
      <c r="I47">
        <v>3.7192283561869961</v>
      </c>
      <c r="J47">
        <v>0.60699763809152618</v>
      </c>
      <c r="K47">
        <v>-0.1906941266209001</v>
      </c>
      <c r="L47">
        <v>6.9894367907366708E-2</v>
      </c>
      <c r="M47" t="s">
        <v>27</v>
      </c>
      <c r="N47">
        <v>19</v>
      </c>
      <c r="O47" t="s">
        <v>28</v>
      </c>
      <c r="P47">
        <v>45534</v>
      </c>
      <c r="Q47">
        <v>52.39</v>
      </c>
      <c r="R47">
        <v>86.78</v>
      </c>
      <c r="S47">
        <v>0.22693364320808621</v>
      </c>
      <c r="T47">
        <v>4.9915724170657844E-3</v>
      </c>
      <c r="U47">
        <v>1.778984924908152E-3</v>
      </c>
      <c r="V47">
        <v>3.2139166757106708E-3</v>
      </c>
      <c r="W47">
        <v>-1.4349317508025191E-3</v>
      </c>
      <c r="X47">
        <v>52.39</v>
      </c>
      <c r="Y47">
        <v>86.78</v>
      </c>
    </row>
    <row r="48" spans="1:25" x14ac:dyDescent="0.3">
      <c r="A48">
        <v>5</v>
      </c>
      <c r="B48" t="s">
        <v>30</v>
      </c>
      <c r="C48" t="s">
        <v>31</v>
      </c>
      <c r="D48">
        <v>45712</v>
      </c>
      <c r="E48">
        <v>52.63</v>
      </c>
      <c r="F48">
        <v>86.45</v>
      </c>
      <c r="G48">
        <v>52.624737000000003</v>
      </c>
      <c r="H48">
        <v>86.458645000000004</v>
      </c>
      <c r="I48">
        <v>4.7581024503827214</v>
      </c>
      <c r="J48">
        <v>0.60699763809152618</v>
      </c>
      <c r="K48">
        <v>-0.1900057001710051</v>
      </c>
      <c r="L48">
        <v>7.0213723318857849E-2</v>
      </c>
      <c r="M48" t="s">
        <v>27</v>
      </c>
      <c r="N48">
        <v>13</v>
      </c>
      <c r="O48" t="s">
        <v>28</v>
      </c>
      <c r="P48">
        <v>45725</v>
      </c>
      <c r="Q48">
        <v>52.805</v>
      </c>
      <c r="R48">
        <v>87.42</v>
      </c>
      <c r="S48">
        <v>0.28526969170980321</v>
      </c>
      <c r="T48">
        <v>3.485631408936668E-2</v>
      </c>
      <c r="U48">
        <v>3.1632182982269282E-2</v>
      </c>
      <c r="V48">
        <v>3.2139166757106708E-3</v>
      </c>
      <c r="W48">
        <v>2.8418266306558609E-2</v>
      </c>
      <c r="X48">
        <v>52.805</v>
      </c>
      <c r="Y48">
        <v>87.42</v>
      </c>
    </row>
    <row r="49" spans="1:25" x14ac:dyDescent="0.3">
      <c r="A49">
        <v>5</v>
      </c>
      <c r="B49" t="s">
        <v>30</v>
      </c>
      <c r="C49" t="s">
        <v>31</v>
      </c>
      <c r="D49">
        <v>45806</v>
      </c>
      <c r="E49">
        <v>52.82</v>
      </c>
      <c r="F49">
        <v>88.224999999999994</v>
      </c>
      <c r="G49">
        <v>52.814717999999999</v>
      </c>
      <c r="H49">
        <v>88.233822499999988</v>
      </c>
      <c r="I49">
        <v>3.5419216132306008</v>
      </c>
      <c r="J49">
        <v>0.60699763809152618</v>
      </c>
      <c r="K49">
        <v>-0.18932222642938279</v>
      </c>
      <c r="L49">
        <v>6.8801092444491493E-2</v>
      </c>
      <c r="M49" t="s">
        <v>27</v>
      </c>
      <c r="N49">
        <v>9</v>
      </c>
      <c r="O49" t="s">
        <v>28</v>
      </c>
      <c r="P49">
        <v>45815</v>
      </c>
      <c r="Q49">
        <v>52.805</v>
      </c>
      <c r="R49">
        <v>88.355000000000004</v>
      </c>
      <c r="S49">
        <v>0.2694315323905429</v>
      </c>
      <c r="T49">
        <v>1.178397541422541E-2</v>
      </c>
      <c r="U49">
        <v>8.569369707180613E-3</v>
      </c>
      <c r="V49">
        <v>3.2139166757106708E-3</v>
      </c>
      <c r="W49">
        <v>5.3554530314699426E-3</v>
      </c>
      <c r="X49">
        <v>52.805</v>
      </c>
      <c r="Y49">
        <v>88.355000000000004</v>
      </c>
    </row>
    <row r="50" spans="1:25" x14ac:dyDescent="0.3">
      <c r="A50">
        <v>5</v>
      </c>
      <c r="B50" t="s">
        <v>30</v>
      </c>
      <c r="C50" t="s">
        <v>31</v>
      </c>
      <c r="D50">
        <v>46105</v>
      </c>
      <c r="E50">
        <v>51.88</v>
      </c>
      <c r="F50">
        <v>87.05</v>
      </c>
      <c r="G50">
        <v>51.885187999999999</v>
      </c>
      <c r="H50">
        <v>87.041295000000005</v>
      </c>
      <c r="I50">
        <v>-3.8454865415351742</v>
      </c>
      <c r="J50">
        <v>0.60699763809152618</v>
      </c>
      <c r="K50">
        <v>0.19275250578257519</v>
      </c>
      <c r="L50">
        <v>-6.9729768878980608E-2</v>
      </c>
      <c r="M50" t="s">
        <v>29</v>
      </c>
      <c r="N50">
        <v>13</v>
      </c>
      <c r="O50" t="s">
        <v>28</v>
      </c>
      <c r="P50">
        <v>46118</v>
      </c>
      <c r="Q50">
        <v>51.82</v>
      </c>
      <c r="R50">
        <v>87.155000000000001</v>
      </c>
      <c r="S50">
        <v>-0.46359031874689971</v>
      </c>
      <c r="T50">
        <v>-1.8886776079248189E-2</v>
      </c>
      <c r="U50">
        <v>-2.2100347002967761E-2</v>
      </c>
      <c r="V50">
        <v>3.214073876655434E-3</v>
      </c>
      <c r="W50">
        <v>-2.5314420879623191E-2</v>
      </c>
      <c r="X50">
        <v>51.82</v>
      </c>
      <c r="Y50">
        <v>87.155000000000001</v>
      </c>
    </row>
    <row r="51" spans="1:25" x14ac:dyDescent="0.3">
      <c r="A51">
        <v>5</v>
      </c>
      <c r="B51" t="s">
        <v>30</v>
      </c>
      <c r="C51" t="s">
        <v>31</v>
      </c>
      <c r="D51">
        <v>47273</v>
      </c>
      <c r="E51">
        <v>51.95</v>
      </c>
      <c r="F51">
        <v>88.66</v>
      </c>
      <c r="G51">
        <v>51.955195000000003</v>
      </c>
      <c r="H51">
        <v>88.651133999999999</v>
      </c>
      <c r="I51">
        <v>-4.0212474086193817</v>
      </c>
      <c r="J51">
        <v>0.60699763809152618</v>
      </c>
      <c r="K51">
        <v>0.19249278152069299</v>
      </c>
      <c r="L51">
        <v>-6.8463527869560808E-2</v>
      </c>
      <c r="M51" t="s">
        <v>29</v>
      </c>
      <c r="N51">
        <v>26</v>
      </c>
      <c r="O51" t="s">
        <v>28</v>
      </c>
      <c r="P51">
        <v>47299</v>
      </c>
      <c r="Q51">
        <v>51.954999999999998</v>
      </c>
      <c r="R51">
        <v>88.9</v>
      </c>
      <c r="S51">
        <v>-0.30297441161081379</v>
      </c>
      <c r="T51">
        <v>-1.546878278109263E-2</v>
      </c>
      <c r="U51">
        <v>-1.8684517428334671E-2</v>
      </c>
      <c r="V51">
        <v>3.214073876655434E-3</v>
      </c>
      <c r="W51">
        <v>-2.1898591304990112E-2</v>
      </c>
      <c r="X51">
        <v>51.954999999999998</v>
      </c>
      <c r="Y51">
        <v>88.9</v>
      </c>
    </row>
    <row r="52" spans="1:25" x14ac:dyDescent="0.3">
      <c r="A52">
        <v>6</v>
      </c>
      <c r="B52" t="s">
        <v>25</v>
      </c>
      <c r="C52" t="s">
        <v>30</v>
      </c>
      <c r="D52">
        <v>47401</v>
      </c>
      <c r="E52">
        <v>301.29000000000002</v>
      </c>
      <c r="F52">
        <v>51.65</v>
      </c>
      <c r="G52">
        <v>301.25987099999998</v>
      </c>
      <c r="H52">
        <v>51.655164999999997</v>
      </c>
      <c r="I52">
        <v>5.2942469059277961</v>
      </c>
      <c r="J52">
        <v>1.049029346166849</v>
      </c>
      <c r="K52">
        <v>-3.3190613694447209E-2</v>
      </c>
      <c r="L52">
        <v>0.20310345521139381</v>
      </c>
      <c r="M52" t="s">
        <v>27</v>
      </c>
      <c r="N52">
        <v>23</v>
      </c>
      <c r="O52" t="s">
        <v>28</v>
      </c>
      <c r="P52">
        <v>47424</v>
      </c>
      <c r="Q52">
        <v>301.3</v>
      </c>
      <c r="R52">
        <v>51.674999999999997</v>
      </c>
      <c r="S52">
        <v>0.49052089181308289</v>
      </c>
      <c r="T52">
        <v>4.7456802433403873E-3</v>
      </c>
      <c r="U52">
        <v>6.4708060175645626E-4</v>
      </c>
      <c r="V52">
        <v>4.0980684982029319E-3</v>
      </c>
      <c r="W52">
        <v>-3.4509878964464761E-3</v>
      </c>
      <c r="X52">
        <v>301.3</v>
      </c>
      <c r="Y52">
        <v>51.674999999999997</v>
      </c>
    </row>
    <row r="53" spans="1:25" x14ac:dyDescent="0.3">
      <c r="A53">
        <v>6</v>
      </c>
      <c r="B53" t="s">
        <v>25</v>
      </c>
      <c r="C53" t="s">
        <v>30</v>
      </c>
      <c r="D53">
        <v>47638</v>
      </c>
      <c r="E53">
        <v>300.86</v>
      </c>
      <c r="F53">
        <v>51.64</v>
      </c>
      <c r="G53">
        <v>300.890086</v>
      </c>
      <c r="H53">
        <v>51.634836</v>
      </c>
      <c r="I53">
        <v>-3.5518788122017551</v>
      </c>
      <c r="J53">
        <v>1.049029346166849</v>
      </c>
      <c r="K53">
        <v>3.3238050920694012E-2</v>
      </c>
      <c r="L53">
        <v>-0.20314278585725201</v>
      </c>
      <c r="M53" t="s">
        <v>29</v>
      </c>
      <c r="N53">
        <v>29</v>
      </c>
      <c r="O53" t="s">
        <v>28</v>
      </c>
      <c r="P53">
        <v>47667</v>
      </c>
      <c r="Q53">
        <v>304.89999999999998</v>
      </c>
      <c r="R53">
        <v>52.38</v>
      </c>
      <c r="S53">
        <v>0.14843382503864511</v>
      </c>
      <c r="T53">
        <v>-1.6043935814764269E-2</v>
      </c>
      <c r="U53">
        <v>-2.0170455245822141E-2</v>
      </c>
      <c r="V53">
        <v>4.098048886464466E-3</v>
      </c>
      <c r="W53">
        <v>-2.4268504132286609E-2</v>
      </c>
      <c r="X53">
        <v>304.89999999999998</v>
      </c>
      <c r="Y53">
        <v>52.38</v>
      </c>
    </row>
    <row r="54" spans="1:25" x14ac:dyDescent="0.3">
      <c r="A54">
        <v>6</v>
      </c>
      <c r="B54" t="s">
        <v>25</v>
      </c>
      <c r="C54" t="s">
        <v>30</v>
      </c>
      <c r="D54">
        <v>47964</v>
      </c>
      <c r="E54">
        <v>304.83</v>
      </c>
      <c r="F54">
        <v>52.87</v>
      </c>
      <c r="G54">
        <v>304.86048299999999</v>
      </c>
      <c r="H54">
        <v>52.864712999999988</v>
      </c>
      <c r="I54">
        <v>-4.1516297174629004</v>
      </c>
      <c r="J54">
        <v>1.049029346166849</v>
      </c>
      <c r="K54">
        <v>3.2805170094806942E-2</v>
      </c>
      <c r="L54">
        <v>-0.19841674790369759</v>
      </c>
      <c r="M54" t="s">
        <v>29</v>
      </c>
      <c r="N54">
        <v>9</v>
      </c>
      <c r="O54" t="s">
        <v>28</v>
      </c>
      <c r="P54">
        <v>47973</v>
      </c>
      <c r="Q54">
        <v>305.74</v>
      </c>
      <c r="R54">
        <v>52.884999999999998</v>
      </c>
      <c r="S54">
        <v>0.40576483883895809</v>
      </c>
      <c r="T54">
        <v>2.687645356771956E-2</v>
      </c>
      <c r="U54">
        <v>2.2775111979784889E-2</v>
      </c>
      <c r="V54">
        <v>4.0980488864644643E-3</v>
      </c>
      <c r="W54">
        <v>1.8677063093320422E-2</v>
      </c>
      <c r="X54">
        <v>305.74</v>
      </c>
      <c r="Y54">
        <v>52.884999999999998</v>
      </c>
    </row>
    <row r="55" spans="1:25" x14ac:dyDescent="0.3">
      <c r="A55">
        <v>6</v>
      </c>
      <c r="B55" t="s">
        <v>25</v>
      </c>
      <c r="C55" t="s">
        <v>30</v>
      </c>
      <c r="D55">
        <v>48224</v>
      </c>
      <c r="E55">
        <v>303.74</v>
      </c>
      <c r="F55">
        <v>52.99</v>
      </c>
      <c r="G55">
        <v>303.770374</v>
      </c>
      <c r="H55">
        <v>52.984701000000001</v>
      </c>
      <c r="I55">
        <v>-3.5960148268180601</v>
      </c>
      <c r="J55">
        <v>1.049029346166849</v>
      </c>
      <c r="K55">
        <v>3.2922894580891551E-2</v>
      </c>
      <c r="L55">
        <v>-0.1979674176574541</v>
      </c>
      <c r="M55" t="s">
        <v>29</v>
      </c>
      <c r="N55">
        <v>19</v>
      </c>
      <c r="O55" t="s">
        <v>28</v>
      </c>
      <c r="P55">
        <v>48243</v>
      </c>
      <c r="Q55">
        <v>303.51</v>
      </c>
      <c r="R55">
        <v>52.92</v>
      </c>
      <c r="S55">
        <v>2.9467072457728439E-2</v>
      </c>
      <c r="T55">
        <v>6.2854534824161859E-3</v>
      </c>
      <c r="U55">
        <v>2.1895377885821458E-3</v>
      </c>
      <c r="V55">
        <v>4.0980488864644652E-3</v>
      </c>
      <c r="W55">
        <v>-1.9085110978823189E-3</v>
      </c>
      <c r="X55">
        <v>303.51</v>
      </c>
      <c r="Y55">
        <v>52.92</v>
      </c>
    </row>
    <row r="56" spans="1:25" x14ac:dyDescent="0.3">
      <c r="A56">
        <v>6</v>
      </c>
      <c r="B56" t="s">
        <v>25</v>
      </c>
      <c r="C56" t="s">
        <v>30</v>
      </c>
      <c r="D56">
        <v>48834</v>
      </c>
      <c r="E56">
        <v>312.99</v>
      </c>
      <c r="F56">
        <v>54.57</v>
      </c>
      <c r="G56">
        <v>312.95870100000002</v>
      </c>
      <c r="H56">
        <v>54.575457</v>
      </c>
      <c r="I56">
        <v>3.5632040514477912</v>
      </c>
      <c r="J56">
        <v>1.049029346166849</v>
      </c>
      <c r="K56">
        <v>-3.1949902552797213E-2</v>
      </c>
      <c r="L56">
        <v>0.19223554080389391</v>
      </c>
      <c r="M56" t="s">
        <v>27</v>
      </c>
      <c r="N56">
        <v>1</v>
      </c>
      <c r="O56" t="s">
        <v>28</v>
      </c>
      <c r="P56">
        <v>48835</v>
      </c>
      <c r="Q56">
        <v>311.17</v>
      </c>
      <c r="R56">
        <v>54.49</v>
      </c>
      <c r="S56">
        <v>2.96945488582755E-2</v>
      </c>
      <c r="T56">
        <v>4.2769979381779517E-2</v>
      </c>
      <c r="U56">
        <v>3.8679273456037638E-2</v>
      </c>
      <c r="V56">
        <v>4.0980684982029319E-3</v>
      </c>
      <c r="W56">
        <v>3.4581204957834698E-2</v>
      </c>
      <c r="X56">
        <v>311.17</v>
      </c>
      <c r="Y56">
        <v>54.49</v>
      </c>
    </row>
    <row r="57" spans="1:25" x14ac:dyDescent="0.3">
      <c r="A57">
        <v>6</v>
      </c>
      <c r="B57" t="s">
        <v>25</v>
      </c>
      <c r="C57" t="s">
        <v>30</v>
      </c>
      <c r="D57">
        <v>49223</v>
      </c>
      <c r="E57">
        <v>316.18</v>
      </c>
      <c r="F57">
        <v>55.055</v>
      </c>
      <c r="G57">
        <v>316.21161799999999</v>
      </c>
      <c r="H57">
        <v>55.049494500000002</v>
      </c>
      <c r="I57">
        <v>-4.859089007060053</v>
      </c>
      <c r="J57">
        <v>1.049029346166849</v>
      </c>
      <c r="K57">
        <v>3.1627553924979443E-2</v>
      </c>
      <c r="L57">
        <v>-0.19054206632764489</v>
      </c>
      <c r="M57" t="s">
        <v>29</v>
      </c>
      <c r="N57">
        <v>31</v>
      </c>
      <c r="O57" t="s">
        <v>28</v>
      </c>
      <c r="P57">
        <v>49254</v>
      </c>
      <c r="Q57">
        <v>315.45</v>
      </c>
      <c r="R57">
        <v>55.23</v>
      </c>
      <c r="S57">
        <v>-0.18965137323514589</v>
      </c>
      <c r="T57">
        <v>-5.6432975972572887E-2</v>
      </c>
      <c r="U57">
        <v>-6.0532060339628997E-2</v>
      </c>
      <c r="V57">
        <v>4.0980488864644652E-3</v>
      </c>
      <c r="W57">
        <v>-6.4630109226093468E-2</v>
      </c>
      <c r="X57">
        <v>315.45</v>
      </c>
      <c r="Y57">
        <v>55.23</v>
      </c>
    </row>
    <row r="58" spans="1:25" x14ac:dyDescent="0.3">
      <c r="A58">
        <v>6</v>
      </c>
      <c r="B58" t="s">
        <v>25</v>
      </c>
      <c r="C58" t="s">
        <v>30</v>
      </c>
      <c r="D58">
        <v>49616</v>
      </c>
      <c r="E58">
        <v>311.875</v>
      </c>
      <c r="F58">
        <v>54.77</v>
      </c>
      <c r="G58">
        <v>311.90618749999999</v>
      </c>
      <c r="H58">
        <v>54.764522999999997</v>
      </c>
      <c r="I58">
        <v>-3.8976025459049848</v>
      </c>
      <c r="J58">
        <v>1.049029346166849</v>
      </c>
      <c r="K58">
        <v>3.2064128256513023E-2</v>
      </c>
      <c r="L58">
        <v>-0.1915335669466586</v>
      </c>
      <c r="M58" t="s">
        <v>29</v>
      </c>
      <c r="N58">
        <v>2</v>
      </c>
      <c r="O58" t="s">
        <v>28</v>
      </c>
      <c r="P58">
        <v>49618</v>
      </c>
      <c r="Q58">
        <v>311.14999999999998</v>
      </c>
      <c r="R58">
        <v>54.445</v>
      </c>
      <c r="S58">
        <v>-0.18436969319392729</v>
      </c>
      <c r="T58">
        <v>3.900191627169191E-2</v>
      </c>
      <c r="U58">
        <v>3.4912407069583963E-2</v>
      </c>
      <c r="V58">
        <v>4.0980488864644652E-3</v>
      </c>
      <c r="W58">
        <v>3.0814358183119499E-2</v>
      </c>
      <c r="X58">
        <v>311.14999999999998</v>
      </c>
      <c r="Y58">
        <v>54.445</v>
      </c>
    </row>
    <row r="59" spans="1:25" x14ac:dyDescent="0.3">
      <c r="A59">
        <v>6</v>
      </c>
      <c r="B59" t="s">
        <v>25</v>
      </c>
      <c r="C59" t="s">
        <v>30</v>
      </c>
      <c r="D59">
        <v>50004</v>
      </c>
      <c r="E59">
        <v>316.02999999999997</v>
      </c>
      <c r="F59">
        <v>55.7</v>
      </c>
      <c r="G59">
        <v>315.99839700000001</v>
      </c>
      <c r="H59">
        <v>55.705570000000002</v>
      </c>
      <c r="I59">
        <v>3.6230947294132791</v>
      </c>
      <c r="J59">
        <v>1.049029346166849</v>
      </c>
      <c r="K59">
        <v>-3.1642565579217158E-2</v>
      </c>
      <c r="L59">
        <v>0.1883356097247485</v>
      </c>
      <c r="M59" t="s">
        <v>27</v>
      </c>
      <c r="N59">
        <v>27</v>
      </c>
      <c r="O59" t="s">
        <v>28</v>
      </c>
      <c r="P59">
        <v>50031</v>
      </c>
      <c r="Q59">
        <v>321.45999999999998</v>
      </c>
      <c r="R59">
        <v>56.15</v>
      </c>
      <c r="S59">
        <v>0.17975243519388259</v>
      </c>
      <c r="T59">
        <v>-8.7068106719013411E-2</v>
      </c>
      <c r="U59">
        <v>-9.119182242689472E-2</v>
      </c>
      <c r="V59">
        <v>4.0980684982029319E-3</v>
      </c>
      <c r="W59">
        <v>-9.5289890925097653E-2</v>
      </c>
      <c r="X59">
        <v>321.45999999999998</v>
      </c>
      <c r="Y59">
        <v>56.15</v>
      </c>
    </row>
    <row r="60" spans="1:25" x14ac:dyDescent="0.3">
      <c r="A60">
        <v>6</v>
      </c>
      <c r="B60" t="s">
        <v>25</v>
      </c>
      <c r="C60" t="s">
        <v>30</v>
      </c>
      <c r="D60">
        <v>50394</v>
      </c>
      <c r="E60">
        <v>320.89</v>
      </c>
      <c r="F60">
        <v>56.534999999999997</v>
      </c>
      <c r="G60">
        <v>320.92208900000003</v>
      </c>
      <c r="H60">
        <v>56.529346500000003</v>
      </c>
      <c r="I60">
        <v>-4.3146824282382417</v>
      </c>
      <c r="J60">
        <v>1.049029346166849</v>
      </c>
      <c r="K60">
        <v>3.116332699679018E-2</v>
      </c>
      <c r="L60">
        <v>-0.18555396589136811</v>
      </c>
      <c r="M60" t="s">
        <v>29</v>
      </c>
      <c r="N60">
        <v>1</v>
      </c>
      <c r="O60" t="s">
        <v>28</v>
      </c>
      <c r="P60">
        <v>50395</v>
      </c>
      <c r="Q60">
        <v>320.89499999999998</v>
      </c>
      <c r="R60">
        <v>56.34</v>
      </c>
      <c r="S60">
        <v>-0.46827256733414369</v>
      </c>
      <c r="T60">
        <v>3.6338839983799318E-2</v>
      </c>
      <c r="U60">
        <v>3.2244384012137667E-2</v>
      </c>
      <c r="V60">
        <v>4.0980488864644652E-3</v>
      </c>
      <c r="W60">
        <v>2.8146335125673199E-2</v>
      </c>
      <c r="X60">
        <v>320.89499999999998</v>
      </c>
      <c r="Y60">
        <v>56.34</v>
      </c>
    </row>
    <row r="61" spans="1:25" x14ac:dyDescent="0.3">
      <c r="A61">
        <v>6</v>
      </c>
      <c r="B61" t="s">
        <v>25</v>
      </c>
      <c r="C61" t="s">
        <v>30</v>
      </c>
      <c r="D61">
        <v>50785</v>
      </c>
      <c r="E61">
        <v>325.55</v>
      </c>
      <c r="F61">
        <v>56.74</v>
      </c>
      <c r="G61">
        <v>325.51744500000001</v>
      </c>
      <c r="H61">
        <v>56.745674000000001</v>
      </c>
      <c r="I61">
        <v>4.0609214064613957</v>
      </c>
      <c r="J61">
        <v>1.049029346166849</v>
      </c>
      <c r="K61">
        <v>-3.0717247734602979E-2</v>
      </c>
      <c r="L61">
        <v>0.18488356471040701</v>
      </c>
      <c r="M61" t="s">
        <v>27</v>
      </c>
      <c r="N61">
        <v>25</v>
      </c>
      <c r="O61" t="s">
        <v>28</v>
      </c>
      <c r="P61">
        <v>50810</v>
      </c>
      <c r="Q61">
        <v>325.10000000000002</v>
      </c>
      <c r="R61">
        <v>56.575000000000003</v>
      </c>
      <c r="S61">
        <v>0.30658079857563819</v>
      </c>
      <c r="T61">
        <v>-1.6683026696646001E-2</v>
      </c>
      <c r="U61">
        <v>-2.0776652534013521E-2</v>
      </c>
      <c r="V61">
        <v>4.0980684982029319E-3</v>
      </c>
      <c r="W61">
        <v>-2.4874721032216451E-2</v>
      </c>
      <c r="X61">
        <v>325.10000000000002</v>
      </c>
      <c r="Y61">
        <v>56.575000000000003</v>
      </c>
    </row>
    <row r="62" spans="1:25" x14ac:dyDescent="0.3">
      <c r="A62">
        <v>6</v>
      </c>
      <c r="B62" t="s">
        <v>25</v>
      </c>
      <c r="C62" t="s">
        <v>30</v>
      </c>
      <c r="D62">
        <v>51174</v>
      </c>
      <c r="E62">
        <v>323.52999999999997</v>
      </c>
      <c r="F62">
        <v>55.94</v>
      </c>
      <c r="G62">
        <v>323.49764699999997</v>
      </c>
      <c r="H62">
        <v>55.945594</v>
      </c>
      <c r="I62">
        <v>4.6345613147110241</v>
      </c>
      <c r="J62">
        <v>1.049029346166849</v>
      </c>
      <c r="K62">
        <v>-3.0909034710845981E-2</v>
      </c>
      <c r="L62">
        <v>0.1875275913776992</v>
      </c>
      <c r="M62" t="s">
        <v>27</v>
      </c>
      <c r="N62">
        <v>21</v>
      </c>
      <c r="O62" t="s">
        <v>28</v>
      </c>
      <c r="P62">
        <v>51195</v>
      </c>
      <c r="Q62">
        <v>321.07499999999999</v>
      </c>
      <c r="R62">
        <v>55.34</v>
      </c>
      <c r="S62">
        <v>0.29875456474032003</v>
      </c>
      <c r="T62">
        <v>-3.6634874611492042E-2</v>
      </c>
      <c r="U62">
        <v>-4.0714093480321317E-2</v>
      </c>
      <c r="V62">
        <v>4.0980684982029319E-3</v>
      </c>
      <c r="W62">
        <v>-4.4812161978524251E-2</v>
      </c>
      <c r="X62">
        <v>321.07499999999999</v>
      </c>
      <c r="Y62">
        <v>55.34</v>
      </c>
    </row>
    <row r="63" spans="1:25" x14ac:dyDescent="0.3">
      <c r="A63">
        <v>7</v>
      </c>
      <c r="B63" t="s">
        <v>25</v>
      </c>
      <c r="C63" t="s">
        <v>30</v>
      </c>
      <c r="D63">
        <v>51301</v>
      </c>
      <c r="E63">
        <v>315.82</v>
      </c>
      <c r="F63">
        <v>54.64</v>
      </c>
      <c r="G63">
        <v>315.78841799999998</v>
      </c>
      <c r="H63">
        <v>54.645463999999997</v>
      </c>
      <c r="I63">
        <v>5.2898091939323457</v>
      </c>
      <c r="J63">
        <v>1.010146982915971</v>
      </c>
      <c r="K63">
        <v>-3.1663605851434358E-2</v>
      </c>
      <c r="L63">
        <v>0.1848731667122934</v>
      </c>
      <c r="M63" t="s">
        <v>27</v>
      </c>
      <c r="N63">
        <v>23</v>
      </c>
      <c r="O63" t="s">
        <v>28</v>
      </c>
      <c r="P63">
        <v>51324</v>
      </c>
      <c r="Q63">
        <v>314.75</v>
      </c>
      <c r="R63">
        <v>54.505000000000003</v>
      </c>
      <c r="S63">
        <v>0.48829574690187438</v>
      </c>
      <c r="T63">
        <v>8.9221807548753099E-3</v>
      </c>
      <c r="U63">
        <v>4.9077705826199164E-3</v>
      </c>
      <c r="V63">
        <v>4.0202959952285256E-3</v>
      </c>
      <c r="W63">
        <v>8.8747458739139081E-4</v>
      </c>
      <c r="X63">
        <v>314.75</v>
      </c>
      <c r="Y63">
        <v>54.505000000000003</v>
      </c>
    </row>
    <row r="64" spans="1:25" x14ac:dyDescent="0.3">
      <c r="A64">
        <v>7</v>
      </c>
      <c r="B64" t="s">
        <v>25</v>
      </c>
      <c r="C64" t="s">
        <v>30</v>
      </c>
      <c r="D64">
        <v>51565</v>
      </c>
      <c r="E64">
        <v>310.43</v>
      </c>
      <c r="F64">
        <v>53.52</v>
      </c>
      <c r="G64">
        <v>310.398957</v>
      </c>
      <c r="H64">
        <v>53.525352000000012</v>
      </c>
      <c r="I64">
        <v>4.075568730273786</v>
      </c>
      <c r="J64">
        <v>1.010146982915971</v>
      </c>
      <c r="K64">
        <v>-3.2213381438649623E-2</v>
      </c>
      <c r="L64">
        <v>0.18874196242824581</v>
      </c>
      <c r="M64" t="s">
        <v>27</v>
      </c>
      <c r="N64">
        <v>14</v>
      </c>
      <c r="O64" t="s">
        <v>28</v>
      </c>
      <c r="P64">
        <v>51579</v>
      </c>
      <c r="Q64">
        <v>310.47000000000003</v>
      </c>
      <c r="R64">
        <v>53.62</v>
      </c>
      <c r="S64">
        <v>7.7876738339145699E-2</v>
      </c>
      <c r="T64">
        <v>1.758566098527686E-2</v>
      </c>
      <c r="U64">
        <v>1.3563350746294471E-2</v>
      </c>
      <c r="V64">
        <v>4.0202959952285256E-3</v>
      </c>
      <c r="W64">
        <v>9.543054751065946E-3</v>
      </c>
      <c r="X64">
        <v>310.47000000000003</v>
      </c>
      <c r="Y64">
        <v>53.62</v>
      </c>
    </row>
    <row r="65" spans="1:25" x14ac:dyDescent="0.3">
      <c r="A65">
        <v>7</v>
      </c>
      <c r="B65" t="s">
        <v>25</v>
      </c>
      <c r="C65" t="s">
        <v>30</v>
      </c>
      <c r="D65">
        <v>52344</v>
      </c>
      <c r="E65">
        <v>304.58999999999997</v>
      </c>
      <c r="F65">
        <v>53.24</v>
      </c>
      <c r="G65">
        <v>304.62045899999998</v>
      </c>
      <c r="H65">
        <v>53.234676</v>
      </c>
      <c r="I65">
        <v>-4.9584326804218293</v>
      </c>
      <c r="J65">
        <v>1.010146982915971</v>
      </c>
      <c r="K65">
        <v>3.283101874651171E-2</v>
      </c>
      <c r="L65">
        <v>-0.1897345948377106</v>
      </c>
      <c r="M65" t="s">
        <v>29</v>
      </c>
      <c r="N65">
        <v>12</v>
      </c>
      <c r="O65" t="s">
        <v>28</v>
      </c>
      <c r="P65">
        <v>52356</v>
      </c>
      <c r="Q65">
        <v>306.60500000000002</v>
      </c>
      <c r="R65">
        <v>53.274999999999999</v>
      </c>
      <c r="S65">
        <v>-0.14343058562202879</v>
      </c>
      <c r="T65">
        <v>5.9513791954903278E-2</v>
      </c>
      <c r="U65">
        <v>5.5486218467711103E-2</v>
      </c>
      <c r="V65">
        <v>4.0202919364353594E-3</v>
      </c>
      <c r="W65">
        <v>5.1465926531275727E-2</v>
      </c>
      <c r="X65">
        <v>306.60500000000002</v>
      </c>
      <c r="Y65">
        <v>53.274999999999999</v>
      </c>
    </row>
    <row r="66" spans="1:25" x14ac:dyDescent="0.3">
      <c r="A66">
        <v>7</v>
      </c>
      <c r="B66" t="s">
        <v>25</v>
      </c>
      <c r="C66" t="s">
        <v>30</v>
      </c>
      <c r="D66">
        <v>53127</v>
      </c>
      <c r="E66">
        <v>306.26</v>
      </c>
      <c r="F66">
        <v>52.18</v>
      </c>
      <c r="G66">
        <v>306.22937400000001</v>
      </c>
      <c r="H66">
        <v>52.185217999999999</v>
      </c>
      <c r="I66">
        <v>4.6566311301594041</v>
      </c>
      <c r="J66">
        <v>1.010146982915971</v>
      </c>
      <c r="K66">
        <v>-3.2651995036896753E-2</v>
      </c>
      <c r="L66">
        <v>0.19358891968493119</v>
      </c>
      <c r="M66" t="s">
        <v>27</v>
      </c>
      <c r="N66">
        <v>18</v>
      </c>
      <c r="O66" t="s">
        <v>28</v>
      </c>
      <c r="P66">
        <v>53145</v>
      </c>
      <c r="Q66">
        <v>306.84500000000003</v>
      </c>
      <c r="R66">
        <v>52.46</v>
      </c>
      <c r="S66">
        <v>0.36883765175630667</v>
      </c>
      <c r="T66">
        <v>3.5103480415195183E-2</v>
      </c>
      <c r="U66">
        <v>3.1075855817902918E-2</v>
      </c>
      <c r="V66">
        <v>4.0202959952285256E-3</v>
      </c>
      <c r="W66">
        <v>2.7055559822674401E-2</v>
      </c>
      <c r="X66">
        <v>306.84500000000003</v>
      </c>
      <c r="Y66">
        <v>52.46</v>
      </c>
    </row>
    <row r="67" spans="1:25" x14ac:dyDescent="0.3">
      <c r="A67">
        <v>7</v>
      </c>
      <c r="B67" t="s">
        <v>25</v>
      </c>
      <c r="C67" t="s">
        <v>30</v>
      </c>
      <c r="D67">
        <v>53372</v>
      </c>
      <c r="E67">
        <v>305.2</v>
      </c>
      <c r="F67">
        <v>52.24</v>
      </c>
      <c r="G67">
        <v>305.23052000000001</v>
      </c>
      <c r="H67">
        <v>52.234775999999997</v>
      </c>
      <c r="I67">
        <v>-3.7749881529900149</v>
      </c>
      <c r="J67">
        <v>1.010146982915971</v>
      </c>
      <c r="K67">
        <v>3.2765399737876802E-2</v>
      </c>
      <c r="L67">
        <v>-0.19336657406507871</v>
      </c>
      <c r="M67" t="s">
        <v>29</v>
      </c>
      <c r="N67">
        <v>11</v>
      </c>
      <c r="O67" t="s">
        <v>28</v>
      </c>
      <c r="P67">
        <v>53383</v>
      </c>
      <c r="Q67">
        <v>306.63</v>
      </c>
      <c r="R67">
        <v>52.414999999999999</v>
      </c>
      <c r="S67">
        <v>-0.25681306697959139</v>
      </c>
      <c r="T67">
        <v>1.3015371163775821E-2</v>
      </c>
      <c r="U67">
        <v>8.9870078307352427E-3</v>
      </c>
      <c r="V67">
        <v>4.0202919364353603E-3</v>
      </c>
      <c r="W67">
        <v>4.9667158942998824E-3</v>
      </c>
      <c r="X67">
        <v>306.63</v>
      </c>
      <c r="Y67">
        <v>52.414999999999999</v>
      </c>
    </row>
    <row r="68" spans="1:25" x14ac:dyDescent="0.3">
      <c r="A68">
        <v>7</v>
      </c>
      <c r="B68" t="s">
        <v>25</v>
      </c>
      <c r="C68" t="s">
        <v>30</v>
      </c>
      <c r="D68">
        <v>53517</v>
      </c>
      <c r="E68">
        <v>307.62</v>
      </c>
      <c r="F68">
        <v>52.44</v>
      </c>
      <c r="G68">
        <v>307.58923800000002</v>
      </c>
      <c r="H68">
        <v>52.445244000000002</v>
      </c>
      <c r="I68">
        <v>4.0646379047212484</v>
      </c>
      <c r="J68">
        <v>1.010146982915971</v>
      </c>
      <c r="K68">
        <v>-3.2507639295234383E-2</v>
      </c>
      <c r="L68">
        <v>0.19262909666589839</v>
      </c>
      <c r="M68" t="s">
        <v>27</v>
      </c>
      <c r="N68">
        <v>18</v>
      </c>
      <c r="O68" t="s">
        <v>28</v>
      </c>
      <c r="P68">
        <v>53535</v>
      </c>
      <c r="Q68">
        <v>305.99</v>
      </c>
      <c r="R68">
        <v>52.08</v>
      </c>
      <c r="S68">
        <v>0.27083471387508978</v>
      </c>
      <c r="T68">
        <v>-1.635902274849144E-2</v>
      </c>
      <c r="U68">
        <v>-2.0367083321636309E-2</v>
      </c>
      <c r="V68">
        <v>4.0202959952285256E-3</v>
      </c>
      <c r="W68">
        <v>-2.438737931686483E-2</v>
      </c>
      <c r="X68">
        <v>305.99</v>
      </c>
      <c r="Y68">
        <v>52.08</v>
      </c>
    </row>
    <row r="69" spans="1:25" x14ac:dyDescent="0.3">
      <c r="A69">
        <v>7</v>
      </c>
      <c r="B69" t="s">
        <v>25</v>
      </c>
      <c r="C69" t="s">
        <v>30</v>
      </c>
      <c r="D69">
        <v>53762</v>
      </c>
      <c r="E69">
        <v>309.98500000000001</v>
      </c>
      <c r="F69">
        <v>52.664999999999999</v>
      </c>
      <c r="G69">
        <v>309.9540015</v>
      </c>
      <c r="H69">
        <v>52.670266499999997</v>
      </c>
      <c r="I69">
        <v>4.2167222232767623</v>
      </c>
      <c r="J69">
        <v>1.010146982915971</v>
      </c>
      <c r="K69">
        <v>-3.2259625465748343E-2</v>
      </c>
      <c r="L69">
        <v>0.19180612986157239</v>
      </c>
      <c r="M69" t="s">
        <v>27</v>
      </c>
      <c r="N69">
        <v>29</v>
      </c>
      <c r="O69" t="s">
        <v>28</v>
      </c>
      <c r="P69">
        <v>53791</v>
      </c>
      <c r="Q69">
        <v>310.69</v>
      </c>
      <c r="R69">
        <v>52.98</v>
      </c>
      <c r="S69">
        <v>-0.45026262429605401</v>
      </c>
      <c r="T69">
        <v>3.7675894953042813E-2</v>
      </c>
      <c r="U69">
        <v>3.3647284790525693E-2</v>
      </c>
      <c r="V69">
        <v>4.0202959952285256E-3</v>
      </c>
      <c r="W69">
        <v>2.9626988795297161E-2</v>
      </c>
      <c r="X69">
        <v>310.69</v>
      </c>
      <c r="Y69">
        <v>52.98</v>
      </c>
    </row>
    <row r="70" spans="1:25" x14ac:dyDescent="0.3">
      <c r="A70">
        <v>7</v>
      </c>
      <c r="B70" t="s">
        <v>25</v>
      </c>
      <c r="C70" t="s">
        <v>30</v>
      </c>
      <c r="D70">
        <v>53907</v>
      </c>
      <c r="E70">
        <v>309.82</v>
      </c>
      <c r="F70">
        <v>53.09</v>
      </c>
      <c r="G70">
        <v>309.85098199999999</v>
      </c>
      <c r="H70">
        <v>53.084691000000007</v>
      </c>
      <c r="I70">
        <v>-4.3878530153906263</v>
      </c>
      <c r="J70">
        <v>1.010146982915971</v>
      </c>
      <c r="K70">
        <v>3.2276805887289393E-2</v>
      </c>
      <c r="L70">
        <v>-0.19027066922508409</v>
      </c>
      <c r="M70" t="s">
        <v>29</v>
      </c>
      <c r="N70">
        <v>22</v>
      </c>
      <c r="O70" t="s">
        <v>28</v>
      </c>
      <c r="P70">
        <v>53929</v>
      </c>
      <c r="Q70">
        <v>306.24</v>
      </c>
      <c r="R70">
        <v>52.59</v>
      </c>
      <c r="S70">
        <v>-0.28515227122360992</v>
      </c>
      <c r="T70">
        <v>-2.041563046395348E-2</v>
      </c>
      <c r="U70">
        <v>-2.4414855799815841E-2</v>
      </c>
      <c r="V70">
        <v>4.0202919364353594E-3</v>
      </c>
      <c r="W70">
        <v>-2.84351477362512E-2</v>
      </c>
      <c r="X70">
        <v>306.24</v>
      </c>
      <c r="Y70">
        <v>52.59</v>
      </c>
    </row>
    <row r="71" spans="1:25" x14ac:dyDescent="0.3">
      <c r="A71">
        <v>7</v>
      </c>
      <c r="B71" t="s">
        <v>25</v>
      </c>
      <c r="C71" t="s">
        <v>30</v>
      </c>
      <c r="D71">
        <v>54298</v>
      </c>
      <c r="E71">
        <v>294.07</v>
      </c>
      <c r="F71">
        <v>50.25</v>
      </c>
      <c r="G71">
        <v>294.040593</v>
      </c>
      <c r="H71">
        <v>50.255025000000003</v>
      </c>
      <c r="I71">
        <v>3.6402653643952072</v>
      </c>
      <c r="J71">
        <v>1.010146982915971</v>
      </c>
      <c r="K71">
        <v>-3.4005508892440577E-2</v>
      </c>
      <c r="L71">
        <v>0.20102427520715849</v>
      </c>
      <c r="M71" t="s">
        <v>27</v>
      </c>
      <c r="N71">
        <v>26</v>
      </c>
      <c r="O71" t="s">
        <v>28</v>
      </c>
      <c r="P71">
        <v>54324</v>
      </c>
      <c r="Q71">
        <v>292.95</v>
      </c>
      <c r="R71">
        <v>49.75</v>
      </c>
      <c r="S71">
        <v>0.32317564303634372</v>
      </c>
      <c r="T71">
        <v>-6.2425967644045628E-2</v>
      </c>
      <c r="U71">
        <v>-6.6432401779120256E-2</v>
      </c>
      <c r="V71">
        <v>4.0202959952285256E-3</v>
      </c>
      <c r="W71">
        <v>-7.0452697774348788E-2</v>
      </c>
      <c r="X71">
        <v>292.95</v>
      </c>
      <c r="Y71">
        <v>49.75</v>
      </c>
    </row>
    <row r="72" spans="1:25" x14ac:dyDescent="0.3">
      <c r="A72">
        <v>8</v>
      </c>
      <c r="B72" t="s">
        <v>25</v>
      </c>
      <c r="C72" t="s">
        <v>30</v>
      </c>
      <c r="D72">
        <v>55201</v>
      </c>
      <c r="E72">
        <v>306.26</v>
      </c>
      <c r="F72">
        <v>52.134999999999998</v>
      </c>
      <c r="G72">
        <v>306.22937400000001</v>
      </c>
      <c r="H72">
        <v>52.140213499999987</v>
      </c>
      <c r="I72">
        <v>5.2893751873921389</v>
      </c>
      <c r="J72">
        <v>0.96877792326346956</v>
      </c>
      <c r="K72">
        <v>-3.2651995036896753E-2</v>
      </c>
      <c r="L72">
        <v>0.18582102680799259</v>
      </c>
      <c r="M72" t="s">
        <v>27</v>
      </c>
      <c r="N72">
        <v>23</v>
      </c>
      <c r="O72" t="s">
        <v>28</v>
      </c>
      <c r="P72">
        <v>55224</v>
      </c>
      <c r="Q72">
        <v>305.14999999999998</v>
      </c>
      <c r="R72">
        <v>51.924999999999997</v>
      </c>
      <c r="S72">
        <v>0.49429642635938292</v>
      </c>
      <c r="T72">
        <v>-2.7787011387227709E-3</v>
      </c>
      <c r="U72">
        <v>-6.7087303722357453E-3</v>
      </c>
      <c r="V72">
        <v>3.9375496021115926E-3</v>
      </c>
      <c r="W72">
        <v>-1.064627997434734E-2</v>
      </c>
      <c r="X72">
        <v>305.14999999999998</v>
      </c>
      <c r="Y72">
        <v>51.924999999999997</v>
      </c>
    </row>
    <row r="73" spans="1:25" x14ac:dyDescent="0.3">
      <c r="A73">
        <v>8</v>
      </c>
      <c r="B73" t="s">
        <v>25</v>
      </c>
      <c r="C73" t="s">
        <v>30</v>
      </c>
      <c r="D73">
        <v>55468</v>
      </c>
      <c r="E73">
        <v>302.83499999999998</v>
      </c>
      <c r="F73">
        <v>51.37</v>
      </c>
      <c r="G73">
        <v>302.80471649999998</v>
      </c>
      <c r="H73">
        <v>51.375137000000002</v>
      </c>
      <c r="I73">
        <v>3.934397936976795</v>
      </c>
      <c r="J73">
        <v>0.96877792326346956</v>
      </c>
      <c r="K73">
        <v>-3.3021282216388462E-2</v>
      </c>
      <c r="L73">
        <v>0.18858826615991231</v>
      </c>
      <c r="M73" t="s">
        <v>27</v>
      </c>
      <c r="N73">
        <v>35</v>
      </c>
      <c r="O73" t="s">
        <v>28</v>
      </c>
      <c r="P73">
        <v>55503</v>
      </c>
      <c r="Q73">
        <v>297.54000000000002</v>
      </c>
      <c r="R73">
        <v>50.25</v>
      </c>
      <c r="S73">
        <v>5.749173956535495E-2</v>
      </c>
      <c r="T73">
        <v>-3.6371168763325801E-2</v>
      </c>
      <c r="U73">
        <v>-4.0270117955106932E-2</v>
      </c>
      <c r="V73">
        <v>3.9375496021115926E-3</v>
      </c>
      <c r="W73">
        <v>-4.4207667557218527E-2</v>
      </c>
      <c r="X73">
        <v>297.54000000000002</v>
      </c>
      <c r="Y73">
        <v>50.25</v>
      </c>
    </row>
    <row r="74" spans="1:25" x14ac:dyDescent="0.3">
      <c r="A74">
        <v>8</v>
      </c>
      <c r="B74" t="s">
        <v>25</v>
      </c>
      <c r="C74" t="s">
        <v>30</v>
      </c>
      <c r="D74">
        <v>56633</v>
      </c>
      <c r="E74">
        <v>300.68</v>
      </c>
      <c r="F74">
        <v>49.88</v>
      </c>
      <c r="G74">
        <v>300.64993199999998</v>
      </c>
      <c r="H74">
        <v>49.884988</v>
      </c>
      <c r="I74">
        <v>3.5957734442424671</v>
      </c>
      <c r="J74">
        <v>0.96877792326346956</v>
      </c>
      <c r="K74">
        <v>-3.3257948649727281E-2</v>
      </c>
      <c r="L74">
        <v>0.194221716772949</v>
      </c>
      <c r="M74" t="s">
        <v>27</v>
      </c>
      <c r="N74">
        <v>14</v>
      </c>
      <c r="O74" t="s">
        <v>28</v>
      </c>
      <c r="P74">
        <v>56647</v>
      </c>
      <c r="Q74">
        <v>299.52</v>
      </c>
      <c r="R74">
        <v>49.82</v>
      </c>
      <c r="S74">
        <v>0.37164097552966741</v>
      </c>
      <c r="T74">
        <v>2.69259174273071E-2</v>
      </c>
      <c r="U74">
        <v>2.2993384833126618E-2</v>
      </c>
      <c r="V74">
        <v>3.9375496021115926E-3</v>
      </c>
      <c r="W74">
        <v>1.905583523101503E-2</v>
      </c>
      <c r="X74">
        <v>299.52</v>
      </c>
      <c r="Y74">
        <v>49.82</v>
      </c>
    </row>
    <row r="75" spans="1:25" x14ac:dyDescent="0.3">
      <c r="A75">
        <v>8</v>
      </c>
      <c r="B75" t="s">
        <v>25</v>
      </c>
      <c r="C75" t="s">
        <v>30</v>
      </c>
      <c r="D75">
        <v>57037</v>
      </c>
      <c r="E75">
        <v>298.98</v>
      </c>
      <c r="F75">
        <v>50.104999999999997</v>
      </c>
      <c r="G75">
        <v>298.95010200000002</v>
      </c>
      <c r="H75">
        <v>50.110010499999987</v>
      </c>
      <c r="I75">
        <v>4.033613404581768</v>
      </c>
      <c r="J75">
        <v>0.96877792326346956</v>
      </c>
      <c r="K75">
        <v>-3.344705331460298E-2</v>
      </c>
      <c r="L75">
        <v>0.19334955059644141</v>
      </c>
      <c r="M75" t="s">
        <v>27</v>
      </c>
      <c r="N75">
        <v>12</v>
      </c>
      <c r="O75" t="s">
        <v>28</v>
      </c>
      <c r="P75">
        <v>57049</v>
      </c>
      <c r="Q75">
        <v>299.43</v>
      </c>
      <c r="R75">
        <v>50.2</v>
      </c>
      <c r="S75">
        <v>0.1896668712687502</v>
      </c>
      <c r="T75">
        <v>3.3170333150921278E-3</v>
      </c>
      <c r="U75">
        <v>-6.2386446956467015E-4</v>
      </c>
      <c r="V75">
        <v>3.9375496021115917E-3</v>
      </c>
      <c r="W75">
        <v>-4.5614140716762619E-3</v>
      </c>
      <c r="X75">
        <v>299.43</v>
      </c>
      <c r="Y75">
        <v>50.2</v>
      </c>
    </row>
    <row r="76" spans="1:25" x14ac:dyDescent="0.3">
      <c r="A76">
        <v>8</v>
      </c>
      <c r="B76" t="s">
        <v>25</v>
      </c>
      <c r="C76" t="s">
        <v>30</v>
      </c>
      <c r="D76">
        <v>57818</v>
      </c>
      <c r="E76">
        <v>286.09500000000003</v>
      </c>
      <c r="F76">
        <v>47.64</v>
      </c>
      <c r="G76">
        <v>286.06639050000001</v>
      </c>
      <c r="H76">
        <v>47.644764000000002</v>
      </c>
      <c r="I76">
        <v>4.8158246540165557</v>
      </c>
      <c r="J76">
        <v>0.96877792326346956</v>
      </c>
      <c r="K76">
        <v>-3.4953424561771439E-2</v>
      </c>
      <c r="L76">
        <v>0.20335388817453179</v>
      </c>
      <c r="M76" t="s">
        <v>27</v>
      </c>
      <c r="N76">
        <v>13</v>
      </c>
      <c r="O76" t="s">
        <v>28</v>
      </c>
      <c r="P76">
        <v>57831</v>
      </c>
      <c r="Q76">
        <v>284.52999999999997</v>
      </c>
      <c r="R76">
        <v>47.524999999999999</v>
      </c>
      <c r="S76">
        <v>0.35677660429548941</v>
      </c>
      <c r="T76">
        <v>3.1316412299102647E-2</v>
      </c>
      <c r="U76">
        <v>2.7386665233231858E-2</v>
      </c>
      <c r="V76">
        <v>3.9375496021115926E-3</v>
      </c>
      <c r="W76">
        <v>2.344911563112027E-2</v>
      </c>
      <c r="X76">
        <v>284.52999999999997</v>
      </c>
      <c r="Y76">
        <v>47.524999999999999</v>
      </c>
    </row>
    <row r="77" spans="1:25" x14ac:dyDescent="0.3">
      <c r="A77">
        <v>8</v>
      </c>
      <c r="B77" t="s">
        <v>25</v>
      </c>
      <c r="C77" t="s">
        <v>30</v>
      </c>
      <c r="D77">
        <v>58208</v>
      </c>
      <c r="E77">
        <v>290.255</v>
      </c>
      <c r="F77">
        <v>48.28</v>
      </c>
      <c r="G77">
        <v>290.28402549999998</v>
      </c>
      <c r="H77">
        <v>48.275171999999998</v>
      </c>
      <c r="I77">
        <v>-4.3455249506303142</v>
      </c>
      <c r="J77">
        <v>0.96877792326346956</v>
      </c>
      <c r="K77">
        <v>3.4452464212502802E-2</v>
      </c>
      <c r="L77">
        <v>-0.20065822768506</v>
      </c>
      <c r="M77" t="s">
        <v>29</v>
      </c>
      <c r="N77">
        <v>14</v>
      </c>
      <c r="O77" t="s">
        <v>28</v>
      </c>
      <c r="P77">
        <v>58222</v>
      </c>
      <c r="Q77">
        <v>289.8</v>
      </c>
      <c r="R77">
        <v>48.05</v>
      </c>
      <c r="S77">
        <v>-0.45764643065864019</v>
      </c>
      <c r="T77">
        <v>3.0475521150876369E-2</v>
      </c>
      <c r="U77">
        <v>2.6544148030709831E-2</v>
      </c>
      <c r="V77">
        <v>3.9375620909422862E-3</v>
      </c>
      <c r="W77">
        <v>2.260658593976754E-2</v>
      </c>
      <c r="X77">
        <v>289.8</v>
      </c>
      <c r="Y77">
        <v>48.05</v>
      </c>
    </row>
    <row r="78" spans="1:25" x14ac:dyDescent="0.3">
      <c r="A78">
        <v>8</v>
      </c>
      <c r="B78" t="s">
        <v>25</v>
      </c>
      <c r="C78" t="s">
        <v>30</v>
      </c>
      <c r="D78">
        <v>58467</v>
      </c>
      <c r="E78">
        <v>291.815</v>
      </c>
      <c r="F78">
        <v>49.12</v>
      </c>
      <c r="G78">
        <v>291.84418149999999</v>
      </c>
      <c r="H78">
        <v>49.115088</v>
      </c>
      <c r="I78">
        <v>-3.727536180721426</v>
      </c>
      <c r="J78">
        <v>0.96877792326346956</v>
      </c>
      <c r="K78">
        <v>3.4268286414337851E-2</v>
      </c>
      <c r="L78">
        <v>-0.19722677590868681</v>
      </c>
      <c r="M78" t="s">
        <v>29</v>
      </c>
      <c r="N78">
        <v>23</v>
      </c>
      <c r="O78" t="s">
        <v>28</v>
      </c>
      <c r="P78">
        <v>58490</v>
      </c>
      <c r="Q78">
        <v>291.93</v>
      </c>
      <c r="R78">
        <v>49.034999999999997</v>
      </c>
      <c r="S78">
        <v>-0.23788929543751439</v>
      </c>
      <c r="T78">
        <v>2.0705128889887708E-2</v>
      </c>
      <c r="U78">
        <v>1.6768855385662779E-2</v>
      </c>
      <c r="V78">
        <v>3.9375620909422862E-3</v>
      </c>
      <c r="W78">
        <v>1.283129329472049E-2</v>
      </c>
      <c r="X78">
        <v>291.93</v>
      </c>
      <c r="Y78">
        <v>49.034999999999997</v>
      </c>
    </row>
    <row r="79" spans="1:25" x14ac:dyDescent="0.3">
      <c r="A79">
        <v>8</v>
      </c>
      <c r="B79" t="s">
        <v>25</v>
      </c>
      <c r="C79" t="s">
        <v>30</v>
      </c>
      <c r="D79">
        <v>58598</v>
      </c>
      <c r="E79">
        <v>289.2</v>
      </c>
      <c r="F79">
        <v>48.39</v>
      </c>
      <c r="G79">
        <v>289.17108000000002</v>
      </c>
      <c r="H79">
        <v>48.394838999999997</v>
      </c>
      <c r="I79">
        <v>3.989190328545241</v>
      </c>
      <c r="J79">
        <v>0.96877792326346956</v>
      </c>
      <c r="K79">
        <v>-3.4578146611341627E-2</v>
      </c>
      <c r="L79">
        <v>0.20020209201559611</v>
      </c>
      <c r="M79" t="s">
        <v>27</v>
      </c>
      <c r="N79">
        <v>9</v>
      </c>
      <c r="O79" t="s">
        <v>28</v>
      </c>
      <c r="P79">
        <v>58607</v>
      </c>
      <c r="Q79">
        <v>288.79000000000002</v>
      </c>
      <c r="R79">
        <v>48.505000000000003</v>
      </c>
      <c r="S79">
        <v>-9.1354239169039366E-3</v>
      </c>
      <c r="T79">
        <v>3.7200280692442918E-2</v>
      </c>
      <c r="U79">
        <v>3.3261840225870608E-2</v>
      </c>
      <c r="V79">
        <v>3.9375496021115926E-3</v>
      </c>
      <c r="W79">
        <v>2.932429062375902E-2</v>
      </c>
      <c r="X79">
        <v>288.79000000000002</v>
      </c>
      <c r="Y79">
        <v>48.505000000000003</v>
      </c>
    </row>
    <row r="80" spans="1:25" x14ac:dyDescent="0.3">
      <c r="A80">
        <v>8</v>
      </c>
      <c r="B80" t="s">
        <v>25</v>
      </c>
      <c r="C80" t="s">
        <v>30</v>
      </c>
      <c r="D80">
        <v>58990</v>
      </c>
      <c r="E80">
        <v>282.64999999999998</v>
      </c>
      <c r="F80">
        <v>47.515000000000001</v>
      </c>
      <c r="G80">
        <v>282.621735</v>
      </c>
      <c r="H80">
        <v>47.519751499999998</v>
      </c>
      <c r="I80">
        <v>3.5310655190632612</v>
      </c>
      <c r="J80">
        <v>0.96877792326346956</v>
      </c>
      <c r="K80">
        <v>-3.5379444542720677E-2</v>
      </c>
      <c r="L80">
        <v>0.20388886104671569</v>
      </c>
      <c r="M80" t="s">
        <v>27</v>
      </c>
      <c r="N80">
        <v>13</v>
      </c>
      <c r="O80" t="s">
        <v>28</v>
      </c>
      <c r="P80">
        <v>59003</v>
      </c>
      <c r="Q80">
        <v>281.19</v>
      </c>
      <c r="R80">
        <v>47.344999999999999</v>
      </c>
      <c r="S80">
        <v>0.24275071841649179</v>
      </c>
      <c r="T80">
        <v>1.6992882654429459E-2</v>
      </c>
      <c r="U80">
        <v>1.306395831744519E-2</v>
      </c>
      <c r="V80">
        <v>3.9375496021115926E-3</v>
      </c>
      <c r="W80">
        <v>9.126408715333597E-3</v>
      </c>
      <c r="X80">
        <v>281.19</v>
      </c>
      <c r="Y80">
        <v>47.344999999999999</v>
      </c>
    </row>
    <row r="81" spans="1:25" x14ac:dyDescent="0.3">
      <c r="A81">
        <v>9</v>
      </c>
      <c r="B81" t="s">
        <v>25</v>
      </c>
      <c r="C81" t="s">
        <v>30</v>
      </c>
      <c r="D81">
        <v>59101</v>
      </c>
      <c r="E81">
        <v>280.23</v>
      </c>
      <c r="F81">
        <v>47.05</v>
      </c>
      <c r="G81">
        <v>280.201977</v>
      </c>
      <c r="H81">
        <v>47.054704999999998</v>
      </c>
      <c r="I81">
        <v>5.2944451711566058</v>
      </c>
      <c r="J81">
        <v>0.81444705018759989</v>
      </c>
      <c r="K81">
        <v>-3.5684973057845341E-2</v>
      </c>
      <c r="L81">
        <v>0.1731024548751541</v>
      </c>
      <c r="M81" t="s">
        <v>27</v>
      </c>
      <c r="N81">
        <v>23</v>
      </c>
      <c r="O81" t="s">
        <v>28</v>
      </c>
      <c r="P81">
        <v>59124</v>
      </c>
      <c r="Q81">
        <v>281.76499999999999</v>
      </c>
      <c r="R81">
        <v>47.29</v>
      </c>
      <c r="S81">
        <v>0.49406678838135981</v>
      </c>
      <c r="T81">
        <v>-1.323184447375414E-2</v>
      </c>
      <c r="U81">
        <v>-1.6870370676410201E-2</v>
      </c>
      <c r="V81">
        <v>3.628856989785237E-3</v>
      </c>
      <c r="W81">
        <v>-2.0499227666195441E-2</v>
      </c>
      <c r="X81">
        <v>281.76499999999999</v>
      </c>
      <c r="Y81">
        <v>47.29</v>
      </c>
    </row>
    <row r="82" spans="1:25" x14ac:dyDescent="0.3">
      <c r="A82">
        <v>9</v>
      </c>
      <c r="B82" t="s">
        <v>25</v>
      </c>
      <c r="C82" t="s">
        <v>30</v>
      </c>
      <c r="D82">
        <v>60161</v>
      </c>
      <c r="E82">
        <v>289.625</v>
      </c>
      <c r="F82">
        <v>47.65</v>
      </c>
      <c r="G82">
        <v>289.59603750000002</v>
      </c>
      <c r="H82">
        <v>47.654764999999998</v>
      </c>
      <c r="I82">
        <v>3.682555493572631</v>
      </c>
      <c r="J82">
        <v>0.81444705018759989</v>
      </c>
      <c r="K82">
        <v>-3.4527406128614588E-2</v>
      </c>
      <c r="L82">
        <v>0.17092278073192019</v>
      </c>
      <c r="M82" t="s">
        <v>27</v>
      </c>
      <c r="N82">
        <v>6</v>
      </c>
      <c r="O82" t="s">
        <v>28</v>
      </c>
      <c r="P82">
        <v>60167</v>
      </c>
      <c r="Q82">
        <v>291</v>
      </c>
      <c r="R82">
        <v>48.02</v>
      </c>
      <c r="S82">
        <v>0.39314071275139079</v>
      </c>
      <c r="T82">
        <v>1.5766245443966199E-2</v>
      </c>
      <c r="U82">
        <v>1.212627968236352E-2</v>
      </c>
      <c r="V82">
        <v>3.628856989785237E-3</v>
      </c>
      <c r="W82">
        <v>8.4974226925782874E-3</v>
      </c>
      <c r="X82">
        <v>291</v>
      </c>
      <c r="Y82">
        <v>48.02</v>
      </c>
    </row>
    <row r="83" spans="1:25" x14ac:dyDescent="0.3">
      <c r="A83">
        <v>9</v>
      </c>
      <c r="B83" t="s">
        <v>25</v>
      </c>
      <c r="C83" t="s">
        <v>30</v>
      </c>
      <c r="D83">
        <v>60506</v>
      </c>
      <c r="E83">
        <v>286.86</v>
      </c>
      <c r="F83">
        <v>47.475000000000001</v>
      </c>
      <c r="G83">
        <v>286.88868600000001</v>
      </c>
      <c r="H83">
        <v>47.470252500000001</v>
      </c>
      <c r="I83">
        <v>-4.4312396332796542</v>
      </c>
      <c r="J83">
        <v>0.81444705018759989</v>
      </c>
      <c r="K83">
        <v>3.4860210555671747E-2</v>
      </c>
      <c r="L83">
        <v>-0.17155282784362291</v>
      </c>
      <c r="M83" t="s">
        <v>29</v>
      </c>
      <c r="N83">
        <v>13</v>
      </c>
      <c r="O83" t="s">
        <v>28</v>
      </c>
      <c r="P83">
        <v>60519</v>
      </c>
      <c r="Q83">
        <v>286.84500000000003</v>
      </c>
      <c r="R83">
        <v>47.424999999999997</v>
      </c>
      <c r="S83">
        <v>-0.23845242360756061</v>
      </c>
      <c r="T83">
        <v>8.0547382338472771E-3</v>
      </c>
      <c r="U83">
        <v>4.4267541879275379E-3</v>
      </c>
      <c r="V83">
        <v>3.6289312109651622E-3</v>
      </c>
      <c r="W83">
        <v>7.978229769623757E-4</v>
      </c>
      <c r="X83">
        <v>286.84500000000003</v>
      </c>
      <c r="Y83">
        <v>47.424999999999997</v>
      </c>
    </row>
    <row r="84" spans="1:25" x14ac:dyDescent="0.3">
      <c r="A84">
        <v>9</v>
      </c>
      <c r="B84" t="s">
        <v>25</v>
      </c>
      <c r="C84" t="s">
        <v>30</v>
      </c>
      <c r="D84">
        <v>60554</v>
      </c>
      <c r="E84">
        <v>285.52499999999998</v>
      </c>
      <c r="F84">
        <v>47.375</v>
      </c>
      <c r="G84">
        <v>285.55355250000002</v>
      </c>
      <c r="H84">
        <v>47.370262500000003</v>
      </c>
      <c r="I84">
        <v>-3.7668691164191461</v>
      </c>
      <c r="J84">
        <v>0.81444705018759989</v>
      </c>
      <c r="K84">
        <v>3.5023202871902637E-2</v>
      </c>
      <c r="L84">
        <v>-0.17191494463062801</v>
      </c>
      <c r="M84" t="s">
        <v>29</v>
      </c>
      <c r="N84">
        <v>12</v>
      </c>
      <c r="O84" t="s">
        <v>28</v>
      </c>
      <c r="P84">
        <v>60566</v>
      </c>
      <c r="Q84">
        <v>286.89999999999998</v>
      </c>
      <c r="R84">
        <v>47.5</v>
      </c>
      <c r="S84">
        <v>-0.36593961571871192</v>
      </c>
      <c r="T84">
        <v>2.6667535870037631E-2</v>
      </c>
      <c r="U84">
        <v>2.3031677142460839E-2</v>
      </c>
      <c r="V84">
        <v>3.6289312109651622E-3</v>
      </c>
      <c r="W84">
        <v>1.9402745931495682E-2</v>
      </c>
      <c r="X84">
        <v>286.89999999999998</v>
      </c>
      <c r="Y84">
        <v>47.5</v>
      </c>
    </row>
    <row r="85" spans="1:25" x14ac:dyDescent="0.3">
      <c r="A85">
        <v>9</v>
      </c>
      <c r="B85" t="s">
        <v>25</v>
      </c>
      <c r="C85" t="s">
        <v>30</v>
      </c>
      <c r="D85">
        <v>61331</v>
      </c>
      <c r="E85">
        <v>288.13</v>
      </c>
      <c r="F85">
        <v>47.3</v>
      </c>
      <c r="G85">
        <v>288.15881300000001</v>
      </c>
      <c r="H85">
        <v>47.295270000000002</v>
      </c>
      <c r="I85">
        <v>-4.796941551264422</v>
      </c>
      <c r="J85">
        <v>0.81444705018759989</v>
      </c>
      <c r="K85">
        <v>3.4706556068441329E-2</v>
      </c>
      <c r="L85">
        <v>-0.17218753703754761</v>
      </c>
      <c r="M85" t="s">
        <v>29</v>
      </c>
      <c r="N85">
        <v>27</v>
      </c>
      <c r="O85" t="s">
        <v>28</v>
      </c>
      <c r="P85">
        <v>61358</v>
      </c>
      <c r="Q85">
        <v>288.005</v>
      </c>
      <c r="R85">
        <v>47.21</v>
      </c>
      <c r="S85">
        <v>5.6809218071837003E-3</v>
      </c>
      <c r="T85">
        <v>1.1158558824823479E-2</v>
      </c>
      <c r="U85">
        <v>7.5316482442326447E-3</v>
      </c>
      <c r="V85">
        <v>3.6289312109651622E-3</v>
      </c>
      <c r="W85">
        <v>3.9027170332674829E-3</v>
      </c>
      <c r="X85">
        <v>288.005</v>
      </c>
      <c r="Y85">
        <v>47.21</v>
      </c>
    </row>
    <row r="86" spans="1:25" x14ac:dyDescent="0.3">
      <c r="A86">
        <v>9</v>
      </c>
      <c r="B86" t="s">
        <v>25</v>
      </c>
      <c r="C86" t="s">
        <v>30</v>
      </c>
      <c r="D86">
        <v>61711</v>
      </c>
      <c r="E86">
        <v>285.69499999999999</v>
      </c>
      <c r="F86">
        <v>46.91</v>
      </c>
      <c r="G86">
        <v>285.7235695</v>
      </c>
      <c r="H86">
        <v>46.905309000000003</v>
      </c>
      <c r="I86">
        <v>-3.7985191049783231</v>
      </c>
      <c r="J86">
        <v>0.81444705018759989</v>
      </c>
      <c r="K86">
        <v>3.5002362659479508E-2</v>
      </c>
      <c r="L86">
        <v>-0.17361906846889791</v>
      </c>
      <c r="M86" t="s">
        <v>29</v>
      </c>
      <c r="N86">
        <v>26</v>
      </c>
      <c r="O86" t="s">
        <v>28</v>
      </c>
      <c r="P86">
        <v>61737</v>
      </c>
      <c r="Q86">
        <v>292.12</v>
      </c>
      <c r="R86">
        <v>47.97</v>
      </c>
      <c r="S86">
        <v>1.0318508698612221E-2</v>
      </c>
      <c r="T86">
        <v>4.0853967510124128E-2</v>
      </c>
      <c r="U86">
        <v>3.7184180770483799E-2</v>
      </c>
      <c r="V86">
        <v>3.6289312109651622E-3</v>
      </c>
      <c r="W86">
        <v>3.3555249559518642E-2</v>
      </c>
      <c r="X86">
        <v>292.12</v>
      </c>
      <c r="Y86">
        <v>47.97</v>
      </c>
    </row>
    <row r="87" spans="1:25" x14ac:dyDescent="0.3">
      <c r="A87">
        <v>9</v>
      </c>
      <c r="B87" t="s">
        <v>25</v>
      </c>
      <c r="C87" t="s">
        <v>30</v>
      </c>
      <c r="D87">
        <v>62112</v>
      </c>
      <c r="E87">
        <v>286.98</v>
      </c>
      <c r="F87">
        <v>47.35</v>
      </c>
      <c r="G87">
        <v>287.00869799999998</v>
      </c>
      <c r="H87">
        <v>47.345264999999998</v>
      </c>
      <c r="I87">
        <v>-4.3256654332070488</v>
      </c>
      <c r="J87">
        <v>0.81444705018759989</v>
      </c>
      <c r="K87">
        <v>3.4845633842079587E-2</v>
      </c>
      <c r="L87">
        <v>-0.17200571281681101</v>
      </c>
      <c r="M87" t="s">
        <v>29</v>
      </c>
      <c r="N87">
        <v>18</v>
      </c>
      <c r="O87" t="s">
        <v>28</v>
      </c>
      <c r="P87">
        <v>62130</v>
      </c>
      <c r="Q87">
        <v>288.70999999999998</v>
      </c>
      <c r="R87">
        <v>47.64</v>
      </c>
      <c r="S87">
        <v>-0.34533234217353581</v>
      </c>
      <c r="T87">
        <v>1.040128982992131E-2</v>
      </c>
      <c r="U87">
        <v>6.7613792692200331E-3</v>
      </c>
      <c r="V87">
        <v>3.628931210965163E-3</v>
      </c>
      <c r="W87">
        <v>3.13244805825487E-3</v>
      </c>
      <c r="X87">
        <v>288.70999999999998</v>
      </c>
      <c r="Y87">
        <v>47.64</v>
      </c>
    </row>
    <row r="88" spans="1:25" x14ac:dyDescent="0.3">
      <c r="A88">
        <v>9</v>
      </c>
      <c r="B88" t="s">
        <v>25</v>
      </c>
      <c r="C88" t="s">
        <v>30</v>
      </c>
      <c r="D88">
        <v>62589</v>
      </c>
      <c r="E88">
        <v>295.58999999999997</v>
      </c>
      <c r="F88">
        <v>48.66</v>
      </c>
      <c r="G88">
        <v>295.56044100000003</v>
      </c>
      <c r="H88">
        <v>48.664866000000004</v>
      </c>
      <c r="I88">
        <v>3.5881352196890308</v>
      </c>
      <c r="J88">
        <v>0.81444705018759989</v>
      </c>
      <c r="K88">
        <v>-3.3830643797151463E-2</v>
      </c>
      <c r="L88">
        <v>0.16737506169083441</v>
      </c>
      <c r="M88" t="s">
        <v>27</v>
      </c>
      <c r="N88">
        <v>8</v>
      </c>
      <c r="O88" t="s">
        <v>28</v>
      </c>
      <c r="P88">
        <v>62597</v>
      </c>
      <c r="Q88">
        <v>294.86</v>
      </c>
      <c r="R88">
        <v>48.585000000000001</v>
      </c>
      <c r="S88">
        <v>8.2929969426686956E-2</v>
      </c>
      <c r="T88">
        <v>1.2143240345107401E-2</v>
      </c>
      <c r="U88">
        <v>8.518071194691652E-3</v>
      </c>
      <c r="V88">
        <v>3.628856989785237E-3</v>
      </c>
      <c r="W88">
        <v>4.889214204906415E-3</v>
      </c>
      <c r="X88">
        <v>294.86</v>
      </c>
      <c r="Y88">
        <v>48.585000000000001</v>
      </c>
    </row>
    <row r="89" spans="1:25" x14ac:dyDescent="0.3">
      <c r="A89">
        <v>9</v>
      </c>
      <c r="B89" t="s">
        <v>25</v>
      </c>
      <c r="C89" t="s">
        <v>30</v>
      </c>
      <c r="D89">
        <v>62894</v>
      </c>
      <c r="E89">
        <v>293.85000000000002</v>
      </c>
      <c r="F89">
        <v>48.805</v>
      </c>
      <c r="G89">
        <v>293.87938500000001</v>
      </c>
      <c r="H89">
        <v>48.800119500000001</v>
      </c>
      <c r="I89">
        <v>-4.2488124499288347</v>
      </c>
      <c r="J89">
        <v>0.81444705018759989</v>
      </c>
      <c r="K89">
        <v>3.403096818104475E-2</v>
      </c>
      <c r="L89">
        <v>-0.16687778919938531</v>
      </c>
      <c r="M89" t="s">
        <v>29</v>
      </c>
      <c r="N89">
        <v>13</v>
      </c>
      <c r="O89" t="s">
        <v>28</v>
      </c>
      <c r="P89">
        <v>62907</v>
      </c>
      <c r="Q89">
        <v>294.77999999999997</v>
      </c>
      <c r="R89">
        <v>48.835000000000001</v>
      </c>
      <c r="S89">
        <v>-0.49528238982585743</v>
      </c>
      <c r="T89">
        <v>2.6642466732388171E-2</v>
      </c>
      <c r="U89">
        <v>2.300990711860592E-2</v>
      </c>
      <c r="V89">
        <v>3.628931210965163E-3</v>
      </c>
      <c r="W89">
        <v>1.9380975907640759E-2</v>
      </c>
      <c r="X89">
        <v>294.77999999999997</v>
      </c>
      <c r="Y89">
        <v>48.835000000000001</v>
      </c>
    </row>
    <row r="90" spans="1:25" x14ac:dyDescent="0.3">
      <c r="A90">
        <v>10</v>
      </c>
      <c r="B90" t="s">
        <v>32</v>
      </c>
      <c r="C90" t="s">
        <v>33</v>
      </c>
      <c r="D90">
        <v>63001</v>
      </c>
      <c r="E90">
        <v>51.59</v>
      </c>
      <c r="F90">
        <v>204.84</v>
      </c>
      <c r="G90">
        <v>51.595159000000002</v>
      </c>
      <c r="H90">
        <v>204.81951599999999</v>
      </c>
      <c r="I90">
        <v>-5.2946500306393149</v>
      </c>
      <c r="J90">
        <v>0.90418154948810281</v>
      </c>
      <c r="K90">
        <v>0.19383601473153711</v>
      </c>
      <c r="L90">
        <v>-4.4140868457728119E-2</v>
      </c>
      <c r="M90" t="s">
        <v>29</v>
      </c>
      <c r="N90">
        <v>23</v>
      </c>
      <c r="O90" t="s">
        <v>28</v>
      </c>
      <c r="P90">
        <v>63024</v>
      </c>
      <c r="Q90">
        <v>51.51</v>
      </c>
      <c r="R90">
        <v>205.02</v>
      </c>
      <c r="S90">
        <v>-0.49208829152589623</v>
      </c>
      <c r="T90">
        <v>-2.3452237500915379E-2</v>
      </c>
      <c r="U90">
        <v>-2.7259844447405542E-2</v>
      </c>
      <c r="V90">
        <v>3.8083822626663079E-3</v>
      </c>
      <c r="W90">
        <v>-3.1068226710071849E-2</v>
      </c>
      <c r="X90">
        <v>51.51</v>
      </c>
      <c r="Y90">
        <v>205.02</v>
      </c>
    </row>
    <row r="91" spans="1:25" x14ac:dyDescent="0.3">
      <c r="A91">
        <v>10</v>
      </c>
      <c r="B91" t="s">
        <v>32</v>
      </c>
      <c r="C91" t="s">
        <v>33</v>
      </c>
      <c r="D91">
        <v>63459</v>
      </c>
      <c r="E91">
        <v>51.03</v>
      </c>
      <c r="F91">
        <v>203</v>
      </c>
      <c r="G91">
        <v>51.024897000000003</v>
      </c>
      <c r="H91">
        <v>203.02029999999999</v>
      </c>
      <c r="I91">
        <v>3.5523458610373102</v>
      </c>
      <c r="J91">
        <v>0.90418154948810281</v>
      </c>
      <c r="K91">
        <v>-0.1959631589261219</v>
      </c>
      <c r="L91">
        <v>4.4540963028970593E-2</v>
      </c>
      <c r="M91" t="s">
        <v>27</v>
      </c>
      <c r="N91">
        <v>18</v>
      </c>
      <c r="O91" t="s">
        <v>28</v>
      </c>
      <c r="P91">
        <v>63477</v>
      </c>
      <c r="Q91">
        <v>50.975000000000001</v>
      </c>
      <c r="R91">
        <v>203.17</v>
      </c>
      <c r="S91">
        <v>0.1338196310140963</v>
      </c>
      <c r="T91">
        <v>1.8349937455861089E-2</v>
      </c>
      <c r="U91">
        <v>1.4541894957888331E-2</v>
      </c>
      <c r="V91">
        <v>3.8083439352861038E-3</v>
      </c>
      <c r="W91">
        <v>1.073355102260222E-2</v>
      </c>
      <c r="X91">
        <v>50.975000000000001</v>
      </c>
      <c r="Y91">
        <v>203.17</v>
      </c>
    </row>
    <row r="92" spans="1:25" x14ac:dyDescent="0.3">
      <c r="A92">
        <v>10</v>
      </c>
      <c r="B92" t="s">
        <v>32</v>
      </c>
      <c r="C92" t="s">
        <v>33</v>
      </c>
      <c r="D92">
        <v>64254</v>
      </c>
      <c r="E92">
        <v>51.725000000000001</v>
      </c>
      <c r="F92">
        <v>205.76499999999999</v>
      </c>
      <c r="G92">
        <v>51.719827500000001</v>
      </c>
      <c r="H92">
        <v>205.78557649999999</v>
      </c>
      <c r="I92">
        <v>3.88209231152267</v>
      </c>
      <c r="J92">
        <v>0.90418154948810281</v>
      </c>
      <c r="K92">
        <v>-0.19333011116481391</v>
      </c>
      <c r="L92">
        <v>4.3942436735504242E-2</v>
      </c>
      <c r="M92" t="s">
        <v>27</v>
      </c>
      <c r="N92">
        <v>4</v>
      </c>
      <c r="O92" t="s">
        <v>28</v>
      </c>
      <c r="P92">
        <v>64258</v>
      </c>
      <c r="Q92">
        <v>51.835000000000001</v>
      </c>
      <c r="R92">
        <v>206.93</v>
      </c>
      <c r="S92">
        <v>0.21192774522584029</v>
      </c>
      <c r="T92">
        <v>2.9926626568733909E-2</v>
      </c>
      <c r="U92">
        <v>2.611101754465496E-2</v>
      </c>
      <c r="V92">
        <v>3.8083439352861038E-3</v>
      </c>
      <c r="W92">
        <v>2.2302673609368859E-2</v>
      </c>
      <c r="X92">
        <v>51.835000000000001</v>
      </c>
      <c r="Y92">
        <v>206.93</v>
      </c>
    </row>
    <row r="93" spans="1:25" x14ac:dyDescent="0.3">
      <c r="A93">
        <v>10</v>
      </c>
      <c r="B93" t="s">
        <v>32</v>
      </c>
      <c r="C93" t="s">
        <v>33</v>
      </c>
      <c r="D93">
        <v>65242</v>
      </c>
      <c r="E93">
        <v>53.325000000000003</v>
      </c>
      <c r="F93">
        <v>211.72</v>
      </c>
      <c r="G93">
        <v>53.319667500000001</v>
      </c>
      <c r="H93">
        <v>211.74117200000001</v>
      </c>
      <c r="I93">
        <v>3.5283094695702362</v>
      </c>
      <c r="J93">
        <v>0.90418154948810281</v>
      </c>
      <c r="K93">
        <v>-0.18752930145335209</v>
      </c>
      <c r="L93">
        <v>4.2706477871155432E-2</v>
      </c>
      <c r="M93" t="s">
        <v>27</v>
      </c>
      <c r="N93">
        <v>9</v>
      </c>
      <c r="O93" t="s">
        <v>28</v>
      </c>
      <c r="P93">
        <v>65251</v>
      </c>
      <c r="Q93">
        <v>53.27</v>
      </c>
      <c r="R93">
        <v>212.32</v>
      </c>
      <c r="S93">
        <v>0.40382193561864049</v>
      </c>
      <c r="T93">
        <v>3.5937998302627318E-2</v>
      </c>
      <c r="U93">
        <v>3.2128104226136142E-2</v>
      </c>
      <c r="V93">
        <v>3.8083439352861038E-3</v>
      </c>
      <c r="W93">
        <v>2.8319760290850031E-2</v>
      </c>
      <c r="X93">
        <v>53.27</v>
      </c>
      <c r="Y93">
        <v>212.32</v>
      </c>
    </row>
    <row r="94" spans="1:25" x14ac:dyDescent="0.3">
      <c r="A94">
        <v>10</v>
      </c>
      <c r="B94" t="s">
        <v>32</v>
      </c>
      <c r="C94" t="s">
        <v>33</v>
      </c>
      <c r="D94">
        <v>65779</v>
      </c>
      <c r="E94">
        <v>53.424999999999997</v>
      </c>
      <c r="F94">
        <v>213.31</v>
      </c>
      <c r="G94">
        <v>53.4196575</v>
      </c>
      <c r="H94">
        <v>213.33133100000001</v>
      </c>
      <c r="I94">
        <v>3.5378142745057541</v>
      </c>
      <c r="J94">
        <v>0.90418154948810281</v>
      </c>
      <c r="K94">
        <v>-0.18717828731867101</v>
      </c>
      <c r="L94">
        <v>4.2388146335760303E-2</v>
      </c>
      <c r="M94" t="s">
        <v>27</v>
      </c>
      <c r="N94">
        <v>27</v>
      </c>
      <c r="O94" t="s">
        <v>28</v>
      </c>
      <c r="P94">
        <v>65806</v>
      </c>
      <c r="Q94">
        <v>53.395000000000003</v>
      </c>
      <c r="R94">
        <v>213.23</v>
      </c>
      <c r="S94">
        <v>0.46336470984441153</v>
      </c>
      <c r="T94">
        <v>2.2242969126976598E-3</v>
      </c>
      <c r="U94">
        <v>-1.5831655462450391E-3</v>
      </c>
      <c r="V94">
        <v>3.8083439352861038E-3</v>
      </c>
      <c r="W94">
        <v>-5.3915094815311423E-3</v>
      </c>
      <c r="X94">
        <v>53.395000000000003</v>
      </c>
      <c r="Y94">
        <v>213.23</v>
      </c>
    </row>
    <row r="95" spans="1:25" x14ac:dyDescent="0.3">
      <c r="A95">
        <v>10</v>
      </c>
      <c r="B95" t="s">
        <v>32</v>
      </c>
      <c r="C95" t="s">
        <v>33</v>
      </c>
      <c r="D95">
        <v>66010</v>
      </c>
      <c r="E95">
        <v>53.77</v>
      </c>
      <c r="F95">
        <v>214.595</v>
      </c>
      <c r="G95">
        <v>53.764623</v>
      </c>
      <c r="H95">
        <v>214.61645949999999</v>
      </c>
      <c r="I95">
        <v>3.6411829482452172</v>
      </c>
      <c r="J95">
        <v>0.90418154948810281</v>
      </c>
      <c r="K95">
        <v>-0.1859773107680863</v>
      </c>
      <c r="L95">
        <v>4.2134325100216821E-2</v>
      </c>
      <c r="M95" t="s">
        <v>27</v>
      </c>
      <c r="N95">
        <v>18</v>
      </c>
      <c r="O95" t="s">
        <v>28</v>
      </c>
      <c r="P95">
        <v>66028</v>
      </c>
      <c r="Q95">
        <v>55.5</v>
      </c>
      <c r="R95">
        <v>221.56</v>
      </c>
      <c r="S95">
        <v>0.26064238289366709</v>
      </c>
      <c r="T95">
        <v>-2.8275173305778441E-2</v>
      </c>
      <c r="U95">
        <v>-3.2145057036949698E-2</v>
      </c>
      <c r="V95">
        <v>3.8083439352861038E-3</v>
      </c>
      <c r="W95">
        <v>-3.5953400972235802E-2</v>
      </c>
      <c r="X95">
        <v>55.5</v>
      </c>
      <c r="Y95">
        <v>221.56</v>
      </c>
    </row>
    <row r="96" spans="1:25" x14ac:dyDescent="0.3">
      <c r="A96">
        <v>11</v>
      </c>
      <c r="B96" t="s">
        <v>32</v>
      </c>
      <c r="C96" t="s">
        <v>33</v>
      </c>
      <c r="D96">
        <v>67596</v>
      </c>
      <c r="E96">
        <v>55.86</v>
      </c>
      <c r="F96">
        <v>220.74</v>
      </c>
      <c r="G96">
        <v>55.865586</v>
      </c>
      <c r="H96">
        <v>220.71792600000001</v>
      </c>
      <c r="I96">
        <v>-3.6861653480315608</v>
      </c>
      <c r="J96">
        <v>0.93445707488887586</v>
      </c>
      <c r="K96">
        <v>0.17901897601145719</v>
      </c>
      <c r="L96">
        <v>-4.2332929006472578E-2</v>
      </c>
      <c r="M96" t="s">
        <v>29</v>
      </c>
      <c r="N96">
        <v>25</v>
      </c>
      <c r="O96" t="s">
        <v>28</v>
      </c>
      <c r="P96">
        <v>67621</v>
      </c>
      <c r="Q96">
        <v>55.34</v>
      </c>
      <c r="R96">
        <v>219.47</v>
      </c>
      <c r="S96">
        <v>-0.18402809430865691</v>
      </c>
      <c r="T96">
        <v>-3.9327047687736427E-2</v>
      </c>
      <c r="U96">
        <v>-4.3181276568778078E-2</v>
      </c>
      <c r="V96">
        <v>3.8689272583627742E-3</v>
      </c>
      <c r="W96">
        <v>-4.7050203827140862E-2</v>
      </c>
      <c r="X96">
        <v>55.34</v>
      </c>
      <c r="Y96">
        <v>219.47</v>
      </c>
    </row>
    <row r="97" spans="1:25" x14ac:dyDescent="0.3">
      <c r="A97">
        <v>11</v>
      </c>
      <c r="B97" t="s">
        <v>32</v>
      </c>
      <c r="C97" t="s">
        <v>33</v>
      </c>
      <c r="D97">
        <v>67988</v>
      </c>
      <c r="E97">
        <v>56.38</v>
      </c>
      <c r="F97">
        <v>224.095</v>
      </c>
      <c r="G97">
        <v>56.385638</v>
      </c>
      <c r="H97">
        <v>224.07259049999999</v>
      </c>
      <c r="I97">
        <v>-4.8642061366331379</v>
      </c>
      <c r="J97">
        <v>0.93445707488887586</v>
      </c>
      <c r="K97">
        <v>0.17736786094359699</v>
      </c>
      <c r="L97">
        <v>-4.1699148793541828E-2</v>
      </c>
      <c r="M97" t="s">
        <v>29</v>
      </c>
      <c r="N97">
        <v>33</v>
      </c>
      <c r="O97" t="s">
        <v>28</v>
      </c>
      <c r="P97">
        <v>68021</v>
      </c>
      <c r="Q97">
        <v>55.935000000000002</v>
      </c>
      <c r="R97">
        <v>219.91</v>
      </c>
      <c r="S97">
        <v>0.49306683379546712</v>
      </c>
      <c r="T97">
        <v>9.5582239581071954E-2</v>
      </c>
      <c r="U97">
        <v>9.1738669394877584E-2</v>
      </c>
      <c r="V97">
        <v>3.8689272583627742E-3</v>
      </c>
      <c r="W97">
        <v>8.7869742136514814E-2</v>
      </c>
      <c r="X97">
        <v>55.935000000000002</v>
      </c>
      <c r="Y97">
        <v>219.91</v>
      </c>
    </row>
    <row r="98" spans="1:25" x14ac:dyDescent="0.3">
      <c r="A98">
        <v>11</v>
      </c>
      <c r="B98" t="s">
        <v>32</v>
      </c>
      <c r="C98" t="s">
        <v>33</v>
      </c>
      <c r="D98">
        <v>68382</v>
      </c>
      <c r="E98">
        <v>55.564999999999998</v>
      </c>
      <c r="F98">
        <v>222.875</v>
      </c>
      <c r="G98">
        <v>55.570556500000002</v>
      </c>
      <c r="H98">
        <v>222.8527125</v>
      </c>
      <c r="I98">
        <v>-3.5660628191703179</v>
      </c>
      <c r="J98">
        <v>0.93445707488887586</v>
      </c>
      <c r="K98">
        <v>0.17996940520111579</v>
      </c>
      <c r="L98">
        <v>-4.1927406613073509E-2</v>
      </c>
      <c r="M98" t="s">
        <v>29</v>
      </c>
      <c r="N98">
        <v>10</v>
      </c>
      <c r="O98" t="s">
        <v>28</v>
      </c>
      <c r="P98">
        <v>68392</v>
      </c>
      <c r="Q98">
        <v>56.09</v>
      </c>
      <c r="R98">
        <v>223.16</v>
      </c>
      <c r="S98">
        <v>-0.374839292860145</v>
      </c>
      <c r="T98">
        <v>8.253462684586102E-2</v>
      </c>
      <c r="U98">
        <v>7.8655069371222533E-2</v>
      </c>
      <c r="V98">
        <v>3.8689272583627742E-3</v>
      </c>
      <c r="W98">
        <v>7.4786142112859763E-2</v>
      </c>
      <c r="X98">
        <v>56.09</v>
      </c>
      <c r="Y98">
        <v>223.16</v>
      </c>
    </row>
    <row r="99" spans="1:25" x14ac:dyDescent="0.3">
      <c r="A99">
        <v>11</v>
      </c>
      <c r="B99" t="s">
        <v>32</v>
      </c>
      <c r="C99" t="s">
        <v>33</v>
      </c>
      <c r="D99">
        <v>69317</v>
      </c>
      <c r="E99">
        <v>57.375</v>
      </c>
      <c r="F99">
        <v>226.42</v>
      </c>
      <c r="G99">
        <v>57.369262499999998</v>
      </c>
      <c r="H99">
        <v>226.44264200000001</v>
      </c>
      <c r="I99">
        <v>3.6364574033479982</v>
      </c>
      <c r="J99">
        <v>0.93445707488887586</v>
      </c>
      <c r="K99">
        <v>-0.17429193899782139</v>
      </c>
      <c r="L99">
        <v>4.1270959936793389E-2</v>
      </c>
      <c r="M99" t="s">
        <v>27</v>
      </c>
      <c r="N99">
        <v>2</v>
      </c>
      <c r="O99" t="s">
        <v>28</v>
      </c>
      <c r="P99">
        <v>69319</v>
      </c>
      <c r="Q99">
        <v>57.25</v>
      </c>
      <c r="R99">
        <v>226.3</v>
      </c>
      <c r="S99">
        <v>0.2031159867385792</v>
      </c>
      <c r="T99">
        <v>1.6833977182313449E-2</v>
      </c>
      <c r="U99">
        <v>1.2967736933293049E-2</v>
      </c>
      <c r="V99">
        <v>3.8689010411927299E-3</v>
      </c>
      <c r="W99">
        <v>9.0988358921003203E-3</v>
      </c>
      <c r="X99">
        <v>57.25</v>
      </c>
      <c r="Y99">
        <v>226.3</v>
      </c>
    </row>
    <row r="100" spans="1:25" x14ac:dyDescent="0.3">
      <c r="A100">
        <v>11</v>
      </c>
      <c r="B100" t="s">
        <v>32</v>
      </c>
      <c r="C100" t="s">
        <v>33</v>
      </c>
      <c r="D100">
        <v>69392</v>
      </c>
      <c r="E100">
        <v>57.23</v>
      </c>
      <c r="F100">
        <v>227.22</v>
      </c>
      <c r="G100">
        <v>57.235722999999993</v>
      </c>
      <c r="H100">
        <v>227.19727800000001</v>
      </c>
      <c r="I100">
        <v>-3.6486710820134909</v>
      </c>
      <c r="J100">
        <v>0.93445707488887586</v>
      </c>
      <c r="K100">
        <v>0.1747335313646689</v>
      </c>
      <c r="L100">
        <v>-4.1125652446478117E-2</v>
      </c>
      <c r="M100" t="s">
        <v>29</v>
      </c>
      <c r="N100">
        <v>8</v>
      </c>
      <c r="O100" t="s">
        <v>28</v>
      </c>
      <c r="P100">
        <v>69400</v>
      </c>
      <c r="Q100">
        <v>57.215000000000003</v>
      </c>
      <c r="R100">
        <v>226.755</v>
      </c>
      <c r="S100">
        <v>0.35772578207039879</v>
      </c>
      <c r="T100">
        <v>1.6502425417143571E-2</v>
      </c>
      <c r="U100">
        <v>1.263568571050319E-2</v>
      </c>
      <c r="V100">
        <v>3.8689272583627742E-3</v>
      </c>
      <c r="W100">
        <v>8.7667584521404184E-3</v>
      </c>
      <c r="X100">
        <v>57.215000000000003</v>
      </c>
      <c r="Y100">
        <v>226.755</v>
      </c>
    </row>
    <row r="101" spans="1:25" x14ac:dyDescent="0.3">
      <c r="A101">
        <v>11</v>
      </c>
      <c r="B101" t="s">
        <v>32</v>
      </c>
      <c r="C101" t="s">
        <v>33</v>
      </c>
      <c r="D101">
        <v>69500</v>
      </c>
      <c r="E101">
        <v>57.234999999999999</v>
      </c>
      <c r="F101">
        <v>227.77</v>
      </c>
      <c r="G101">
        <v>57.240723500000001</v>
      </c>
      <c r="H101">
        <v>227.74722299999999</v>
      </c>
      <c r="I101">
        <v>-3.7803756811253311</v>
      </c>
      <c r="J101">
        <v>0.93445707488887586</v>
      </c>
      <c r="K101">
        <v>0.17471826679479341</v>
      </c>
      <c r="L101">
        <v>-4.1026345650826523E-2</v>
      </c>
      <c r="M101" t="s">
        <v>29</v>
      </c>
      <c r="N101">
        <v>18</v>
      </c>
      <c r="O101" t="s">
        <v>28</v>
      </c>
      <c r="P101">
        <v>69518</v>
      </c>
      <c r="Q101">
        <v>57.21</v>
      </c>
      <c r="R101">
        <v>227.52</v>
      </c>
      <c r="S101">
        <v>-0.31248890318602818</v>
      </c>
      <c r="T101">
        <v>5.8886297428370439E-3</v>
      </c>
      <c r="U101">
        <v>2.021178047367496E-3</v>
      </c>
      <c r="V101">
        <v>3.8689272583627742E-3</v>
      </c>
      <c r="W101">
        <v>-1.847749210995278E-3</v>
      </c>
      <c r="X101">
        <v>57.21</v>
      </c>
      <c r="Y101">
        <v>227.52</v>
      </c>
    </row>
    <row r="102" spans="1:25" x14ac:dyDescent="0.3">
      <c r="A102">
        <v>11</v>
      </c>
      <c r="B102" t="s">
        <v>32</v>
      </c>
      <c r="C102" t="s">
        <v>33</v>
      </c>
      <c r="D102">
        <v>70726</v>
      </c>
      <c r="E102">
        <v>56.59</v>
      </c>
      <c r="F102">
        <v>223.49</v>
      </c>
      <c r="G102">
        <v>56.584341000000002</v>
      </c>
      <c r="H102">
        <v>223.512349</v>
      </c>
      <c r="I102">
        <v>4.7001284441657303</v>
      </c>
      <c r="J102">
        <v>0.93445707488887586</v>
      </c>
      <c r="K102">
        <v>-0.1767096660187312</v>
      </c>
      <c r="L102">
        <v>4.1812030734658188E-2</v>
      </c>
      <c r="M102" t="s">
        <v>27</v>
      </c>
      <c r="N102">
        <v>9</v>
      </c>
      <c r="O102" t="s">
        <v>28</v>
      </c>
      <c r="P102">
        <v>70735</v>
      </c>
      <c r="Q102">
        <v>56.47</v>
      </c>
      <c r="R102">
        <v>223.91</v>
      </c>
      <c r="S102">
        <v>0.211877086786004</v>
      </c>
      <c r="T102">
        <v>3.8766212830804461E-2</v>
      </c>
      <c r="U102">
        <v>3.4897663091728919E-2</v>
      </c>
      <c r="V102">
        <v>3.8689010411927299E-3</v>
      </c>
      <c r="W102">
        <v>3.1028762050536191E-2</v>
      </c>
      <c r="X102">
        <v>56.47</v>
      </c>
      <c r="Y102">
        <v>223.91</v>
      </c>
    </row>
    <row r="103" spans="1:25" x14ac:dyDescent="0.3">
      <c r="A103">
        <v>12</v>
      </c>
      <c r="B103" t="s">
        <v>32</v>
      </c>
      <c r="C103" t="s">
        <v>33</v>
      </c>
      <c r="D103">
        <v>70801</v>
      </c>
      <c r="E103">
        <v>56.1</v>
      </c>
      <c r="F103">
        <v>221.56</v>
      </c>
      <c r="G103">
        <v>56.105609999999999</v>
      </c>
      <c r="H103">
        <v>221.53784400000001</v>
      </c>
      <c r="I103">
        <v>-5.2857677027929286</v>
      </c>
      <c r="J103">
        <v>0.94405449064772462</v>
      </c>
      <c r="K103">
        <v>0.17825311942958999</v>
      </c>
      <c r="L103">
        <v>-4.2609428175109432E-2</v>
      </c>
      <c r="M103" t="s">
        <v>29</v>
      </c>
      <c r="N103">
        <v>23</v>
      </c>
      <c r="O103" t="s">
        <v>28</v>
      </c>
      <c r="P103">
        <v>70824</v>
      </c>
      <c r="Q103">
        <v>56.01</v>
      </c>
      <c r="R103">
        <v>221.38</v>
      </c>
      <c r="S103">
        <v>-0.4580609406768828</v>
      </c>
      <c r="T103">
        <v>-8.373083677143723E-3</v>
      </c>
      <c r="U103">
        <v>-1.225882141065554E-2</v>
      </c>
      <c r="V103">
        <v>3.8881201703973201E-3</v>
      </c>
      <c r="W103">
        <v>-1.614694158105286E-2</v>
      </c>
      <c r="X103">
        <v>56.01</v>
      </c>
      <c r="Y103">
        <v>221.38</v>
      </c>
    </row>
    <row r="104" spans="1:25" x14ac:dyDescent="0.3">
      <c r="A104">
        <v>12</v>
      </c>
      <c r="B104" t="s">
        <v>32</v>
      </c>
      <c r="C104" t="s">
        <v>33</v>
      </c>
      <c r="D104">
        <v>71114</v>
      </c>
      <c r="E104">
        <v>55.95</v>
      </c>
      <c r="F104">
        <v>220.35</v>
      </c>
      <c r="G104">
        <v>55.944405000000003</v>
      </c>
      <c r="H104">
        <v>220.37203500000001</v>
      </c>
      <c r="I104">
        <v>3.8584047850779659</v>
      </c>
      <c r="J104">
        <v>0.94405449064772462</v>
      </c>
      <c r="K104">
        <v>-0.17873100983020551</v>
      </c>
      <c r="L104">
        <v>4.2843407789776473E-2</v>
      </c>
      <c r="M104" t="s">
        <v>27</v>
      </c>
      <c r="N104">
        <v>7</v>
      </c>
      <c r="O104" t="s">
        <v>28</v>
      </c>
      <c r="P104">
        <v>71121</v>
      </c>
      <c r="Q104">
        <v>56.1</v>
      </c>
      <c r="R104">
        <v>221.92</v>
      </c>
      <c r="S104">
        <v>-0.20461089945307109</v>
      </c>
      <c r="T104">
        <v>4.0454498755418199E-2</v>
      </c>
      <c r="U104">
        <v>3.6556982393953823E-2</v>
      </c>
      <c r="V104">
        <v>3.888097792193579E-3</v>
      </c>
      <c r="W104">
        <v>3.2668884601760227E-2</v>
      </c>
      <c r="X104">
        <v>56.1</v>
      </c>
      <c r="Y104">
        <v>221.92</v>
      </c>
    </row>
    <row r="105" spans="1:25" x14ac:dyDescent="0.3">
      <c r="A105">
        <v>12</v>
      </c>
      <c r="B105" t="s">
        <v>32</v>
      </c>
      <c r="C105" t="s">
        <v>33</v>
      </c>
      <c r="D105">
        <v>71504</v>
      </c>
      <c r="E105">
        <v>56.55</v>
      </c>
      <c r="F105">
        <v>223.04</v>
      </c>
      <c r="G105">
        <v>56.544345</v>
      </c>
      <c r="H105">
        <v>223.06230400000001</v>
      </c>
      <c r="I105">
        <v>3.7118362261002611</v>
      </c>
      <c r="J105">
        <v>0.94405449064772462</v>
      </c>
      <c r="K105">
        <v>-0.17683465959328029</v>
      </c>
      <c r="L105">
        <v>4.2326689860461113E-2</v>
      </c>
      <c r="M105" t="s">
        <v>27</v>
      </c>
      <c r="N105">
        <v>12</v>
      </c>
      <c r="O105" t="s">
        <v>28</v>
      </c>
      <c r="P105">
        <v>71516</v>
      </c>
      <c r="Q105">
        <v>56.58</v>
      </c>
      <c r="R105">
        <v>223.35499999999999</v>
      </c>
      <c r="S105">
        <v>0.28678400683238942</v>
      </c>
      <c r="T105">
        <v>8.0278675182465439E-3</v>
      </c>
      <c r="U105">
        <v>4.1378947422432491E-3</v>
      </c>
      <c r="V105">
        <v>3.888097792193579E-3</v>
      </c>
      <c r="W105">
        <v>2.4979695004967011E-4</v>
      </c>
      <c r="X105">
        <v>56.58</v>
      </c>
      <c r="Y105">
        <v>223.35499999999999</v>
      </c>
    </row>
    <row r="106" spans="1:25" x14ac:dyDescent="0.3">
      <c r="A106">
        <v>12</v>
      </c>
      <c r="B106" t="s">
        <v>32</v>
      </c>
      <c r="C106" t="s">
        <v>33</v>
      </c>
      <c r="D106">
        <v>71896</v>
      </c>
      <c r="E106">
        <v>56.18</v>
      </c>
      <c r="F106">
        <v>221.73</v>
      </c>
      <c r="G106">
        <v>56.185617999999998</v>
      </c>
      <c r="H106">
        <v>221.70782700000001</v>
      </c>
      <c r="I106">
        <v>-3.7173685191356829</v>
      </c>
      <c r="J106">
        <v>0.94405449064772462</v>
      </c>
      <c r="K106">
        <v>0.17799928800284801</v>
      </c>
      <c r="L106">
        <v>-4.25767596016653E-2</v>
      </c>
      <c r="M106" t="s">
        <v>29</v>
      </c>
      <c r="N106">
        <v>1</v>
      </c>
      <c r="O106" t="s">
        <v>28</v>
      </c>
      <c r="P106">
        <v>71897</v>
      </c>
      <c r="Q106">
        <v>56.42</v>
      </c>
      <c r="R106">
        <v>221.73</v>
      </c>
      <c r="S106">
        <v>0.30732377143313272</v>
      </c>
      <c r="T106">
        <v>4.2719829120683873E-2</v>
      </c>
      <c r="U106">
        <v>3.8827448156475548E-2</v>
      </c>
      <c r="V106">
        <v>3.8881201703973201E-3</v>
      </c>
      <c r="W106">
        <v>3.4939327986078232E-2</v>
      </c>
      <c r="X106">
        <v>56.42</v>
      </c>
      <c r="Y106">
        <v>221.73</v>
      </c>
    </row>
    <row r="107" spans="1:25" x14ac:dyDescent="0.3">
      <c r="A107">
        <v>12</v>
      </c>
      <c r="B107" t="s">
        <v>32</v>
      </c>
      <c r="C107" t="s">
        <v>33</v>
      </c>
      <c r="D107">
        <v>72054</v>
      </c>
      <c r="E107">
        <v>55.57</v>
      </c>
      <c r="F107">
        <v>218.78</v>
      </c>
      <c r="G107">
        <v>55.575557000000003</v>
      </c>
      <c r="H107">
        <v>218.75812199999999</v>
      </c>
      <c r="I107">
        <v>-3.5022308892687222</v>
      </c>
      <c r="J107">
        <v>0.94405449064772462</v>
      </c>
      <c r="K107">
        <v>0.17995321216483709</v>
      </c>
      <c r="L107">
        <v>-4.3150858883249127E-2</v>
      </c>
      <c r="M107" t="s">
        <v>29</v>
      </c>
      <c r="N107">
        <v>6</v>
      </c>
      <c r="O107" t="s">
        <v>28</v>
      </c>
      <c r="P107">
        <v>72060</v>
      </c>
      <c r="Q107">
        <v>55.695</v>
      </c>
      <c r="R107">
        <v>218.73500000000001</v>
      </c>
      <c r="S107">
        <v>0.29640827913932299</v>
      </c>
      <c r="T107">
        <v>2.443594017035031E-2</v>
      </c>
      <c r="U107">
        <v>2.0545775952769151E-2</v>
      </c>
      <c r="V107">
        <v>3.8881201703973201E-3</v>
      </c>
      <c r="W107">
        <v>1.6657655782371831E-2</v>
      </c>
      <c r="X107">
        <v>55.695</v>
      </c>
      <c r="Y107">
        <v>218.73500000000001</v>
      </c>
    </row>
    <row r="108" spans="1:25" x14ac:dyDescent="0.3">
      <c r="A108">
        <v>12</v>
      </c>
      <c r="B108" t="s">
        <v>32</v>
      </c>
      <c r="C108" t="s">
        <v>33</v>
      </c>
      <c r="D108">
        <v>72560</v>
      </c>
      <c r="E108">
        <v>56.64</v>
      </c>
      <c r="F108">
        <v>222.57</v>
      </c>
      <c r="G108">
        <v>56.634335999999998</v>
      </c>
      <c r="H108">
        <v>222.59225699999999</v>
      </c>
      <c r="I108">
        <v>3.700470940687608</v>
      </c>
      <c r="J108">
        <v>0.94405449064772462</v>
      </c>
      <c r="K108">
        <v>-0.17655367231638419</v>
      </c>
      <c r="L108">
        <v>4.2416070928145061E-2</v>
      </c>
      <c r="M108" t="s">
        <v>27</v>
      </c>
      <c r="N108">
        <v>18</v>
      </c>
      <c r="O108" t="s">
        <v>28</v>
      </c>
      <c r="P108">
        <v>72578</v>
      </c>
      <c r="Q108">
        <v>56.715000000000003</v>
      </c>
      <c r="R108">
        <v>222.95</v>
      </c>
      <c r="S108">
        <v>-1.71753934551769E-4</v>
      </c>
      <c r="T108">
        <v>2.8765815289656139E-3</v>
      </c>
      <c r="U108">
        <v>-1.0144634155656721E-3</v>
      </c>
      <c r="V108">
        <v>3.888097792193579E-3</v>
      </c>
      <c r="W108">
        <v>-4.9025612077592514E-3</v>
      </c>
      <c r="X108">
        <v>56.715000000000003</v>
      </c>
      <c r="Y108">
        <v>222.95</v>
      </c>
    </row>
    <row r="109" spans="1:25" x14ac:dyDescent="0.3">
      <c r="A109">
        <v>12</v>
      </c>
      <c r="B109" t="s">
        <v>32</v>
      </c>
      <c r="C109" t="s">
        <v>33</v>
      </c>
      <c r="D109">
        <v>73065</v>
      </c>
      <c r="E109">
        <v>55.67</v>
      </c>
      <c r="F109">
        <v>219.065</v>
      </c>
      <c r="G109">
        <v>55.675567000000001</v>
      </c>
      <c r="H109">
        <v>219.0430935</v>
      </c>
      <c r="I109">
        <v>-4.4109964921465226</v>
      </c>
      <c r="J109">
        <v>0.94405449064772462</v>
      </c>
      <c r="K109">
        <v>0.17962996227770789</v>
      </c>
      <c r="L109">
        <v>-4.3094720318066541E-2</v>
      </c>
      <c r="M109" t="s">
        <v>29</v>
      </c>
      <c r="N109">
        <v>23</v>
      </c>
      <c r="O109" t="s">
        <v>28</v>
      </c>
      <c r="P109">
        <v>73088</v>
      </c>
      <c r="Q109">
        <v>55.87</v>
      </c>
      <c r="R109">
        <v>219.69499999999999</v>
      </c>
      <c r="S109">
        <v>-0.41828776250499489</v>
      </c>
      <c r="T109">
        <v>8.7763186551590919E-3</v>
      </c>
      <c r="U109">
        <v>4.8819021072379759E-3</v>
      </c>
      <c r="V109">
        <v>3.8881201703973201E-3</v>
      </c>
      <c r="W109">
        <v>9.9378193684065584E-4</v>
      </c>
      <c r="X109">
        <v>55.87</v>
      </c>
      <c r="Y109">
        <v>219.69499999999999</v>
      </c>
    </row>
    <row r="110" spans="1:25" x14ac:dyDescent="0.3">
      <c r="A110">
        <v>13</v>
      </c>
      <c r="B110" t="s">
        <v>32</v>
      </c>
      <c r="C110" t="s">
        <v>33</v>
      </c>
      <c r="D110">
        <v>74702</v>
      </c>
      <c r="E110">
        <v>55.24</v>
      </c>
      <c r="F110">
        <v>219.47499999999999</v>
      </c>
      <c r="G110">
        <v>55.245524000000003</v>
      </c>
      <c r="H110">
        <v>219.45305250000001</v>
      </c>
      <c r="I110">
        <v>-3.6599950199377842</v>
      </c>
      <c r="J110">
        <v>0.96501910880198527</v>
      </c>
      <c r="K110">
        <v>0.18102824040550319</v>
      </c>
      <c r="L110">
        <v>-4.3969431999179187E-2</v>
      </c>
      <c r="M110" t="s">
        <v>29</v>
      </c>
      <c r="N110">
        <v>22</v>
      </c>
      <c r="O110" t="s">
        <v>28</v>
      </c>
      <c r="P110">
        <v>74724</v>
      </c>
      <c r="Q110">
        <v>55.16</v>
      </c>
      <c r="R110">
        <v>219.05</v>
      </c>
      <c r="S110">
        <v>-0.4888053066347452</v>
      </c>
      <c r="T110">
        <v>4.2047493672091674E-3</v>
      </c>
      <c r="U110">
        <v>2.7802807638755561E-4</v>
      </c>
      <c r="V110">
        <v>3.9300452137822099E-3</v>
      </c>
      <c r="W110">
        <v>-3.6520171373946538E-3</v>
      </c>
      <c r="X110">
        <v>55.16</v>
      </c>
      <c r="Y110">
        <v>219.05</v>
      </c>
    </row>
    <row r="111" spans="1:25" x14ac:dyDescent="0.3">
      <c r="A111">
        <v>13</v>
      </c>
      <c r="B111" t="s">
        <v>32</v>
      </c>
      <c r="C111" t="s">
        <v>33</v>
      </c>
      <c r="D111">
        <v>75608</v>
      </c>
      <c r="E111">
        <v>54.45</v>
      </c>
      <c r="F111">
        <v>214.715</v>
      </c>
      <c r="G111">
        <v>54.444555000000001</v>
      </c>
      <c r="H111">
        <v>214.73647149999999</v>
      </c>
      <c r="I111">
        <v>3.6354004325012448</v>
      </c>
      <c r="J111">
        <v>0.96501910880198527</v>
      </c>
      <c r="K111">
        <v>-0.18365472910927461</v>
      </c>
      <c r="L111">
        <v>4.4944186889690298E-2</v>
      </c>
      <c r="M111" t="s">
        <v>27</v>
      </c>
      <c r="N111">
        <v>20</v>
      </c>
      <c r="O111" t="s">
        <v>28</v>
      </c>
      <c r="P111">
        <v>75628</v>
      </c>
      <c r="Q111">
        <v>54.62</v>
      </c>
      <c r="R111">
        <v>215.41</v>
      </c>
      <c r="S111">
        <v>0.44565455766834738</v>
      </c>
      <c r="T111">
        <v>1.4905939758769891E-5</v>
      </c>
      <c r="U111">
        <v>-3.9213780292283312E-3</v>
      </c>
      <c r="V111">
        <v>3.9300312214257307E-3</v>
      </c>
      <c r="W111">
        <v>-7.8514092506540619E-3</v>
      </c>
      <c r="X111">
        <v>54.62</v>
      </c>
      <c r="Y111">
        <v>215.41</v>
      </c>
    </row>
    <row r="112" spans="1:25" x14ac:dyDescent="0.3">
      <c r="A112">
        <v>13</v>
      </c>
      <c r="B112" t="s">
        <v>32</v>
      </c>
      <c r="C112" t="s">
        <v>33</v>
      </c>
      <c r="D112">
        <v>75803</v>
      </c>
      <c r="E112">
        <v>53.965000000000003</v>
      </c>
      <c r="F112">
        <v>214.3</v>
      </c>
      <c r="G112">
        <v>53.9703965</v>
      </c>
      <c r="H112">
        <v>214.27857</v>
      </c>
      <c r="I112">
        <v>-3.894545598021919</v>
      </c>
      <c r="J112">
        <v>0.96501910880198527</v>
      </c>
      <c r="K112">
        <v>0.1853052904660428</v>
      </c>
      <c r="L112">
        <v>-4.5031222995892912E-2</v>
      </c>
      <c r="M112" t="s">
        <v>29</v>
      </c>
      <c r="N112">
        <v>20</v>
      </c>
      <c r="O112" t="s">
        <v>28</v>
      </c>
      <c r="P112">
        <v>75823</v>
      </c>
      <c r="Q112">
        <v>53.84</v>
      </c>
      <c r="R112">
        <v>213.845</v>
      </c>
      <c r="S112">
        <v>-0.47533808501658281</v>
      </c>
      <c r="T112">
        <v>-2.6739548451235121E-3</v>
      </c>
      <c r="U112">
        <v>-6.5996278259504368E-3</v>
      </c>
      <c r="V112">
        <v>3.9300452137822099E-3</v>
      </c>
      <c r="W112">
        <v>-1.0529673039732649E-2</v>
      </c>
      <c r="X112">
        <v>53.84</v>
      </c>
      <c r="Y112">
        <v>213.845</v>
      </c>
    </row>
    <row r="113" spans="1:25" x14ac:dyDescent="0.3">
      <c r="A113">
        <v>13</v>
      </c>
      <c r="B113" t="s">
        <v>32</v>
      </c>
      <c r="C113" t="s">
        <v>33</v>
      </c>
      <c r="D113">
        <v>77753</v>
      </c>
      <c r="E113">
        <v>53.47</v>
      </c>
      <c r="F113">
        <v>213.35</v>
      </c>
      <c r="G113">
        <v>53.464652999999998</v>
      </c>
      <c r="H113">
        <v>213.37133499999999</v>
      </c>
      <c r="I113">
        <v>4.0842757255555622</v>
      </c>
      <c r="J113">
        <v>0.96501910880198527</v>
      </c>
      <c r="K113">
        <v>-0.1870207593042828</v>
      </c>
      <c r="L113">
        <v>4.5231736995640273E-2</v>
      </c>
      <c r="M113" t="s">
        <v>27</v>
      </c>
      <c r="N113">
        <v>10</v>
      </c>
      <c r="O113" t="s">
        <v>28</v>
      </c>
      <c r="P113">
        <v>77763</v>
      </c>
      <c r="Q113">
        <v>53.46</v>
      </c>
      <c r="R113">
        <v>213.875</v>
      </c>
      <c r="S113">
        <v>-0.27669785825482962</v>
      </c>
      <c r="T113">
        <v>2.561686951575385E-2</v>
      </c>
      <c r="U113">
        <v>2.168464365271644E-2</v>
      </c>
      <c r="V113">
        <v>3.9300312214257307E-3</v>
      </c>
      <c r="W113">
        <v>1.7754612431290711E-2</v>
      </c>
      <c r="X113">
        <v>53.46</v>
      </c>
      <c r="Y113">
        <v>213.875</v>
      </c>
    </row>
    <row r="114" spans="1:25" x14ac:dyDescent="0.3">
      <c r="A114">
        <v>14</v>
      </c>
      <c r="B114" t="s">
        <v>32</v>
      </c>
      <c r="C114" t="s">
        <v>33</v>
      </c>
      <c r="D114">
        <v>78925</v>
      </c>
      <c r="E114">
        <v>55.19</v>
      </c>
      <c r="F114">
        <v>219.61500000000001</v>
      </c>
      <c r="G114">
        <v>55.184480999999998</v>
      </c>
      <c r="H114">
        <v>219.63696150000001</v>
      </c>
      <c r="I114">
        <v>4.3505656785406286</v>
      </c>
      <c r="J114">
        <v>0.98325718974251342</v>
      </c>
      <c r="K114">
        <v>-0.18119224497191519</v>
      </c>
      <c r="L114">
        <v>4.4771859378572212E-2</v>
      </c>
      <c r="M114" t="s">
        <v>27</v>
      </c>
      <c r="N114">
        <v>2</v>
      </c>
      <c r="O114" t="s">
        <v>28</v>
      </c>
      <c r="P114">
        <v>78927</v>
      </c>
      <c r="Q114">
        <v>55.22</v>
      </c>
      <c r="R114">
        <v>221.55</v>
      </c>
      <c r="S114">
        <v>-0.48167809617385199</v>
      </c>
      <c r="T114">
        <v>8.1197780548379644E-2</v>
      </c>
      <c r="U114">
        <v>7.7222059237370133E-2</v>
      </c>
      <c r="V114">
        <v>3.9665110309229758E-3</v>
      </c>
      <c r="W114">
        <v>7.3255548206447155E-2</v>
      </c>
      <c r="X114">
        <v>55.22</v>
      </c>
      <c r="Y114">
        <v>221.55</v>
      </c>
    </row>
    <row r="115" spans="1:25" x14ac:dyDescent="0.3">
      <c r="A115">
        <v>14</v>
      </c>
      <c r="B115" t="s">
        <v>32</v>
      </c>
      <c r="C115" t="s">
        <v>33</v>
      </c>
      <c r="D115">
        <v>80085</v>
      </c>
      <c r="E115">
        <v>54.505000000000003</v>
      </c>
      <c r="F115">
        <v>220.01</v>
      </c>
      <c r="G115">
        <v>54.499549500000001</v>
      </c>
      <c r="H115">
        <v>220.03200100000001</v>
      </c>
      <c r="I115">
        <v>3.803645536516358</v>
      </c>
      <c r="J115">
        <v>0.98325718974251342</v>
      </c>
      <c r="K115">
        <v>-0.18346940647647</v>
      </c>
      <c r="L115">
        <v>4.4691477193878157E-2</v>
      </c>
      <c r="M115" t="s">
        <v>27</v>
      </c>
      <c r="N115">
        <v>28</v>
      </c>
      <c r="O115" t="s">
        <v>28</v>
      </c>
      <c r="P115">
        <v>80113</v>
      </c>
      <c r="Q115">
        <v>54.46</v>
      </c>
      <c r="R115">
        <v>219.83</v>
      </c>
      <c r="S115">
        <v>0.34310790310208888</v>
      </c>
      <c r="T115">
        <v>2.116573965443586E-4</v>
      </c>
      <c r="U115">
        <v>-3.753226924022014E-3</v>
      </c>
      <c r="V115">
        <v>3.9665110309229749E-3</v>
      </c>
      <c r="W115">
        <v>-7.7197379549449894E-3</v>
      </c>
      <c r="X115">
        <v>54.46</v>
      </c>
      <c r="Y115">
        <v>219.83</v>
      </c>
    </row>
    <row r="116" spans="1:25" x14ac:dyDescent="0.3">
      <c r="A116">
        <v>14</v>
      </c>
      <c r="B116" t="s">
        <v>32</v>
      </c>
      <c r="C116" t="s">
        <v>33</v>
      </c>
      <c r="D116">
        <v>81270</v>
      </c>
      <c r="E116">
        <v>54.22</v>
      </c>
      <c r="F116">
        <v>218.6</v>
      </c>
      <c r="G116">
        <v>54.214578000000003</v>
      </c>
      <c r="H116">
        <v>218.62186</v>
      </c>
      <c r="I116">
        <v>4.1876319731760443</v>
      </c>
      <c r="J116">
        <v>0.98325718974251342</v>
      </c>
      <c r="K116">
        <v>-0.18443378827001111</v>
      </c>
      <c r="L116">
        <v>4.4979743355101257E-2</v>
      </c>
      <c r="M116" t="s">
        <v>27</v>
      </c>
      <c r="N116">
        <v>10</v>
      </c>
      <c r="O116" t="s">
        <v>28</v>
      </c>
      <c r="P116">
        <v>81280</v>
      </c>
      <c r="Q116">
        <v>53.91</v>
      </c>
      <c r="R116">
        <v>218.32</v>
      </c>
      <c r="S116">
        <v>-0.42062306388679288</v>
      </c>
      <c r="T116">
        <v>4.4580146224275453E-2</v>
      </c>
      <c r="U116">
        <v>4.0620608725041259E-2</v>
      </c>
      <c r="V116">
        <v>3.9665110309229758E-3</v>
      </c>
      <c r="W116">
        <v>3.665409769411828E-2</v>
      </c>
      <c r="X116">
        <v>53.91</v>
      </c>
      <c r="Y116">
        <v>218.32</v>
      </c>
    </row>
    <row r="117" spans="1:25" x14ac:dyDescent="0.3">
      <c r="A117">
        <v>14</v>
      </c>
      <c r="B117" t="s">
        <v>32</v>
      </c>
      <c r="C117" t="s">
        <v>33</v>
      </c>
      <c r="D117">
        <v>81427</v>
      </c>
      <c r="E117">
        <v>53.39</v>
      </c>
      <c r="F117">
        <v>218.51</v>
      </c>
      <c r="G117">
        <v>53.395339</v>
      </c>
      <c r="H117">
        <v>218.48814899999999</v>
      </c>
      <c r="I117">
        <v>-4.3337169448103214</v>
      </c>
      <c r="J117">
        <v>0.98325718974251342</v>
      </c>
      <c r="K117">
        <v>0.18730099269526129</v>
      </c>
      <c r="L117">
        <v>-4.4998269632626132E-2</v>
      </c>
      <c r="M117" t="s">
        <v>29</v>
      </c>
      <c r="N117">
        <v>6</v>
      </c>
      <c r="O117" t="s">
        <v>28</v>
      </c>
      <c r="P117">
        <v>81433</v>
      </c>
      <c r="Q117">
        <v>53.424999999999997</v>
      </c>
      <c r="R117">
        <v>218.11</v>
      </c>
      <c r="S117">
        <v>0.15007989150364229</v>
      </c>
      <c r="T117">
        <v>2.4554842597382932E-2</v>
      </c>
      <c r="U117">
        <v>2.0589472595210101E-2</v>
      </c>
      <c r="V117">
        <v>3.9665177280470776E-3</v>
      </c>
      <c r="W117">
        <v>1.6622954867163021E-2</v>
      </c>
      <c r="X117">
        <v>53.424999999999997</v>
      </c>
      <c r="Y117">
        <v>218.11</v>
      </c>
    </row>
    <row r="118" spans="1:25" x14ac:dyDescent="0.3">
      <c r="A118">
        <v>15</v>
      </c>
      <c r="B118" t="s">
        <v>32</v>
      </c>
      <c r="C118" t="s">
        <v>34</v>
      </c>
      <c r="D118">
        <v>82501</v>
      </c>
      <c r="E118">
        <v>55.4</v>
      </c>
      <c r="F118">
        <v>49.02</v>
      </c>
      <c r="G118">
        <v>55.394460000000002</v>
      </c>
      <c r="H118">
        <v>49.024901999999997</v>
      </c>
      <c r="I118">
        <v>5.2946421827665366</v>
      </c>
      <c r="J118">
        <v>0.71674203224516841</v>
      </c>
      <c r="K118">
        <v>-0.18050541516245491</v>
      </c>
      <c r="L118">
        <v>0.14621420486437539</v>
      </c>
      <c r="M118" t="s">
        <v>27</v>
      </c>
      <c r="N118">
        <v>23</v>
      </c>
      <c r="O118" t="s">
        <v>28</v>
      </c>
      <c r="P118">
        <v>82524</v>
      </c>
      <c r="Q118">
        <v>55.46</v>
      </c>
      <c r="R118">
        <v>48.924999999999997</v>
      </c>
      <c r="S118">
        <v>0.49184093876936258</v>
      </c>
      <c r="T118">
        <v>-2.4720674371864239E-2</v>
      </c>
      <c r="U118">
        <v>-2.8153852433898861E-2</v>
      </c>
      <c r="V118">
        <v>3.433427412896786E-3</v>
      </c>
      <c r="W118">
        <v>-3.1587279846795643E-2</v>
      </c>
      <c r="X118">
        <v>55.46</v>
      </c>
      <c r="Y118">
        <v>48.924999999999997</v>
      </c>
    </row>
    <row r="119" spans="1:25" x14ac:dyDescent="0.3">
      <c r="A119">
        <v>15</v>
      </c>
      <c r="B119" t="s">
        <v>32</v>
      </c>
      <c r="C119" t="s">
        <v>34</v>
      </c>
      <c r="D119">
        <v>82775</v>
      </c>
      <c r="E119">
        <v>55.454999999999998</v>
      </c>
      <c r="F119">
        <v>49.034999999999997</v>
      </c>
      <c r="G119">
        <v>55.460545499999988</v>
      </c>
      <c r="H119">
        <v>49.030096499999999</v>
      </c>
      <c r="I119">
        <v>-3.618709709195238</v>
      </c>
      <c r="J119">
        <v>0.71674203224516841</v>
      </c>
      <c r="K119">
        <v>0.18032639076728879</v>
      </c>
      <c r="L119">
        <v>-0.14616947736212271</v>
      </c>
      <c r="M119" t="s">
        <v>29</v>
      </c>
      <c r="N119">
        <v>17</v>
      </c>
      <c r="O119" t="s">
        <v>28</v>
      </c>
      <c r="P119">
        <v>82792</v>
      </c>
      <c r="Q119">
        <v>55.475000000000001</v>
      </c>
      <c r="R119">
        <v>49.04</v>
      </c>
      <c r="S119">
        <v>-0.32664993217280558</v>
      </c>
      <c r="T119">
        <v>2.875680428535352E-3</v>
      </c>
      <c r="U119">
        <v>-5.5823737347344971E-4</v>
      </c>
      <c r="V119">
        <v>3.433540716083888E-3</v>
      </c>
      <c r="W119">
        <v>-3.9917780895573369E-3</v>
      </c>
      <c r="X119">
        <v>55.475000000000001</v>
      </c>
      <c r="Y119">
        <v>49.04</v>
      </c>
    </row>
    <row r="120" spans="1:25" x14ac:dyDescent="0.3">
      <c r="A120">
        <v>15</v>
      </c>
      <c r="B120" t="s">
        <v>32</v>
      </c>
      <c r="C120" t="s">
        <v>34</v>
      </c>
      <c r="D120">
        <v>82834</v>
      </c>
      <c r="E120">
        <v>55.9</v>
      </c>
      <c r="F120">
        <v>49.39</v>
      </c>
      <c r="G120">
        <v>55.894410000000001</v>
      </c>
      <c r="H120">
        <v>49.394939000000001</v>
      </c>
      <c r="I120">
        <v>3.616000328049747</v>
      </c>
      <c r="J120">
        <v>0.71674203224516841</v>
      </c>
      <c r="K120">
        <v>-0.1788908765652952</v>
      </c>
      <c r="L120">
        <v>0.1451188564983131</v>
      </c>
      <c r="M120" t="s">
        <v>27</v>
      </c>
      <c r="N120">
        <v>5</v>
      </c>
      <c r="O120" t="s">
        <v>28</v>
      </c>
      <c r="P120">
        <v>82839</v>
      </c>
      <c r="Q120">
        <v>56</v>
      </c>
      <c r="R120">
        <v>49.72</v>
      </c>
      <c r="S120">
        <v>-0.28239712615868451</v>
      </c>
      <c r="T120">
        <v>3.0000134987913301E-2</v>
      </c>
      <c r="U120">
        <v>2.656007309239267E-2</v>
      </c>
      <c r="V120">
        <v>3.433427412896786E-3</v>
      </c>
      <c r="W120">
        <v>2.3126645679495881E-2</v>
      </c>
      <c r="X120">
        <v>56</v>
      </c>
      <c r="Y120">
        <v>49.72</v>
      </c>
    </row>
    <row r="121" spans="1:25" x14ac:dyDescent="0.3">
      <c r="A121">
        <v>15</v>
      </c>
      <c r="B121" t="s">
        <v>32</v>
      </c>
      <c r="C121" t="s">
        <v>34</v>
      </c>
      <c r="D121">
        <v>83127</v>
      </c>
      <c r="E121">
        <v>55.734999999999999</v>
      </c>
      <c r="F121">
        <v>49.335000000000001</v>
      </c>
      <c r="G121">
        <v>55.740573500000004</v>
      </c>
      <c r="H121">
        <v>49.330066500000001</v>
      </c>
      <c r="I121">
        <v>-3.9384352450546358</v>
      </c>
      <c r="J121">
        <v>0.71674203224516841</v>
      </c>
      <c r="K121">
        <v>0.17942047187584101</v>
      </c>
      <c r="L121">
        <v>-0.14528063894702919</v>
      </c>
      <c r="M121" t="s">
        <v>29</v>
      </c>
      <c r="N121">
        <v>15</v>
      </c>
      <c r="O121" t="s">
        <v>28</v>
      </c>
      <c r="P121">
        <v>83142</v>
      </c>
      <c r="Q121">
        <v>55.84</v>
      </c>
      <c r="R121">
        <v>49.354999999999997</v>
      </c>
      <c r="S121">
        <v>-0.28138329554464592</v>
      </c>
      <c r="T121">
        <v>1.5933536768024021E-2</v>
      </c>
      <c r="U121">
        <v>1.2497878227301539E-2</v>
      </c>
      <c r="V121">
        <v>3.433540716083888E-3</v>
      </c>
      <c r="W121">
        <v>9.0643375112176554E-3</v>
      </c>
      <c r="X121">
        <v>55.84</v>
      </c>
      <c r="Y121">
        <v>49.354999999999997</v>
      </c>
    </row>
    <row r="122" spans="1:25" x14ac:dyDescent="0.3">
      <c r="A122">
        <v>15</v>
      </c>
      <c r="B122" t="s">
        <v>32</v>
      </c>
      <c r="C122" t="s">
        <v>34</v>
      </c>
      <c r="D122">
        <v>83635</v>
      </c>
      <c r="E122">
        <v>56.774999999999999</v>
      </c>
      <c r="F122">
        <v>50.005000000000003</v>
      </c>
      <c r="G122">
        <v>56.780677500000003</v>
      </c>
      <c r="H122">
        <v>49.999999500000001</v>
      </c>
      <c r="I122">
        <v>-3.732359997184135</v>
      </c>
      <c r="J122">
        <v>0.71674203224516841</v>
      </c>
      <c r="K122">
        <v>0.17613386173491849</v>
      </c>
      <c r="L122">
        <v>-0.14333407304172949</v>
      </c>
      <c r="M122" t="s">
        <v>29</v>
      </c>
      <c r="N122">
        <v>41</v>
      </c>
      <c r="O122" t="s">
        <v>28</v>
      </c>
      <c r="P122">
        <v>83676</v>
      </c>
      <c r="Q122">
        <v>56.64</v>
      </c>
      <c r="R122">
        <v>50.015000000000001</v>
      </c>
      <c r="S122">
        <v>-0.36151531318020619</v>
      </c>
      <c r="T122">
        <v>-2.5211412064630661E-2</v>
      </c>
      <c r="U122">
        <v>-2.8642661656059439E-2</v>
      </c>
      <c r="V122">
        <v>3.433540716083888E-3</v>
      </c>
      <c r="W122">
        <v>-3.2076202372143321E-2</v>
      </c>
      <c r="X122">
        <v>56.64</v>
      </c>
      <c r="Y122">
        <v>50.015000000000001</v>
      </c>
    </row>
    <row r="123" spans="1:25" x14ac:dyDescent="0.3">
      <c r="A123">
        <v>15</v>
      </c>
      <c r="B123" t="s">
        <v>32</v>
      </c>
      <c r="C123" t="s">
        <v>34</v>
      </c>
      <c r="D123">
        <v>84005</v>
      </c>
      <c r="E123">
        <v>58.26</v>
      </c>
      <c r="F123">
        <v>51.09</v>
      </c>
      <c r="G123">
        <v>58.254173999999999</v>
      </c>
      <c r="H123">
        <v>51.095109000000001</v>
      </c>
      <c r="I123">
        <v>4.7237316780747456</v>
      </c>
      <c r="J123">
        <v>0.71674203224516841</v>
      </c>
      <c r="K123">
        <v>-0.17164435290078961</v>
      </c>
      <c r="L123">
        <v>0.14029008264732201</v>
      </c>
      <c r="M123" t="s">
        <v>27</v>
      </c>
      <c r="N123">
        <v>17</v>
      </c>
      <c r="O123" t="s">
        <v>28</v>
      </c>
      <c r="P123">
        <v>84022</v>
      </c>
      <c r="Q123">
        <v>58.52</v>
      </c>
      <c r="R123">
        <v>51.27</v>
      </c>
      <c r="S123">
        <v>0.47374405302859091</v>
      </c>
      <c r="T123">
        <v>-1.9375316877688242E-2</v>
      </c>
      <c r="U123">
        <v>-2.2815788916840881E-2</v>
      </c>
      <c r="V123">
        <v>3.433427412896786E-3</v>
      </c>
      <c r="W123">
        <v>-2.624921632973766E-2</v>
      </c>
      <c r="X123">
        <v>58.52</v>
      </c>
      <c r="Y123">
        <v>51.27</v>
      </c>
    </row>
    <row r="124" spans="1:25" x14ac:dyDescent="0.3">
      <c r="A124">
        <v>15</v>
      </c>
      <c r="B124" t="s">
        <v>32</v>
      </c>
      <c r="C124" t="s">
        <v>34</v>
      </c>
      <c r="D124">
        <v>84213</v>
      </c>
      <c r="E124">
        <v>58.645000000000003</v>
      </c>
      <c r="F124">
        <v>51.414999999999999</v>
      </c>
      <c r="G124">
        <v>58.650864499999997</v>
      </c>
      <c r="H124">
        <v>51.409858499999999</v>
      </c>
      <c r="I124">
        <v>-3.6589472426244378</v>
      </c>
      <c r="J124">
        <v>0.71674203224516841</v>
      </c>
      <c r="K124">
        <v>0.17051752067524939</v>
      </c>
      <c r="L124">
        <v>-0.1394032932500571</v>
      </c>
      <c r="M124" t="s">
        <v>29</v>
      </c>
      <c r="N124">
        <v>16</v>
      </c>
      <c r="O124" t="s">
        <v>28</v>
      </c>
      <c r="P124">
        <v>84229</v>
      </c>
      <c r="Q124">
        <v>58.67</v>
      </c>
      <c r="R124">
        <v>51.414999999999999</v>
      </c>
      <c r="S124">
        <v>-0.23370122353748371</v>
      </c>
      <c r="T124">
        <v>4.2629380168809914E-3</v>
      </c>
      <c r="U124">
        <v>8.2902765858823752E-4</v>
      </c>
      <c r="V124">
        <v>3.433540716083888E-3</v>
      </c>
      <c r="W124">
        <v>-2.6045130574956499E-3</v>
      </c>
      <c r="X124">
        <v>58.67</v>
      </c>
      <c r="Y124">
        <v>51.414999999999999</v>
      </c>
    </row>
    <row r="125" spans="1:25" x14ac:dyDescent="0.3">
      <c r="A125">
        <v>15</v>
      </c>
      <c r="B125" t="s">
        <v>32</v>
      </c>
      <c r="C125" t="s">
        <v>34</v>
      </c>
      <c r="D125">
        <v>84760</v>
      </c>
      <c r="E125">
        <v>57.96</v>
      </c>
      <c r="F125">
        <v>48.82</v>
      </c>
      <c r="G125">
        <v>57.954203999999997</v>
      </c>
      <c r="H125">
        <v>48.824882000000002</v>
      </c>
      <c r="I125">
        <v>3.558018281985321</v>
      </c>
      <c r="J125">
        <v>0.71674203224516841</v>
      </c>
      <c r="K125">
        <v>-0.17253278122843341</v>
      </c>
      <c r="L125">
        <v>0.1468131979199444</v>
      </c>
      <c r="M125" t="s">
        <v>27</v>
      </c>
      <c r="N125">
        <v>28</v>
      </c>
      <c r="O125" t="s">
        <v>28</v>
      </c>
      <c r="P125">
        <v>84788</v>
      </c>
      <c r="Q125">
        <v>57.8</v>
      </c>
      <c r="R125">
        <v>48.49</v>
      </c>
      <c r="S125">
        <v>0.44409772618093141</v>
      </c>
      <c r="T125">
        <v>-2.084311031703141E-2</v>
      </c>
      <c r="U125">
        <v>-2.426898902149071E-2</v>
      </c>
      <c r="V125">
        <v>3.433427412896786E-3</v>
      </c>
      <c r="W125">
        <v>-2.7702416434387499E-2</v>
      </c>
      <c r="X125">
        <v>57.8</v>
      </c>
      <c r="Y125">
        <v>48.49</v>
      </c>
    </row>
    <row r="126" spans="1:25" x14ac:dyDescent="0.3">
      <c r="A126">
        <v>15</v>
      </c>
      <c r="B126" t="s">
        <v>32</v>
      </c>
      <c r="C126" t="s">
        <v>34</v>
      </c>
      <c r="D126">
        <v>85173</v>
      </c>
      <c r="E126">
        <v>58.79</v>
      </c>
      <c r="F126">
        <v>49.08</v>
      </c>
      <c r="G126">
        <v>58.784120999999999</v>
      </c>
      <c r="H126">
        <v>49.084907999999999</v>
      </c>
      <c r="I126">
        <v>3.9061094348266341</v>
      </c>
      <c r="J126">
        <v>0.71674203224516841</v>
      </c>
      <c r="K126">
        <v>-0.1700969552645008</v>
      </c>
      <c r="L126">
        <v>0.14603545889265859</v>
      </c>
      <c r="M126" t="s">
        <v>27</v>
      </c>
      <c r="N126">
        <v>21</v>
      </c>
      <c r="O126" t="s">
        <v>28</v>
      </c>
      <c r="P126">
        <v>85194</v>
      </c>
      <c r="Q126">
        <v>59.16</v>
      </c>
      <c r="R126">
        <v>49.454999999999998</v>
      </c>
      <c r="S126">
        <v>0.2423977271380959</v>
      </c>
      <c r="T126">
        <v>-8.1725763631178699E-3</v>
      </c>
      <c r="U126">
        <v>-1.161783034466113E-2</v>
      </c>
      <c r="V126">
        <v>3.433427412896786E-3</v>
      </c>
      <c r="W126">
        <v>-1.5051257757557911E-2</v>
      </c>
      <c r="X126">
        <v>59.16</v>
      </c>
      <c r="Y126">
        <v>49.454999999999998</v>
      </c>
    </row>
    <row r="127" spans="1:25" x14ac:dyDescent="0.3">
      <c r="A127">
        <v>15</v>
      </c>
      <c r="B127" t="s">
        <v>32</v>
      </c>
      <c r="C127" t="s">
        <v>34</v>
      </c>
      <c r="D127">
        <v>85875</v>
      </c>
      <c r="E127">
        <v>57.854999999999997</v>
      </c>
      <c r="F127">
        <v>48.295000000000002</v>
      </c>
      <c r="G127">
        <v>57.849214500000002</v>
      </c>
      <c r="H127">
        <v>48.299829500000001</v>
      </c>
      <c r="I127">
        <v>3.595451202139242</v>
      </c>
      <c r="J127">
        <v>0.71674203224516841</v>
      </c>
      <c r="K127">
        <v>-0.17284590787313109</v>
      </c>
      <c r="L127">
        <v>0.14840915876284669</v>
      </c>
      <c r="M127" t="s">
        <v>27</v>
      </c>
      <c r="N127">
        <v>21</v>
      </c>
      <c r="O127" t="s">
        <v>28</v>
      </c>
      <c r="P127">
        <v>85896</v>
      </c>
      <c r="Q127">
        <v>57.965000000000003</v>
      </c>
      <c r="R127">
        <v>48.335000000000001</v>
      </c>
      <c r="S127">
        <v>0.4200184629734931</v>
      </c>
      <c r="T127">
        <v>-1.307668351553181E-2</v>
      </c>
      <c r="U127">
        <v>-1.6512662521643968E-2</v>
      </c>
      <c r="V127">
        <v>3.433427412896786E-3</v>
      </c>
      <c r="W127">
        <v>-1.9946089934540751E-2</v>
      </c>
      <c r="X127">
        <v>57.965000000000003</v>
      </c>
      <c r="Y127">
        <v>48.335000000000001</v>
      </c>
    </row>
    <row r="128" spans="1:25" x14ac:dyDescent="0.3">
      <c r="A128">
        <v>15</v>
      </c>
      <c r="B128" t="s">
        <v>32</v>
      </c>
      <c r="C128" t="s">
        <v>34</v>
      </c>
      <c r="D128">
        <v>86343</v>
      </c>
      <c r="E128">
        <v>58.64</v>
      </c>
      <c r="F128">
        <v>48.585000000000001</v>
      </c>
      <c r="G128">
        <v>58.634135999999998</v>
      </c>
      <c r="H128">
        <v>48.589858499999998</v>
      </c>
      <c r="I128">
        <v>4.1714586811520622</v>
      </c>
      <c r="J128">
        <v>0.71674203224516841</v>
      </c>
      <c r="K128">
        <v>-0.1705320600272851</v>
      </c>
      <c r="L128">
        <v>0.14752331630033311</v>
      </c>
      <c r="M128" t="s">
        <v>27</v>
      </c>
      <c r="N128">
        <v>5</v>
      </c>
      <c r="O128" t="s">
        <v>28</v>
      </c>
      <c r="P128">
        <v>86348</v>
      </c>
      <c r="Q128">
        <v>58.58</v>
      </c>
      <c r="R128">
        <v>48.62</v>
      </c>
      <c r="S128">
        <v>0.36700134310946292</v>
      </c>
      <c r="T128">
        <v>1.5395239672148651E-2</v>
      </c>
      <c r="U128">
        <v>1.196226246841158E-2</v>
      </c>
      <c r="V128">
        <v>3.433427412896786E-3</v>
      </c>
      <c r="W128">
        <v>8.5288350555147927E-3</v>
      </c>
      <c r="X128">
        <v>58.58</v>
      </c>
      <c r="Y128">
        <v>48.62</v>
      </c>
    </row>
    <row r="129" spans="1:25" x14ac:dyDescent="0.3">
      <c r="A129">
        <v>16</v>
      </c>
      <c r="B129" t="s">
        <v>30</v>
      </c>
      <c r="C129" t="s">
        <v>32</v>
      </c>
      <c r="D129">
        <v>86401</v>
      </c>
      <c r="E129">
        <v>57.59</v>
      </c>
      <c r="F129">
        <v>59.265000000000001</v>
      </c>
      <c r="G129">
        <v>57.595759000000001</v>
      </c>
      <c r="H129">
        <v>59.2590735</v>
      </c>
      <c r="I129">
        <v>-5.2945718363465026</v>
      </c>
      <c r="J129">
        <v>1.201911734394435</v>
      </c>
      <c r="K129">
        <v>0.17364125716270179</v>
      </c>
      <c r="L129">
        <v>-0.2028029586424423</v>
      </c>
      <c r="M129" t="s">
        <v>29</v>
      </c>
      <c r="N129">
        <v>23</v>
      </c>
      <c r="O129" t="s">
        <v>28</v>
      </c>
      <c r="P129">
        <v>86424</v>
      </c>
      <c r="Q129">
        <v>57.64</v>
      </c>
      <c r="R129">
        <v>59.41</v>
      </c>
      <c r="S129">
        <v>-0.49247933447619952</v>
      </c>
      <c r="T129">
        <v>-2.0724366145018731E-2</v>
      </c>
      <c r="U129">
        <v>-2.5131998462993389E-2</v>
      </c>
      <c r="V129">
        <v>4.4037830864419904E-3</v>
      </c>
      <c r="W129">
        <v>-2.953578154943538E-2</v>
      </c>
      <c r="X129">
        <v>57.64</v>
      </c>
      <c r="Y129">
        <v>59.41</v>
      </c>
    </row>
    <row r="130" spans="1:25" x14ac:dyDescent="0.3">
      <c r="A130">
        <v>16</v>
      </c>
      <c r="B130" t="s">
        <v>30</v>
      </c>
      <c r="C130" t="s">
        <v>32</v>
      </c>
      <c r="D130">
        <v>86746</v>
      </c>
      <c r="E130">
        <v>58.25</v>
      </c>
      <c r="F130">
        <v>59.91</v>
      </c>
      <c r="G130">
        <v>58.244174999999998</v>
      </c>
      <c r="H130">
        <v>59.915990999999998</v>
      </c>
      <c r="I130">
        <v>4.3389704654171926</v>
      </c>
      <c r="J130">
        <v>1.201911734394435</v>
      </c>
      <c r="K130">
        <v>-0.1716738197424893</v>
      </c>
      <c r="L130">
        <v>0.2006195517266624</v>
      </c>
      <c r="M130" t="s">
        <v>27</v>
      </c>
      <c r="N130">
        <v>5</v>
      </c>
      <c r="O130" t="s">
        <v>28</v>
      </c>
      <c r="P130">
        <v>86751</v>
      </c>
      <c r="Q130">
        <v>57.93</v>
      </c>
      <c r="R130">
        <v>59.93</v>
      </c>
      <c r="S130">
        <v>0.20509554850200451</v>
      </c>
      <c r="T130">
        <v>5.8948013352130478E-2</v>
      </c>
      <c r="U130">
        <v>5.4549282206470533E-2</v>
      </c>
      <c r="V130">
        <v>4.4038638511357479E-3</v>
      </c>
      <c r="W130">
        <v>5.014541835533478E-2</v>
      </c>
      <c r="X130">
        <v>57.93</v>
      </c>
      <c r="Y130">
        <v>59.93</v>
      </c>
    </row>
    <row r="131" spans="1:25" x14ac:dyDescent="0.3">
      <c r="A131">
        <v>16</v>
      </c>
      <c r="B131" t="s">
        <v>30</v>
      </c>
      <c r="C131" t="s">
        <v>32</v>
      </c>
      <c r="D131">
        <v>87138</v>
      </c>
      <c r="E131">
        <v>58.13</v>
      </c>
      <c r="F131">
        <v>60.67</v>
      </c>
      <c r="G131">
        <v>58.135812999999999</v>
      </c>
      <c r="H131">
        <v>60.663933</v>
      </c>
      <c r="I131">
        <v>-3.522880514364541</v>
      </c>
      <c r="J131">
        <v>1.201911734394435</v>
      </c>
      <c r="K131">
        <v>0.17202821262687079</v>
      </c>
      <c r="L131">
        <v>-0.19810643388733051</v>
      </c>
      <c r="M131" t="s">
        <v>29</v>
      </c>
      <c r="N131">
        <v>39</v>
      </c>
      <c r="O131" t="s">
        <v>28</v>
      </c>
      <c r="P131">
        <v>87177</v>
      </c>
      <c r="Q131">
        <v>58.62</v>
      </c>
      <c r="R131">
        <v>61.48</v>
      </c>
      <c r="S131">
        <v>-0.43782017639025422</v>
      </c>
      <c r="T131">
        <v>-7.6172387261570954E-2</v>
      </c>
      <c r="U131">
        <v>-8.0600686733922428E-2</v>
      </c>
      <c r="V131">
        <v>4.4037830864419904E-3</v>
      </c>
      <c r="W131">
        <v>-8.5004469820364414E-2</v>
      </c>
      <c r="X131">
        <v>58.62</v>
      </c>
      <c r="Y131">
        <v>61.48</v>
      </c>
    </row>
    <row r="132" spans="1:25" x14ac:dyDescent="0.3">
      <c r="A132">
        <v>16</v>
      </c>
      <c r="B132" t="s">
        <v>30</v>
      </c>
      <c r="C132" t="s">
        <v>32</v>
      </c>
      <c r="D132">
        <v>87522</v>
      </c>
      <c r="E132">
        <v>58.16</v>
      </c>
      <c r="F132">
        <v>61.145000000000003</v>
      </c>
      <c r="G132">
        <v>58.165815999999992</v>
      </c>
      <c r="H132">
        <v>61.138885500000001</v>
      </c>
      <c r="I132">
        <v>-3.5860799766382758</v>
      </c>
      <c r="J132">
        <v>1.201911734394435</v>
      </c>
      <c r="K132">
        <v>0.17193947730398901</v>
      </c>
      <c r="L132">
        <v>-0.1965674600367053</v>
      </c>
      <c r="M132" t="s">
        <v>29</v>
      </c>
      <c r="N132">
        <v>28</v>
      </c>
      <c r="O132" t="s">
        <v>28</v>
      </c>
      <c r="P132">
        <v>87550</v>
      </c>
      <c r="Q132">
        <v>57.67</v>
      </c>
      <c r="R132">
        <v>60.92</v>
      </c>
      <c r="S132">
        <v>-0.35084928073749111</v>
      </c>
      <c r="T132">
        <v>-4.0022665370694772E-2</v>
      </c>
      <c r="U132">
        <v>-4.441364103724494E-2</v>
      </c>
      <c r="V132">
        <v>4.4037830864419904E-3</v>
      </c>
      <c r="W132">
        <v>-4.8817424123686927E-2</v>
      </c>
      <c r="X132">
        <v>57.67</v>
      </c>
      <c r="Y132">
        <v>60.92</v>
      </c>
    </row>
    <row r="133" spans="1:25" x14ac:dyDescent="0.3">
      <c r="A133">
        <v>16</v>
      </c>
      <c r="B133" t="s">
        <v>30</v>
      </c>
      <c r="C133" t="s">
        <v>32</v>
      </c>
      <c r="D133">
        <v>87882</v>
      </c>
      <c r="E133">
        <v>57.93</v>
      </c>
      <c r="F133">
        <v>60.75</v>
      </c>
      <c r="G133">
        <v>57.924207000000003</v>
      </c>
      <c r="H133">
        <v>60.756075000000003</v>
      </c>
      <c r="I133">
        <v>3.54188539804279</v>
      </c>
      <c r="J133">
        <v>1.201911734394435</v>
      </c>
      <c r="K133">
        <v>-0.17262213015708611</v>
      </c>
      <c r="L133">
        <v>0.1978455529867382</v>
      </c>
      <c r="M133" t="s">
        <v>27</v>
      </c>
      <c r="N133">
        <v>5</v>
      </c>
      <c r="O133" t="s">
        <v>28</v>
      </c>
      <c r="P133">
        <v>87887</v>
      </c>
      <c r="Q133">
        <v>57.85</v>
      </c>
      <c r="R133">
        <v>60.744999999999997</v>
      </c>
      <c r="S133">
        <v>0.30870253405584758</v>
      </c>
      <c r="T133">
        <v>1.28205426476324E-2</v>
      </c>
      <c r="U133">
        <v>8.4181990786625725E-3</v>
      </c>
      <c r="V133">
        <v>4.4038638511357479E-3</v>
      </c>
      <c r="W133">
        <v>4.0143352275268246E-3</v>
      </c>
      <c r="X133">
        <v>57.85</v>
      </c>
      <c r="Y133">
        <v>60.744999999999997</v>
      </c>
    </row>
    <row r="134" spans="1:25" x14ac:dyDescent="0.3">
      <c r="A134">
        <v>16</v>
      </c>
      <c r="B134" t="s">
        <v>30</v>
      </c>
      <c r="C134" t="s">
        <v>32</v>
      </c>
      <c r="D134">
        <v>88309</v>
      </c>
      <c r="E134">
        <v>57.524999999999999</v>
      </c>
      <c r="F134">
        <v>60.56</v>
      </c>
      <c r="G134">
        <v>57.519247499999999</v>
      </c>
      <c r="H134">
        <v>60.566056000000003</v>
      </c>
      <c r="I134">
        <v>4.4308710802388962</v>
      </c>
      <c r="J134">
        <v>1.201911734394435</v>
      </c>
      <c r="K134">
        <v>-0.17383746197305519</v>
      </c>
      <c r="L134">
        <v>0.1984662705406926</v>
      </c>
      <c r="M134" t="s">
        <v>27</v>
      </c>
      <c r="N134">
        <v>7</v>
      </c>
      <c r="O134" t="s">
        <v>28</v>
      </c>
      <c r="P134">
        <v>88316</v>
      </c>
      <c r="Q134">
        <v>56.94</v>
      </c>
      <c r="R134">
        <v>60.365000000000002</v>
      </c>
      <c r="S134">
        <v>-0.14683431632167659</v>
      </c>
      <c r="T134">
        <v>6.2993992498802318E-2</v>
      </c>
      <c r="U134">
        <v>5.8604208613814469E-2</v>
      </c>
      <c r="V134">
        <v>4.4038638511357479E-3</v>
      </c>
      <c r="W134">
        <v>5.4200344762678723E-2</v>
      </c>
      <c r="X134">
        <v>56.94</v>
      </c>
      <c r="Y134">
        <v>60.365000000000002</v>
      </c>
    </row>
    <row r="135" spans="1:25" x14ac:dyDescent="0.3">
      <c r="A135">
        <v>16</v>
      </c>
      <c r="B135" t="s">
        <v>30</v>
      </c>
      <c r="C135" t="s">
        <v>32</v>
      </c>
      <c r="D135">
        <v>88699</v>
      </c>
      <c r="E135">
        <v>57.08</v>
      </c>
      <c r="F135">
        <v>60.37</v>
      </c>
      <c r="G135">
        <v>57.074292</v>
      </c>
      <c r="H135">
        <v>60.376036999999997</v>
      </c>
      <c r="I135">
        <v>3.6100370481743691</v>
      </c>
      <c r="J135">
        <v>1.201911734394435</v>
      </c>
      <c r="K135">
        <v>-0.17519271198318151</v>
      </c>
      <c r="L135">
        <v>0.19909089521193221</v>
      </c>
      <c r="M135" t="s">
        <v>27</v>
      </c>
      <c r="N135">
        <v>8</v>
      </c>
      <c r="O135" t="s">
        <v>28</v>
      </c>
      <c r="P135">
        <v>88707</v>
      </c>
      <c r="Q135">
        <v>57.06</v>
      </c>
      <c r="R135">
        <v>60.59</v>
      </c>
      <c r="S135">
        <v>-0.34701371399519709</v>
      </c>
      <c r="T135">
        <v>4.7303851186289207E-2</v>
      </c>
      <c r="U135">
        <v>4.2895998103230602E-2</v>
      </c>
      <c r="V135">
        <v>4.4038638511357479E-3</v>
      </c>
      <c r="W135">
        <v>3.8492134252094849E-2</v>
      </c>
      <c r="X135">
        <v>57.06</v>
      </c>
      <c r="Y135">
        <v>60.59</v>
      </c>
    </row>
    <row r="136" spans="1:25" x14ac:dyDescent="0.3">
      <c r="A136">
        <v>16</v>
      </c>
      <c r="B136" t="s">
        <v>30</v>
      </c>
      <c r="C136" t="s">
        <v>32</v>
      </c>
      <c r="D136">
        <v>89479</v>
      </c>
      <c r="E136">
        <v>59.33</v>
      </c>
      <c r="F136">
        <v>62.664999999999999</v>
      </c>
      <c r="G136">
        <v>59.335932999999997</v>
      </c>
      <c r="H136">
        <v>62.658733499999997</v>
      </c>
      <c r="I136">
        <v>-4.5666412551678306</v>
      </c>
      <c r="J136">
        <v>1.201911734394435</v>
      </c>
      <c r="K136">
        <v>0.16854879487611671</v>
      </c>
      <c r="L136">
        <v>-0.19179952675248299</v>
      </c>
      <c r="M136" t="s">
        <v>29</v>
      </c>
      <c r="N136">
        <v>9</v>
      </c>
      <c r="O136" t="s">
        <v>28</v>
      </c>
      <c r="P136">
        <v>89488</v>
      </c>
      <c r="Q136">
        <v>59.68</v>
      </c>
      <c r="R136">
        <v>62.66</v>
      </c>
      <c r="S136">
        <v>-0.46461982834872612</v>
      </c>
      <c r="T136">
        <v>5.9951075840403982E-2</v>
      </c>
      <c r="U136">
        <v>5.5541449063557728E-2</v>
      </c>
      <c r="V136">
        <v>4.4037830864419904E-3</v>
      </c>
      <c r="W136">
        <v>5.1137665977115727E-2</v>
      </c>
      <c r="X136">
        <v>59.68</v>
      </c>
      <c r="Y136">
        <v>62.66</v>
      </c>
    </row>
    <row r="137" spans="1:25" x14ac:dyDescent="0.3">
      <c r="A137">
        <v>16</v>
      </c>
      <c r="B137" t="s">
        <v>30</v>
      </c>
      <c r="C137" t="s">
        <v>32</v>
      </c>
      <c r="D137">
        <v>89870</v>
      </c>
      <c r="E137">
        <v>60.52</v>
      </c>
      <c r="F137">
        <v>63.24</v>
      </c>
      <c r="G137">
        <v>60.513948000000013</v>
      </c>
      <c r="H137">
        <v>63.246324000000001</v>
      </c>
      <c r="I137">
        <v>3.8878682652601979</v>
      </c>
      <c r="J137">
        <v>1.201911734394435</v>
      </c>
      <c r="K137">
        <v>-0.1652346331791143</v>
      </c>
      <c r="L137">
        <v>0.190055618974452</v>
      </c>
      <c r="M137" t="s">
        <v>27</v>
      </c>
      <c r="N137">
        <v>26</v>
      </c>
      <c r="O137" t="s">
        <v>28</v>
      </c>
      <c r="P137">
        <v>89896</v>
      </c>
      <c r="Q137">
        <v>60.62</v>
      </c>
      <c r="R137">
        <v>63.26</v>
      </c>
      <c r="S137">
        <v>0.46160954296843731</v>
      </c>
      <c r="T137">
        <v>-1.272235093842221E-2</v>
      </c>
      <c r="U137">
        <v>-1.7128206864780431E-2</v>
      </c>
      <c r="V137">
        <v>4.4038638511357479E-3</v>
      </c>
      <c r="W137">
        <v>-2.1532070715916181E-2</v>
      </c>
      <c r="X137">
        <v>60.62</v>
      </c>
      <c r="Y137">
        <v>63.26</v>
      </c>
    </row>
    <row r="138" spans="1:25" x14ac:dyDescent="0.3">
      <c r="A138">
        <v>16</v>
      </c>
      <c r="B138" t="s">
        <v>30</v>
      </c>
      <c r="C138" t="s">
        <v>32</v>
      </c>
      <c r="D138">
        <v>90259</v>
      </c>
      <c r="E138">
        <v>59.24</v>
      </c>
      <c r="F138">
        <v>62.225000000000001</v>
      </c>
      <c r="G138">
        <v>59.234076000000002</v>
      </c>
      <c r="H138">
        <v>62.231222500000001</v>
      </c>
      <c r="I138">
        <v>3.9383759778718939</v>
      </c>
      <c r="J138">
        <v>1.201911734394435</v>
      </c>
      <c r="K138">
        <v>-0.16880486158001351</v>
      </c>
      <c r="L138">
        <v>0.19315576285969219</v>
      </c>
      <c r="M138" t="s">
        <v>27</v>
      </c>
      <c r="N138">
        <v>31</v>
      </c>
      <c r="O138" t="s">
        <v>28</v>
      </c>
      <c r="P138">
        <v>90290</v>
      </c>
      <c r="Q138">
        <v>59.23</v>
      </c>
      <c r="R138">
        <v>61.88</v>
      </c>
      <c r="S138">
        <v>0.1933589485578765</v>
      </c>
      <c r="T138">
        <v>-6.4950689570792572E-2</v>
      </c>
      <c r="U138">
        <v>-6.9347680360901998E-2</v>
      </c>
      <c r="V138">
        <v>4.4038638511357479E-3</v>
      </c>
      <c r="W138">
        <v>-7.3751544212037751E-2</v>
      </c>
      <c r="X138">
        <v>59.23</v>
      </c>
      <c r="Y138">
        <v>61.88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O1" workbookViewId="0">
      <selection activeCell="W2" sqref="W2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18" t="s">
        <v>35</v>
      </c>
      <c r="Y1" s="18" t="s">
        <v>36</v>
      </c>
      <c r="Z1" s="18" t="s">
        <v>37</v>
      </c>
      <c r="AA1" s="18"/>
      <c r="AE1" t="s">
        <v>38</v>
      </c>
      <c r="AF1" t="s">
        <v>39</v>
      </c>
      <c r="AG1" t="s">
        <v>40</v>
      </c>
    </row>
    <row r="2" spans="1:40" x14ac:dyDescent="0.3">
      <c r="A2">
        <v>0</v>
      </c>
      <c r="B2" t="s">
        <v>25</v>
      </c>
      <c r="C2" t="s">
        <v>26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27</v>
      </c>
      <c r="N2">
        <v>7</v>
      </c>
      <c r="O2" t="s">
        <v>28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 t="shared" ref="X2:X65" si="0">WORKDAY(DATE(2025,8,2),INT(D2/390))</f>
        <v>45958</v>
      </c>
      <c r="Y2" s="19">
        <f t="shared" ref="Y2:Y65" si="1">WORKDAY(DATE(2025,8,2),INT(P2/390))</f>
        <v>45958</v>
      </c>
      <c r="Z2">
        <f t="array" ref="Z2">_xlfn.XLOOKUP(INT(X2),INT($AE$2:$AE$1000),$AG$2:$AG$1000,"")</f>
        <v>16.420000000000002</v>
      </c>
      <c r="AE2" s="19">
        <f t="shared" ref="AE2:AE65" si="2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41</v>
      </c>
      <c r="AK2" s="16" t="s">
        <v>42</v>
      </c>
      <c r="AL2" s="17" t="s">
        <v>43</v>
      </c>
      <c r="AM2" s="17" t="s">
        <v>44</v>
      </c>
      <c r="AN2" s="17" t="s">
        <v>45</v>
      </c>
    </row>
    <row r="3" spans="1:40" x14ac:dyDescent="0.3">
      <c r="A3">
        <v>0</v>
      </c>
      <c r="B3" t="s">
        <v>25</v>
      </c>
      <c r="C3" t="s">
        <v>26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27</v>
      </c>
      <c r="N3">
        <v>5</v>
      </c>
      <c r="O3" t="s">
        <v>28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si="0"/>
        <v>45959</v>
      </c>
      <c r="Y3" s="19">
        <f t="shared" si="1"/>
        <v>45959</v>
      </c>
      <c r="Z3">
        <f t="array" ref="Z3">_xlfn.XLOOKUP(INT(X3),INT($AE$2:$AE$1000),$AG$2:$AG$1000,"")</f>
        <v>16.920000000000002</v>
      </c>
      <c r="AE3" s="19">
        <f t="shared" si="2"/>
        <v>45873</v>
      </c>
      <c r="AF3" s="19">
        <v>45755</v>
      </c>
      <c r="AG3">
        <v>17.52</v>
      </c>
      <c r="AJ3" s="20" t="s">
        <v>46</v>
      </c>
      <c r="AK3" s="15">
        <f>AL3*AM3</f>
        <v>-1.6896568918657759</v>
      </c>
      <c r="AL3">
        <f>COUNTIF(Z:Z,"&lt;15")</f>
        <v>107</v>
      </c>
      <c r="AM3" s="14">
        <f>AVERAGEIF(Z:Z,"&lt;15",W:W)</f>
        <v>-1.5791185905287625E-2</v>
      </c>
      <c r="AN3" s="14">
        <f>COUNTIFS(Z:Z,"&lt;15",T:T,"&gt;0")/COUNTIFS(Z:Z,"&lt;15")</f>
        <v>0.62616822429906538</v>
      </c>
    </row>
    <row r="4" spans="1:40" x14ac:dyDescent="0.3">
      <c r="A4">
        <v>0</v>
      </c>
      <c r="B4" t="s">
        <v>25</v>
      </c>
      <c r="C4" t="s">
        <v>26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27</v>
      </c>
      <c r="N4">
        <v>16</v>
      </c>
      <c r="O4" t="s">
        <v>28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0"/>
        <v>45959</v>
      </c>
      <c r="Y4" s="19">
        <f t="shared" si="1"/>
        <v>45959</v>
      </c>
      <c r="Z4">
        <f t="array" ref="Z4">_xlfn.XLOOKUP(INT(X4),INT($AE$2:$AE$1000),$AG$2:$AG$1000,"")</f>
        <v>16.920000000000002</v>
      </c>
      <c r="AE4" s="19">
        <f t="shared" si="2"/>
        <v>45874</v>
      </c>
      <c r="AF4" s="19">
        <v>45785</v>
      </c>
      <c r="AG4">
        <v>17.850000000000001</v>
      </c>
      <c r="AJ4" s="15" t="s">
        <v>47</v>
      </c>
      <c r="AK4" s="15">
        <f>AL4*AM4</f>
        <v>2.2099516866607165</v>
      </c>
      <c r="AL4" s="14">
        <f>COUNTIFS(Z:Z,"&gt;=15",Z:Z,"&lt;20")</f>
        <v>293</v>
      </c>
      <c r="AM4" s="14">
        <f>AVERAGEIFS(W:W,Z:Z,"&gt;=15",Z:Z,"&lt;20")</f>
        <v>7.5424972240980088E-3</v>
      </c>
      <c r="AN4" s="14">
        <f>COUNTIFS(Z:Z,"&gt;=15",Z:Z,"&lt;20",T:T,"&gt;0")/COUNTIFS(Z:Z,"&gt;=15",Z:Z,"&lt;20")</f>
        <v>0.72013651877133111</v>
      </c>
    </row>
    <row r="5" spans="1:40" x14ac:dyDescent="0.3">
      <c r="A5">
        <v>0</v>
      </c>
      <c r="B5" t="s">
        <v>25</v>
      </c>
      <c r="C5" t="s">
        <v>26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29</v>
      </c>
      <c r="N5">
        <v>9</v>
      </c>
      <c r="O5" t="s">
        <v>28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0"/>
        <v>45960</v>
      </c>
      <c r="Y5" s="19">
        <f t="shared" si="1"/>
        <v>45960</v>
      </c>
      <c r="Z5">
        <f t="array" ref="Z5">_xlfn.XLOOKUP(INT(X5),INT($AE$2:$AE$1000),$AG$2:$AG$1000,"")</f>
        <v>16.91</v>
      </c>
      <c r="AE5" s="19">
        <f t="shared" si="2"/>
        <v>45875</v>
      </c>
      <c r="AF5" s="19">
        <v>45816</v>
      </c>
      <c r="AG5">
        <v>16.77</v>
      </c>
      <c r="AJ5" s="15" t="s">
        <v>48</v>
      </c>
      <c r="AK5" s="15">
        <f>AL5*AM5</f>
        <v>3.2875953375980211</v>
      </c>
      <c r="AL5" s="14">
        <f>COUNTIFS(Z:Z,"&gt;=20")</f>
        <v>164</v>
      </c>
      <c r="AM5" s="14">
        <f>AVERAGEIFS(W:W,Z:Z,"&gt;=20")</f>
        <v>2.0046313034134275E-2</v>
      </c>
      <c r="AN5" s="14">
        <f>COUNTIFS(Z:Z,"&gt;=20",T:T,"&gt;0")/COUNTIFS(Z:Z,"&gt;=20")</f>
        <v>0.74390243902439024</v>
      </c>
    </row>
    <row r="6" spans="1:40" x14ac:dyDescent="0.3">
      <c r="A6">
        <v>0</v>
      </c>
      <c r="B6" t="s">
        <v>25</v>
      </c>
      <c r="C6" t="s">
        <v>26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29</v>
      </c>
      <c r="N6">
        <v>12</v>
      </c>
      <c r="O6" t="s">
        <v>28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0"/>
        <v>45961</v>
      </c>
      <c r="Y6" s="19">
        <f t="shared" si="1"/>
        <v>45961</v>
      </c>
      <c r="Z6">
        <f t="array" ref="Z6">_xlfn.XLOOKUP(INT(X6),INT($AE$2:$AE$1000),$AG$2:$AG$1000,"")</f>
        <v>17.440000000000001</v>
      </c>
      <c r="AE6" s="19">
        <f t="shared" si="2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25</v>
      </c>
      <c r="C7" t="s">
        <v>26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27</v>
      </c>
      <c r="N7">
        <v>37</v>
      </c>
      <c r="O7" t="s">
        <v>28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0"/>
        <v>45961</v>
      </c>
      <c r="Y7" s="19">
        <f t="shared" si="1"/>
        <v>45961</v>
      </c>
      <c r="Z7">
        <f t="array" ref="Z7">_xlfn.XLOOKUP(INT(X7),INT($AE$2:$AE$1000),$AG$2:$AG$1000,"")</f>
        <v>17.440000000000001</v>
      </c>
      <c r="AE7" s="19">
        <f t="shared" si="2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25</v>
      </c>
      <c r="C8" t="s">
        <v>26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27</v>
      </c>
      <c r="N8">
        <v>6</v>
      </c>
      <c r="O8" t="s">
        <v>28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0"/>
        <v>45964</v>
      </c>
      <c r="Y8" s="19">
        <f t="shared" si="1"/>
        <v>45964</v>
      </c>
      <c r="Z8">
        <f t="array" ref="Z8">_xlfn.XLOOKUP(INT(X8),INT($AE$2:$AE$1000),$AG$2:$AG$1000,"")</f>
        <v>17.170000000000002</v>
      </c>
      <c r="AE8" s="19">
        <f t="shared" si="2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25</v>
      </c>
      <c r="C9" t="s">
        <v>26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29</v>
      </c>
      <c r="N9">
        <v>5</v>
      </c>
      <c r="O9" t="s">
        <v>28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0"/>
        <v>45967</v>
      </c>
      <c r="Y9" s="19">
        <f t="shared" si="1"/>
        <v>45967</v>
      </c>
      <c r="Z9">
        <f t="array" ref="Z9">_xlfn.XLOOKUP(INT(X9),INT($AE$2:$AE$1000),$AG$2:$AG$1000,"")</f>
        <v>19.5</v>
      </c>
      <c r="AE9" s="19">
        <f t="shared" si="2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25</v>
      </c>
      <c r="C10" t="s">
        <v>26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27</v>
      </c>
      <c r="N10">
        <v>5</v>
      </c>
      <c r="O10" t="s">
        <v>28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0"/>
        <v>45968</v>
      </c>
      <c r="Y10" s="19">
        <f t="shared" si="1"/>
        <v>45968</v>
      </c>
      <c r="Z10">
        <f t="array" ref="Z10">_xlfn.XLOOKUP(INT(X10),INT($AE$2:$AE$1000),$AG$2:$AG$1000,"")</f>
        <v>19.079999999999998</v>
      </c>
      <c r="AE10" s="19">
        <f t="shared" si="2"/>
        <v>45882</v>
      </c>
      <c r="AF10" t="s">
        <v>49</v>
      </c>
      <c r="AG10">
        <v>14.49</v>
      </c>
      <c r="AJ10" s="16" t="s">
        <v>50</v>
      </c>
      <c r="AK10" s="17" t="s">
        <v>51</v>
      </c>
      <c r="AL10" s="17" t="s">
        <v>52</v>
      </c>
    </row>
    <row r="11" spans="1:40" x14ac:dyDescent="0.3">
      <c r="A11">
        <v>0</v>
      </c>
      <c r="B11" t="s">
        <v>25</v>
      </c>
      <c r="C11" t="s">
        <v>26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29</v>
      </c>
      <c r="N11">
        <v>8</v>
      </c>
      <c r="O11" t="s">
        <v>28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0"/>
        <v>45971</v>
      </c>
      <c r="Y11" s="19">
        <f t="shared" si="1"/>
        <v>45971</v>
      </c>
      <c r="Z11">
        <f t="array" ref="Z11">_xlfn.XLOOKUP(INT(X11),INT($AE$2:$AE$1000),$AG$2:$AG$1000,"")</f>
        <v>17.600000000000001</v>
      </c>
      <c r="AE11" s="19">
        <f t="shared" si="2"/>
        <v>45883</v>
      </c>
      <c r="AF11" t="s">
        <v>53</v>
      </c>
      <c r="AG11">
        <v>14.83</v>
      </c>
      <c r="AJ11" s="21" t="s">
        <v>43</v>
      </c>
      <c r="AK11" s="22"/>
      <c r="AL11" s="22"/>
    </row>
    <row r="12" spans="1:40" x14ac:dyDescent="0.3">
      <c r="A12">
        <v>1</v>
      </c>
      <c r="B12" t="s">
        <v>30</v>
      </c>
      <c r="C12" t="s">
        <v>31</v>
      </c>
      <c r="D12">
        <v>27901</v>
      </c>
      <c r="E12">
        <v>54.27</v>
      </c>
      <c r="F12">
        <v>86.98</v>
      </c>
      <c r="G12">
        <v>54.275427000000001</v>
      </c>
      <c r="H12">
        <v>86.971302000000009</v>
      </c>
      <c r="I12">
        <v>-5.2945043430963166</v>
      </c>
      <c r="J12">
        <v>0.78585230619059288</v>
      </c>
      <c r="K12">
        <v>0.18426386585590571</v>
      </c>
      <c r="L12">
        <v>-9.0348621084225436E-2</v>
      </c>
      <c r="M12" t="s">
        <v>29</v>
      </c>
      <c r="N12">
        <v>23</v>
      </c>
      <c r="O12" t="s">
        <v>28</v>
      </c>
      <c r="P12">
        <v>27924</v>
      </c>
      <c r="Q12">
        <v>54.35</v>
      </c>
      <c r="R12">
        <v>87.09</v>
      </c>
      <c r="S12">
        <v>-0.4907119801610581</v>
      </c>
      <c r="T12">
        <v>4.8027609492073912E-3</v>
      </c>
      <c r="U12">
        <v>1.228588391068949E-3</v>
      </c>
      <c r="V12">
        <v>3.5717474419199478E-3</v>
      </c>
      <c r="W12">
        <v>-2.3431590508509988E-3</v>
      </c>
      <c r="X12" s="19">
        <f t="shared" si="0"/>
        <v>45971</v>
      </c>
      <c r="Y12" s="19">
        <f t="shared" si="1"/>
        <v>45971</v>
      </c>
      <c r="Z12">
        <f t="array" ref="Z12">_xlfn.XLOOKUP(INT(X12),INT($AE$2:$AE$1000),$AG$2:$AG$1000,"")</f>
        <v>17.600000000000001</v>
      </c>
      <c r="AE12" s="19">
        <f t="shared" si="2"/>
        <v>45884</v>
      </c>
      <c r="AF12" t="s">
        <v>54</v>
      </c>
      <c r="AG12">
        <v>15.09</v>
      </c>
      <c r="AJ12" s="21" t="s">
        <v>55</v>
      </c>
      <c r="AK12" s="22"/>
      <c r="AL12" s="22"/>
    </row>
    <row r="13" spans="1:40" x14ac:dyDescent="0.3">
      <c r="A13">
        <v>1</v>
      </c>
      <c r="B13" t="s">
        <v>30</v>
      </c>
      <c r="C13" t="s">
        <v>31</v>
      </c>
      <c r="D13">
        <v>28107</v>
      </c>
      <c r="E13">
        <v>53.854999999999997</v>
      </c>
      <c r="F13">
        <v>86.21</v>
      </c>
      <c r="G13">
        <v>53.8603855</v>
      </c>
      <c r="H13">
        <v>86.201378999999989</v>
      </c>
      <c r="I13">
        <v>-4.2210563478432883</v>
      </c>
      <c r="J13">
        <v>0.78585230619059288</v>
      </c>
      <c r="K13">
        <v>0.1856837805217714</v>
      </c>
      <c r="L13">
        <v>-9.1155585917015766E-2</v>
      </c>
      <c r="M13" t="s">
        <v>29</v>
      </c>
      <c r="N13">
        <v>16</v>
      </c>
      <c r="O13" t="s">
        <v>28</v>
      </c>
      <c r="P13">
        <v>28123</v>
      </c>
      <c r="Q13">
        <v>53.83</v>
      </c>
      <c r="R13">
        <v>86.07</v>
      </c>
      <c r="S13">
        <v>-0.46599467669538941</v>
      </c>
      <c r="T13">
        <v>8.1196875153382378E-3</v>
      </c>
      <c r="U13">
        <v>4.5497232906100702E-3</v>
      </c>
      <c r="V13">
        <v>3.5717474419199478E-3</v>
      </c>
      <c r="W13">
        <v>9.7797584869012237E-4</v>
      </c>
      <c r="X13" s="19">
        <f t="shared" si="0"/>
        <v>45972</v>
      </c>
      <c r="Y13" s="19">
        <f t="shared" si="1"/>
        <v>45972</v>
      </c>
      <c r="Z13">
        <f t="array" ref="Z13">_xlfn.XLOOKUP(INT(X13),INT($AE$2:$AE$1000),$AG$2:$AG$1000,"")</f>
        <v>17.28</v>
      </c>
      <c r="AE13" s="19">
        <f t="shared" si="2"/>
        <v>45887</v>
      </c>
      <c r="AF13" t="s">
        <v>56</v>
      </c>
      <c r="AG13">
        <v>14.99</v>
      </c>
      <c r="AJ13" s="21" t="s">
        <v>57</v>
      </c>
      <c r="AK13" s="22"/>
      <c r="AL13" s="22"/>
    </row>
    <row r="14" spans="1:40" x14ac:dyDescent="0.3">
      <c r="A14">
        <v>1</v>
      </c>
      <c r="B14" t="s">
        <v>30</v>
      </c>
      <c r="C14" t="s">
        <v>31</v>
      </c>
      <c r="D14">
        <v>28839</v>
      </c>
      <c r="E14">
        <v>52.725000000000001</v>
      </c>
      <c r="F14">
        <v>85.125</v>
      </c>
      <c r="G14">
        <v>52.730272499999998</v>
      </c>
      <c r="H14">
        <v>85.116487500000005</v>
      </c>
      <c r="I14">
        <v>-3.745893958674877</v>
      </c>
      <c r="J14">
        <v>0.78585230619059288</v>
      </c>
      <c r="K14">
        <v>0.18966334755808439</v>
      </c>
      <c r="L14">
        <v>-9.231745153487142E-2</v>
      </c>
      <c r="M14" t="s">
        <v>29</v>
      </c>
      <c r="N14">
        <v>19</v>
      </c>
      <c r="O14" t="s">
        <v>28</v>
      </c>
      <c r="P14">
        <v>28858</v>
      </c>
      <c r="Q14">
        <v>52.615000000000002</v>
      </c>
      <c r="R14">
        <v>84.855000000000004</v>
      </c>
      <c r="S14">
        <v>-0.36520226419633572</v>
      </c>
      <c r="T14">
        <v>4.0627436830257407E-3</v>
      </c>
      <c r="U14">
        <v>4.9561793866042744E-4</v>
      </c>
      <c r="V14">
        <v>3.5717474419199478E-3</v>
      </c>
      <c r="W14">
        <v>-3.0761295032595199E-3</v>
      </c>
      <c r="X14" s="19">
        <f t="shared" si="0"/>
        <v>45973</v>
      </c>
      <c r="Y14" s="19">
        <f t="shared" si="1"/>
        <v>45973</v>
      </c>
      <c r="Z14">
        <f t="array" ref="Z14">_xlfn.XLOOKUP(INT(X14),INT($AE$2:$AE$1000),$AG$2:$AG$1000,"")</f>
        <v>17.510000000000002</v>
      </c>
      <c r="AE14" s="19">
        <f t="shared" si="2"/>
        <v>45888</v>
      </c>
      <c r="AF14" t="s">
        <v>58</v>
      </c>
      <c r="AG14">
        <v>15.57</v>
      </c>
      <c r="AJ14" s="21" t="s">
        <v>59</v>
      </c>
      <c r="AK14" s="22"/>
      <c r="AL14" s="22"/>
    </row>
    <row r="15" spans="1:40" x14ac:dyDescent="0.3">
      <c r="A15">
        <v>1</v>
      </c>
      <c r="B15" t="s">
        <v>30</v>
      </c>
      <c r="C15" t="s">
        <v>31</v>
      </c>
      <c r="D15">
        <v>29105</v>
      </c>
      <c r="E15">
        <v>52.09</v>
      </c>
      <c r="F15">
        <v>84.31</v>
      </c>
      <c r="G15">
        <v>52.095208999999997</v>
      </c>
      <c r="H15">
        <v>84.301569000000001</v>
      </c>
      <c r="I15">
        <v>-4.0396525736708373</v>
      </c>
      <c r="J15">
        <v>0.78585230619059288</v>
      </c>
      <c r="K15">
        <v>0.19197542714532539</v>
      </c>
      <c r="L15">
        <v>-9.3209857216296155E-2</v>
      </c>
      <c r="M15" t="s">
        <v>29</v>
      </c>
      <c r="N15">
        <v>17</v>
      </c>
      <c r="O15" t="s">
        <v>28</v>
      </c>
      <c r="P15">
        <v>29122</v>
      </c>
      <c r="Q15">
        <v>52.034999999999997</v>
      </c>
      <c r="R15">
        <v>84.14</v>
      </c>
      <c r="S15">
        <v>-0.2084183861681452</v>
      </c>
      <c r="T15">
        <v>5.2870272337762984E-3</v>
      </c>
      <c r="U15">
        <v>1.717963053816557E-3</v>
      </c>
      <c r="V15">
        <v>3.5717474419199478E-3</v>
      </c>
      <c r="W15">
        <v>-1.853784388103391E-3</v>
      </c>
      <c r="X15" s="19">
        <f t="shared" si="0"/>
        <v>45974</v>
      </c>
      <c r="Y15" s="19">
        <f t="shared" si="1"/>
        <v>45974</v>
      </c>
      <c r="Z15">
        <f t="array" ref="Z15">_xlfn.XLOOKUP(INT(X15),INT($AE$2:$AE$1000),$AG$2:$AG$1000,"")</f>
        <v>20</v>
      </c>
      <c r="AE15" s="19">
        <f t="shared" si="2"/>
        <v>45889</v>
      </c>
      <c r="AF15" t="s">
        <v>60</v>
      </c>
      <c r="AG15">
        <v>15.69</v>
      </c>
      <c r="AJ15" s="21" t="s">
        <v>61</v>
      </c>
      <c r="AK15" s="22"/>
      <c r="AL15" s="22"/>
    </row>
    <row r="16" spans="1:40" x14ac:dyDescent="0.3">
      <c r="A16">
        <v>1</v>
      </c>
      <c r="B16" t="s">
        <v>30</v>
      </c>
      <c r="C16" t="s">
        <v>31</v>
      </c>
      <c r="D16">
        <v>29668</v>
      </c>
      <c r="E16">
        <v>51.95</v>
      </c>
      <c r="F16">
        <v>84.105000000000004</v>
      </c>
      <c r="G16">
        <v>51.944805000000002</v>
      </c>
      <c r="H16">
        <v>84.113410500000001</v>
      </c>
      <c r="I16">
        <v>4.3006198284064601</v>
      </c>
      <c r="J16">
        <v>0.78585230619059288</v>
      </c>
      <c r="K16">
        <v>-0.19249278152069299</v>
      </c>
      <c r="L16">
        <v>9.3437049662991836E-2</v>
      </c>
      <c r="M16" t="s">
        <v>27</v>
      </c>
      <c r="N16">
        <v>26</v>
      </c>
      <c r="O16" t="s">
        <v>28</v>
      </c>
      <c r="P16">
        <v>29694</v>
      </c>
      <c r="Q16">
        <v>52.164999999999999</v>
      </c>
      <c r="R16">
        <v>84.43</v>
      </c>
      <c r="S16">
        <v>0.40318604394793323</v>
      </c>
      <c r="T16">
        <v>-1.101890688647566E-2</v>
      </c>
      <c r="U16">
        <v>-1.459778679777256E-2</v>
      </c>
      <c r="V16">
        <v>3.571661782842424E-3</v>
      </c>
      <c r="W16">
        <v>-1.8169448580614991E-2</v>
      </c>
      <c r="X16" s="19">
        <f t="shared" si="0"/>
        <v>45978</v>
      </c>
      <c r="Y16" s="19">
        <f t="shared" si="1"/>
        <v>45978</v>
      </c>
      <c r="Z16">
        <f t="array" ref="Z16">_xlfn.XLOOKUP(INT(X16),INT($AE$2:$AE$1000),$AG$2:$AG$1000,"")</f>
        <v>22.38</v>
      </c>
      <c r="AE16" s="19">
        <f t="shared" si="2"/>
        <v>45890</v>
      </c>
      <c r="AF16" t="s">
        <v>62</v>
      </c>
      <c r="AG16">
        <v>16.600000000000001</v>
      </c>
      <c r="AJ16" s="21" t="s">
        <v>63</v>
      </c>
      <c r="AK16" s="22"/>
      <c r="AL16" s="22"/>
    </row>
    <row r="17" spans="1:38" x14ac:dyDescent="0.3">
      <c r="A17">
        <v>1</v>
      </c>
      <c r="B17" t="s">
        <v>30</v>
      </c>
      <c r="C17" t="s">
        <v>31</v>
      </c>
      <c r="D17">
        <v>31217</v>
      </c>
      <c r="E17">
        <v>51.96</v>
      </c>
      <c r="F17">
        <v>84.86</v>
      </c>
      <c r="G17">
        <v>51.965195999999999</v>
      </c>
      <c r="H17">
        <v>84.851513999999995</v>
      </c>
      <c r="I17">
        <v>-3.561478750527765</v>
      </c>
      <c r="J17">
        <v>0.78585230619059288</v>
      </c>
      <c r="K17">
        <v>0.19245573518090839</v>
      </c>
      <c r="L17">
        <v>-9.2605739593517908E-2</v>
      </c>
      <c r="M17" t="s">
        <v>29</v>
      </c>
      <c r="N17">
        <v>20</v>
      </c>
      <c r="O17" t="s">
        <v>28</v>
      </c>
      <c r="P17">
        <v>31237</v>
      </c>
      <c r="Q17">
        <v>52.51</v>
      </c>
      <c r="R17">
        <v>85.14</v>
      </c>
      <c r="S17">
        <v>0.40215491859391322</v>
      </c>
      <c r="T17">
        <v>7.9921047263313949E-2</v>
      </c>
      <c r="U17">
        <v>7.63361646247884E-2</v>
      </c>
      <c r="V17">
        <v>3.5717474419199478E-3</v>
      </c>
      <c r="W17">
        <v>7.2764417182868454E-2</v>
      </c>
      <c r="X17" s="19">
        <f t="shared" si="0"/>
        <v>45982</v>
      </c>
      <c r="Y17" s="19">
        <f t="shared" si="1"/>
        <v>45982</v>
      </c>
      <c r="Z17">
        <f t="array" ref="Z17">_xlfn.XLOOKUP(INT(X17),INT($AE$2:$AE$1000),$AG$2:$AG$1000,"")</f>
        <v>23.43</v>
      </c>
      <c r="AE17" s="19">
        <f t="shared" si="2"/>
        <v>45891</v>
      </c>
      <c r="AF17" t="s">
        <v>64</v>
      </c>
      <c r="AG17">
        <v>14.22</v>
      </c>
      <c r="AJ17" s="21" t="s">
        <v>45</v>
      </c>
      <c r="AK17" s="22"/>
      <c r="AL17" s="22"/>
    </row>
    <row r="18" spans="1:38" x14ac:dyDescent="0.3">
      <c r="A18">
        <v>1</v>
      </c>
      <c r="B18" t="s">
        <v>30</v>
      </c>
      <c r="C18" t="s">
        <v>31</v>
      </c>
      <c r="D18">
        <v>31444</v>
      </c>
      <c r="E18">
        <v>52.65</v>
      </c>
      <c r="F18">
        <v>84.8</v>
      </c>
      <c r="G18">
        <v>52.655265</v>
      </c>
      <c r="H18">
        <v>84.791519999999991</v>
      </c>
      <c r="I18">
        <v>-3.5053921256827349</v>
      </c>
      <c r="J18">
        <v>0.78585230619059288</v>
      </c>
      <c r="K18">
        <v>0.18993352326685661</v>
      </c>
      <c r="L18">
        <v>-9.2671262522475581E-2</v>
      </c>
      <c r="M18" t="s">
        <v>29</v>
      </c>
      <c r="N18">
        <v>32</v>
      </c>
      <c r="O18" t="s">
        <v>28</v>
      </c>
      <c r="P18">
        <v>31476</v>
      </c>
      <c r="Q18">
        <v>52.71</v>
      </c>
      <c r="R18">
        <v>85.025000000000006</v>
      </c>
      <c r="S18">
        <v>-0.49317776811967429</v>
      </c>
      <c r="T18">
        <v>-9.4550226715459686E-3</v>
      </c>
      <c r="U18">
        <v>-1.3029951988474949E-2</v>
      </c>
      <c r="V18">
        <v>3.5717474419199478E-3</v>
      </c>
      <c r="W18">
        <v>-1.6601699430394891E-2</v>
      </c>
      <c r="X18" s="19">
        <f t="shared" si="0"/>
        <v>45982</v>
      </c>
      <c r="Y18" s="19">
        <f t="shared" si="1"/>
        <v>45982</v>
      </c>
      <c r="Z18">
        <f t="array" ref="Z18">_xlfn.XLOOKUP(INT(X18),INT($AE$2:$AE$1000),$AG$2:$AG$1000,"")</f>
        <v>23.43</v>
      </c>
      <c r="AE18" s="19">
        <f t="shared" si="2"/>
        <v>45894</v>
      </c>
      <c r="AF18" t="s">
        <v>65</v>
      </c>
      <c r="AG18">
        <v>14.79</v>
      </c>
      <c r="AJ18" s="21" t="s">
        <v>66</v>
      </c>
      <c r="AK18" s="22"/>
      <c r="AL18" s="22"/>
    </row>
    <row r="19" spans="1:38" x14ac:dyDescent="0.3">
      <c r="A19">
        <v>1</v>
      </c>
      <c r="B19" t="s">
        <v>30</v>
      </c>
      <c r="C19" t="s">
        <v>31</v>
      </c>
      <c r="D19">
        <v>31612</v>
      </c>
      <c r="E19">
        <v>52.505000000000003</v>
      </c>
      <c r="F19">
        <v>85.055000000000007</v>
      </c>
      <c r="G19">
        <v>52.510250500000012</v>
      </c>
      <c r="H19">
        <v>85.046494500000009</v>
      </c>
      <c r="I19">
        <v>-3.5933744947512318</v>
      </c>
      <c r="J19">
        <v>0.78585230619059288</v>
      </c>
      <c r="K19">
        <v>0.19045805161413201</v>
      </c>
      <c r="L19">
        <v>-9.2393428509857489E-2</v>
      </c>
      <c r="M19" t="s">
        <v>29</v>
      </c>
      <c r="N19">
        <v>10</v>
      </c>
      <c r="O19" t="s">
        <v>28</v>
      </c>
      <c r="P19">
        <v>31622</v>
      </c>
      <c r="Q19">
        <v>52.78</v>
      </c>
      <c r="R19">
        <v>85.49</v>
      </c>
      <c r="S19">
        <v>-5.0359074003137577E-2</v>
      </c>
      <c r="T19">
        <v>1.218482279209912E-2</v>
      </c>
      <c r="U19">
        <v>8.6038614691584248E-3</v>
      </c>
      <c r="V19">
        <v>3.5717474419199478E-3</v>
      </c>
      <c r="W19">
        <v>5.032114027238477E-3</v>
      </c>
      <c r="X19" s="19">
        <f t="shared" si="0"/>
        <v>45985</v>
      </c>
      <c r="Y19" s="19">
        <f t="shared" si="1"/>
        <v>45985</v>
      </c>
      <c r="Z19">
        <f t="array" ref="Z19">_xlfn.XLOOKUP(INT(X19),INT($AE$2:$AE$1000),$AG$2:$AG$1000,"")</f>
        <v>20.52</v>
      </c>
      <c r="AE19" s="19">
        <f t="shared" si="2"/>
        <v>45895</v>
      </c>
      <c r="AF19" t="s">
        <v>67</v>
      </c>
      <c r="AG19">
        <v>14.62</v>
      </c>
      <c r="AJ19" s="21" t="s">
        <v>68</v>
      </c>
      <c r="AK19" s="22"/>
      <c r="AL19" s="22"/>
    </row>
    <row r="20" spans="1:38" x14ac:dyDescent="0.3">
      <c r="A20">
        <v>1</v>
      </c>
      <c r="B20" t="s">
        <v>25</v>
      </c>
      <c r="C20" t="s">
        <v>26</v>
      </c>
      <c r="D20">
        <v>27901</v>
      </c>
      <c r="E20">
        <v>321.49</v>
      </c>
      <c r="F20">
        <v>832.19</v>
      </c>
      <c r="G20">
        <v>321.45785100000001</v>
      </c>
      <c r="H20">
        <v>832.27321900000004</v>
      </c>
      <c r="I20">
        <v>5.2946161941305512</v>
      </c>
      <c r="J20">
        <v>0.65390315097189344</v>
      </c>
      <c r="K20">
        <v>-3.1105166568166968E-2</v>
      </c>
      <c r="L20">
        <v>7.8576184641955971E-3</v>
      </c>
      <c r="M20" t="s">
        <v>27</v>
      </c>
      <c r="N20">
        <v>23</v>
      </c>
      <c r="O20" t="s">
        <v>28</v>
      </c>
      <c r="P20">
        <v>27924</v>
      </c>
      <c r="Q20">
        <v>321.12</v>
      </c>
      <c r="R20">
        <v>832.625</v>
      </c>
      <c r="S20">
        <v>0.48959010757078708</v>
      </c>
      <c r="T20">
        <v>1.4926975662146579E-2</v>
      </c>
      <c r="U20">
        <v>1.161997844496275E-2</v>
      </c>
      <c r="V20">
        <v>3.3077370825739809E-3</v>
      </c>
      <c r="W20">
        <v>8.3122413623887732E-3</v>
      </c>
      <c r="X20" s="19">
        <f t="shared" si="0"/>
        <v>45971</v>
      </c>
      <c r="Y20" s="19">
        <f t="shared" si="1"/>
        <v>45971</v>
      </c>
      <c r="Z20">
        <f t="array" ref="Z20">_xlfn.XLOOKUP(INT(X20),INT($AE$2:$AE$1000),$AG$2:$AG$1000,"")</f>
        <v>17.600000000000001</v>
      </c>
      <c r="AE20" s="19">
        <f t="shared" si="2"/>
        <v>45896</v>
      </c>
      <c r="AF20" t="s">
        <v>69</v>
      </c>
      <c r="AG20">
        <v>14.85</v>
      </c>
      <c r="AJ20" s="21" t="s">
        <v>70</v>
      </c>
      <c r="AK20" s="22"/>
      <c r="AL20" s="22"/>
    </row>
    <row r="21" spans="1:38" x14ac:dyDescent="0.3">
      <c r="A21">
        <v>1</v>
      </c>
      <c r="B21" t="s">
        <v>25</v>
      </c>
      <c r="C21" t="s">
        <v>26</v>
      </c>
      <c r="D21">
        <v>28497</v>
      </c>
      <c r="E21">
        <v>305.70999999999998</v>
      </c>
      <c r="F21">
        <v>787.29</v>
      </c>
      <c r="G21">
        <v>305.67942900000003</v>
      </c>
      <c r="H21">
        <v>787.36872899999992</v>
      </c>
      <c r="I21">
        <v>3.961248784974861</v>
      </c>
      <c r="J21">
        <v>0.65390315097189344</v>
      </c>
      <c r="K21">
        <v>-3.2710738935592558E-2</v>
      </c>
      <c r="L21">
        <v>8.3057469416846844E-3</v>
      </c>
      <c r="M21" t="s">
        <v>27</v>
      </c>
      <c r="N21">
        <v>7</v>
      </c>
      <c r="O21" t="s">
        <v>28</v>
      </c>
      <c r="P21">
        <v>28504</v>
      </c>
      <c r="Q21">
        <v>304.36500000000001</v>
      </c>
      <c r="R21">
        <v>786.38</v>
      </c>
      <c r="S21">
        <v>3.0918090914119251E-2</v>
      </c>
      <c r="T21">
        <v>3.6437714151438233E-2</v>
      </c>
      <c r="U21">
        <v>3.3135063266853192E-2</v>
      </c>
      <c r="V21">
        <v>3.3077370825739809E-3</v>
      </c>
      <c r="W21">
        <v>2.9827326184279211E-2</v>
      </c>
      <c r="X21" s="19">
        <f t="shared" si="0"/>
        <v>45973</v>
      </c>
      <c r="Y21" s="19">
        <f t="shared" si="1"/>
        <v>45973</v>
      </c>
      <c r="Z21">
        <f t="array" ref="Z21">_xlfn.XLOOKUP(INT(X21),INT($AE$2:$AE$1000),$AG$2:$AG$1000,"")</f>
        <v>17.510000000000002</v>
      </c>
      <c r="AE21" s="19">
        <f t="shared" si="2"/>
        <v>45897</v>
      </c>
      <c r="AF21" t="s">
        <v>71</v>
      </c>
      <c r="AG21">
        <v>14.43</v>
      </c>
      <c r="AJ21" s="21" t="s">
        <v>72</v>
      </c>
      <c r="AK21" s="22"/>
      <c r="AL21" s="22"/>
    </row>
    <row r="22" spans="1:38" x14ac:dyDescent="0.3">
      <c r="A22">
        <v>1</v>
      </c>
      <c r="B22" t="s">
        <v>25</v>
      </c>
      <c r="C22" t="s">
        <v>26</v>
      </c>
      <c r="D22">
        <v>28630</v>
      </c>
      <c r="E22">
        <v>304.8</v>
      </c>
      <c r="F22">
        <v>797.31500000000005</v>
      </c>
      <c r="G22">
        <v>304.83048000000002</v>
      </c>
      <c r="H22">
        <v>797.23526850000007</v>
      </c>
      <c r="I22">
        <v>-3.626108387612347</v>
      </c>
      <c r="J22">
        <v>0.65390315097189344</v>
      </c>
      <c r="K22">
        <v>3.2808398950131233E-2</v>
      </c>
      <c r="L22">
        <v>-8.2013150507878746E-3</v>
      </c>
      <c r="M22" t="s">
        <v>29</v>
      </c>
      <c r="N22">
        <v>9</v>
      </c>
      <c r="O22" t="s">
        <v>28</v>
      </c>
      <c r="P22">
        <v>28639</v>
      </c>
      <c r="Q22">
        <v>305.47000000000003</v>
      </c>
      <c r="R22">
        <v>796.03</v>
      </c>
      <c r="S22">
        <v>0.26313252588381159</v>
      </c>
      <c r="T22">
        <v>3.2520317136851537E-2</v>
      </c>
      <c r="U22">
        <v>2.921136654116133E-2</v>
      </c>
      <c r="V22">
        <v>3.307875521313593E-3</v>
      </c>
      <c r="W22">
        <v>2.5903491019847739E-2</v>
      </c>
      <c r="X22" s="19">
        <f t="shared" si="0"/>
        <v>45973</v>
      </c>
      <c r="Y22" s="19">
        <f t="shared" si="1"/>
        <v>45973</v>
      </c>
      <c r="Z22">
        <f t="array" ref="Z22">_xlfn.XLOOKUP(INT(X22),INT($AE$2:$AE$1000),$AG$2:$AG$1000,"")</f>
        <v>17.510000000000002</v>
      </c>
      <c r="AE22" s="19">
        <f t="shared" si="2"/>
        <v>45898</v>
      </c>
      <c r="AF22" t="s">
        <v>73</v>
      </c>
      <c r="AG22">
        <v>15.36</v>
      </c>
    </row>
    <row r="23" spans="1:38" x14ac:dyDescent="0.3">
      <c r="A23">
        <v>1</v>
      </c>
      <c r="B23" t="s">
        <v>25</v>
      </c>
      <c r="C23" t="s">
        <v>26</v>
      </c>
      <c r="D23">
        <v>28708</v>
      </c>
      <c r="E23">
        <v>304.81</v>
      </c>
      <c r="F23">
        <v>797.11</v>
      </c>
      <c r="G23">
        <v>304.84048100000001</v>
      </c>
      <c r="H23">
        <v>797.03028900000004</v>
      </c>
      <c r="I23">
        <v>-3.5560199780060682</v>
      </c>
      <c r="J23">
        <v>0.65390315097189344</v>
      </c>
      <c r="K23">
        <v>3.2807322594403068E-2</v>
      </c>
      <c r="L23">
        <v>-8.2034242572780851E-3</v>
      </c>
      <c r="M23" t="s">
        <v>29</v>
      </c>
      <c r="N23">
        <v>27</v>
      </c>
      <c r="O23" t="s">
        <v>28</v>
      </c>
      <c r="P23">
        <v>28735</v>
      </c>
      <c r="Q23">
        <v>304.57</v>
      </c>
      <c r="R23">
        <v>796.62</v>
      </c>
      <c r="S23">
        <v>0.12160767258253349</v>
      </c>
      <c r="T23">
        <v>-3.8540795365906988E-3</v>
      </c>
      <c r="U23">
        <v>-7.1606964950039851E-3</v>
      </c>
      <c r="V23">
        <v>3.3078755213135922E-3</v>
      </c>
      <c r="W23">
        <v>-1.046857201631758E-2</v>
      </c>
      <c r="X23" s="19">
        <f t="shared" si="0"/>
        <v>45973</v>
      </c>
      <c r="Y23" s="19">
        <f t="shared" si="1"/>
        <v>45973</v>
      </c>
      <c r="Z23">
        <f t="array" ref="Z23">_xlfn.XLOOKUP(INT(X23),INT($AE$2:$AE$1000),$AG$2:$AG$1000,"")</f>
        <v>17.510000000000002</v>
      </c>
      <c r="AE23" s="19">
        <f t="shared" si="2"/>
        <v>45901</v>
      </c>
      <c r="AF23" s="19">
        <v>45666</v>
      </c>
      <c r="AG23">
        <v>16.12</v>
      </c>
    </row>
    <row r="24" spans="1:38" x14ac:dyDescent="0.3">
      <c r="A24">
        <v>1</v>
      </c>
      <c r="B24" t="s">
        <v>25</v>
      </c>
      <c r="C24" t="s">
        <v>26</v>
      </c>
      <c r="D24">
        <v>29594</v>
      </c>
      <c r="E24">
        <v>301.3</v>
      </c>
      <c r="F24">
        <v>781.25</v>
      </c>
      <c r="G24">
        <v>301.26987000000003</v>
      </c>
      <c r="H24">
        <v>781.328125</v>
      </c>
      <c r="I24">
        <v>3.5359515155939381</v>
      </c>
      <c r="J24">
        <v>0.65390315097189344</v>
      </c>
      <c r="K24">
        <v>-3.3189512114171919E-2</v>
      </c>
      <c r="L24">
        <v>8.369960332440236E-3</v>
      </c>
      <c r="M24" t="s">
        <v>27</v>
      </c>
      <c r="N24">
        <v>5</v>
      </c>
      <c r="O24" t="s">
        <v>28</v>
      </c>
      <c r="P24">
        <v>29599</v>
      </c>
      <c r="Q24">
        <v>300.495</v>
      </c>
      <c r="R24">
        <v>781.25</v>
      </c>
      <c r="S24">
        <v>-0.42317359330307769</v>
      </c>
      <c r="T24">
        <v>2.6717557251908618E-2</v>
      </c>
      <c r="U24">
        <v>2.3412422705689901E-2</v>
      </c>
      <c r="V24">
        <v>3.3077370825739809E-3</v>
      </c>
      <c r="W24">
        <v>2.0104685623115921E-2</v>
      </c>
      <c r="X24" s="19">
        <f t="shared" si="0"/>
        <v>45975</v>
      </c>
      <c r="Y24" s="19">
        <f t="shared" si="1"/>
        <v>45975</v>
      </c>
      <c r="Z24">
        <f t="array" ref="Z24">_xlfn.XLOOKUP(INT(X24),INT($AE$2:$AE$1000),$AG$2:$AG$1000,"")</f>
        <v>19.829999999999998</v>
      </c>
      <c r="AE24" s="19">
        <f t="shared" si="2"/>
        <v>45902</v>
      </c>
      <c r="AF24" s="19">
        <v>45697</v>
      </c>
      <c r="AG24">
        <v>17.170000000000002</v>
      </c>
    </row>
    <row r="25" spans="1:38" x14ac:dyDescent="0.3">
      <c r="A25">
        <v>1</v>
      </c>
      <c r="B25" t="s">
        <v>25</v>
      </c>
      <c r="C25" t="s">
        <v>26</v>
      </c>
      <c r="D25">
        <v>29667</v>
      </c>
      <c r="E25">
        <v>300.82</v>
      </c>
      <c r="F25">
        <v>776.07</v>
      </c>
      <c r="G25">
        <v>300.789918</v>
      </c>
      <c r="H25">
        <v>776.14760699999999</v>
      </c>
      <c r="I25">
        <v>4.3180526865916153</v>
      </c>
      <c r="J25">
        <v>0.65390315097189344</v>
      </c>
      <c r="K25">
        <v>-3.324247058041354E-2</v>
      </c>
      <c r="L25">
        <v>8.4258269353523953E-3</v>
      </c>
      <c r="M25" t="s">
        <v>27</v>
      </c>
      <c r="N25">
        <v>24</v>
      </c>
      <c r="O25" t="s">
        <v>28</v>
      </c>
      <c r="P25">
        <v>29691</v>
      </c>
      <c r="Q25">
        <v>302.36</v>
      </c>
      <c r="R25">
        <v>779.06500000000005</v>
      </c>
      <c r="S25">
        <v>0.36508654889452202</v>
      </c>
      <c r="T25">
        <v>-2.5958053022457069E-2</v>
      </c>
      <c r="U25">
        <v>-2.9273502200037081E-2</v>
      </c>
      <c r="V25">
        <v>3.3077370825739809E-3</v>
      </c>
      <c r="W25">
        <v>-3.2581239282611058E-2</v>
      </c>
      <c r="X25" s="19">
        <f t="shared" si="0"/>
        <v>45978</v>
      </c>
      <c r="Y25" s="19">
        <f t="shared" si="1"/>
        <v>45978</v>
      </c>
      <c r="Z25">
        <f t="array" ref="Z25">_xlfn.XLOOKUP(INT(X25),INT($AE$2:$AE$1000),$AG$2:$AG$1000,"")</f>
        <v>22.38</v>
      </c>
      <c r="AE25" s="19">
        <f t="shared" si="2"/>
        <v>45903</v>
      </c>
      <c r="AF25" s="19">
        <v>45725</v>
      </c>
      <c r="AG25">
        <v>16.350000000000001</v>
      </c>
    </row>
    <row r="26" spans="1:38" x14ac:dyDescent="0.3">
      <c r="A26">
        <v>1</v>
      </c>
      <c r="B26" t="s">
        <v>25</v>
      </c>
      <c r="C26" t="s">
        <v>26</v>
      </c>
      <c r="D26">
        <v>30059</v>
      </c>
      <c r="E26">
        <v>307.04000000000002</v>
      </c>
      <c r="F26">
        <v>805.745</v>
      </c>
      <c r="G26">
        <v>307.07070399999998</v>
      </c>
      <c r="H26">
        <v>805.66442549999999</v>
      </c>
      <c r="I26">
        <v>-3.861825877035987</v>
      </c>
      <c r="J26">
        <v>0.65390315097189344</v>
      </c>
      <c r="K26">
        <v>3.2569046378322038E-2</v>
      </c>
      <c r="L26">
        <v>-8.1155098818099201E-3</v>
      </c>
      <c r="M26" t="s">
        <v>29</v>
      </c>
      <c r="N26">
        <v>6</v>
      </c>
      <c r="O26" t="s">
        <v>28</v>
      </c>
      <c r="P26">
        <v>30065</v>
      </c>
      <c r="Q26">
        <v>308.48</v>
      </c>
      <c r="R26">
        <v>807.56</v>
      </c>
      <c r="S26">
        <v>-0.31972299532199389</v>
      </c>
      <c r="T26">
        <v>3.2169776349299142E-2</v>
      </c>
      <c r="U26">
        <v>2.885580713963343E-2</v>
      </c>
      <c r="V26">
        <v>3.3078755213135922E-3</v>
      </c>
      <c r="W26">
        <v>2.5547931618319839E-2</v>
      </c>
      <c r="X26" s="19">
        <f t="shared" si="0"/>
        <v>45979</v>
      </c>
      <c r="Y26" s="19">
        <f t="shared" si="1"/>
        <v>45979</v>
      </c>
      <c r="Z26">
        <f t="array" ref="Z26">_xlfn.XLOOKUP(INT(X26),INT($AE$2:$AE$1000),$AG$2:$AG$1000,"")</f>
        <v>24.69</v>
      </c>
      <c r="AE26" s="19">
        <f t="shared" si="2"/>
        <v>45904</v>
      </c>
      <c r="AF26" s="19">
        <v>45756</v>
      </c>
      <c r="AG26">
        <v>15.3</v>
      </c>
    </row>
    <row r="27" spans="1:38" x14ac:dyDescent="0.3">
      <c r="A27">
        <v>1</v>
      </c>
      <c r="B27" t="s">
        <v>25</v>
      </c>
      <c r="C27" t="s">
        <v>26</v>
      </c>
      <c r="D27">
        <v>31217</v>
      </c>
      <c r="E27">
        <v>297.97000000000003</v>
      </c>
      <c r="F27">
        <v>792.37</v>
      </c>
      <c r="G27">
        <v>297.999797</v>
      </c>
      <c r="H27">
        <v>792.29076299999997</v>
      </c>
      <c r="I27">
        <v>-3.5745619995039339</v>
      </c>
      <c r="J27">
        <v>0.65390315097189344</v>
      </c>
      <c r="K27">
        <v>3.356042554619592E-2</v>
      </c>
      <c r="L27">
        <v>-8.2524975828450527E-3</v>
      </c>
      <c r="M27" t="s">
        <v>29</v>
      </c>
      <c r="N27">
        <v>10</v>
      </c>
      <c r="O27" t="s">
        <v>28</v>
      </c>
      <c r="P27">
        <v>31227</v>
      </c>
      <c r="Q27">
        <v>299.32</v>
      </c>
      <c r="R27">
        <v>795.23500000000001</v>
      </c>
      <c r="S27">
        <v>-0.43617297553798712</v>
      </c>
      <c r="T27">
        <v>2.1663168912512191E-2</v>
      </c>
      <c r="U27">
        <v>1.834846761256418E-2</v>
      </c>
      <c r="V27">
        <v>3.3078755213135922E-3</v>
      </c>
      <c r="W27">
        <v>1.5040592091250591E-2</v>
      </c>
      <c r="X27" s="19">
        <f t="shared" si="0"/>
        <v>45982</v>
      </c>
      <c r="Y27" s="19">
        <f t="shared" si="1"/>
        <v>45982</v>
      </c>
      <c r="Z27">
        <f t="array" ref="Z27">_xlfn.XLOOKUP(INT(X27),INT($AE$2:$AE$1000),$AG$2:$AG$1000,"")</f>
        <v>23.43</v>
      </c>
      <c r="AE27" s="19">
        <f t="shared" si="2"/>
        <v>45905</v>
      </c>
      <c r="AF27" s="19">
        <v>45786</v>
      </c>
      <c r="AG27">
        <v>15.18</v>
      </c>
    </row>
    <row r="28" spans="1:38" x14ac:dyDescent="0.3">
      <c r="A28">
        <v>2</v>
      </c>
      <c r="B28" t="s">
        <v>30</v>
      </c>
      <c r="C28" t="s">
        <v>31</v>
      </c>
      <c r="D28">
        <v>31801</v>
      </c>
      <c r="E28">
        <v>53.09</v>
      </c>
      <c r="F28">
        <v>85.965000000000003</v>
      </c>
      <c r="G28">
        <v>53.095309</v>
      </c>
      <c r="H28">
        <v>85.956403500000008</v>
      </c>
      <c r="I28">
        <v>-5.2946208284457406</v>
      </c>
      <c r="J28">
        <v>0.73858207225207795</v>
      </c>
      <c r="K28">
        <v>0.18835938971557731</v>
      </c>
      <c r="L28">
        <v>-8.5916602367484204E-2</v>
      </c>
      <c r="M28" t="s">
        <v>29</v>
      </c>
      <c r="N28">
        <v>23</v>
      </c>
      <c r="O28" t="s">
        <v>28</v>
      </c>
      <c r="P28">
        <v>31824</v>
      </c>
      <c r="Q28">
        <v>53.09</v>
      </c>
      <c r="R28">
        <v>86</v>
      </c>
      <c r="S28">
        <v>-0.49061198670242301</v>
      </c>
      <c r="T28">
        <v>-3.0070810828616542E-3</v>
      </c>
      <c r="U28">
        <v>-6.484545935472685E-3</v>
      </c>
      <c r="V28">
        <v>3.477216428089706E-3</v>
      </c>
      <c r="W28">
        <v>-9.961762363562391E-3</v>
      </c>
      <c r="X28" s="19">
        <f t="shared" si="0"/>
        <v>45985</v>
      </c>
      <c r="Y28" s="19">
        <f t="shared" si="1"/>
        <v>45985</v>
      </c>
      <c r="Z28">
        <f t="array" ref="Z28">_xlfn.XLOOKUP(INT(X28),INT($AE$2:$AE$1000),$AG$2:$AG$1000,"")</f>
        <v>20.52</v>
      </c>
      <c r="AE28" s="19">
        <f t="shared" si="2"/>
        <v>45908</v>
      </c>
      <c r="AF28" s="19">
        <v>45878</v>
      </c>
      <c r="AG28">
        <v>15.11</v>
      </c>
    </row>
    <row r="29" spans="1:38" x14ac:dyDescent="0.3">
      <c r="A29">
        <v>2</v>
      </c>
      <c r="B29" t="s">
        <v>30</v>
      </c>
      <c r="C29" t="s">
        <v>31</v>
      </c>
      <c r="D29">
        <v>32007</v>
      </c>
      <c r="E29">
        <v>53.05</v>
      </c>
      <c r="F29">
        <v>85.48</v>
      </c>
      <c r="G29">
        <v>53.044694999999997</v>
      </c>
      <c r="H29">
        <v>85.488548000000009</v>
      </c>
      <c r="I29">
        <v>4.5358081524885527</v>
      </c>
      <c r="J29">
        <v>0.73858207225207795</v>
      </c>
      <c r="K29">
        <v>-0.1885014137606032</v>
      </c>
      <c r="L29">
        <v>8.6404079580261806E-2</v>
      </c>
      <c r="M29" t="s">
        <v>27</v>
      </c>
      <c r="N29">
        <v>48</v>
      </c>
      <c r="O29" t="s">
        <v>28</v>
      </c>
      <c r="P29">
        <v>32055</v>
      </c>
      <c r="Q29">
        <v>53.64</v>
      </c>
      <c r="R29">
        <v>85.89</v>
      </c>
      <c r="S29">
        <v>0.45483686562535858</v>
      </c>
      <c r="T29">
        <v>-7.5790161490849495E-2</v>
      </c>
      <c r="U29">
        <v>-7.9281989786028781E-2</v>
      </c>
      <c r="V29">
        <v>3.4771118609186061E-3</v>
      </c>
      <c r="W29">
        <v>-8.2759101646947386E-2</v>
      </c>
      <c r="X29" s="19">
        <f t="shared" si="0"/>
        <v>45986</v>
      </c>
      <c r="Y29" s="19">
        <f t="shared" si="1"/>
        <v>45986</v>
      </c>
      <c r="Z29">
        <f t="array" ref="Z29">_xlfn.XLOOKUP(INT(X29),INT($AE$2:$AE$1000),$AG$2:$AG$1000,"")</f>
        <v>18.559999999999999</v>
      </c>
      <c r="AE29" s="19">
        <f t="shared" si="2"/>
        <v>45909</v>
      </c>
      <c r="AF29" s="19">
        <v>45909</v>
      </c>
      <c r="AG29">
        <v>15.04</v>
      </c>
    </row>
    <row r="30" spans="1:38" x14ac:dyDescent="0.3">
      <c r="A30">
        <v>2</v>
      </c>
      <c r="B30" t="s">
        <v>30</v>
      </c>
      <c r="C30" t="s">
        <v>31</v>
      </c>
      <c r="D30">
        <v>32217</v>
      </c>
      <c r="E30">
        <v>53.524999999999999</v>
      </c>
      <c r="F30">
        <v>85.885000000000005</v>
      </c>
      <c r="G30">
        <v>53.530352499999999</v>
      </c>
      <c r="H30">
        <v>85.876411500000003</v>
      </c>
      <c r="I30">
        <v>-4.2270288898543331</v>
      </c>
      <c r="J30">
        <v>0.73858207225207795</v>
      </c>
      <c r="K30">
        <v>0.18682858477347031</v>
      </c>
      <c r="L30">
        <v>-8.5996631804398663E-2</v>
      </c>
      <c r="M30" t="s">
        <v>29</v>
      </c>
      <c r="N30">
        <v>1</v>
      </c>
      <c r="O30" t="s">
        <v>28</v>
      </c>
      <c r="P30">
        <v>32218</v>
      </c>
      <c r="Q30">
        <v>53.54</v>
      </c>
      <c r="R30">
        <v>85.66</v>
      </c>
      <c r="S30">
        <v>0.16301467559101179</v>
      </c>
      <c r="T30">
        <v>2.2151670927592591E-2</v>
      </c>
      <c r="U30">
        <v>1.867616146442698E-2</v>
      </c>
      <c r="V30">
        <v>3.4772164280897052E-3</v>
      </c>
      <c r="W30">
        <v>1.519894503633727E-2</v>
      </c>
      <c r="X30" s="19">
        <f t="shared" si="0"/>
        <v>45986</v>
      </c>
      <c r="Y30" s="19">
        <f t="shared" si="1"/>
        <v>45986</v>
      </c>
      <c r="Z30">
        <f t="array" ref="Z30">_xlfn.XLOOKUP(INT(X30),INT($AE$2:$AE$1000),$AG$2:$AG$1000,"")</f>
        <v>18.559999999999999</v>
      </c>
      <c r="AE30" s="19">
        <f t="shared" si="2"/>
        <v>45910</v>
      </c>
      <c r="AF30" s="19">
        <v>45939</v>
      </c>
      <c r="AG30">
        <v>15.35</v>
      </c>
    </row>
    <row r="31" spans="1:38" x14ac:dyDescent="0.3">
      <c r="A31">
        <v>2</v>
      </c>
      <c r="B31" t="s">
        <v>30</v>
      </c>
      <c r="C31" t="s">
        <v>31</v>
      </c>
      <c r="D31">
        <v>32614</v>
      </c>
      <c r="E31">
        <v>53.25</v>
      </c>
      <c r="F31">
        <v>85.77</v>
      </c>
      <c r="G31">
        <v>53.255324999999999</v>
      </c>
      <c r="H31">
        <v>85.761422999999994</v>
      </c>
      <c r="I31">
        <v>-3.6888173964009101</v>
      </c>
      <c r="J31">
        <v>0.73858207225207795</v>
      </c>
      <c r="K31">
        <v>0.18779342723004691</v>
      </c>
      <c r="L31">
        <v>-8.6111935671222814E-2</v>
      </c>
      <c r="M31" t="s">
        <v>29</v>
      </c>
      <c r="N31">
        <v>17</v>
      </c>
      <c r="O31" t="s">
        <v>28</v>
      </c>
      <c r="P31">
        <v>32631</v>
      </c>
      <c r="Q31">
        <v>53.134999999999998</v>
      </c>
      <c r="R31">
        <v>85.39</v>
      </c>
      <c r="S31">
        <v>-0.28159100552270649</v>
      </c>
      <c r="T31">
        <v>1.1126291423608509E-2</v>
      </c>
      <c r="U31">
        <v>7.6545591570730846E-3</v>
      </c>
      <c r="V31">
        <v>3.477216428089706E-3</v>
      </c>
      <c r="W31">
        <v>4.1773427289833794E-3</v>
      </c>
      <c r="X31" s="19">
        <f t="shared" si="0"/>
        <v>45987</v>
      </c>
      <c r="Y31" s="19">
        <f t="shared" si="1"/>
        <v>45987</v>
      </c>
      <c r="Z31">
        <f t="array" ref="Z31">_xlfn.XLOOKUP(INT(X31),INT($AE$2:$AE$1000),$AG$2:$AG$1000,"")</f>
        <v>17.190000000000001</v>
      </c>
      <c r="AE31" s="19">
        <f t="shared" si="2"/>
        <v>45911</v>
      </c>
      <c r="AF31" s="19">
        <v>45970</v>
      </c>
      <c r="AG31">
        <v>14.71</v>
      </c>
    </row>
    <row r="32" spans="1:38" x14ac:dyDescent="0.3">
      <c r="A32">
        <v>2</v>
      </c>
      <c r="B32" t="s">
        <v>30</v>
      </c>
      <c r="C32" t="s">
        <v>31</v>
      </c>
      <c r="D32">
        <v>32998</v>
      </c>
      <c r="E32">
        <v>53.3</v>
      </c>
      <c r="F32">
        <v>86.31</v>
      </c>
      <c r="G32">
        <v>53.294670000000004</v>
      </c>
      <c r="H32">
        <v>86.318630999999996</v>
      </c>
      <c r="I32">
        <v>4.1634247093211707</v>
      </c>
      <c r="J32">
        <v>0.73858207225207795</v>
      </c>
      <c r="K32">
        <v>-0.18761726078799251</v>
      </c>
      <c r="L32">
        <v>8.5573174864103582E-2</v>
      </c>
      <c r="M32" t="s">
        <v>27</v>
      </c>
      <c r="N32">
        <v>17</v>
      </c>
      <c r="O32" t="s">
        <v>28</v>
      </c>
      <c r="P32">
        <v>33015</v>
      </c>
      <c r="Q32">
        <v>53.524999999999999</v>
      </c>
      <c r="R32">
        <v>86.83</v>
      </c>
      <c r="S32">
        <v>0.47469369829974212</v>
      </c>
      <c r="T32">
        <v>2.2841672520349451E-3</v>
      </c>
      <c r="U32">
        <v>-1.2016680859300651E-3</v>
      </c>
      <c r="V32">
        <v>3.4771118609186061E-3</v>
      </c>
      <c r="W32">
        <v>-4.6787799468486707E-3</v>
      </c>
      <c r="X32" s="19">
        <f t="shared" si="0"/>
        <v>45988</v>
      </c>
      <c r="Y32" s="19">
        <f t="shared" si="1"/>
        <v>45988</v>
      </c>
      <c r="Z32">
        <f t="array" ref="Z32">_xlfn.XLOOKUP(INT(X32),INT($AE$2:$AE$1000),$AG$2:$AG$1000,"")</f>
        <v>17.21</v>
      </c>
      <c r="AE32" s="19">
        <f t="shared" si="2"/>
        <v>45912</v>
      </c>
      <c r="AF32" s="19">
        <v>46000</v>
      </c>
      <c r="AG32">
        <v>14.76</v>
      </c>
    </row>
    <row r="33" spans="1:33" x14ac:dyDescent="0.3">
      <c r="A33">
        <v>2</v>
      </c>
      <c r="B33" t="s">
        <v>30</v>
      </c>
      <c r="C33" t="s">
        <v>31</v>
      </c>
      <c r="D33">
        <v>34559</v>
      </c>
      <c r="E33">
        <v>54.005000000000003</v>
      </c>
      <c r="F33">
        <v>89.76</v>
      </c>
      <c r="G33">
        <v>53.999599500000002</v>
      </c>
      <c r="H33">
        <v>89.768976000000009</v>
      </c>
      <c r="I33">
        <v>3.5672352167586561</v>
      </c>
      <c r="J33">
        <v>0.73858207225207795</v>
      </c>
      <c r="K33">
        <v>-0.18516803999629661</v>
      </c>
      <c r="L33">
        <v>8.2284098958564839E-2</v>
      </c>
      <c r="M33" t="s">
        <v>27</v>
      </c>
      <c r="N33">
        <v>5</v>
      </c>
      <c r="O33" t="s">
        <v>28</v>
      </c>
      <c r="P33">
        <v>34564</v>
      </c>
      <c r="Q33">
        <v>53.83</v>
      </c>
      <c r="R33">
        <v>89.754999999999995</v>
      </c>
      <c r="S33">
        <v>0.1189470488794544</v>
      </c>
      <c r="T33">
        <v>3.1992986504559083E-2</v>
      </c>
      <c r="U33">
        <v>2.8519103942803142E-2</v>
      </c>
      <c r="V33">
        <v>3.477111860918607E-3</v>
      </c>
      <c r="W33">
        <v>2.5041992081884529E-2</v>
      </c>
      <c r="X33" s="19">
        <f t="shared" si="0"/>
        <v>45994</v>
      </c>
      <c r="Y33" s="19">
        <f t="shared" si="1"/>
        <v>45994</v>
      </c>
      <c r="Z33">
        <f t="array" ref="Z33">_xlfn.XLOOKUP(INT(X33),INT($AE$2:$AE$1000),$AG$2:$AG$1000,"")</f>
        <v>16.079999999999998</v>
      </c>
      <c r="AE33" s="19">
        <f t="shared" si="2"/>
        <v>45915</v>
      </c>
      <c r="AF33" t="s">
        <v>74</v>
      </c>
      <c r="AG33">
        <v>15.69</v>
      </c>
    </row>
    <row r="34" spans="1:33" x14ac:dyDescent="0.3">
      <c r="A34">
        <v>2</v>
      </c>
      <c r="B34" t="s">
        <v>30</v>
      </c>
      <c r="C34" t="s">
        <v>31</v>
      </c>
      <c r="D34">
        <v>35304</v>
      </c>
      <c r="E34">
        <v>53.914999999999999</v>
      </c>
      <c r="F34">
        <v>90.32</v>
      </c>
      <c r="G34">
        <v>53.920391500000001</v>
      </c>
      <c r="H34">
        <v>90.310967999999988</v>
      </c>
      <c r="I34">
        <v>-3.5605367620328692</v>
      </c>
      <c r="J34">
        <v>0.73858207225207795</v>
      </c>
      <c r="K34">
        <v>0.18547713994250209</v>
      </c>
      <c r="L34">
        <v>-8.177392296856488E-2</v>
      </c>
      <c r="M34" t="s">
        <v>29</v>
      </c>
      <c r="N34">
        <v>6</v>
      </c>
      <c r="O34" t="s">
        <v>28</v>
      </c>
      <c r="P34">
        <v>35310</v>
      </c>
      <c r="Q34">
        <v>54.27</v>
      </c>
      <c r="R34">
        <v>90.385000000000005</v>
      </c>
      <c r="S34">
        <v>5.9936538940913317E-2</v>
      </c>
      <c r="T34">
        <v>6.0529079686631279E-2</v>
      </c>
      <c r="U34">
        <v>5.704479957315943E-2</v>
      </c>
      <c r="V34">
        <v>3.4772164280897052E-3</v>
      </c>
      <c r="W34">
        <v>5.3567583145069722E-2</v>
      </c>
      <c r="X34" s="19">
        <f t="shared" si="0"/>
        <v>45996</v>
      </c>
      <c r="Y34" s="19">
        <f t="shared" si="1"/>
        <v>45996</v>
      </c>
      <c r="Z34">
        <f t="array" ref="Z34">_xlfn.XLOOKUP(INT(X34),INT($AE$2:$AE$1000),$AG$2:$AG$1000,"")</f>
        <v>15.41</v>
      </c>
      <c r="AE34" s="19">
        <f t="shared" si="2"/>
        <v>45916</v>
      </c>
      <c r="AF34" t="s">
        <v>75</v>
      </c>
      <c r="AG34">
        <v>16.36</v>
      </c>
    </row>
    <row r="35" spans="1:33" x14ac:dyDescent="0.3">
      <c r="A35">
        <v>2</v>
      </c>
      <c r="B35" t="s">
        <v>76</v>
      </c>
      <c r="C35" t="s">
        <v>31</v>
      </c>
      <c r="D35">
        <v>31801</v>
      </c>
      <c r="E35">
        <v>168.27</v>
      </c>
      <c r="F35">
        <v>85.965000000000003</v>
      </c>
      <c r="G35">
        <v>168.253173</v>
      </c>
      <c r="H35">
        <v>85.973596499999999</v>
      </c>
      <c r="I35">
        <v>5.2944765962769651</v>
      </c>
      <c r="J35">
        <v>0.92309383295926084</v>
      </c>
      <c r="K35">
        <v>-5.942829975634397E-2</v>
      </c>
      <c r="L35">
        <v>0.107380193446084</v>
      </c>
      <c r="M35" t="s">
        <v>27</v>
      </c>
      <c r="N35">
        <v>23</v>
      </c>
      <c r="O35" t="s">
        <v>28</v>
      </c>
      <c r="P35">
        <v>31824</v>
      </c>
      <c r="Q35">
        <v>168.29</v>
      </c>
      <c r="R35">
        <v>86</v>
      </c>
      <c r="S35">
        <v>0.4915445370112681</v>
      </c>
      <c r="T35">
        <v>2.5697407754867738E-3</v>
      </c>
      <c r="U35">
        <v>-1.2769415777084739E-3</v>
      </c>
      <c r="V35">
        <v>3.8461722846851129E-3</v>
      </c>
      <c r="W35">
        <v>-5.1231138623935874E-3</v>
      </c>
      <c r="X35" s="19">
        <f t="shared" si="0"/>
        <v>45985</v>
      </c>
      <c r="Y35" s="19">
        <f t="shared" si="1"/>
        <v>45985</v>
      </c>
      <c r="Z35">
        <f t="array" ref="Z35">_xlfn.XLOOKUP(INT(X35),INT($AE$2:$AE$1000),$AG$2:$AG$1000,"")</f>
        <v>20.52</v>
      </c>
      <c r="AE35" s="19">
        <f t="shared" si="2"/>
        <v>45917</v>
      </c>
      <c r="AF35" t="s">
        <v>77</v>
      </c>
      <c r="AG35">
        <v>15.72</v>
      </c>
    </row>
    <row r="36" spans="1:33" x14ac:dyDescent="0.3">
      <c r="A36">
        <v>2</v>
      </c>
      <c r="B36" t="s">
        <v>76</v>
      </c>
      <c r="C36" t="s">
        <v>31</v>
      </c>
      <c r="D36">
        <v>32010</v>
      </c>
      <c r="E36">
        <v>168.39500000000001</v>
      </c>
      <c r="F36">
        <v>85.51</v>
      </c>
      <c r="G36">
        <v>168.37816050000001</v>
      </c>
      <c r="H36">
        <v>85.518551000000002</v>
      </c>
      <c r="I36">
        <v>4.2045657370464102</v>
      </c>
      <c r="J36">
        <v>0.92309383295926084</v>
      </c>
      <c r="K36">
        <v>-5.9384185991270523E-2</v>
      </c>
      <c r="L36">
        <v>0.1079515650753433</v>
      </c>
      <c r="M36" t="s">
        <v>27</v>
      </c>
      <c r="N36">
        <v>8</v>
      </c>
      <c r="O36" t="s">
        <v>28</v>
      </c>
      <c r="P36">
        <v>32018</v>
      </c>
      <c r="Q36">
        <v>168.17</v>
      </c>
      <c r="R36">
        <v>85.62</v>
      </c>
      <c r="S36">
        <v>-0.44407292509334872</v>
      </c>
      <c r="T36">
        <v>2.523611400632492E-2</v>
      </c>
      <c r="U36">
        <v>2.139007501737555E-2</v>
      </c>
      <c r="V36">
        <v>3.8461722846851129E-3</v>
      </c>
      <c r="W36">
        <v>1.754390273269044E-2</v>
      </c>
      <c r="X36" s="19">
        <f t="shared" si="0"/>
        <v>45986</v>
      </c>
      <c r="Y36" s="19">
        <f t="shared" si="1"/>
        <v>45986</v>
      </c>
      <c r="Z36">
        <f t="array" ref="Z36">_xlfn.XLOOKUP(INT(X36),INT($AE$2:$AE$1000),$AG$2:$AG$1000,"")</f>
        <v>18.559999999999999</v>
      </c>
      <c r="AE36" s="19">
        <f t="shared" si="2"/>
        <v>45918</v>
      </c>
      <c r="AF36" t="s">
        <v>78</v>
      </c>
      <c r="AG36">
        <v>15.7</v>
      </c>
    </row>
    <row r="37" spans="1:33" x14ac:dyDescent="0.3">
      <c r="A37">
        <v>2</v>
      </c>
      <c r="B37" t="s">
        <v>76</v>
      </c>
      <c r="C37" t="s">
        <v>31</v>
      </c>
      <c r="D37">
        <v>32218</v>
      </c>
      <c r="E37">
        <v>168.52</v>
      </c>
      <c r="F37">
        <v>85.66</v>
      </c>
      <c r="G37">
        <v>168.53685200000001</v>
      </c>
      <c r="H37">
        <v>85.651433999999995</v>
      </c>
      <c r="I37">
        <v>-4.2728175436631419</v>
      </c>
      <c r="J37">
        <v>0.92309383295926084</v>
      </c>
      <c r="K37">
        <v>5.9340137669119393E-2</v>
      </c>
      <c r="L37">
        <v>-0.10776253011431949</v>
      </c>
      <c r="M37" t="s">
        <v>29</v>
      </c>
      <c r="N37">
        <v>26</v>
      </c>
      <c r="O37" t="s">
        <v>28</v>
      </c>
      <c r="P37">
        <v>32244</v>
      </c>
      <c r="Q37">
        <v>169.74</v>
      </c>
      <c r="R37">
        <v>86.39</v>
      </c>
      <c r="S37">
        <v>-0.37128894421770359</v>
      </c>
      <c r="T37">
        <v>-6.2716790271280798E-3</v>
      </c>
      <c r="U37">
        <v>-1.013297285454132E-2</v>
      </c>
      <c r="V37">
        <v>3.8462030471519298E-3</v>
      </c>
      <c r="W37">
        <v>-1.397917590169325E-2</v>
      </c>
      <c r="X37" s="19">
        <f t="shared" si="0"/>
        <v>45986</v>
      </c>
      <c r="Y37" s="19">
        <f t="shared" si="1"/>
        <v>45986</v>
      </c>
      <c r="Z37">
        <f t="array" ref="Z37">_xlfn.XLOOKUP(INT(X37),INT($AE$2:$AE$1000),$AG$2:$AG$1000,"")</f>
        <v>18.559999999999999</v>
      </c>
      <c r="AE37" s="19">
        <f t="shared" si="2"/>
        <v>45919</v>
      </c>
      <c r="AF37" t="s">
        <v>79</v>
      </c>
      <c r="AG37">
        <v>15.45</v>
      </c>
    </row>
    <row r="38" spans="1:33" x14ac:dyDescent="0.3">
      <c r="A38">
        <v>2</v>
      </c>
      <c r="B38" t="s">
        <v>76</v>
      </c>
      <c r="C38" t="s">
        <v>31</v>
      </c>
      <c r="D38">
        <v>33778</v>
      </c>
      <c r="E38">
        <v>174.92</v>
      </c>
      <c r="F38">
        <v>89.97</v>
      </c>
      <c r="G38">
        <v>174.90250800000001</v>
      </c>
      <c r="H38">
        <v>89.978996999999993</v>
      </c>
      <c r="I38">
        <v>3.6391349830018052</v>
      </c>
      <c r="J38">
        <v>0.92309383295926084</v>
      </c>
      <c r="K38">
        <v>-5.7168991538989258E-2</v>
      </c>
      <c r="L38">
        <v>0.102600181500418</v>
      </c>
      <c r="M38" t="s">
        <v>27</v>
      </c>
      <c r="N38">
        <v>8</v>
      </c>
      <c r="O38" t="s">
        <v>28</v>
      </c>
      <c r="P38">
        <v>33786</v>
      </c>
      <c r="Q38">
        <v>174.87</v>
      </c>
      <c r="R38">
        <v>90.22</v>
      </c>
      <c r="S38">
        <v>0.25673320252251092</v>
      </c>
      <c r="T38">
        <v>2.8508494952052991E-2</v>
      </c>
      <c r="U38">
        <v>2.4660028126555541E-2</v>
      </c>
      <c r="V38">
        <v>3.8461722846851129E-3</v>
      </c>
      <c r="W38">
        <v>2.081385584187043E-2</v>
      </c>
      <c r="X38" s="19">
        <f t="shared" si="0"/>
        <v>45992</v>
      </c>
      <c r="Y38" s="19">
        <f t="shared" si="1"/>
        <v>45992</v>
      </c>
      <c r="Z38">
        <f t="array" ref="Z38">_xlfn.XLOOKUP(INT(X38),INT($AE$2:$AE$1000),$AG$2:$AG$1000,"")</f>
        <v>17.239999999999998</v>
      </c>
      <c r="AE38" s="19">
        <f t="shared" si="2"/>
        <v>45922</v>
      </c>
      <c r="AF38" t="s">
        <v>80</v>
      </c>
      <c r="AG38">
        <v>16.100000000000001</v>
      </c>
    </row>
    <row r="39" spans="1:33" x14ac:dyDescent="0.3">
      <c r="A39">
        <v>2</v>
      </c>
      <c r="B39" t="s">
        <v>76</v>
      </c>
      <c r="C39" t="s">
        <v>31</v>
      </c>
      <c r="D39">
        <v>34137</v>
      </c>
      <c r="E39">
        <v>176.815</v>
      </c>
      <c r="F39">
        <v>90.16</v>
      </c>
      <c r="G39">
        <v>176.79731849999999</v>
      </c>
      <c r="H39">
        <v>90.169015999999999</v>
      </c>
      <c r="I39">
        <v>3.7864964905869569</v>
      </c>
      <c r="J39">
        <v>0.92309383295926084</v>
      </c>
      <c r="K39">
        <v>-5.6556287645278973E-2</v>
      </c>
      <c r="L39">
        <v>0.10238396550124899</v>
      </c>
      <c r="M39" t="s">
        <v>27</v>
      </c>
      <c r="N39">
        <v>21</v>
      </c>
      <c r="O39" t="s">
        <v>28</v>
      </c>
      <c r="P39">
        <v>34158</v>
      </c>
      <c r="Q39">
        <v>176.23</v>
      </c>
      <c r="R39">
        <v>89.77</v>
      </c>
      <c r="S39">
        <v>0.3157069733465101</v>
      </c>
      <c r="T39">
        <v>-6.8443182729985147E-3</v>
      </c>
      <c r="U39">
        <v>-1.068320442143539E-2</v>
      </c>
      <c r="V39">
        <v>3.8461722846851129E-3</v>
      </c>
      <c r="W39">
        <v>-1.4529376706120501E-2</v>
      </c>
      <c r="X39" s="19">
        <f t="shared" si="0"/>
        <v>45993</v>
      </c>
      <c r="Y39" s="19">
        <f t="shared" si="1"/>
        <v>45993</v>
      </c>
      <c r="Z39">
        <f t="array" ref="Z39">_xlfn.XLOOKUP(INT(X39),INT($AE$2:$AE$1000),$AG$2:$AG$1000,"")</f>
        <v>16.59</v>
      </c>
      <c r="AE39" s="19">
        <f t="shared" si="2"/>
        <v>45923</v>
      </c>
      <c r="AF39" t="s">
        <v>81</v>
      </c>
      <c r="AG39">
        <v>16.64</v>
      </c>
    </row>
    <row r="40" spans="1:33" x14ac:dyDescent="0.3">
      <c r="A40">
        <v>2</v>
      </c>
      <c r="B40" t="s">
        <v>76</v>
      </c>
      <c r="C40" t="s">
        <v>31</v>
      </c>
      <c r="D40">
        <v>34169</v>
      </c>
      <c r="E40">
        <v>176.88</v>
      </c>
      <c r="F40">
        <v>89.375</v>
      </c>
      <c r="G40">
        <v>176.862312</v>
      </c>
      <c r="H40">
        <v>89.383937500000002</v>
      </c>
      <c r="I40">
        <v>4.0761166844886798</v>
      </c>
      <c r="J40">
        <v>0.92309383295926084</v>
      </c>
      <c r="K40">
        <v>-5.6535504296698333E-2</v>
      </c>
      <c r="L40">
        <v>0.1032832260653718</v>
      </c>
      <c r="M40" t="s">
        <v>27</v>
      </c>
      <c r="N40">
        <v>9</v>
      </c>
      <c r="O40" t="s">
        <v>28</v>
      </c>
      <c r="P40">
        <v>34178</v>
      </c>
      <c r="Q40">
        <v>177.68</v>
      </c>
      <c r="R40">
        <v>90.28</v>
      </c>
      <c r="S40">
        <v>0.2550773627996385</v>
      </c>
      <c r="T40">
        <v>4.8242916151802331E-2</v>
      </c>
      <c r="U40">
        <v>4.4382858513581903E-2</v>
      </c>
      <c r="V40">
        <v>3.8461722846851129E-3</v>
      </c>
      <c r="W40">
        <v>4.0536686228896793E-2</v>
      </c>
      <c r="X40" s="19">
        <f t="shared" si="0"/>
        <v>45993</v>
      </c>
      <c r="Y40" s="19">
        <f t="shared" si="1"/>
        <v>45993</v>
      </c>
      <c r="Z40">
        <f t="array" ref="Z40">_xlfn.XLOOKUP(INT(X40),INT($AE$2:$AE$1000),$AG$2:$AG$1000,"")</f>
        <v>16.59</v>
      </c>
      <c r="AE40" s="19">
        <f t="shared" si="2"/>
        <v>45924</v>
      </c>
      <c r="AF40" t="s">
        <v>82</v>
      </c>
      <c r="AG40">
        <v>16.18</v>
      </c>
    </row>
    <row r="41" spans="1:33" x14ac:dyDescent="0.3">
      <c r="A41">
        <v>2</v>
      </c>
      <c r="B41" t="s">
        <v>76</v>
      </c>
      <c r="C41" t="s">
        <v>31</v>
      </c>
      <c r="D41">
        <v>34559</v>
      </c>
      <c r="E41">
        <v>177.17</v>
      </c>
      <c r="F41">
        <v>89.76</v>
      </c>
      <c r="G41">
        <v>177.15228300000001</v>
      </c>
      <c r="H41">
        <v>89.768976000000009</v>
      </c>
      <c r="I41">
        <v>4.3355863295798329</v>
      </c>
      <c r="J41">
        <v>0.92309383295926084</v>
      </c>
      <c r="K41">
        <v>-5.644296438448948E-2</v>
      </c>
      <c r="L41">
        <v>0.1028402220320032</v>
      </c>
      <c r="M41" t="s">
        <v>27</v>
      </c>
      <c r="N41">
        <v>45</v>
      </c>
      <c r="O41" t="s">
        <v>28</v>
      </c>
      <c r="P41">
        <v>34604</v>
      </c>
      <c r="Q41">
        <v>179.2</v>
      </c>
      <c r="R41">
        <v>89.68</v>
      </c>
      <c r="S41">
        <v>0.1106928664649571</v>
      </c>
      <c r="T41">
        <v>-0.12280643546307379</v>
      </c>
      <c r="U41">
        <v>-0.12666325832898659</v>
      </c>
      <c r="V41">
        <v>3.8461722846851129E-3</v>
      </c>
      <c r="W41">
        <v>-0.13050943061367171</v>
      </c>
      <c r="X41" s="19">
        <f t="shared" si="0"/>
        <v>45994</v>
      </c>
      <c r="Y41" s="19">
        <f t="shared" si="1"/>
        <v>45994</v>
      </c>
      <c r="Z41">
        <f t="array" ref="Z41">_xlfn.XLOOKUP(INT(X41),INT($AE$2:$AE$1000),$AG$2:$AG$1000,"")</f>
        <v>16.079999999999998</v>
      </c>
      <c r="AE41" s="19">
        <f t="shared" si="2"/>
        <v>45925</v>
      </c>
      <c r="AF41" t="s">
        <v>83</v>
      </c>
      <c r="AG41">
        <v>16.739999999999998</v>
      </c>
    </row>
    <row r="42" spans="1:33" x14ac:dyDescent="0.3">
      <c r="A42">
        <v>2</v>
      </c>
      <c r="B42" t="s">
        <v>76</v>
      </c>
      <c r="C42" t="s">
        <v>31</v>
      </c>
      <c r="D42">
        <v>35099</v>
      </c>
      <c r="E42">
        <v>179.37</v>
      </c>
      <c r="F42">
        <v>89.49</v>
      </c>
      <c r="G42">
        <v>179.38793699999999</v>
      </c>
      <c r="H42">
        <v>89.481050999999994</v>
      </c>
      <c r="I42">
        <v>-3.5849633006762409</v>
      </c>
      <c r="J42">
        <v>0.92309383295926084</v>
      </c>
      <c r="K42">
        <v>5.5750682945866083E-2</v>
      </c>
      <c r="L42">
        <v>-0.10315050094527441</v>
      </c>
      <c r="M42" t="s">
        <v>29</v>
      </c>
      <c r="N42">
        <v>18</v>
      </c>
      <c r="O42" t="s">
        <v>28</v>
      </c>
      <c r="P42">
        <v>35117</v>
      </c>
      <c r="Q42">
        <v>179.17</v>
      </c>
      <c r="R42">
        <v>89.594999999999999</v>
      </c>
      <c r="S42">
        <v>-0.48575458697800789</v>
      </c>
      <c r="T42">
        <v>-2.1980939188428389E-2</v>
      </c>
      <c r="U42">
        <v>-2.5827094920948399E-2</v>
      </c>
      <c r="V42">
        <v>3.8462030471519298E-3</v>
      </c>
      <c r="W42">
        <v>-2.967329796810033E-2</v>
      </c>
      <c r="X42" s="19">
        <f t="shared" si="0"/>
        <v>45995</v>
      </c>
      <c r="Y42" s="19">
        <f t="shared" si="1"/>
        <v>45996</v>
      </c>
      <c r="Z42">
        <f t="array" ref="Z42">_xlfn.XLOOKUP(INT(X42),INT($AE$2:$AE$1000),$AG$2:$AG$1000,"")</f>
        <v>15.78</v>
      </c>
      <c r="AE42" s="19">
        <f t="shared" si="2"/>
        <v>45926</v>
      </c>
      <c r="AF42" t="s">
        <v>84</v>
      </c>
      <c r="AG42">
        <v>15.29</v>
      </c>
    </row>
    <row r="43" spans="1:33" x14ac:dyDescent="0.3">
      <c r="A43">
        <v>2</v>
      </c>
      <c r="B43" t="s">
        <v>76</v>
      </c>
      <c r="C43" t="s">
        <v>31</v>
      </c>
      <c r="D43">
        <v>35419</v>
      </c>
      <c r="E43">
        <v>180.74</v>
      </c>
      <c r="F43">
        <v>91.4</v>
      </c>
      <c r="G43">
        <v>180.75807399999999</v>
      </c>
      <c r="H43">
        <v>91.390860000000004</v>
      </c>
      <c r="I43">
        <v>-3.5942999519372099</v>
      </c>
      <c r="J43">
        <v>0.92309383295926084</v>
      </c>
      <c r="K43">
        <v>5.5328095606949207E-2</v>
      </c>
      <c r="L43">
        <v>-0.1009949489014508</v>
      </c>
      <c r="M43" t="s">
        <v>29</v>
      </c>
      <c r="N43">
        <v>3</v>
      </c>
      <c r="O43" t="s">
        <v>28</v>
      </c>
      <c r="P43">
        <v>35422</v>
      </c>
      <c r="Q43">
        <v>181.41499999999999</v>
      </c>
      <c r="R43">
        <v>91.52</v>
      </c>
      <c r="S43">
        <v>-0.2029423933377654</v>
      </c>
      <c r="T43">
        <v>2.5227070666516652E-2</v>
      </c>
      <c r="U43">
        <v>2.1375936414759308E-2</v>
      </c>
      <c r="V43">
        <v>3.8462030471519298E-3</v>
      </c>
      <c r="W43">
        <v>1.7529733367607381E-2</v>
      </c>
      <c r="X43" s="19">
        <f t="shared" si="0"/>
        <v>45996</v>
      </c>
      <c r="Y43" s="19">
        <f t="shared" si="1"/>
        <v>45996</v>
      </c>
      <c r="Z43">
        <f t="array" ref="Z43">_xlfn.XLOOKUP(INT(X43),INT($AE$2:$AE$1000),$AG$2:$AG$1000,"")</f>
        <v>15.41</v>
      </c>
      <c r="AE43" s="19">
        <f t="shared" si="2"/>
        <v>45929</v>
      </c>
      <c r="AF43" t="s">
        <v>85</v>
      </c>
      <c r="AG43">
        <v>16.12</v>
      </c>
    </row>
    <row r="44" spans="1:33" x14ac:dyDescent="0.3">
      <c r="A44">
        <v>2</v>
      </c>
      <c r="B44" t="s">
        <v>30</v>
      </c>
      <c r="C44" t="s">
        <v>76</v>
      </c>
      <c r="D44">
        <v>31801</v>
      </c>
      <c r="E44">
        <v>53.09</v>
      </c>
      <c r="F44">
        <v>168.27</v>
      </c>
      <c r="G44">
        <v>53.095309</v>
      </c>
      <c r="H44">
        <v>168.253173</v>
      </c>
      <c r="I44">
        <v>-5.2945195662638191</v>
      </c>
      <c r="J44">
        <v>0.67069500706447904</v>
      </c>
      <c r="K44">
        <v>0.18835938971557731</v>
      </c>
      <c r="L44">
        <v>-3.9858263924911097E-2</v>
      </c>
      <c r="M44" t="s">
        <v>29</v>
      </c>
      <c r="N44">
        <v>23</v>
      </c>
      <c r="O44" t="s">
        <v>28</v>
      </c>
      <c r="P44">
        <v>31824</v>
      </c>
      <c r="Q44">
        <v>53.09</v>
      </c>
      <c r="R44">
        <v>168.29</v>
      </c>
      <c r="S44">
        <v>-0.49025798380440799</v>
      </c>
      <c r="T44">
        <v>-7.9716527849749694E-4</v>
      </c>
      <c r="U44">
        <v>-4.1386350091534426E-3</v>
      </c>
      <c r="V44">
        <v>3.3414558751275452E-3</v>
      </c>
      <c r="W44">
        <v>-7.4800908842809878E-3</v>
      </c>
      <c r="X44" s="19">
        <f t="shared" si="0"/>
        <v>45985</v>
      </c>
      <c r="Y44" s="19">
        <f t="shared" si="1"/>
        <v>45985</v>
      </c>
      <c r="Z44">
        <f t="array" ref="Z44">_xlfn.XLOOKUP(INT(X44),INT($AE$2:$AE$1000),$AG$2:$AG$1000,"")</f>
        <v>20.52</v>
      </c>
      <c r="AE44" s="19">
        <f t="shared" si="2"/>
        <v>45930</v>
      </c>
      <c r="AF44" t="s">
        <v>86</v>
      </c>
      <c r="AG44">
        <v>16.28</v>
      </c>
    </row>
    <row r="45" spans="1:33" x14ac:dyDescent="0.3">
      <c r="A45">
        <v>2</v>
      </c>
      <c r="B45" t="s">
        <v>30</v>
      </c>
      <c r="C45" t="s">
        <v>76</v>
      </c>
      <c r="D45">
        <v>32007</v>
      </c>
      <c r="E45">
        <v>53.05</v>
      </c>
      <c r="F45">
        <v>168.005</v>
      </c>
      <c r="G45">
        <v>53.044694999999997</v>
      </c>
      <c r="H45">
        <v>168.02180050000001</v>
      </c>
      <c r="I45">
        <v>4.0851304790203038</v>
      </c>
      <c r="J45">
        <v>0.67069500706447904</v>
      </c>
      <c r="K45">
        <v>-0.1885014137606032</v>
      </c>
      <c r="L45">
        <v>3.9921133720096369E-2</v>
      </c>
      <c r="M45" t="s">
        <v>27</v>
      </c>
      <c r="N45">
        <v>25</v>
      </c>
      <c r="O45" t="s">
        <v>28</v>
      </c>
      <c r="P45">
        <v>32032</v>
      </c>
      <c r="Q45">
        <v>53.39</v>
      </c>
      <c r="R45">
        <v>168.7</v>
      </c>
      <c r="S45">
        <v>0.41957289597182051</v>
      </c>
      <c r="T45">
        <v>-3.6345292743139038E-2</v>
      </c>
      <c r="U45">
        <v>-3.9695866324129227E-2</v>
      </c>
      <c r="V45">
        <v>3.3413241531303709E-3</v>
      </c>
      <c r="W45">
        <v>-4.3037190477259603E-2</v>
      </c>
      <c r="X45" s="19">
        <f t="shared" si="0"/>
        <v>45986</v>
      </c>
      <c r="Y45" s="19">
        <f t="shared" si="1"/>
        <v>45986</v>
      </c>
      <c r="Z45">
        <f t="array" ref="Z45">_xlfn.XLOOKUP(INT(X45),INT($AE$2:$AE$1000),$AG$2:$AG$1000,"")</f>
        <v>18.559999999999999</v>
      </c>
      <c r="AE45" s="19">
        <f t="shared" si="2"/>
        <v>45931</v>
      </c>
      <c r="AF45" s="19">
        <v>45667</v>
      </c>
      <c r="AG45">
        <v>16.29</v>
      </c>
    </row>
    <row r="46" spans="1:33" x14ac:dyDescent="0.3">
      <c r="A46">
        <v>2</v>
      </c>
      <c r="B46" t="s">
        <v>30</v>
      </c>
      <c r="C46" t="s">
        <v>76</v>
      </c>
      <c r="D46">
        <v>32998</v>
      </c>
      <c r="E46">
        <v>53.3</v>
      </c>
      <c r="F46">
        <v>168.41</v>
      </c>
      <c r="G46">
        <v>53.294670000000004</v>
      </c>
      <c r="H46">
        <v>168.426841</v>
      </c>
      <c r="I46">
        <v>4.893443441206613</v>
      </c>
      <c r="J46">
        <v>0.67069500706447904</v>
      </c>
      <c r="K46">
        <v>-0.18761726078799251</v>
      </c>
      <c r="L46">
        <v>3.9825129568581377E-2</v>
      </c>
      <c r="M46" t="s">
        <v>27</v>
      </c>
      <c r="N46">
        <v>17</v>
      </c>
      <c r="O46" t="s">
        <v>28</v>
      </c>
      <c r="P46">
        <v>33015</v>
      </c>
      <c r="Q46">
        <v>53.524999999999999</v>
      </c>
      <c r="R46">
        <v>169.185</v>
      </c>
      <c r="S46">
        <v>0.41153323477176379</v>
      </c>
      <c r="T46">
        <v>-1.134940826164778E-2</v>
      </c>
      <c r="U46">
        <v>-1.46981061116864E-2</v>
      </c>
      <c r="V46">
        <v>3.3413241531303709E-3</v>
      </c>
      <c r="W46">
        <v>-1.8039430264816771E-2</v>
      </c>
      <c r="X46" s="19">
        <f t="shared" si="0"/>
        <v>45988</v>
      </c>
      <c r="Y46" s="19">
        <f t="shared" si="1"/>
        <v>45988</v>
      </c>
      <c r="Z46">
        <f t="array" ref="Z46">_xlfn.XLOOKUP(INT(X46),INT($AE$2:$AE$1000),$AG$2:$AG$1000,"")</f>
        <v>17.21</v>
      </c>
      <c r="AE46" s="19">
        <f t="shared" si="2"/>
        <v>45932</v>
      </c>
      <c r="AF46" s="19">
        <v>45698</v>
      </c>
      <c r="AG46">
        <v>16.63</v>
      </c>
    </row>
    <row r="47" spans="1:33" x14ac:dyDescent="0.3">
      <c r="A47">
        <v>2</v>
      </c>
      <c r="B47" t="s">
        <v>30</v>
      </c>
      <c r="C47" t="s">
        <v>76</v>
      </c>
      <c r="D47">
        <v>33388</v>
      </c>
      <c r="E47">
        <v>54.38</v>
      </c>
      <c r="F47">
        <v>174.26499999999999</v>
      </c>
      <c r="G47">
        <v>54.374561999999997</v>
      </c>
      <c r="H47">
        <v>174.28242650000001</v>
      </c>
      <c r="I47">
        <v>4.3692741836154454</v>
      </c>
      <c r="J47">
        <v>0.67069500706447904</v>
      </c>
      <c r="K47">
        <v>-0.18389113644722321</v>
      </c>
      <c r="L47">
        <v>3.8487074688806078E-2</v>
      </c>
      <c r="M47" t="s">
        <v>27</v>
      </c>
      <c r="N47">
        <v>17</v>
      </c>
      <c r="O47" t="s">
        <v>28</v>
      </c>
      <c r="P47">
        <v>33405</v>
      </c>
      <c r="Q47">
        <v>54.445</v>
      </c>
      <c r="R47">
        <v>174.3</v>
      </c>
      <c r="S47">
        <v>0.44094134941546631</v>
      </c>
      <c r="T47">
        <v>-1.060587625495992E-2</v>
      </c>
      <c r="U47">
        <v>-1.394859626623567E-2</v>
      </c>
      <c r="V47">
        <v>3.3413241531303709E-3</v>
      </c>
      <c r="W47">
        <v>-1.7289920419366039E-2</v>
      </c>
      <c r="X47" s="19">
        <f t="shared" si="0"/>
        <v>45989</v>
      </c>
      <c r="Y47" s="19">
        <f t="shared" si="1"/>
        <v>45989</v>
      </c>
      <c r="Z47">
        <f t="array" ref="Z47">_xlfn.XLOOKUP(INT(X47),INT($AE$2:$AE$1000),$AG$2:$AG$1000,"")</f>
        <v>16.350000000000001</v>
      </c>
      <c r="AE47" s="19">
        <f t="shared" si="2"/>
        <v>45933</v>
      </c>
      <c r="AF47" s="19">
        <v>45726</v>
      </c>
      <c r="AG47">
        <v>16.649999999999999</v>
      </c>
    </row>
    <row r="48" spans="1:33" x14ac:dyDescent="0.3">
      <c r="A48">
        <v>2</v>
      </c>
      <c r="B48" t="s">
        <v>30</v>
      </c>
      <c r="C48" t="s">
        <v>76</v>
      </c>
      <c r="D48">
        <v>33778</v>
      </c>
      <c r="E48">
        <v>53.9</v>
      </c>
      <c r="F48">
        <v>174.92</v>
      </c>
      <c r="G48">
        <v>53.905389999999997</v>
      </c>
      <c r="H48">
        <v>174.90250800000001</v>
      </c>
      <c r="I48">
        <v>-3.8535513999572282</v>
      </c>
      <c r="J48">
        <v>0.67069500706447904</v>
      </c>
      <c r="K48">
        <v>0.1855287569573284</v>
      </c>
      <c r="L48">
        <v>-3.8342957184111542E-2</v>
      </c>
      <c r="M48" t="s">
        <v>29</v>
      </c>
      <c r="N48">
        <v>9</v>
      </c>
      <c r="O48" t="s">
        <v>28</v>
      </c>
      <c r="P48">
        <v>33787</v>
      </c>
      <c r="Q48">
        <v>54.24</v>
      </c>
      <c r="R48">
        <v>175.52</v>
      </c>
      <c r="S48">
        <v>0.2176490218077024</v>
      </c>
      <c r="T48">
        <v>4.0074003055024503E-2</v>
      </c>
      <c r="U48">
        <v>3.6724004485728663E-2</v>
      </c>
      <c r="V48">
        <v>3.3414558751275452E-3</v>
      </c>
      <c r="W48">
        <v>3.3382548610601109E-2</v>
      </c>
      <c r="X48" s="19">
        <f t="shared" si="0"/>
        <v>45992</v>
      </c>
      <c r="Y48" s="19">
        <f t="shared" si="1"/>
        <v>45992</v>
      </c>
      <c r="Z48">
        <f t="array" ref="Z48">_xlfn.XLOOKUP(INT(X48),INT($AE$2:$AE$1000),$AG$2:$AG$1000,"")</f>
        <v>17.239999999999998</v>
      </c>
      <c r="AE48" s="19">
        <f t="shared" si="2"/>
        <v>45936</v>
      </c>
      <c r="AF48" s="19">
        <v>45818</v>
      </c>
      <c r="AG48">
        <v>16.37</v>
      </c>
    </row>
    <row r="49" spans="1:33" x14ac:dyDescent="0.3">
      <c r="A49">
        <v>2</v>
      </c>
      <c r="B49" t="s">
        <v>30</v>
      </c>
      <c r="C49" t="s">
        <v>76</v>
      </c>
      <c r="D49">
        <v>34168</v>
      </c>
      <c r="E49">
        <v>53.62</v>
      </c>
      <c r="F49">
        <v>176.72499999999999</v>
      </c>
      <c r="G49">
        <v>53.625362000000003</v>
      </c>
      <c r="H49">
        <v>176.70732749999999</v>
      </c>
      <c r="I49">
        <v>-4.898697035620776</v>
      </c>
      <c r="J49">
        <v>0.67069500706447904</v>
      </c>
      <c r="K49">
        <v>0.18649757553151811</v>
      </c>
      <c r="L49">
        <v>-3.7951337222491388E-2</v>
      </c>
      <c r="M49" t="s">
        <v>29</v>
      </c>
      <c r="N49">
        <v>18</v>
      </c>
      <c r="O49" t="s">
        <v>28</v>
      </c>
      <c r="P49">
        <v>34186</v>
      </c>
      <c r="Q49">
        <v>54.055</v>
      </c>
      <c r="R49">
        <v>178.35</v>
      </c>
      <c r="S49">
        <v>-0.49695160493823098</v>
      </c>
      <c r="T49">
        <v>1.94555223696623E-2</v>
      </c>
      <c r="U49">
        <v>1.609985261869927E-2</v>
      </c>
      <c r="V49">
        <v>3.3414558751275452E-3</v>
      </c>
      <c r="W49">
        <v>1.275839674357172E-2</v>
      </c>
      <c r="X49" s="19">
        <f t="shared" si="0"/>
        <v>45993</v>
      </c>
      <c r="Y49" s="19">
        <f t="shared" si="1"/>
        <v>45993</v>
      </c>
      <c r="Z49">
        <f t="array" ref="Z49">_xlfn.XLOOKUP(INT(X49),INT($AE$2:$AE$1000),$AG$2:$AG$1000,"")</f>
        <v>16.59</v>
      </c>
      <c r="AE49" s="19">
        <f t="shared" si="2"/>
        <v>45937</v>
      </c>
      <c r="AF49" s="19">
        <v>45848</v>
      </c>
      <c r="AG49">
        <v>17.239999999999998</v>
      </c>
    </row>
    <row r="50" spans="1:33" x14ac:dyDescent="0.3">
      <c r="A50">
        <v>2</v>
      </c>
      <c r="B50" t="s">
        <v>30</v>
      </c>
      <c r="C50" t="s">
        <v>76</v>
      </c>
      <c r="D50">
        <v>34528</v>
      </c>
      <c r="E50">
        <v>53.87</v>
      </c>
      <c r="F50">
        <v>176.875</v>
      </c>
      <c r="G50">
        <v>53.875387000000003</v>
      </c>
      <c r="H50">
        <v>176.85731250000001</v>
      </c>
      <c r="I50">
        <v>-3.5067484329989691</v>
      </c>
      <c r="J50">
        <v>0.67069500706447904</v>
      </c>
      <c r="K50">
        <v>0.18563207722294409</v>
      </c>
      <c r="L50">
        <v>-3.7919152342868072E-2</v>
      </c>
      <c r="M50" t="s">
        <v>29</v>
      </c>
      <c r="N50">
        <v>27</v>
      </c>
      <c r="O50" t="s">
        <v>28</v>
      </c>
      <c r="P50">
        <v>34555</v>
      </c>
      <c r="Q50">
        <v>53.86</v>
      </c>
      <c r="R50">
        <v>176.61</v>
      </c>
      <c r="S50">
        <v>0.18115972650564999</v>
      </c>
      <c r="T50">
        <v>8.1922545986304503E-3</v>
      </c>
      <c r="U50">
        <v>4.852055074115816E-3</v>
      </c>
      <c r="V50">
        <v>3.3414558751275452E-3</v>
      </c>
      <c r="W50">
        <v>1.510599198988271E-3</v>
      </c>
      <c r="X50" s="19">
        <f t="shared" si="0"/>
        <v>45994</v>
      </c>
      <c r="Y50" s="19">
        <f t="shared" si="1"/>
        <v>45994</v>
      </c>
      <c r="Z50">
        <f t="array" ref="Z50">_xlfn.XLOOKUP(INT(X50),INT($AE$2:$AE$1000),$AG$2:$AG$1000,"")</f>
        <v>16.079999999999998</v>
      </c>
      <c r="AE50" s="19">
        <f t="shared" si="2"/>
        <v>45938</v>
      </c>
      <c r="AF50" s="19">
        <v>45879</v>
      </c>
      <c r="AG50">
        <v>16.3</v>
      </c>
    </row>
    <row r="51" spans="1:33" x14ac:dyDescent="0.3">
      <c r="A51">
        <v>2</v>
      </c>
      <c r="B51" t="s">
        <v>30</v>
      </c>
      <c r="C51" t="s">
        <v>76</v>
      </c>
      <c r="D51">
        <v>34745</v>
      </c>
      <c r="E51">
        <v>53.82</v>
      </c>
      <c r="F51">
        <v>179.88</v>
      </c>
      <c r="G51">
        <v>53.825381999999998</v>
      </c>
      <c r="H51">
        <v>179.86201199999999</v>
      </c>
      <c r="I51">
        <v>-3.9480143309343858</v>
      </c>
      <c r="J51">
        <v>0.67069500706447904</v>
      </c>
      <c r="K51">
        <v>0.18580453363062061</v>
      </c>
      <c r="L51">
        <v>-3.7285690853039753E-2</v>
      </c>
      <c r="M51" t="s">
        <v>29</v>
      </c>
      <c r="N51">
        <v>40</v>
      </c>
      <c r="O51" t="s">
        <v>28</v>
      </c>
      <c r="P51">
        <v>34785</v>
      </c>
      <c r="Q51">
        <v>53.625</v>
      </c>
      <c r="R51">
        <v>179.495</v>
      </c>
      <c r="S51">
        <v>-0.36336053260609008</v>
      </c>
      <c r="T51">
        <v>-2.18768930795511E-2</v>
      </c>
      <c r="U51">
        <v>-2.5213224406174909E-2</v>
      </c>
      <c r="V51">
        <v>3.3414558751275452E-3</v>
      </c>
      <c r="W51">
        <v>-2.8554680281302459E-2</v>
      </c>
      <c r="X51" s="19">
        <f t="shared" si="0"/>
        <v>45995</v>
      </c>
      <c r="Y51" s="19">
        <f t="shared" si="1"/>
        <v>45995</v>
      </c>
      <c r="Z51">
        <f t="array" ref="Z51">_xlfn.XLOOKUP(INT(X51),INT($AE$2:$AE$1000),$AG$2:$AG$1000,"")</f>
        <v>15.78</v>
      </c>
      <c r="AE51" s="19">
        <f t="shared" si="2"/>
        <v>45939</v>
      </c>
      <c r="AF51" s="19">
        <v>45910</v>
      </c>
      <c r="AG51">
        <v>16.43</v>
      </c>
    </row>
    <row r="52" spans="1:33" x14ac:dyDescent="0.3">
      <c r="A52">
        <v>2</v>
      </c>
      <c r="B52" t="s">
        <v>87</v>
      </c>
      <c r="C52" t="s">
        <v>26</v>
      </c>
      <c r="D52">
        <v>31801</v>
      </c>
      <c r="E52">
        <v>102.92</v>
      </c>
      <c r="F52">
        <v>817.49</v>
      </c>
      <c r="G52">
        <v>102.93029199999999</v>
      </c>
      <c r="H52">
        <v>817.40825100000006</v>
      </c>
      <c r="I52">
        <v>-5.2945823637805356</v>
      </c>
      <c r="J52">
        <v>0.75132766209878421</v>
      </c>
      <c r="K52">
        <v>9.7162844928099498E-2</v>
      </c>
      <c r="L52">
        <v>-9.1906648656103953E-3</v>
      </c>
      <c r="M52" t="s">
        <v>29</v>
      </c>
      <c r="N52">
        <v>23</v>
      </c>
      <c r="O52" t="s">
        <v>28</v>
      </c>
      <c r="P52">
        <v>31824</v>
      </c>
      <c r="Q52">
        <v>102.87</v>
      </c>
      <c r="R52">
        <v>816.91</v>
      </c>
      <c r="S52">
        <v>-0.49083532203335778</v>
      </c>
      <c r="T52">
        <v>4.7244337564970607E-4</v>
      </c>
      <c r="U52">
        <v>-3.029193075760106E-3</v>
      </c>
      <c r="V52">
        <v>3.5027050586651492E-3</v>
      </c>
      <c r="W52">
        <v>-6.5318981344252552E-3</v>
      </c>
      <c r="X52" s="19">
        <f t="shared" si="0"/>
        <v>45985</v>
      </c>
      <c r="Y52" s="19">
        <f t="shared" si="1"/>
        <v>45985</v>
      </c>
      <c r="Z52">
        <f t="array" ref="Z52">_xlfn.XLOOKUP(INT(X52),INT($AE$2:$AE$1000),$AG$2:$AG$1000,"")</f>
        <v>20.52</v>
      </c>
      <c r="AE52" s="19">
        <f t="shared" si="2"/>
        <v>45940</v>
      </c>
      <c r="AF52" s="19">
        <v>45940</v>
      </c>
      <c r="AG52">
        <v>21.66</v>
      </c>
    </row>
    <row r="53" spans="1:33" x14ac:dyDescent="0.3">
      <c r="A53">
        <v>2</v>
      </c>
      <c r="B53" t="s">
        <v>87</v>
      </c>
      <c r="C53" t="s">
        <v>26</v>
      </c>
      <c r="D53">
        <v>32218</v>
      </c>
      <c r="E53">
        <v>103.82</v>
      </c>
      <c r="F53">
        <v>820.08</v>
      </c>
      <c r="G53">
        <v>103.809618</v>
      </c>
      <c r="H53">
        <v>820.16200800000001</v>
      </c>
      <c r="I53">
        <v>4.5696833476697716</v>
      </c>
      <c r="J53">
        <v>0.75132766209878421</v>
      </c>
      <c r="K53">
        <v>-9.6320554806395689E-2</v>
      </c>
      <c r="L53">
        <v>9.1616386462148106E-3</v>
      </c>
      <c r="M53" t="s">
        <v>27</v>
      </c>
      <c r="N53">
        <v>27</v>
      </c>
      <c r="O53" t="s">
        <v>28</v>
      </c>
      <c r="P53">
        <v>32245</v>
      </c>
      <c r="Q53">
        <v>104.27</v>
      </c>
      <c r="R53">
        <v>824.22</v>
      </c>
      <c r="S53">
        <v>0.45858450165363251</v>
      </c>
      <c r="T53">
        <v>-5.4150656675491446E-3</v>
      </c>
      <c r="U53">
        <v>-8.9258483351104603E-3</v>
      </c>
      <c r="V53">
        <v>3.502605589729989E-3</v>
      </c>
      <c r="W53">
        <v>-1.242845392484045E-2</v>
      </c>
      <c r="X53" s="19">
        <f t="shared" si="0"/>
        <v>45986</v>
      </c>
      <c r="Y53" s="19">
        <f t="shared" si="1"/>
        <v>45986</v>
      </c>
      <c r="Z53">
        <f t="array" ref="Z53">_xlfn.XLOOKUP(INT(X53),INT($AE$2:$AE$1000),$AG$2:$AG$1000,"")</f>
        <v>18.559999999999999</v>
      </c>
      <c r="AE53" s="19">
        <f t="shared" si="2"/>
        <v>45943</v>
      </c>
      <c r="AF53" t="s">
        <v>88</v>
      </c>
      <c r="AG53">
        <v>19.03</v>
      </c>
    </row>
    <row r="54" spans="1:33" x14ac:dyDescent="0.3">
      <c r="A54">
        <v>2</v>
      </c>
      <c r="B54" t="s">
        <v>87</v>
      </c>
      <c r="C54" t="s">
        <v>26</v>
      </c>
      <c r="D54">
        <v>32607</v>
      </c>
      <c r="E54">
        <v>103.21</v>
      </c>
      <c r="F54">
        <v>813.89</v>
      </c>
      <c r="G54">
        <v>103.199679</v>
      </c>
      <c r="H54">
        <v>813.97138899999993</v>
      </c>
      <c r="I54">
        <v>3.70431523111837</v>
      </c>
      <c r="J54">
        <v>0.75132766209878421</v>
      </c>
      <c r="K54">
        <v>-9.688983625617674E-2</v>
      </c>
      <c r="L54">
        <v>9.231317034228019E-3</v>
      </c>
      <c r="M54" t="s">
        <v>27</v>
      </c>
      <c r="N54">
        <v>13</v>
      </c>
      <c r="O54" t="s">
        <v>28</v>
      </c>
      <c r="P54">
        <v>32620</v>
      </c>
      <c r="Q54">
        <v>103.19</v>
      </c>
      <c r="R54">
        <v>813.36</v>
      </c>
      <c r="S54">
        <v>0.28206385727704819</v>
      </c>
      <c r="T54">
        <v>-2.9548013030174492E-3</v>
      </c>
      <c r="U54">
        <v>-6.4567735877388756E-3</v>
      </c>
      <c r="V54">
        <v>3.502605589729989E-3</v>
      </c>
      <c r="W54">
        <v>-9.9593791774688634E-3</v>
      </c>
      <c r="X54" s="19">
        <f t="shared" si="0"/>
        <v>45987</v>
      </c>
      <c r="Y54" s="19">
        <f t="shared" si="1"/>
        <v>45987</v>
      </c>
      <c r="Z54">
        <f t="array" ref="Z54">_xlfn.XLOOKUP(INT(X54),INT($AE$2:$AE$1000),$AG$2:$AG$1000,"")</f>
        <v>17.190000000000001</v>
      </c>
      <c r="AE54" s="19">
        <f t="shared" si="2"/>
        <v>45944</v>
      </c>
      <c r="AF54" t="s">
        <v>89</v>
      </c>
      <c r="AG54">
        <v>20.81</v>
      </c>
    </row>
    <row r="55" spans="1:33" x14ac:dyDescent="0.3">
      <c r="A55">
        <v>2</v>
      </c>
      <c r="B55" t="s">
        <v>87</v>
      </c>
      <c r="C55" t="s">
        <v>26</v>
      </c>
      <c r="D55">
        <v>33390</v>
      </c>
      <c r="E55">
        <v>107.48</v>
      </c>
      <c r="F55">
        <v>839.53</v>
      </c>
      <c r="G55">
        <v>107.469252</v>
      </c>
      <c r="H55">
        <v>839.61395299999992</v>
      </c>
      <c r="I55">
        <v>3.956215892605591</v>
      </c>
      <c r="J55">
        <v>0.75132766209878421</v>
      </c>
      <c r="K55">
        <v>-9.3040565686639376E-2</v>
      </c>
      <c r="L55">
        <v>8.9493843233569292E-3</v>
      </c>
      <c r="M55" t="s">
        <v>27</v>
      </c>
      <c r="N55">
        <v>11</v>
      </c>
      <c r="O55" t="s">
        <v>28</v>
      </c>
      <c r="P55">
        <v>33401</v>
      </c>
      <c r="Q55">
        <v>107.13</v>
      </c>
      <c r="R55">
        <v>839.28499999999997</v>
      </c>
      <c r="S55">
        <v>4.7007871485027858E-2</v>
      </c>
      <c r="T55">
        <v>3.037159883110209E-2</v>
      </c>
      <c r="U55">
        <v>2.6872419186621421E-2</v>
      </c>
      <c r="V55">
        <v>3.502605589729989E-3</v>
      </c>
      <c r="W55">
        <v>2.3369813596891428E-2</v>
      </c>
      <c r="X55" s="19">
        <f t="shared" si="0"/>
        <v>45989</v>
      </c>
      <c r="Y55" s="19">
        <f t="shared" si="1"/>
        <v>45989</v>
      </c>
      <c r="Z55">
        <f t="array" ref="Z55">_xlfn.XLOOKUP(INT(X55),INT($AE$2:$AE$1000),$AG$2:$AG$1000,"")</f>
        <v>16.350000000000001</v>
      </c>
      <c r="AE55" s="19">
        <f t="shared" si="2"/>
        <v>45945</v>
      </c>
      <c r="AF55" t="s">
        <v>90</v>
      </c>
      <c r="AG55">
        <v>20.64</v>
      </c>
    </row>
    <row r="56" spans="1:33" x14ac:dyDescent="0.3">
      <c r="A56">
        <v>2</v>
      </c>
      <c r="B56" t="s">
        <v>87</v>
      </c>
      <c r="C56" t="s">
        <v>26</v>
      </c>
      <c r="D56">
        <v>34168</v>
      </c>
      <c r="E56">
        <v>108.89</v>
      </c>
      <c r="F56">
        <v>858.26</v>
      </c>
      <c r="G56">
        <v>108.90088900000001</v>
      </c>
      <c r="H56">
        <v>858.17417399999999</v>
      </c>
      <c r="I56">
        <v>-3.6343757209089911</v>
      </c>
      <c r="J56">
        <v>0.75132766209878421</v>
      </c>
      <c r="K56">
        <v>9.1835797593902105E-2</v>
      </c>
      <c r="L56">
        <v>-8.754079907007016E-3</v>
      </c>
      <c r="M56" t="s">
        <v>29</v>
      </c>
      <c r="N56">
        <v>11</v>
      </c>
      <c r="O56" t="s">
        <v>28</v>
      </c>
      <c r="P56">
        <v>34179</v>
      </c>
      <c r="Q56">
        <v>109.59</v>
      </c>
      <c r="R56">
        <v>862.34500000000003</v>
      </c>
      <c r="S56">
        <v>-0.48581821471806508</v>
      </c>
      <c r="T56">
        <v>2.8524641895607761E-2</v>
      </c>
      <c r="U56">
        <v>2.5011982023937011E-2</v>
      </c>
      <c r="V56">
        <v>3.5027050586651492E-3</v>
      </c>
      <c r="W56">
        <v>2.150927696527186E-2</v>
      </c>
      <c r="X56" s="19">
        <f t="shared" si="0"/>
        <v>45993</v>
      </c>
      <c r="Y56" s="19">
        <f t="shared" si="1"/>
        <v>45993</v>
      </c>
      <c r="Z56">
        <f t="array" ref="Z56">_xlfn.XLOOKUP(INT(X56),INT($AE$2:$AE$1000),$AG$2:$AG$1000,"")</f>
        <v>16.59</v>
      </c>
      <c r="AE56" s="19">
        <f t="shared" si="2"/>
        <v>45946</v>
      </c>
      <c r="AF56" t="s">
        <v>91</v>
      </c>
      <c r="AG56">
        <v>25.31</v>
      </c>
    </row>
    <row r="57" spans="1:33" x14ac:dyDescent="0.3">
      <c r="A57">
        <v>2</v>
      </c>
      <c r="B57" t="s">
        <v>87</v>
      </c>
      <c r="C57" t="s">
        <v>26</v>
      </c>
      <c r="D57">
        <v>34331</v>
      </c>
      <c r="E57">
        <v>108.3</v>
      </c>
      <c r="F57">
        <v>862.15499999999997</v>
      </c>
      <c r="G57">
        <v>108.31083</v>
      </c>
      <c r="H57">
        <v>862.06878449999999</v>
      </c>
      <c r="I57">
        <v>-3.563046197479212</v>
      </c>
      <c r="J57">
        <v>0.75132766209878421</v>
      </c>
      <c r="K57">
        <v>9.2336103416435833E-2</v>
      </c>
      <c r="L57">
        <v>-8.7145311701351171E-3</v>
      </c>
      <c r="M57" t="s">
        <v>29</v>
      </c>
      <c r="N57">
        <v>33</v>
      </c>
      <c r="O57" t="s">
        <v>28</v>
      </c>
      <c r="P57">
        <v>34364</v>
      </c>
      <c r="Q57">
        <v>108.22</v>
      </c>
      <c r="R57">
        <v>862.35</v>
      </c>
      <c r="S57">
        <v>-0.42040733039021022</v>
      </c>
      <c r="T57">
        <v>-9.0862218514914921E-3</v>
      </c>
      <c r="U57">
        <v>-1.258830842021956E-2</v>
      </c>
      <c r="V57">
        <v>3.5027050586651492E-3</v>
      </c>
      <c r="W57">
        <v>-1.60910134788847E-2</v>
      </c>
      <c r="X57" s="19">
        <f t="shared" si="0"/>
        <v>45994</v>
      </c>
      <c r="Y57" s="19">
        <f t="shared" si="1"/>
        <v>45994</v>
      </c>
      <c r="Z57">
        <f t="array" ref="Z57">_xlfn.XLOOKUP(INT(X57),INT($AE$2:$AE$1000),$AG$2:$AG$1000,"")</f>
        <v>16.079999999999998</v>
      </c>
      <c r="AE57" s="19">
        <f t="shared" si="2"/>
        <v>45947</v>
      </c>
      <c r="AF57" t="s">
        <v>92</v>
      </c>
      <c r="AG57">
        <v>20.78</v>
      </c>
    </row>
    <row r="58" spans="1:33" x14ac:dyDescent="0.3">
      <c r="A58">
        <v>2</v>
      </c>
      <c r="B58" t="s">
        <v>87</v>
      </c>
      <c r="C58" t="s">
        <v>26</v>
      </c>
      <c r="D58">
        <v>34559</v>
      </c>
      <c r="E58">
        <v>109.39</v>
      </c>
      <c r="F58">
        <v>866.78</v>
      </c>
      <c r="G58">
        <v>109.37906099999999</v>
      </c>
      <c r="H58">
        <v>866.86667799999998</v>
      </c>
      <c r="I58">
        <v>4.5142387372991406</v>
      </c>
      <c r="J58">
        <v>0.75132766209878421</v>
      </c>
      <c r="K58">
        <v>-9.1416034372428928E-2</v>
      </c>
      <c r="L58">
        <v>8.6680318200556567E-3</v>
      </c>
      <c r="M58" t="s">
        <v>27</v>
      </c>
      <c r="N58">
        <v>3</v>
      </c>
      <c r="O58" t="s">
        <v>28</v>
      </c>
      <c r="P58">
        <v>34562</v>
      </c>
      <c r="Q58">
        <v>109.035</v>
      </c>
      <c r="R58">
        <v>869.67</v>
      </c>
      <c r="S58">
        <v>-0.19928957192881819</v>
      </c>
      <c r="T58">
        <v>5.7503304162173363E-2</v>
      </c>
      <c r="U58">
        <v>5.4001389046001137E-2</v>
      </c>
      <c r="V58">
        <v>3.502605589729989E-3</v>
      </c>
      <c r="W58">
        <v>5.0498783456271151E-2</v>
      </c>
      <c r="X58" s="19">
        <f t="shared" si="0"/>
        <v>45994</v>
      </c>
      <c r="Y58" s="19">
        <f t="shared" si="1"/>
        <v>45994</v>
      </c>
      <c r="Z58">
        <f t="array" ref="Z58">_xlfn.XLOOKUP(INT(X58),INT($AE$2:$AE$1000),$AG$2:$AG$1000,"")</f>
        <v>16.079999999999998</v>
      </c>
      <c r="AE58" s="19">
        <f t="shared" si="2"/>
        <v>45950</v>
      </c>
      <c r="AF58" t="s">
        <v>93</v>
      </c>
      <c r="AG58">
        <v>18.23</v>
      </c>
    </row>
    <row r="59" spans="1:33" x14ac:dyDescent="0.3">
      <c r="A59">
        <v>2</v>
      </c>
      <c r="B59" t="s">
        <v>87</v>
      </c>
      <c r="C59" t="s">
        <v>26</v>
      </c>
      <c r="D59">
        <v>34740</v>
      </c>
      <c r="E59">
        <v>108.74</v>
      </c>
      <c r="F59">
        <v>879.65499999999997</v>
      </c>
      <c r="G59">
        <v>108.750874</v>
      </c>
      <c r="H59">
        <v>879.56703449999998</v>
      </c>
      <c r="I59">
        <v>-4.3476102095108198</v>
      </c>
      <c r="J59">
        <v>0.75132766209878421</v>
      </c>
      <c r="K59">
        <v>9.196247930844216E-2</v>
      </c>
      <c r="L59">
        <v>-8.5411628661098294E-3</v>
      </c>
      <c r="M59" t="s">
        <v>29</v>
      </c>
      <c r="N59">
        <v>8</v>
      </c>
      <c r="O59" t="s">
        <v>28</v>
      </c>
      <c r="P59">
        <v>34748</v>
      </c>
      <c r="Q59">
        <v>108.34</v>
      </c>
      <c r="R59">
        <v>873.51</v>
      </c>
      <c r="S59">
        <v>-0.43288763180259993</v>
      </c>
      <c r="T59">
        <v>1.5700454088868668E-2</v>
      </c>
      <c r="U59">
        <v>1.2206725808424241E-2</v>
      </c>
      <c r="V59">
        <v>3.5027050586651492E-3</v>
      </c>
      <c r="W59">
        <v>8.7040207497590897E-3</v>
      </c>
      <c r="X59" s="19">
        <f t="shared" si="0"/>
        <v>45995</v>
      </c>
      <c r="Y59" s="19">
        <f t="shared" si="1"/>
        <v>45995</v>
      </c>
      <c r="Z59">
        <f t="array" ref="Z59">_xlfn.XLOOKUP(INT(X59),INT($AE$2:$AE$1000),$AG$2:$AG$1000,"")</f>
        <v>15.78</v>
      </c>
      <c r="AE59" s="19">
        <f t="shared" si="2"/>
        <v>45951</v>
      </c>
      <c r="AF59" t="s">
        <v>94</v>
      </c>
      <c r="AG59">
        <v>17.87</v>
      </c>
    </row>
    <row r="60" spans="1:33" x14ac:dyDescent="0.3">
      <c r="A60">
        <v>2</v>
      </c>
      <c r="B60" t="s">
        <v>87</v>
      </c>
      <c r="C60" t="s">
        <v>26</v>
      </c>
      <c r="D60">
        <v>34911</v>
      </c>
      <c r="E60">
        <v>108.75</v>
      </c>
      <c r="F60">
        <v>876.11</v>
      </c>
      <c r="G60">
        <v>108.739125</v>
      </c>
      <c r="H60">
        <v>876.19761100000005</v>
      </c>
      <c r="I60">
        <v>3.6938441083687339</v>
      </c>
      <c r="J60">
        <v>0.75132766209878421</v>
      </c>
      <c r="K60">
        <v>-9.1954022988505746E-2</v>
      </c>
      <c r="L60">
        <v>8.5757229354622606E-3</v>
      </c>
      <c r="M60" t="s">
        <v>27</v>
      </c>
      <c r="N60">
        <v>51</v>
      </c>
      <c r="O60" t="s">
        <v>28</v>
      </c>
      <c r="P60">
        <v>34962</v>
      </c>
      <c r="Q60">
        <v>109.84</v>
      </c>
      <c r="R60">
        <v>877</v>
      </c>
      <c r="S60">
        <v>9.6414886190268223E-2</v>
      </c>
      <c r="T60">
        <v>-9.2597491644910282E-2</v>
      </c>
      <c r="U60">
        <v>-9.6110933196954809E-2</v>
      </c>
      <c r="V60">
        <v>3.502605589729989E-3</v>
      </c>
      <c r="W60">
        <v>-9.9613538786684802E-2</v>
      </c>
      <c r="X60" s="19">
        <f t="shared" si="0"/>
        <v>45995</v>
      </c>
      <c r="Y60" s="19">
        <f t="shared" si="1"/>
        <v>45995</v>
      </c>
      <c r="Z60">
        <f t="array" ref="Z60">_xlfn.XLOOKUP(INT(X60),INT($AE$2:$AE$1000),$AG$2:$AG$1000,"")</f>
        <v>15.78</v>
      </c>
      <c r="AE60" s="19">
        <f t="shared" si="2"/>
        <v>45952</v>
      </c>
      <c r="AF60" t="s">
        <v>95</v>
      </c>
      <c r="AG60">
        <v>18.600000000000001</v>
      </c>
    </row>
    <row r="61" spans="1:33" x14ac:dyDescent="0.3">
      <c r="A61">
        <v>2</v>
      </c>
      <c r="B61" t="s">
        <v>87</v>
      </c>
      <c r="C61" t="s">
        <v>26</v>
      </c>
      <c r="D61">
        <v>35134</v>
      </c>
      <c r="E61">
        <v>110.185</v>
      </c>
      <c r="F61">
        <v>875.68</v>
      </c>
      <c r="G61">
        <v>110.1739815</v>
      </c>
      <c r="H61">
        <v>875.76756799999998</v>
      </c>
      <c r="I61">
        <v>3.512681560631814</v>
      </c>
      <c r="J61">
        <v>0.75132766209878421</v>
      </c>
      <c r="K61">
        <v>-9.0756455052865628E-2</v>
      </c>
      <c r="L61">
        <v>8.5799340181205944E-3</v>
      </c>
      <c r="M61" t="s">
        <v>27</v>
      </c>
      <c r="N61">
        <v>14</v>
      </c>
      <c r="O61" t="s">
        <v>28</v>
      </c>
      <c r="P61">
        <v>35148</v>
      </c>
      <c r="Q61">
        <v>110.13</v>
      </c>
      <c r="R61">
        <v>876.85</v>
      </c>
      <c r="S61">
        <v>-4.9898770449096222E-3</v>
      </c>
      <c r="T61">
        <v>1.503012782910995E-2</v>
      </c>
      <c r="U61">
        <v>1.152696781313404E-2</v>
      </c>
      <c r="V61">
        <v>3.5026055897299881E-3</v>
      </c>
      <c r="W61">
        <v>8.0243622234040541E-3</v>
      </c>
      <c r="X61" s="19">
        <f t="shared" si="0"/>
        <v>45996</v>
      </c>
      <c r="Y61" s="19">
        <f t="shared" si="1"/>
        <v>45996</v>
      </c>
      <c r="Z61">
        <f t="array" ref="Z61">_xlfn.XLOOKUP(INT(X61),INT($AE$2:$AE$1000),$AG$2:$AG$1000,"")</f>
        <v>15.41</v>
      </c>
      <c r="AE61" s="19">
        <f t="shared" si="2"/>
        <v>45953</v>
      </c>
      <c r="AF61" t="s">
        <v>96</v>
      </c>
      <c r="AG61">
        <v>17.3</v>
      </c>
    </row>
    <row r="62" spans="1:33" x14ac:dyDescent="0.3">
      <c r="A62">
        <v>2</v>
      </c>
      <c r="B62" t="s">
        <v>87</v>
      </c>
      <c r="C62" t="s">
        <v>26</v>
      </c>
      <c r="D62">
        <v>35618</v>
      </c>
      <c r="E62">
        <v>111.32</v>
      </c>
      <c r="F62">
        <v>910.59</v>
      </c>
      <c r="G62">
        <v>111.331132</v>
      </c>
      <c r="H62">
        <v>910.49894100000006</v>
      </c>
      <c r="I62">
        <v>-3.663874520139311</v>
      </c>
      <c r="J62">
        <v>0.75132766209878421</v>
      </c>
      <c r="K62">
        <v>8.9831117499101693E-2</v>
      </c>
      <c r="L62">
        <v>-8.25099838674688E-3</v>
      </c>
      <c r="M62" t="s">
        <v>29</v>
      </c>
      <c r="N62">
        <v>43</v>
      </c>
      <c r="O62" t="s">
        <v>28</v>
      </c>
      <c r="P62">
        <v>35661</v>
      </c>
      <c r="Q62">
        <v>111.57</v>
      </c>
      <c r="R62">
        <v>916.47</v>
      </c>
      <c r="S62">
        <v>-0.47184013832005428</v>
      </c>
      <c r="T62">
        <v>-2.6058091139296191E-2</v>
      </c>
      <c r="U62">
        <v>-2.956784382848221E-2</v>
      </c>
      <c r="V62">
        <v>3.5027050586651492E-3</v>
      </c>
      <c r="W62">
        <v>-3.3070548887147347E-2</v>
      </c>
      <c r="X62" s="19">
        <f t="shared" si="0"/>
        <v>45999</v>
      </c>
      <c r="Y62" s="19">
        <f t="shared" si="1"/>
        <v>45999</v>
      </c>
      <c r="Z62">
        <f t="array" ref="Z62">_xlfn.XLOOKUP(INT(X62),INT($AE$2:$AE$1000),$AG$2:$AG$1000,"")</f>
        <v>16.66</v>
      </c>
      <c r="AE62" s="19">
        <f t="shared" si="2"/>
        <v>45954</v>
      </c>
      <c r="AF62" t="s">
        <v>97</v>
      </c>
      <c r="AG62">
        <v>16.37</v>
      </c>
    </row>
    <row r="63" spans="1:33" x14ac:dyDescent="0.3">
      <c r="A63">
        <v>3</v>
      </c>
      <c r="B63" t="s">
        <v>25</v>
      </c>
      <c r="C63" t="s">
        <v>33</v>
      </c>
      <c r="D63">
        <v>35701</v>
      </c>
      <c r="E63">
        <v>317.625</v>
      </c>
      <c r="F63">
        <v>211.63</v>
      </c>
      <c r="G63">
        <v>317.59323749999999</v>
      </c>
      <c r="H63">
        <v>211.651163</v>
      </c>
      <c r="I63">
        <v>5.2946485153900253</v>
      </c>
      <c r="J63">
        <v>0.2321959224524601</v>
      </c>
      <c r="K63">
        <v>-3.1483667847304213E-2</v>
      </c>
      <c r="L63">
        <v>1.0971786724588199E-2</v>
      </c>
      <c r="M63" t="s">
        <v>27</v>
      </c>
      <c r="N63">
        <v>23</v>
      </c>
      <c r="O63" t="s">
        <v>28</v>
      </c>
      <c r="P63">
        <v>35724</v>
      </c>
      <c r="Q63">
        <v>317.09500000000003</v>
      </c>
      <c r="R63">
        <v>211.41499999999999</v>
      </c>
      <c r="S63">
        <v>0.49115146997199088</v>
      </c>
      <c r="T63">
        <v>1.432740981328387E-2</v>
      </c>
      <c r="U63">
        <v>1.186492249618974E-2</v>
      </c>
      <c r="V63">
        <v>2.464238284089411E-3</v>
      </c>
      <c r="W63">
        <v>9.4006842121003333E-3</v>
      </c>
      <c r="X63" s="19">
        <f t="shared" si="0"/>
        <v>45999</v>
      </c>
      <c r="Y63" s="19">
        <f t="shared" si="1"/>
        <v>45999</v>
      </c>
      <c r="Z63">
        <f t="array" ref="Z63">_xlfn.XLOOKUP(INT(X63),INT($AE$2:$AE$1000),$AG$2:$AG$1000,"")</f>
        <v>16.66</v>
      </c>
      <c r="AE63" s="19">
        <f t="shared" si="2"/>
        <v>45957</v>
      </c>
      <c r="AF63" t="s">
        <v>98</v>
      </c>
      <c r="AG63">
        <v>15.79</v>
      </c>
    </row>
    <row r="64" spans="1:33" x14ac:dyDescent="0.3">
      <c r="A64">
        <v>3</v>
      </c>
      <c r="B64" t="s">
        <v>25</v>
      </c>
      <c r="C64" t="s">
        <v>33</v>
      </c>
      <c r="D64">
        <v>36126</v>
      </c>
      <c r="E64">
        <v>321.40499999999997</v>
      </c>
      <c r="F64">
        <v>211.53</v>
      </c>
      <c r="G64">
        <v>321.3728595</v>
      </c>
      <c r="H64">
        <v>211.551153</v>
      </c>
      <c r="I64">
        <v>3.5914089608997122</v>
      </c>
      <c r="J64">
        <v>0.2321959224524601</v>
      </c>
      <c r="K64">
        <v>-3.1113392759913511E-2</v>
      </c>
      <c r="L64">
        <v>1.0976973594878269E-2</v>
      </c>
      <c r="M64" t="s">
        <v>27</v>
      </c>
      <c r="N64">
        <v>19</v>
      </c>
      <c r="O64" t="s">
        <v>28</v>
      </c>
      <c r="P64">
        <v>36145</v>
      </c>
      <c r="Q64">
        <v>320.91500000000002</v>
      </c>
      <c r="R64">
        <v>211.75</v>
      </c>
      <c r="S64">
        <v>0.19573617374695981</v>
      </c>
      <c r="T64">
        <v>1.7660496643229339E-2</v>
      </c>
      <c r="U64">
        <v>1.5197387861152239E-2</v>
      </c>
      <c r="V64">
        <v>2.464238284089411E-3</v>
      </c>
      <c r="W64">
        <v>1.2733149577062831E-2</v>
      </c>
      <c r="X64" s="19">
        <f t="shared" si="0"/>
        <v>46000</v>
      </c>
      <c r="Y64" s="19">
        <f t="shared" si="1"/>
        <v>46000</v>
      </c>
      <c r="Z64">
        <f t="array" ref="Z64">_xlfn.XLOOKUP(INT(X64),INT($AE$2:$AE$1000),$AG$2:$AG$1000,"")</f>
        <v>16.93</v>
      </c>
      <c r="AE64" s="19">
        <f t="shared" si="2"/>
        <v>45958</v>
      </c>
      <c r="AF64" t="s">
        <v>99</v>
      </c>
      <c r="AG64">
        <v>16.420000000000002</v>
      </c>
    </row>
    <row r="65" spans="1:33" x14ac:dyDescent="0.3">
      <c r="A65">
        <v>3</v>
      </c>
      <c r="B65" t="s">
        <v>25</v>
      </c>
      <c r="C65" t="s">
        <v>33</v>
      </c>
      <c r="D65">
        <v>36509</v>
      </c>
      <c r="E65">
        <v>317.94499999999999</v>
      </c>
      <c r="F65">
        <v>210.95</v>
      </c>
      <c r="G65">
        <v>317.97679449999998</v>
      </c>
      <c r="H65">
        <v>210.92890499999999</v>
      </c>
      <c r="I65">
        <v>-4.8826228550577602</v>
      </c>
      <c r="J65">
        <v>0.2321959224524601</v>
      </c>
      <c r="K65">
        <v>3.1451980688483858E-2</v>
      </c>
      <c r="L65">
        <v>-1.100715441822518E-2</v>
      </c>
      <c r="M65" t="s">
        <v>29</v>
      </c>
      <c r="N65">
        <v>16</v>
      </c>
      <c r="O65" t="s">
        <v>28</v>
      </c>
      <c r="P65">
        <v>36525</v>
      </c>
      <c r="Q65">
        <v>318.83</v>
      </c>
      <c r="R65">
        <v>210.34</v>
      </c>
      <c r="S65">
        <v>-0.44715104085390511</v>
      </c>
      <c r="T65">
        <v>3.4549367104425133E-2</v>
      </c>
      <c r="U65">
        <v>3.2082863195649437E-2</v>
      </c>
      <c r="V65">
        <v>2.4645454057204302E-3</v>
      </c>
      <c r="W65">
        <v>2.961831778992902E-2</v>
      </c>
      <c r="X65" s="19">
        <f t="shared" si="0"/>
        <v>46001</v>
      </c>
      <c r="Y65" s="19">
        <f t="shared" si="1"/>
        <v>46001</v>
      </c>
      <c r="Z65">
        <f t="array" ref="Z65">_xlfn.XLOOKUP(INT(X65),INT($AE$2:$AE$1000),$AG$2:$AG$1000,"")</f>
        <v>15.77</v>
      </c>
      <c r="AE65" s="19">
        <f t="shared" si="2"/>
        <v>45959</v>
      </c>
      <c r="AF65" t="s">
        <v>100</v>
      </c>
      <c r="AG65">
        <v>16.920000000000002</v>
      </c>
    </row>
    <row r="66" spans="1:33" x14ac:dyDescent="0.3">
      <c r="A66">
        <v>3</v>
      </c>
      <c r="B66" t="s">
        <v>25</v>
      </c>
      <c r="C66" t="s">
        <v>33</v>
      </c>
      <c r="D66">
        <v>37600</v>
      </c>
      <c r="E66">
        <v>314.14</v>
      </c>
      <c r="F66">
        <v>210.02</v>
      </c>
      <c r="G66">
        <v>314.108586</v>
      </c>
      <c r="H66">
        <v>210.04100199999999</v>
      </c>
      <c r="I66">
        <v>3.7252108185397148</v>
      </c>
      <c r="J66">
        <v>0.2321959224524601</v>
      </c>
      <c r="K66">
        <v>-3.1832940727064371E-2</v>
      </c>
      <c r="L66">
        <v>1.105589574576041E-2</v>
      </c>
      <c r="M66" t="s">
        <v>27</v>
      </c>
      <c r="N66">
        <v>2</v>
      </c>
      <c r="O66" t="s">
        <v>28</v>
      </c>
      <c r="P66">
        <v>37602</v>
      </c>
      <c r="Q66">
        <v>313.81</v>
      </c>
      <c r="R66">
        <v>210.02</v>
      </c>
      <c r="S66">
        <v>0.17146821507268531</v>
      </c>
      <c r="T66">
        <v>1.0504870439930741E-2</v>
      </c>
      <c r="U66">
        <v>8.0415290820697732E-3</v>
      </c>
      <c r="V66">
        <v>2.464238284089411E-3</v>
      </c>
      <c r="W66">
        <v>5.5772907979803618E-3</v>
      </c>
      <c r="X66" s="19">
        <f t="shared" ref="X66:X129" si="3">WORKDAY(DATE(2025,8,2),INT(D66/390))</f>
        <v>46006</v>
      </c>
      <c r="Y66" s="19">
        <f t="shared" ref="Y66:Y129" si="4">WORKDAY(DATE(2025,8,2),INT(P66/390))</f>
        <v>46006</v>
      </c>
      <c r="Z66">
        <f t="array" ref="Z66">_xlfn.XLOOKUP(INT(X66),INT($AE$2:$AE$1000),$AG$2:$AG$1000,"")</f>
        <v>16.5</v>
      </c>
      <c r="AE66" s="19">
        <f t="shared" ref="AE66:AE129" si="5">IF(ISNUMBER(AF66),DATE(YEAR(AF66),DAY(AF66),MONTH(AF66)),DATE(RIGHT(AF66,4),LEFT(AF66,2),MID(AF66,4,2)))</f>
        <v>45960</v>
      </c>
      <c r="AF66" t="s">
        <v>101</v>
      </c>
      <c r="AG66">
        <v>16.91</v>
      </c>
    </row>
    <row r="67" spans="1:33" x14ac:dyDescent="0.3">
      <c r="A67">
        <v>3</v>
      </c>
      <c r="B67" t="s">
        <v>25</v>
      </c>
      <c r="C67" t="s">
        <v>33</v>
      </c>
      <c r="D67">
        <v>37679</v>
      </c>
      <c r="E67">
        <v>314.66000000000003</v>
      </c>
      <c r="F67">
        <v>209.51</v>
      </c>
      <c r="G67">
        <v>314.628534</v>
      </c>
      <c r="H67">
        <v>209.53095099999999</v>
      </c>
      <c r="I67">
        <v>4.9897520026510778</v>
      </c>
      <c r="J67">
        <v>0.2321959224524601</v>
      </c>
      <c r="K67">
        <v>-3.1780334329117137E-2</v>
      </c>
      <c r="L67">
        <v>1.108280857488712E-2</v>
      </c>
      <c r="M67" t="s">
        <v>27</v>
      </c>
      <c r="N67">
        <v>16</v>
      </c>
      <c r="O67" t="s">
        <v>28</v>
      </c>
      <c r="P67">
        <v>37695</v>
      </c>
      <c r="Q67">
        <v>315.41000000000003</v>
      </c>
      <c r="R67">
        <v>211.36</v>
      </c>
      <c r="S67">
        <v>0.31670780072018662</v>
      </c>
      <c r="T67">
        <v>-3.33205488329642E-3</v>
      </c>
      <c r="U67">
        <v>-5.8008805728630396E-3</v>
      </c>
      <c r="V67">
        <v>2.464238284089411E-3</v>
      </c>
      <c r="W67">
        <v>-8.2651188569524501E-3</v>
      </c>
      <c r="X67" s="19">
        <f t="shared" si="3"/>
        <v>46006</v>
      </c>
      <c r="Y67" s="19">
        <f t="shared" si="4"/>
        <v>46006</v>
      </c>
      <c r="Z67">
        <f t="array" ref="Z67">_xlfn.XLOOKUP(INT(X67),INT($AE$2:$AE$1000),$AG$2:$AG$1000,"")</f>
        <v>16.5</v>
      </c>
      <c r="AE67" s="19">
        <f t="shared" si="5"/>
        <v>45961</v>
      </c>
      <c r="AF67" t="s">
        <v>102</v>
      </c>
      <c r="AG67">
        <v>17.440000000000001</v>
      </c>
    </row>
    <row r="68" spans="1:33" x14ac:dyDescent="0.3">
      <c r="A68">
        <v>3</v>
      </c>
      <c r="B68" t="s">
        <v>25</v>
      </c>
      <c r="C68" t="s">
        <v>33</v>
      </c>
      <c r="D68">
        <v>37853</v>
      </c>
      <c r="E68">
        <v>317.28500000000003</v>
      </c>
      <c r="F68">
        <v>211.41</v>
      </c>
      <c r="G68">
        <v>317.25327149999998</v>
      </c>
      <c r="H68">
        <v>211.431141</v>
      </c>
      <c r="I68">
        <v>3.6495206662465298</v>
      </c>
      <c r="J68">
        <v>0.2321959224524601</v>
      </c>
      <c r="K68">
        <v>-3.1517405487180288E-2</v>
      </c>
      <c r="L68">
        <v>1.098320431637388E-2</v>
      </c>
      <c r="M68" t="s">
        <v>27</v>
      </c>
      <c r="N68">
        <v>11</v>
      </c>
      <c r="O68" t="s">
        <v>28</v>
      </c>
      <c r="P68">
        <v>37864</v>
      </c>
      <c r="Q68">
        <v>316.98500000000001</v>
      </c>
      <c r="R68">
        <v>211.69</v>
      </c>
      <c r="S68">
        <v>0.20614604539935219</v>
      </c>
      <c r="T68">
        <v>1.253051885473914E-2</v>
      </c>
      <c r="U68">
        <v>1.006676500227844E-2</v>
      </c>
      <c r="V68">
        <v>2.464238284089411E-3</v>
      </c>
      <c r="W68">
        <v>7.6025267181890326E-3</v>
      </c>
      <c r="X68" s="19">
        <f t="shared" si="3"/>
        <v>46007</v>
      </c>
      <c r="Y68" s="19">
        <f t="shared" si="4"/>
        <v>46007</v>
      </c>
      <c r="Z68">
        <f t="array" ref="Z68">_xlfn.XLOOKUP(INT(X68),INT($AE$2:$AE$1000),$AG$2:$AG$1000,"")</f>
        <v>16.48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3</v>
      </c>
      <c r="B69" t="s">
        <v>25</v>
      </c>
      <c r="C69" t="s">
        <v>33</v>
      </c>
      <c r="D69">
        <v>38069</v>
      </c>
      <c r="E69">
        <v>320.05500000000001</v>
      </c>
      <c r="F69">
        <v>210.27</v>
      </c>
      <c r="G69">
        <v>320.02299449999998</v>
      </c>
      <c r="H69">
        <v>210.29102700000001</v>
      </c>
      <c r="I69">
        <v>4.968276825901671</v>
      </c>
      <c r="J69">
        <v>0.2321959224524601</v>
      </c>
      <c r="K69">
        <v>-3.12446298292481E-2</v>
      </c>
      <c r="L69">
        <v>1.104275086567081E-2</v>
      </c>
      <c r="M69" t="s">
        <v>27</v>
      </c>
      <c r="N69">
        <v>23</v>
      </c>
      <c r="O69" t="s">
        <v>28</v>
      </c>
      <c r="P69">
        <v>38092</v>
      </c>
      <c r="Q69">
        <v>320.49</v>
      </c>
      <c r="R69">
        <v>212.23</v>
      </c>
      <c r="S69">
        <v>0.39257105051283431</v>
      </c>
      <c r="T69">
        <v>8.0523777209915662E-3</v>
      </c>
      <c r="U69">
        <v>5.5844623555213069E-3</v>
      </c>
      <c r="V69">
        <v>2.464238284089411E-3</v>
      </c>
      <c r="W69">
        <v>3.120224071431896E-3</v>
      </c>
      <c r="X69" s="19">
        <f t="shared" si="3"/>
        <v>46007</v>
      </c>
      <c r="Y69" s="19">
        <f t="shared" si="4"/>
        <v>46007</v>
      </c>
      <c r="Z69">
        <f t="array" ref="Z69">_xlfn.XLOOKUP(INT(X69),INT($AE$2:$AE$1000),$AG$2:$AG$1000,"")</f>
        <v>16.48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3</v>
      </c>
      <c r="B70" t="s">
        <v>25</v>
      </c>
      <c r="C70" t="s">
        <v>33</v>
      </c>
      <c r="D70">
        <v>38457</v>
      </c>
      <c r="E70">
        <v>322.97000000000003</v>
      </c>
      <c r="F70">
        <v>212.72</v>
      </c>
      <c r="G70">
        <v>322.93770300000011</v>
      </c>
      <c r="H70">
        <v>212.74127200000001</v>
      </c>
      <c r="I70">
        <v>3.5251827535358178</v>
      </c>
      <c r="J70">
        <v>0.2321959224524601</v>
      </c>
      <c r="K70">
        <v>-3.0962628107873789E-2</v>
      </c>
      <c r="L70">
        <v>1.0915566117547021E-2</v>
      </c>
      <c r="M70" t="s">
        <v>27</v>
      </c>
      <c r="N70">
        <v>33</v>
      </c>
      <c r="O70" t="s">
        <v>28</v>
      </c>
      <c r="P70">
        <v>38490</v>
      </c>
      <c r="Q70">
        <v>324.54000000000002</v>
      </c>
      <c r="R70">
        <v>212.78</v>
      </c>
      <c r="S70">
        <v>0.34875393247579228</v>
      </c>
      <c r="T70">
        <v>-4.7956392162308799E-2</v>
      </c>
      <c r="U70">
        <v>-5.0425710633221703E-2</v>
      </c>
      <c r="V70">
        <v>2.464238284089411E-3</v>
      </c>
      <c r="W70">
        <v>-5.2889948917311108E-2</v>
      </c>
      <c r="X70" s="19">
        <f t="shared" si="3"/>
        <v>46008</v>
      </c>
      <c r="Y70" s="19">
        <f t="shared" si="4"/>
        <v>46008</v>
      </c>
      <c r="Z70">
        <f t="array" ref="Z70">_xlfn.XLOOKUP(INT(X70),INT($AE$2:$AE$1000),$AG$2:$AG$1000,"")</f>
        <v>17.62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3</v>
      </c>
      <c r="B71" t="s">
        <v>25</v>
      </c>
      <c r="C71" t="s">
        <v>33</v>
      </c>
      <c r="D71">
        <v>38666</v>
      </c>
      <c r="E71">
        <v>327.05</v>
      </c>
      <c r="F71">
        <v>212.94499999999999</v>
      </c>
      <c r="G71">
        <v>327.01729499999999</v>
      </c>
      <c r="H71">
        <v>212.9662945</v>
      </c>
      <c r="I71">
        <v>3.50472304228221</v>
      </c>
      <c r="J71">
        <v>0.2321959224524601</v>
      </c>
      <c r="K71">
        <v>-3.0576364470264489E-2</v>
      </c>
      <c r="L71">
        <v>1.0904032611822779E-2</v>
      </c>
      <c r="M71" t="s">
        <v>27</v>
      </c>
      <c r="N71">
        <v>36</v>
      </c>
      <c r="O71" t="s">
        <v>28</v>
      </c>
      <c r="P71">
        <v>38702</v>
      </c>
      <c r="Q71">
        <v>327.48</v>
      </c>
      <c r="R71">
        <v>213.07</v>
      </c>
      <c r="S71">
        <v>0.46013995076006148</v>
      </c>
      <c r="T71">
        <v>-1.178483264573609E-2</v>
      </c>
      <c r="U71">
        <v>-1.4250675574720789E-2</v>
      </c>
      <c r="V71">
        <v>2.464238284089411E-3</v>
      </c>
      <c r="W71">
        <v>-1.6714913858810201E-2</v>
      </c>
      <c r="X71" s="19">
        <f t="shared" si="3"/>
        <v>46009</v>
      </c>
      <c r="Y71" s="19">
        <f t="shared" si="4"/>
        <v>46009</v>
      </c>
      <c r="Z71">
        <f t="array" ref="Z71">_xlfn.XLOOKUP(INT(X71),INT($AE$2:$AE$1000),$AG$2:$AG$1000,"")</f>
        <v>16.87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3</v>
      </c>
      <c r="B72" t="s">
        <v>25</v>
      </c>
      <c r="C72" t="s">
        <v>33</v>
      </c>
      <c r="D72">
        <v>38824</v>
      </c>
      <c r="E72">
        <v>325.60000000000002</v>
      </c>
      <c r="F72">
        <v>212.16</v>
      </c>
      <c r="G72">
        <v>325.63256000000001</v>
      </c>
      <c r="H72">
        <v>212.13878399999999</v>
      </c>
      <c r="I72">
        <v>-3.934039444750518</v>
      </c>
      <c r="J72">
        <v>0.2321959224524601</v>
      </c>
      <c r="K72">
        <v>3.071253071253071E-2</v>
      </c>
      <c r="L72">
        <v>-1.094437794364914E-2</v>
      </c>
      <c r="M72" t="s">
        <v>29</v>
      </c>
      <c r="N72">
        <v>15</v>
      </c>
      <c r="O72" t="s">
        <v>28</v>
      </c>
      <c r="P72">
        <v>38839</v>
      </c>
      <c r="Q72">
        <v>325.72000000000003</v>
      </c>
      <c r="R72">
        <v>211.7</v>
      </c>
      <c r="S72">
        <v>7.9422187007141792E-2</v>
      </c>
      <c r="T72">
        <v>8.7199175395825147E-3</v>
      </c>
      <c r="U72">
        <v>6.2556605856943564E-3</v>
      </c>
      <c r="V72">
        <v>2.4645454057204302E-3</v>
      </c>
      <c r="W72">
        <v>3.7911151799739271E-3</v>
      </c>
      <c r="X72" s="19">
        <f t="shared" si="3"/>
        <v>46009</v>
      </c>
      <c r="Y72" s="19">
        <f t="shared" si="4"/>
        <v>46009</v>
      </c>
      <c r="Z72">
        <f t="array" ref="Z72">_xlfn.XLOOKUP(INT(X72),INT($AE$2:$AE$1000),$AG$2:$AG$1000,"")</f>
        <v>16.87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3</v>
      </c>
      <c r="B73" t="s">
        <v>25</v>
      </c>
      <c r="C73" t="s">
        <v>33</v>
      </c>
      <c r="D73">
        <v>39450</v>
      </c>
      <c r="E73">
        <v>326.52999999999997</v>
      </c>
      <c r="F73">
        <v>213.86</v>
      </c>
      <c r="G73">
        <v>326.56265300000001</v>
      </c>
      <c r="H73">
        <v>213.83861400000001</v>
      </c>
      <c r="I73">
        <v>-3.682259138447423</v>
      </c>
      <c r="J73">
        <v>0.2321959224524601</v>
      </c>
      <c r="K73">
        <v>3.0625057421982672E-2</v>
      </c>
      <c r="L73">
        <v>-1.0857379708802959E-2</v>
      </c>
      <c r="M73" t="s">
        <v>29</v>
      </c>
      <c r="N73">
        <v>2</v>
      </c>
      <c r="O73" t="s">
        <v>28</v>
      </c>
      <c r="P73">
        <v>39452</v>
      </c>
      <c r="Q73">
        <v>327.60000000000002</v>
      </c>
      <c r="R73">
        <v>213.86</v>
      </c>
      <c r="S73">
        <v>0.28876474116911821</v>
      </c>
      <c r="T73">
        <v>3.2768811441522987E-2</v>
      </c>
      <c r="U73">
        <v>3.030114271547444E-2</v>
      </c>
      <c r="V73">
        <v>2.4645454057204302E-3</v>
      </c>
      <c r="W73">
        <v>2.7836597309754001E-2</v>
      </c>
      <c r="X73" s="19">
        <f t="shared" si="3"/>
        <v>46013</v>
      </c>
      <c r="Y73" s="19">
        <f t="shared" si="4"/>
        <v>46013</v>
      </c>
      <c r="Z73">
        <f t="array" ref="Z73">_xlfn.XLOOKUP(INT(X73),INT($AE$2:$AE$1000),$AG$2:$AG$1000,"")</f>
        <v>14.08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3</v>
      </c>
      <c r="B74" t="s">
        <v>26</v>
      </c>
      <c r="C74" t="s">
        <v>34</v>
      </c>
      <c r="D74">
        <v>35701</v>
      </c>
      <c r="E74">
        <v>915.55</v>
      </c>
      <c r="F74">
        <v>49.86</v>
      </c>
      <c r="G74">
        <v>915.64155499999993</v>
      </c>
      <c r="H74">
        <v>49.855013999999997</v>
      </c>
      <c r="I74">
        <v>-5.2946402909790704</v>
      </c>
      <c r="J74">
        <v>1.0056626233731401</v>
      </c>
      <c r="K74">
        <v>1.0922396373764401E-2</v>
      </c>
      <c r="L74">
        <v>-0.20169727705036911</v>
      </c>
      <c r="M74" t="s">
        <v>29</v>
      </c>
      <c r="N74">
        <v>23</v>
      </c>
      <c r="O74" t="s">
        <v>28</v>
      </c>
      <c r="P74">
        <v>35724</v>
      </c>
      <c r="Q74">
        <v>911.93</v>
      </c>
      <c r="R74">
        <v>49.734999999999999</v>
      </c>
      <c r="S74">
        <v>-0.49239968582884869</v>
      </c>
      <c r="T74">
        <v>-1.4326915241731049E-2</v>
      </c>
      <c r="U74">
        <v>-1.8331765365026481E-2</v>
      </c>
      <c r="V74">
        <v>4.0113241142216054E-3</v>
      </c>
      <c r="W74">
        <v>-2.2343089479248089E-2</v>
      </c>
      <c r="X74" s="19">
        <f t="shared" si="3"/>
        <v>45999</v>
      </c>
      <c r="Y74" s="19">
        <f t="shared" si="4"/>
        <v>45999</v>
      </c>
      <c r="Z74">
        <f t="array" ref="Z74">_xlfn.XLOOKUP(INT(X74),INT($AE$2:$AE$1000),$AG$2:$AG$1000,"")</f>
        <v>16.66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3</v>
      </c>
      <c r="B75" t="s">
        <v>26</v>
      </c>
      <c r="C75" t="s">
        <v>34</v>
      </c>
      <c r="D75">
        <v>35731</v>
      </c>
      <c r="E75">
        <v>908.86</v>
      </c>
      <c r="F75">
        <v>49.83</v>
      </c>
      <c r="G75">
        <v>908.95088599999997</v>
      </c>
      <c r="H75">
        <v>49.825017000000003</v>
      </c>
      <c r="I75">
        <v>-3.6441848138608952</v>
      </c>
      <c r="J75">
        <v>1.0056626233731401</v>
      </c>
      <c r="K75">
        <v>1.10027947098563E-2</v>
      </c>
      <c r="L75">
        <v>-0.20181870828278961</v>
      </c>
      <c r="M75" t="s">
        <v>29</v>
      </c>
      <c r="N75">
        <v>11</v>
      </c>
      <c r="O75" t="s">
        <v>28</v>
      </c>
      <c r="P75">
        <v>35742</v>
      </c>
      <c r="Q75">
        <v>908.79</v>
      </c>
      <c r="R75">
        <v>49.67</v>
      </c>
      <c r="S75">
        <v>-9.3667049602134275E-2</v>
      </c>
      <c r="T75">
        <v>3.1520797695555151E-2</v>
      </c>
      <c r="U75">
        <v>2.7512778567704461E-2</v>
      </c>
      <c r="V75">
        <v>4.0113241142216054E-3</v>
      </c>
      <c r="W75">
        <v>2.350145445348286E-2</v>
      </c>
      <c r="X75" s="19">
        <f t="shared" si="3"/>
        <v>45999</v>
      </c>
      <c r="Y75" s="19">
        <f t="shared" si="4"/>
        <v>45999</v>
      </c>
      <c r="Z75">
        <f t="array" ref="Z75">_xlfn.XLOOKUP(INT(X75),INT($AE$2:$AE$1000),$AG$2:$AG$1000,"")</f>
        <v>16.66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3</v>
      </c>
      <c r="B76" t="s">
        <v>26</v>
      </c>
      <c r="C76" t="s">
        <v>34</v>
      </c>
      <c r="D76">
        <v>36843</v>
      </c>
      <c r="E76">
        <v>880.93</v>
      </c>
      <c r="F76">
        <v>49.674999999999997</v>
      </c>
      <c r="G76">
        <v>881.01809299999991</v>
      </c>
      <c r="H76">
        <v>49.670032499999998</v>
      </c>
      <c r="I76">
        <v>-4.5580957718656521</v>
      </c>
      <c r="J76">
        <v>1.0056626233731401</v>
      </c>
      <c r="K76">
        <v>1.1351639744361069E-2</v>
      </c>
      <c r="L76">
        <v>-0.2024484395315834</v>
      </c>
      <c r="M76" t="s">
        <v>29</v>
      </c>
      <c r="N76">
        <v>10</v>
      </c>
      <c r="O76" t="s">
        <v>28</v>
      </c>
      <c r="P76">
        <v>36853</v>
      </c>
      <c r="Q76">
        <v>882.23</v>
      </c>
      <c r="R76">
        <v>49.494999999999997</v>
      </c>
      <c r="S76">
        <v>-0.193447105339357</v>
      </c>
      <c r="T76">
        <v>5.119785078335512E-2</v>
      </c>
      <c r="U76">
        <v>4.7188693895354142E-2</v>
      </c>
      <c r="V76">
        <v>4.0113241142216054E-3</v>
      </c>
      <c r="W76">
        <v>4.3177369781132527E-2</v>
      </c>
      <c r="X76" s="19">
        <f t="shared" si="3"/>
        <v>46002</v>
      </c>
      <c r="Y76" s="19">
        <f t="shared" si="4"/>
        <v>46002</v>
      </c>
      <c r="Z76">
        <f t="array" ref="Z76">_xlfn.XLOOKUP(INT(X76),INT($AE$2:$AE$1000),$AG$2:$AG$1000,"")</f>
        <v>14.85</v>
      </c>
      <c r="AE76" s="19">
        <f t="shared" si="5"/>
        <v>45974</v>
      </c>
      <c r="AF76" t="s">
        <v>103</v>
      </c>
      <c r="AG76">
        <v>20</v>
      </c>
    </row>
    <row r="77" spans="1:33" x14ac:dyDescent="0.3">
      <c r="A77">
        <v>3</v>
      </c>
      <c r="B77" t="s">
        <v>26</v>
      </c>
      <c r="C77" t="s">
        <v>34</v>
      </c>
      <c r="D77">
        <v>37260</v>
      </c>
      <c r="E77">
        <v>870.79</v>
      </c>
      <c r="F77">
        <v>50.055</v>
      </c>
      <c r="G77">
        <v>870.70292099999995</v>
      </c>
      <c r="H77">
        <v>50.060005500000003</v>
      </c>
      <c r="I77">
        <v>3.5231039080407238</v>
      </c>
      <c r="J77">
        <v>1.0056626233731401</v>
      </c>
      <c r="K77">
        <v>-1.1483825032441809E-2</v>
      </c>
      <c r="L77">
        <v>0.20091152200042761</v>
      </c>
      <c r="M77" t="s">
        <v>27</v>
      </c>
      <c r="N77">
        <v>19</v>
      </c>
      <c r="O77" t="s">
        <v>28</v>
      </c>
      <c r="P77">
        <v>37279</v>
      </c>
      <c r="Q77">
        <v>872.05</v>
      </c>
      <c r="R77">
        <v>50.21</v>
      </c>
      <c r="S77">
        <v>9.5208526763866967E-4</v>
      </c>
      <c r="T77">
        <v>1.6671666369189941E-2</v>
      </c>
      <c r="U77">
        <v>1.265578003189748E-2</v>
      </c>
      <c r="V77">
        <v>4.0113263792709557E-3</v>
      </c>
      <c r="W77">
        <v>8.6444536526265204E-3</v>
      </c>
      <c r="X77" s="19">
        <f t="shared" si="3"/>
        <v>46003</v>
      </c>
      <c r="Y77" s="19">
        <f t="shared" si="4"/>
        <v>46003</v>
      </c>
      <c r="Z77">
        <f t="array" ref="Z77">_xlfn.XLOOKUP(INT(X77),INT($AE$2:$AE$1000),$AG$2:$AG$1000,"")</f>
        <v>15.74</v>
      </c>
      <c r="AE77" s="19">
        <f t="shared" si="5"/>
        <v>45975</v>
      </c>
      <c r="AF77" t="s">
        <v>104</v>
      </c>
      <c r="AG77">
        <v>19.829999999999998</v>
      </c>
    </row>
    <row r="78" spans="1:33" x14ac:dyDescent="0.3">
      <c r="A78">
        <v>3</v>
      </c>
      <c r="B78" t="s">
        <v>26</v>
      </c>
      <c r="C78" t="s">
        <v>34</v>
      </c>
      <c r="D78">
        <v>37289</v>
      </c>
      <c r="E78">
        <v>884.51</v>
      </c>
      <c r="F78">
        <v>50.244999999999997</v>
      </c>
      <c r="G78">
        <v>884.42154900000003</v>
      </c>
      <c r="H78">
        <v>50.250024499999988</v>
      </c>
      <c r="I78">
        <v>5.1381237130141946</v>
      </c>
      <c r="J78">
        <v>1.0056626233731401</v>
      </c>
      <c r="K78">
        <v>-1.1305694678409511E-2</v>
      </c>
      <c r="L78">
        <v>0.200151780947983</v>
      </c>
      <c r="M78" t="s">
        <v>27</v>
      </c>
      <c r="N78">
        <v>26</v>
      </c>
      <c r="O78" t="s">
        <v>28</v>
      </c>
      <c r="P78">
        <v>37315</v>
      </c>
      <c r="Q78">
        <v>885.7</v>
      </c>
      <c r="R78">
        <v>50.145000000000003</v>
      </c>
      <c r="S78">
        <v>0.44876964063955621</v>
      </c>
      <c r="T78">
        <v>-3.3468954762105103E-2</v>
      </c>
      <c r="U78">
        <v>-3.7479623868708067E-2</v>
      </c>
      <c r="V78">
        <v>4.0113263792709549E-3</v>
      </c>
      <c r="W78">
        <v>-4.1490950247979018E-2</v>
      </c>
      <c r="X78" s="19">
        <f t="shared" si="3"/>
        <v>46003</v>
      </c>
      <c r="Y78" s="19">
        <f t="shared" si="4"/>
        <v>46003</v>
      </c>
      <c r="Z78">
        <f t="array" ref="Z78">_xlfn.XLOOKUP(INT(X78),INT($AE$2:$AE$1000),$AG$2:$AG$1000,"")</f>
        <v>15.74</v>
      </c>
      <c r="AE78" s="19">
        <f t="shared" si="5"/>
        <v>45978</v>
      </c>
      <c r="AF78" t="s">
        <v>105</v>
      </c>
      <c r="AG78">
        <v>22.38</v>
      </c>
    </row>
    <row r="79" spans="1:33" x14ac:dyDescent="0.3">
      <c r="A79">
        <v>3</v>
      </c>
      <c r="B79" t="s">
        <v>26</v>
      </c>
      <c r="C79" t="s">
        <v>34</v>
      </c>
      <c r="D79">
        <v>37679</v>
      </c>
      <c r="E79">
        <v>883.68</v>
      </c>
      <c r="F79">
        <v>50</v>
      </c>
      <c r="G79">
        <v>883.591632</v>
      </c>
      <c r="H79">
        <v>50.005000000000003</v>
      </c>
      <c r="I79">
        <v>4.5849354878037376</v>
      </c>
      <c r="J79">
        <v>1.0056626233731401</v>
      </c>
      <c r="K79">
        <v>-1.1316313597682421E-2</v>
      </c>
      <c r="L79">
        <v>0.20113252467462811</v>
      </c>
      <c r="M79" t="s">
        <v>27</v>
      </c>
      <c r="N79">
        <v>36</v>
      </c>
      <c r="O79" t="s">
        <v>28</v>
      </c>
      <c r="P79">
        <v>37715</v>
      </c>
      <c r="Q79">
        <v>891.16</v>
      </c>
      <c r="R79">
        <v>50.11</v>
      </c>
      <c r="S79">
        <v>0.39585256623021481</v>
      </c>
      <c r="T79">
        <v>-6.2521447996455717E-2</v>
      </c>
      <c r="U79">
        <v>-6.65434503035435E-2</v>
      </c>
      <c r="V79">
        <v>4.0113263792709566E-3</v>
      </c>
      <c r="W79">
        <v>-7.0554776682814457E-2</v>
      </c>
      <c r="X79" s="19">
        <f t="shared" si="3"/>
        <v>46006</v>
      </c>
      <c r="Y79" s="19">
        <f t="shared" si="4"/>
        <v>46006</v>
      </c>
      <c r="Z79">
        <f t="array" ref="Z79">_xlfn.XLOOKUP(INT(X79),INT($AE$2:$AE$1000),$AG$2:$AG$1000,"")</f>
        <v>16.5</v>
      </c>
      <c r="AE79" s="19">
        <f t="shared" si="5"/>
        <v>45979</v>
      </c>
      <c r="AF79" t="s">
        <v>106</v>
      </c>
      <c r="AG79">
        <v>24.69</v>
      </c>
    </row>
    <row r="80" spans="1:33" x14ac:dyDescent="0.3">
      <c r="A80">
        <v>3</v>
      </c>
      <c r="B80" t="s">
        <v>26</v>
      </c>
      <c r="C80" t="s">
        <v>34</v>
      </c>
      <c r="D80">
        <v>38059</v>
      </c>
      <c r="E80">
        <v>893.32</v>
      </c>
      <c r="F80">
        <v>50.024999999999999</v>
      </c>
      <c r="G80">
        <v>893.40933200000006</v>
      </c>
      <c r="H80">
        <v>50.019997500000002</v>
      </c>
      <c r="I80">
        <v>-3.656172644862294</v>
      </c>
      <c r="J80">
        <v>1.0056626233731401</v>
      </c>
      <c r="K80">
        <v>1.1194196928312359E-2</v>
      </c>
      <c r="L80">
        <v>-0.20103200867029289</v>
      </c>
      <c r="M80" t="s">
        <v>29</v>
      </c>
      <c r="N80">
        <v>10</v>
      </c>
      <c r="O80" t="s">
        <v>28</v>
      </c>
      <c r="P80">
        <v>38069</v>
      </c>
      <c r="Q80">
        <v>899.46</v>
      </c>
      <c r="R80">
        <v>50.215000000000003</v>
      </c>
      <c r="S80">
        <v>0.1558203160171639</v>
      </c>
      <c r="T80">
        <v>3.0536287492481121E-2</v>
      </c>
      <c r="U80">
        <v>2.6514269400657792E-2</v>
      </c>
      <c r="V80">
        <v>4.0113241142216071E-3</v>
      </c>
      <c r="W80">
        <v>2.250294528643618E-2</v>
      </c>
      <c r="X80" s="19">
        <f t="shared" si="3"/>
        <v>46007</v>
      </c>
      <c r="Y80" s="19">
        <f t="shared" si="4"/>
        <v>46007</v>
      </c>
      <c r="Z80">
        <f t="array" ref="Z80">_xlfn.XLOOKUP(INT(X80),INT($AE$2:$AE$1000),$AG$2:$AG$1000,"")</f>
        <v>16.48</v>
      </c>
      <c r="AE80" s="19">
        <f t="shared" si="5"/>
        <v>45980</v>
      </c>
      <c r="AF80" t="s">
        <v>107</v>
      </c>
      <c r="AG80">
        <v>23.66</v>
      </c>
    </row>
    <row r="81" spans="1:33" x14ac:dyDescent="0.3">
      <c r="A81">
        <v>3</v>
      </c>
      <c r="B81" t="s">
        <v>26</v>
      </c>
      <c r="C81" t="s">
        <v>34</v>
      </c>
      <c r="D81">
        <v>38463</v>
      </c>
      <c r="E81">
        <v>894.82500000000005</v>
      </c>
      <c r="F81">
        <v>50.664999999999999</v>
      </c>
      <c r="G81">
        <v>894.91448250000008</v>
      </c>
      <c r="H81">
        <v>50.659933500000001</v>
      </c>
      <c r="I81">
        <v>-3.9756673822213111</v>
      </c>
      <c r="J81">
        <v>1.0056626233731401</v>
      </c>
      <c r="K81">
        <v>1.1175369485653621E-2</v>
      </c>
      <c r="L81">
        <v>-0.19849257344777271</v>
      </c>
      <c r="M81" t="s">
        <v>29</v>
      </c>
      <c r="N81">
        <v>24</v>
      </c>
      <c r="O81" t="s">
        <v>28</v>
      </c>
      <c r="P81">
        <v>38487</v>
      </c>
      <c r="Q81">
        <v>897.08</v>
      </c>
      <c r="R81">
        <v>50.72</v>
      </c>
      <c r="S81">
        <v>-0.40826683467968072</v>
      </c>
      <c r="T81">
        <v>1.428336665052142E-2</v>
      </c>
      <c r="U81">
        <v>1.0268429648802809E-2</v>
      </c>
      <c r="V81">
        <v>4.0113241142216063E-3</v>
      </c>
      <c r="W81">
        <v>6.2571055345812029E-3</v>
      </c>
      <c r="X81" s="19">
        <f t="shared" si="3"/>
        <v>46008</v>
      </c>
      <c r="Y81" s="19">
        <f t="shared" si="4"/>
        <v>46008</v>
      </c>
      <c r="Z81">
        <f t="array" ref="Z81">_xlfn.XLOOKUP(INT(X81),INT($AE$2:$AE$1000),$AG$2:$AG$1000,"")</f>
        <v>17.62</v>
      </c>
      <c r="AE81" s="19">
        <f t="shared" si="5"/>
        <v>45981</v>
      </c>
      <c r="AF81" t="s">
        <v>108</v>
      </c>
      <c r="AG81">
        <v>26.42</v>
      </c>
    </row>
    <row r="82" spans="1:33" x14ac:dyDescent="0.3">
      <c r="A82">
        <v>3</v>
      </c>
      <c r="B82" t="s">
        <v>26</v>
      </c>
      <c r="C82" t="s">
        <v>34</v>
      </c>
      <c r="D82">
        <v>39214</v>
      </c>
      <c r="E82">
        <v>907.96</v>
      </c>
      <c r="F82">
        <v>50.414999999999999</v>
      </c>
      <c r="G82">
        <v>907.86920400000008</v>
      </c>
      <c r="H82">
        <v>50.420041500000004</v>
      </c>
      <c r="I82">
        <v>3.732813865498787</v>
      </c>
      <c r="J82">
        <v>1.0056626233731401</v>
      </c>
      <c r="K82">
        <v>-1.1013701044098861E-2</v>
      </c>
      <c r="L82">
        <v>0.19947686668117429</v>
      </c>
      <c r="M82" t="s">
        <v>27</v>
      </c>
      <c r="N82">
        <v>12</v>
      </c>
      <c r="O82" t="s">
        <v>28</v>
      </c>
      <c r="P82">
        <v>39226</v>
      </c>
      <c r="Q82">
        <v>907.33</v>
      </c>
      <c r="R82">
        <v>50.435000000000002</v>
      </c>
      <c r="S82">
        <v>-8.3456283806915041E-2</v>
      </c>
      <c r="T82">
        <v>1.0928168991406339E-2</v>
      </c>
      <c r="U82">
        <v>6.9171386540936566E-3</v>
      </c>
      <c r="V82">
        <v>4.0113263792709566E-3</v>
      </c>
      <c r="W82">
        <v>2.9058122748227009E-3</v>
      </c>
      <c r="X82" s="19">
        <f t="shared" si="3"/>
        <v>46010</v>
      </c>
      <c r="Y82" s="19">
        <f t="shared" si="4"/>
        <v>46010</v>
      </c>
      <c r="Z82">
        <f t="array" ref="Z82">_xlfn.XLOOKUP(INT(X82),INT($AE$2:$AE$1000),$AG$2:$AG$1000,"")</f>
        <v>14.91</v>
      </c>
      <c r="AE82" s="19">
        <f t="shared" si="5"/>
        <v>45982</v>
      </c>
      <c r="AF82" t="s">
        <v>109</v>
      </c>
      <c r="AG82">
        <v>23.43</v>
      </c>
    </row>
    <row r="83" spans="1:33" x14ac:dyDescent="0.3">
      <c r="A83">
        <v>3</v>
      </c>
      <c r="B83" t="s">
        <v>26</v>
      </c>
      <c r="C83" t="s">
        <v>34</v>
      </c>
      <c r="D83">
        <v>39278</v>
      </c>
      <c r="E83">
        <v>907.55</v>
      </c>
      <c r="F83">
        <v>50.43</v>
      </c>
      <c r="G83">
        <v>907.45924500000001</v>
      </c>
      <c r="H83">
        <v>50.435043</v>
      </c>
      <c r="I83">
        <v>4.0552673848993219</v>
      </c>
      <c r="J83">
        <v>1.0056626233731401</v>
      </c>
      <c r="K83">
        <v>-1.10186766569335E-2</v>
      </c>
      <c r="L83">
        <v>0.1994175338832323</v>
      </c>
      <c r="M83" t="s">
        <v>27</v>
      </c>
      <c r="N83">
        <v>18</v>
      </c>
      <c r="O83" t="s">
        <v>28</v>
      </c>
      <c r="P83">
        <v>39296</v>
      </c>
      <c r="Q83">
        <v>906.87</v>
      </c>
      <c r="R83">
        <v>50.454999999999998</v>
      </c>
      <c r="S83">
        <v>-0.18415413824764529</v>
      </c>
      <c r="T83">
        <v>1.247813847379475E-2</v>
      </c>
      <c r="U83">
        <v>8.4670639532266299E-3</v>
      </c>
      <c r="V83">
        <v>4.0113263792709557E-3</v>
      </c>
      <c r="W83">
        <v>4.4557375739556742E-3</v>
      </c>
      <c r="X83" s="19">
        <f t="shared" si="3"/>
        <v>46010</v>
      </c>
      <c r="Y83" s="19">
        <f t="shared" si="4"/>
        <v>46010</v>
      </c>
      <c r="Z83">
        <f t="array" ref="Z83">_xlfn.XLOOKUP(INT(X83),INT($AE$2:$AE$1000),$AG$2:$AG$1000,"")</f>
        <v>14.91</v>
      </c>
      <c r="AE83" s="19">
        <f t="shared" si="5"/>
        <v>45985</v>
      </c>
      <c r="AF83" t="s">
        <v>110</v>
      </c>
      <c r="AG83">
        <v>20.52</v>
      </c>
    </row>
    <row r="84" spans="1:33" x14ac:dyDescent="0.3">
      <c r="A84">
        <v>3</v>
      </c>
      <c r="B84" t="s">
        <v>26</v>
      </c>
      <c r="C84" t="s">
        <v>34</v>
      </c>
      <c r="D84">
        <v>39449</v>
      </c>
      <c r="E84">
        <v>905.24</v>
      </c>
      <c r="F84">
        <v>50.62</v>
      </c>
      <c r="G84">
        <v>905.33052399999997</v>
      </c>
      <c r="H84">
        <v>50.614938000000002</v>
      </c>
      <c r="I84">
        <v>-3.9662587606018351</v>
      </c>
      <c r="J84">
        <v>1.0056626233731401</v>
      </c>
      <c r="K84">
        <v>1.104679422031726E-2</v>
      </c>
      <c r="L84">
        <v>-0.19866902871851849</v>
      </c>
      <c r="M84" t="s">
        <v>29</v>
      </c>
      <c r="N84">
        <v>8</v>
      </c>
      <c r="O84" t="s">
        <v>28</v>
      </c>
      <c r="P84">
        <v>39457</v>
      </c>
      <c r="Q84">
        <v>904.66</v>
      </c>
      <c r="R84">
        <v>50.47</v>
      </c>
      <c r="S84">
        <v>-0.20327399852081851</v>
      </c>
      <c r="T84">
        <v>2.3393213659993028E-2</v>
      </c>
      <c r="U84">
        <v>1.9385509162742849E-2</v>
      </c>
      <c r="V84">
        <v>4.0113241142216063E-3</v>
      </c>
      <c r="W84">
        <v>1.5374185048521239E-2</v>
      </c>
      <c r="X84" s="19">
        <f t="shared" si="3"/>
        <v>46013</v>
      </c>
      <c r="Y84" s="19">
        <f t="shared" si="4"/>
        <v>46013</v>
      </c>
      <c r="Z84">
        <f t="array" ref="Z84">_xlfn.XLOOKUP(INT(X84),INT($AE$2:$AE$1000),$AG$2:$AG$1000,"")</f>
        <v>14.08</v>
      </c>
      <c r="AE84" s="19">
        <f t="shared" si="5"/>
        <v>45986</v>
      </c>
      <c r="AF84" t="s">
        <v>111</v>
      </c>
      <c r="AG84">
        <v>18.559999999999999</v>
      </c>
    </row>
    <row r="85" spans="1:33" x14ac:dyDescent="0.3">
      <c r="A85">
        <v>3</v>
      </c>
      <c r="B85" t="s">
        <v>30</v>
      </c>
      <c r="C85" t="s">
        <v>31</v>
      </c>
      <c r="D85">
        <v>35701</v>
      </c>
      <c r="E85">
        <v>54.63</v>
      </c>
      <c r="F85">
        <v>93.25</v>
      </c>
      <c r="G85">
        <v>54.635463000000001</v>
      </c>
      <c r="H85">
        <v>93.240674999999996</v>
      </c>
      <c r="I85">
        <v>-5.2946373637218622</v>
      </c>
      <c r="J85">
        <v>0.67544694522736837</v>
      </c>
      <c r="K85">
        <v>0.18304960644334611</v>
      </c>
      <c r="L85">
        <v>-7.2433988764329049E-2</v>
      </c>
      <c r="M85" t="s">
        <v>29</v>
      </c>
      <c r="N85">
        <v>23</v>
      </c>
      <c r="O85" t="s">
        <v>28</v>
      </c>
      <c r="P85">
        <v>35724</v>
      </c>
      <c r="Q85">
        <v>54.54</v>
      </c>
      <c r="R85">
        <v>92.694999999999993</v>
      </c>
      <c r="S85">
        <v>-0.49011655191772269</v>
      </c>
      <c r="T85">
        <v>2.372639918430134E-2</v>
      </c>
      <c r="U85">
        <v>2.038117282668072E-2</v>
      </c>
      <c r="V85">
        <v>3.350958801065691E-3</v>
      </c>
      <c r="W85">
        <v>1.7030214025615029E-2</v>
      </c>
      <c r="X85" s="19">
        <f t="shared" si="3"/>
        <v>45999</v>
      </c>
      <c r="Y85" s="19">
        <f t="shared" si="4"/>
        <v>45999</v>
      </c>
      <c r="Z85">
        <f t="array" ref="Z85">_xlfn.XLOOKUP(INT(X85),INT($AE$2:$AE$1000),$AG$2:$AG$1000,"")</f>
        <v>16.66</v>
      </c>
      <c r="AE85" s="19">
        <f t="shared" si="5"/>
        <v>45987</v>
      </c>
      <c r="AF85" t="s">
        <v>112</v>
      </c>
      <c r="AG85">
        <v>17.190000000000001</v>
      </c>
    </row>
    <row r="86" spans="1:33" x14ac:dyDescent="0.3">
      <c r="A86">
        <v>3</v>
      </c>
      <c r="B86" t="s">
        <v>30</v>
      </c>
      <c r="C86" t="s">
        <v>31</v>
      </c>
      <c r="D86">
        <v>36509</v>
      </c>
      <c r="E86">
        <v>54.965000000000003</v>
      </c>
      <c r="F86">
        <v>93.105000000000004</v>
      </c>
      <c r="G86">
        <v>54.970496500000003</v>
      </c>
      <c r="H86">
        <v>93.095689500000006</v>
      </c>
      <c r="I86">
        <v>-4.8712868232379254</v>
      </c>
      <c r="J86">
        <v>0.67544694522736837</v>
      </c>
      <c r="K86">
        <v>0.18193395797325571</v>
      </c>
      <c r="L86">
        <v>-7.2546796114856163E-2</v>
      </c>
      <c r="M86" t="s">
        <v>29</v>
      </c>
      <c r="N86">
        <v>7</v>
      </c>
      <c r="O86" t="s">
        <v>28</v>
      </c>
      <c r="P86">
        <v>36516</v>
      </c>
      <c r="Q86">
        <v>55.35</v>
      </c>
      <c r="R86">
        <v>93.03</v>
      </c>
      <c r="S86">
        <v>-0.41313051329431483</v>
      </c>
      <c r="T86">
        <v>7.5485583528317496E-2</v>
      </c>
      <c r="U86">
        <v>7.212822928145135E-2</v>
      </c>
      <c r="V86">
        <v>3.350958801065691E-3</v>
      </c>
      <c r="W86">
        <v>6.8777270480385663E-2</v>
      </c>
      <c r="X86" s="19">
        <f t="shared" si="3"/>
        <v>46001</v>
      </c>
      <c r="Y86" s="19">
        <f t="shared" si="4"/>
        <v>46001</v>
      </c>
      <c r="Z86">
        <f t="array" ref="Z86">_xlfn.XLOOKUP(INT(X86),INT($AE$2:$AE$1000),$AG$2:$AG$1000,"")</f>
        <v>15.77</v>
      </c>
      <c r="AE86" s="19">
        <f t="shared" si="5"/>
        <v>45988</v>
      </c>
      <c r="AF86" t="s">
        <v>113</v>
      </c>
      <c r="AG86">
        <v>17.21</v>
      </c>
    </row>
    <row r="87" spans="1:33" x14ac:dyDescent="0.3">
      <c r="A87">
        <v>3</v>
      </c>
      <c r="B87" t="s">
        <v>30</v>
      </c>
      <c r="C87" t="s">
        <v>31</v>
      </c>
      <c r="D87">
        <v>37290</v>
      </c>
      <c r="E87">
        <v>54.594999999999999</v>
      </c>
      <c r="F87">
        <v>93.11</v>
      </c>
      <c r="G87">
        <v>54.600459499999999</v>
      </c>
      <c r="H87">
        <v>93.100689000000003</v>
      </c>
      <c r="I87">
        <v>-3.9272584295802511</v>
      </c>
      <c r="J87">
        <v>0.67544694522736837</v>
      </c>
      <c r="K87">
        <v>0.18316695668101471</v>
      </c>
      <c r="L87">
        <v>-7.2542900357358858E-2</v>
      </c>
      <c r="M87" t="s">
        <v>29</v>
      </c>
      <c r="N87">
        <v>25</v>
      </c>
      <c r="O87" t="s">
        <v>28</v>
      </c>
      <c r="P87">
        <v>37315</v>
      </c>
      <c r="Q87">
        <v>55.1</v>
      </c>
      <c r="R87">
        <v>93.704999999999998</v>
      </c>
      <c r="S87">
        <v>0.1467806767397242</v>
      </c>
      <c r="T87">
        <v>4.9336287411284471E-2</v>
      </c>
      <c r="U87">
        <v>4.5971827286945807E-2</v>
      </c>
      <c r="V87">
        <v>3.350958801065691E-3</v>
      </c>
      <c r="W87">
        <v>4.262086848588012E-2</v>
      </c>
      <c r="X87" s="19">
        <f t="shared" si="3"/>
        <v>46003</v>
      </c>
      <c r="Y87" s="19">
        <f t="shared" si="4"/>
        <v>46003</v>
      </c>
      <c r="Z87">
        <f t="array" ref="Z87">_xlfn.XLOOKUP(INT(X87),INT($AE$2:$AE$1000),$AG$2:$AG$1000,"")</f>
        <v>15.74</v>
      </c>
      <c r="AE87" s="19">
        <f t="shared" si="5"/>
        <v>45989</v>
      </c>
      <c r="AF87" t="s">
        <v>114</v>
      </c>
      <c r="AG87">
        <v>16.350000000000001</v>
      </c>
    </row>
    <row r="88" spans="1:33" x14ac:dyDescent="0.3">
      <c r="A88">
        <v>3</v>
      </c>
      <c r="B88" t="s">
        <v>30</v>
      </c>
      <c r="C88" t="s">
        <v>31</v>
      </c>
      <c r="D88">
        <v>37679</v>
      </c>
      <c r="E88">
        <v>54.57</v>
      </c>
      <c r="F88">
        <v>91.7</v>
      </c>
      <c r="G88">
        <v>54.564543</v>
      </c>
      <c r="H88">
        <v>91.70917</v>
      </c>
      <c r="I88">
        <v>4.6807257199290877</v>
      </c>
      <c r="J88">
        <v>0.67544694522736837</v>
      </c>
      <c r="K88">
        <v>-0.1832508704416346</v>
      </c>
      <c r="L88">
        <v>7.3658336447913669E-2</v>
      </c>
      <c r="M88" t="s">
        <v>27</v>
      </c>
      <c r="N88">
        <v>22</v>
      </c>
      <c r="O88" t="s">
        <v>28</v>
      </c>
      <c r="P88">
        <v>37701</v>
      </c>
      <c r="Q88">
        <v>54.75</v>
      </c>
      <c r="R88">
        <v>92.075000000000003</v>
      </c>
      <c r="S88">
        <v>0.41292147259224332</v>
      </c>
      <c r="T88">
        <v>-5.3632805115265518E-3</v>
      </c>
      <c r="U88">
        <v>-8.720235105265435E-3</v>
      </c>
      <c r="V88">
        <v>3.3508289798437822E-3</v>
      </c>
      <c r="W88">
        <v>-1.2071064085109219E-2</v>
      </c>
      <c r="X88" s="19">
        <f t="shared" si="3"/>
        <v>46006</v>
      </c>
      <c r="Y88" s="19">
        <f t="shared" si="4"/>
        <v>46006</v>
      </c>
      <c r="Z88">
        <f t="array" ref="Z88">_xlfn.XLOOKUP(INT(X88),INT($AE$2:$AE$1000),$AG$2:$AG$1000,"")</f>
        <v>16.5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3</v>
      </c>
      <c r="B89" t="s">
        <v>30</v>
      </c>
      <c r="C89" t="s">
        <v>31</v>
      </c>
      <c r="D89">
        <v>38190</v>
      </c>
      <c r="E89">
        <v>55.87</v>
      </c>
      <c r="F89">
        <v>94.01</v>
      </c>
      <c r="G89">
        <v>55.864412999999999</v>
      </c>
      <c r="H89">
        <v>94.019401000000002</v>
      </c>
      <c r="I89">
        <v>3.6342178099281259</v>
      </c>
      <c r="J89">
        <v>0.67544694522736837</v>
      </c>
      <c r="K89">
        <v>-0.1789869339538214</v>
      </c>
      <c r="L89">
        <v>7.1848414554554652E-2</v>
      </c>
      <c r="M89" t="s">
        <v>27</v>
      </c>
      <c r="N89">
        <v>16</v>
      </c>
      <c r="O89" t="s">
        <v>28</v>
      </c>
      <c r="P89">
        <v>38206</v>
      </c>
      <c r="Q89">
        <v>55.914999999999999</v>
      </c>
      <c r="R89">
        <v>94.114999999999995</v>
      </c>
      <c r="S89">
        <v>0.4871990736000601</v>
      </c>
      <c r="T89">
        <v>-5.1032849969476386E-4</v>
      </c>
      <c r="U89">
        <v>-3.8627822397047621E-3</v>
      </c>
      <c r="V89">
        <v>3.3508289798437822E-3</v>
      </c>
      <c r="W89">
        <v>-7.2136112195485443E-3</v>
      </c>
      <c r="X89" s="19">
        <f t="shared" si="3"/>
        <v>46007</v>
      </c>
      <c r="Y89" s="19">
        <f t="shared" si="4"/>
        <v>46007</v>
      </c>
      <c r="Z89">
        <f t="array" ref="Z89">_xlfn.XLOOKUP(INT(X89),INT($AE$2:$AE$1000),$AG$2:$AG$1000,"")</f>
        <v>16.48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3</v>
      </c>
      <c r="B90" t="s">
        <v>30</v>
      </c>
      <c r="C90" t="s">
        <v>31</v>
      </c>
      <c r="D90">
        <v>38306</v>
      </c>
      <c r="E90">
        <v>55.98</v>
      </c>
      <c r="F90">
        <v>93.99</v>
      </c>
      <c r="G90">
        <v>55.985598000000003</v>
      </c>
      <c r="H90">
        <v>93.980600999999993</v>
      </c>
      <c r="I90">
        <v>-4.0638487169769828</v>
      </c>
      <c r="J90">
        <v>0.67544694522736837</v>
      </c>
      <c r="K90">
        <v>0.17863522686673811</v>
      </c>
      <c r="L90">
        <v>-7.1863703077707036E-2</v>
      </c>
      <c r="M90" t="s">
        <v>29</v>
      </c>
      <c r="N90">
        <v>27</v>
      </c>
      <c r="O90" t="s">
        <v>28</v>
      </c>
      <c r="P90">
        <v>38333</v>
      </c>
      <c r="Q90">
        <v>55.954999999999998</v>
      </c>
      <c r="R90">
        <v>93.96</v>
      </c>
      <c r="S90">
        <v>1.747268571627382E-2</v>
      </c>
      <c r="T90">
        <v>-2.3099695793369068E-3</v>
      </c>
      <c r="U90">
        <v>-5.6602012906145829E-3</v>
      </c>
      <c r="V90">
        <v>3.350958801065691E-3</v>
      </c>
      <c r="W90">
        <v>-9.0111600916802752E-3</v>
      </c>
      <c r="X90" s="19">
        <f t="shared" si="3"/>
        <v>46008</v>
      </c>
      <c r="Y90" s="19">
        <f t="shared" si="4"/>
        <v>46008</v>
      </c>
      <c r="Z90">
        <f t="array" ref="Z90">_xlfn.XLOOKUP(INT(X90),INT($AE$2:$AE$1000),$AG$2:$AG$1000,"")</f>
        <v>17.62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3</v>
      </c>
      <c r="B91" t="s">
        <v>30</v>
      </c>
      <c r="C91" t="s">
        <v>31</v>
      </c>
      <c r="D91">
        <v>38659</v>
      </c>
      <c r="E91">
        <v>55.95</v>
      </c>
      <c r="F91">
        <v>94.22</v>
      </c>
      <c r="G91">
        <v>55.955595000000002</v>
      </c>
      <c r="H91">
        <v>94.210577999999998</v>
      </c>
      <c r="I91">
        <v>-3.6283825468592101</v>
      </c>
      <c r="J91">
        <v>0.67544694522736837</v>
      </c>
      <c r="K91">
        <v>0.17873100983020551</v>
      </c>
      <c r="L91">
        <v>-7.1688276929247327E-2</v>
      </c>
      <c r="M91" t="s">
        <v>29</v>
      </c>
      <c r="N91">
        <v>15</v>
      </c>
      <c r="O91" t="s">
        <v>28</v>
      </c>
      <c r="P91">
        <v>38674</v>
      </c>
      <c r="Q91">
        <v>56.024999999999999</v>
      </c>
      <c r="R91">
        <v>94.29</v>
      </c>
      <c r="S91">
        <v>0.17646003124991719</v>
      </c>
      <c r="T91">
        <v>8.3866463522168123E-3</v>
      </c>
      <c r="U91">
        <v>5.0339101612497167E-3</v>
      </c>
      <c r="V91">
        <v>3.350958801065691E-3</v>
      </c>
      <c r="W91">
        <v>1.682951360184025E-3</v>
      </c>
      <c r="X91" s="19">
        <f t="shared" si="3"/>
        <v>46009</v>
      </c>
      <c r="Y91" s="19">
        <f t="shared" si="4"/>
        <v>46009</v>
      </c>
      <c r="Z91">
        <f t="array" ref="Z91">_xlfn.XLOOKUP(INT(X91),INT($AE$2:$AE$1000),$AG$2:$AG$1000,"")</f>
        <v>16.87</v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3</v>
      </c>
      <c r="B92" t="s">
        <v>30</v>
      </c>
      <c r="C92" t="s">
        <v>31</v>
      </c>
      <c r="D92">
        <v>39059</v>
      </c>
      <c r="E92">
        <v>56.42</v>
      </c>
      <c r="F92">
        <v>95.27</v>
      </c>
      <c r="G92">
        <v>56.414358</v>
      </c>
      <c r="H92">
        <v>95.279527000000002</v>
      </c>
      <c r="I92">
        <v>3.7111055443046821</v>
      </c>
      <c r="J92">
        <v>0.67544694522736837</v>
      </c>
      <c r="K92">
        <v>-0.1772421127259837</v>
      </c>
      <c r="L92">
        <v>7.0898178359123376E-2</v>
      </c>
      <c r="M92" t="s">
        <v>27</v>
      </c>
      <c r="N92">
        <v>9</v>
      </c>
      <c r="O92" t="s">
        <v>28</v>
      </c>
      <c r="P92">
        <v>39068</v>
      </c>
      <c r="Q92">
        <v>56.34</v>
      </c>
      <c r="R92">
        <v>95.295000000000002</v>
      </c>
      <c r="S92">
        <v>0.16521923481350759</v>
      </c>
      <c r="T92">
        <v>1.5951823477056881E-2</v>
      </c>
      <c r="U92">
        <v>1.26021702780573E-2</v>
      </c>
      <c r="V92">
        <v>3.3508289798437822E-3</v>
      </c>
      <c r="W92">
        <v>9.2513412982135178E-3</v>
      </c>
      <c r="X92" s="19">
        <f t="shared" si="3"/>
        <v>46010</v>
      </c>
      <c r="Y92" s="19">
        <f t="shared" si="4"/>
        <v>46010</v>
      </c>
      <c r="Z92">
        <f t="array" ref="Z92">_xlfn.XLOOKUP(INT(X92),INT($AE$2:$AE$1000),$AG$2:$AG$1000,"")</f>
        <v>14.91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3</v>
      </c>
      <c r="B93" t="s">
        <v>30</v>
      </c>
      <c r="C93" t="s">
        <v>31</v>
      </c>
      <c r="D93">
        <v>39449</v>
      </c>
      <c r="E93">
        <v>56.094999999999999</v>
      </c>
      <c r="F93">
        <v>95.37</v>
      </c>
      <c r="G93">
        <v>56.100609499999997</v>
      </c>
      <c r="H93">
        <v>95.36046300000001</v>
      </c>
      <c r="I93">
        <v>-3.6509998603878122</v>
      </c>
      <c r="J93">
        <v>0.67544694522736837</v>
      </c>
      <c r="K93">
        <v>0.17826900793297079</v>
      </c>
      <c r="L93">
        <v>-7.0823838232921085E-2</v>
      </c>
      <c r="M93" t="s">
        <v>29</v>
      </c>
      <c r="N93">
        <v>23</v>
      </c>
      <c r="O93" t="s">
        <v>28</v>
      </c>
      <c r="P93">
        <v>39472</v>
      </c>
      <c r="Q93">
        <v>55.91</v>
      </c>
      <c r="R93">
        <v>94.92</v>
      </c>
      <c r="S93">
        <v>-0.4882463594947018</v>
      </c>
      <c r="T93">
        <v>-1.109039262785327E-3</v>
      </c>
      <c r="U93">
        <v>-4.4534481038722316E-3</v>
      </c>
      <c r="V93">
        <v>3.350958801065691E-3</v>
      </c>
      <c r="W93">
        <v>-7.8044069049379239E-3</v>
      </c>
      <c r="X93" s="19">
        <f t="shared" si="3"/>
        <v>46013</v>
      </c>
      <c r="Y93" s="19">
        <f t="shared" si="4"/>
        <v>46013</v>
      </c>
      <c r="Z93">
        <f t="array" ref="Z93">_xlfn.XLOOKUP(INT(X93),INT($AE$2:$AE$1000),$AG$2:$AG$1000,"")</f>
        <v>14.08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4</v>
      </c>
      <c r="B94" t="s">
        <v>26</v>
      </c>
      <c r="C94" t="s">
        <v>34</v>
      </c>
      <c r="D94">
        <v>39601</v>
      </c>
      <c r="E94">
        <v>895.93</v>
      </c>
      <c r="F94">
        <v>50.02</v>
      </c>
      <c r="G94">
        <v>895.84040699999991</v>
      </c>
      <c r="H94">
        <v>50.025002000000001</v>
      </c>
      <c r="I94">
        <v>5.2946487127485584</v>
      </c>
      <c r="J94">
        <v>1.0629441457980351</v>
      </c>
      <c r="K94">
        <v>-1.1161586284642771E-2</v>
      </c>
      <c r="L94">
        <v>0.2125038276285556</v>
      </c>
      <c r="M94" t="s">
        <v>27</v>
      </c>
      <c r="N94">
        <v>23</v>
      </c>
      <c r="O94" t="s">
        <v>28</v>
      </c>
      <c r="P94">
        <v>39624</v>
      </c>
      <c r="Q94">
        <v>894.24</v>
      </c>
      <c r="R94">
        <v>50.03</v>
      </c>
      <c r="S94">
        <v>0.49073308878729188</v>
      </c>
      <c r="T94">
        <v>2.0988119097330761E-2</v>
      </c>
      <c r="U94">
        <v>1.686390460998876E-2</v>
      </c>
      <c r="V94">
        <v>4.1259008804252293E-3</v>
      </c>
      <c r="W94">
        <v>1.2738003729563531E-2</v>
      </c>
      <c r="X94" s="19">
        <f t="shared" si="3"/>
        <v>46013</v>
      </c>
      <c r="Y94" s="19">
        <f t="shared" si="4"/>
        <v>46013</v>
      </c>
      <c r="Z94">
        <f t="array" ref="Z94">_xlfn.XLOOKUP(INT(X94),INT($AE$2:$AE$1000),$AG$2:$AG$1000,"")</f>
        <v>14.08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4</v>
      </c>
      <c r="B95" t="s">
        <v>26</v>
      </c>
      <c r="C95" t="s">
        <v>34</v>
      </c>
      <c r="D95">
        <v>39647</v>
      </c>
      <c r="E95">
        <v>895.29</v>
      </c>
      <c r="F95">
        <v>50</v>
      </c>
      <c r="G95">
        <v>895.20047099999999</v>
      </c>
      <c r="H95">
        <v>50.005000000000003</v>
      </c>
      <c r="I95">
        <v>3.8187620532275619</v>
      </c>
      <c r="J95">
        <v>1.0629441457980351</v>
      </c>
      <c r="K95">
        <v>-1.116956516882798E-2</v>
      </c>
      <c r="L95">
        <v>0.212588829159607</v>
      </c>
      <c r="M95" t="s">
        <v>27</v>
      </c>
      <c r="N95">
        <v>2</v>
      </c>
      <c r="O95" t="s">
        <v>28</v>
      </c>
      <c r="P95">
        <v>39649</v>
      </c>
      <c r="Q95">
        <v>894.23500000000001</v>
      </c>
      <c r="R95">
        <v>50.005000000000003</v>
      </c>
      <c r="S95">
        <v>0.42425148242858329</v>
      </c>
      <c r="T95">
        <v>1.284683539891154E-2</v>
      </c>
      <c r="U95">
        <v>8.7220192020262405E-3</v>
      </c>
      <c r="V95">
        <v>4.1259008804252302E-3</v>
      </c>
      <c r="W95">
        <v>4.5961183216010103E-3</v>
      </c>
      <c r="X95" s="19">
        <f t="shared" si="3"/>
        <v>46013</v>
      </c>
      <c r="Y95" s="19">
        <f t="shared" si="4"/>
        <v>46013</v>
      </c>
      <c r="Z95">
        <f t="array" ref="Z95">_xlfn.XLOOKUP(INT(X95),INT($AE$2:$AE$1000),$AG$2:$AG$1000,"")</f>
        <v>14.08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4</v>
      </c>
      <c r="B96" t="s">
        <v>26</v>
      </c>
      <c r="C96" t="s">
        <v>34</v>
      </c>
      <c r="D96">
        <v>39843</v>
      </c>
      <c r="E96">
        <v>886.02</v>
      </c>
      <c r="F96">
        <v>49.89</v>
      </c>
      <c r="G96">
        <v>886.10860200000002</v>
      </c>
      <c r="H96">
        <v>49.885010999999999</v>
      </c>
      <c r="I96">
        <v>-3.5361769730257442</v>
      </c>
      <c r="J96">
        <v>1.0629441457980351</v>
      </c>
      <c r="K96">
        <v>1.1286426942958399E-2</v>
      </c>
      <c r="L96">
        <v>-0.2130575557823281</v>
      </c>
      <c r="M96" t="s">
        <v>29</v>
      </c>
      <c r="N96">
        <v>16</v>
      </c>
      <c r="O96" t="s">
        <v>28</v>
      </c>
      <c r="P96">
        <v>39859</v>
      </c>
      <c r="Q96">
        <v>885.94</v>
      </c>
      <c r="R96">
        <v>49.84</v>
      </c>
      <c r="S96">
        <v>-0.14096291227187049</v>
      </c>
      <c r="T96">
        <v>9.7499636336799492E-3</v>
      </c>
      <c r="U96">
        <v>5.6252309212780774E-3</v>
      </c>
      <c r="V96">
        <v>4.1258757027669108E-3</v>
      </c>
      <c r="W96">
        <v>1.4993552185111659E-3</v>
      </c>
      <c r="X96" s="19">
        <f t="shared" si="3"/>
        <v>46014</v>
      </c>
      <c r="Y96" s="19">
        <f t="shared" si="4"/>
        <v>46014</v>
      </c>
      <c r="Z96">
        <f t="array" ref="Z96">_xlfn.XLOOKUP(INT(X96),INT($AE$2:$AE$1000),$AG$2:$AG$1000,"")</f>
        <v>14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4</v>
      </c>
      <c r="B97" t="s">
        <v>26</v>
      </c>
      <c r="C97" t="s">
        <v>34</v>
      </c>
      <c r="D97">
        <v>40091</v>
      </c>
      <c r="E97">
        <v>883.72</v>
      </c>
      <c r="F97">
        <v>49.484999999999999</v>
      </c>
      <c r="G97">
        <v>883.63162800000009</v>
      </c>
      <c r="H97">
        <v>49.489948499999997</v>
      </c>
      <c r="I97">
        <v>3.5218770474282071</v>
      </c>
      <c r="J97">
        <v>1.0629441457980351</v>
      </c>
      <c r="K97">
        <v>-1.131580138505409E-2</v>
      </c>
      <c r="L97">
        <v>0.21480128236799739</v>
      </c>
      <c r="M97" t="s">
        <v>27</v>
      </c>
      <c r="N97">
        <v>13</v>
      </c>
      <c r="O97" t="s">
        <v>28</v>
      </c>
      <c r="P97">
        <v>40104</v>
      </c>
      <c r="Q97">
        <v>883.24</v>
      </c>
      <c r="R97">
        <v>49.5</v>
      </c>
      <c r="S97">
        <v>0.12975942766355411</v>
      </c>
      <c r="T97">
        <v>8.6536039003462517E-3</v>
      </c>
      <c r="U97">
        <v>4.527936565294809E-3</v>
      </c>
      <c r="V97">
        <v>4.1259008804252302E-3</v>
      </c>
      <c r="W97">
        <v>4.0203568486957882E-4</v>
      </c>
      <c r="X97" s="19">
        <f t="shared" si="3"/>
        <v>46014</v>
      </c>
      <c r="Y97" s="19">
        <f t="shared" si="4"/>
        <v>46014</v>
      </c>
      <c r="Z97">
        <f t="array" ref="Z97">_xlfn.XLOOKUP(INT(X97),INT($AE$2:$AE$1000),$AG$2:$AG$1000,"")</f>
        <v>14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4</v>
      </c>
      <c r="B98" t="s">
        <v>26</v>
      </c>
      <c r="C98" t="s">
        <v>34</v>
      </c>
      <c r="D98">
        <v>40619</v>
      </c>
      <c r="E98">
        <v>884.99</v>
      </c>
      <c r="F98">
        <v>49.34</v>
      </c>
      <c r="G98">
        <v>884.90150100000005</v>
      </c>
      <c r="H98">
        <v>49.344934000000002</v>
      </c>
      <c r="I98">
        <v>4.4671720557889936</v>
      </c>
      <c r="J98">
        <v>1.0629441457980351</v>
      </c>
      <c r="K98">
        <v>-1.129956270692324E-2</v>
      </c>
      <c r="L98">
        <v>0.21543253867005169</v>
      </c>
      <c r="M98" t="s">
        <v>27</v>
      </c>
      <c r="N98">
        <v>21</v>
      </c>
      <c r="O98" t="s">
        <v>28</v>
      </c>
      <c r="P98">
        <v>40640</v>
      </c>
      <c r="Q98">
        <v>883.29499999999996</v>
      </c>
      <c r="R98">
        <v>49.01</v>
      </c>
      <c r="S98">
        <v>0.46766325704105199</v>
      </c>
      <c r="T98">
        <v>-5.1939978972882772E-2</v>
      </c>
      <c r="U98">
        <v>-5.6056842714822253E-2</v>
      </c>
      <c r="V98">
        <v>4.1259008804252302E-3</v>
      </c>
      <c r="W98">
        <v>-6.018274359524748E-2</v>
      </c>
      <c r="X98" s="19">
        <f t="shared" si="3"/>
        <v>46016</v>
      </c>
      <c r="Y98" s="19">
        <f t="shared" si="4"/>
        <v>46016</v>
      </c>
      <c r="Z98" t="str">
        <f t="array" ref="Z98">_xlfn.XLOOKUP(INT(X98),INT($AE$2:$AE$1000),$AG$2:$AG$1000,"")</f>
        <v/>
      </c>
      <c r="AE98" s="19">
        <f t="shared" si="5"/>
        <v>46006</v>
      </c>
      <c r="AF98" t="s">
        <v>115</v>
      </c>
      <c r="AG98">
        <v>16.5</v>
      </c>
    </row>
    <row r="99" spans="1:33" x14ac:dyDescent="0.3">
      <c r="A99">
        <v>4</v>
      </c>
      <c r="B99" t="s">
        <v>26</v>
      </c>
      <c r="C99" t="s">
        <v>34</v>
      </c>
      <c r="D99">
        <v>41009</v>
      </c>
      <c r="E99">
        <v>923.47500000000002</v>
      </c>
      <c r="F99">
        <v>49.94</v>
      </c>
      <c r="G99">
        <v>923.38265250000006</v>
      </c>
      <c r="H99">
        <v>49.944993999999987</v>
      </c>
      <c r="I99">
        <v>4.2141690897761492</v>
      </c>
      <c r="J99">
        <v>1.0629441457980351</v>
      </c>
      <c r="K99">
        <v>-1.0828663472210939E-2</v>
      </c>
      <c r="L99">
        <v>0.2128442422503074</v>
      </c>
      <c r="M99" t="s">
        <v>27</v>
      </c>
      <c r="N99">
        <v>48</v>
      </c>
      <c r="O99" t="s">
        <v>28</v>
      </c>
      <c r="P99">
        <v>41057</v>
      </c>
      <c r="Q99">
        <v>955.77</v>
      </c>
      <c r="R99">
        <v>50.555</v>
      </c>
      <c r="S99">
        <v>0.46868178230096991</v>
      </c>
      <c r="T99">
        <v>-0.21881247785111249</v>
      </c>
      <c r="U99">
        <v>-0.22298642723228801</v>
      </c>
      <c r="V99">
        <v>4.1259008804252302E-3</v>
      </c>
      <c r="W99">
        <v>-0.22711232811271331</v>
      </c>
      <c r="X99" s="19">
        <f t="shared" si="3"/>
        <v>46017</v>
      </c>
      <c r="Y99" s="19">
        <f t="shared" si="4"/>
        <v>46017</v>
      </c>
      <c r="Z99">
        <f t="array" ref="Z99">_xlfn.XLOOKUP(INT(X99),INT($AE$2:$AE$1000),$AG$2:$AG$1000,"")</f>
        <v>13.6</v>
      </c>
      <c r="AE99" s="19">
        <f t="shared" si="5"/>
        <v>46007</v>
      </c>
      <c r="AF99" t="s">
        <v>116</v>
      </c>
      <c r="AG99">
        <v>16.48</v>
      </c>
    </row>
    <row r="100" spans="1:33" x14ac:dyDescent="0.3">
      <c r="A100">
        <v>4</v>
      </c>
      <c r="B100" t="s">
        <v>26</v>
      </c>
      <c r="C100" t="s">
        <v>34</v>
      </c>
      <c r="D100">
        <v>41392</v>
      </c>
      <c r="E100">
        <v>949.11</v>
      </c>
      <c r="F100">
        <v>50.51</v>
      </c>
      <c r="G100">
        <v>949.20491100000004</v>
      </c>
      <c r="H100">
        <v>50.504949000000003</v>
      </c>
      <c r="I100">
        <v>-3.7224256281159191</v>
      </c>
      <c r="J100">
        <v>1.0629441457980351</v>
      </c>
      <c r="K100">
        <v>1.0536186532646369E-2</v>
      </c>
      <c r="L100">
        <v>-0.2104423175208939</v>
      </c>
      <c r="M100" t="s">
        <v>29</v>
      </c>
      <c r="N100">
        <v>10</v>
      </c>
      <c r="O100" t="s">
        <v>28</v>
      </c>
      <c r="P100">
        <v>41402</v>
      </c>
      <c r="Q100">
        <v>950.53</v>
      </c>
      <c r="R100">
        <v>50.454999999999998</v>
      </c>
      <c r="S100">
        <v>0.16799159704669431</v>
      </c>
      <c r="T100">
        <v>2.6535712340006529E-2</v>
      </c>
      <c r="U100">
        <v>2.240948534266821E-2</v>
      </c>
      <c r="V100">
        <v>4.1258757027669108E-3</v>
      </c>
      <c r="W100">
        <v>1.8283609639901291E-2</v>
      </c>
      <c r="X100" s="19">
        <f t="shared" si="3"/>
        <v>46020</v>
      </c>
      <c r="Y100" s="19">
        <f t="shared" si="4"/>
        <v>46020</v>
      </c>
      <c r="Z100">
        <f t="array" ref="Z100">_xlfn.XLOOKUP(INT(X100),INT($AE$2:$AE$1000),$AG$2:$AG$1000,"")</f>
        <v>14.2</v>
      </c>
      <c r="AE100" s="19">
        <f t="shared" si="5"/>
        <v>46008</v>
      </c>
      <c r="AF100" t="s">
        <v>117</v>
      </c>
      <c r="AG100">
        <v>17.62</v>
      </c>
    </row>
    <row r="101" spans="1:33" x14ac:dyDescent="0.3">
      <c r="A101">
        <v>4</v>
      </c>
      <c r="B101" t="s">
        <v>26</v>
      </c>
      <c r="C101" t="s">
        <v>34</v>
      </c>
      <c r="D101">
        <v>42179</v>
      </c>
      <c r="E101">
        <v>940.25</v>
      </c>
      <c r="F101">
        <v>50.585000000000001</v>
      </c>
      <c r="G101">
        <v>940.15597500000001</v>
      </c>
      <c r="H101">
        <v>50.590058499999998</v>
      </c>
      <c r="I101">
        <v>3.81762908368554</v>
      </c>
      <c r="J101">
        <v>1.0629441457980351</v>
      </c>
      <c r="K101">
        <v>-1.063546929008242E-2</v>
      </c>
      <c r="L101">
        <v>0.2101303045958357</v>
      </c>
      <c r="M101" t="s">
        <v>27</v>
      </c>
      <c r="N101">
        <v>1</v>
      </c>
      <c r="O101" t="s">
        <v>28</v>
      </c>
      <c r="P101">
        <v>42180</v>
      </c>
      <c r="Q101">
        <v>935.86</v>
      </c>
      <c r="R101">
        <v>50.53</v>
      </c>
      <c r="S101">
        <v>0.28810108648480509</v>
      </c>
      <c r="T101">
        <v>3.5132543430690791E-2</v>
      </c>
      <c r="U101">
        <v>3.101247982679025E-2</v>
      </c>
      <c r="V101">
        <v>4.1259008804252302E-3</v>
      </c>
      <c r="W101">
        <v>2.6886578946365019E-2</v>
      </c>
      <c r="X101" s="19">
        <f t="shared" si="3"/>
        <v>46022</v>
      </c>
      <c r="Y101" s="19">
        <f t="shared" si="4"/>
        <v>46022</v>
      </c>
      <c r="Z101">
        <f t="array" ref="Z101">_xlfn.XLOOKUP(INT(X101),INT($AE$2:$AE$1000),$AG$2:$AG$1000,"")</f>
        <v>14.95</v>
      </c>
      <c r="AE101" s="19">
        <f t="shared" si="5"/>
        <v>46009</v>
      </c>
      <c r="AF101" t="s">
        <v>118</v>
      </c>
      <c r="AG101">
        <v>16.87</v>
      </c>
    </row>
    <row r="102" spans="1:33" x14ac:dyDescent="0.3">
      <c r="A102">
        <v>4</v>
      </c>
      <c r="B102" t="s">
        <v>26</v>
      </c>
      <c r="C102" t="s">
        <v>34</v>
      </c>
      <c r="D102">
        <v>42576</v>
      </c>
      <c r="E102">
        <v>943.56500000000005</v>
      </c>
      <c r="F102">
        <v>51.15</v>
      </c>
      <c r="G102">
        <v>943.47064350000005</v>
      </c>
      <c r="H102">
        <v>51.155115000000002</v>
      </c>
      <c r="I102">
        <v>3.5316793629141281</v>
      </c>
      <c r="J102">
        <v>1.0629441457980351</v>
      </c>
      <c r="K102">
        <v>-1.0598103999194541E-2</v>
      </c>
      <c r="L102">
        <v>0.20780921716481621</v>
      </c>
      <c r="M102" t="s">
        <v>27</v>
      </c>
      <c r="N102">
        <v>7</v>
      </c>
      <c r="O102" t="s">
        <v>28</v>
      </c>
      <c r="P102">
        <v>42583</v>
      </c>
      <c r="Q102">
        <v>937.48</v>
      </c>
      <c r="R102">
        <v>50.97</v>
      </c>
      <c r="S102">
        <v>0.4328867329541039</v>
      </c>
      <c r="T102">
        <v>2.708380374543232E-2</v>
      </c>
      <c r="U102">
        <v>2.2968104966029541E-2</v>
      </c>
      <c r="V102">
        <v>4.1259008804252302E-3</v>
      </c>
      <c r="W102">
        <v>1.884220408560431E-2</v>
      </c>
      <c r="X102" s="19">
        <f t="shared" si="3"/>
        <v>46023</v>
      </c>
      <c r="Y102" s="19">
        <f t="shared" si="4"/>
        <v>46023</v>
      </c>
      <c r="Z102" t="str">
        <f t="array" ref="Z102">_xlfn.XLOOKUP(INT(X102),INT($AE$2:$AE$1000),$AG$2:$AG$1000,"")</f>
        <v/>
      </c>
      <c r="AE102" s="19">
        <f t="shared" si="5"/>
        <v>46010</v>
      </c>
      <c r="AF102" t="s">
        <v>119</v>
      </c>
      <c r="AG102">
        <v>14.91</v>
      </c>
    </row>
    <row r="103" spans="1:33" x14ac:dyDescent="0.3">
      <c r="A103">
        <v>4</v>
      </c>
      <c r="B103" t="s">
        <v>26</v>
      </c>
      <c r="C103" t="s">
        <v>34</v>
      </c>
      <c r="D103">
        <v>42960</v>
      </c>
      <c r="E103">
        <v>932.63</v>
      </c>
      <c r="F103">
        <v>50.075000000000003</v>
      </c>
      <c r="G103">
        <v>932.53673700000002</v>
      </c>
      <c r="H103">
        <v>50.080007500000001</v>
      </c>
      <c r="I103">
        <v>3.5573712294115998</v>
      </c>
      <c r="J103">
        <v>1.0629441457980351</v>
      </c>
      <c r="K103">
        <v>-1.0722365782786311E-2</v>
      </c>
      <c r="L103">
        <v>0.21227042352432049</v>
      </c>
      <c r="M103" t="s">
        <v>27</v>
      </c>
      <c r="N103">
        <v>17</v>
      </c>
      <c r="O103" t="s">
        <v>28</v>
      </c>
      <c r="P103">
        <v>42977</v>
      </c>
      <c r="Q103">
        <v>938.03</v>
      </c>
      <c r="R103">
        <v>50.225000000000001</v>
      </c>
      <c r="S103">
        <v>9.7970410943422487E-2</v>
      </c>
      <c r="T103">
        <v>-2.6060211698398079E-2</v>
      </c>
      <c r="U103">
        <v>-3.0195074123869362E-2</v>
      </c>
      <c r="V103">
        <v>4.1259008804252302E-3</v>
      </c>
      <c r="W103">
        <v>-3.4320975004294603E-2</v>
      </c>
      <c r="X103" s="19">
        <f t="shared" si="3"/>
        <v>46024</v>
      </c>
      <c r="Y103" s="19">
        <f t="shared" si="4"/>
        <v>46024</v>
      </c>
      <c r="Z103">
        <f t="array" ref="Z103">_xlfn.XLOOKUP(INT(X103),INT($AE$2:$AE$1000),$AG$2:$AG$1000,"")</f>
        <v>14.51</v>
      </c>
      <c r="AE103" s="19">
        <f t="shared" si="5"/>
        <v>46013</v>
      </c>
      <c r="AF103" t="s">
        <v>120</v>
      </c>
      <c r="AG103">
        <v>14.08</v>
      </c>
    </row>
    <row r="104" spans="1:33" x14ac:dyDescent="0.3">
      <c r="A104">
        <v>4</v>
      </c>
      <c r="B104" t="s">
        <v>26</v>
      </c>
      <c r="C104" t="s">
        <v>34</v>
      </c>
      <c r="D104">
        <v>43350</v>
      </c>
      <c r="E104">
        <v>946.24</v>
      </c>
      <c r="F104">
        <v>50.34</v>
      </c>
      <c r="G104">
        <v>946.33462399999996</v>
      </c>
      <c r="H104">
        <v>50.334966000000001</v>
      </c>
      <c r="I104">
        <v>-4.6714413484255939</v>
      </c>
      <c r="J104">
        <v>1.0629441457980351</v>
      </c>
      <c r="K104">
        <v>1.05681433885695E-2</v>
      </c>
      <c r="L104">
        <v>-0.21115298883552541</v>
      </c>
      <c r="M104" t="s">
        <v>29</v>
      </c>
      <c r="N104">
        <v>27</v>
      </c>
      <c r="O104" t="s">
        <v>28</v>
      </c>
      <c r="P104">
        <v>43377</v>
      </c>
      <c r="Q104">
        <v>940.33</v>
      </c>
      <c r="R104">
        <v>50.14</v>
      </c>
      <c r="S104">
        <v>0.32285942291247888</v>
      </c>
      <c r="T104">
        <v>-2.0227129659339711E-2</v>
      </c>
      <c r="U104">
        <v>-2.434254911841657E-2</v>
      </c>
      <c r="V104">
        <v>4.1258757027669108E-3</v>
      </c>
      <c r="W104">
        <v>-2.8468424821183481E-2</v>
      </c>
      <c r="X104" s="19">
        <f t="shared" si="3"/>
        <v>46027</v>
      </c>
      <c r="Y104" s="19">
        <f t="shared" si="4"/>
        <v>46027</v>
      </c>
      <c r="Z104">
        <f t="array" ref="Z104">_xlfn.XLOOKUP(INT(X104),INT($AE$2:$AE$1000),$AG$2:$AG$1000,"")</f>
        <v>14.9</v>
      </c>
      <c r="AE104" s="19">
        <f t="shared" si="5"/>
        <v>46014</v>
      </c>
      <c r="AF104" t="s">
        <v>121</v>
      </c>
      <c r="AG104">
        <v>14</v>
      </c>
    </row>
    <row r="105" spans="1:33" x14ac:dyDescent="0.3">
      <c r="A105">
        <v>4</v>
      </c>
      <c r="B105" t="s">
        <v>30</v>
      </c>
      <c r="C105" t="s">
        <v>31</v>
      </c>
      <c r="D105">
        <v>39601</v>
      </c>
      <c r="E105">
        <v>55.465000000000003</v>
      </c>
      <c r="F105">
        <v>94.534999999999997</v>
      </c>
      <c r="G105">
        <v>55.470546499999998</v>
      </c>
      <c r="H105">
        <v>94.525546500000004</v>
      </c>
      <c r="I105">
        <v>-5.2946412811975003</v>
      </c>
      <c r="J105">
        <v>0.6533346050381017</v>
      </c>
      <c r="K105">
        <v>0.18029387902280719</v>
      </c>
      <c r="L105">
        <v>-6.9110340618617622E-2</v>
      </c>
      <c r="M105" t="s">
        <v>29</v>
      </c>
      <c r="N105">
        <v>23</v>
      </c>
      <c r="O105" t="s">
        <v>28</v>
      </c>
      <c r="P105">
        <v>39624</v>
      </c>
      <c r="Q105">
        <v>55.43</v>
      </c>
      <c r="R105">
        <v>94.45</v>
      </c>
      <c r="S105">
        <v>-0.4922281508338392</v>
      </c>
      <c r="T105">
        <v>-4.3590681321685129E-4</v>
      </c>
      <c r="U105">
        <v>-3.7413575568201181E-3</v>
      </c>
      <c r="V105">
        <v>3.3067385431551962E-3</v>
      </c>
      <c r="W105">
        <v>-7.048096099975313E-3</v>
      </c>
      <c r="X105" s="19">
        <f t="shared" si="3"/>
        <v>46013</v>
      </c>
      <c r="Y105" s="19">
        <f t="shared" si="4"/>
        <v>46013</v>
      </c>
      <c r="Z105">
        <f t="array" ref="Z105">_xlfn.XLOOKUP(INT(X105),INT($AE$2:$AE$1000),$AG$2:$AG$1000,"")</f>
        <v>14.08</v>
      </c>
      <c r="AE105" s="19">
        <f t="shared" si="5"/>
        <v>46015</v>
      </c>
      <c r="AF105" t="s">
        <v>122</v>
      </c>
      <c r="AG105">
        <v>13.47</v>
      </c>
    </row>
    <row r="106" spans="1:33" x14ac:dyDescent="0.3">
      <c r="A106">
        <v>4</v>
      </c>
      <c r="B106" t="s">
        <v>30</v>
      </c>
      <c r="C106" t="s">
        <v>31</v>
      </c>
      <c r="D106">
        <v>39839</v>
      </c>
      <c r="E106">
        <v>55.6</v>
      </c>
      <c r="F106">
        <v>94.82</v>
      </c>
      <c r="G106">
        <v>55.594439999999999</v>
      </c>
      <c r="H106">
        <v>94.829481999999999</v>
      </c>
      <c r="I106">
        <v>5.0316061210214436</v>
      </c>
      <c r="J106">
        <v>0.6533346050381017</v>
      </c>
      <c r="K106">
        <v>-0.17985611510791369</v>
      </c>
      <c r="L106">
        <v>6.8902616013299056E-2</v>
      </c>
      <c r="M106" t="s">
        <v>27</v>
      </c>
      <c r="N106">
        <v>15</v>
      </c>
      <c r="O106" t="s">
        <v>28</v>
      </c>
      <c r="P106">
        <v>39854</v>
      </c>
      <c r="Q106">
        <v>55.325000000000003</v>
      </c>
      <c r="R106">
        <v>94.34</v>
      </c>
      <c r="S106">
        <v>-8.6236820989901611E-2</v>
      </c>
      <c r="T106">
        <v>1.6387175968293161E-2</v>
      </c>
      <c r="U106">
        <v>1.3088760126950091E-2</v>
      </c>
      <c r="V106">
        <v>3.30659987699721E-3</v>
      </c>
      <c r="W106">
        <v>9.7821602499528829E-3</v>
      </c>
      <c r="X106" s="19">
        <f t="shared" si="3"/>
        <v>46014</v>
      </c>
      <c r="Y106" s="19">
        <f t="shared" si="4"/>
        <v>46014</v>
      </c>
      <c r="Z106">
        <f t="array" ref="Z106">_xlfn.XLOOKUP(INT(X106),INT($AE$2:$AE$1000),$AG$2:$AG$1000,"")</f>
        <v>14</v>
      </c>
      <c r="AE106" s="19">
        <f t="shared" si="5"/>
        <v>46017</v>
      </c>
      <c r="AF106" t="s">
        <v>123</v>
      </c>
      <c r="AG106">
        <v>13.6</v>
      </c>
    </row>
    <row r="107" spans="1:33" x14ac:dyDescent="0.3">
      <c r="A107">
        <v>4</v>
      </c>
      <c r="B107" t="s">
        <v>30</v>
      </c>
      <c r="C107" t="s">
        <v>31</v>
      </c>
      <c r="D107">
        <v>41009</v>
      </c>
      <c r="E107">
        <v>56.28</v>
      </c>
      <c r="F107">
        <v>95.5</v>
      </c>
      <c r="G107">
        <v>56.274372</v>
      </c>
      <c r="H107">
        <v>95.509550000000004</v>
      </c>
      <c r="I107">
        <v>5.022828063570846</v>
      </c>
      <c r="J107">
        <v>0.6533346050381017</v>
      </c>
      <c r="K107">
        <v>-0.177683013503909</v>
      </c>
      <c r="L107">
        <v>6.8412000527549907E-2</v>
      </c>
      <c r="M107" t="s">
        <v>27</v>
      </c>
      <c r="N107">
        <v>27</v>
      </c>
      <c r="O107" t="s">
        <v>28</v>
      </c>
      <c r="P107">
        <v>41036</v>
      </c>
      <c r="Q107">
        <v>57.19</v>
      </c>
      <c r="R107">
        <v>96.84</v>
      </c>
      <c r="S107">
        <v>0.39209776972051469</v>
      </c>
      <c r="T107">
        <v>-7.0019461581639506E-2</v>
      </c>
      <c r="U107">
        <v>-7.3351467154015193E-2</v>
      </c>
      <c r="V107">
        <v>3.3065998769972109E-3</v>
      </c>
      <c r="W107">
        <v>-7.6658067031012411E-2</v>
      </c>
      <c r="X107" s="19">
        <f t="shared" si="3"/>
        <v>46017</v>
      </c>
      <c r="Y107" s="19">
        <f t="shared" si="4"/>
        <v>46017</v>
      </c>
      <c r="Z107">
        <f t="array" ref="Z107">_xlfn.XLOOKUP(INT(X107),INT($AE$2:$AE$1000),$AG$2:$AG$1000,"")</f>
        <v>13.6</v>
      </c>
      <c r="AE107" s="19">
        <f t="shared" si="5"/>
        <v>46020</v>
      </c>
      <c r="AF107" t="s">
        <v>124</v>
      </c>
      <c r="AG107">
        <v>14.2</v>
      </c>
    </row>
    <row r="108" spans="1:33" x14ac:dyDescent="0.3">
      <c r="A108">
        <v>4</v>
      </c>
      <c r="B108" t="s">
        <v>30</v>
      </c>
      <c r="C108" t="s">
        <v>31</v>
      </c>
      <c r="D108">
        <v>41201</v>
      </c>
      <c r="E108">
        <v>57.27</v>
      </c>
      <c r="F108">
        <v>97.02</v>
      </c>
      <c r="G108">
        <v>57.264273000000003</v>
      </c>
      <c r="H108">
        <v>97.029702</v>
      </c>
      <c r="I108">
        <v>3.6553077959710518</v>
      </c>
      <c r="J108">
        <v>0.6533346050381017</v>
      </c>
      <c r="K108">
        <v>-0.17461148943600491</v>
      </c>
      <c r="L108">
        <v>6.7340198416625613E-2</v>
      </c>
      <c r="M108" t="s">
        <v>27</v>
      </c>
      <c r="N108">
        <v>8</v>
      </c>
      <c r="O108" t="s">
        <v>28</v>
      </c>
      <c r="P108">
        <v>41209</v>
      </c>
      <c r="Q108">
        <v>57.21</v>
      </c>
      <c r="R108">
        <v>97.1</v>
      </c>
      <c r="S108">
        <v>0.1047635235052741</v>
      </c>
      <c r="T108">
        <v>1.5863905239490619E-2</v>
      </c>
      <c r="U108">
        <v>1.255774497676327E-2</v>
      </c>
      <c r="V108">
        <v>3.3065998769972109E-3</v>
      </c>
      <c r="W108">
        <v>9.2511450997660588E-3</v>
      </c>
      <c r="X108" s="19">
        <f t="shared" si="3"/>
        <v>46017</v>
      </c>
      <c r="Y108" s="19">
        <f t="shared" si="4"/>
        <v>46017</v>
      </c>
      <c r="Z108">
        <f t="array" ref="Z108">_xlfn.XLOOKUP(INT(X108),INT($AE$2:$AE$1000),$AG$2:$AG$1000,"")</f>
        <v>13.6</v>
      </c>
      <c r="AE108" s="19">
        <f t="shared" si="5"/>
        <v>46021</v>
      </c>
      <c r="AF108" t="s">
        <v>125</v>
      </c>
      <c r="AG108">
        <v>14.33</v>
      </c>
    </row>
    <row r="109" spans="1:33" x14ac:dyDescent="0.3">
      <c r="A109">
        <v>4</v>
      </c>
      <c r="B109" t="s">
        <v>30</v>
      </c>
      <c r="C109" t="s">
        <v>31</v>
      </c>
      <c r="D109">
        <v>41399</v>
      </c>
      <c r="E109">
        <v>57.19</v>
      </c>
      <c r="F109">
        <v>95.59</v>
      </c>
      <c r="G109">
        <v>57.184280999999999</v>
      </c>
      <c r="H109">
        <v>95.599558999999999</v>
      </c>
      <c r="I109">
        <v>5.011156350320273</v>
      </c>
      <c r="J109">
        <v>0.6533346050381017</v>
      </c>
      <c r="K109">
        <v>-0.17485574401119081</v>
      </c>
      <c r="L109">
        <v>6.8347589186954869E-2</v>
      </c>
      <c r="M109" t="s">
        <v>27</v>
      </c>
      <c r="N109">
        <v>15</v>
      </c>
      <c r="O109" t="s">
        <v>28</v>
      </c>
      <c r="P109">
        <v>41414</v>
      </c>
      <c r="Q109">
        <v>56.91</v>
      </c>
      <c r="R109">
        <v>95.525000000000006</v>
      </c>
      <c r="S109">
        <v>0.46103593375211049</v>
      </c>
      <c r="T109">
        <v>4.451701502598171E-2</v>
      </c>
      <c r="U109">
        <v>4.1215686036068309E-2</v>
      </c>
      <c r="V109">
        <v>3.3065998769972109E-3</v>
      </c>
      <c r="W109">
        <v>3.7909086159071098E-2</v>
      </c>
      <c r="X109" s="19">
        <f t="shared" si="3"/>
        <v>46020</v>
      </c>
      <c r="Y109" s="19">
        <f t="shared" si="4"/>
        <v>46020</v>
      </c>
      <c r="Z109">
        <f t="array" ref="Z109">_xlfn.XLOOKUP(INT(X109),INT($AE$2:$AE$1000),$AG$2:$AG$1000,"")</f>
        <v>14.2</v>
      </c>
      <c r="AE109" s="19">
        <f t="shared" si="5"/>
        <v>46022</v>
      </c>
      <c r="AF109" t="s">
        <v>126</v>
      </c>
      <c r="AG109">
        <v>14.95</v>
      </c>
    </row>
    <row r="110" spans="1:33" x14ac:dyDescent="0.3">
      <c r="A110">
        <v>4</v>
      </c>
      <c r="B110" t="s">
        <v>30</v>
      </c>
      <c r="C110" t="s">
        <v>31</v>
      </c>
      <c r="D110">
        <v>41790</v>
      </c>
      <c r="E110">
        <v>56.664999999999999</v>
      </c>
      <c r="F110">
        <v>95.724999999999994</v>
      </c>
      <c r="G110">
        <v>56.670666500000003</v>
      </c>
      <c r="H110">
        <v>95.71542749999999</v>
      </c>
      <c r="I110">
        <v>-4.5347558837523056</v>
      </c>
      <c r="J110">
        <v>0.6533346050381017</v>
      </c>
      <c r="K110">
        <v>0.1764757786993735</v>
      </c>
      <c r="L110">
        <v>-6.8251199272718902E-2</v>
      </c>
      <c r="M110" t="s">
        <v>29</v>
      </c>
      <c r="N110">
        <v>35</v>
      </c>
      <c r="O110" t="s">
        <v>28</v>
      </c>
      <c r="P110">
        <v>41825</v>
      </c>
      <c r="Q110">
        <v>56.145000000000003</v>
      </c>
      <c r="R110">
        <v>94.71</v>
      </c>
      <c r="S110">
        <v>-6.4708702039577279E-2</v>
      </c>
      <c r="T110">
        <v>-2.24924376618638E-2</v>
      </c>
      <c r="U110">
        <v>-2.5783002634721511E-2</v>
      </c>
      <c r="V110">
        <v>3.3067385431551962E-3</v>
      </c>
      <c r="W110">
        <v>-2.9089741177876709E-2</v>
      </c>
      <c r="X110" s="19">
        <f t="shared" si="3"/>
        <v>46021</v>
      </c>
      <c r="Y110" s="19">
        <f t="shared" si="4"/>
        <v>46021</v>
      </c>
      <c r="Z110">
        <f t="array" ref="Z110">_xlfn.XLOOKUP(INT(X110),INT($AE$2:$AE$1000),$AG$2:$AG$1000,"")</f>
        <v>14.33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4</v>
      </c>
      <c r="B111" t="s">
        <v>30</v>
      </c>
      <c r="C111" t="s">
        <v>31</v>
      </c>
      <c r="D111">
        <v>42180</v>
      </c>
      <c r="E111">
        <v>55.58</v>
      </c>
      <c r="F111">
        <v>94.41</v>
      </c>
      <c r="G111">
        <v>55.585557999999999</v>
      </c>
      <c r="H111">
        <v>94.400559000000001</v>
      </c>
      <c r="I111">
        <v>-4.0714174166949224</v>
      </c>
      <c r="J111">
        <v>0.6533346050381017</v>
      </c>
      <c r="K111">
        <v>0.1799208348326736</v>
      </c>
      <c r="L111">
        <v>-6.9201843558743953E-2</v>
      </c>
      <c r="M111" t="s">
        <v>29</v>
      </c>
      <c r="N111">
        <v>1</v>
      </c>
      <c r="O111" t="s">
        <v>28</v>
      </c>
      <c r="P111">
        <v>42181</v>
      </c>
      <c r="Q111">
        <v>55.77</v>
      </c>
      <c r="R111">
        <v>94.43</v>
      </c>
      <c r="S111">
        <v>0.1184626704445758</v>
      </c>
      <c r="T111">
        <v>3.2800921747033272E-2</v>
      </c>
      <c r="U111">
        <v>2.94906956374076E-2</v>
      </c>
      <c r="V111">
        <v>3.3067385431551962E-3</v>
      </c>
      <c r="W111">
        <v>2.6183957094252398E-2</v>
      </c>
      <c r="X111" s="19">
        <f t="shared" si="3"/>
        <v>46022</v>
      </c>
      <c r="Y111" s="19">
        <f t="shared" si="4"/>
        <v>46022</v>
      </c>
      <c r="Z111">
        <f t="array" ref="Z111">_xlfn.XLOOKUP(INT(X111),INT($AE$2:$AE$1000),$AG$2:$AG$1000,"")</f>
        <v>14.95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4</v>
      </c>
      <c r="B112" t="s">
        <v>30</v>
      </c>
      <c r="C112" t="s">
        <v>31</v>
      </c>
      <c r="D112">
        <v>42960</v>
      </c>
      <c r="E112">
        <v>55.29</v>
      </c>
      <c r="F112">
        <v>95.93</v>
      </c>
      <c r="G112">
        <v>55.295529000000002</v>
      </c>
      <c r="H112">
        <v>95.920407000000012</v>
      </c>
      <c r="I112">
        <v>-5.0836437631205458</v>
      </c>
      <c r="J112">
        <v>0.6533346050381017</v>
      </c>
      <c r="K112">
        <v>0.18086453246518361</v>
      </c>
      <c r="L112">
        <v>-6.8105348174512831E-2</v>
      </c>
      <c r="M112" t="s">
        <v>29</v>
      </c>
      <c r="N112">
        <v>5</v>
      </c>
      <c r="O112" t="s">
        <v>28</v>
      </c>
      <c r="P112">
        <v>42965</v>
      </c>
      <c r="Q112">
        <v>55.08</v>
      </c>
      <c r="R112">
        <v>94.22</v>
      </c>
      <c r="S112">
        <v>-0.47005701311377912</v>
      </c>
      <c r="T112">
        <v>7.8478593560728782E-2</v>
      </c>
      <c r="U112">
        <v>7.5187368520372139E-2</v>
      </c>
      <c r="V112">
        <v>3.3067385431551962E-3</v>
      </c>
      <c r="W112">
        <v>7.1880629977216948E-2</v>
      </c>
      <c r="X112" s="19">
        <f t="shared" si="3"/>
        <v>46024</v>
      </c>
      <c r="Y112" s="19">
        <f t="shared" si="4"/>
        <v>46024</v>
      </c>
      <c r="Z112">
        <f t="array" ref="Z112">_xlfn.XLOOKUP(INT(X112),INT($AE$2:$AE$1000),$AG$2:$AG$1000,"")</f>
        <v>14.51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4</v>
      </c>
      <c r="B113" t="s">
        <v>30</v>
      </c>
      <c r="C113" t="s">
        <v>31</v>
      </c>
      <c r="D113">
        <v>43332</v>
      </c>
      <c r="E113">
        <v>55.17</v>
      </c>
      <c r="F113">
        <v>94.905000000000001</v>
      </c>
      <c r="G113">
        <v>55.164482999999997</v>
      </c>
      <c r="H113">
        <v>94.914490499999999</v>
      </c>
      <c r="I113">
        <v>3.729497213089267</v>
      </c>
      <c r="J113">
        <v>0.6533346050381017</v>
      </c>
      <c r="K113">
        <v>-0.18125793003443899</v>
      </c>
      <c r="L113">
        <v>6.8840904592814042E-2</v>
      </c>
      <c r="M113" t="s">
        <v>27</v>
      </c>
      <c r="N113">
        <v>6</v>
      </c>
      <c r="O113" t="s">
        <v>28</v>
      </c>
      <c r="P113">
        <v>43338</v>
      </c>
      <c r="Q113">
        <v>55.115000000000002</v>
      </c>
      <c r="R113">
        <v>94.924999999999997</v>
      </c>
      <c r="S113">
        <v>0.1938784814554087</v>
      </c>
      <c r="T113">
        <v>1.13460042437501E-2</v>
      </c>
      <c r="U113">
        <v>8.0401942704814294E-3</v>
      </c>
      <c r="V113">
        <v>3.3065998769972109E-3</v>
      </c>
      <c r="W113">
        <v>4.7335943934842181E-3</v>
      </c>
      <c r="X113" s="19">
        <f t="shared" si="3"/>
        <v>46027</v>
      </c>
      <c r="Y113" s="19">
        <f t="shared" si="4"/>
        <v>46027</v>
      </c>
      <c r="Z113">
        <f t="array" ref="Z113">_xlfn.XLOOKUP(INT(X113),INT($AE$2:$AE$1000),$AG$2:$AG$1000,"")</f>
        <v>14.9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5</v>
      </c>
      <c r="B114" t="s">
        <v>25</v>
      </c>
      <c r="C114" t="s">
        <v>30</v>
      </c>
      <c r="D114">
        <v>43501</v>
      </c>
      <c r="E114">
        <v>315.13</v>
      </c>
      <c r="F114">
        <v>54.725000000000001</v>
      </c>
      <c r="G114">
        <v>315.09848699999998</v>
      </c>
      <c r="H114">
        <v>54.730472499999998</v>
      </c>
      <c r="I114">
        <v>5.2945621529989486</v>
      </c>
      <c r="J114">
        <v>1.002253482054859</v>
      </c>
      <c r="K114">
        <v>-3.1732935613873643E-2</v>
      </c>
      <c r="L114">
        <v>0.1831436239478956</v>
      </c>
      <c r="M114" t="s">
        <v>27</v>
      </c>
      <c r="N114">
        <v>23</v>
      </c>
      <c r="O114" t="s">
        <v>28</v>
      </c>
      <c r="P114">
        <v>43524</v>
      </c>
      <c r="Q114">
        <v>313.86</v>
      </c>
      <c r="R114">
        <v>54.645000000000003</v>
      </c>
      <c r="S114">
        <v>0.48895309508991941</v>
      </c>
      <c r="T114">
        <v>2.5649338313787622E-2</v>
      </c>
      <c r="U114">
        <v>2.165032658149223E-2</v>
      </c>
      <c r="V114">
        <v>4.0045074148061287E-3</v>
      </c>
      <c r="W114">
        <v>1.7645819166686109E-2</v>
      </c>
      <c r="X114" s="19">
        <f t="shared" si="3"/>
        <v>46027</v>
      </c>
      <c r="Y114" s="19">
        <f t="shared" si="4"/>
        <v>46027</v>
      </c>
      <c r="Z114">
        <f t="array" ref="Z114">_xlfn.XLOOKUP(INT(X114),INT($AE$2:$AE$1000),$AG$2:$AG$1000,"")</f>
        <v>14.9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5</v>
      </c>
      <c r="B115" t="s">
        <v>25</v>
      </c>
      <c r="C115" t="s">
        <v>30</v>
      </c>
      <c r="D115">
        <v>43742</v>
      </c>
      <c r="E115">
        <v>310.88</v>
      </c>
      <c r="F115">
        <v>53.85</v>
      </c>
      <c r="G115">
        <v>310.84891199999998</v>
      </c>
      <c r="H115">
        <v>53.855384999999998</v>
      </c>
      <c r="I115">
        <v>4.3955664281436162</v>
      </c>
      <c r="J115">
        <v>1.002253482054859</v>
      </c>
      <c r="K115">
        <v>-3.2166752444673187E-2</v>
      </c>
      <c r="L115">
        <v>0.18611949527481131</v>
      </c>
      <c r="M115" t="s">
        <v>27</v>
      </c>
      <c r="N115">
        <v>37</v>
      </c>
      <c r="O115" t="s">
        <v>28</v>
      </c>
      <c r="P115">
        <v>43779</v>
      </c>
      <c r="Q115">
        <v>310.61500000000001</v>
      </c>
      <c r="R115">
        <v>52.64</v>
      </c>
      <c r="S115">
        <v>0.47168877333322218</v>
      </c>
      <c r="T115">
        <v>-0.21668039988468379</v>
      </c>
      <c r="U115">
        <v>-0.22066153397092539</v>
      </c>
      <c r="V115">
        <v>4.0045074148061287E-3</v>
      </c>
      <c r="W115">
        <v>-0.22466604138573151</v>
      </c>
      <c r="X115" s="19">
        <f t="shared" si="3"/>
        <v>46028</v>
      </c>
      <c r="Y115" s="19">
        <f t="shared" si="4"/>
        <v>46028</v>
      </c>
      <c r="Z115">
        <f t="array" ref="Z115">_xlfn.XLOOKUP(INT(X115),INT($AE$2:$AE$1000),$AG$2:$AG$1000,"")</f>
        <v>14.75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5</v>
      </c>
      <c r="B116" t="s">
        <v>25</v>
      </c>
      <c r="C116" t="s">
        <v>30</v>
      </c>
      <c r="D116">
        <v>43848</v>
      </c>
      <c r="E116">
        <v>307.38499999999999</v>
      </c>
      <c r="F116">
        <v>52.01</v>
      </c>
      <c r="G116">
        <v>307.41573849999997</v>
      </c>
      <c r="H116">
        <v>52.004798999999998</v>
      </c>
      <c r="I116">
        <v>-3.6103156757262291</v>
      </c>
      <c r="J116">
        <v>1.002253482054859</v>
      </c>
      <c r="K116">
        <v>3.2532491826211429E-2</v>
      </c>
      <c r="L116">
        <v>-0.19270399578059191</v>
      </c>
      <c r="M116" t="s">
        <v>29</v>
      </c>
      <c r="N116">
        <v>22</v>
      </c>
      <c r="O116" t="s">
        <v>28</v>
      </c>
      <c r="P116">
        <v>43870</v>
      </c>
      <c r="Q116">
        <v>308.10000000000002</v>
      </c>
      <c r="R116">
        <v>52.24</v>
      </c>
      <c r="S116">
        <v>-0.2942904130643989</v>
      </c>
      <c r="T116">
        <v>-2.1061187373794709E-2</v>
      </c>
      <c r="U116">
        <v>-2.5072452602971189E-2</v>
      </c>
      <c r="V116">
        <v>4.0045065134133064E-3</v>
      </c>
      <c r="W116">
        <v>-2.9076959116384488E-2</v>
      </c>
      <c r="X116" s="19">
        <f t="shared" si="3"/>
        <v>46028</v>
      </c>
      <c r="Y116" s="19">
        <f t="shared" si="4"/>
        <v>46028</v>
      </c>
      <c r="Z116">
        <f t="array" ref="Z116">_xlfn.XLOOKUP(INT(X116),INT($AE$2:$AE$1000),$AG$2:$AG$1000,"")</f>
        <v>14.75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5</v>
      </c>
      <c r="B117" t="s">
        <v>25</v>
      </c>
      <c r="C117" t="s">
        <v>30</v>
      </c>
      <c r="D117">
        <v>44546</v>
      </c>
      <c r="E117">
        <v>311.7</v>
      </c>
      <c r="F117">
        <v>52.47</v>
      </c>
      <c r="G117">
        <v>311.66883000000001</v>
      </c>
      <c r="H117">
        <v>52.475247000000003</v>
      </c>
      <c r="I117">
        <v>3.801608324958897</v>
      </c>
      <c r="J117">
        <v>1.002253482054859</v>
      </c>
      <c r="K117">
        <v>-3.2082130253448832E-2</v>
      </c>
      <c r="L117">
        <v>0.1910145763397863</v>
      </c>
      <c r="M117" t="s">
        <v>27</v>
      </c>
      <c r="N117">
        <v>15</v>
      </c>
      <c r="O117" t="s">
        <v>28</v>
      </c>
      <c r="P117">
        <v>44561</v>
      </c>
      <c r="Q117">
        <v>311.01</v>
      </c>
      <c r="R117">
        <v>52.41</v>
      </c>
      <c r="S117">
        <v>0.4149364929454325</v>
      </c>
      <c r="T117">
        <v>1.0675795294492011E-2</v>
      </c>
      <c r="U117">
        <v>6.6746480848302522E-3</v>
      </c>
      <c r="V117">
        <v>4.0045074148061287E-3</v>
      </c>
      <c r="W117">
        <v>2.670140670024124E-3</v>
      </c>
      <c r="X117" s="19">
        <f t="shared" si="3"/>
        <v>46030</v>
      </c>
      <c r="Y117" s="19">
        <f t="shared" si="4"/>
        <v>46030</v>
      </c>
      <c r="Z117">
        <f t="array" ref="Z117">_xlfn.XLOOKUP(INT(X117),INT($AE$2:$AE$1000),$AG$2:$AG$1000,"")</f>
        <v>15.45</v>
      </c>
      <c r="AE117" s="19">
        <f t="shared" si="5"/>
        <v>46035</v>
      </c>
      <c r="AF117" t="s">
        <v>127</v>
      </c>
      <c r="AG117">
        <v>15.98</v>
      </c>
    </row>
    <row r="118" spans="1:33" x14ac:dyDescent="0.3">
      <c r="A118">
        <v>5</v>
      </c>
      <c r="B118" t="s">
        <v>25</v>
      </c>
      <c r="C118" t="s">
        <v>30</v>
      </c>
      <c r="D118">
        <v>44880</v>
      </c>
      <c r="E118">
        <v>313.58</v>
      </c>
      <c r="F118">
        <v>53.104999999999997</v>
      </c>
      <c r="G118">
        <v>313.611358</v>
      </c>
      <c r="H118">
        <v>53.099689499999997</v>
      </c>
      <c r="I118">
        <v>-3.5932213901973502</v>
      </c>
      <c r="J118">
        <v>1.002253482054859</v>
      </c>
      <c r="K118">
        <v>3.1889788889597551E-2</v>
      </c>
      <c r="L118">
        <v>-0.18873053046885579</v>
      </c>
      <c r="M118" t="s">
        <v>29</v>
      </c>
      <c r="N118">
        <v>19</v>
      </c>
      <c r="O118" t="s">
        <v>28</v>
      </c>
      <c r="P118">
        <v>44899</v>
      </c>
      <c r="Q118">
        <v>312.95</v>
      </c>
      <c r="R118">
        <v>52.984999999999999</v>
      </c>
      <c r="S118">
        <v>-0.35168191426910822</v>
      </c>
      <c r="T118">
        <v>2.5570966558158999E-3</v>
      </c>
      <c r="U118">
        <v>-1.4431364852289521E-3</v>
      </c>
      <c r="V118">
        <v>4.0045065134133064E-3</v>
      </c>
      <c r="W118">
        <v>-5.4476429986422582E-3</v>
      </c>
      <c r="X118" s="19">
        <f t="shared" si="3"/>
        <v>46031</v>
      </c>
      <c r="Y118" s="19">
        <f t="shared" si="4"/>
        <v>46031</v>
      </c>
      <c r="Z118">
        <f t="array" ref="Z118">_xlfn.XLOOKUP(INT(X118),INT($AE$2:$AE$1000),$AG$2:$AG$1000,"")</f>
        <v>14.49</v>
      </c>
      <c r="AE118" s="19">
        <f t="shared" si="5"/>
        <v>46036</v>
      </c>
      <c r="AF118" t="s">
        <v>128</v>
      </c>
      <c r="AG118">
        <v>16.75</v>
      </c>
    </row>
    <row r="119" spans="1:33" x14ac:dyDescent="0.3">
      <c r="A119">
        <v>5</v>
      </c>
      <c r="B119" t="s">
        <v>25</v>
      </c>
      <c r="C119" t="s">
        <v>30</v>
      </c>
      <c r="D119">
        <v>44931</v>
      </c>
      <c r="E119">
        <v>306.3</v>
      </c>
      <c r="F119">
        <v>52.424999999999997</v>
      </c>
      <c r="G119">
        <v>306.33062999999999</v>
      </c>
      <c r="H119">
        <v>52.419757500000003</v>
      </c>
      <c r="I119">
        <v>-3.6301488779274158</v>
      </c>
      <c r="J119">
        <v>1.002253482054859</v>
      </c>
      <c r="K119">
        <v>3.2647730982696702E-2</v>
      </c>
      <c r="L119">
        <v>-0.19117853734952001</v>
      </c>
      <c r="M119" t="s">
        <v>29</v>
      </c>
      <c r="N119">
        <v>4</v>
      </c>
      <c r="O119" t="s">
        <v>28</v>
      </c>
      <c r="P119">
        <v>44935</v>
      </c>
      <c r="Q119">
        <v>307.48</v>
      </c>
      <c r="R119">
        <v>52.33</v>
      </c>
      <c r="S119">
        <v>-0.44373601342672819</v>
      </c>
      <c r="T119">
        <v>5.668628360778652E-2</v>
      </c>
      <c r="U119">
        <v>5.2679740407526293E-2</v>
      </c>
      <c r="V119">
        <v>4.0045065134133064E-3</v>
      </c>
      <c r="W119">
        <v>4.8675233894112983E-2</v>
      </c>
      <c r="X119" s="19">
        <f t="shared" si="3"/>
        <v>46031</v>
      </c>
      <c r="Y119" s="19">
        <f t="shared" si="4"/>
        <v>46031</v>
      </c>
      <c r="Z119">
        <f t="array" ref="Z119">_xlfn.XLOOKUP(INT(X119),INT($AE$2:$AE$1000),$AG$2:$AG$1000,"")</f>
        <v>14.49</v>
      </c>
      <c r="AE119" s="19">
        <f t="shared" si="5"/>
        <v>46037</v>
      </c>
      <c r="AF119" t="s">
        <v>129</v>
      </c>
      <c r="AG119">
        <v>15.84</v>
      </c>
    </row>
    <row r="120" spans="1:33" x14ac:dyDescent="0.3">
      <c r="A120">
        <v>5</v>
      </c>
      <c r="B120" t="s">
        <v>25</v>
      </c>
      <c r="C120" t="s">
        <v>30</v>
      </c>
      <c r="D120">
        <v>45514</v>
      </c>
      <c r="E120">
        <v>301.82499999999999</v>
      </c>
      <c r="F120">
        <v>52.41</v>
      </c>
      <c r="G120">
        <v>301.85518250000001</v>
      </c>
      <c r="H120">
        <v>52.404758999999999</v>
      </c>
      <c r="I120">
        <v>-3.521413979554572</v>
      </c>
      <c r="J120">
        <v>1.002253482054859</v>
      </c>
      <c r="K120">
        <v>3.3131781661558848E-2</v>
      </c>
      <c r="L120">
        <v>-0.19123325358802881</v>
      </c>
      <c r="M120" t="s">
        <v>29</v>
      </c>
      <c r="N120">
        <v>19</v>
      </c>
      <c r="O120" t="s">
        <v>28</v>
      </c>
      <c r="P120">
        <v>45533</v>
      </c>
      <c r="Q120">
        <v>302.18</v>
      </c>
      <c r="R120">
        <v>52.45</v>
      </c>
      <c r="S120">
        <v>-0.32815204951353832</v>
      </c>
      <c r="T120">
        <v>4.1124523463316482E-3</v>
      </c>
      <c r="U120">
        <v>1.060042709580787E-4</v>
      </c>
      <c r="V120">
        <v>4.0045065134133064E-3</v>
      </c>
      <c r="W120">
        <v>-3.8985022424552281E-3</v>
      </c>
      <c r="X120" s="19">
        <f t="shared" si="3"/>
        <v>46034</v>
      </c>
      <c r="Y120" s="19">
        <f t="shared" si="4"/>
        <v>46034</v>
      </c>
      <c r="Z120">
        <f t="array" ref="Z120">_xlfn.XLOOKUP(INT(X120),INT($AE$2:$AE$1000),$AG$2:$AG$1000,"")</f>
        <v>15.12</v>
      </c>
      <c r="AE120" s="19">
        <f t="shared" si="5"/>
        <v>46038</v>
      </c>
      <c r="AF120" t="s">
        <v>130</v>
      </c>
      <c r="AG120">
        <v>15.86</v>
      </c>
    </row>
    <row r="121" spans="1:33" x14ac:dyDescent="0.3">
      <c r="A121">
        <v>5</v>
      </c>
      <c r="B121" t="s">
        <v>25</v>
      </c>
      <c r="C121" t="s">
        <v>30</v>
      </c>
      <c r="D121">
        <v>45628</v>
      </c>
      <c r="E121">
        <v>304.52999999999997</v>
      </c>
      <c r="F121">
        <v>52.604999999999997</v>
      </c>
      <c r="G121">
        <v>304.560453</v>
      </c>
      <c r="H121">
        <v>52.599739499999998</v>
      </c>
      <c r="I121">
        <v>-3.5171855286527549</v>
      </c>
      <c r="J121">
        <v>1.002253482054859</v>
      </c>
      <c r="K121">
        <v>3.2837487275473677E-2</v>
      </c>
      <c r="L121">
        <v>-0.1905243764005054</v>
      </c>
      <c r="M121" t="s">
        <v>29</v>
      </c>
      <c r="N121">
        <v>8</v>
      </c>
      <c r="O121" t="s">
        <v>28</v>
      </c>
      <c r="P121">
        <v>45636</v>
      </c>
      <c r="Q121">
        <v>304.11</v>
      </c>
      <c r="R121">
        <v>52.46</v>
      </c>
      <c r="S121">
        <v>-0.41640349327073178</v>
      </c>
      <c r="T121">
        <v>1.3834289922374921E-2</v>
      </c>
      <c r="U121">
        <v>9.8339247361876846E-3</v>
      </c>
      <c r="V121">
        <v>4.0045065134133072E-3</v>
      </c>
      <c r="W121">
        <v>5.8294182227743773E-3</v>
      </c>
      <c r="X121" s="19">
        <f t="shared" si="3"/>
        <v>46034</v>
      </c>
      <c r="Y121" s="19">
        <f t="shared" si="4"/>
        <v>46035</v>
      </c>
      <c r="Z121">
        <f t="array" ref="Z121">_xlfn.XLOOKUP(INT(X121),INT($AE$2:$AE$1000),$AG$2:$AG$1000,"")</f>
        <v>15.12</v>
      </c>
      <c r="AE121" s="19">
        <f t="shared" si="5"/>
        <v>46041</v>
      </c>
      <c r="AF121" t="s">
        <v>131</v>
      </c>
      <c r="AG121">
        <v>18.84</v>
      </c>
    </row>
    <row r="122" spans="1:33" x14ac:dyDescent="0.3">
      <c r="A122">
        <v>5</v>
      </c>
      <c r="B122" t="s">
        <v>25</v>
      </c>
      <c r="C122" t="s">
        <v>30</v>
      </c>
      <c r="D122">
        <v>45990</v>
      </c>
      <c r="E122">
        <v>304.94</v>
      </c>
      <c r="F122">
        <v>52.744999999999997</v>
      </c>
      <c r="G122">
        <v>304.97049399999997</v>
      </c>
      <c r="H122">
        <v>52.739725499999999</v>
      </c>
      <c r="I122">
        <v>-3.5602944536793109</v>
      </c>
      <c r="J122">
        <v>1.002253482054859</v>
      </c>
      <c r="K122">
        <v>3.2793336394044727E-2</v>
      </c>
      <c r="L122">
        <v>-0.19001867135365599</v>
      </c>
      <c r="M122" t="s">
        <v>29</v>
      </c>
      <c r="N122">
        <v>9</v>
      </c>
      <c r="O122" t="s">
        <v>28</v>
      </c>
      <c r="P122">
        <v>45999</v>
      </c>
      <c r="Q122">
        <v>304.93</v>
      </c>
      <c r="R122">
        <v>52.69</v>
      </c>
      <c r="S122">
        <v>0.2940957489598291</v>
      </c>
      <c r="T122">
        <v>1.012309356051088E-2</v>
      </c>
      <c r="U122">
        <v>6.1196644924320287E-3</v>
      </c>
      <c r="V122">
        <v>4.0045065134133064E-3</v>
      </c>
      <c r="W122">
        <v>2.1151579790187219E-3</v>
      </c>
      <c r="X122" s="19">
        <f t="shared" si="3"/>
        <v>46035</v>
      </c>
      <c r="Y122" s="19">
        <f t="shared" si="4"/>
        <v>46035</v>
      </c>
      <c r="Z122">
        <f t="array" ref="Z122">_xlfn.XLOOKUP(INT(X122),INT($AE$2:$AE$1000),$AG$2:$AG$1000,"")</f>
        <v>15.98</v>
      </c>
      <c r="AE122" s="19">
        <f t="shared" si="5"/>
        <v>46042</v>
      </c>
      <c r="AF122" t="s">
        <v>132</v>
      </c>
      <c r="AG122">
        <v>20.09</v>
      </c>
    </row>
    <row r="123" spans="1:33" x14ac:dyDescent="0.3">
      <c r="A123">
        <v>5</v>
      </c>
      <c r="B123" t="s">
        <v>25</v>
      </c>
      <c r="C123" t="s">
        <v>30</v>
      </c>
      <c r="D123">
        <v>46103</v>
      </c>
      <c r="E123">
        <v>299.7</v>
      </c>
      <c r="F123">
        <v>51.96</v>
      </c>
      <c r="G123">
        <v>299.72996999999998</v>
      </c>
      <c r="H123">
        <v>51.954804000000003</v>
      </c>
      <c r="I123">
        <v>-4.8014713766694914</v>
      </c>
      <c r="J123">
        <v>1.002253482054859</v>
      </c>
      <c r="K123">
        <v>3.3366700033366697E-2</v>
      </c>
      <c r="L123">
        <v>-0.1928894307264932</v>
      </c>
      <c r="M123" t="s">
        <v>29</v>
      </c>
      <c r="N123">
        <v>4</v>
      </c>
      <c r="O123" t="s">
        <v>28</v>
      </c>
      <c r="P123">
        <v>46107</v>
      </c>
      <c r="Q123">
        <v>300.53500000000003</v>
      </c>
      <c r="R123">
        <v>51.92</v>
      </c>
      <c r="S123">
        <v>0.3374264844204391</v>
      </c>
      <c r="T123">
        <v>3.5576771756921977E-2</v>
      </c>
      <c r="U123">
        <v>3.1570250231082578E-2</v>
      </c>
      <c r="V123">
        <v>4.0045065134133072E-3</v>
      </c>
      <c r="W123">
        <v>2.7565743717669278E-2</v>
      </c>
      <c r="X123" s="19">
        <f t="shared" si="3"/>
        <v>46036</v>
      </c>
      <c r="Y123" s="19">
        <f t="shared" si="4"/>
        <v>46036</v>
      </c>
      <c r="Z123">
        <f t="array" ref="Z123">_xlfn.XLOOKUP(INT(X123),INT($AE$2:$AE$1000),$AG$2:$AG$1000,"")</f>
        <v>16.75</v>
      </c>
      <c r="AE123" s="19">
        <f t="shared" si="5"/>
        <v>46043</v>
      </c>
      <c r="AF123" t="s">
        <v>133</v>
      </c>
      <c r="AG123">
        <v>16.899999999999999</v>
      </c>
    </row>
    <row r="124" spans="1:33" x14ac:dyDescent="0.3">
      <c r="A124">
        <v>5</v>
      </c>
      <c r="B124" t="s">
        <v>25</v>
      </c>
      <c r="C124" t="s">
        <v>30</v>
      </c>
      <c r="D124">
        <v>47106</v>
      </c>
      <c r="E124">
        <v>299.60000000000002</v>
      </c>
      <c r="F124">
        <v>51.93</v>
      </c>
      <c r="G124">
        <v>299.57004000000001</v>
      </c>
      <c r="H124">
        <v>51.935192999999998</v>
      </c>
      <c r="I124">
        <v>3.5446013748881988</v>
      </c>
      <c r="J124">
        <v>1.002253482054859</v>
      </c>
      <c r="K124">
        <v>-3.3377837116154871E-2</v>
      </c>
      <c r="L124">
        <v>0.19300086309548589</v>
      </c>
      <c r="M124" t="s">
        <v>27</v>
      </c>
      <c r="N124">
        <v>6</v>
      </c>
      <c r="O124" t="s">
        <v>28</v>
      </c>
      <c r="P124">
        <v>47112</v>
      </c>
      <c r="Q124">
        <v>299.39999999999998</v>
      </c>
      <c r="R124">
        <v>51.97</v>
      </c>
      <c r="S124">
        <v>0.14705859185364281</v>
      </c>
      <c r="T124">
        <v>1.4395601947051761E-2</v>
      </c>
      <c r="U124">
        <v>1.039099053623088E-2</v>
      </c>
      <c r="V124">
        <v>4.0045074148061278E-3</v>
      </c>
      <c r="W124">
        <v>6.386483121424754E-3</v>
      </c>
      <c r="X124" s="19">
        <f t="shared" si="3"/>
        <v>46038</v>
      </c>
      <c r="Y124" s="19">
        <f t="shared" si="4"/>
        <v>46038</v>
      </c>
      <c r="Z124">
        <f t="array" ref="Z124">_xlfn.XLOOKUP(INT(X124),INT($AE$2:$AE$1000),$AG$2:$AG$1000,"")</f>
        <v>15.86</v>
      </c>
      <c r="AE124" s="19">
        <f t="shared" si="5"/>
        <v>46044</v>
      </c>
      <c r="AF124" t="s">
        <v>134</v>
      </c>
      <c r="AG124">
        <v>15.64</v>
      </c>
    </row>
    <row r="125" spans="1:33" x14ac:dyDescent="0.3">
      <c r="A125">
        <v>5</v>
      </c>
      <c r="B125" t="s">
        <v>25</v>
      </c>
      <c r="C125" t="s">
        <v>30</v>
      </c>
      <c r="D125">
        <v>47273</v>
      </c>
      <c r="E125">
        <v>300.01499999999999</v>
      </c>
      <c r="F125">
        <v>51.95</v>
      </c>
      <c r="G125">
        <v>299.98499850000002</v>
      </c>
      <c r="H125">
        <v>51.955195000000003</v>
      </c>
      <c r="I125">
        <v>4.4236210820698556</v>
      </c>
      <c r="J125">
        <v>1.002253482054859</v>
      </c>
      <c r="K125">
        <v>-3.3331666749995832E-2</v>
      </c>
      <c r="L125">
        <v>0.19292656054953969</v>
      </c>
      <c r="M125" t="s">
        <v>27</v>
      </c>
      <c r="N125">
        <v>14</v>
      </c>
      <c r="O125" t="s">
        <v>28</v>
      </c>
      <c r="P125">
        <v>47287</v>
      </c>
      <c r="Q125">
        <v>298.54000000000002</v>
      </c>
      <c r="R125">
        <v>51.9</v>
      </c>
      <c r="S125">
        <v>-0.21634371093603591</v>
      </c>
      <c r="T125">
        <v>3.9517880428764911E-2</v>
      </c>
      <c r="U125">
        <v>3.5519254518304698E-2</v>
      </c>
      <c r="V125">
        <v>4.0045074148061287E-3</v>
      </c>
      <c r="W125">
        <v>3.1514747103498567E-2</v>
      </c>
      <c r="X125" s="19">
        <f t="shared" si="3"/>
        <v>46041</v>
      </c>
      <c r="Y125" s="19">
        <f t="shared" si="4"/>
        <v>46041</v>
      </c>
      <c r="Z125">
        <f t="array" ref="Z125">_xlfn.XLOOKUP(INT(X125),INT($AE$2:$AE$1000),$AG$2:$AG$1000,"")</f>
        <v>18.84</v>
      </c>
      <c r="AE125" s="19">
        <f t="shared" si="5"/>
        <v>46045</v>
      </c>
      <c r="AF125" t="s">
        <v>135</v>
      </c>
      <c r="AG125">
        <v>16.09</v>
      </c>
    </row>
    <row r="126" spans="1:33" x14ac:dyDescent="0.3">
      <c r="A126">
        <v>5</v>
      </c>
      <c r="B126" t="s">
        <v>32</v>
      </c>
      <c r="C126" t="s">
        <v>33</v>
      </c>
      <c r="D126">
        <v>43501</v>
      </c>
      <c r="E126">
        <v>54.115000000000002</v>
      </c>
      <c r="F126">
        <v>214.45500000000001</v>
      </c>
      <c r="G126">
        <v>54.120411500000003</v>
      </c>
      <c r="H126">
        <v>214.43355450000001</v>
      </c>
      <c r="I126">
        <v>-5.2946221603327492</v>
      </c>
      <c r="J126">
        <v>0.96257307278179516</v>
      </c>
      <c r="K126">
        <v>0.1847916474175367</v>
      </c>
      <c r="L126">
        <v>-4.4884617881690583E-2</v>
      </c>
      <c r="M126" t="s">
        <v>29</v>
      </c>
      <c r="N126">
        <v>23</v>
      </c>
      <c r="O126" t="s">
        <v>28</v>
      </c>
      <c r="P126">
        <v>43524</v>
      </c>
      <c r="Q126">
        <v>54.034999999999997</v>
      </c>
      <c r="R126">
        <v>214.14</v>
      </c>
      <c r="S126">
        <v>-0.49142113399833798</v>
      </c>
      <c r="T126">
        <v>-6.4467716067023208E-4</v>
      </c>
      <c r="U126">
        <v>-4.5669311075910001E-3</v>
      </c>
      <c r="V126">
        <v>3.925153630949035E-3</v>
      </c>
      <c r="W126">
        <v>-8.4920847385400351E-3</v>
      </c>
      <c r="X126" s="19">
        <f t="shared" si="3"/>
        <v>46027</v>
      </c>
      <c r="Y126" s="19">
        <f t="shared" si="4"/>
        <v>46027</v>
      </c>
      <c r="Z126">
        <f t="array" ref="Z126">_xlfn.XLOOKUP(INT(X126),INT($AE$2:$AE$1000),$AG$2:$AG$1000,"")</f>
        <v>14.9</v>
      </c>
      <c r="AE126" s="19">
        <f t="shared" si="5"/>
        <v>46048</v>
      </c>
      <c r="AF126" t="s">
        <v>136</v>
      </c>
      <c r="AG126">
        <v>16.149999999999999</v>
      </c>
    </row>
    <row r="127" spans="1:33" x14ac:dyDescent="0.3">
      <c r="A127">
        <v>5</v>
      </c>
      <c r="B127" t="s">
        <v>32</v>
      </c>
      <c r="C127" t="s">
        <v>33</v>
      </c>
      <c r="D127">
        <v>43580</v>
      </c>
      <c r="E127">
        <v>53.91</v>
      </c>
      <c r="F127">
        <v>214.29499999999999</v>
      </c>
      <c r="G127">
        <v>53.915390999999993</v>
      </c>
      <c r="H127">
        <v>214.27357050000001</v>
      </c>
      <c r="I127">
        <v>-3.5526562187050028</v>
      </c>
      <c r="J127">
        <v>0.96257307278179516</v>
      </c>
      <c r="K127">
        <v>0.18549434242255611</v>
      </c>
      <c r="L127">
        <v>-4.4918130277505089E-2</v>
      </c>
      <c r="M127" t="s">
        <v>29</v>
      </c>
      <c r="N127">
        <v>6</v>
      </c>
      <c r="O127" t="s">
        <v>28</v>
      </c>
      <c r="P127">
        <v>43586</v>
      </c>
      <c r="Q127">
        <v>54.01</v>
      </c>
      <c r="R127">
        <v>214.41499999999999</v>
      </c>
      <c r="S127">
        <v>-0.49842071631178658</v>
      </c>
      <c r="T127">
        <v>1.315925860895506E-2</v>
      </c>
      <c r="U127">
        <v>9.2317185024039655E-3</v>
      </c>
      <c r="V127">
        <v>3.9251536309490341E-3</v>
      </c>
      <c r="W127">
        <v>5.3065648714549314E-3</v>
      </c>
      <c r="X127" s="19">
        <f t="shared" si="3"/>
        <v>46027</v>
      </c>
      <c r="Y127" s="19">
        <f t="shared" si="4"/>
        <v>46027</v>
      </c>
      <c r="Z127">
        <f t="array" ref="Z127">_xlfn.XLOOKUP(INT(X127),INT($AE$2:$AE$1000),$AG$2:$AG$1000,"")</f>
        <v>14.9</v>
      </c>
      <c r="AE127" s="19">
        <f t="shared" si="5"/>
        <v>46049</v>
      </c>
      <c r="AF127" t="s">
        <v>137</v>
      </c>
      <c r="AG127">
        <v>16.350000000000001</v>
      </c>
    </row>
    <row r="128" spans="1:33" x14ac:dyDescent="0.3">
      <c r="A128">
        <v>5</v>
      </c>
      <c r="B128" t="s">
        <v>32</v>
      </c>
      <c r="C128" t="s">
        <v>33</v>
      </c>
      <c r="D128">
        <v>44148</v>
      </c>
      <c r="E128">
        <v>54</v>
      </c>
      <c r="F128">
        <v>213.435</v>
      </c>
      <c r="G128">
        <v>53.994599999999998</v>
      </c>
      <c r="H128">
        <v>213.4563435</v>
      </c>
      <c r="I128">
        <v>4.1012587523952826</v>
      </c>
      <c r="J128">
        <v>0.96257307278179516</v>
      </c>
      <c r="K128">
        <v>-0.1851851851851852</v>
      </c>
      <c r="L128">
        <v>4.5099120237158632E-2</v>
      </c>
      <c r="M128" t="s">
        <v>27</v>
      </c>
      <c r="N128">
        <v>3</v>
      </c>
      <c r="O128" t="s">
        <v>28</v>
      </c>
      <c r="P128">
        <v>44151</v>
      </c>
      <c r="Q128">
        <v>53.704999999999998</v>
      </c>
      <c r="R128">
        <v>213.17500000000001</v>
      </c>
      <c r="S128">
        <v>-0.20988364147802899</v>
      </c>
      <c r="T128">
        <v>4.290385836796911E-2</v>
      </c>
      <c r="U128">
        <v>3.8985347762494293E-2</v>
      </c>
      <c r="V128">
        <v>3.9251386601781464E-3</v>
      </c>
      <c r="W128">
        <v>3.5060209102316151E-2</v>
      </c>
      <c r="X128" s="19">
        <f t="shared" si="3"/>
        <v>46029</v>
      </c>
      <c r="Y128" s="19">
        <f t="shared" si="4"/>
        <v>46029</v>
      </c>
      <c r="Z128">
        <f t="array" ref="Z128">_xlfn.XLOOKUP(INT(X128),INT($AE$2:$AE$1000),$AG$2:$AG$1000,"")</f>
        <v>15.38</v>
      </c>
      <c r="AE128" s="19">
        <f t="shared" si="5"/>
        <v>46050</v>
      </c>
      <c r="AF128" t="s">
        <v>138</v>
      </c>
      <c r="AG128">
        <v>16.350000000000001</v>
      </c>
    </row>
    <row r="129" spans="1:33" x14ac:dyDescent="0.3">
      <c r="A129">
        <v>5</v>
      </c>
      <c r="B129" t="s">
        <v>32</v>
      </c>
      <c r="C129" t="s">
        <v>33</v>
      </c>
      <c r="D129">
        <v>44540</v>
      </c>
      <c r="E129">
        <v>54.08</v>
      </c>
      <c r="F129">
        <v>223.25</v>
      </c>
      <c r="G129">
        <v>54.085408000000001</v>
      </c>
      <c r="H129">
        <v>223.227675</v>
      </c>
      <c r="I129">
        <v>-5.2658472854774079</v>
      </c>
      <c r="J129">
        <v>0.96257307278179516</v>
      </c>
      <c r="K129">
        <v>0.1849112426035503</v>
      </c>
      <c r="L129">
        <v>-4.3116375040617931E-2</v>
      </c>
      <c r="M129" t="s">
        <v>29</v>
      </c>
      <c r="N129">
        <v>22</v>
      </c>
      <c r="O129" t="s">
        <v>28</v>
      </c>
      <c r="P129">
        <v>44562</v>
      </c>
      <c r="Q129">
        <v>54.09</v>
      </c>
      <c r="R129">
        <v>222.08500000000001</v>
      </c>
      <c r="S129">
        <v>-0.43648752354559689</v>
      </c>
      <c r="T129">
        <v>5.2079689348356002E-2</v>
      </c>
      <c r="U129">
        <v>4.8159381349241477E-2</v>
      </c>
      <c r="V129">
        <v>3.9251536309490341E-3</v>
      </c>
      <c r="W129">
        <v>4.4234227718292447E-2</v>
      </c>
      <c r="X129" s="19">
        <f t="shared" si="3"/>
        <v>46030</v>
      </c>
      <c r="Y129" s="19">
        <f t="shared" si="4"/>
        <v>46030</v>
      </c>
      <c r="Z129">
        <f t="array" ref="Z129">_xlfn.XLOOKUP(INT(X129),INT($AE$2:$AE$1000),$AG$2:$AG$1000,"")</f>
        <v>15.45</v>
      </c>
      <c r="AE129" s="19">
        <f t="shared" si="5"/>
        <v>46051</v>
      </c>
      <c r="AF129" t="s">
        <v>139</v>
      </c>
      <c r="AG129">
        <v>16.88</v>
      </c>
    </row>
    <row r="130" spans="1:33" x14ac:dyDescent="0.3">
      <c r="A130">
        <v>5</v>
      </c>
      <c r="B130" t="s">
        <v>32</v>
      </c>
      <c r="C130" t="s">
        <v>33</v>
      </c>
      <c r="D130">
        <v>44678</v>
      </c>
      <c r="E130">
        <v>54.744999999999997</v>
      </c>
      <c r="F130">
        <v>223.35</v>
      </c>
      <c r="G130">
        <v>54.750474500000003</v>
      </c>
      <c r="H130">
        <v>223.327665</v>
      </c>
      <c r="I130">
        <v>-3.979476730420588</v>
      </c>
      <c r="J130">
        <v>0.96257307278179516</v>
      </c>
      <c r="K130">
        <v>0.18266508356927569</v>
      </c>
      <c r="L130">
        <v>-4.3097070641674291E-2</v>
      </c>
      <c r="M130" t="s">
        <v>29</v>
      </c>
      <c r="N130">
        <v>35</v>
      </c>
      <c r="O130" t="s">
        <v>28</v>
      </c>
      <c r="P130">
        <v>44713</v>
      </c>
      <c r="Q130">
        <v>54.695</v>
      </c>
      <c r="R130">
        <v>222.88</v>
      </c>
      <c r="S130">
        <v>0.11532049006353461</v>
      </c>
      <c r="T130">
        <v>1.11223690231236E-2</v>
      </c>
      <c r="U130">
        <v>7.2001617652988729E-3</v>
      </c>
      <c r="V130">
        <v>3.9251536309490341E-3</v>
      </c>
      <c r="W130">
        <v>3.2750081343498388E-3</v>
      </c>
      <c r="X130" s="19">
        <f t="shared" ref="X130:X193" si="6">WORKDAY(DATE(2025,8,2),INT(D130/390))</f>
        <v>46030</v>
      </c>
      <c r="Y130" s="19">
        <f t="shared" ref="Y130:Y193" si="7">WORKDAY(DATE(2025,8,2),INT(P130/390))</f>
        <v>46030</v>
      </c>
      <c r="Z130">
        <f t="array" ref="Z130">_xlfn.XLOOKUP(INT(X130),INT($AE$2:$AE$1000),$AG$2:$AG$1000,"")</f>
        <v>15.45</v>
      </c>
      <c r="AE130" s="19">
        <f t="shared" ref="AE130:AE193" si="8">IF(ISNUMBER(AF130),DATE(YEAR(AF130),DAY(AF130),MONTH(AF130)),DATE(RIGHT(AF130,4),LEFT(AF130,2),MID(AF130,4,2)))</f>
        <v>46052</v>
      </c>
      <c r="AF130" t="s">
        <v>140</v>
      </c>
      <c r="AG130">
        <v>17.440000000000001</v>
      </c>
    </row>
    <row r="131" spans="1:33" x14ac:dyDescent="0.3">
      <c r="A131">
        <v>5</v>
      </c>
      <c r="B131" t="s">
        <v>32</v>
      </c>
      <c r="C131" t="s">
        <v>33</v>
      </c>
      <c r="D131">
        <v>44768</v>
      </c>
      <c r="E131">
        <v>54.97</v>
      </c>
      <c r="F131">
        <v>223.7</v>
      </c>
      <c r="G131">
        <v>54.964503000000001</v>
      </c>
      <c r="H131">
        <v>223.72237000000001</v>
      </c>
      <c r="I131">
        <v>3.607953722638348</v>
      </c>
      <c r="J131">
        <v>0.96257307278179516</v>
      </c>
      <c r="K131">
        <v>-0.18191740949608881</v>
      </c>
      <c r="L131">
        <v>4.3029641161457098E-2</v>
      </c>
      <c r="M131" t="s">
        <v>27</v>
      </c>
      <c r="N131">
        <v>17</v>
      </c>
      <c r="O131" t="s">
        <v>28</v>
      </c>
      <c r="P131">
        <v>44785</v>
      </c>
      <c r="Q131">
        <v>54.9</v>
      </c>
      <c r="R131">
        <v>223.57</v>
      </c>
      <c r="S131">
        <v>0.1518145595532466</v>
      </c>
      <c r="T131">
        <v>7.1403653137370399E-3</v>
      </c>
      <c r="U131">
        <v>3.217051975375237E-3</v>
      </c>
      <c r="V131">
        <v>3.9251386601781473E-3</v>
      </c>
      <c r="W131">
        <v>-7.0808668480290982E-4</v>
      </c>
      <c r="X131" s="19">
        <f t="shared" si="6"/>
        <v>46030</v>
      </c>
      <c r="Y131" s="19">
        <f t="shared" si="7"/>
        <v>46030</v>
      </c>
      <c r="Z131">
        <f t="array" ref="Z131">_xlfn.XLOOKUP(INT(X131),INT($AE$2:$AE$1000),$AG$2:$AG$1000,"")</f>
        <v>15.45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5</v>
      </c>
      <c r="B132" t="s">
        <v>32</v>
      </c>
      <c r="C132" t="s">
        <v>33</v>
      </c>
      <c r="D132">
        <v>44932</v>
      </c>
      <c r="E132">
        <v>54.34</v>
      </c>
      <c r="F132">
        <v>220.86500000000001</v>
      </c>
      <c r="G132">
        <v>54.334566000000002</v>
      </c>
      <c r="H132">
        <v>220.88708650000001</v>
      </c>
      <c r="I132">
        <v>4.4138614249969113</v>
      </c>
      <c r="J132">
        <v>0.96257307278179516</v>
      </c>
      <c r="K132">
        <v>-0.18402649981597349</v>
      </c>
      <c r="L132">
        <v>4.358196512719513E-2</v>
      </c>
      <c r="M132" t="s">
        <v>27</v>
      </c>
      <c r="N132">
        <v>30</v>
      </c>
      <c r="O132" t="s">
        <v>28</v>
      </c>
      <c r="P132">
        <v>44962</v>
      </c>
      <c r="Q132">
        <v>54.51</v>
      </c>
      <c r="R132">
        <v>220.36</v>
      </c>
      <c r="S132">
        <v>-0.20505809498397451</v>
      </c>
      <c r="T132">
        <v>-5.3293397357947837E-2</v>
      </c>
      <c r="U132">
        <v>-5.7219471064769108E-2</v>
      </c>
      <c r="V132">
        <v>3.9251386601781473E-3</v>
      </c>
      <c r="W132">
        <v>-6.1144609724947258E-2</v>
      </c>
      <c r="X132" s="19">
        <f t="shared" si="6"/>
        <v>46031</v>
      </c>
      <c r="Y132" s="19">
        <f t="shared" si="7"/>
        <v>46031</v>
      </c>
      <c r="Z132">
        <f t="array" ref="Z132">_xlfn.XLOOKUP(INT(X132),INT($AE$2:$AE$1000),$AG$2:$AG$1000,"")</f>
        <v>14.49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5</v>
      </c>
      <c r="B133" t="s">
        <v>32</v>
      </c>
      <c r="C133" t="s">
        <v>33</v>
      </c>
      <c r="D133">
        <v>45712</v>
      </c>
      <c r="E133">
        <v>55.81</v>
      </c>
      <c r="F133">
        <v>225.77500000000001</v>
      </c>
      <c r="G133">
        <v>55.804419000000003</v>
      </c>
      <c r="H133">
        <v>225.79757749999999</v>
      </c>
      <c r="I133">
        <v>3.6376945154016518</v>
      </c>
      <c r="J133">
        <v>0.96257307278179516</v>
      </c>
      <c r="K133">
        <v>-0.1791793585378964</v>
      </c>
      <c r="L133">
        <v>4.2634174411772571E-2</v>
      </c>
      <c r="M133" t="s">
        <v>27</v>
      </c>
      <c r="N133">
        <v>44</v>
      </c>
      <c r="O133" t="s">
        <v>28</v>
      </c>
      <c r="P133">
        <v>45756</v>
      </c>
      <c r="Q133">
        <v>56.17</v>
      </c>
      <c r="R133">
        <v>224.15</v>
      </c>
      <c r="S133">
        <v>0.45046229564236989</v>
      </c>
      <c r="T133">
        <v>-0.13378510249277301</v>
      </c>
      <c r="U133">
        <v>-0.13770977104190241</v>
      </c>
      <c r="V133">
        <v>3.9251386601781473E-3</v>
      </c>
      <c r="W133">
        <v>-0.14163490970208059</v>
      </c>
      <c r="X133" s="19">
        <f t="shared" si="6"/>
        <v>46035</v>
      </c>
      <c r="Y133" s="19">
        <f t="shared" si="7"/>
        <v>46035</v>
      </c>
      <c r="Z133">
        <f t="array" ref="Z133">_xlfn.XLOOKUP(INT(X133),INT($AE$2:$AE$1000),$AG$2:$AG$1000,"")</f>
        <v>15.98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A134">
        <v>5</v>
      </c>
      <c r="B134" t="s">
        <v>32</v>
      </c>
      <c r="C134" t="s">
        <v>33</v>
      </c>
      <c r="D134">
        <v>45994</v>
      </c>
      <c r="E134">
        <v>56.59</v>
      </c>
      <c r="F134">
        <v>224.215</v>
      </c>
      <c r="G134">
        <v>56.584341000000002</v>
      </c>
      <c r="H134">
        <v>224.23742150000001</v>
      </c>
      <c r="I134">
        <v>3.5161297546711912</v>
      </c>
      <c r="J134">
        <v>0.96257307278179516</v>
      </c>
      <c r="K134">
        <v>-0.1767096660187312</v>
      </c>
      <c r="L134">
        <v>4.2930806269954963E-2</v>
      </c>
      <c r="M134" t="s">
        <v>27</v>
      </c>
      <c r="N134">
        <v>10</v>
      </c>
      <c r="O134" t="s">
        <v>28</v>
      </c>
      <c r="P134">
        <v>46004</v>
      </c>
      <c r="Q134">
        <v>56.54</v>
      </c>
      <c r="R134">
        <v>224.37</v>
      </c>
      <c r="S134">
        <v>4.0613840898947429E-2</v>
      </c>
      <c r="T134">
        <v>1.5489758272780379E-2</v>
      </c>
      <c r="U134">
        <v>1.1564830248049329E-2</v>
      </c>
      <c r="V134">
        <v>3.9251386601781473E-3</v>
      </c>
      <c r="W134">
        <v>7.6396915878711776E-3</v>
      </c>
      <c r="X134" s="19">
        <f t="shared" si="6"/>
        <v>46035</v>
      </c>
      <c r="Y134" s="19">
        <f t="shared" si="7"/>
        <v>46035</v>
      </c>
      <c r="Z134">
        <f t="array" ref="Z134">_xlfn.XLOOKUP(INT(X134),INT($AE$2:$AE$1000),$AG$2:$AG$1000,"")</f>
        <v>15.98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A135">
        <v>5</v>
      </c>
      <c r="B135" t="s">
        <v>32</v>
      </c>
      <c r="C135" t="s">
        <v>33</v>
      </c>
      <c r="D135">
        <v>46038</v>
      </c>
      <c r="E135">
        <v>56.314999999999998</v>
      </c>
      <c r="F135">
        <v>222.92500000000001</v>
      </c>
      <c r="G135">
        <v>56.309368499999998</v>
      </c>
      <c r="H135">
        <v>222.9472925</v>
      </c>
      <c r="I135">
        <v>3.7686028374970628</v>
      </c>
      <c r="J135">
        <v>0.96257307278179516</v>
      </c>
      <c r="K135">
        <v>-0.17757258279321669</v>
      </c>
      <c r="L135">
        <v>4.3179233947820798E-2</v>
      </c>
      <c r="M135" t="s">
        <v>27</v>
      </c>
      <c r="N135">
        <v>41</v>
      </c>
      <c r="O135" t="s">
        <v>28</v>
      </c>
      <c r="P135">
        <v>46079</v>
      </c>
      <c r="Q135">
        <v>56.34</v>
      </c>
      <c r="R135">
        <v>222.38</v>
      </c>
      <c r="S135">
        <v>0.1007883073618074</v>
      </c>
      <c r="T135">
        <v>-2.7971997071394451E-2</v>
      </c>
      <c r="U135">
        <v>-3.1895233880164027E-2</v>
      </c>
      <c r="V135">
        <v>3.9251386601781464E-3</v>
      </c>
      <c r="W135">
        <v>-3.5820372540342177E-2</v>
      </c>
      <c r="X135" s="19">
        <f t="shared" si="6"/>
        <v>46036</v>
      </c>
      <c r="Y135" s="19">
        <f t="shared" si="7"/>
        <v>46036</v>
      </c>
      <c r="Z135">
        <f t="array" ref="Z135">_xlfn.XLOOKUP(INT(X135),INT($AE$2:$AE$1000),$AG$2:$AG$1000,"")</f>
        <v>16.75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A136">
        <v>5</v>
      </c>
      <c r="B136" t="s">
        <v>32</v>
      </c>
      <c r="C136" t="s">
        <v>33</v>
      </c>
      <c r="D136">
        <v>47275</v>
      </c>
      <c r="E136">
        <v>56.23</v>
      </c>
      <c r="F136">
        <v>223.79</v>
      </c>
      <c r="G136">
        <v>56.235622999999997</v>
      </c>
      <c r="H136">
        <v>223.76762099999999</v>
      </c>
      <c r="I136">
        <v>-3.7644102603133929</v>
      </c>
      <c r="J136">
        <v>0.96257307278179516</v>
      </c>
      <c r="K136">
        <v>0.17784101013693759</v>
      </c>
      <c r="L136">
        <v>-4.3012336242986518E-2</v>
      </c>
      <c r="M136" t="s">
        <v>29</v>
      </c>
      <c r="N136">
        <v>22</v>
      </c>
      <c r="O136" t="s">
        <v>28</v>
      </c>
      <c r="P136">
        <v>47297</v>
      </c>
      <c r="Q136">
        <v>56.25</v>
      </c>
      <c r="R136">
        <v>221.94</v>
      </c>
      <c r="S136">
        <v>0.40078053118767742</v>
      </c>
      <c r="T136">
        <v>8.312964225226413E-2</v>
      </c>
      <c r="U136">
        <v>7.921209770688549E-2</v>
      </c>
      <c r="V136">
        <v>3.925153630949035E-3</v>
      </c>
      <c r="W136">
        <v>7.528694407593646E-2</v>
      </c>
      <c r="X136" s="19">
        <f t="shared" si="6"/>
        <v>46041</v>
      </c>
      <c r="Y136" s="19">
        <f t="shared" si="7"/>
        <v>46041</v>
      </c>
      <c r="Z136">
        <f t="array" ref="Z136">_xlfn.XLOOKUP(INT(X136),INT($AE$2:$AE$1000),$AG$2:$AG$1000,"")</f>
        <v>18.84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A137">
        <v>5</v>
      </c>
      <c r="B137" t="s">
        <v>30</v>
      </c>
      <c r="C137" t="s">
        <v>87</v>
      </c>
      <c r="D137">
        <v>43501</v>
      </c>
      <c r="E137">
        <v>54.725000000000001</v>
      </c>
      <c r="F137">
        <v>117.22</v>
      </c>
      <c r="G137">
        <v>54.719527500000012</v>
      </c>
      <c r="H137">
        <v>117.231722</v>
      </c>
      <c r="I137">
        <v>5.2946496522130628</v>
      </c>
      <c r="J137">
        <v>0.36985582956875818</v>
      </c>
      <c r="K137">
        <v>-0.18273184102329831</v>
      </c>
      <c r="L137">
        <v>3.1552280290800053E-2</v>
      </c>
      <c r="M137" t="s">
        <v>27</v>
      </c>
      <c r="N137">
        <v>23</v>
      </c>
      <c r="O137" t="s">
        <v>28</v>
      </c>
      <c r="P137">
        <v>43524</v>
      </c>
      <c r="Q137">
        <v>54.645000000000003</v>
      </c>
      <c r="R137">
        <v>117.125</v>
      </c>
      <c r="S137">
        <v>0.49114730406728058</v>
      </c>
      <c r="T137">
        <v>1.162108065423758E-2</v>
      </c>
      <c r="U137">
        <v>8.8831305964915154E-3</v>
      </c>
      <c r="V137">
        <v>2.7395856303034311E-3</v>
      </c>
      <c r="W137">
        <v>6.1435449661880852E-3</v>
      </c>
      <c r="X137" s="19">
        <f t="shared" si="6"/>
        <v>46027</v>
      </c>
      <c r="Y137" s="19">
        <f t="shared" si="7"/>
        <v>46027</v>
      </c>
      <c r="Z137">
        <f t="array" ref="Z137">_xlfn.XLOOKUP(INT(X137),INT($AE$2:$AE$1000),$AG$2:$AG$1000,"")</f>
        <v>14.9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A138">
        <v>5</v>
      </c>
      <c r="B138" t="s">
        <v>30</v>
      </c>
      <c r="C138" t="s">
        <v>87</v>
      </c>
      <c r="D138">
        <v>43742</v>
      </c>
      <c r="E138">
        <v>53.85</v>
      </c>
      <c r="F138">
        <v>115.38</v>
      </c>
      <c r="G138">
        <v>53.855384999999998</v>
      </c>
      <c r="H138">
        <v>115.36846199999999</v>
      </c>
      <c r="I138">
        <v>-4.0786284346079462</v>
      </c>
      <c r="J138">
        <v>0.36985582956875818</v>
      </c>
      <c r="K138">
        <v>0.18570102135561739</v>
      </c>
      <c r="L138">
        <v>-3.205545411412361E-2</v>
      </c>
      <c r="M138" t="s">
        <v>29</v>
      </c>
      <c r="N138">
        <v>30</v>
      </c>
      <c r="O138" t="s">
        <v>28</v>
      </c>
      <c r="P138">
        <v>43772</v>
      </c>
      <c r="Q138">
        <v>52.555</v>
      </c>
      <c r="R138">
        <v>114.72</v>
      </c>
      <c r="S138">
        <v>-0.31813433966580829</v>
      </c>
      <c r="T138">
        <v>-0.2193262229402034</v>
      </c>
      <c r="U138">
        <v>-0.2220397706571027</v>
      </c>
      <c r="V138">
        <v>2.739837687971603E-3</v>
      </c>
      <c r="W138">
        <v>-0.22477960834507429</v>
      </c>
      <c r="X138" s="19">
        <f t="shared" si="6"/>
        <v>46028</v>
      </c>
      <c r="Y138" s="19">
        <f t="shared" si="7"/>
        <v>46028</v>
      </c>
      <c r="Z138">
        <f t="array" ref="Z138">_xlfn.XLOOKUP(INT(X138),INT($AE$2:$AE$1000),$AG$2:$AG$1000,"")</f>
        <v>14.75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A139">
        <v>5</v>
      </c>
      <c r="B139" t="s">
        <v>30</v>
      </c>
      <c r="C139" t="s">
        <v>87</v>
      </c>
      <c r="D139">
        <v>44064</v>
      </c>
      <c r="E139">
        <v>52.56</v>
      </c>
      <c r="F139">
        <v>111.93</v>
      </c>
      <c r="G139">
        <v>52.554743999999999</v>
      </c>
      <c r="H139">
        <v>111.941193</v>
      </c>
      <c r="I139">
        <v>3.827893299651274</v>
      </c>
      <c r="J139">
        <v>0.36985582956875818</v>
      </c>
      <c r="K139">
        <v>-0.19025875190258751</v>
      </c>
      <c r="L139">
        <v>3.3043494109600481E-2</v>
      </c>
      <c r="M139" t="s">
        <v>27</v>
      </c>
      <c r="N139">
        <v>16</v>
      </c>
      <c r="O139" t="s">
        <v>28</v>
      </c>
      <c r="P139">
        <v>44080</v>
      </c>
      <c r="Q139">
        <v>52.53</v>
      </c>
      <c r="R139">
        <v>112.1</v>
      </c>
      <c r="S139">
        <v>0.36149183097824489</v>
      </c>
      <c r="T139">
        <v>1.1325156555709511E-2</v>
      </c>
      <c r="U139">
        <v>8.5854539334276579E-3</v>
      </c>
      <c r="V139">
        <v>2.7395856303034298E-3</v>
      </c>
      <c r="W139">
        <v>5.8458683031242277E-3</v>
      </c>
      <c r="X139" s="19">
        <f t="shared" si="6"/>
        <v>46028</v>
      </c>
      <c r="Y139" s="19">
        <f t="shared" si="7"/>
        <v>46029</v>
      </c>
      <c r="Z139">
        <f t="array" ref="Z139">_xlfn.XLOOKUP(INT(X139),INT($AE$2:$AE$1000),$AG$2:$AG$1000,"")</f>
        <v>14.75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A140">
        <v>5</v>
      </c>
      <c r="B140" t="s">
        <v>30</v>
      </c>
      <c r="C140" t="s">
        <v>87</v>
      </c>
      <c r="D140">
        <v>44150</v>
      </c>
      <c r="E140">
        <v>52.57</v>
      </c>
      <c r="F140">
        <v>114.935</v>
      </c>
      <c r="G140">
        <v>52.575257000000001</v>
      </c>
      <c r="H140">
        <v>114.9235065</v>
      </c>
      <c r="I140">
        <v>-3.739041340665608</v>
      </c>
      <c r="J140">
        <v>0.36985582956875818</v>
      </c>
      <c r="K140">
        <v>0.1902225603956629</v>
      </c>
      <c r="L140">
        <v>-3.217956493398514E-2</v>
      </c>
      <c r="M140" t="s">
        <v>29</v>
      </c>
      <c r="N140">
        <v>26</v>
      </c>
      <c r="O140" t="s">
        <v>28</v>
      </c>
      <c r="P140">
        <v>44176</v>
      </c>
      <c r="Q140">
        <v>52.48</v>
      </c>
      <c r="R140">
        <v>116.26</v>
      </c>
      <c r="S140">
        <v>-0.45862975463925137</v>
      </c>
      <c r="T140">
        <v>-5.9757953973140723E-2</v>
      </c>
      <c r="U140">
        <v>-6.2500217421588566E-2</v>
      </c>
      <c r="V140">
        <v>2.739837687971603E-3</v>
      </c>
      <c r="W140">
        <v>-6.5240055109560172E-2</v>
      </c>
      <c r="X140" s="19">
        <f t="shared" si="6"/>
        <v>46029</v>
      </c>
      <c r="Y140" s="19">
        <f t="shared" si="7"/>
        <v>46029</v>
      </c>
      <c r="Z140">
        <f t="array" ref="Z140">_xlfn.XLOOKUP(INT(X140),INT($AE$2:$AE$1000),$AG$2:$AG$1000,"")</f>
        <v>15.38</v>
      </c>
      <c r="AE140" s="19">
        <f t="shared" si="8"/>
        <v>46066</v>
      </c>
      <c r="AF140" t="s">
        <v>141</v>
      </c>
      <c r="AG140">
        <v>20.6</v>
      </c>
    </row>
    <row r="141" spans="1:33" x14ac:dyDescent="0.3">
      <c r="A141">
        <v>5</v>
      </c>
      <c r="B141" t="s">
        <v>30</v>
      </c>
      <c r="C141" t="s">
        <v>87</v>
      </c>
      <c r="D141">
        <v>44935</v>
      </c>
      <c r="E141">
        <v>52.33</v>
      </c>
      <c r="F141">
        <v>114.99</v>
      </c>
      <c r="G141">
        <v>52.335233000000002</v>
      </c>
      <c r="H141">
        <v>114.97850099999999</v>
      </c>
      <c r="I141">
        <v>-3.528361502344032</v>
      </c>
      <c r="J141">
        <v>0.36985582956875818</v>
      </c>
      <c r="K141">
        <v>0.1910949742021785</v>
      </c>
      <c r="L141">
        <v>-3.2164173368880618E-2</v>
      </c>
      <c r="M141" t="s">
        <v>29</v>
      </c>
      <c r="N141">
        <v>3</v>
      </c>
      <c r="O141" t="s">
        <v>28</v>
      </c>
      <c r="P141">
        <v>44938</v>
      </c>
      <c r="Q141">
        <v>52.53</v>
      </c>
      <c r="R141">
        <v>115.33499999999999</v>
      </c>
      <c r="S141">
        <v>-0.38422335106147459</v>
      </c>
      <c r="T141">
        <v>2.7122355028172469E-2</v>
      </c>
      <c r="U141">
        <v>2.4377711805571019E-2</v>
      </c>
      <c r="V141">
        <v>2.739837687971603E-3</v>
      </c>
      <c r="W141">
        <v>2.1637874117599411E-2</v>
      </c>
      <c r="X141" s="19">
        <f t="shared" si="6"/>
        <v>46031</v>
      </c>
      <c r="Y141" s="19">
        <f t="shared" si="7"/>
        <v>46031</v>
      </c>
      <c r="Z141">
        <f t="array" ref="Z141">_xlfn.XLOOKUP(INT(X141),INT($AE$2:$AE$1000),$AG$2:$AG$1000,"")</f>
        <v>14.49</v>
      </c>
      <c r="AE141" s="19">
        <f t="shared" si="8"/>
        <v>46069</v>
      </c>
      <c r="AF141" t="s">
        <v>142</v>
      </c>
      <c r="AG141">
        <v>21.2</v>
      </c>
    </row>
    <row r="142" spans="1:33" x14ac:dyDescent="0.3">
      <c r="A142">
        <v>5</v>
      </c>
      <c r="B142" t="s">
        <v>30</v>
      </c>
      <c r="C142" t="s">
        <v>87</v>
      </c>
      <c r="D142">
        <v>45702</v>
      </c>
      <c r="E142">
        <v>52.115000000000002</v>
      </c>
      <c r="F142">
        <v>114</v>
      </c>
      <c r="G142">
        <v>52.120211500000003</v>
      </c>
      <c r="H142">
        <v>113.98860000000001</v>
      </c>
      <c r="I142">
        <v>-3.858577886822343</v>
      </c>
      <c r="J142">
        <v>0.36985582956875818</v>
      </c>
      <c r="K142">
        <v>0.19188333493236109</v>
      </c>
      <c r="L142">
        <v>-3.2443493821820893E-2</v>
      </c>
      <c r="M142" t="s">
        <v>29</v>
      </c>
      <c r="N142">
        <v>36</v>
      </c>
      <c r="O142" t="s">
        <v>28</v>
      </c>
      <c r="P142">
        <v>45738</v>
      </c>
      <c r="Q142">
        <v>52.805</v>
      </c>
      <c r="R142">
        <v>114.41</v>
      </c>
      <c r="S142">
        <v>0.42318049579020139</v>
      </c>
      <c r="T142">
        <v>0.1190976686363823</v>
      </c>
      <c r="U142">
        <v>0.1163433868438879</v>
      </c>
      <c r="V142">
        <v>2.739837687971603E-3</v>
      </c>
      <c r="W142">
        <v>0.11360354915591631</v>
      </c>
      <c r="X142" s="19">
        <f t="shared" si="6"/>
        <v>46035</v>
      </c>
      <c r="Y142" s="19">
        <f t="shared" si="7"/>
        <v>46035</v>
      </c>
      <c r="Z142">
        <f t="array" ref="Z142">_xlfn.XLOOKUP(INT(X142),INT($AE$2:$AE$1000),$AG$2:$AG$1000,"")</f>
        <v>15.98</v>
      </c>
      <c r="AE142" s="19">
        <f t="shared" si="8"/>
        <v>46070</v>
      </c>
      <c r="AF142" t="s">
        <v>143</v>
      </c>
      <c r="AG142">
        <v>20.29</v>
      </c>
    </row>
    <row r="143" spans="1:33" x14ac:dyDescent="0.3">
      <c r="A143">
        <v>5</v>
      </c>
      <c r="B143" t="s">
        <v>30</v>
      </c>
      <c r="C143" t="s">
        <v>87</v>
      </c>
      <c r="D143">
        <v>46102</v>
      </c>
      <c r="E143">
        <v>52.06</v>
      </c>
      <c r="F143">
        <v>114.9</v>
      </c>
      <c r="G143">
        <v>52.065206000000003</v>
      </c>
      <c r="H143">
        <v>114.88851</v>
      </c>
      <c r="I143">
        <v>-5.0796513061434974</v>
      </c>
      <c r="J143">
        <v>0.36985582956875818</v>
      </c>
      <c r="K143">
        <v>0.19208605455243949</v>
      </c>
      <c r="L143">
        <v>-3.2189367238360148E-2</v>
      </c>
      <c r="M143" t="s">
        <v>29</v>
      </c>
      <c r="N143">
        <v>33</v>
      </c>
      <c r="O143" t="s">
        <v>28</v>
      </c>
      <c r="P143">
        <v>46135</v>
      </c>
      <c r="Q143">
        <v>51.82</v>
      </c>
      <c r="R143">
        <v>115.43</v>
      </c>
      <c r="S143">
        <v>-0.31371531947127312</v>
      </c>
      <c r="T143">
        <v>-6.3161017728916774E-2</v>
      </c>
      <c r="U143">
        <v>-6.5897825359208406E-2</v>
      </c>
      <c r="V143">
        <v>2.739837687971603E-3</v>
      </c>
      <c r="W143">
        <v>-6.8637663047180011E-2</v>
      </c>
      <c r="X143" s="19">
        <f t="shared" si="6"/>
        <v>46036</v>
      </c>
      <c r="Y143" s="19">
        <f t="shared" si="7"/>
        <v>46036</v>
      </c>
      <c r="Z143">
        <f t="array" ref="Z143">_xlfn.XLOOKUP(INT(X143),INT($AE$2:$AE$1000),$AG$2:$AG$1000,"")</f>
        <v>16.75</v>
      </c>
      <c r="AE143" s="19">
        <f t="shared" si="8"/>
        <v>46071</v>
      </c>
      <c r="AF143" t="s">
        <v>144</v>
      </c>
      <c r="AG143">
        <v>19.62</v>
      </c>
    </row>
    <row r="144" spans="1:33" x14ac:dyDescent="0.3">
      <c r="A144">
        <v>5</v>
      </c>
      <c r="B144" t="s">
        <v>30</v>
      </c>
      <c r="C144" t="s">
        <v>87</v>
      </c>
      <c r="D144">
        <v>46493</v>
      </c>
      <c r="E144">
        <v>51.99</v>
      </c>
      <c r="F144">
        <v>114.44</v>
      </c>
      <c r="G144">
        <v>51.984800999999997</v>
      </c>
      <c r="H144">
        <v>114.451444</v>
      </c>
      <c r="I144">
        <v>3.502001949011798</v>
      </c>
      <c r="J144">
        <v>0.36985582956875818</v>
      </c>
      <c r="K144">
        <v>-0.19234468166955179</v>
      </c>
      <c r="L144">
        <v>3.23187547683291E-2</v>
      </c>
      <c r="M144" t="s">
        <v>27</v>
      </c>
      <c r="N144">
        <v>24</v>
      </c>
      <c r="O144" t="s">
        <v>28</v>
      </c>
      <c r="P144">
        <v>46517</v>
      </c>
      <c r="Q144">
        <v>52.174999999999997</v>
      </c>
      <c r="R144">
        <v>115.29</v>
      </c>
      <c r="S144">
        <v>0.31202530575712439</v>
      </c>
      <c r="T144">
        <v>-8.1128245557861439E-3</v>
      </c>
      <c r="U144">
        <v>-1.085884168568927E-2</v>
      </c>
      <c r="V144">
        <v>2.7395856303034311E-3</v>
      </c>
      <c r="W144">
        <v>-1.35984273159927E-2</v>
      </c>
      <c r="X144" s="19">
        <f t="shared" si="6"/>
        <v>46037</v>
      </c>
      <c r="Y144" s="19">
        <f t="shared" si="7"/>
        <v>46037</v>
      </c>
      <c r="Z144">
        <f t="array" ref="Z144">_xlfn.XLOOKUP(INT(X144),INT($AE$2:$AE$1000),$AG$2:$AG$1000,"")</f>
        <v>15.84</v>
      </c>
      <c r="AE144" s="19">
        <f t="shared" si="8"/>
        <v>46072</v>
      </c>
      <c r="AF144" t="s">
        <v>145</v>
      </c>
      <c r="AG144">
        <v>20.23</v>
      </c>
    </row>
    <row r="145" spans="1:33" x14ac:dyDescent="0.3">
      <c r="A145">
        <v>5</v>
      </c>
      <c r="B145" t="s">
        <v>30</v>
      </c>
      <c r="C145" t="s">
        <v>87</v>
      </c>
      <c r="D145">
        <v>46676</v>
      </c>
      <c r="E145">
        <v>52.055</v>
      </c>
      <c r="F145">
        <v>115.02</v>
      </c>
      <c r="G145">
        <v>52.049794499999997</v>
      </c>
      <c r="H145">
        <v>115.031502</v>
      </c>
      <c r="I145">
        <v>3.5401046588014089</v>
      </c>
      <c r="J145">
        <v>0.36985582956875818</v>
      </c>
      <c r="K145">
        <v>-0.19210450485063871</v>
      </c>
      <c r="L145">
        <v>3.2155784173948723E-2</v>
      </c>
      <c r="M145" t="s">
        <v>27</v>
      </c>
      <c r="N145">
        <v>6</v>
      </c>
      <c r="O145" t="s">
        <v>28</v>
      </c>
      <c r="P145">
        <v>46682</v>
      </c>
      <c r="Q145">
        <v>52.024999999999999</v>
      </c>
      <c r="R145">
        <v>115.03</v>
      </c>
      <c r="S145">
        <v>0.47241648956207272</v>
      </c>
      <c r="T145">
        <v>6.0846929872590324E-3</v>
      </c>
      <c r="U145">
        <v>3.3455254858509491E-3</v>
      </c>
      <c r="V145">
        <v>2.7395856303034298E-3</v>
      </c>
      <c r="W145">
        <v>6.0593985554751846E-4</v>
      </c>
      <c r="X145" s="19">
        <f t="shared" si="6"/>
        <v>46037</v>
      </c>
      <c r="Y145" s="19">
        <f t="shared" si="7"/>
        <v>46037</v>
      </c>
      <c r="Z145">
        <f t="array" ref="Z145">_xlfn.XLOOKUP(INT(X145),INT($AE$2:$AE$1000),$AG$2:$AG$1000,"")</f>
        <v>15.84</v>
      </c>
      <c r="AE145" s="19">
        <f t="shared" si="8"/>
        <v>46073</v>
      </c>
      <c r="AF145" t="s">
        <v>146</v>
      </c>
      <c r="AG145">
        <v>19.09</v>
      </c>
    </row>
    <row r="146" spans="1:33" x14ac:dyDescent="0.3">
      <c r="A146">
        <v>5</v>
      </c>
      <c r="B146" t="s">
        <v>30</v>
      </c>
      <c r="C146" t="s">
        <v>87</v>
      </c>
      <c r="D146">
        <v>46885</v>
      </c>
      <c r="E146">
        <v>51.98</v>
      </c>
      <c r="F146">
        <v>115.35</v>
      </c>
      <c r="G146">
        <v>51.985197999999997</v>
      </c>
      <c r="H146">
        <v>115.338465</v>
      </c>
      <c r="I146">
        <v>-3.874561403117383</v>
      </c>
      <c r="J146">
        <v>0.36985582956875818</v>
      </c>
      <c r="K146">
        <v>0.19238168526356289</v>
      </c>
      <c r="L146">
        <v>-3.2063791033269028E-2</v>
      </c>
      <c r="M146" t="s">
        <v>29</v>
      </c>
      <c r="N146">
        <v>6</v>
      </c>
      <c r="O146" t="s">
        <v>28</v>
      </c>
      <c r="P146">
        <v>46891</v>
      </c>
      <c r="Q146">
        <v>52.1</v>
      </c>
      <c r="R146">
        <v>115.45</v>
      </c>
      <c r="S146">
        <v>-8.4777826135680412E-2</v>
      </c>
      <c r="T146">
        <v>1.9879423128301248E-2</v>
      </c>
      <c r="U146">
        <v>1.7137082251030809E-2</v>
      </c>
      <c r="V146">
        <v>2.739837687971603E-3</v>
      </c>
      <c r="W146">
        <v>1.43972445630592E-2</v>
      </c>
      <c r="X146" s="19">
        <f t="shared" si="6"/>
        <v>46038</v>
      </c>
      <c r="Y146" s="19">
        <f t="shared" si="7"/>
        <v>46038</v>
      </c>
      <c r="Z146">
        <f t="array" ref="Z146">_xlfn.XLOOKUP(INT(X146),INT($AE$2:$AE$1000),$AG$2:$AG$1000,"")</f>
        <v>15.86</v>
      </c>
      <c r="AE146" s="19">
        <f t="shared" si="8"/>
        <v>46076</v>
      </c>
      <c r="AF146" t="s">
        <v>147</v>
      </c>
      <c r="AG146">
        <v>21.01</v>
      </c>
    </row>
    <row r="147" spans="1:33" x14ac:dyDescent="0.3">
      <c r="A147">
        <v>5</v>
      </c>
      <c r="B147" t="s">
        <v>30</v>
      </c>
      <c r="C147" t="s">
        <v>87</v>
      </c>
      <c r="D147">
        <v>47273</v>
      </c>
      <c r="E147">
        <v>51.95</v>
      </c>
      <c r="F147">
        <v>114.785</v>
      </c>
      <c r="G147">
        <v>51.955195000000003</v>
      </c>
      <c r="H147">
        <v>114.7735215</v>
      </c>
      <c r="I147">
        <v>-4.9382799325887694</v>
      </c>
      <c r="J147">
        <v>0.36985582956875818</v>
      </c>
      <c r="K147">
        <v>0.19249278152069299</v>
      </c>
      <c r="L147">
        <v>-3.2221616898441267E-2</v>
      </c>
      <c r="M147" t="s">
        <v>29</v>
      </c>
      <c r="N147">
        <v>27</v>
      </c>
      <c r="O147" t="s">
        <v>28</v>
      </c>
      <c r="P147">
        <v>47300</v>
      </c>
      <c r="Q147">
        <v>52</v>
      </c>
      <c r="R147">
        <v>115.5</v>
      </c>
      <c r="S147">
        <v>-0.33179151671700091</v>
      </c>
      <c r="T147">
        <v>-1.341381700635152E-2</v>
      </c>
      <c r="U147">
        <v>-1.6156794975005221E-2</v>
      </c>
      <c r="V147">
        <v>2.739837687971603E-3</v>
      </c>
      <c r="W147">
        <v>-1.889663266297683E-2</v>
      </c>
      <c r="X147" s="19">
        <f t="shared" si="6"/>
        <v>46041</v>
      </c>
      <c r="Y147" s="19">
        <f t="shared" si="7"/>
        <v>46041</v>
      </c>
      <c r="Z147">
        <f t="array" ref="Z147">_xlfn.XLOOKUP(INT(X147),INT($AE$2:$AE$1000),$AG$2:$AG$1000,"")</f>
        <v>18.84</v>
      </c>
      <c r="AE147" s="19">
        <f t="shared" si="8"/>
        <v>46077</v>
      </c>
      <c r="AF147" t="s">
        <v>148</v>
      </c>
      <c r="AG147">
        <v>19.55</v>
      </c>
    </row>
    <row r="148" spans="1:33" x14ac:dyDescent="0.3">
      <c r="A148">
        <v>5</v>
      </c>
      <c r="B148" t="s">
        <v>30</v>
      </c>
      <c r="C148" t="s">
        <v>33</v>
      </c>
      <c r="D148">
        <v>43501</v>
      </c>
      <c r="E148">
        <v>54.725000000000001</v>
      </c>
      <c r="F148">
        <v>214.45500000000001</v>
      </c>
      <c r="G148">
        <v>54.730472499999998</v>
      </c>
      <c r="H148">
        <v>214.43355450000001</v>
      </c>
      <c r="I148">
        <v>-5.2942761197827517</v>
      </c>
      <c r="J148">
        <v>0.38436799874417199</v>
      </c>
      <c r="K148">
        <v>0.18273184102329831</v>
      </c>
      <c r="L148">
        <v>-1.7923014093594088E-2</v>
      </c>
      <c r="M148" t="s">
        <v>29</v>
      </c>
      <c r="N148">
        <v>23</v>
      </c>
      <c r="O148" t="s">
        <v>28</v>
      </c>
      <c r="P148">
        <v>43524</v>
      </c>
      <c r="Q148">
        <v>54.645000000000003</v>
      </c>
      <c r="R148">
        <v>214.14</v>
      </c>
      <c r="S148">
        <v>-0.49420264358038779</v>
      </c>
      <c r="T148">
        <v>-8.9727978423809474E-3</v>
      </c>
      <c r="U148">
        <v>-1.173950741019672E-2</v>
      </c>
      <c r="V148">
        <v>2.7688591238885949E-3</v>
      </c>
      <c r="W148">
        <v>-1.4508366534085311E-2</v>
      </c>
      <c r="X148" s="19">
        <f t="shared" si="6"/>
        <v>46027</v>
      </c>
      <c r="Y148" s="19">
        <f t="shared" si="7"/>
        <v>46027</v>
      </c>
      <c r="Z148">
        <f t="array" ref="Z148">_xlfn.XLOOKUP(INT(X148),INT($AE$2:$AE$1000),$AG$2:$AG$1000,"")</f>
        <v>14.9</v>
      </c>
      <c r="AE148" s="19">
        <f t="shared" si="8"/>
        <v>46078</v>
      </c>
      <c r="AF148" t="s">
        <v>149</v>
      </c>
      <c r="AG148">
        <v>17.93</v>
      </c>
    </row>
    <row r="149" spans="1:33" x14ac:dyDescent="0.3">
      <c r="A149">
        <v>5</v>
      </c>
      <c r="B149" t="s">
        <v>30</v>
      </c>
      <c r="C149" t="s">
        <v>33</v>
      </c>
      <c r="D149">
        <v>43742</v>
      </c>
      <c r="E149">
        <v>53.85</v>
      </c>
      <c r="F149">
        <v>212.48</v>
      </c>
      <c r="G149">
        <v>53.855384999999998</v>
      </c>
      <c r="H149">
        <v>212.458752</v>
      </c>
      <c r="I149">
        <v>-4.2644709991749616</v>
      </c>
      <c r="J149">
        <v>0.38436799874417199</v>
      </c>
      <c r="K149">
        <v>0.18570102135561739</v>
      </c>
      <c r="L149">
        <v>-1.808960837463159E-2</v>
      </c>
      <c r="M149" t="s">
        <v>29</v>
      </c>
      <c r="N149">
        <v>33</v>
      </c>
      <c r="O149" t="s">
        <v>28</v>
      </c>
      <c r="P149">
        <v>43775</v>
      </c>
      <c r="Q149">
        <v>52.65</v>
      </c>
      <c r="R149">
        <v>210.16</v>
      </c>
      <c r="S149">
        <v>-0.3475191970412288</v>
      </c>
      <c r="T149">
        <v>-0.1808733341975963</v>
      </c>
      <c r="U149">
        <v>-0.18361558928337851</v>
      </c>
      <c r="V149">
        <v>2.7688591238885949E-3</v>
      </c>
      <c r="W149">
        <v>-0.18638444840726709</v>
      </c>
      <c r="X149" s="19">
        <f t="shared" si="6"/>
        <v>46028</v>
      </c>
      <c r="Y149" s="19">
        <f t="shared" si="7"/>
        <v>46028</v>
      </c>
      <c r="Z149">
        <f t="array" ref="Z149">_xlfn.XLOOKUP(INT(X149),INT($AE$2:$AE$1000),$AG$2:$AG$1000,"")</f>
        <v>14.75</v>
      </c>
      <c r="AE149" s="19">
        <f t="shared" si="8"/>
        <v>46079</v>
      </c>
      <c r="AF149" t="s">
        <v>150</v>
      </c>
      <c r="AG149">
        <v>18.63</v>
      </c>
    </row>
    <row r="150" spans="1:33" x14ac:dyDescent="0.3">
      <c r="A150">
        <v>5</v>
      </c>
      <c r="B150" t="s">
        <v>30</v>
      </c>
      <c r="C150" t="s">
        <v>33</v>
      </c>
      <c r="D150">
        <v>44540</v>
      </c>
      <c r="E150">
        <v>52.555</v>
      </c>
      <c r="F150">
        <v>223.25</v>
      </c>
      <c r="G150">
        <v>52.560255499999997</v>
      </c>
      <c r="H150">
        <v>223.227675</v>
      </c>
      <c r="I150">
        <v>-5.1292571870738781</v>
      </c>
      <c r="J150">
        <v>0.38436799874417199</v>
      </c>
      <c r="K150">
        <v>0.19027685282085441</v>
      </c>
      <c r="L150">
        <v>-1.7216931634677361E-2</v>
      </c>
      <c r="M150" t="s">
        <v>29</v>
      </c>
      <c r="N150">
        <v>23</v>
      </c>
      <c r="O150" t="s">
        <v>28</v>
      </c>
      <c r="P150">
        <v>44563</v>
      </c>
      <c r="Q150">
        <v>52.445</v>
      </c>
      <c r="R150">
        <v>221.77</v>
      </c>
      <c r="S150">
        <v>-0.436441487274985</v>
      </c>
      <c r="T150">
        <v>4.5506050090284404E-3</v>
      </c>
      <c r="U150">
        <v>1.786510162804431E-3</v>
      </c>
      <c r="V150">
        <v>2.7688591238885949E-3</v>
      </c>
      <c r="W150">
        <v>-9.8234896108416415E-4</v>
      </c>
      <c r="X150" s="19">
        <f t="shared" si="6"/>
        <v>46030</v>
      </c>
      <c r="Y150" s="19">
        <f t="shared" si="7"/>
        <v>46030</v>
      </c>
      <c r="Z150">
        <f t="array" ref="Z150">_xlfn.XLOOKUP(INT(X150),INT($AE$2:$AE$1000),$AG$2:$AG$1000,"")</f>
        <v>15.45</v>
      </c>
      <c r="AE150" s="19">
        <f t="shared" si="8"/>
        <v>46080</v>
      </c>
      <c r="AF150" t="s">
        <v>151</v>
      </c>
      <c r="AG150">
        <v>19.86</v>
      </c>
    </row>
    <row r="151" spans="1:33" x14ac:dyDescent="0.3">
      <c r="A151">
        <v>5</v>
      </c>
      <c r="B151" t="s">
        <v>30</v>
      </c>
      <c r="C151" t="s">
        <v>33</v>
      </c>
      <c r="D151">
        <v>44899</v>
      </c>
      <c r="E151">
        <v>52.984999999999999</v>
      </c>
      <c r="F151">
        <v>222.82499999999999</v>
      </c>
      <c r="G151">
        <v>52.990298500000002</v>
      </c>
      <c r="H151">
        <v>222.8027175</v>
      </c>
      <c r="I151">
        <v>-3.602083636342269</v>
      </c>
      <c r="J151">
        <v>0.38436799874417199</v>
      </c>
      <c r="K151">
        <v>0.18873266018684531</v>
      </c>
      <c r="L151">
        <v>-1.7249769942518658E-2</v>
      </c>
      <c r="M151" t="s">
        <v>29</v>
      </c>
      <c r="N151">
        <v>9</v>
      </c>
      <c r="O151" t="s">
        <v>28</v>
      </c>
      <c r="P151">
        <v>44908</v>
      </c>
      <c r="Q151">
        <v>53.03</v>
      </c>
      <c r="R151">
        <v>222.71</v>
      </c>
      <c r="S151">
        <v>-0.1729274903891351</v>
      </c>
      <c r="T151">
        <v>1.047669325179768E-2</v>
      </c>
      <c r="U151">
        <v>7.7073063296932229E-3</v>
      </c>
      <c r="V151">
        <v>2.7688591238885958E-3</v>
      </c>
      <c r="W151">
        <v>4.9384472058046271E-3</v>
      </c>
      <c r="X151" s="19">
        <f t="shared" si="6"/>
        <v>46031</v>
      </c>
      <c r="Y151" s="19">
        <f t="shared" si="7"/>
        <v>46031</v>
      </c>
      <c r="Z151">
        <f t="array" ref="Z151">_xlfn.XLOOKUP(INT(X151),INT($AE$2:$AE$1000),$AG$2:$AG$1000,"")</f>
        <v>14.49</v>
      </c>
      <c r="AE151" s="19">
        <f t="shared" si="8"/>
        <v>46083</v>
      </c>
      <c r="AF151" s="19">
        <v>46056</v>
      </c>
      <c r="AG151">
        <v>21.44</v>
      </c>
    </row>
    <row r="152" spans="1:33" x14ac:dyDescent="0.3">
      <c r="A152">
        <v>5</v>
      </c>
      <c r="B152" t="s">
        <v>30</v>
      </c>
      <c r="C152" t="s">
        <v>33</v>
      </c>
      <c r="D152">
        <v>44931</v>
      </c>
      <c r="E152">
        <v>52.424999999999997</v>
      </c>
      <c r="F152">
        <v>220.86500000000001</v>
      </c>
      <c r="G152">
        <v>52.430242499999999</v>
      </c>
      <c r="H152">
        <v>220.84291350000001</v>
      </c>
      <c r="I152">
        <v>-4.6530072483892191</v>
      </c>
      <c r="J152">
        <v>0.38436799874417199</v>
      </c>
      <c r="K152">
        <v>0.19074868860276589</v>
      </c>
      <c r="L152">
        <v>-1.7402847836650082E-2</v>
      </c>
      <c r="M152" t="s">
        <v>29</v>
      </c>
      <c r="N152">
        <v>8</v>
      </c>
      <c r="O152" t="s">
        <v>28</v>
      </c>
      <c r="P152">
        <v>44939</v>
      </c>
      <c r="Q152">
        <v>52.57</v>
      </c>
      <c r="R152">
        <v>220.08</v>
      </c>
      <c r="S152">
        <v>-0.45804034475366467</v>
      </c>
      <c r="T152">
        <v>4.1319795399171903E-2</v>
      </c>
      <c r="U152">
        <v>3.854965966925368E-2</v>
      </c>
      <c r="V152">
        <v>2.7688591238885949E-3</v>
      </c>
      <c r="W152">
        <v>3.5780800545365088E-2</v>
      </c>
      <c r="X152" s="19">
        <f t="shared" si="6"/>
        <v>46031</v>
      </c>
      <c r="Y152" s="19">
        <f t="shared" si="7"/>
        <v>46031</v>
      </c>
      <c r="Z152">
        <f t="array" ref="Z152">_xlfn.XLOOKUP(INT(X152),INT($AE$2:$AE$1000),$AG$2:$AG$1000,"")</f>
        <v>14.49</v>
      </c>
      <c r="AE152" s="19">
        <f t="shared" si="8"/>
        <v>46084</v>
      </c>
      <c r="AF152" s="19">
        <v>46084</v>
      </c>
      <c r="AG152">
        <v>23.57</v>
      </c>
    </row>
    <row r="153" spans="1:33" x14ac:dyDescent="0.3">
      <c r="A153">
        <v>5</v>
      </c>
      <c r="B153" t="s">
        <v>30</v>
      </c>
      <c r="C153" t="s">
        <v>33</v>
      </c>
      <c r="D153">
        <v>45024</v>
      </c>
      <c r="E153">
        <v>53.034999999999997</v>
      </c>
      <c r="F153">
        <v>223.065</v>
      </c>
      <c r="G153">
        <v>53.040303499999993</v>
      </c>
      <c r="H153">
        <v>223.04269350000001</v>
      </c>
      <c r="I153">
        <v>-3.6389905474390289</v>
      </c>
      <c r="J153">
        <v>0.38436799874417199</v>
      </c>
      <c r="K153">
        <v>0.18855472800980491</v>
      </c>
      <c r="L153">
        <v>-1.7231210577373049E-2</v>
      </c>
      <c r="M153" t="s">
        <v>29</v>
      </c>
      <c r="N153">
        <v>53</v>
      </c>
      <c r="O153" t="s">
        <v>28</v>
      </c>
      <c r="P153">
        <v>45077</v>
      </c>
      <c r="Q153">
        <v>52.85</v>
      </c>
      <c r="R153">
        <v>223.18</v>
      </c>
      <c r="S153">
        <v>8.3257810667259818E-2</v>
      </c>
      <c r="T153">
        <v>-3.6864213898211047E-2</v>
      </c>
      <c r="U153">
        <v>-3.9629659792151793E-2</v>
      </c>
      <c r="V153">
        <v>2.7688591238885949E-3</v>
      </c>
      <c r="W153">
        <v>-4.2398518916040392E-2</v>
      </c>
      <c r="X153" s="19">
        <f t="shared" si="6"/>
        <v>46031</v>
      </c>
      <c r="Y153" s="19">
        <f t="shared" si="7"/>
        <v>46031</v>
      </c>
      <c r="Z153">
        <f t="array" ref="Z153">_xlfn.XLOOKUP(INT(X153),INT($AE$2:$AE$1000),$AG$2:$AG$1000,"")</f>
        <v>14.49</v>
      </c>
      <c r="AE153" s="19">
        <f t="shared" si="8"/>
        <v>46085</v>
      </c>
      <c r="AF153" s="19">
        <v>46115</v>
      </c>
      <c r="AG153">
        <v>21.15</v>
      </c>
    </row>
    <row r="154" spans="1:33" x14ac:dyDescent="0.3">
      <c r="A154">
        <v>5</v>
      </c>
      <c r="B154" t="s">
        <v>30</v>
      </c>
      <c r="C154" t="s">
        <v>33</v>
      </c>
      <c r="D154">
        <v>45712</v>
      </c>
      <c r="E154">
        <v>52.63</v>
      </c>
      <c r="F154">
        <v>225.77500000000001</v>
      </c>
      <c r="G154">
        <v>52.624737000000003</v>
      </c>
      <c r="H154">
        <v>225.79757749999999</v>
      </c>
      <c r="I154">
        <v>3.8467486256129448</v>
      </c>
      <c r="J154">
        <v>0.38436799874417199</v>
      </c>
      <c r="K154">
        <v>-0.1900057001710051</v>
      </c>
      <c r="L154">
        <v>1.7024382626250559E-2</v>
      </c>
      <c r="M154" t="s">
        <v>27</v>
      </c>
      <c r="N154">
        <v>26</v>
      </c>
      <c r="O154" t="s">
        <v>28</v>
      </c>
      <c r="P154">
        <v>45738</v>
      </c>
      <c r="Q154">
        <v>52.805</v>
      </c>
      <c r="R154">
        <v>225.035</v>
      </c>
      <c r="S154">
        <v>0.454217584723692</v>
      </c>
      <c r="T154">
        <v>-4.5849040673350917E-2</v>
      </c>
      <c r="U154">
        <v>-4.8619841966277548E-2</v>
      </c>
      <c r="V154">
        <v>2.7686128710880929E-3</v>
      </c>
      <c r="W154">
        <v>-5.1388454837365649E-2</v>
      </c>
      <c r="X154" s="19">
        <f t="shared" si="6"/>
        <v>46035</v>
      </c>
      <c r="Y154" s="19">
        <f t="shared" si="7"/>
        <v>46035</v>
      </c>
      <c r="Z154">
        <f t="array" ref="Z154">_xlfn.XLOOKUP(INT(X154),INT($AE$2:$AE$1000),$AG$2:$AG$1000,"")</f>
        <v>15.98</v>
      </c>
      <c r="AE154" s="19">
        <f t="shared" si="8"/>
        <v>46086</v>
      </c>
      <c r="AF154" s="19">
        <v>46145</v>
      </c>
      <c r="AG154">
        <v>23.75</v>
      </c>
    </row>
    <row r="155" spans="1:33" x14ac:dyDescent="0.3">
      <c r="A155">
        <v>5</v>
      </c>
      <c r="B155" t="s">
        <v>30</v>
      </c>
      <c r="C155" t="s">
        <v>33</v>
      </c>
      <c r="D155">
        <v>46102</v>
      </c>
      <c r="E155">
        <v>52.06</v>
      </c>
      <c r="F155">
        <v>221.495</v>
      </c>
      <c r="G155">
        <v>52.065206000000003</v>
      </c>
      <c r="H155">
        <v>221.47285049999999</v>
      </c>
      <c r="I155">
        <v>-4.8294081060238847</v>
      </c>
      <c r="J155">
        <v>0.38436799874417199</v>
      </c>
      <c r="K155">
        <v>0.19208605455243949</v>
      </c>
      <c r="L155">
        <v>-1.7353348777361659E-2</v>
      </c>
      <c r="M155" t="s">
        <v>29</v>
      </c>
      <c r="N155">
        <v>16</v>
      </c>
      <c r="O155" t="s">
        <v>28</v>
      </c>
      <c r="P155">
        <v>46118</v>
      </c>
      <c r="Q155">
        <v>51.82</v>
      </c>
      <c r="R155">
        <v>219.44</v>
      </c>
      <c r="S155">
        <v>-0.34466815817541507</v>
      </c>
      <c r="T155">
        <v>-1.0439521355107541E-2</v>
      </c>
      <c r="U155">
        <v>-1.3200081174112231E-2</v>
      </c>
      <c r="V155">
        <v>2.7688591238885958E-3</v>
      </c>
      <c r="W155">
        <v>-1.5968940298000819E-2</v>
      </c>
      <c r="X155" s="19">
        <f t="shared" si="6"/>
        <v>46036</v>
      </c>
      <c r="Y155" s="19">
        <f t="shared" si="7"/>
        <v>46036</v>
      </c>
      <c r="Z155">
        <f t="array" ref="Z155">_xlfn.XLOOKUP(INT(X155),INT($AE$2:$AE$1000),$AG$2:$AG$1000,"")</f>
        <v>16.75</v>
      </c>
      <c r="AE155" s="19">
        <f t="shared" si="8"/>
        <v>46087</v>
      </c>
      <c r="AF155" s="19">
        <v>46176</v>
      </c>
      <c r="AG155">
        <v>29.49</v>
      </c>
    </row>
    <row r="156" spans="1:33" x14ac:dyDescent="0.3">
      <c r="A156">
        <v>5</v>
      </c>
      <c r="B156" t="s">
        <v>30</v>
      </c>
      <c r="C156" t="s">
        <v>33</v>
      </c>
      <c r="D156">
        <v>46493</v>
      </c>
      <c r="E156">
        <v>51.99</v>
      </c>
      <c r="F156">
        <v>220.1</v>
      </c>
      <c r="G156">
        <v>51.984800999999997</v>
      </c>
      <c r="H156">
        <v>220.12200999999999</v>
      </c>
      <c r="I156">
        <v>4.3319375295807054</v>
      </c>
      <c r="J156">
        <v>0.38436799874417199</v>
      </c>
      <c r="K156">
        <v>-0.19234468166955179</v>
      </c>
      <c r="L156">
        <v>1.7463334790739301E-2</v>
      </c>
      <c r="M156" t="s">
        <v>27</v>
      </c>
      <c r="N156">
        <v>27</v>
      </c>
      <c r="O156" t="s">
        <v>28</v>
      </c>
      <c r="P156">
        <v>46520</v>
      </c>
      <c r="Q156">
        <v>52.06</v>
      </c>
      <c r="R156">
        <v>219.84</v>
      </c>
      <c r="S156">
        <v>-0.16160532132854119</v>
      </c>
      <c r="T156">
        <v>-1.8004594762460739E-2</v>
      </c>
      <c r="U156">
        <v>-2.0774223126015921E-2</v>
      </c>
      <c r="V156">
        <v>2.7686128710880929E-3</v>
      </c>
      <c r="W156">
        <v>-2.3542835997104019E-2</v>
      </c>
      <c r="X156" s="19">
        <f t="shared" si="6"/>
        <v>46037</v>
      </c>
      <c r="Y156" s="19">
        <f t="shared" si="7"/>
        <v>46037</v>
      </c>
      <c r="Z156">
        <f t="array" ref="Z156">_xlfn.XLOOKUP(INT(X156),INT($AE$2:$AE$1000),$AG$2:$AG$1000,"")</f>
        <v>15.84</v>
      </c>
      <c r="AE156" s="19">
        <f t="shared" si="8"/>
        <v>46090</v>
      </c>
      <c r="AF156" s="19">
        <v>46268</v>
      </c>
      <c r="AG156">
        <v>25.5</v>
      </c>
    </row>
    <row r="157" spans="1:33" x14ac:dyDescent="0.3">
      <c r="A157">
        <v>5</v>
      </c>
      <c r="B157" t="s">
        <v>30</v>
      </c>
      <c r="C157" t="s">
        <v>33</v>
      </c>
      <c r="D157">
        <v>46886</v>
      </c>
      <c r="E157">
        <v>51.87</v>
      </c>
      <c r="F157">
        <v>220.97</v>
      </c>
      <c r="G157">
        <v>51.875186999999997</v>
      </c>
      <c r="H157">
        <v>220.947903</v>
      </c>
      <c r="I157">
        <v>-3.780027853164297</v>
      </c>
      <c r="J157">
        <v>0.38436799874417199</v>
      </c>
      <c r="K157">
        <v>0.19278966647387699</v>
      </c>
      <c r="L157">
        <v>-1.7394578392730779E-2</v>
      </c>
      <c r="M157" t="s">
        <v>29</v>
      </c>
      <c r="N157">
        <v>2</v>
      </c>
      <c r="O157" t="s">
        <v>28</v>
      </c>
      <c r="P157">
        <v>46888</v>
      </c>
      <c r="Q157">
        <v>52.11</v>
      </c>
      <c r="R157">
        <v>221.69</v>
      </c>
      <c r="S157">
        <v>0.4293460898748831</v>
      </c>
      <c r="T157">
        <v>3.3745423510964732E-2</v>
      </c>
      <c r="U157">
        <v>3.0970808151836442E-2</v>
      </c>
      <c r="V157">
        <v>2.7688591238885958E-3</v>
      </c>
      <c r="W157">
        <v>2.8201949027947849E-2</v>
      </c>
      <c r="X157" s="19">
        <f t="shared" si="6"/>
        <v>46038</v>
      </c>
      <c r="Y157" s="19">
        <f t="shared" si="7"/>
        <v>46038</v>
      </c>
      <c r="Z157">
        <f t="array" ref="Z157">_xlfn.XLOOKUP(INT(X157),INT($AE$2:$AE$1000),$AG$2:$AG$1000,"")</f>
        <v>15.86</v>
      </c>
      <c r="AE157" s="19">
        <f t="shared" si="8"/>
        <v>46091</v>
      </c>
      <c r="AF157" s="19">
        <v>46298</v>
      </c>
      <c r="AG157">
        <v>24.93</v>
      </c>
    </row>
    <row r="158" spans="1:33" x14ac:dyDescent="0.3">
      <c r="A158">
        <v>5</v>
      </c>
      <c r="B158" t="s">
        <v>30</v>
      </c>
      <c r="C158" t="s">
        <v>33</v>
      </c>
      <c r="D158">
        <v>47273</v>
      </c>
      <c r="E158">
        <v>51.95</v>
      </c>
      <c r="F158">
        <v>223.79</v>
      </c>
      <c r="G158">
        <v>51.955195000000003</v>
      </c>
      <c r="H158">
        <v>223.76762099999999</v>
      </c>
      <c r="I158">
        <v>-3.9314727108947931</v>
      </c>
      <c r="J158">
        <v>0.38436799874417199</v>
      </c>
      <c r="K158">
        <v>0.19249278152069299</v>
      </c>
      <c r="L158">
        <v>-1.717538758408204E-2</v>
      </c>
      <c r="M158" t="s">
        <v>29</v>
      </c>
      <c r="N158">
        <v>6</v>
      </c>
      <c r="O158" t="s">
        <v>28</v>
      </c>
      <c r="P158">
        <v>47279</v>
      </c>
      <c r="Q158">
        <v>52.024999999999999</v>
      </c>
      <c r="R158">
        <v>222.79</v>
      </c>
      <c r="S158">
        <v>-0.1602187973415912</v>
      </c>
      <c r="T158">
        <v>3.1612346198133197E-2</v>
      </c>
      <c r="U158">
        <v>2.884388404354123E-2</v>
      </c>
      <c r="V158">
        <v>2.7688591238885949E-3</v>
      </c>
      <c r="W158">
        <v>2.6075024919652641E-2</v>
      </c>
      <c r="X158" s="19">
        <f t="shared" si="6"/>
        <v>46041</v>
      </c>
      <c r="Y158" s="19">
        <f t="shared" si="7"/>
        <v>46041</v>
      </c>
      <c r="Z158">
        <f t="array" ref="Z158">_xlfn.XLOOKUP(INT(X158),INT($AE$2:$AE$1000),$AG$2:$AG$1000,"")</f>
        <v>18.84</v>
      </c>
      <c r="AE158" s="19">
        <f t="shared" si="8"/>
        <v>46092</v>
      </c>
      <c r="AF158" s="19">
        <v>46329</v>
      </c>
      <c r="AG158">
        <v>24.23</v>
      </c>
    </row>
    <row r="159" spans="1:33" x14ac:dyDescent="0.3">
      <c r="A159">
        <v>5</v>
      </c>
      <c r="B159" t="s">
        <v>30</v>
      </c>
      <c r="C159" t="s">
        <v>152</v>
      </c>
      <c r="D159">
        <v>43501</v>
      </c>
      <c r="E159">
        <v>54.725000000000001</v>
      </c>
      <c r="F159">
        <v>233.22</v>
      </c>
      <c r="G159">
        <v>54.730472499999998</v>
      </c>
      <c r="H159">
        <v>233.19667799999999</v>
      </c>
      <c r="I159">
        <v>-5.2926790053891786</v>
      </c>
      <c r="J159">
        <v>0.42398871967426333</v>
      </c>
      <c r="K159">
        <v>0.18273184102329831</v>
      </c>
      <c r="L159">
        <v>-1.817977530547394E-2</v>
      </c>
      <c r="M159" t="s">
        <v>29</v>
      </c>
      <c r="N159">
        <v>23</v>
      </c>
      <c r="O159" t="s">
        <v>28</v>
      </c>
      <c r="P159">
        <v>43524</v>
      </c>
      <c r="Q159">
        <v>54.645000000000003</v>
      </c>
      <c r="R159">
        <v>233.34</v>
      </c>
      <c r="S159">
        <v>-0.4974249202228414</v>
      </c>
      <c r="T159">
        <v>-1.680012031852051E-2</v>
      </c>
      <c r="U159">
        <v>-1.964685406044446E-2</v>
      </c>
      <c r="V159">
        <v>2.8480926416045919E-3</v>
      </c>
      <c r="W159">
        <v>-2.2494946702049049E-2</v>
      </c>
      <c r="X159" s="19">
        <f t="shared" si="6"/>
        <v>46027</v>
      </c>
      <c r="Y159" s="19">
        <f t="shared" si="7"/>
        <v>46027</v>
      </c>
      <c r="Z159">
        <f t="array" ref="Z159">_xlfn.XLOOKUP(INT(X159),INT($AE$2:$AE$1000),$AG$2:$AG$1000,"")</f>
        <v>14.9</v>
      </c>
      <c r="AE159" s="19">
        <f t="shared" si="8"/>
        <v>46093</v>
      </c>
      <c r="AF159" s="19">
        <v>46359</v>
      </c>
      <c r="AG159">
        <v>27.29</v>
      </c>
    </row>
    <row r="160" spans="1:33" x14ac:dyDescent="0.3">
      <c r="A160">
        <v>5</v>
      </c>
      <c r="B160" t="s">
        <v>30</v>
      </c>
      <c r="C160" t="s">
        <v>152</v>
      </c>
      <c r="D160">
        <v>43742</v>
      </c>
      <c r="E160">
        <v>53.85</v>
      </c>
      <c r="F160">
        <v>231.78</v>
      </c>
      <c r="G160">
        <v>53.855384999999998</v>
      </c>
      <c r="H160">
        <v>231.756822</v>
      </c>
      <c r="I160">
        <v>-4.2648744091278177</v>
      </c>
      <c r="J160">
        <v>0.42398871967426333</v>
      </c>
      <c r="K160">
        <v>0.18570102135561739</v>
      </c>
      <c r="L160">
        <v>-1.8292722395127421E-2</v>
      </c>
      <c r="M160" t="s">
        <v>29</v>
      </c>
      <c r="N160">
        <v>33</v>
      </c>
      <c r="O160" t="s">
        <v>28</v>
      </c>
      <c r="P160">
        <v>43775</v>
      </c>
      <c r="Q160">
        <v>52.65</v>
      </c>
      <c r="R160">
        <v>228.51</v>
      </c>
      <c r="S160">
        <v>-0.23779335934164739</v>
      </c>
      <c r="T160">
        <v>-0.16302402339467459</v>
      </c>
      <c r="U160">
        <v>-0.165843734991237</v>
      </c>
      <c r="V160">
        <v>2.8480926416045919E-3</v>
      </c>
      <c r="W160">
        <v>-0.1686918276328416</v>
      </c>
      <c r="X160" s="19">
        <f t="shared" si="6"/>
        <v>46028</v>
      </c>
      <c r="Y160" s="19">
        <f t="shared" si="7"/>
        <v>46028</v>
      </c>
      <c r="Z160">
        <f t="array" ref="Z160">_xlfn.XLOOKUP(INT(X160),INT($AE$2:$AE$1000),$AG$2:$AG$1000,"")</f>
        <v>14.75</v>
      </c>
      <c r="AE160" s="19">
        <f t="shared" si="8"/>
        <v>46094</v>
      </c>
      <c r="AF160" t="s">
        <v>153</v>
      </c>
      <c r="AG160">
        <v>27.19</v>
      </c>
    </row>
    <row r="161" spans="1:33" x14ac:dyDescent="0.3">
      <c r="A161">
        <v>5</v>
      </c>
      <c r="B161" t="s">
        <v>30</v>
      </c>
      <c r="C161" t="s">
        <v>152</v>
      </c>
      <c r="D161">
        <v>44539</v>
      </c>
      <c r="E161">
        <v>52.59</v>
      </c>
      <c r="F161">
        <v>241.43</v>
      </c>
      <c r="G161">
        <v>52.595259000000013</v>
      </c>
      <c r="H161">
        <v>241.405857</v>
      </c>
      <c r="I161">
        <v>-4.6398762748020932</v>
      </c>
      <c r="J161">
        <v>0.42398871967426333</v>
      </c>
      <c r="K161">
        <v>0.19015021867275139</v>
      </c>
      <c r="L161">
        <v>-1.7561559030537351E-2</v>
      </c>
      <c r="M161" t="s">
        <v>29</v>
      </c>
      <c r="N161">
        <v>2</v>
      </c>
      <c r="O161" t="s">
        <v>28</v>
      </c>
      <c r="P161">
        <v>44541</v>
      </c>
      <c r="Q161">
        <v>52.91</v>
      </c>
      <c r="R161">
        <v>241.61</v>
      </c>
      <c r="S161">
        <v>-0.37275826554488117</v>
      </c>
      <c r="T161">
        <v>5.7686989349782322E-2</v>
      </c>
      <c r="U161">
        <v>5.4832610995373302E-2</v>
      </c>
      <c r="V161">
        <v>2.8480926416045919E-3</v>
      </c>
      <c r="W161">
        <v>5.1984518353768709E-2</v>
      </c>
      <c r="X161" s="19">
        <f t="shared" si="6"/>
        <v>46030</v>
      </c>
      <c r="Y161" s="19">
        <f t="shared" si="7"/>
        <v>46030</v>
      </c>
      <c r="Z161">
        <f t="array" ref="Z161">_xlfn.XLOOKUP(INT(X161),INT($AE$2:$AE$1000),$AG$2:$AG$1000,"")</f>
        <v>15.45</v>
      </c>
      <c r="AE161" s="19">
        <f t="shared" si="8"/>
        <v>46097</v>
      </c>
      <c r="AF161" t="s">
        <v>154</v>
      </c>
      <c r="AG161">
        <v>23.51</v>
      </c>
    </row>
    <row r="162" spans="1:33" x14ac:dyDescent="0.3">
      <c r="A162">
        <v>5</v>
      </c>
      <c r="B162" t="s">
        <v>30</v>
      </c>
      <c r="C162" t="s">
        <v>152</v>
      </c>
      <c r="D162">
        <v>45868</v>
      </c>
      <c r="E162">
        <v>52.9</v>
      </c>
      <c r="F162">
        <v>237.13</v>
      </c>
      <c r="G162">
        <v>52.905290000000001</v>
      </c>
      <c r="H162">
        <v>237.10628700000001</v>
      </c>
      <c r="I162">
        <v>-4.5091658239065699</v>
      </c>
      <c r="J162">
        <v>0.42398871967426333</v>
      </c>
      <c r="K162">
        <v>0.1890359168241966</v>
      </c>
      <c r="L162">
        <v>-1.7880011794132469E-2</v>
      </c>
      <c r="M162" t="s">
        <v>29</v>
      </c>
      <c r="N162">
        <v>10</v>
      </c>
      <c r="O162" t="s">
        <v>28</v>
      </c>
      <c r="P162">
        <v>45878</v>
      </c>
      <c r="Q162">
        <v>53.06</v>
      </c>
      <c r="R162">
        <v>237.25</v>
      </c>
      <c r="S162">
        <v>-0.1170974968328455</v>
      </c>
      <c r="T162">
        <v>2.8100145276576179E-2</v>
      </c>
      <c r="U162">
        <v>2.524892870241752E-2</v>
      </c>
      <c r="V162">
        <v>2.8480926416045919E-3</v>
      </c>
      <c r="W162">
        <v>2.2400836060812931E-2</v>
      </c>
      <c r="X162" s="19">
        <f t="shared" si="6"/>
        <v>46035</v>
      </c>
      <c r="Y162" s="19">
        <f t="shared" si="7"/>
        <v>46035</v>
      </c>
      <c r="Z162">
        <f t="array" ref="Z162">_xlfn.XLOOKUP(INT(X162),INT($AE$2:$AE$1000),$AG$2:$AG$1000,"")</f>
        <v>15.98</v>
      </c>
      <c r="AE162" s="19">
        <f t="shared" si="8"/>
        <v>46098</v>
      </c>
      <c r="AF162" t="s">
        <v>155</v>
      </c>
      <c r="AG162">
        <v>22.37</v>
      </c>
    </row>
    <row r="163" spans="1:33" x14ac:dyDescent="0.3">
      <c r="A163">
        <v>5</v>
      </c>
      <c r="B163" t="s">
        <v>30</v>
      </c>
      <c r="C163" t="s">
        <v>152</v>
      </c>
      <c r="D163">
        <v>46102</v>
      </c>
      <c r="E163">
        <v>52.06</v>
      </c>
      <c r="F163">
        <v>225.465</v>
      </c>
      <c r="G163">
        <v>52.054794000000001</v>
      </c>
      <c r="H163">
        <v>225.48754650000001</v>
      </c>
      <c r="I163">
        <v>5.1979581879182346</v>
      </c>
      <c r="J163">
        <v>0.42398871967426333</v>
      </c>
      <c r="K163">
        <v>-0.19208605455243949</v>
      </c>
      <c r="L163">
        <v>1.8805079266150548E-2</v>
      </c>
      <c r="M163" t="s">
        <v>27</v>
      </c>
      <c r="N163">
        <v>6</v>
      </c>
      <c r="O163" t="s">
        <v>28</v>
      </c>
      <c r="P163">
        <v>46108</v>
      </c>
      <c r="Q163">
        <v>51.81</v>
      </c>
      <c r="R163">
        <v>226.57</v>
      </c>
      <c r="S163">
        <v>0.47570018134002362</v>
      </c>
      <c r="T163">
        <v>6.8801126227206036E-2</v>
      </c>
      <c r="U163">
        <v>6.5955872977961877E-2</v>
      </c>
      <c r="V163">
        <v>2.847862237092462E-3</v>
      </c>
      <c r="W163">
        <v>6.3108010740869414E-2</v>
      </c>
      <c r="X163" s="19">
        <f t="shared" si="6"/>
        <v>46036</v>
      </c>
      <c r="Y163" s="19">
        <f t="shared" si="7"/>
        <v>46036</v>
      </c>
      <c r="Z163">
        <f t="array" ref="Z163">_xlfn.XLOOKUP(INT(X163),INT($AE$2:$AE$1000),$AG$2:$AG$1000,"")</f>
        <v>16.75</v>
      </c>
      <c r="AE163" s="19">
        <f t="shared" si="8"/>
        <v>46099</v>
      </c>
      <c r="AF163" t="s">
        <v>156</v>
      </c>
      <c r="AG163">
        <v>25.09</v>
      </c>
    </row>
    <row r="164" spans="1:33" x14ac:dyDescent="0.3">
      <c r="A164">
        <v>5</v>
      </c>
      <c r="B164" t="s">
        <v>30</v>
      </c>
      <c r="C164" t="s">
        <v>152</v>
      </c>
      <c r="D164">
        <v>46883</v>
      </c>
      <c r="E164">
        <v>52.09</v>
      </c>
      <c r="F164">
        <v>218.61</v>
      </c>
      <c r="G164">
        <v>52.084791000000003</v>
      </c>
      <c r="H164">
        <v>218.63186099999999</v>
      </c>
      <c r="I164">
        <v>4.462598363102078</v>
      </c>
      <c r="J164">
        <v>0.42398871967426333</v>
      </c>
      <c r="K164">
        <v>-0.19197542714532539</v>
      </c>
      <c r="L164">
        <v>1.9394754113456081E-2</v>
      </c>
      <c r="M164" t="s">
        <v>27</v>
      </c>
      <c r="N164">
        <v>15</v>
      </c>
      <c r="O164" t="s">
        <v>28</v>
      </c>
      <c r="P164">
        <v>46898</v>
      </c>
      <c r="Q164">
        <v>51.924999999999997</v>
      </c>
      <c r="R164">
        <v>217.52</v>
      </c>
      <c r="S164">
        <v>0.38837762153413352</v>
      </c>
      <c r="T164">
        <v>1.05356634953127E-2</v>
      </c>
      <c r="U164">
        <v>7.6929676787104891E-3</v>
      </c>
      <c r="V164">
        <v>2.847862237092462E-3</v>
      </c>
      <c r="W164">
        <v>4.8451054416180266E-3</v>
      </c>
      <c r="X164" s="19">
        <f t="shared" si="6"/>
        <v>46038</v>
      </c>
      <c r="Y164" s="19">
        <f t="shared" si="7"/>
        <v>46038</v>
      </c>
      <c r="Z164">
        <f t="array" ref="Z164">_xlfn.XLOOKUP(INT(X164),INT($AE$2:$AE$1000),$AG$2:$AG$1000,"")</f>
        <v>15.86</v>
      </c>
      <c r="AE164" s="19">
        <f t="shared" si="8"/>
        <v>46100</v>
      </c>
      <c r="AF164" t="s">
        <v>157</v>
      </c>
      <c r="AG164">
        <v>24.06</v>
      </c>
    </row>
    <row r="165" spans="1:33" x14ac:dyDescent="0.3">
      <c r="A165">
        <v>5</v>
      </c>
      <c r="B165" t="s">
        <v>30</v>
      </c>
      <c r="C165" t="s">
        <v>152</v>
      </c>
      <c r="D165">
        <v>47273</v>
      </c>
      <c r="E165">
        <v>51.95</v>
      </c>
      <c r="F165">
        <v>217.85</v>
      </c>
      <c r="G165">
        <v>51.955195000000003</v>
      </c>
      <c r="H165">
        <v>217.828215</v>
      </c>
      <c r="I165">
        <v>-4.2048694671549747</v>
      </c>
      <c r="J165">
        <v>0.42398871967426333</v>
      </c>
      <c r="K165">
        <v>0.19249278152069299</v>
      </c>
      <c r="L165">
        <v>-1.9462415408504172E-2</v>
      </c>
      <c r="M165" t="s">
        <v>29</v>
      </c>
      <c r="N165">
        <v>30</v>
      </c>
      <c r="O165" t="s">
        <v>28</v>
      </c>
      <c r="P165">
        <v>47303</v>
      </c>
      <c r="Q165">
        <v>51.95</v>
      </c>
      <c r="R165">
        <v>220.31</v>
      </c>
      <c r="S165">
        <v>-0.2046282596757836</v>
      </c>
      <c r="T165">
        <v>-4.7877541904920412E-2</v>
      </c>
      <c r="U165">
        <v>-5.0730307098459479E-2</v>
      </c>
      <c r="V165">
        <v>2.8480926416045919E-3</v>
      </c>
      <c r="W165">
        <v>-5.3578399740064071E-2</v>
      </c>
      <c r="X165" s="19">
        <f t="shared" si="6"/>
        <v>46041</v>
      </c>
      <c r="Y165" s="19">
        <f t="shared" si="7"/>
        <v>46041</v>
      </c>
      <c r="Z165">
        <f t="array" ref="Z165">_xlfn.XLOOKUP(INT(X165),INT($AE$2:$AE$1000),$AG$2:$AG$1000,"")</f>
        <v>18.84</v>
      </c>
      <c r="AE165" s="19">
        <f t="shared" si="8"/>
        <v>46101</v>
      </c>
      <c r="AF165" t="s">
        <v>158</v>
      </c>
      <c r="AG165">
        <v>26.78</v>
      </c>
    </row>
    <row r="166" spans="1:33" x14ac:dyDescent="0.3">
      <c r="A166">
        <v>5</v>
      </c>
      <c r="B166" t="s">
        <v>34</v>
      </c>
      <c r="C166" t="s">
        <v>33</v>
      </c>
      <c r="D166">
        <v>43501</v>
      </c>
      <c r="E166">
        <v>49.98</v>
      </c>
      <c r="F166">
        <v>214.45500000000001</v>
      </c>
      <c r="G166">
        <v>49.984997999999997</v>
      </c>
      <c r="H166">
        <v>214.43355450000001</v>
      </c>
      <c r="I166">
        <v>-5.294637105244707</v>
      </c>
      <c r="J166">
        <v>0.8270898444556487</v>
      </c>
      <c r="K166">
        <v>0.20008003201280511</v>
      </c>
      <c r="L166">
        <v>-3.856705809869896E-2</v>
      </c>
      <c r="M166" t="s">
        <v>29</v>
      </c>
      <c r="N166">
        <v>23</v>
      </c>
      <c r="O166" t="s">
        <v>28</v>
      </c>
      <c r="P166">
        <v>43524</v>
      </c>
      <c r="Q166">
        <v>50.005000000000003</v>
      </c>
      <c r="R166">
        <v>214.14</v>
      </c>
      <c r="S166">
        <v>-0.49054973458801332</v>
      </c>
      <c r="T166">
        <v>1.7150624101412441E-2</v>
      </c>
      <c r="U166">
        <v>1.349715907475119E-2</v>
      </c>
      <c r="V166">
        <v>3.6542142709424059E-3</v>
      </c>
      <c r="W166">
        <v>9.8429448038087827E-3</v>
      </c>
      <c r="X166" s="19">
        <f t="shared" si="6"/>
        <v>46027</v>
      </c>
      <c r="Y166" s="19">
        <f t="shared" si="7"/>
        <v>46027</v>
      </c>
      <c r="Z166">
        <f t="array" ref="Z166">_xlfn.XLOOKUP(INT(X166),INT($AE$2:$AE$1000),$AG$2:$AG$1000,"")</f>
        <v>14.9</v>
      </c>
      <c r="AE166" s="19">
        <f t="shared" si="8"/>
        <v>46104</v>
      </c>
      <c r="AF166" t="s">
        <v>159</v>
      </c>
      <c r="AG166">
        <v>26.15</v>
      </c>
    </row>
    <row r="167" spans="1:33" x14ac:dyDescent="0.3">
      <c r="A167">
        <v>5</v>
      </c>
      <c r="B167" t="s">
        <v>34</v>
      </c>
      <c r="C167" t="s">
        <v>33</v>
      </c>
      <c r="D167">
        <v>44136</v>
      </c>
      <c r="E167">
        <v>49.715000000000003</v>
      </c>
      <c r="F167">
        <v>212.03</v>
      </c>
      <c r="G167">
        <v>49.7199715</v>
      </c>
      <c r="H167">
        <v>212.00879699999999</v>
      </c>
      <c r="I167">
        <v>-3.6171839701462272</v>
      </c>
      <c r="J167">
        <v>0.8270898444556487</v>
      </c>
      <c r="K167">
        <v>0.20114653525093029</v>
      </c>
      <c r="L167">
        <v>-3.9008151886791902E-2</v>
      </c>
      <c r="M167" t="s">
        <v>29</v>
      </c>
      <c r="N167">
        <v>8</v>
      </c>
      <c r="O167" t="s">
        <v>28</v>
      </c>
      <c r="P167">
        <v>44144</v>
      </c>
      <c r="Q167">
        <v>49.84</v>
      </c>
      <c r="R167">
        <v>212.17</v>
      </c>
      <c r="S167">
        <v>-0.1366867737928093</v>
      </c>
      <c r="T167">
        <v>1.968217564221595E-2</v>
      </c>
      <c r="U167">
        <v>1.6024935507488559E-2</v>
      </c>
      <c r="V167">
        <v>3.6542142709424059E-3</v>
      </c>
      <c r="W167">
        <v>1.237072123654615E-2</v>
      </c>
      <c r="X167" s="19">
        <f t="shared" si="6"/>
        <v>46029</v>
      </c>
      <c r="Y167" s="19">
        <f t="shared" si="7"/>
        <v>46029</v>
      </c>
      <c r="Z167">
        <f t="array" ref="Z167">_xlfn.XLOOKUP(INT(X167),INT($AE$2:$AE$1000),$AG$2:$AG$1000,"")</f>
        <v>15.38</v>
      </c>
      <c r="AE167" s="19">
        <f t="shared" si="8"/>
        <v>46105</v>
      </c>
      <c r="AF167" t="s">
        <v>160</v>
      </c>
      <c r="AG167">
        <v>26.95</v>
      </c>
    </row>
    <row r="168" spans="1:33" x14ac:dyDescent="0.3">
      <c r="A168">
        <v>5</v>
      </c>
      <c r="B168" t="s">
        <v>34</v>
      </c>
      <c r="C168" t="s">
        <v>33</v>
      </c>
      <c r="D168">
        <v>44423</v>
      </c>
      <c r="E168">
        <v>50.335000000000001</v>
      </c>
      <c r="F168">
        <v>215.755</v>
      </c>
      <c r="G168">
        <v>50.340033499999997</v>
      </c>
      <c r="H168">
        <v>215.73342450000001</v>
      </c>
      <c r="I168">
        <v>-3.7312056425527711</v>
      </c>
      <c r="J168">
        <v>0.8270898444556487</v>
      </c>
      <c r="K168">
        <v>0.19866891824774011</v>
      </c>
      <c r="L168">
        <v>-3.8334677966009999E-2</v>
      </c>
      <c r="M168" t="s">
        <v>29</v>
      </c>
      <c r="N168">
        <v>10</v>
      </c>
      <c r="O168" t="s">
        <v>28</v>
      </c>
      <c r="P168">
        <v>44433</v>
      </c>
      <c r="Q168">
        <v>50.4</v>
      </c>
      <c r="R168">
        <v>215.77500000000001</v>
      </c>
      <c r="S168">
        <v>0.27256059573573371</v>
      </c>
      <c r="T168">
        <v>1.2146786126782071E-2</v>
      </c>
      <c r="U168">
        <v>8.4912384205460961E-3</v>
      </c>
      <c r="V168">
        <v>3.6542142709424059E-3</v>
      </c>
      <c r="W168">
        <v>4.8370241496036902E-3</v>
      </c>
      <c r="X168" s="19">
        <f t="shared" si="6"/>
        <v>46029</v>
      </c>
      <c r="Y168" s="19">
        <f t="shared" si="7"/>
        <v>46029</v>
      </c>
      <c r="Z168">
        <f t="array" ref="Z168">_xlfn.XLOOKUP(INT(X168),INT($AE$2:$AE$1000),$AG$2:$AG$1000,"")</f>
        <v>15.38</v>
      </c>
      <c r="AE168" s="19">
        <f t="shared" si="8"/>
        <v>46106</v>
      </c>
      <c r="AF168" t="s">
        <v>161</v>
      </c>
      <c r="AG168">
        <v>25.33</v>
      </c>
    </row>
    <row r="169" spans="1:33" x14ac:dyDescent="0.3">
      <c r="A169">
        <v>5</v>
      </c>
      <c r="B169" t="s">
        <v>34</v>
      </c>
      <c r="C169" t="s">
        <v>33</v>
      </c>
      <c r="D169">
        <v>44540</v>
      </c>
      <c r="E169">
        <v>50.31</v>
      </c>
      <c r="F169">
        <v>223.25</v>
      </c>
      <c r="G169">
        <v>50.315030999999998</v>
      </c>
      <c r="H169">
        <v>223.227675</v>
      </c>
      <c r="I169">
        <v>-5.2337578883759388</v>
      </c>
      <c r="J169">
        <v>0.8270898444556487</v>
      </c>
      <c r="K169">
        <v>0.1987676406281057</v>
      </c>
      <c r="L169">
        <v>-3.7047697400029063E-2</v>
      </c>
      <c r="M169" t="s">
        <v>29</v>
      </c>
      <c r="N169">
        <v>23</v>
      </c>
      <c r="O169" t="s">
        <v>28</v>
      </c>
      <c r="P169">
        <v>44563</v>
      </c>
      <c r="Q169">
        <v>50.12</v>
      </c>
      <c r="R169">
        <v>221.77</v>
      </c>
      <c r="S169">
        <v>-0.43156846005610061</v>
      </c>
      <c r="T169">
        <v>1.7064740432701581E-2</v>
      </c>
      <c r="U169">
        <v>1.3419820388177E-2</v>
      </c>
      <c r="V169">
        <v>3.6542142709424059E-3</v>
      </c>
      <c r="W169">
        <v>9.7656061172345966E-3</v>
      </c>
      <c r="X169" s="19">
        <f t="shared" si="6"/>
        <v>46030</v>
      </c>
      <c r="Y169" s="19">
        <f t="shared" si="7"/>
        <v>46030</v>
      </c>
      <c r="Z169">
        <f t="array" ref="Z169">_xlfn.XLOOKUP(INT(X169),INT($AE$2:$AE$1000),$AG$2:$AG$1000,"")</f>
        <v>15.45</v>
      </c>
      <c r="AE169" s="19">
        <f t="shared" si="8"/>
        <v>46107</v>
      </c>
      <c r="AF169" t="s">
        <v>162</v>
      </c>
      <c r="AG169">
        <v>27.44</v>
      </c>
    </row>
    <row r="170" spans="1:33" x14ac:dyDescent="0.3">
      <c r="A170">
        <v>5</v>
      </c>
      <c r="B170" t="s">
        <v>34</v>
      </c>
      <c r="C170" t="s">
        <v>33</v>
      </c>
      <c r="D170">
        <v>44678</v>
      </c>
      <c r="E170">
        <v>50.195</v>
      </c>
      <c r="F170">
        <v>223.35</v>
      </c>
      <c r="G170">
        <v>50.200019500000003</v>
      </c>
      <c r="H170">
        <v>223.327665</v>
      </c>
      <c r="I170">
        <v>-3.6821640249441789</v>
      </c>
      <c r="J170">
        <v>0.8270898444556487</v>
      </c>
      <c r="K170">
        <v>0.1992230301822891</v>
      </c>
      <c r="L170">
        <v>-3.703111011666213E-2</v>
      </c>
      <c r="M170" t="s">
        <v>29</v>
      </c>
      <c r="N170">
        <v>4</v>
      </c>
      <c r="O170" t="s">
        <v>28</v>
      </c>
      <c r="P170">
        <v>44682</v>
      </c>
      <c r="Q170">
        <v>50.164999999999999</v>
      </c>
      <c r="R170">
        <v>222.71</v>
      </c>
      <c r="S170">
        <v>-0.28129749438184898</v>
      </c>
      <c r="T170">
        <v>1.772321956919436E-2</v>
      </c>
      <c r="U170">
        <v>1.4072007540423049E-2</v>
      </c>
      <c r="V170">
        <v>3.6542142709424059E-3</v>
      </c>
      <c r="W170">
        <v>1.0417793269480649E-2</v>
      </c>
      <c r="X170" s="19">
        <f t="shared" si="6"/>
        <v>46030</v>
      </c>
      <c r="Y170" s="19">
        <f t="shared" si="7"/>
        <v>46030</v>
      </c>
      <c r="Z170">
        <f t="array" ref="Z170">_xlfn.XLOOKUP(INT(X170),INT($AE$2:$AE$1000),$AG$2:$AG$1000,"")</f>
        <v>15.45</v>
      </c>
      <c r="AE170" s="19">
        <f t="shared" si="8"/>
        <v>46108</v>
      </c>
      <c r="AF170" t="s">
        <v>163</v>
      </c>
      <c r="AG170">
        <v>31.05</v>
      </c>
    </row>
    <row r="171" spans="1:33" x14ac:dyDescent="0.3">
      <c r="A171">
        <v>5</v>
      </c>
      <c r="B171" t="s">
        <v>34</v>
      </c>
      <c r="C171" t="s">
        <v>33</v>
      </c>
      <c r="D171">
        <v>45321</v>
      </c>
      <c r="E171">
        <v>48.62</v>
      </c>
      <c r="F171">
        <v>223.19499999999999</v>
      </c>
      <c r="G171">
        <v>48.624862</v>
      </c>
      <c r="H171">
        <v>223.17268050000001</v>
      </c>
      <c r="I171">
        <v>-4.6847395227533148</v>
      </c>
      <c r="J171">
        <v>0.8270898444556487</v>
      </c>
      <c r="K171">
        <v>0.2056766762649116</v>
      </c>
      <c r="L171">
        <v>-3.7056826741443519E-2</v>
      </c>
      <c r="M171" t="s">
        <v>29</v>
      </c>
      <c r="N171">
        <v>5</v>
      </c>
      <c r="O171" t="s">
        <v>28</v>
      </c>
      <c r="P171">
        <v>45326</v>
      </c>
      <c r="Q171">
        <v>49.36</v>
      </c>
      <c r="R171">
        <v>224.01</v>
      </c>
      <c r="S171">
        <v>-0.46557799697351537</v>
      </c>
      <c r="T171">
        <v>0.1219994266417586</v>
      </c>
      <c r="U171">
        <v>0.11832700674742309</v>
      </c>
      <c r="V171">
        <v>3.6542142709424059E-3</v>
      </c>
      <c r="W171">
        <v>0.1146727924764807</v>
      </c>
      <c r="X171" s="19">
        <f t="shared" si="6"/>
        <v>46034</v>
      </c>
      <c r="Y171" s="19">
        <f t="shared" si="7"/>
        <v>46034</v>
      </c>
      <c r="Z171">
        <f t="array" ref="Z171">_xlfn.XLOOKUP(INT(X171),INT($AE$2:$AE$1000),$AG$2:$AG$1000,"")</f>
        <v>15.12</v>
      </c>
      <c r="AE171" s="19">
        <f t="shared" si="8"/>
        <v>46111</v>
      </c>
      <c r="AF171" t="s">
        <v>164</v>
      </c>
      <c r="AG171">
        <v>30.61</v>
      </c>
    </row>
    <row r="172" spans="1:33" x14ac:dyDescent="0.3">
      <c r="A172">
        <v>5</v>
      </c>
      <c r="B172" t="s">
        <v>34</v>
      </c>
      <c r="C172" t="s">
        <v>33</v>
      </c>
      <c r="D172">
        <v>45713</v>
      </c>
      <c r="E172">
        <v>50.4</v>
      </c>
      <c r="F172">
        <v>225.51</v>
      </c>
      <c r="G172">
        <v>50.394959999999998</v>
      </c>
      <c r="H172">
        <v>225.53255100000001</v>
      </c>
      <c r="I172">
        <v>3.887781847784324</v>
      </c>
      <c r="J172">
        <v>0.8270898444556487</v>
      </c>
      <c r="K172">
        <v>-0.1984126984126984</v>
      </c>
      <c r="L172">
        <v>3.6676415434155847E-2</v>
      </c>
      <c r="M172" t="s">
        <v>27</v>
      </c>
      <c r="N172">
        <v>1</v>
      </c>
      <c r="O172" t="s">
        <v>28</v>
      </c>
      <c r="P172">
        <v>45714</v>
      </c>
      <c r="Q172">
        <v>50.26</v>
      </c>
      <c r="R172">
        <v>226.85</v>
      </c>
      <c r="S172">
        <v>-0.31034822647301058</v>
      </c>
      <c r="T172">
        <v>7.6924174459546857E-2</v>
      </c>
      <c r="U172">
        <v>7.326785790874521E-2</v>
      </c>
      <c r="V172">
        <v>3.654145106880188E-3</v>
      </c>
      <c r="W172">
        <v>6.9613712801865027E-2</v>
      </c>
      <c r="X172" s="19">
        <f t="shared" si="6"/>
        <v>46035</v>
      </c>
      <c r="Y172" s="19">
        <f t="shared" si="7"/>
        <v>46035</v>
      </c>
      <c r="Z172">
        <f t="array" ref="Z172">_xlfn.XLOOKUP(INT(X172),INT($AE$2:$AE$1000),$AG$2:$AG$1000,"")</f>
        <v>15.98</v>
      </c>
      <c r="AE172" s="19">
        <f t="shared" si="8"/>
        <v>46112</v>
      </c>
      <c r="AF172" t="s">
        <v>165</v>
      </c>
      <c r="AG172">
        <v>25.25</v>
      </c>
    </row>
    <row r="173" spans="1:33" x14ac:dyDescent="0.3">
      <c r="A173">
        <v>5</v>
      </c>
      <c r="B173" t="s">
        <v>34</v>
      </c>
      <c r="C173" t="s">
        <v>33</v>
      </c>
      <c r="D173">
        <v>45920</v>
      </c>
      <c r="E173">
        <v>50.994999999999997</v>
      </c>
      <c r="F173">
        <v>225.28</v>
      </c>
      <c r="G173">
        <v>51.000099499999997</v>
      </c>
      <c r="H173">
        <v>225.25747200000001</v>
      </c>
      <c r="I173">
        <v>-3.5020228025193871</v>
      </c>
      <c r="J173">
        <v>0.8270898444556487</v>
      </c>
      <c r="K173">
        <v>0.19609765663300319</v>
      </c>
      <c r="L173">
        <v>-3.6713860283009971E-2</v>
      </c>
      <c r="M173" t="s">
        <v>29</v>
      </c>
      <c r="N173">
        <v>14</v>
      </c>
      <c r="O173" t="s">
        <v>28</v>
      </c>
      <c r="P173">
        <v>45934</v>
      </c>
      <c r="Q173">
        <v>50.865000000000002</v>
      </c>
      <c r="R173">
        <v>224.53</v>
      </c>
      <c r="S173">
        <v>-0.47536521026343492</v>
      </c>
      <c r="T173">
        <v>2.0426998499679491E-3</v>
      </c>
      <c r="U173">
        <v>-1.6061770298845921E-3</v>
      </c>
      <c r="V173">
        <v>3.6542142709424059E-3</v>
      </c>
      <c r="W173">
        <v>-5.2603913008269984E-3</v>
      </c>
      <c r="X173" s="19">
        <f t="shared" si="6"/>
        <v>46035</v>
      </c>
      <c r="Y173" s="19">
        <f t="shared" si="7"/>
        <v>46035</v>
      </c>
      <c r="Z173">
        <f t="array" ref="Z173">_xlfn.XLOOKUP(INT(X173),INT($AE$2:$AE$1000),$AG$2:$AG$1000,"")</f>
        <v>15.98</v>
      </c>
      <c r="AE173" s="19">
        <f t="shared" si="8"/>
        <v>46113</v>
      </c>
      <c r="AF173" s="19">
        <v>46026</v>
      </c>
      <c r="AG173">
        <v>24.54</v>
      </c>
    </row>
    <row r="174" spans="1:33" x14ac:dyDescent="0.3">
      <c r="A174">
        <v>5</v>
      </c>
      <c r="B174" t="s">
        <v>34</v>
      </c>
      <c r="C174" t="s">
        <v>33</v>
      </c>
      <c r="D174">
        <v>46482</v>
      </c>
      <c r="E174">
        <v>49.54</v>
      </c>
      <c r="F174">
        <v>219.06</v>
      </c>
      <c r="G174">
        <v>49.535046000000001</v>
      </c>
      <c r="H174">
        <v>219.081906</v>
      </c>
      <c r="I174">
        <v>3.861198659381432</v>
      </c>
      <c r="J174">
        <v>0.8270898444556487</v>
      </c>
      <c r="K174">
        <v>-0.20185708518368989</v>
      </c>
      <c r="L174">
        <v>3.7756315368193592E-2</v>
      </c>
      <c r="M174" t="s">
        <v>27</v>
      </c>
      <c r="N174">
        <v>12</v>
      </c>
      <c r="O174" t="s">
        <v>28</v>
      </c>
      <c r="P174">
        <v>46494</v>
      </c>
      <c r="Q174">
        <v>49.655000000000001</v>
      </c>
      <c r="R174">
        <v>220.1</v>
      </c>
      <c r="S174">
        <v>-0.19040376392426761</v>
      </c>
      <c r="T174">
        <v>1.605300318679629E-2</v>
      </c>
      <c r="U174">
        <v>1.2392575484608211E-2</v>
      </c>
      <c r="V174">
        <v>3.6541451068801889E-3</v>
      </c>
      <c r="W174">
        <v>8.7384303777280209E-3</v>
      </c>
      <c r="X174" s="19">
        <f t="shared" si="6"/>
        <v>46037</v>
      </c>
      <c r="Y174" s="19">
        <f t="shared" si="7"/>
        <v>46037</v>
      </c>
      <c r="Z174">
        <f t="array" ref="Z174">_xlfn.XLOOKUP(INT(X174),INT($AE$2:$AE$1000),$AG$2:$AG$1000,"")</f>
        <v>15.84</v>
      </c>
      <c r="AE174" s="19">
        <f t="shared" si="8"/>
        <v>46114</v>
      </c>
      <c r="AF174" s="19">
        <v>46057</v>
      </c>
      <c r="AG174">
        <v>23.87</v>
      </c>
    </row>
    <row r="175" spans="1:33" x14ac:dyDescent="0.3">
      <c r="A175">
        <v>5</v>
      </c>
      <c r="B175" t="s">
        <v>34</v>
      </c>
      <c r="C175" t="s">
        <v>33</v>
      </c>
      <c r="D175">
        <v>46691</v>
      </c>
      <c r="E175">
        <v>49.975000000000001</v>
      </c>
      <c r="F175">
        <v>220.4</v>
      </c>
      <c r="G175">
        <v>49.979997500000003</v>
      </c>
      <c r="H175">
        <v>220.37796</v>
      </c>
      <c r="I175">
        <v>-3.5006591740868038</v>
      </c>
      <c r="J175">
        <v>0.8270898444556487</v>
      </c>
      <c r="K175">
        <v>0.20010005002501249</v>
      </c>
      <c r="L175">
        <v>-3.7526762452615638E-2</v>
      </c>
      <c r="M175" t="s">
        <v>29</v>
      </c>
      <c r="N175">
        <v>20</v>
      </c>
      <c r="O175" t="s">
        <v>28</v>
      </c>
      <c r="P175">
        <v>46711</v>
      </c>
      <c r="Q175">
        <v>49.984999999999999</v>
      </c>
      <c r="R175">
        <v>220.7</v>
      </c>
      <c r="S175">
        <v>-0.32883155523824731</v>
      </c>
      <c r="T175">
        <v>-9.2570282355343252E-3</v>
      </c>
      <c r="U175">
        <v>-1.2912533827369021E-2</v>
      </c>
      <c r="V175">
        <v>3.6542142709424059E-3</v>
      </c>
      <c r="W175">
        <v>-1.6566748098311431E-2</v>
      </c>
      <c r="X175" s="19">
        <f t="shared" si="6"/>
        <v>46037</v>
      </c>
      <c r="Y175" s="19">
        <f t="shared" si="7"/>
        <v>46037</v>
      </c>
      <c r="Z175">
        <f t="array" ref="Z175">_xlfn.XLOOKUP(INT(X175),INT($AE$2:$AE$1000),$AG$2:$AG$1000,"")</f>
        <v>15.84</v>
      </c>
      <c r="AE175" s="19">
        <f t="shared" si="8"/>
        <v>46118</v>
      </c>
      <c r="AF175" s="19">
        <v>46177</v>
      </c>
      <c r="AG175">
        <v>24.17</v>
      </c>
    </row>
    <row r="176" spans="1:33" x14ac:dyDescent="0.3">
      <c r="A176">
        <v>5</v>
      </c>
      <c r="B176" t="s">
        <v>34</v>
      </c>
      <c r="C176" t="s">
        <v>33</v>
      </c>
      <c r="D176">
        <v>47279</v>
      </c>
      <c r="E176">
        <v>50.96</v>
      </c>
      <c r="F176">
        <v>222.79</v>
      </c>
      <c r="G176">
        <v>50.954903999999999</v>
      </c>
      <c r="H176">
        <v>222.81227899999999</v>
      </c>
      <c r="I176">
        <v>3.9615910408559039</v>
      </c>
      <c r="J176">
        <v>0.8270898444556487</v>
      </c>
      <c r="K176">
        <v>-0.19623233908948201</v>
      </c>
      <c r="L176">
        <v>3.7124190693282863E-2</v>
      </c>
      <c r="M176" t="s">
        <v>27</v>
      </c>
      <c r="N176">
        <v>19</v>
      </c>
      <c r="O176" t="s">
        <v>28</v>
      </c>
      <c r="P176">
        <v>47298</v>
      </c>
      <c r="Q176">
        <v>50.88</v>
      </c>
      <c r="R176">
        <v>221.94</v>
      </c>
      <c r="S176">
        <v>0.45794447065128491</v>
      </c>
      <c r="T176">
        <v>-1.5856974962131992E-2</v>
      </c>
      <c r="U176">
        <v>-1.9506429236121461E-2</v>
      </c>
      <c r="V176">
        <v>3.6541451068801889E-3</v>
      </c>
      <c r="W176">
        <v>-2.3160574343001651E-2</v>
      </c>
      <c r="X176" s="19">
        <f t="shared" si="6"/>
        <v>46041</v>
      </c>
      <c r="Y176" s="19">
        <f t="shared" si="7"/>
        <v>46041</v>
      </c>
      <c r="Z176">
        <f t="array" ref="Z176">_xlfn.XLOOKUP(INT(X176),INT($AE$2:$AE$1000),$AG$2:$AG$1000,"")</f>
        <v>18.84</v>
      </c>
      <c r="AE176" s="19">
        <f t="shared" si="8"/>
        <v>46119</v>
      </c>
      <c r="AF176" s="19">
        <v>46207</v>
      </c>
      <c r="AG176">
        <v>25.78</v>
      </c>
    </row>
    <row r="177" spans="1:33" x14ac:dyDescent="0.3">
      <c r="A177">
        <v>5</v>
      </c>
      <c r="B177" t="s">
        <v>30</v>
      </c>
      <c r="C177" t="s">
        <v>26</v>
      </c>
      <c r="D177">
        <v>43501</v>
      </c>
      <c r="E177">
        <v>54.725000000000001</v>
      </c>
      <c r="F177">
        <v>941.68</v>
      </c>
      <c r="G177">
        <v>54.719527500000012</v>
      </c>
      <c r="H177">
        <v>941.77416799999992</v>
      </c>
      <c r="I177">
        <v>5.2946451499927667</v>
      </c>
      <c r="J177">
        <v>0.39029275790549622</v>
      </c>
      <c r="K177">
        <v>-0.18273184102329831</v>
      </c>
      <c r="L177">
        <v>4.1446431686506698E-3</v>
      </c>
      <c r="M177" t="s">
        <v>27</v>
      </c>
      <c r="N177">
        <v>23</v>
      </c>
      <c r="O177" t="s">
        <v>28</v>
      </c>
      <c r="P177">
        <v>43524</v>
      </c>
      <c r="Q177">
        <v>54.645000000000003</v>
      </c>
      <c r="R177">
        <v>942.19</v>
      </c>
      <c r="S177">
        <v>0.4903915638903249</v>
      </c>
      <c r="T177">
        <v>1.6732315297875829E-2</v>
      </c>
      <c r="U177">
        <v>1.395298025999204E-2</v>
      </c>
      <c r="V177">
        <v>2.7804635743625739E-3</v>
      </c>
      <c r="W177">
        <v>1.117251668562947E-2</v>
      </c>
      <c r="X177" s="19">
        <f t="shared" si="6"/>
        <v>46027</v>
      </c>
      <c r="Y177" s="19">
        <f t="shared" si="7"/>
        <v>46027</v>
      </c>
      <c r="Z177">
        <f t="array" ref="Z177">_xlfn.XLOOKUP(INT(X177),INT($AE$2:$AE$1000),$AG$2:$AG$1000,"")</f>
        <v>14.9</v>
      </c>
      <c r="AE177" s="19">
        <f t="shared" si="8"/>
        <v>46120</v>
      </c>
      <c r="AF177" s="19">
        <v>46238</v>
      </c>
      <c r="AG177">
        <v>21.04</v>
      </c>
    </row>
    <row r="178" spans="1:33" x14ac:dyDescent="0.3">
      <c r="A178">
        <v>5</v>
      </c>
      <c r="B178" t="s">
        <v>30</v>
      </c>
      <c r="C178" t="s">
        <v>26</v>
      </c>
      <c r="D178">
        <v>43573</v>
      </c>
      <c r="E178">
        <v>54.725000000000001</v>
      </c>
      <c r="F178">
        <v>940</v>
      </c>
      <c r="G178">
        <v>54.719527500000012</v>
      </c>
      <c r="H178">
        <v>940.09399999999994</v>
      </c>
      <c r="I178">
        <v>3.5409454148279371</v>
      </c>
      <c r="J178">
        <v>0.39029275790549622</v>
      </c>
      <c r="K178">
        <v>-0.18273184102329831</v>
      </c>
      <c r="L178">
        <v>4.1520506160159171E-3</v>
      </c>
      <c r="M178" t="s">
        <v>27</v>
      </c>
      <c r="N178">
        <v>10</v>
      </c>
      <c r="O178" t="s">
        <v>28</v>
      </c>
      <c r="P178">
        <v>43583</v>
      </c>
      <c r="Q178">
        <v>54.704999999999998</v>
      </c>
      <c r="R178">
        <v>940.79</v>
      </c>
      <c r="S178">
        <v>0.37552119911482751</v>
      </c>
      <c r="T178">
        <v>6.9347568071189613E-3</v>
      </c>
      <c r="U178">
        <v>4.154208742992215E-3</v>
      </c>
      <c r="V178">
        <v>2.7804635743625739E-3</v>
      </c>
      <c r="W178">
        <v>1.3737451686296419E-3</v>
      </c>
      <c r="X178" s="19">
        <f t="shared" si="6"/>
        <v>46027</v>
      </c>
      <c r="Y178" s="19">
        <f t="shared" si="7"/>
        <v>46027</v>
      </c>
      <c r="Z178">
        <f t="array" ref="Z178">_xlfn.XLOOKUP(INT(X178),INT($AE$2:$AE$1000),$AG$2:$AG$1000,"")</f>
        <v>14.9</v>
      </c>
      <c r="AE178" s="19">
        <f t="shared" si="8"/>
        <v>46121</v>
      </c>
      <c r="AF178" s="19">
        <v>46269</v>
      </c>
      <c r="AG178">
        <v>19.489999999999998</v>
      </c>
    </row>
    <row r="179" spans="1:33" x14ac:dyDescent="0.3">
      <c r="A179">
        <v>5</v>
      </c>
      <c r="B179" t="s">
        <v>30</v>
      </c>
      <c r="C179" t="s">
        <v>26</v>
      </c>
      <c r="D179">
        <v>43742</v>
      </c>
      <c r="E179">
        <v>53.85</v>
      </c>
      <c r="F179">
        <v>937.85</v>
      </c>
      <c r="G179">
        <v>53.855384999999998</v>
      </c>
      <c r="H179">
        <v>937.756215</v>
      </c>
      <c r="I179">
        <v>-4.373316728194701</v>
      </c>
      <c r="J179">
        <v>0.39029275790549622</v>
      </c>
      <c r="K179">
        <v>0.18570102135561739</v>
      </c>
      <c r="L179">
        <v>-4.1615690985285086E-3</v>
      </c>
      <c r="M179" t="s">
        <v>29</v>
      </c>
      <c r="N179">
        <v>33</v>
      </c>
      <c r="O179" t="s">
        <v>28</v>
      </c>
      <c r="P179">
        <v>43775</v>
      </c>
      <c r="Q179">
        <v>52.65</v>
      </c>
      <c r="R179">
        <v>928.53499999999997</v>
      </c>
      <c r="S179">
        <v>-0.29933209528425869</v>
      </c>
      <c r="T179">
        <v>-0.1840762094739482</v>
      </c>
      <c r="U179">
        <v>-0.1868306343655812</v>
      </c>
      <c r="V179">
        <v>2.7807074572594112E-3</v>
      </c>
      <c r="W179">
        <v>-0.18961134182284059</v>
      </c>
      <c r="X179" s="19">
        <f t="shared" si="6"/>
        <v>46028</v>
      </c>
      <c r="Y179" s="19">
        <f t="shared" si="7"/>
        <v>46028</v>
      </c>
      <c r="Z179">
        <f t="array" ref="Z179">_xlfn.XLOOKUP(INT(X179),INT($AE$2:$AE$1000),$AG$2:$AG$1000,"")</f>
        <v>14.75</v>
      </c>
      <c r="AE179" s="19">
        <f t="shared" si="8"/>
        <v>46122</v>
      </c>
      <c r="AF179" s="19">
        <v>46299</v>
      </c>
      <c r="AG179">
        <v>19.23</v>
      </c>
    </row>
    <row r="180" spans="1:33" x14ac:dyDescent="0.3">
      <c r="A180">
        <v>5</v>
      </c>
      <c r="B180" t="s">
        <v>30</v>
      </c>
      <c r="C180" t="s">
        <v>26</v>
      </c>
      <c r="D180">
        <v>44273</v>
      </c>
      <c r="E180">
        <v>52.765000000000001</v>
      </c>
      <c r="F180">
        <v>970.31</v>
      </c>
      <c r="G180">
        <v>52.770276500000001</v>
      </c>
      <c r="H180">
        <v>970.21296899999993</v>
      </c>
      <c r="I180">
        <v>-3.5992343542691572</v>
      </c>
      <c r="J180">
        <v>0.39029275790549622</v>
      </c>
      <c r="K180">
        <v>0.18951956789538521</v>
      </c>
      <c r="L180">
        <v>-4.0223511857601819E-3</v>
      </c>
      <c r="M180" t="s">
        <v>29</v>
      </c>
      <c r="N180">
        <v>17</v>
      </c>
      <c r="O180" t="s">
        <v>28</v>
      </c>
      <c r="P180">
        <v>44290</v>
      </c>
      <c r="Q180">
        <v>52.755000000000003</v>
      </c>
      <c r="R180">
        <v>969.87</v>
      </c>
      <c r="S180">
        <v>-0.47464721063926751</v>
      </c>
      <c r="T180">
        <v>-1.2536115721923269E-4</v>
      </c>
      <c r="U180">
        <v>-2.905580170009703E-3</v>
      </c>
      <c r="V180">
        <v>2.7807074572594121E-3</v>
      </c>
      <c r="W180">
        <v>-5.6862876272691151E-3</v>
      </c>
      <c r="X180" s="19">
        <f t="shared" si="6"/>
        <v>46029</v>
      </c>
      <c r="Y180" s="19">
        <f t="shared" si="7"/>
        <v>46029</v>
      </c>
      <c r="Z180">
        <f t="array" ref="Z180">_xlfn.XLOOKUP(INT(X180),INT($AE$2:$AE$1000),$AG$2:$AG$1000,"")</f>
        <v>15.38</v>
      </c>
      <c r="AE180" s="19">
        <f t="shared" si="8"/>
        <v>46125</v>
      </c>
      <c r="AF180" t="s">
        <v>166</v>
      </c>
      <c r="AG180">
        <v>19.12</v>
      </c>
    </row>
    <row r="181" spans="1:33" x14ac:dyDescent="0.3">
      <c r="A181">
        <v>5</v>
      </c>
      <c r="B181" t="s">
        <v>30</v>
      </c>
      <c r="C181" t="s">
        <v>26</v>
      </c>
      <c r="D181">
        <v>44541</v>
      </c>
      <c r="E181">
        <v>52.91</v>
      </c>
      <c r="F181">
        <v>980.75</v>
      </c>
      <c r="G181">
        <v>52.904708999999997</v>
      </c>
      <c r="H181">
        <v>980.84807499999999</v>
      </c>
      <c r="I181">
        <v>4.6341057929114413</v>
      </c>
      <c r="J181">
        <v>0.39029275790549622</v>
      </c>
      <c r="K181">
        <v>-0.189000189000189</v>
      </c>
      <c r="L181">
        <v>3.9795336008717434E-3</v>
      </c>
      <c r="M181" t="s">
        <v>27</v>
      </c>
      <c r="N181">
        <v>8</v>
      </c>
      <c r="O181" t="s">
        <v>28</v>
      </c>
      <c r="P181">
        <v>44549</v>
      </c>
      <c r="Q181">
        <v>52.52</v>
      </c>
      <c r="R181">
        <v>973.44</v>
      </c>
      <c r="S181">
        <v>-5.2305805181549363E-2</v>
      </c>
      <c r="T181">
        <v>4.4619683087700243E-2</v>
      </c>
      <c r="U181">
        <v>4.1849377618322733E-2</v>
      </c>
      <c r="V181">
        <v>2.7804635743625731E-3</v>
      </c>
      <c r="W181">
        <v>3.9068914043960158E-2</v>
      </c>
      <c r="X181" s="19">
        <f t="shared" si="6"/>
        <v>46030</v>
      </c>
      <c r="Y181" s="19">
        <f t="shared" si="7"/>
        <v>46030</v>
      </c>
      <c r="Z181">
        <f t="array" ref="Z181">_xlfn.XLOOKUP(INT(X181),INT($AE$2:$AE$1000),$AG$2:$AG$1000,"")</f>
        <v>15.45</v>
      </c>
      <c r="AE181" s="19">
        <f t="shared" si="8"/>
        <v>46126</v>
      </c>
      <c r="AF181" t="s">
        <v>167</v>
      </c>
      <c r="AG181">
        <v>18.36</v>
      </c>
    </row>
    <row r="182" spans="1:33" x14ac:dyDescent="0.3">
      <c r="A182">
        <v>5</v>
      </c>
      <c r="B182" t="s">
        <v>30</v>
      </c>
      <c r="C182" t="s">
        <v>26</v>
      </c>
      <c r="D182">
        <v>44697</v>
      </c>
      <c r="E182">
        <v>52.905000000000001</v>
      </c>
      <c r="F182">
        <v>964.66</v>
      </c>
      <c r="G182">
        <v>52.8997095</v>
      </c>
      <c r="H182">
        <v>964.75646599999993</v>
      </c>
      <c r="I182">
        <v>3.939168157469616</v>
      </c>
      <c r="J182">
        <v>0.39029275790549622</v>
      </c>
      <c r="K182">
        <v>-0.1890180512238919</v>
      </c>
      <c r="L182">
        <v>4.0459100398637484E-3</v>
      </c>
      <c r="M182" t="s">
        <v>27</v>
      </c>
      <c r="N182">
        <v>56</v>
      </c>
      <c r="O182" t="s">
        <v>28</v>
      </c>
      <c r="P182">
        <v>44753</v>
      </c>
      <c r="Q182">
        <v>53.26</v>
      </c>
      <c r="R182">
        <v>964.69</v>
      </c>
      <c r="S182">
        <v>0.31774466112814581</v>
      </c>
      <c r="T182">
        <v>-6.6980030883284761E-2</v>
      </c>
      <c r="U182">
        <v>-6.9767338677643551E-2</v>
      </c>
      <c r="V182">
        <v>2.7804635743625739E-3</v>
      </c>
      <c r="W182">
        <v>-7.2547802252006119E-2</v>
      </c>
      <c r="X182" s="19">
        <f t="shared" si="6"/>
        <v>46030</v>
      </c>
      <c r="Y182" s="19">
        <f t="shared" si="7"/>
        <v>46030</v>
      </c>
      <c r="Z182">
        <f t="array" ref="Z182">_xlfn.XLOOKUP(INT(X182),INT($AE$2:$AE$1000),$AG$2:$AG$1000,"")</f>
        <v>15.45</v>
      </c>
      <c r="AE182" s="19">
        <f t="shared" si="8"/>
        <v>46127</v>
      </c>
      <c r="AF182" t="s">
        <v>168</v>
      </c>
      <c r="AG182">
        <v>18.170000000000002</v>
      </c>
    </row>
    <row r="183" spans="1:33" x14ac:dyDescent="0.3">
      <c r="A183">
        <v>5</v>
      </c>
      <c r="B183" t="s">
        <v>30</v>
      </c>
      <c r="C183" t="s">
        <v>26</v>
      </c>
      <c r="D183">
        <v>44931</v>
      </c>
      <c r="E183">
        <v>52.424999999999997</v>
      </c>
      <c r="F183">
        <v>947.16</v>
      </c>
      <c r="G183">
        <v>52.430242499999999</v>
      </c>
      <c r="H183">
        <v>947.06528400000002</v>
      </c>
      <c r="I183">
        <v>-4.5395489748479214</v>
      </c>
      <c r="J183">
        <v>0.39029275790549622</v>
      </c>
      <c r="K183">
        <v>0.19074868860276589</v>
      </c>
      <c r="L183">
        <v>-4.1206634349581512E-3</v>
      </c>
      <c r="M183" t="s">
        <v>29</v>
      </c>
      <c r="N183">
        <v>8</v>
      </c>
      <c r="O183" t="s">
        <v>28</v>
      </c>
      <c r="P183">
        <v>44939</v>
      </c>
      <c r="Q183">
        <v>52.57</v>
      </c>
      <c r="R183">
        <v>945.6</v>
      </c>
      <c r="S183">
        <v>-0.1111948727731603</v>
      </c>
      <c r="T183">
        <v>3.4086794805936141E-2</v>
      </c>
      <c r="U183">
        <v>3.130408625763615E-2</v>
      </c>
      <c r="V183">
        <v>2.7807074572594112E-3</v>
      </c>
      <c r="W183">
        <v>2.8523378800376739E-2</v>
      </c>
      <c r="X183" s="19">
        <f t="shared" si="6"/>
        <v>46031</v>
      </c>
      <c r="Y183" s="19">
        <f t="shared" si="7"/>
        <v>46031</v>
      </c>
      <c r="Z183">
        <f t="array" ref="Z183">_xlfn.XLOOKUP(INT(X183),INT($AE$2:$AE$1000),$AG$2:$AG$1000,"")</f>
        <v>14.49</v>
      </c>
      <c r="AE183" s="19">
        <f t="shared" si="8"/>
        <v>46128</v>
      </c>
      <c r="AF183" t="s">
        <v>169</v>
      </c>
      <c r="AG183">
        <v>17.940000000000001</v>
      </c>
    </row>
    <row r="184" spans="1:33" x14ac:dyDescent="0.3">
      <c r="A184">
        <v>5</v>
      </c>
      <c r="B184" t="s">
        <v>30</v>
      </c>
      <c r="C184" t="s">
        <v>26</v>
      </c>
      <c r="D184">
        <v>45713</v>
      </c>
      <c r="E184">
        <v>52.924999999999997</v>
      </c>
      <c r="F184">
        <v>966.01</v>
      </c>
      <c r="G184">
        <v>52.919707500000001</v>
      </c>
      <c r="H184">
        <v>966.10660099999996</v>
      </c>
      <c r="I184">
        <v>4.3599125498173006</v>
      </c>
      <c r="J184">
        <v>0.39029275790549622</v>
      </c>
      <c r="K184">
        <v>-0.1889466225791214</v>
      </c>
      <c r="L184">
        <v>4.0402558762900618E-3</v>
      </c>
      <c r="M184" t="s">
        <v>27</v>
      </c>
      <c r="N184">
        <v>24</v>
      </c>
      <c r="O184" t="s">
        <v>28</v>
      </c>
      <c r="P184">
        <v>45737</v>
      </c>
      <c r="Q184">
        <v>52.844999999999999</v>
      </c>
      <c r="R184">
        <v>959.61</v>
      </c>
      <c r="S184">
        <v>0.413718664084893</v>
      </c>
      <c r="T184">
        <v>-1.074190780192691E-2</v>
      </c>
      <c r="U184">
        <v>-1.351839598099585E-2</v>
      </c>
      <c r="V184">
        <v>2.7804635743625739E-3</v>
      </c>
      <c r="W184">
        <v>-1.6298859555358421E-2</v>
      </c>
      <c r="X184" s="19">
        <f t="shared" si="6"/>
        <v>46035</v>
      </c>
      <c r="Y184" s="19">
        <f t="shared" si="7"/>
        <v>46035</v>
      </c>
      <c r="Z184">
        <f t="array" ref="Z184">_xlfn.XLOOKUP(INT(X184),INT($AE$2:$AE$1000),$AG$2:$AG$1000,"")</f>
        <v>15.98</v>
      </c>
      <c r="AE184" s="19">
        <f t="shared" si="8"/>
        <v>46129</v>
      </c>
      <c r="AF184" t="s">
        <v>170</v>
      </c>
      <c r="AG184">
        <v>17.48</v>
      </c>
    </row>
    <row r="185" spans="1:33" x14ac:dyDescent="0.3">
      <c r="A185">
        <v>5</v>
      </c>
      <c r="B185" t="s">
        <v>30</v>
      </c>
      <c r="C185" t="s">
        <v>26</v>
      </c>
      <c r="D185">
        <v>45871</v>
      </c>
      <c r="E185">
        <v>53.02</v>
      </c>
      <c r="F185">
        <v>966.19</v>
      </c>
      <c r="G185">
        <v>53.014698000000003</v>
      </c>
      <c r="H185">
        <v>966.28661900000009</v>
      </c>
      <c r="I185">
        <v>3.5653930922330401</v>
      </c>
      <c r="J185">
        <v>0.39029275790549622</v>
      </c>
      <c r="K185">
        <v>-0.18860807242549979</v>
      </c>
      <c r="L185">
        <v>4.0395031816257282E-3</v>
      </c>
      <c r="M185" t="s">
        <v>27</v>
      </c>
      <c r="N185">
        <v>14</v>
      </c>
      <c r="O185" t="s">
        <v>28</v>
      </c>
      <c r="P185">
        <v>45885</v>
      </c>
      <c r="Q185">
        <v>52.984999999999999</v>
      </c>
      <c r="R185">
        <v>966.20500000000004</v>
      </c>
      <c r="S185">
        <v>0.30917720940287902</v>
      </c>
      <c r="T185">
        <v>6.6618750826175207E-3</v>
      </c>
      <c r="U185">
        <v>3.8819436358047649E-3</v>
      </c>
      <c r="V185">
        <v>2.7804635743625739E-3</v>
      </c>
      <c r="W185">
        <v>1.101480061442192E-3</v>
      </c>
      <c r="X185" s="19">
        <f t="shared" si="6"/>
        <v>46035</v>
      </c>
      <c r="Y185" s="19">
        <f t="shared" si="7"/>
        <v>46035</v>
      </c>
      <c r="Z185">
        <f t="array" ref="Z185">_xlfn.XLOOKUP(INT(X185),INT($AE$2:$AE$1000),$AG$2:$AG$1000,"")</f>
        <v>15.98</v>
      </c>
      <c r="AE185" s="19">
        <f t="shared" si="8"/>
        <v>46132</v>
      </c>
      <c r="AF185" t="s">
        <v>171</v>
      </c>
      <c r="AG185">
        <v>18.87</v>
      </c>
    </row>
    <row r="186" spans="1:33" x14ac:dyDescent="0.3">
      <c r="A186">
        <v>5</v>
      </c>
      <c r="B186" t="s">
        <v>30</v>
      </c>
      <c r="C186" t="s">
        <v>26</v>
      </c>
      <c r="D186">
        <v>46104</v>
      </c>
      <c r="E186">
        <v>52.01</v>
      </c>
      <c r="F186">
        <v>929.78</v>
      </c>
      <c r="G186">
        <v>52.004798999999998</v>
      </c>
      <c r="H186">
        <v>929.87297799999999</v>
      </c>
      <c r="I186">
        <v>4.085122847937674</v>
      </c>
      <c r="J186">
        <v>0.39029275790549622</v>
      </c>
      <c r="K186">
        <v>-0.19227071716977509</v>
      </c>
      <c r="L186">
        <v>4.1976893233398897E-3</v>
      </c>
      <c r="M186" t="s">
        <v>27</v>
      </c>
      <c r="N186">
        <v>13</v>
      </c>
      <c r="O186" t="s">
        <v>28</v>
      </c>
      <c r="P186">
        <v>46117</v>
      </c>
      <c r="Q186">
        <v>51.82</v>
      </c>
      <c r="R186">
        <v>928.2</v>
      </c>
      <c r="S186">
        <v>-5.8137740787647628E-2</v>
      </c>
      <c r="T186">
        <v>2.9899087131380109E-2</v>
      </c>
      <c r="U186">
        <v>2.7122817994109021E-2</v>
      </c>
      <c r="V186">
        <v>2.7804635743625739E-3</v>
      </c>
      <c r="W186">
        <v>2.4342354419746449E-2</v>
      </c>
      <c r="X186" s="19">
        <f t="shared" si="6"/>
        <v>46036</v>
      </c>
      <c r="Y186" s="19">
        <f t="shared" si="7"/>
        <v>46036</v>
      </c>
      <c r="Z186">
        <f t="array" ref="Z186">_xlfn.XLOOKUP(INT(X186),INT($AE$2:$AE$1000),$AG$2:$AG$1000,"")</f>
        <v>16.75</v>
      </c>
      <c r="AE186" s="19">
        <f t="shared" si="8"/>
        <v>46133</v>
      </c>
      <c r="AF186" t="s">
        <v>172</v>
      </c>
      <c r="AG186">
        <v>19.5</v>
      </c>
    </row>
    <row r="187" spans="1:33" x14ac:dyDescent="0.3">
      <c r="A187">
        <v>5</v>
      </c>
      <c r="B187" t="s">
        <v>30</v>
      </c>
      <c r="C187" t="s">
        <v>26</v>
      </c>
      <c r="D187">
        <v>46676</v>
      </c>
      <c r="E187">
        <v>52.055</v>
      </c>
      <c r="F187">
        <v>929.55</v>
      </c>
      <c r="G187">
        <v>52.049794499999997</v>
      </c>
      <c r="H187">
        <v>929.64295499999992</v>
      </c>
      <c r="I187">
        <v>3.5449857585967699</v>
      </c>
      <c r="J187">
        <v>0.39029275790549622</v>
      </c>
      <c r="K187">
        <v>-0.19210450485063871</v>
      </c>
      <c r="L187">
        <v>4.1987279641277631E-3</v>
      </c>
      <c r="M187" t="s">
        <v>27</v>
      </c>
      <c r="N187">
        <v>18</v>
      </c>
      <c r="O187" t="s">
        <v>28</v>
      </c>
      <c r="P187">
        <v>46694</v>
      </c>
      <c r="Q187">
        <v>52.024999999999999</v>
      </c>
      <c r="R187">
        <v>929.51499999999999</v>
      </c>
      <c r="S187">
        <v>-0.18054340626571211</v>
      </c>
      <c r="T187">
        <v>5.6161796667750421E-3</v>
      </c>
      <c r="U187">
        <v>2.8361851600255108E-3</v>
      </c>
      <c r="V187">
        <v>2.7804635743625731E-3</v>
      </c>
      <c r="W187">
        <v>5.5721585662938181E-5</v>
      </c>
      <c r="X187" s="19">
        <f t="shared" si="6"/>
        <v>46037</v>
      </c>
      <c r="Y187" s="19">
        <f t="shared" si="7"/>
        <v>46037</v>
      </c>
      <c r="Z187">
        <f t="array" ref="Z187">_xlfn.XLOOKUP(INT(X187),INT($AE$2:$AE$1000),$AG$2:$AG$1000,"")</f>
        <v>15.84</v>
      </c>
      <c r="AE187" s="19">
        <f t="shared" si="8"/>
        <v>46134</v>
      </c>
      <c r="AF187" t="s">
        <v>173</v>
      </c>
      <c r="AG187">
        <v>18.920000000000002</v>
      </c>
    </row>
    <row r="188" spans="1:33" x14ac:dyDescent="0.3">
      <c r="A188">
        <v>5</v>
      </c>
      <c r="B188" t="s">
        <v>30</v>
      </c>
      <c r="C188" t="s">
        <v>26</v>
      </c>
      <c r="D188">
        <v>46883</v>
      </c>
      <c r="E188">
        <v>52.09</v>
      </c>
      <c r="F188">
        <v>926.29</v>
      </c>
      <c r="G188">
        <v>52.084791000000003</v>
      </c>
      <c r="H188">
        <v>926.38262899999995</v>
      </c>
      <c r="I188">
        <v>4.6713892717718917</v>
      </c>
      <c r="J188">
        <v>0.39029275790549622</v>
      </c>
      <c r="K188">
        <v>-0.19197542714532539</v>
      </c>
      <c r="L188">
        <v>4.2135050351995188E-3</v>
      </c>
      <c r="M188" t="s">
        <v>27</v>
      </c>
      <c r="N188">
        <v>16</v>
      </c>
      <c r="O188" t="s">
        <v>28</v>
      </c>
      <c r="P188">
        <v>46899</v>
      </c>
      <c r="Q188">
        <v>51.96</v>
      </c>
      <c r="R188">
        <v>928.22</v>
      </c>
      <c r="S188">
        <v>-0.26697842970523328</v>
      </c>
      <c r="T188">
        <v>3.3088870246828127E-2</v>
      </c>
      <c r="U188">
        <v>3.030996720509873E-2</v>
      </c>
      <c r="V188">
        <v>2.7804635743625739E-3</v>
      </c>
      <c r="W188">
        <v>2.7529503630736151E-2</v>
      </c>
      <c r="X188" s="19">
        <f t="shared" si="6"/>
        <v>46038</v>
      </c>
      <c r="Y188" s="19">
        <f t="shared" si="7"/>
        <v>46038</v>
      </c>
      <c r="Z188">
        <f t="array" ref="Z188">_xlfn.XLOOKUP(INT(X188),INT($AE$2:$AE$1000),$AG$2:$AG$1000,"")</f>
        <v>15.86</v>
      </c>
      <c r="AE188" s="19">
        <f t="shared" si="8"/>
        <v>46135</v>
      </c>
      <c r="AF188" t="s">
        <v>174</v>
      </c>
      <c r="AG188">
        <v>19.309999999999999</v>
      </c>
    </row>
    <row r="189" spans="1:33" x14ac:dyDescent="0.3">
      <c r="A189">
        <v>5</v>
      </c>
      <c r="B189" t="s">
        <v>30</v>
      </c>
      <c r="C189" t="s">
        <v>26</v>
      </c>
      <c r="D189">
        <v>46940</v>
      </c>
      <c r="E189">
        <v>51.87</v>
      </c>
      <c r="F189">
        <v>924.93</v>
      </c>
      <c r="G189">
        <v>51.875186999999997</v>
      </c>
      <c r="H189">
        <v>924.83750699999996</v>
      </c>
      <c r="I189">
        <v>-3.610862614216606</v>
      </c>
      <c r="J189">
        <v>0.39029275790549622</v>
      </c>
      <c r="K189">
        <v>0.19278966647387699</v>
      </c>
      <c r="L189">
        <v>-4.2197004952320306E-3</v>
      </c>
      <c r="M189" t="s">
        <v>29</v>
      </c>
      <c r="N189">
        <v>19</v>
      </c>
      <c r="O189" t="s">
        <v>28</v>
      </c>
      <c r="P189">
        <v>46959</v>
      </c>
      <c r="Q189">
        <v>52</v>
      </c>
      <c r="R189">
        <v>928.11</v>
      </c>
      <c r="S189">
        <v>-0.40503900698928852</v>
      </c>
      <c r="T189">
        <v>1.1644009066766379E-2</v>
      </c>
      <c r="U189">
        <v>8.8595754205335643E-3</v>
      </c>
      <c r="V189">
        <v>2.7807074572594121E-3</v>
      </c>
      <c r="W189">
        <v>6.0788679632741522E-3</v>
      </c>
      <c r="X189" s="19">
        <f t="shared" si="6"/>
        <v>46038</v>
      </c>
      <c r="Y189" s="19">
        <f t="shared" si="7"/>
        <v>46038</v>
      </c>
      <c r="Z189">
        <f t="array" ref="Z189">_xlfn.XLOOKUP(INT(X189),INT($AE$2:$AE$1000),$AG$2:$AG$1000,"")</f>
        <v>15.86</v>
      </c>
      <c r="AE189" s="19">
        <f t="shared" si="8"/>
        <v>46136</v>
      </c>
      <c r="AF189" t="s">
        <v>175</v>
      </c>
      <c r="AG189">
        <v>18.71</v>
      </c>
    </row>
    <row r="190" spans="1:33" x14ac:dyDescent="0.3">
      <c r="A190">
        <v>5</v>
      </c>
      <c r="B190" t="s">
        <v>30</v>
      </c>
      <c r="C190" t="s">
        <v>26</v>
      </c>
      <c r="D190">
        <v>47273</v>
      </c>
      <c r="E190">
        <v>51.95</v>
      </c>
      <c r="F190">
        <v>930.37</v>
      </c>
      <c r="G190">
        <v>51.955195000000003</v>
      </c>
      <c r="H190">
        <v>930.27696300000002</v>
      </c>
      <c r="I190">
        <v>-4.8546171635106274</v>
      </c>
      <c r="J190">
        <v>0.39029275790549622</v>
      </c>
      <c r="K190">
        <v>0.19249278152069299</v>
      </c>
      <c r="L190">
        <v>-4.1950273321957523E-3</v>
      </c>
      <c r="M190" t="s">
        <v>29</v>
      </c>
      <c r="N190">
        <v>10</v>
      </c>
      <c r="O190" t="s">
        <v>28</v>
      </c>
      <c r="P190">
        <v>47283</v>
      </c>
      <c r="Q190">
        <v>52.06</v>
      </c>
      <c r="R190">
        <v>929.29</v>
      </c>
      <c r="S190">
        <v>-0.1340800914612415</v>
      </c>
      <c r="T190">
        <v>2.5704835486047701E-2</v>
      </c>
      <c r="U190">
        <v>2.2922585612591511E-2</v>
      </c>
      <c r="V190">
        <v>2.7807074572594112E-3</v>
      </c>
      <c r="W190">
        <v>2.01418781553321E-2</v>
      </c>
      <c r="X190" s="19">
        <f t="shared" si="6"/>
        <v>46041</v>
      </c>
      <c r="Y190" s="19">
        <f t="shared" si="7"/>
        <v>46041</v>
      </c>
      <c r="Z190">
        <f t="array" ref="Z190">_xlfn.XLOOKUP(INT(X190),INT($AE$2:$AE$1000),$AG$2:$AG$1000,"")</f>
        <v>18.84</v>
      </c>
      <c r="AE190" s="19">
        <f t="shared" si="8"/>
        <v>46139</v>
      </c>
      <c r="AF190" t="s">
        <v>176</v>
      </c>
      <c r="AG190">
        <v>18.02</v>
      </c>
    </row>
    <row r="191" spans="1:33" x14ac:dyDescent="0.3">
      <c r="A191">
        <v>5</v>
      </c>
      <c r="B191" t="s">
        <v>76</v>
      </c>
      <c r="C191" t="s">
        <v>33</v>
      </c>
      <c r="D191">
        <v>43501</v>
      </c>
      <c r="E191">
        <v>183.57</v>
      </c>
      <c r="F191">
        <v>214.45500000000001</v>
      </c>
      <c r="G191">
        <v>183.55164300000001</v>
      </c>
      <c r="H191">
        <v>214.47644550000001</v>
      </c>
      <c r="I191">
        <v>5.2908435624972556</v>
      </c>
      <c r="J191">
        <v>0.70922290002602395</v>
      </c>
      <c r="K191">
        <v>-5.4475132102195352E-2</v>
      </c>
      <c r="L191">
        <v>3.3070942623208782E-2</v>
      </c>
      <c r="M191" t="s">
        <v>27</v>
      </c>
      <c r="N191">
        <v>24</v>
      </c>
      <c r="O191" t="s">
        <v>28</v>
      </c>
      <c r="P191">
        <v>43525</v>
      </c>
      <c r="Q191">
        <v>183.58</v>
      </c>
      <c r="R191">
        <v>214.08</v>
      </c>
      <c r="S191">
        <v>0.46097907593936899</v>
      </c>
      <c r="T191">
        <v>-1.29463548047263E-2</v>
      </c>
      <c r="U191">
        <v>-1.6363614919563129E-2</v>
      </c>
      <c r="V191">
        <v>3.4183876446320532E-3</v>
      </c>
      <c r="W191">
        <v>-1.978200256419518E-2</v>
      </c>
      <c r="X191" s="19">
        <f t="shared" si="6"/>
        <v>46027</v>
      </c>
      <c r="Y191" s="19">
        <f t="shared" si="7"/>
        <v>46027</v>
      </c>
      <c r="Z191">
        <f t="array" ref="Z191">_xlfn.XLOOKUP(INT(X191),INT($AE$2:$AE$1000),$AG$2:$AG$1000,"")</f>
        <v>14.9</v>
      </c>
      <c r="AE191" s="19">
        <f t="shared" si="8"/>
        <v>46140</v>
      </c>
      <c r="AF191" t="s">
        <v>177</v>
      </c>
      <c r="AG191">
        <v>17.829999999999998</v>
      </c>
    </row>
    <row r="192" spans="1:33" x14ac:dyDescent="0.3">
      <c r="A192">
        <v>5</v>
      </c>
      <c r="B192" t="s">
        <v>76</v>
      </c>
      <c r="C192" t="s">
        <v>33</v>
      </c>
      <c r="D192">
        <v>43757</v>
      </c>
      <c r="E192">
        <v>181.28</v>
      </c>
      <c r="F192">
        <v>210.72</v>
      </c>
      <c r="G192">
        <v>181.29812799999999</v>
      </c>
      <c r="H192">
        <v>210.698928</v>
      </c>
      <c r="I192">
        <v>-3.8827899282263472</v>
      </c>
      <c r="J192">
        <v>0.70922290002602395</v>
      </c>
      <c r="K192">
        <v>5.5163283318623121E-2</v>
      </c>
      <c r="L192">
        <v>-3.3657123197894073E-2</v>
      </c>
      <c r="M192" t="s">
        <v>29</v>
      </c>
      <c r="N192">
        <v>22</v>
      </c>
      <c r="O192" t="s">
        <v>28</v>
      </c>
      <c r="P192">
        <v>43779</v>
      </c>
      <c r="Q192">
        <v>180.22</v>
      </c>
      <c r="R192">
        <v>209.9</v>
      </c>
      <c r="S192">
        <v>-0.38250453969318732</v>
      </c>
      <c r="T192">
        <v>-3.0874239295467721E-2</v>
      </c>
      <c r="U192">
        <v>-3.4284077903385862E-2</v>
      </c>
      <c r="V192">
        <v>3.4185039554720429E-3</v>
      </c>
      <c r="W192">
        <v>-3.7702581858857907E-2</v>
      </c>
      <c r="X192" s="19">
        <f t="shared" si="6"/>
        <v>46028</v>
      </c>
      <c r="Y192" s="19">
        <f t="shared" si="7"/>
        <v>46028</v>
      </c>
      <c r="Z192">
        <f t="array" ref="Z192">_xlfn.XLOOKUP(INT(X192),INT($AE$2:$AE$1000),$AG$2:$AG$1000,"")</f>
        <v>14.75</v>
      </c>
      <c r="AE192" s="19">
        <f t="shared" si="8"/>
        <v>46141</v>
      </c>
      <c r="AF192" t="s">
        <v>178</v>
      </c>
      <c r="AG192">
        <v>18.809999999999999</v>
      </c>
    </row>
    <row r="193" spans="1:33" x14ac:dyDescent="0.3">
      <c r="A193">
        <v>5</v>
      </c>
      <c r="B193" t="s">
        <v>76</v>
      </c>
      <c r="C193" t="s">
        <v>33</v>
      </c>
      <c r="D193">
        <v>44138</v>
      </c>
      <c r="E193">
        <v>180.75</v>
      </c>
      <c r="F193">
        <v>212.08</v>
      </c>
      <c r="G193">
        <v>180.73192499999999</v>
      </c>
      <c r="H193">
        <v>212.10120800000001</v>
      </c>
      <c r="I193">
        <v>3.7376279293625121</v>
      </c>
      <c r="J193">
        <v>0.70922290002602395</v>
      </c>
      <c r="K193">
        <v>-5.5325034578146609E-2</v>
      </c>
      <c r="L193">
        <v>3.3441291023482832E-2</v>
      </c>
      <c r="M193" t="s">
        <v>27</v>
      </c>
      <c r="N193">
        <v>28</v>
      </c>
      <c r="O193" t="s">
        <v>28</v>
      </c>
      <c r="P193">
        <v>44166</v>
      </c>
      <c r="Q193">
        <v>186.405</v>
      </c>
      <c r="R193">
        <v>213.67</v>
      </c>
      <c r="S193">
        <v>0.48504654964759408</v>
      </c>
      <c r="T193">
        <v>-0.25969141781208233</v>
      </c>
      <c r="U193">
        <v>-0.26314646708446171</v>
      </c>
      <c r="V193">
        <v>3.4183876446320532E-3</v>
      </c>
      <c r="W193">
        <v>-0.26656485472909369</v>
      </c>
      <c r="X193" s="19">
        <f t="shared" si="6"/>
        <v>46029</v>
      </c>
      <c r="Y193" s="19">
        <f t="shared" si="7"/>
        <v>46029</v>
      </c>
      <c r="Z193">
        <f t="array" ref="Z193">_xlfn.XLOOKUP(INT(X193),INT($AE$2:$AE$1000),$AG$2:$AG$1000,"")</f>
        <v>15.38</v>
      </c>
      <c r="AE193" s="19">
        <f t="shared" si="8"/>
        <v>46142</v>
      </c>
      <c r="AF193" t="s">
        <v>179</v>
      </c>
      <c r="AG193">
        <v>16.89</v>
      </c>
    </row>
    <row r="194" spans="1:33" x14ac:dyDescent="0.3">
      <c r="A194">
        <v>5</v>
      </c>
      <c r="B194" t="s">
        <v>76</v>
      </c>
      <c r="C194" t="s">
        <v>33</v>
      </c>
      <c r="D194">
        <v>44540</v>
      </c>
      <c r="E194">
        <v>191</v>
      </c>
      <c r="F194">
        <v>223.25</v>
      </c>
      <c r="G194">
        <v>191.01910000000001</v>
      </c>
      <c r="H194">
        <v>223.227675</v>
      </c>
      <c r="I194">
        <v>-5.2002541052749223</v>
      </c>
      <c r="J194">
        <v>0.70922290002602395</v>
      </c>
      <c r="K194">
        <v>5.2356020942408377E-2</v>
      </c>
      <c r="L194">
        <v>-3.1768103024681922E-2</v>
      </c>
      <c r="M194" t="s">
        <v>29</v>
      </c>
      <c r="N194">
        <v>23</v>
      </c>
      <c r="O194" t="s">
        <v>28</v>
      </c>
      <c r="P194">
        <v>44563</v>
      </c>
      <c r="Q194">
        <v>191.45</v>
      </c>
      <c r="R194">
        <v>221.77</v>
      </c>
      <c r="S194">
        <v>-0.30794287442842472</v>
      </c>
      <c r="T194">
        <v>7.0577001900612099E-2</v>
      </c>
      <c r="U194">
        <v>6.716090175886455E-2</v>
      </c>
      <c r="V194">
        <v>3.4185039554720429E-3</v>
      </c>
      <c r="W194">
        <v>6.3742397803392511E-2</v>
      </c>
      <c r="X194" s="19">
        <f t="shared" ref="X194:X257" si="9">WORKDAY(DATE(2025,8,2),INT(D194/390))</f>
        <v>46030</v>
      </c>
      <c r="Y194" s="19">
        <f t="shared" ref="Y194:Y257" si="10">WORKDAY(DATE(2025,8,2),INT(P194/390))</f>
        <v>46030</v>
      </c>
      <c r="Z194">
        <f t="array" ref="Z194">_xlfn.XLOOKUP(INT(X194),INT($AE$2:$AE$1000),$AG$2:$AG$1000,"")</f>
        <v>15.45</v>
      </c>
      <c r="AE194" s="19">
        <f t="shared" ref="AE194:AE257" si="11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1:33" x14ac:dyDescent="0.3">
      <c r="A195">
        <v>5</v>
      </c>
      <c r="B195" t="s">
        <v>76</v>
      </c>
      <c r="C195" t="s">
        <v>33</v>
      </c>
      <c r="D195">
        <v>44931</v>
      </c>
      <c r="E195">
        <v>185</v>
      </c>
      <c r="F195">
        <v>220.86500000000001</v>
      </c>
      <c r="G195">
        <v>185.01849999999999</v>
      </c>
      <c r="H195">
        <v>220.84291350000001</v>
      </c>
      <c r="I195">
        <v>-4.712172801175802</v>
      </c>
      <c r="J195">
        <v>0.70922290002602395</v>
      </c>
      <c r="K195">
        <v>5.4054054054054057E-2</v>
      </c>
      <c r="L195">
        <v>-3.2111149345800553E-2</v>
      </c>
      <c r="M195" t="s">
        <v>29</v>
      </c>
      <c r="N195">
        <v>20</v>
      </c>
      <c r="O195" t="s">
        <v>28</v>
      </c>
      <c r="P195">
        <v>44951</v>
      </c>
      <c r="Q195">
        <v>185.42500000000001</v>
      </c>
      <c r="R195">
        <v>221.035</v>
      </c>
      <c r="S195">
        <v>-0.37406635750648171</v>
      </c>
      <c r="T195">
        <v>1.7514077584187899E-2</v>
      </c>
      <c r="U195">
        <v>1.4092788597300969E-2</v>
      </c>
      <c r="V195">
        <v>3.4185039554720429E-3</v>
      </c>
      <c r="W195">
        <v>1.0674284641828929E-2</v>
      </c>
      <c r="X195" s="19">
        <f t="shared" si="9"/>
        <v>46031</v>
      </c>
      <c r="Y195" s="19">
        <f t="shared" si="10"/>
        <v>46031</v>
      </c>
      <c r="Z195">
        <f t="array" ref="Z195">_xlfn.XLOOKUP(INT(X195),INT($AE$2:$AE$1000),$AG$2:$AG$1000,"")</f>
        <v>14.49</v>
      </c>
      <c r="AE195" s="19">
        <f t="shared" si="11"/>
        <v>46146</v>
      </c>
      <c r="AF195" s="19">
        <v>46117</v>
      </c>
      <c r="AG195">
        <v>18.29</v>
      </c>
    </row>
    <row r="196" spans="1:33" x14ac:dyDescent="0.3">
      <c r="A196">
        <v>5</v>
      </c>
      <c r="B196" t="s">
        <v>76</v>
      </c>
      <c r="C196" t="s">
        <v>33</v>
      </c>
      <c r="D196">
        <v>45321</v>
      </c>
      <c r="E196">
        <v>183.89</v>
      </c>
      <c r="F196">
        <v>223.19499999999999</v>
      </c>
      <c r="G196">
        <v>183.871611</v>
      </c>
      <c r="H196">
        <v>223.2173195</v>
      </c>
      <c r="I196">
        <v>3.7760582195803951</v>
      </c>
      <c r="J196">
        <v>0.70922290002602395</v>
      </c>
      <c r="K196">
        <v>-5.4380336070476917E-2</v>
      </c>
      <c r="L196">
        <v>3.177593136163552E-2</v>
      </c>
      <c r="M196" t="s">
        <v>27</v>
      </c>
      <c r="N196">
        <v>13</v>
      </c>
      <c r="O196" t="s">
        <v>28</v>
      </c>
      <c r="P196">
        <v>45334</v>
      </c>
      <c r="Q196">
        <v>183.82</v>
      </c>
      <c r="R196">
        <v>225.57</v>
      </c>
      <c r="S196">
        <v>-0.48454873933435061</v>
      </c>
      <c r="T196">
        <v>7.9274460508817368E-2</v>
      </c>
      <c r="U196">
        <v>7.5848848587419637E-2</v>
      </c>
      <c r="V196">
        <v>3.4183876446320532E-3</v>
      </c>
      <c r="W196">
        <v>7.2430460942787586E-2</v>
      </c>
      <c r="X196" s="19">
        <f t="shared" si="9"/>
        <v>46034</v>
      </c>
      <c r="Y196" s="19">
        <f t="shared" si="10"/>
        <v>46034</v>
      </c>
      <c r="Z196">
        <f t="array" ref="Z196">_xlfn.XLOOKUP(INT(X196),INT($AE$2:$AE$1000),$AG$2:$AG$1000,"")</f>
        <v>15.12</v>
      </c>
      <c r="AE196" s="19">
        <f t="shared" si="11"/>
        <v>46147</v>
      </c>
      <c r="AF196" s="19">
        <v>46147</v>
      </c>
      <c r="AG196">
        <v>17.38</v>
      </c>
    </row>
    <row r="197" spans="1:33" x14ac:dyDescent="0.3">
      <c r="A197">
        <v>5</v>
      </c>
      <c r="B197" t="s">
        <v>76</v>
      </c>
      <c r="C197" t="s">
        <v>33</v>
      </c>
      <c r="D197">
        <v>46103</v>
      </c>
      <c r="E197">
        <v>180.95500000000001</v>
      </c>
      <c r="F197">
        <v>221.495</v>
      </c>
      <c r="G197">
        <v>180.9730955</v>
      </c>
      <c r="H197">
        <v>221.47285049999999</v>
      </c>
      <c r="I197">
        <v>-4.6457229762482948</v>
      </c>
      <c r="J197">
        <v>0.70922290002602395</v>
      </c>
      <c r="K197">
        <v>5.5262358044817772E-2</v>
      </c>
      <c r="L197">
        <v>-3.2019815346893778E-2</v>
      </c>
      <c r="M197" t="s">
        <v>29</v>
      </c>
      <c r="N197">
        <v>14</v>
      </c>
      <c r="O197" t="s">
        <v>28</v>
      </c>
      <c r="P197">
        <v>46117</v>
      </c>
      <c r="Q197">
        <v>180.315</v>
      </c>
      <c r="R197">
        <v>219.83500000000001</v>
      </c>
      <c r="S197">
        <v>-0.35322484546204908</v>
      </c>
      <c r="T197">
        <v>1.778498432715939E-2</v>
      </c>
      <c r="U197">
        <v>1.4375390607370539E-2</v>
      </c>
      <c r="V197">
        <v>3.4185039554720429E-3</v>
      </c>
      <c r="W197">
        <v>1.0956886651898499E-2</v>
      </c>
      <c r="X197" s="19">
        <f t="shared" si="9"/>
        <v>46036</v>
      </c>
      <c r="Y197" s="19">
        <f t="shared" si="10"/>
        <v>46036</v>
      </c>
      <c r="Z197">
        <f t="array" ref="Z197">_xlfn.XLOOKUP(INT(X197),INT($AE$2:$AE$1000),$AG$2:$AG$1000,"")</f>
        <v>16.75</v>
      </c>
      <c r="AE197" s="19">
        <f t="shared" si="11"/>
        <v>46148</v>
      </c>
      <c r="AF197" s="19">
        <v>46178</v>
      </c>
      <c r="AG197">
        <v>17.39</v>
      </c>
    </row>
    <row r="198" spans="1:33" x14ac:dyDescent="0.3">
      <c r="A198">
        <v>5</v>
      </c>
      <c r="B198" t="s">
        <v>76</v>
      </c>
      <c r="C198" t="s">
        <v>33</v>
      </c>
      <c r="D198">
        <v>46495</v>
      </c>
      <c r="E198">
        <v>181.02500000000001</v>
      </c>
      <c r="F198">
        <v>220.1</v>
      </c>
      <c r="G198">
        <v>181.00689750000001</v>
      </c>
      <c r="H198">
        <v>220.12200999999999</v>
      </c>
      <c r="I198">
        <v>4.4008486758878158</v>
      </c>
      <c r="J198">
        <v>0.70922290002602395</v>
      </c>
      <c r="K198">
        <v>-5.5240988813699772E-2</v>
      </c>
      <c r="L198">
        <v>3.2222757838529029E-2</v>
      </c>
      <c r="M198" t="s">
        <v>27</v>
      </c>
      <c r="N198">
        <v>25</v>
      </c>
      <c r="O198" t="s">
        <v>28</v>
      </c>
      <c r="P198">
        <v>46520</v>
      </c>
      <c r="Q198">
        <v>180.98</v>
      </c>
      <c r="R198">
        <v>219.84</v>
      </c>
      <c r="S198">
        <v>0.28609925925224111</v>
      </c>
      <c r="T198">
        <v>-5.8920725413998858E-3</v>
      </c>
      <c r="U198">
        <v>-9.3094319652987732E-3</v>
      </c>
      <c r="V198">
        <v>3.4183876446320532E-3</v>
      </c>
      <c r="W198">
        <v>-1.2727819609930829E-2</v>
      </c>
      <c r="X198" s="19">
        <f t="shared" si="9"/>
        <v>46037</v>
      </c>
      <c r="Y198" s="19">
        <f t="shared" si="10"/>
        <v>46037</v>
      </c>
      <c r="Z198">
        <f t="array" ref="Z198">_xlfn.XLOOKUP(INT(X198),INT($AE$2:$AE$1000),$AG$2:$AG$1000,"")</f>
        <v>15.84</v>
      </c>
      <c r="AE198" s="19">
        <f t="shared" si="11"/>
        <v>46149</v>
      </c>
      <c r="AF198" s="19">
        <v>46208</v>
      </c>
      <c r="AG198">
        <v>17.079999999999998</v>
      </c>
    </row>
    <row r="199" spans="1:33" x14ac:dyDescent="0.3">
      <c r="A199">
        <v>5</v>
      </c>
      <c r="B199" t="s">
        <v>76</v>
      </c>
      <c r="C199" t="s">
        <v>33</v>
      </c>
      <c r="D199">
        <v>46884</v>
      </c>
      <c r="E199">
        <v>182.72</v>
      </c>
      <c r="F199">
        <v>220.97</v>
      </c>
      <c r="G199">
        <v>182.701728</v>
      </c>
      <c r="H199">
        <v>220.992097</v>
      </c>
      <c r="I199">
        <v>3.7265708900313208</v>
      </c>
      <c r="J199">
        <v>0.70922290002602395</v>
      </c>
      <c r="K199">
        <v>-5.4728546409807358E-2</v>
      </c>
      <c r="L199">
        <v>3.2095890846088791E-2</v>
      </c>
      <c r="M199" t="s">
        <v>27</v>
      </c>
      <c r="N199">
        <v>10</v>
      </c>
      <c r="O199" t="s">
        <v>28</v>
      </c>
      <c r="P199">
        <v>46894</v>
      </c>
      <c r="Q199">
        <v>183.065</v>
      </c>
      <c r="R199">
        <v>221.97499999999999</v>
      </c>
      <c r="S199">
        <v>0.35832552294082187</v>
      </c>
      <c r="T199">
        <v>1.337502178893561E-2</v>
      </c>
      <c r="U199">
        <v>9.9514622170027156E-3</v>
      </c>
      <c r="V199">
        <v>3.4183876446320532E-3</v>
      </c>
      <c r="W199">
        <v>6.5330745723706628E-3</v>
      </c>
      <c r="X199" s="19">
        <f t="shared" si="9"/>
        <v>46038</v>
      </c>
      <c r="Y199" s="19">
        <f t="shared" si="10"/>
        <v>46038</v>
      </c>
      <c r="Z199">
        <f t="array" ref="Z199">_xlfn.XLOOKUP(INT(X199),INT($AE$2:$AE$1000),$AG$2:$AG$1000,"")</f>
        <v>15.86</v>
      </c>
      <c r="AE199" s="19">
        <f t="shared" si="11"/>
        <v>46150</v>
      </c>
      <c r="AF199" s="19">
        <v>46239</v>
      </c>
      <c r="AG199">
        <v>17.190000000000001</v>
      </c>
    </row>
    <row r="200" spans="1:33" x14ac:dyDescent="0.3">
      <c r="A200">
        <v>5</v>
      </c>
      <c r="B200" t="s">
        <v>30</v>
      </c>
      <c r="C200" t="s">
        <v>32</v>
      </c>
      <c r="D200">
        <v>43501</v>
      </c>
      <c r="E200">
        <v>54.725000000000001</v>
      </c>
      <c r="F200">
        <v>54.115000000000002</v>
      </c>
      <c r="G200">
        <v>54.719527500000012</v>
      </c>
      <c r="H200">
        <v>54.120411500000003</v>
      </c>
      <c r="I200">
        <v>5.294619855640347</v>
      </c>
      <c r="J200">
        <v>0.40079226058962503</v>
      </c>
      <c r="K200">
        <v>-0.18273184102329831</v>
      </c>
      <c r="L200">
        <v>7.4063062106555486E-2</v>
      </c>
      <c r="M200" t="s">
        <v>27</v>
      </c>
      <c r="N200">
        <v>23</v>
      </c>
      <c r="O200" t="s">
        <v>28</v>
      </c>
      <c r="P200">
        <v>43524</v>
      </c>
      <c r="Q200">
        <v>54.645000000000003</v>
      </c>
      <c r="R200">
        <v>54.034999999999997</v>
      </c>
      <c r="S200">
        <v>0.4907531852787726</v>
      </c>
      <c r="T200">
        <v>8.6935023133387149E-3</v>
      </c>
      <c r="U200">
        <v>5.8939721513847259E-3</v>
      </c>
      <c r="V200">
        <v>2.8014646796313681E-3</v>
      </c>
      <c r="W200">
        <v>3.0925074717533581E-3</v>
      </c>
      <c r="X200" s="19">
        <f t="shared" si="9"/>
        <v>46027</v>
      </c>
      <c r="Y200" s="19">
        <f t="shared" si="10"/>
        <v>46027</v>
      </c>
      <c r="Z200">
        <f t="array" ref="Z200">_xlfn.XLOOKUP(INT(X200),INT($AE$2:$AE$1000),$AG$2:$AG$1000,"")</f>
        <v>14.9</v>
      </c>
      <c r="AE200" s="19">
        <f t="shared" si="11"/>
        <v>46153</v>
      </c>
      <c r="AF200" s="19">
        <v>46331</v>
      </c>
      <c r="AG200">
        <v>18.38</v>
      </c>
    </row>
    <row r="201" spans="1:33" x14ac:dyDescent="0.3">
      <c r="A201">
        <v>5</v>
      </c>
      <c r="B201" t="s">
        <v>30</v>
      </c>
      <c r="C201" t="s">
        <v>32</v>
      </c>
      <c r="D201">
        <v>43629</v>
      </c>
      <c r="E201">
        <v>54.47</v>
      </c>
      <c r="F201">
        <v>53.75</v>
      </c>
      <c r="G201">
        <v>54.475447000000003</v>
      </c>
      <c r="H201">
        <v>53.744624999999999</v>
      </c>
      <c r="I201">
        <v>-3.514188773653395</v>
      </c>
      <c r="J201">
        <v>0.40079226058962503</v>
      </c>
      <c r="K201">
        <v>0.18358729575913349</v>
      </c>
      <c r="L201">
        <v>-7.456600197016279E-2</v>
      </c>
      <c r="M201" t="s">
        <v>29</v>
      </c>
      <c r="N201">
        <v>30</v>
      </c>
      <c r="O201" t="s">
        <v>28</v>
      </c>
      <c r="P201">
        <v>43659</v>
      </c>
      <c r="Q201">
        <v>54.395000000000003</v>
      </c>
      <c r="R201">
        <v>53.704999999999998</v>
      </c>
      <c r="S201">
        <v>-0.31862565966831952</v>
      </c>
      <c r="T201">
        <v>-1.0413577093276781E-2</v>
      </c>
      <c r="U201">
        <v>-1.321344916272851E-2</v>
      </c>
      <c r="V201">
        <v>2.8017043627271321E-3</v>
      </c>
      <c r="W201">
        <v>-1.6015153525455642E-2</v>
      </c>
      <c r="X201" s="19">
        <f t="shared" si="9"/>
        <v>46027</v>
      </c>
      <c r="Y201" s="19">
        <f t="shared" si="10"/>
        <v>46027</v>
      </c>
      <c r="Z201">
        <f t="array" ref="Z201">_xlfn.XLOOKUP(INT(X201),INT($AE$2:$AE$1000),$AG$2:$AG$1000,"")</f>
        <v>14.9</v>
      </c>
      <c r="AE201" s="19">
        <f t="shared" si="11"/>
        <v>46154</v>
      </c>
      <c r="AF201" s="19">
        <v>46361</v>
      </c>
      <c r="AG201">
        <v>17.989999999999998</v>
      </c>
    </row>
    <row r="202" spans="1:33" x14ac:dyDescent="0.3">
      <c r="A202">
        <v>5</v>
      </c>
      <c r="B202" t="s">
        <v>30</v>
      </c>
      <c r="C202" t="s">
        <v>32</v>
      </c>
      <c r="D202">
        <v>43742</v>
      </c>
      <c r="E202">
        <v>53.85</v>
      </c>
      <c r="F202">
        <v>54.06</v>
      </c>
      <c r="G202">
        <v>53.855384999999998</v>
      </c>
      <c r="H202">
        <v>54.054594000000002</v>
      </c>
      <c r="I202">
        <v>-4.7108933711218608</v>
      </c>
      <c r="J202">
        <v>0.40079226058962503</v>
      </c>
      <c r="K202">
        <v>0.18570102135561739</v>
      </c>
      <c r="L202">
        <v>-7.4138412983652424E-2</v>
      </c>
      <c r="M202" t="s">
        <v>29</v>
      </c>
      <c r="N202">
        <v>33</v>
      </c>
      <c r="O202" t="s">
        <v>28</v>
      </c>
      <c r="P202">
        <v>43775</v>
      </c>
      <c r="Q202">
        <v>52.65</v>
      </c>
      <c r="R202">
        <v>53.38</v>
      </c>
      <c r="S202">
        <v>-0.25762262506427758</v>
      </c>
      <c r="T202">
        <v>-0.17242710479785781</v>
      </c>
      <c r="U202">
        <v>-0.17520136378439141</v>
      </c>
      <c r="V202">
        <v>2.8017043627271321E-3</v>
      </c>
      <c r="W202">
        <v>-0.1780030681471185</v>
      </c>
      <c r="X202" s="19">
        <f t="shared" si="9"/>
        <v>46028</v>
      </c>
      <c r="Y202" s="19">
        <f t="shared" si="10"/>
        <v>46028</v>
      </c>
      <c r="Z202">
        <f t="array" ref="Z202">_xlfn.XLOOKUP(INT(X202),INT($AE$2:$AE$1000),$AG$2:$AG$1000,"")</f>
        <v>14.75</v>
      </c>
      <c r="AE202" s="19">
        <f t="shared" si="11"/>
        <v>46155</v>
      </c>
      <c r="AF202" t="s">
        <v>180</v>
      </c>
      <c r="AG202">
        <v>17.87</v>
      </c>
    </row>
    <row r="203" spans="1:33" x14ac:dyDescent="0.3">
      <c r="A203">
        <v>5</v>
      </c>
      <c r="B203" t="s">
        <v>30</v>
      </c>
      <c r="C203" t="s">
        <v>32</v>
      </c>
      <c r="D203">
        <v>44541</v>
      </c>
      <c r="E203">
        <v>52.91</v>
      </c>
      <c r="F203">
        <v>54.305</v>
      </c>
      <c r="G203">
        <v>52.904708999999997</v>
      </c>
      <c r="H203">
        <v>54.310430500000002</v>
      </c>
      <c r="I203">
        <v>4.0914438818180692</v>
      </c>
      <c r="J203">
        <v>0.40079226058962503</v>
      </c>
      <c r="K203">
        <v>-0.189000189000189</v>
      </c>
      <c r="L203">
        <v>7.3803933448048073E-2</v>
      </c>
      <c r="M203" t="s">
        <v>27</v>
      </c>
      <c r="N203">
        <v>2</v>
      </c>
      <c r="O203" t="s">
        <v>28</v>
      </c>
      <c r="P203">
        <v>44543</v>
      </c>
      <c r="Q203">
        <v>52.6</v>
      </c>
      <c r="R203">
        <v>54.12</v>
      </c>
      <c r="S203">
        <v>-0.45194523518577462</v>
      </c>
      <c r="T203">
        <v>4.4936330902168607E-2</v>
      </c>
      <c r="U203">
        <v>4.2141970759617058E-2</v>
      </c>
      <c r="V203">
        <v>2.8014646796313681E-3</v>
      </c>
      <c r="W203">
        <v>3.9340506079985703E-2</v>
      </c>
      <c r="X203" s="19">
        <f t="shared" si="9"/>
        <v>46030</v>
      </c>
      <c r="Y203" s="19">
        <f t="shared" si="10"/>
        <v>46030</v>
      </c>
      <c r="Z203">
        <f t="array" ref="Z203">_xlfn.XLOOKUP(INT(X203),INT($AE$2:$AE$1000),$AG$2:$AG$1000,"")</f>
        <v>15.45</v>
      </c>
      <c r="AE203" s="19">
        <f t="shared" si="11"/>
        <v>46156</v>
      </c>
      <c r="AF203" t="s">
        <v>181</v>
      </c>
      <c r="AG203">
        <v>17.260000000000002</v>
      </c>
    </row>
    <row r="204" spans="1:33" x14ac:dyDescent="0.3">
      <c r="A204">
        <v>5</v>
      </c>
      <c r="B204" t="s">
        <v>30</v>
      </c>
      <c r="C204" t="s">
        <v>32</v>
      </c>
      <c r="D204">
        <v>44931</v>
      </c>
      <c r="E204">
        <v>52.424999999999997</v>
      </c>
      <c r="F204">
        <v>53.92</v>
      </c>
      <c r="G204">
        <v>52.430242499999999</v>
      </c>
      <c r="H204">
        <v>53.914608000000001</v>
      </c>
      <c r="I204">
        <v>-4.8930594860319232</v>
      </c>
      <c r="J204">
        <v>0.40079226058962503</v>
      </c>
      <c r="K204">
        <v>0.19074868860276589</v>
      </c>
      <c r="L204">
        <v>-7.4330908863061013E-2</v>
      </c>
      <c r="M204" t="s">
        <v>29</v>
      </c>
      <c r="N204">
        <v>19</v>
      </c>
      <c r="O204" t="s">
        <v>28</v>
      </c>
      <c r="P204">
        <v>44950</v>
      </c>
      <c r="Q204">
        <v>52.805</v>
      </c>
      <c r="R204">
        <v>54.88</v>
      </c>
      <c r="S204">
        <v>-0.30723261632694321</v>
      </c>
      <c r="T204">
        <v>1.1268291605128771E-3</v>
      </c>
      <c r="U204">
        <v>-1.689139578083976E-3</v>
      </c>
      <c r="V204">
        <v>2.8017043627271321E-3</v>
      </c>
      <c r="W204">
        <v>-4.4908439408111074E-3</v>
      </c>
      <c r="X204" s="19">
        <f t="shared" si="9"/>
        <v>46031</v>
      </c>
      <c r="Y204" s="19">
        <f t="shared" si="10"/>
        <v>46031</v>
      </c>
      <c r="Z204">
        <f t="array" ref="Z204">_xlfn.XLOOKUP(INT(X204),INT($AE$2:$AE$1000),$AG$2:$AG$1000,"")</f>
        <v>14.49</v>
      </c>
      <c r="AE204" s="19">
        <f t="shared" si="11"/>
        <v>46157</v>
      </c>
      <c r="AF204" t="s">
        <v>182</v>
      </c>
      <c r="AG204">
        <v>18.43</v>
      </c>
    </row>
    <row r="205" spans="1:33" x14ac:dyDescent="0.3">
      <c r="A205">
        <v>5</v>
      </c>
      <c r="B205" t="s">
        <v>30</v>
      </c>
      <c r="C205" t="s">
        <v>32</v>
      </c>
      <c r="D205">
        <v>45713</v>
      </c>
      <c r="E205">
        <v>52.924999999999997</v>
      </c>
      <c r="F205">
        <v>56.07</v>
      </c>
      <c r="G205">
        <v>52.919707500000001</v>
      </c>
      <c r="H205">
        <v>56.075606999999998</v>
      </c>
      <c r="I205">
        <v>3.7140750782106742</v>
      </c>
      <c r="J205">
        <v>0.40079226058962503</v>
      </c>
      <c r="K205">
        <v>-0.1889466225791214</v>
      </c>
      <c r="L205">
        <v>7.1480695664281266E-2</v>
      </c>
      <c r="M205" t="s">
        <v>27</v>
      </c>
      <c r="N205">
        <v>19</v>
      </c>
      <c r="O205" t="s">
        <v>28</v>
      </c>
      <c r="P205">
        <v>45732</v>
      </c>
      <c r="Q205">
        <v>52.85</v>
      </c>
      <c r="R205">
        <v>56.3</v>
      </c>
      <c r="S205">
        <v>0.48711574395837293</v>
      </c>
      <c r="T205">
        <v>3.0611556696217769E-2</v>
      </c>
      <c r="U205">
        <v>2.7809745218708649E-2</v>
      </c>
      <c r="V205">
        <v>2.8014646796313681E-3</v>
      </c>
      <c r="W205">
        <v>2.500828053907728E-2</v>
      </c>
      <c r="X205" s="19">
        <f t="shared" si="9"/>
        <v>46035</v>
      </c>
      <c r="Y205" s="19">
        <f t="shared" si="10"/>
        <v>46035</v>
      </c>
      <c r="Z205">
        <f t="array" ref="Z205">_xlfn.XLOOKUP(INT(X205),INT($AE$2:$AE$1000),$AG$2:$AG$1000,"")</f>
        <v>15.98</v>
      </c>
      <c r="AE205" s="19">
        <f t="shared" si="11"/>
        <v>46160</v>
      </c>
      <c r="AF205" t="s">
        <v>183</v>
      </c>
      <c r="AG205">
        <v>17.82</v>
      </c>
    </row>
    <row r="206" spans="1:33" x14ac:dyDescent="0.3">
      <c r="A206">
        <v>5</v>
      </c>
      <c r="B206" t="s">
        <v>30</v>
      </c>
      <c r="C206" t="s">
        <v>32</v>
      </c>
      <c r="D206">
        <v>46102</v>
      </c>
      <c r="E206">
        <v>52.06</v>
      </c>
      <c r="F206">
        <v>56.09</v>
      </c>
      <c r="G206">
        <v>52.065206000000003</v>
      </c>
      <c r="H206">
        <v>56.084390999999997</v>
      </c>
      <c r="I206">
        <v>-4.1247413317106432</v>
      </c>
      <c r="J206">
        <v>0.40079226058962503</v>
      </c>
      <c r="K206">
        <v>0.19208605455243949</v>
      </c>
      <c r="L206">
        <v>-7.1455207807028881E-2</v>
      </c>
      <c r="M206" t="s">
        <v>29</v>
      </c>
      <c r="N206">
        <v>27</v>
      </c>
      <c r="O206" t="s">
        <v>28</v>
      </c>
      <c r="P206">
        <v>46129</v>
      </c>
      <c r="Q206">
        <v>51.835000000000001</v>
      </c>
      <c r="R206">
        <v>56.07</v>
      </c>
      <c r="S206">
        <v>-0.37938785928927132</v>
      </c>
      <c r="T206">
        <v>-4.1790258118158348E-2</v>
      </c>
      <c r="U206">
        <v>-4.4587377792694817E-2</v>
      </c>
      <c r="V206">
        <v>2.801704362727133E-3</v>
      </c>
      <c r="W206">
        <v>-4.7389082155421952E-2</v>
      </c>
      <c r="X206" s="19">
        <f t="shared" si="9"/>
        <v>46036</v>
      </c>
      <c r="Y206" s="19">
        <f t="shared" si="10"/>
        <v>46036</v>
      </c>
      <c r="Z206">
        <f t="array" ref="Z206">_xlfn.XLOOKUP(INT(X206),INT($AE$2:$AE$1000),$AG$2:$AG$1000,"")</f>
        <v>16.75</v>
      </c>
      <c r="AE206" s="19">
        <f t="shared" si="11"/>
        <v>46161</v>
      </c>
      <c r="AF206" t="s">
        <v>184</v>
      </c>
      <c r="AG206">
        <v>18.059999999999999</v>
      </c>
    </row>
    <row r="207" spans="1:33" x14ac:dyDescent="0.3">
      <c r="A207">
        <v>5</v>
      </c>
      <c r="B207" t="s">
        <v>30</v>
      </c>
      <c r="C207" t="s">
        <v>32</v>
      </c>
      <c r="D207">
        <v>46344</v>
      </c>
      <c r="E207">
        <v>51.555</v>
      </c>
      <c r="F207">
        <v>55.405000000000001</v>
      </c>
      <c r="G207">
        <v>51.549844499999999</v>
      </c>
      <c r="H207">
        <v>55.410540500000003</v>
      </c>
      <c r="I207">
        <v>3.7136460651004541</v>
      </c>
      <c r="J207">
        <v>0.40079226058962503</v>
      </c>
      <c r="K207">
        <v>-0.19396760740956259</v>
      </c>
      <c r="L207">
        <v>7.2338644633088173E-2</v>
      </c>
      <c r="M207" t="s">
        <v>27</v>
      </c>
      <c r="N207">
        <v>11</v>
      </c>
      <c r="O207" t="s">
        <v>28</v>
      </c>
      <c r="P207">
        <v>46355</v>
      </c>
      <c r="Q207">
        <v>51.524999999999999</v>
      </c>
      <c r="R207">
        <v>55.41</v>
      </c>
      <c r="S207">
        <v>0.49350773810771759</v>
      </c>
      <c r="T207">
        <v>6.18072144545221E-3</v>
      </c>
      <c r="U207">
        <v>3.3796826577722652E-3</v>
      </c>
      <c r="V207">
        <v>2.8014646796313681E-3</v>
      </c>
      <c r="W207">
        <v>5.782179781408975E-4</v>
      </c>
      <c r="X207" s="19">
        <f t="shared" si="9"/>
        <v>46036</v>
      </c>
      <c r="Y207" s="19">
        <f t="shared" si="10"/>
        <v>46036</v>
      </c>
      <c r="Z207">
        <f t="array" ref="Z207">_xlfn.XLOOKUP(INT(X207),INT($AE$2:$AE$1000),$AG$2:$AG$1000,"")</f>
        <v>16.75</v>
      </c>
      <c r="AE207" s="19">
        <f t="shared" si="11"/>
        <v>46162</v>
      </c>
      <c r="AF207" t="s">
        <v>185</v>
      </c>
      <c r="AG207">
        <v>17.440000000000001</v>
      </c>
    </row>
    <row r="208" spans="1:33" x14ac:dyDescent="0.3">
      <c r="A208">
        <v>5</v>
      </c>
      <c r="B208" t="s">
        <v>30</v>
      </c>
      <c r="C208" t="s">
        <v>32</v>
      </c>
      <c r="D208">
        <v>46493</v>
      </c>
      <c r="E208">
        <v>51.99</v>
      </c>
      <c r="F208">
        <v>55.85</v>
      </c>
      <c r="G208">
        <v>51.984800999999997</v>
      </c>
      <c r="H208">
        <v>55.855584999999998</v>
      </c>
      <c r="I208">
        <v>4.2702632045114708</v>
      </c>
      <c r="J208">
        <v>0.40079226058962503</v>
      </c>
      <c r="K208">
        <v>-0.19234468166955179</v>
      </c>
      <c r="L208">
        <v>7.1762266891606988E-2</v>
      </c>
      <c r="M208" t="s">
        <v>27</v>
      </c>
      <c r="N208">
        <v>1</v>
      </c>
      <c r="O208" t="s">
        <v>28</v>
      </c>
      <c r="P208">
        <v>46494</v>
      </c>
      <c r="Q208">
        <v>51.8</v>
      </c>
      <c r="R208">
        <v>55.71</v>
      </c>
      <c r="S208">
        <v>-0.35216398228453127</v>
      </c>
      <c r="T208">
        <v>2.649877215239076E-2</v>
      </c>
      <c r="U208">
        <v>2.3701846851900171E-2</v>
      </c>
      <c r="V208">
        <v>2.8014646796313681E-3</v>
      </c>
      <c r="W208">
        <v>2.0900382172268809E-2</v>
      </c>
      <c r="X208" s="19">
        <f t="shared" si="9"/>
        <v>46037</v>
      </c>
      <c r="Y208" s="19">
        <f t="shared" si="10"/>
        <v>46037</v>
      </c>
      <c r="Z208">
        <f t="array" ref="Z208">_xlfn.XLOOKUP(INT(X208),INT($AE$2:$AE$1000),$AG$2:$AG$1000,"")</f>
        <v>15.84</v>
      </c>
      <c r="AE208" s="19">
        <f t="shared" si="11"/>
        <v>46163</v>
      </c>
      <c r="AF208" t="s">
        <v>186</v>
      </c>
      <c r="AG208">
        <v>16.760000000000002</v>
      </c>
    </row>
    <row r="209" spans="1:33" x14ac:dyDescent="0.3">
      <c r="A209">
        <v>5</v>
      </c>
      <c r="B209" t="s">
        <v>30</v>
      </c>
      <c r="C209" t="s">
        <v>32</v>
      </c>
      <c r="D209">
        <v>46497</v>
      </c>
      <c r="E209">
        <v>52.04</v>
      </c>
      <c r="F209">
        <v>55.854999999999997</v>
      </c>
      <c r="G209">
        <v>52.034796</v>
      </c>
      <c r="H209">
        <v>55.860585499999999</v>
      </c>
      <c r="I209">
        <v>3.6117169776260738</v>
      </c>
      <c r="J209">
        <v>0.40079226058962503</v>
      </c>
      <c r="K209">
        <v>-0.1921598770176787</v>
      </c>
      <c r="L209">
        <v>7.1755842912832338E-2</v>
      </c>
      <c r="M209" t="s">
        <v>27</v>
      </c>
      <c r="N209">
        <v>23</v>
      </c>
      <c r="O209" t="s">
        <v>28</v>
      </c>
      <c r="P209">
        <v>46520</v>
      </c>
      <c r="Q209">
        <v>52.06</v>
      </c>
      <c r="R209">
        <v>55.77</v>
      </c>
      <c r="S209">
        <v>-3.4051446743257087E-2</v>
      </c>
      <c r="T209">
        <v>-9.9424441879444742E-3</v>
      </c>
      <c r="U209">
        <v>-1.2743803104213381E-2</v>
      </c>
      <c r="V209">
        <v>2.8014646796313681E-3</v>
      </c>
      <c r="W209">
        <v>-1.5545267783844749E-2</v>
      </c>
      <c r="X209" s="19">
        <f t="shared" si="9"/>
        <v>46037</v>
      </c>
      <c r="Y209" s="19">
        <f t="shared" si="10"/>
        <v>46037</v>
      </c>
      <c r="Z209">
        <f t="array" ref="Z209">_xlfn.XLOOKUP(INT(X209),INT($AE$2:$AE$1000),$AG$2:$AG$1000,"")</f>
        <v>15.84</v>
      </c>
      <c r="AE209" s="19">
        <f t="shared" si="11"/>
        <v>46164</v>
      </c>
      <c r="AF209" t="s">
        <v>187</v>
      </c>
      <c r="AG209">
        <v>16.7</v>
      </c>
    </row>
    <row r="210" spans="1:33" x14ac:dyDescent="0.3">
      <c r="A210">
        <v>5</v>
      </c>
      <c r="B210" t="s">
        <v>30</v>
      </c>
      <c r="C210" t="s">
        <v>32</v>
      </c>
      <c r="D210">
        <v>46886</v>
      </c>
      <c r="E210">
        <v>51.87</v>
      </c>
      <c r="F210">
        <v>55.91</v>
      </c>
      <c r="G210">
        <v>51.875186999999997</v>
      </c>
      <c r="H210">
        <v>55.904408999999987</v>
      </c>
      <c r="I210">
        <v>-3.946473484149815</v>
      </c>
      <c r="J210">
        <v>0.40079226058962503</v>
      </c>
      <c r="K210">
        <v>0.19278966647387699</v>
      </c>
      <c r="L210">
        <v>-7.1685254979364163E-2</v>
      </c>
      <c r="M210" t="s">
        <v>29</v>
      </c>
      <c r="N210">
        <v>2</v>
      </c>
      <c r="O210" t="s">
        <v>28</v>
      </c>
      <c r="P210">
        <v>46888</v>
      </c>
      <c r="Q210">
        <v>52.11</v>
      </c>
      <c r="R210">
        <v>56.164999999999999</v>
      </c>
      <c r="S210">
        <v>-0.1118520479176601</v>
      </c>
      <c r="T210">
        <v>2.798977993399282E-2</v>
      </c>
      <c r="U210">
        <v>2.5181740486815481E-2</v>
      </c>
      <c r="V210">
        <v>2.801704362727133E-3</v>
      </c>
      <c r="W210">
        <v>2.238003612408835E-2</v>
      </c>
      <c r="X210" s="19">
        <f t="shared" si="9"/>
        <v>46038</v>
      </c>
      <c r="Y210" s="19">
        <f t="shared" si="10"/>
        <v>46038</v>
      </c>
      <c r="Z210">
        <f t="array" ref="Z210">_xlfn.XLOOKUP(INT(X210),INT($AE$2:$AE$1000),$AG$2:$AG$1000,"")</f>
        <v>15.86</v>
      </c>
      <c r="AE210" s="19">
        <f t="shared" si="11"/>
        <v>46167</v>
      </c>
      <c r="AF210" t="s">
        <v>188</v>
      </c>
      <c r="AG210">
        <v>16.59</v>
      </c>
    </row>
    <row r="211" spans="1:33" x14ac:dyDescent="0.3">
      <c r="A211">
        <v>5</v>
      </c>
      <c r="B211" t="s">
        <v>30</v>
      </c>
      <c r="C211" t="s">
        <v>32</v>
      </c>
      <c r="D211">
        <v>47273</v>
      </c>
      <c r="E211">
        <v>51.95</v>
      </c>
      <c r="F211">
        <v>56.53</v>
      </c>
      <c r="G211">
        <v>51.955195000000003</v>
      </c>
      <c r="H211">
        <v>56.524346999999999</v>
      </c>
      <c r="I211">
        <v>-4.6592730691227446</v>
      </c>
      <c r="J211">
        <v>0.40079226058962503</v>
      </c>
      <c r="K211">
        <v>0.19249278152069299</v>
      </c>
      <c r="L211">
        <v>-7.0899037783411473E-2</v>
      </c>
      <c r="M211" t="s">
        <v>29</v>
      </c>
      <c r="N211">
        <v>7</v>
      </c>
      <c r="O211" t="s">
        <v>28</v>
      </c>
      <c r="P211">
        <v>47280</v>
      </c>
      <c r="Q211">
        <v>52.06</v>
      </c>
      <c r="R211">
        <v>56.42</v>
      </c>
      <c r="S211">
        <v>-0.46639592281609549</v>
      </c>
      <c r="T211">
        <v>2.8973100123451341E-2</v>
      </c>
      <c r="U211">
        <v>2.6170178071090369E-2</v>
      </c>
      <c r="V211">
        <v>2.8017043627271321E-3</v>
      </c>
      <c r="W211">
        <v>2.336847370836324E-2</v>
      </c>
      <c r="X211" s="19">
        <f t="shared" si="9"/>
        <v>46041</v>
      </c>
      <c r="Y211" s="19">
        <f t="shared" si="10"/>
        <v>46041</v>
      </c>
      <c r="Z211">
        <f t="array" ref="Z211">_xlfn.XLOOKUP(INT(X211),INT($AE$2:$AE$1000),$AG$2:$AG$1000,"")</f>
        <v>18.84</v>
      </c>
      <c r="AE211" s="19">
        <f t="shared" si="11"/>
        <v>46168</v>
      </c>
      <c r="AF211" t="s">
        <v>189</v>
      </c>
      <c r="AG211">
        <v>17.010000000000002</v>
      </c>
    </row>
    <row r="212" spans="1:33" x14ac:dyDescent="0.3">
      <c r="A212">
        <v>5</v>
      </c>
      <c r="B212" t="s">
        <v>26</v>
      </c>
      <c r="C212" t="s">
        <v>76</v>
      </c>
      <c r="D212">
        <v>43501</v>
      </c>
      <c r="E212">
        <v>941.68</v>
      </c>
      <c r="F212">
        <v>183.57</v>
      </c>
      <c r="G212">
        <v>941.77416799999992</v>
      </c>
      <c r="H212">
        <v>183.55164300000001</v>
      </c>
      <c r="I212">
        <v>-5.2946408762004449</v>
      </c>
      <c r="J212">
        <v>1.3474916341208181</v>
      </c>
      <c r="K212">
        <v>1.0619318664514489E-2</v>
      </c>
      <c r="L212">
        <v>-7.3404784775334631E-2</v>
      </c>
      <c r="M212" t="s">
        <v>29</v>
      </c>
      <c r="N212">
        <v>23</v>
      </c>
      <c r="O212" t="s">
        <v>28</v>
      </c>
      <c r="P212">
        <v>43524</v>
      </c>
      <c r="Q212">
        <v>942.19</v>
      </c>
      <c r="R212">
        <v>183.61500000000001</v>
      </c>
      <c r="S212">
        <v>-0.49138754581074179</v>
      </c>
      <c r="T212">
        <v>2.112637204012272E-3</v>
      </c>
      <c r="U212">
        <v>-2.583217971012363E-3</v>
      </c>
      <c r="V212">
        <v>4.6949137699148109E-3</v>
      </c>
      <c r="W212">
        <v>-7.278131740927174E-3</v>
      </c>
      <c r="X212" s="19">
        <f t="shared" si="9"/>
        <v>46027</v>
      </c>
      <c r="Y212" s="19">
        <f t="shared" si="10"/>
        <v>46027</v>
      </c>
      <c r="Z212">
        <f t="array" ref="Z212">_xlfn.XLOOKUP(INT(X212),INT($AE$2:$AE$1000),$AG$2:$AG$1000,"")</f>
        <v>14.9</v>
      </c>
      <c r="AE212" s="19">
        <f t="shared" si="11"/>
        <v>46169</v>
      </c>
      <c r="AF212" t="s">
        <v>190</v>
      </c>
      <c r="AG212">
        <v>16.29</v>
      </c>
    </row>
    <row r="213" spans="1:33" x14ac:dyDescent="0.3">
      <c r="A213">
        <v>5</v>
      </c>
      <c r="B213" t="s">
        <v>26</v>
      </c>
      <c r="C213" t="s">
        <v>76</v>
      </c>
      <c r="D213">
        <v>43565</v>
      </c>
      <c r="E213">
        <v>938.79499999999996</v>
      </c>
      <c r="F213">
        <v>182.60499999999999</v>
      </c>
      <c r="G213">
        <v>938.7011205</v>
      </c>
      <c r="H213">
        <v>182.62326049999999</v>
      </c>
      <c r="I213">
        <v>3.584224609496399</v>
      </c>
      <c r="J213">
        <v>1.3474916341208181</v>
      </c>
      <c r="K213">
        <v>-1.065195276924142E-2</v>
      </c>
      <c r="L213">
        <v>7.3792701958917767E-2</v>
      </c>
      <c r="M213" t="s">
        <v>27</v>
      </c>
      <c r="N213">
        <v>6</v>
      </c>
      <c r="O213" t="s">
        <v>28</v>
      </c>
      <c r="P213">
        <v>43571</v>
      </c>
      <c r="Q213">
        <v>939.03</v>
      </c>
      <c r="R213">
        <v>182.92</v>
      </c>
      <c r="S213">
        <v>0.1605987386264737</v>
      </c>
      <c r="T213">
        <v>2.0741492216287051E-2</v>
      </c>
      <c r="U213">
        <v>1.604393415704463E-2</v>
      </c>
      <c r="V213">
        <v>4.6950527665684614E-3</v>
      </c>
      <c r="W213">
        <v>1.134888139047617E-2</v>
      </c>
      <c r="X213" s="19">
        <f t="shared" si="9"/>
        <v>46027</v>
      </c>
      <c r="Y213" s="19">
        <f t="shared" si="10"/>
        <v>46027</v>
      </c>
      <c r="Z213">
        <f t="array" ref="Z213">_xlfn.XLOOKUP(INT(X213),INT($AE$2:$AE$1000),$AG$2:$AG$1000,"")</f>
        <v>14.9</v>
      </c>
      <c r="AE213" s="19">
        <f t="shared" si="11"/>
        <v>46170</v>
      </c>
      <c r="AF213" t="s">
        <v>191</v>
      </c>
      <c r="AG213">
        <v>15.74</v>
      </c>
    </row>
    <row r="214" spans="1:33" x14ac:dyDescent="0.3">
      <c r="A214">
        <v>5</v>
      </c>
      <c r="B214" t="s">
        <v>26</v>
      </c>
      <c r="C214" t="s">
        <v>76</v>
      </c>
      <c r="D214">
        <v>43755</v>
      </c>
      <c r="E214">
        <v>937.19</v>
      </c>
      <c r="F214">
        <v>182.19</v>
      </c>
      <c r="G214">
        <v>937.09628100000009</v>
      </c>
      <c r="H214">
        <v>182.20821900000001</v>
      </c>
      <c r="I214">
        <v>3.9130352662118471</v>
      </c>
      <c r="J214">
        <v>1.3474916341208181</v>
      </c>
      <c r="K214">
        <v>-1.067019494446163E-2</v>
      </c>
      <c r="L214">
        <v>7.3960790060970297E-2</v>
      </c>
      <c r="M214" t="s">
        <v>27</v>
      </c>
      <c r="N214">
        <v>3</v>
      </c>
      <c r="O214" t="s">
        <v>28</v>
      </c>
      <c r="P214">
        <v>43758</v>
      </c>
      <c r="Q214">
        <v>930.49</v>
      </c>
      <c r="R214">
        <v>181.68</v>
      </c>
      <c r="S214">
        <v>0.20878746831932599</v>
      </c>
      <c r="T214">
        <v>3.3770303196799259E-2</v>
      </c>
      <c r="U214">
        <v>2.9086240959465111E-2</v>
      </c>
      <c r="V214">
        <v>4.6950527665684597E-3</v>
      </c>
      <c r="W214">
        <v>2.4391188192896651E-2</v>
      </c>
      <c r="X214" s="19">
        <f t="shared" si="9"/>
        <v>46028</v>
      </c>
      <c r="Y214" s="19">
        <f t="shared" si="10"/>
        <v>46028</v>
      </c>
      <c r="Z214">
        <f t="array" ref="Z214">_xlfn.XLOOKUP(INT(X214),INT($AE$2:$AE$1000),$AG$2:$AG$1000,"")</f>
        <v>14.75</v>
      </c>
      <c r="AE214" s="19">
        <f t="shared" si="11"/>
        <v>46171</v>
      </c>
      <c r="AF214" t="s">
        <v>192</v>
      </c>
      <c r="AG214">
        <v>15.32</v>
      </c>
    </row>
    <row r="215" spans="1:33" x14ac:dyDescent="0.3">
      <c r="A215">
        <v>5</v>
      </c>
      <c r="B215" t="s">
        <v>26</v>
      </c>
      <c r="C215" t="s">
        <v>76</v>
      </c>
      <c r="D215">
        <v>43761</v>
      </c>
      <c r="E215">
        <v>936.06</v>
      </c>
      <c r="F215">
        <v>180.82</v>
      </c>
      <c r="G215">
        <v>935.96639399999992</v>
      </c>
      <c r="H215">
        <v>180.83808200000001</v>
      </c>
      <c r="I215">
        <v>3.5080242787658298</v>
      </c>
      <c r="J215">
        <v>1.3474916341208181</v>
      </c>
      <c r="K215">
        <v>-1.0683075871204839E-2</v>
      </c>
      <c r="L215">
        <v>7.4521161050813953E-2</v>
      </c>
      <c r="M215" t="s">
        <v>27</v>
      </c>
      <c r="N215">
        <v>18</v>
      </c>
      <c r="O215" t="s">
        <v>28</v>
      </c>
      <c r="P215">
        <v>43779</v>
      </c>
      <c r="Q215">
        <v>928.18499999999995</v>
      </c>
      <c r="R215">
        <v>180.22</v>
      </c>
      <c r="S215">
        <v>0.36357315033948018</v>
      </c>
      <c r="T215">
        <v>3.9416525855250142E-2</v>
      </c>
      <c r="U215">
        <v>3.4734426778920073E-2</v>
      </c>
      <c r="V215">
        <v>4.6950527665684597E-3</v>
      </c>
      <c r="W215">
        <v>3.003937401235161E-2</v>
      </c>
      <c r="X215" s="19">
        <f t="shared" si="9"/>
        <v>46028</v>
      </c>
      <c r="Y215" s="19">
        <f t="shared" si="10"/>
        <v>46028</v>
      </c>
      <c r="Z215">
        <f t="array" ref="Z215">_xlfn.XLOOKUP(INT(X215),INT($AE$2:$AE$1000),$AG$2:$AG$1000,"")</f>
        <v>14.75</v>
      </c>
      <c r="AE215" s="19">
        <f t="shared" si="11"/>
        <v>46174</v>
      </c>
      <c r="AF215" s="19">
        <v>46028</v>
      </c>
      <c r="AG215">
        <v>16.05</v>
      </c>
    </row>
    <row r="216" spans="1:33" x14ac:dyDescent="0.3">
      <c r="A216">
        <v>5</v>
      </c>
      <c r="B216" t="s">
        <v>26</v>
      </c>
      <c r="C216" t="s">
        <v>76</v>
      </c>
      <c r="D216">
        <v>44015</v>
      </c>
      <c r="E216">
        <v>933.02</v>
      </c>
      <c r="F216">
        <v>180.46</v>
      </c>
      <c r="G216">
        <v>933.11330199999998</v>
      </c>
      <c r="H216">
        <v>180.44195400000001</v>
      </c>
      <c r="I216">
        <v>-3.611536935751118</v>
      </c>
      <c r="J216">
        <v>1.3474916341208181</v>
      </c>
      <c r="K216">
        <v>1.0717883861010479E-2</v>
      </c>
      <c r="L216">
        <v>-7.4669823457875303E-2</v>
      </c>
      <c r="M216" t="s">
        <v>29</v>
      </c>
      <c r="N216">
        <v>10</v>
      </c>
      <c r="O216" t="s">
        <v>28</v>
      </c>
      <c r="P216">
        <v>44025</v>
      </c>
      <c r="Q216">
        <v>934.17</v>
      </c>
      <c r="R216">
        <v>180.44</v>
      </c>
      <c r="S216">
        <v>-8.6825504797774469E-2</v>
      </c>
      <c r="T216">
        <v>1.381896290932008E-2</v>
      </c>
      <c r="U216">
        <v>9.1228964240808123E-3</v>
      </c>
      <c r="V216">
        <v>4.6949137699148109E-3</v>
      </c>
      <c r="W216">
        <v>4.4279826541660013E-3</v>
      </c>
      <c r="X216" s="19">
        <f t="shared" si="9"/>
        <v>46028</v>
      </c>
      <c r="Y216" s="19">
        <f t="shared" si="10"/>
        <v>46028</v>
      </c>
      <c r="Z216">
        <f t="array" ref="Z216">_xlfn.XLOOKUP(INT(X216),INT($AE$2:$AE$1000),$AG$2:$AG$1000,"")</f>
        <v>14.75</v>
      </c>
      <c r="AE216" s="19">
        <f t="shared" si="11"/>
        <v>46175</v>
      </c>
      <c r="AF216" s="19">
        <v>46059</v>
      </c>
      <c r="AG216">
        <v>15.77</v>
      </c>
    </row>
    <row r="217" spans="1:33" x14ac:dyDescent="0.3">
      <c r="A217">
        <v>5</v>
      </c>
      <c r="B217" t="s">
        <v>26</v>
      </c>
      <c r="C217" t="s">
        <v>76</v>
      </c>
      <c r="D217">
        <v>44148</v>
      </c>
      <c r="E217">
        <v>944.01499999999999</v>
      </c>
      <c r="F217">
        <v>185.15</v>
      </c>
      <c r="G217">
        <v>944.10940149999999</v>
      </c>
      <c r="H217">
        <v>185.131485</v>
      </c>
      <c r="I217">
        <v>-4.8539433477077356</v>
      </c>
      <c r="J217">
        <v>1.3474916341208181</v>
      </c>
      <c r="K217">
        <v>1.059305201718193E-2</v>
      </c>
      <c r="L217">
        <v>-7.2778376133989617E-2</v>
      </c>
      <c r="M217" t="s">
        <v>29</v>
      </c>
      <c r="N217">
        <v>17</v>
      </c>
      <c r="O217" t="s">
        <v>28</v>
      </c>
      <c r="P217">
        <v>44165</v>
      </c>
      <c r="Q217">
        <v>946.75</v>
      </c>
      <c r="R217">
        <v>186.32</v>
      </c>
      <c r="S217">
        <v>-0.30170406291783658</v>
      </c>
      <c r="T217">
        <v>-5.6178702809774217E-2</v>
      </c>
      <c r="U217">
        <v>-6.0885098347749952E-2</v>
      </c>
      <c r="V217">
        <v>4.6949137699148109E-3</v>
      </c>
      <c r="W217">
        <v>-6.558001211766476E-2</v>
      </c>
      <c r="X217" s="19">
        <f t="shared" si="9"/>
        <v>46029</v>
      </c>
      <c r="Y217" s="19">
        <f t="shared" si="10"/>
        <v>46029</v>
      </c>
      <c r="Z217">
        <f t="array" ref="Z217">_xlfn.XLOOKUP(INT(X217),INT($AE$2:$AE$1000),$AG$2:$AG$1000,"")</f>
        <v>15.38</v>
      </c>
      <c r="AE217" s="19">
        <f t="shared" si="11"/>
        <v>46176</v>
      </c>
      <c r="AF217" s="19">
        <v>46087</v>
      </c>
      <c r="AG217">
        <v>16.059999999999999</v>
      </c>
    </row>
    <row r="218" spans="1:33" x14ac:dyDescent="0.3">
      <c r="A218">
        <v>5</v>
      </c>
      <c r="B218" t="s">
        <v>26</v>
      </c>
      <c r="C218" t="s">
        <v>76</v>
      </c>
      <c r="D218">
        <v>44270</v>
      </c>
      <c r="E218">
        <v>965.85</v>
      </c>
      <c r="F218">
        <v>191.13</v>
      </c>
      <c r="G218">
        <v>965.94658500000003</v>
      </c>
      <c r="H218">
        <v>191.11088699999999</v>
      </c>
      <c r="I218">
        <v>-3.570193529745612</v>
      </c>
      <c r="J218">
        <v>1.3474916341208181</v>
      </c>
      <c r="K218">
        <v>1.035357457162085E-2</v>
      </c>
      <c r="L218">
        <v>-7.0501315027511002E-2</v>
      </c>
      <c r="M218" t="s">
        <v>29</v>
      </c>
      <c r="N218">
        <v>15</v>
      </c>
      <c r="O218" t="s">
        <v>28</v>
      </c>
      <c r="P218">
        <v>44285</v>
      </c>
      <c r="Q218">
        <v>971.46</v>
      </c>
      <c r="R218">
        <v>191.07</v>
      </c>
      <c r="S218">
        <v>0.2009864605742876</v>
      </c>
      <c r="T218">
        <v>6.2313632248443947E-2</v>
      </c>
      <c r="U218">
        <v>5.7613263632758552E-2</v>
      </c>
      <c r="V218">
        <v>4.6949137699148109E-3</v>
      </c>
      <c r="W218">
        <v>5.2918349862843737E-2</v>
      </c>
      <c r="X218" s="19">
        <f t="shared" si="9"/>
        <v>46029</v>
      </c>
      <c r="Y218" s="19">
        <f t="shared" si="10"/>
        <v>46029</v>
      </c>
      <c r="Z218">
        <f t="array" ref="Z218">_xlfn.XLOOKUP(INT(X218),INT($AE$2:$AE$1000),$AG$2:$AG$1000,"")</f>
        <v>15.38</v>
      </c>
      <c r="AE218" s="19">
        <f t="shared" si="11"/>
        <v>46177</v>
      </c>
      <c r="AF218" s="19">
        <v>46118</v>
      </c>
      <c r="AG218">
        <v>15.4</v>
      </c>
    </row>
    <row r="219" spans="1:33" x14ac:dyDescent="0.3">
      <c r="A219">
        <v>5</v>
      </c>
      <c r="B219" t="s">
        <v>26</v>
      </c>
      <c r="C219" t="s">
        <v>76</v>
      </c>
      <c r="D219">
        <v>44931</v>
      </c>
      <c r="E219">
        <v>947.16</v>
      </c>
      <c r="F219">
        <v>185</v>
      </c>
      <c r="G219">
        <v>947.06528400000002</v>
      </c>
      <c r="H219">
        <v>185.01849999999999</v>
      </c>
      <c r="I219">
        <v>5.0345705420821689</v>
      </c>
      <c r="J219">
        <v>1.3474916341208181</v>
      </c>
      <c r="K219">
        <v>-1.0557878288779091E-2</v>
      </c>
      <c r="L219">
        <v>7.2837385628152312E-2</v>
      </c>
      <c r="M219" t="s">
        <v>27</v>
      </c>
      <c r="N219">
        <v>18</v>
      </c>
      <c r="O219" t="s">
        <v>28</v>
      </c>
      <c r="P219">
        <v>44949</v>
      </c>
      <c r="Q219">
        <v>945.68</v>
      </c>
      <c r="R219">
        <v>184.99</v>
      </c>
      <c r="S219">
        <v>0.49089033012107158</v>
      </c>
      <c r="T219">
        <v>1.4897286011112379E-2</v>
      </c>
      <c r="U219">
        <v>1.0203938146245289E-2</v>
      </c>
      <c r="V219">
        <v>4.6950527665684597E-3</v>
      </c>
      <c r="W219">
        <v>5.5088853796768349E-3</v>
      </c>
      <c r="X219" s="19">
        <f t="shared" si="9"/>
        <v>46031</v>
      </c>
      <c r="Y219" s="19">
        <f t="shared" si="10"/>
        <v>46031</v>
      </c>
      <c r="Z219">
        <f t="array" ref="Z219">_xlfn.XLOOKUP(INT(X219),INT($AE$2:$AE$1000),$AG$2:$AG$1000,"")</f>
        <v>14.49</v>
      </c>
      <c r="AE219" s="19">
        <f t="shared" si="11"/>
        <v>46178</v>
      </c>
      <c r="AF219" s="19">
        <v>46148</v>
      </c>
      <c r="AG219">
        <v>21.51</v>
      </c>
    </row>
    <row r="220" spans="1:33" x14ac:dyDescent="0.3">
      <c r="A220">
        <v>5</v>
      </c>
      <c r="B220" t="s">
        <v>26</v>
      </c>
      <c r="C220" t="s">
        <v>76</v>
      </c>
      <c r="D220">
        <v>45161</v>
      </c>
      <c r="E220">
        <v>951.89</v>
      </c>
      <c r="F220">
        <v>183.79</v>
      </c>
      <c r="G220">
        <v>951.79481099999998</v>
      </c>
      <c r="H220">
        <v>183.808379</v>
      </c>
      <c r="I220">
        <v>3.5088337198281918</v>
      </c>
      <c r="J220">
        <v>1.3474916341208181</v>
      </c>
      <c r="K220">
        <v>-1.0505415541711751E-2</v>
      </c>
      <c r="L220">
        <v>7.3316917901997819E-2</v>
      </c>
      <c r="M220" t="s">
        <v>27</v>
      </c>
      <c r="N220">
        <v>22</v>
      </c>
      <c r="O220" t="s">
        <v>28</v>
      </c>
      <c r="P220">
        <v>45183</v>
      </c>
      <c r="Q220">
        <v>946.19</v>
      </c>
      <c r="R220">
        <v>183.04499999999999</v>
      </c>
      <c r="S220">
        <v>-0.1878884970577632</v>
      </c>
      <c r="T220">
        <v>5.2597647507675593E-3</v>
      </c>
      <c r="U220">
        <v>5.7623167976802309E-4</v>
      </c>
      <c r="V220">
        <v>4.6950527665684614E-3</v>
      </c>
      <c r="W220">
        <v>-4.1188210868004366E-3</v>
      </c>
      <c r="X220" s="19">
        <f t="shared" si="9"/>
        <v>46031</v>
      </c>
      <c r="Y220" s="19">
        <f t="shared" si="10"/>
        <v>46031</v>
      </c>
      <c r="Z220">
        <f t="array" ref="Z220">_xlfn.XLOOKUP(INT(X220),INT($AE$2:$AE$1000),$AG$2:$AG$1000,"")</f>
        <v>14.49</v>
      </c>
      <c r="AE220" s="19">
        <f t="shared" si="11"/>
        <v>46181</v>
      </c>
      <c r="AF220" s="19">
        <v>46240</v>
      </c>
      <c r="AG220">
        <v>18.920000000000002</v>
      </c>
    </row>
    <row r="221" spans="1:33" x14ac:dyDescent="0.3">
      <c r="A221">
        <v>5</v>
      </c>
      <c r="B221" t="s">
        <v>26</v>
      </c>
      <c r="C221" t="s">
        <v>76</v>
      </c>
      <c r="D221">
        <v>45320</v>
      </c>
      <c r="E221">
        <v>942.6</v>
      </c>
      <c r="F221">
        <v>182.04</v>
      </c>
      <c r="G221">
        <v>942.69425999999999</v>
      </c>
      <c r="H221">
        <v>182.02179599999999</v>
      </c>
      <c r="I221">
        <v>-3.6763721749581029</v>
      </c>
      <c r="J221">
        <v>1.3474916341208181</v>
      </c>
      <c r="K221">
        <v>1.060895395713983E-2</v>
      </c>
      <c r="L221">
        <v>-7.4021733361943412E-2</v>
      </c>
      <c r="M221" t="s">
        <v>29</v>
      </c>
      <c r="N221">
        <v>10</v>
      </c>
      <c r="O221" t="s">
        <v>28</v>
      </c>
      <c r="P221">
        <v>45330</v>
      </c>
      <c r="Q221">
        <v>950.08500000000004</v>
      </c>
      <c r="R221">
        <v>183.06</v>
      </c>
      <c r="S221">
        <v>3.055764098590763E-2</v>
      </c>
      <c r="T221">
        <v>3.9058523400087031E-3</v>
      </c>
      <c r="U221">
        <v>-8.0462194707128787E-4</v>
      </c>
      <c r="V221">
        <v>4.6949137699148118E-3</v>
      </c>
      <c r="W221">
        <v>-5.4995357169860997E-3</v>
      </c>
      <c r="X221" s="19">
        <f t="shared" si="9"/>
        <v>46034</v>
      </c>
      <c r="Y221" s="19">
        <f t="shared" si="10"/>
        <v>46034</v>
      </c>
      <c r="Z221">
        <f t="array" ref="Z221">_xlfn.XLOOKUP(INT(X221),INT($AE$2:$AE$1000),$AG$2:$AG$1000,"")</f>
        <v>15.12</v>
      </c>
      <c r="AE221" s="19">
        <f t="shared" si="11"/>
        <v>46182</v>
      </c>
      <c r="AF221" s="19">
        <v>46271</v>
      </c>
      <c r="AG221">
        <v>19.87</v>
      </c>
    </row>
    <row r="222" spans="1:33" x14ac:dyDescent="0.3">
      <c r="A222">
        <v>5</v>
      </c>
      <c r="B222" t="s">
        <v>26</v>
      </c>
      <c r="C222" t="s">
        <v>76</v>
      </c>
      <c r="D222">
        <v>46102</v>
      </c>
      <c r="E222">
        <v>935.58</v>
      </c>
      <c r="F222">
        <v>183.04</v>
      </c>
      <c r="G222">
        <v>935.67355800000007</v>
      </c>
      <c r="H222">
        <v>183.02169599999999</v>
      </c>
      <c r="I222">
        <v>-5.11124232442205</v>
      </c>
      <c r="J222">
        <v>1.3474916341208181</v>
      </c>
      <c r="K222">
        <v>1.068855683105667E-2</v>
      </c>
      <c r="L222">
        <v>-7.3617331409572662E-2</v>
      </c>
      <c r="M222" t="s">
        <v>29</v>
      </c>
      <c r="N222">
        <v>5</v>
      </c>
      <c r="O222" t="s">
        <v>28</v>
      </c>
      <c r="P222">
        <v>46107</v>
      </c>
      <c r="Q222">
        <v>926.78</v>
      </c>
      <c r="R222">
        <v>179.66499999999999</v>
      </c>
      <c r="S222">
        <v>-0.35313470399987512</v>
      </c>
      <c r="T222">
        <v>0.15439919339400829</v>
      </c>
      <c r="U222">
        <v>0.1497384619051286</v>
      </c>
      <c r="V222">
        <v>4.6949137699148118E-3</v>
      </c>
      <c r="W222">
        <v>0.14504354813521381</v>
      </c>
      <c r="X222" s="19">
        <f t="shared" si="9"/>
        <v>46036</v>
      </c>
      <c r="Y222" s="19">
        <f t="shared" si="10"/>
        <v>46036</v>
      </c>
      <c r="Z222">
        <f t="array" ref="Z222">_xlfn.XLOOKUP(INT(X222),INT($AE$2:$AE$1000),$AG$2:$AG$1000,"")</f>
        <v>16.75</v>
      </c>
      <c r="AE222" s="19">
        <f t="shared" si="11"/>
        <v>46183</v>
      </c>
      <c r="AF222" s="19">
        <v>46301</v>
      </c>
      <c r="AG222">
        <v>22.22</v>
      </c>
    </row>
    <row r="223" spans="1:33" x14ac:dyDescent="0.3">
      <c r="A223">
        <v>5</v>
      </c>
      <c r="B223" t="s">
        <v>26</v>
      </c>
      <c r="C223" t="s">
        <v>76</v>
      </c>
      <c r="D223">
        <v>46493</v>
      </c>
      <c r="E223">
        <v>928.44</v>
      </c>
      <c r="F223">
        <v>179.36</v>
      </c>
      <c r="G223">
        <v>928.34715600000004</v>
      </c>
      <c r="H223">
        <v>179.37793600000001</v>
      </c>
      <c r="I223">
        <v>4.3427292434316707</v>
      </c>
      <c r="J223">
        <v>1.3474916341208181</v>
      </c>
      <c r="K223">
        <v>-1.07707552453578E-2</v>
      </c>
      <c r="L223">
        <v>7.5127767290411332E-2</v>
      </c>
      <c r="M223" t="s">
        <v>27</v>
      </c>
      <c r="N223">
        <v>1</v>
      </c>
      <c r="O223" t="s">
        <v>28</v>
      </c>
      <c r="P223">
        <v>46494</v>
      </c>
      <c r="Q223">
        <v>925.31</v>
      </c>
      <c r="R223">
        <v>179.74</v>
      </c>
      <c r="S223">
        <v>0.43365680402417389</v>
      </c>
      <c r="T223">
        <v>6.2261015488327062E-2</v>
      </c>
      <c r="U223">
        <v>5.7566548611319858E-2</v>
      </c>
      <c r="V223">
        <v>4.6950527665684588E-3</v>
      </c>
      <c r="W223">
        <v>5.2871495844751412E-2</v>
      </c>
      <c r="X223" s="19">
        <f t="shared" si="9"/>
        <v>46037</v>
      </c>
      <c r="Y223" s="19">
        <f t="shared" si="10"/>
        <v>46037</v>
      </c>
      <c r="Z223">
        <f t="array" ref="Z223">_xlfn.XLOOKUP(INT(X223),INT($AE$2:$AE$1000),$AG$2:$AG$1000,"")</f>
        <v>15.84</v>
      </c>
      <c r="AE223" s="19">
        <f t="shared" si="11"/>
        <v>46184</v>
      </c>
      <c r="AF223" s="19">
        <v>46332</v>
      </c>
      <c r="AG223">
        <v>19.440000000000001</v>
      </c>
    </row>
    <row r="224" spans="1:33" x14ac:dyDescent="0.3">
      <c r="A224">
        <v>5</v>
      </c>
      <c r="B224" t="s">
        <v>26</v>
      </c>
      <c r="C224" t="s">
        <v>76</v>
      </c>
      <c r="D224">
        <v>46883</v>
      </c>
      <c r="E224">
        <v>926.29</v>
      </c>
      <c r="F224">
        <v>182.45500000000001</v>
      </c>
      <c r="G224">
        <v>926.38262899999995</v>
      </c>
      <c r="H224">
        <v>182.43675450000001</v>
      </c>
      <c r="I224">
        <v>-4.720667234608956</v>
      </c>
      <c r="J224">
        <v>1.3474916341208181</v>
      </c>
      <c r="K224">
        <v>1.079575510909111E-2</v>
      </c>
      <c r="L224">
        <v>-7.3853368453636117E-2</v>
      </c>
      <c r="M224" t="s">
        <v>29</v>
      </c>
      <c r="N224">
        <v>11</v>
      </c>
      <c r="O224" t="s">
        <v>28</v>
      </c>
      <c r="P224">
        <v>46894</v>
      </c>
      <c r="Q224">
        <v>932.4</v>
      </c>
      <c r="R224">
        <v>183.065</v>
      </c>
      <c r="S224">
        <v>-0.44487039977210929</v>
      </c>
      <c r="T224">
        <v>2.0911508959829871E-2</v>
      </c>
      <c r="U224">
        <v>1.62054244297406E-2</v>
      </c>
      <c r="V224">
        <v>4.6949137699148118E-3</v>
      </c>
      <c r="W224">
        <v>1.1510510659825789E-2</v>
      </c>
      <c r="X224" s="19">
        <f t="shared" si="9"/>
        <v>46038</v>
      </c>
      <c r="Y224" s="19">
        <f t="shared" si="10"/>
        <v>46038</v>
      </c>
      <c r="Z224">
        <f t="array" ref="Z224">_xlfn.XLOOKUP(INT(X224),INT($AE$2:$AE$1000),$AG$2:$AG$1000,"")</f>
        <v>15.86</v>
      </c>
      <c r="AE224" s="19">
        <f t="shared" si="11"/>
        <v>46185</v>
      </c>
      <c r="AF224" s="19">
        <v>46362</v>
      </c>
      <c r="AG224">
        <v>17.68</v>
      </c>
    </row>
    <row r="225" spans="1:33" x14ac:dyDescent="0.3">
      <c r="A225">
        <v>5</v>
      </c>
      <c r="B225" t="s">
        <v>26</v>
      </c>
      <c r="C225" t="s">
        <v>76</v>
      </c>
      <c r="D225">
        <v>47273</v>
      </c>
      <c r="E225">
        <v>930.37</v>
      </c>
      <c r="F225">
        <v>182.43</v>
      </c>
      <c r="G225">
        <v>930.27696300000002</v>
      </c>
      <c r="H225">
        <v>182.44824299999999</v>
      </c>
      <c r="I225">
        <v>4.0100775011858723</v>
      </c>
      <c r="J225">
        <v>1.3474916341208181</v>
      </c>
      <c r="K225">
        <v>-1.07484119221385E-2</v>
      </c>
      <c r="L225">
        <v>7.3863489235367966E-2</v>
      </c>
      <c r="M225" t="s">
        <v>27</v>
      </c>
      <c r="N225">
        <v>17</v>
      </c>
      <c r="O225" t="s">
        <v>28</v>
      </c>
      <c r="P225">
        <v>47290</v>
      </c>
      <c r="Q225">
        <v>926.76</v>
      </c>
      <c r="R225">
        <v>181.8</v>
      </c>
      <c r="S225">
        <v>0.4068795913043361</v>
      </c>
      <c r="T225">
        <v>-7.7322311793613374E-3</v>
      </c>
      <c r="U225">
        <v>-1.2418680871075749E-2</v>
      </c>
      <c r="V225">
        <v>4.6950527665684597E-3</v>
      </c>
      <c r="W225">
        <v>-1.7113733637644211E-2</v>
      </c>
      <c r="X225" s="19">
        <f t="shared" si="9"/>
        <v>46041</v>
      </c>
      <c r="Y225" s="19">
        <f t="shared" si="10"/>
        <v>46041</v>
      </c>
      <c r="Z225">
        <f t="array" ref="Z225">_xlfn.XLOOKUP(INT(X225),INT($AE$2:$AE$1000),$AG$2:$AG$1000,"")</f>
        <v>18.84</v>
      </c>
      <c r="AE225" s="19">
        <f t="shared" si="11"/>
        <v>46188</v>
      </c>
      <c r="AF225" t="s">
        <v>193</v>
      </c>
      <c r="AG225">
        <v>16.2</v>
      </c>
    </row>
    <row r="226" spans="1:33" x14ac:dyDescent="0.3">
      <c r="A226">
        <v>5</v>
      </c>
      <c r="B226" t="s">
        <v>30</v>
      </c>
      <c r="C226" t="s">
        <v>34</v>
      </c>
      <c r="D226">
        <v>43501</v>
      </c>
      <c r="E226">
        <v>54.725000000000001</v>
      </c>
      <c r="F226">
        <v>49.98</v>
      </c>
      <c r="G226">
        <v>54.719527500000012</v>
      </c>
      <c r="H226">
        <v>49.984997999999997</v>
      </c>
      <c r="I226">
        <v>5.2946374318622862</v>
      </c>
      <c r="J226">
        <v>0.46640178561759321</v>
      </c>
      <c r="K226">
        <v>-0.18273184102329831</v>
      </c>
      <c r="L226">
        <v>9.3317684197197534E-2</v>
      </c>
      <c r="M226" t="s">
        <v>27</v>
      </c>
      <c r="N226">
        <v>23</v>
      </c>
      <c r="O226" t="s">
        <v>28</v>
      </c>
      <c r="P226">
        <v>43524</v>
      </c>
      <c r="Q226">
        <v>54.645000000000003</v>
      </c>
      <c r="R226">
        <v>50.005000000000003</v>
      </c>
      <c r="S226">
        <v>0.49086027198060611</v>
      </c>
      <c r="T226">
        <v>1.6951489386794021E-2</v>
      </c>
      <c r="U226">
        <v>1.401991437607665E-2</v>
      </c>
      <c r="V226">
        <v>2.93269685159231E-3</v>
      </c>
      <c r="W226">
        <v>1.108721752448434E-2</v>
      </c>
      <c r="X226" s="19">
        <f t="shared" si="9"/>
        <v>46027</v>
      </c>
      <c r="Y226" s="19">
        <f t="shared" si="10"/>
        <v>46027</v>
      </c>
      <c r="Z226">
        <f t="array" ref="Z226">_xlfn.XLOOKUP(INT(X226),INT($AE$2:$AE$1000),$AG$2:$AG$1000,"")</f>
        <v>14.9</v>
      </c>
      <c r="AE226" s="19">
        <f t="shared" si="11"/>
        <v>46189</v>
      </c>
      <c r="AF226" t="s">
        <v>194</v>
      </c>
      <c r="AG226">
        <v>16.41</v>
      </c>
    </row>
    <row r="227" spans="1:33" x14ac:dyDescent="0.3">
      <c r="A227">
        <v>5</v>
      </c>
      <c r="B227" t="s">
        <v>30</v>
      </c>
      <c r="C227" t="s">
        <v>34</v>
      </c>
      <c r="D227">
        <v>43742</v>
      </c>
      <c r="E227">
        <v>53.85</v>
      </c>
      <c r="F227">
        <v>49.67</v>
      </c>
      <c r="G227">
        <v>53.855384999999998</v>
      </c>
      <c r="H227">
        <v>49.665033000000001</v>
      </c>
      <c r="I227">
        <v>-4.5447971968635326</v>
      </c>
      <c r="J227">
        <v>0.46640178561759321</v>
      </c>
      <c r="K227">
        <v>0.18570102135561739</v>
      </c>
      <c r="L227">
        <v>-9.390009776879267E-2</v>
      </c>
      <c r="M227" t="s">
        <v>29</v>
      </c>
      <c r="N227">
        <v>34</v>
      </c>
      <c r="O227" t="s">
        <v>28</v>
      </c>
      <c r="P227">
        <v>43776</v>
      </c>
      <c r="Q227">
        <v>52.68</v>
      </c>
      <c r="R227">
        <v>49.5</v>
      </c>
      <c r="S227">
        <v>-0.385858795780405</v>
      </c>
      <c r="T227">
        <v>-0.20130717836537779</v>
      </c>
      <c r="U227">
        <v>-0.20421665861545199</v>
      </c>
      <c r="V227">
        <v>2.9329102908780629E-3</v>
      </c>
      <c r="W227">
        <v>-0.2071495689063301</v>
      </c>
      <c r="X227" s="19">
        <f t="shared" si="9"/>
        <v>46028</v>
      </c>
      <c r="Y227" s="19">
        <f t="shared" si="10"/>
        <v>46028</v>
      </c>
      <c r="Z227">
        <f t="array" ref="Z227">_xlfn.XLOOKUP(INT(X227),INT($AE$2:$AE$1000),$AG$2:$AG$1000,"")</f>
        <v>14.75</v>
      </c>
      <c r="AE227" s="19">
        <f t="shared" si="11"/>
        <v>46190</v>
      </c>
      <c r="AF227" t="s">
        <v>195</v>
      </c>
      <c r="AG227">
        <v>18.440000000000001</v>
      </c>
    </row>
    <row r="228" spans="1:33" x14ac:dyDescent="0.3">
      <c r="A228">
        <v>5</v>
      </c>
      <c r="B228" t="s">
        <v>30</v>
      </c>
      <c r="C228" t="s">
        <v>34</v>
      </c>
      <c r="D228">
        <v>44541</v>
      </c>
      <c r="E228">
        <v>52.91</v>
      </c>
      <c r="F228">
        <v>50.45</v>
      </c>
      <c r="G228">
        <v>52.904708999999997</v>
      </c>
      <c r="H228">
        <v>50.455045000000013</v>
      </c>
      <c r="I228">
        <v>4.6612072252978116</v>
      </c>
      <c r="J228">
        <v>0.46640178561759321</v>
      </c>
      <c r="K228">
        <v>-0.189000189000189</v>
      </c>
      <c r="L228">
        <v>9.2448322223507073E-2</v>
      </c>
      <c r="M228" t="s">
        <v>27</v>
      </c>
      <c r="N228">
        <v>5</v>
      </c>
      <c r="O228" t="s">
        <v>28</v>
      </c>
      <c r="P228">
        <v>44546</v>
      </c>
      <c r="Q228">
        <v>52.47</v>
      </c>
      <c r="R228">
        <v>50.195</v>
      </c>
      <c r="S228">
        <v>-0.48613127033682529</v>
      </c>
      <c r="T228">
        <v>5.9585760993088203E-2</v>
      </c>
      <c r="U228">
        <v>5.6663630862386453E-2</v>
      </c>
      <c r="V228">
        <v>2.93269685159231E-3</v>
      </c>
      <c r="W228">
        <v>5.3730934010794137E-2</v>
      </c>
      <c r="X228" s="19">
        <f t="shared" si="9"/>
        <v>46030</v>
      </c>
      <c r="Y228" s="19">
        <f t="shared" si="10"/>
        <v>46030</v>
      </c>
      <c r="Z228">
        <f t="array" ref="Z228">_xlfn.XLOOKUP(INT(X228),INT($AE$2:$AE$1000),$AG$2:$AG$1000,"")</f>
        <v>15.45</v>
      </c>
      <c r="AE228" s="19">
        <f t="shared" si="11"/>
        <v>46191</v>
      </c>
      <c r="AF228" t="s">
        <v>196</v>
      </c>
      <c r="AG228">
        <v>16.399999999999999</v>
      </c>
    </row>
    <row r="229" spans="1:33" x14ac:dyDescent="0.3">
      <c r="A229">
        <v>5</v>
      </c>
      <c r="B229" t="s">
        <v>30</v>
      </c>
      <c r="C229" t="s">
        <v>34</v>
      </c>
      <c r="D229">
        <v>44931</v>
      </c>
      <c r="E229">
        <v>52.424999999999997</v>
      </c>
      <c r="F229">
        <v>49.57</v>
      </c>
      <c r="G229">
        <v>52.430242499999999</v>
      </c>
      <c r="H229">
        <v>49.565043000000003</v>
      </c>
      <c r="I229">
        <v>-4.9896682880588106</v>
      </c>
      <c r="J229">
        <v>0.46640178561759321</v>
      </c>
      <c r="K229">
        <v>0.19074868860276589</v>
      </c>
      <c r="L229">
        <v>-9.408952705620198E-2</v>
      </c>
      <c r="M229" t="s">
        <v>29</v>
      </c>
      <c r="N229">
        <v>10</v>
      </c>
      <c r="O229" t="s">
        <v>28</v>
      </c>
      <c r="P229">
        <v>44941</v>
      </c>
      <c r="Q229">
        <v>52.64</v>
      </c>
      <c r="R229">
        <v>49.71</v>
      </c>
      <c r="S229">
        <v>-0.43082963386216178</v>
      </c>
      <c r="T229">
        <v>2.7838434261726979E-2</v>
      </c>
      <c r="U229">
        <v>2.4900212340308859E-2</v>
      </c>
      <c r="V229">
        <v>2.9329102908780629E-3</v>
      </c>
      <c r="W229">
        <v>2.196730204943079E-2</v>
      </c>
      <c r="X229" s="19">
        <f t="shared" si="9"/>
        <v>46031</v>
      </c>
      <c r="Y229" s="19">
        <f t="shared" si="10"/>
        <v>46031</v>
      </c>
      <c r="Z229">
        <f t="array" ref="Z229">_xlfn.XLOOKUP(INT(X229),INT($AE$2:$AE$1000),$AG$2:$AG$1000,"")</f>
        <v>14.49</v>
      </c>
      <c r="AE229" s="19">
        <f t="shared" si="11"/>
        <v>46192</v>
      </c>
      <c r="AF229" t="s">
        <v>197</v>
      </c>
      <c r="AG229">
        <v>16.78</v>
      </c>
    </row>
    <row r="230" spans="1:33" x14ac:dyDescent="0.3">
      <c r="A230">
        <v>5</v>
      </c>
      <c r="B230" t="s">
        <v>30</v>
      </c>
      <c r="C230" t="s">
        <v>34</v>
      </c>
      <c r="D230">
        <v>45321</v>
      </c>
      <c r="E230">
        <v>52.435000000000002</v>
      </c>
      <c r="F230">
        <v>48.62</v>
      </c>
      <c r="G230">
        <v>52.429756500000003</v>
      </c>
      <c r="H230">
        <v>48.624862</v>
      </c>
      <c r="I230">
        <v>4.1419646317562488</v>
      </c>
      <c r="J230">
        <v>0.46640178561759321</v>
      </c>
      <c r="K230">
        <v>-0.19071231047964149</v>
      </c>
      <c r="L230">
        <v>9.5927969069846408E-2</v>
      </c>
      <c r="M230" t="s">
        <v>27</v>
      </c>
      <c r="N230">
        <v>8</v>
      </c>
      <c r="O230" t="s">
        <v>28</v>
      </c>
      <c r="P230">
        <v>45329</v>
      </c>
      <c r="Q230">
        <v>52.65</v>
      </c>
      <c r="R230">
        <v>50</v>
      </c>
      <c r="S230">
        <v>-0.13635904900896109</v>
      </c>
      <c r="T230">
        <v>9.1377450563266086E-2</v>
      </c>
      <c r="U230">
        <v>8.8427308617623379E-2</v>
      </c>
      <c r="V230">
        <v>2.93269685159231E-3</v>
      </c>
      <c r="W230">
        <v>8.549461176603107E-2</v>
      </c>
      <c r="X230" s="19">
        <f t="shared" si="9"/>
        <v>46034</v>
      </c>
      <c r="Y230" s="19">
        <f t="shared" si="10"/>
        <v>46034</v>
      </c>
      <c r="Z230">
        <f t="array" ref="Z230">_xlfn.XLOOKUP(INT(X230),INT($AE$2:$AE$1000),$AG$2:$AG$1000,"")</f>
        <v>15.12</v>
      </c>
      <c r="AE230" s="19">
        <f t="shared" si="11"/>
        <v>46195</v>
      </c>
      <c r="AF230" t="s">
        <v>198</v>
      </c>
      <c r="AG230">
        <v>17.28</v>
      </c>
    </row>
    <row r="231" spans="1:33" x14ac:dyDescent="0.3">
      <c r="A231">
        <v>5</v>
      </c>
      <c r="B231" t="s">
        <v>30</v>
      </c>
      <c r="C231" t="s">
        <v>34</v>
      </c>
      <c r="D231">
        <v>45712</v>
      </c>
      <c r="E231">
        <v>52.63</v>
      </c>
      <c r="F231">
        <v>50.14</v>
      </c>
      <c r="G231">
        <v>52.624737000000003</v>
      </c>
      <c r="H231">
        <v>50.145014000000003</v>
      </c>
      <c r="I231">
        <v>4.2191955721693422</v>
      </c>
      <c r="J231">
        <v>0.46640178561759321</v>
      </c>
      <c r="K231">
        <v>-0.1900057001710051</v>
      </c>
      <c r="L231">
        <v>9.3019901399599758E-2</v>
      </c>
      <c r="M231" t="s">
        <v>27</v>
      </c>
      <c r="N231">
        <v>25</v>
      </c>
      <c r="O231" t="s">
        <v>28</v>
      </c>
      <c r="P231">
        <v>45737</v>
      </c>
      <c r="Q231">
        <v>52.844999999999999</v>
      </c>
      <c r="R231">
        <v>50.354999999999997</v>
      </c>
      <c r="S231">
        <v>0.44393950699257279</v>
      </c>
      <c r="T231">
        <v>-2.0851946735851799E-2</v>
      </c>
      <c r="U231">
        <v>-2.3790835357521078E-2</v>
      </c>
      <c r="V231">
        <v>2.93269685159231E-3</v>
      </c>
      <c r="W231">
        <v>-2.6723532209113381E-2</v>
      </c>
      <c r="X231" s="19">
        <f t="shared" si="9"/>
        <v>46035</v>
      </c>
      <c r="Y231" s="19">
        <f t="shared" si="10"/>
        <v>46035</v>
      </c>
      <c r="Z231">
        <f t="array" ref="Z231">_xlfn.XLOOKUP(INT(X231),INT($AE$2:$AE$1000),$AG$2:$AG$1000,"")</f>
        <v>15.98</v>
      </c>
      <c r="AE231" s="19">
        <f t="shared" si="11"/>
        <v>46196</v>
      </c>
      <c r="AF231" t="s">
        <v>199</v>
      </c>
      <c r="AG231">
        <v>19.489999999999998</v>
      </c>
    </row>
    <row r="232" spans="1:33" x14ac:dyDescent="0.3">
      <c r="A232">
        <v>5</v>
      </c>
      <c r="B232" t="s">
        <v>30</v>
      </c>
      <c r="C232" t="s">
        <v>34</v>
      </c>
      <c r="D232">
        <v>45986</v>
      </c>
      <c r="E232">
        <v>52.73</v>
      </c>
      <c r="F232">
        <v>50.875</v>
      </c>
      <c r="G232">
        <v>52.724726999999987</v>
      </c>
      <c r="H232">
        <v>50.880087500000002</v>
      </c>
      <c r="I232">
        <v>3.6684609996630551</v>
      </c>
      <c r="J232">
        <v>0.46640178561759321</v>
      </c>
      <c r="K232">
        <v>-0.1896453631708705</v>
      </c>
      <c r="L232">
        <v>9.1676026657020779E-2</v>
      </c>
      <c r="M232" t="s">
        <v>27</v>
      </c>
      <c r="N232">
        <v>10</v>
      </c>
      <c r="O232" t="s">
        <v>28</v>
      </c>
      <c r="P232">
        <v>45996</v>
      </c>
      <c r="Q232">
        <v>52.73</v>
      </c>
      <c r="R232">
        <v>50.935000000000002</v>
      </c>
      <c r="S232">
        <v>0.46197028620369041</v>
      </c>
      <c r="T232">
        <v>5.5005615994214553E-3</v>
      </c>
      <c r="U232">
        <v>2.5672079720251038E-3</v>
      </c>
      <c r="V232">
        <v>2.93269685159231E-3</v>
      </c>
      <c r="W232">
        <v>-3.6548887956720571E-4</v>
      </c>
      <c r="X232" s="19">
        <f t="shared" si="9"/>
        <v>46035</v>
      </c>
      <c r="Y232" s="19">
        <f t="shared" si="10"/>
        <v>46035</v>
      </c>
      <c r="Z232">
        <f t="array" ref="Z232">_xlfn.XLOOKUP(INT(X232),INT($AE$2:$AE$1000),$AG$2:$AG$1000,"")</f>
        <v>15.98</v>
      </c>
      <c r="AE232" s="19">
        <f t="shared" si="11"/>
        <v>46197</v>
      </c>
      <c r="AF232" t="s">
        <v>200</v>
      </c>
      <c r="AG232">
        <v>18.63</v>
      </c>
    </row>
    <row r="233" spans="1:33" x14ac:dyDescent="0.3">
      <c r="A233">
        <v>5</v>
      </c>
      <c r="B233" t="s">
        <v>30</v>
      </c>
      <c r="C233" t="s">
        <v>34</v>
      </c>
      <c r="D233">
        <v>46102</v>
      </c>
      <c r="E233">
        <v>52.06</v>
      </c>
      <c r="F233">
        <v>50.09</v>
      </c>
      <c r="G233">
        <v>52.065206000000003</v>
      </c>
      <c r="H233">
        <v>50.084991000000002</v>
      </c>
      <c r="I233">
        <v>-3.8903692614583751</v>
      </c>
      <c r="J233">
        <v>0.46640178561759321</v>
      </c>
      <c r="K233">
        <v>0.19208605455243949</v>
      </c>
      <c r="L233">
        <v>-9.3112754166019801E-2</v>
      </c>
      <c r="M233" t="s">
        <v>29</v>
      </c>
      <c r="N233">
        <v>32</v>
      </c>
      <c r="O233" t="s">
        <v>28</v>
      </c>
      <c r="P233">
        <v>46134</v>
      </c>
      <c r="Q233">
        <v>51.805</v>
      </c>
      <c r="R233">
        <v>50.494999999999997</v>
      </c>
      <c r="S233">
        <v>-0.37246550834135289</v>
      </c>
      <c r="T233">
        <v>-8.6692609348110017E-2</v>
      </c>
      <c r="U233">
        <v>-8.9624285791498337E-2</v>
      </c>
      <c r="V233">
        <v>2.9329102908780629E-3</v>
      </c>
      <c r="W233">
        <v>-9.2557196082376406E-2</v>
      </c>
      <c r="X233" s="19">
        <f t="shared" si="9"/>
        <v>46036</v>
      </c>
      <c r="Y233" s="19">
        <f t="shared" si="10"/>
        <v>46036</v>
      </c>
      <c r="Z233">
        <f t="array" ref="Z233">_xlfn.XLOOKUP(INT(X233),INT($AE$2:$AE$1000),$AG$2:$AG$1000,"")</f>
        <v>16.75</v>
      </c>
      <c r="AE233" s="19">
        <f t="shared" si="11"/>
        <v>46198</v>
      </c>
      <c r="AF233" t="s">
        <v>201</v>
      </c>
      <c r="AG233">
        <v>18.89</v>
      </c>
    </row>
    <row r="234" spans="1:33" x14ac:dyDescent="0.3">
      <c r="A234">
        <v>5</v>
      </c>
      <c r="B234" t="s">
        <v>30</v>
      </c>
      <c r="C234" t="s">
        <v>34</v>
      </c>
      <c r="D234">
        <v>46778</v>
      </c>
      <c r="E234">
        <v>52.1</v>
      </c>
      <c r="F234">
        <v>50.23</v>
      </c>
      <c r="G234">
        <v>52.10521</v>
      </c>
      <c r="H234">
        <v>50.224977000000003</v>
      </c>
      <c r="I234">
        <v>-3.666760167132685</v>
      </c>
      <c r="J234">
        <v>0.46640178561759321</v>
      </c>
      <c r="K234">
        <v>0.19193857965451061</v>
      </c>
      <c r="L234">
        <v>-9.2853232255144982E-2</v>
      </c>
      <c r="M234" t="s">
        <v>29</v>
      </c>
      <c r="N234">
        <v>10</v>
      </c>
      <c r="O234" t="s">
        <v>28</v>
      </c>
      <c r="P234">
        <v>46788</v>
      </c>
      <c r="Q234">
        <v>52.145000000000003</v>
      </c>
      <c r="R234">
        <v>50.234999999999999</v>
      </c>
      <c r="S234">
        <v>-0.25864448290463232</v>
      </c>
      <c r="T234">
        <v>8.1729699231773388E-3</v>
      </c>
      <c r="U234">
        <v>5.2392562017176091E-3</v>
      </c>
      <c r="V234">
        <v>2.9329102908780629E-3</v>
      </c>
      <c r="W234">
        <v>2.3063459108395462E-3</v>
      </c>
      <c r="X234" s="19">
        <f t="shared" si="9"/>
        <v>46037</v>
      </c>
      <c r="Y234" s="19">
        <f t="shared" si="10"/>
        <v>46037</v>
      </c>
      <c r="Z234">
        <f t="array" ref="Z234">_xlfn.XLOOKUP(INT(X234),INT($AE$2:$AE$1000),$AG$2:$AG$1000,"")</f>
        <v>15.84</v>
      </c>
      <c r="AE234" s="19">
        <f t="shared" si="11"/>
        <v>46199</v>
      </c>
      <c r="AF234" t="s">
        <v>202</v>
      </c>
      <c r="AG234">
        <v>18.41</v>
      </c>
    </row>
    <row r="235" spans="1:33" x14ac:dyDescent="0.3">
      <c r="A235">
        <v>5</v>
      </c>
      <c r="B235" t="s">
        <v>30</v>
      </c>
      <c r="C235" t="s">
        <v>34</v>
      </c>
      <c r="D235">
        <v>46886</v>
      </c>
      <c r="E235">
        <v>51.87</v>
      </c>
      <c r="F235">
        <v>50.32</v>
      </c>
      <c r="G235">
        <v>51.875186999999997</v>
      </c>
      <c r="H235">
        <v>50.314968</v>
      </c>
      <c r="I235">
        <v>-3.6341872288069328</v>
      </c>
      <c r="J235">
        <v>0.46640178561759321</v>
      </c>
      <c r="K235">
        <v>0.19278966647387699</v>
      </c>
      <c r="L235">
        <v>-9.2687159303973213E-2</v>
      </c>
      <c r="M235" t="s">
        <v>29</v>
      </c>
      <c r="N235">
        <v>19</v>
      </c>
      <c r="O235" t="s">
        <v>28</v>
      </c>
      <c r="P235">
        <v>46905</v>
      </c>
      <c r="Q235">
        <v>52.064999999999998</v>
      </c>
      <c r="R235">
        <v>50.64</v>
      </c>
      <c r="S235">
        <v>-0.3061607534600912</v>
      </c>
      <c r="T235">
        <v>7.9340939851346194E-3</v>
      </c>
      <c r="U235">
        <v>4.9945650263058597E-3</v>
      </c>
      <c r="V235">
        <v>2.9329102908780629E-3</v>
      </c>
      <c r="W235">
        <v>2.0616547354277959E-3</v>
      </c>
      <c r="X235" s="19">
        <f t="shared" si="9"/>
        <v>46038</v>
      </c>
      <c r="Y235" s="19">
        <f t="shared" si="10"/>
        <v>46038</v>
      </c>
      <c r="Z235">
        <f t="array" ref="Z235">_xlfn.XLOOKUP(INT(X235),INT($AE$2:$AE$1000),$AG$2:$AG$1000,"")</f>
        <v>15.86</v>
      </c>
      <c r="AE235" s="19">
        <f t="shared" si="11"/>
        <v>46202</v>
      </c>
      <c r="AF235" t="s">
        <v>203</v>
      </c>
      <c r="AG235">
        <v>17.649999999999999</v>
      </c>
    </row>
    <row r="236" spans="1:33" x14ac:dyDescent="0.3">
      <c r="A236">
        <v>5</v>
      </c>
      <c r="B236" t="s">
        <v>30</v>
      </c>
      <c r="C236" t="s">
        <v>34</v>
      </c>
      <c r="D236">
        <v>47273</v>
      </c>
      <c r="E236">
        <v>51.95</v>
      </c>
      <c r="F236">
        <v>50.88</v>
      </c>
      <c r="G236">
        <v>51.955195000000003</v>
      </c>
      <c r="H236">
        <v>50.874912000000002</v>
      </c>
      <c r="I236">
        <v>-4.6357669242694293</v>
      </c>
      <c r="J236">
        <v>0.46640178561759321</v>
      </c>
      <c r="K236">
        <v>0.19249278152069299</v>
      </c>
      <c r="L236">
        <v>-9.1667017613520682E-2</v>
      </c>
      <c r="M236" t="s">
        <v>29</v>
      </c>
      <c r="N236">
        <v>23</v>
      </c>
      <c r="O236" t="s">
        <v>28</v>
      </c>
      <c r="P236">
        <v>47296</v>
      </c>
      <c r="Q236">
        <v>51.9</v>
      </c>
      <c r="R236">
        <v>50.88</v>
      </c>
      <c r="S236">
        <v>-0.47596254768717322</v>
      </c>
      <c r="T236">
        <v>-9.6246390760354687E-3</v>
      </c>
      <c r="U236">
        <v>-1.2556480183363059E-2</v>
      </c>
      <c r="V236">
        <v>2.9329102908780629E-3</v>
      </c>
      <c r="W236">
        <v>-1.5489390474241121E-2</v>
      </c>
      <c r="X236" s="19">
        <f t="shared" si="9"/>
        <v>46041</v>
      </c>
      <c r="Y236" s="19">
        <f t="shared" si="10"/>
        <v>46041</v>
      </c>
      <c r="Z236">
        <f t="array" ref="Z236">_xlfn.XLOOKUP(INT(X236),INT($AE$2:$AE$1000),$AG$2:$AG$1000,"")</f>
        <v>18.84</v>
      </c>
      <c r="AE236" s="19">
        <f t="shared" si="11"/>
        <v>46203</v>
      </c>
      <c r="AF236" t="s">
        <v>204</v>
      </c>
      <c r="AG236">
        <v>16.45</v>
      </c>
    </row>
    <row r="237" spans="1:33" x14ac:dyDescent="0.3">
      <c r="A237">
        <v>5</v>
      </c>
      <c r="B237" t="s">
        <v>30</v>
      </c>
      <c r="C237" t="s">
        <v>31</v>
      </c>
      <c r="D237">
        <v>43501</v>
      </c>
      <c r="E237">
        <v>54.725000000000001</v>
      </c>
      <c r="F237">
        <v>94.52</v>
      </c>
      <c r="G237">
        <v>54.730472499999998</v>
      </c>
      <c r="H237">
        <v>94.510548</v>
      </c>
      <c r="I237">
        <v>-5.2945628704812204</v>
      </c>
      <c r="J237">
        <v>0.60699763809152618</v>
      </c>
      <c r="K237">
        <v>0.18273184102329831</v>
      </c>
      <c r="L237">
        <v>-6.4218962980483088E-2</v>
      </c>
      <c r="M237" t="s">
        <v>29</v>
      </c>
      <c r="N237">
        <v>23</v>
      </c>
      <c r="O237" t="s">
        <v>28</v>
      </c>
      <c r="P237">
        <v>43524</v>
      </c>
      <c r="Q237">
        <v>54.645000000000003</v>
      </c>
      <c r="R237">
        <v>94.51</v>
      </c>
      <c r="S237">
        <v>-0.49534624124080429</v>
      </c>
      <c r="T237">
        <v>-1.3976357652059309E-2</v>
      </c>
      <c r="U237">
        <v>-1.7188826854550549E-2</v>
      </c>
      <c r="V237">
        <v>3.214073876655434E-3</v>
      </c>
      <c r="W237">
        <v>-2.040290073120599E-2</v>
      </c>
      <c r="X237" s="19">
        <f t="shared" si="9"/>
        <v>46027</v>
      </c>
      <c r="Y237" s="19">
        <f t="shared" si="10"/>
        <v>46027</v>
      </c>
      <c r="Z237">
        <f t="array" ref="Z237">_xlfn.XLOOKUP(INT(X237),INT($AE$2:$AE$1000),$AG$2:$AG$1000,"")</f>
        <v>14.9</v>
      </c>
      <c r="AE237" s="19">
        <f t="shared" si="11"/>
        <v>46204</v>
      </c>
      <c r="AF237" s="19">
        <v>46029</v>
      </c>
      <c r="AG237">
        <v>16.59</v>
      </c>
    </row>
    <row r="238" spans="1:33" x14ac:dyDescent="0.3">
      <c r="A238">
        <v>5</v>
      </c>
      <c r="B238" t="s">
        <v>30</v>
      </c>
      <c r="C238" t="s">
        <v>31</v>
      </c>
      <c r="D238">
        <v>43742</v>
      </c>
      <c r="E238">
        <v>53.85</v>
      </c>
      <c r="F238">
        <v>93.51</v>
      </c>
      <c r="G238">
        <v>53.855384999999998</v>
      </c>
      <c r="H238">
        <v>93.50064900000001</v>
      </c>
      <c r="I238">
        <v>-5.037267741262113</v>
      </c>
      <c r="J238">
        <v>0.60699763809152618</v>
      </c>
      <c r="K238">
        <v>0.18570102135561739</v>
      </c>
      <c r="L238">
        <v>-6.4912590962627109E-2</v>
      </c>
      <c r="M238" t="s">
        <v>29</v>
      </c>
      <c r="N238">
        <v>13</v>
      </c>
      <c r="O238" t="s">
        <v>28</v>
      </c>
      <c r="P238">
        <v>43755</v>
      </c>
      <c r="Q238">
        <v>52.7</v>
      </c>
      <c r="R238">
        <v>90.31</v>
      </c>
      <c r="S238">
        <v>-0.44386940904684691</v>
      </c>
      <c r="T238">
        <v>-5.8358834785528779E-3</v>
      </c>
      <c r="U238">
        <v>-9.0077511081698702E-3</v>
      </c>
      <c r="V238">
        <v>3.214073876655434E-3</v>
      </c>
      <c r="W238">
        <v>-1.22218249848253E-2</v>
      </c>
      <c r="X238" s="19">
        <f t="shared" si="9"/>
        <v>46028</v>
      </c>
      <c r="Y238" s="19">
        <f t="shared" si="10"/>
        <v>46028</v>
      </c>
      <c r="Z238">
        <f t="array" ref="Z238">_xlfn.XLOOKUP(INT(X238),INT($AE$2:$AE$1000),$AG$2:$AG$1000,"")</f>
        <v>14.75</v>
      </c>
      <c r="AE238" s="19">
        <f t="shared" si="11"/>
        <v>46205</v>
      </c>
      <c r="AF238" s="19">
        <v>46060</v>
      </c>
      <c r="AG238">
        <v>16.149999999999999</v>
      </c>
    </row>
    <row r="239" spans="1:33" x14ac:dyDescent="0.3">
      <c r="A239">
        <v>5</v>
      </c>
      <c r="B239" t="s">
        <v>30</v>
      </c>
      <c r="C239" t="s">
        <v>31</v>
      </c>
      <c r="D239">
        <v>44003</v>
      </c>
      <c r="E239">
        <v>52.16</v>
      </c>
      <c r="F239">
        <v>88.9</v>
      </c>
      <c r="G239">
        <v>52.154783999999999</v>
      </c>
      <c r="H239">
        <v>88.90889</v>
      </c>
      <c r="I239">
        <v>3.5004358448484649</v>
      </c>
      <c r="J239">
        <v>0.60699763809152618</v>
      </c>
      <c r="K239">
        <v>-0.19171779141104289</v>
      </c>
      <c r="L239">
        <v>6.8278699447865701E-2</v>
      </c>
      <c r="M239" t="s">
        <v>27</v>
      </c>
      <c r="N239">
        <v>21</v>
      </c>
      <c r="O239" t="s">
        <v>28</v>
      </c>
      <c r="P239">
        <v>44024</v>
      </c>
      <c r="Q239">
        <v>52.29</v>
      </c>
      <c r="R239">
        <v>88.99</v>
      </c>
      <c r="S239">
        <v>0.49471769269850158</v>
      </c>
      <c r="T239">
        <v>-1.8778229933128901E-2</v>
      </c>
      <c r="U239">
        <v>-2.1995332048894329E-2</v>
      </c>
      <c r="V239">
        <v>3.2139166757106708E-3</v>
      </c>
      <c r="W239">
        <v>-2.5209248724605001E-2</v>
      </c>
      <c r="X239" s="19">
        <f t="shared" si="9"/>
        <v>46028</v>
      </c>
      <c r="Y239" s="19">
        <f t="shared" si="10"/>
        <v>46028</v>
      </c>
      <c r="Z239">
        <f t="array" ref="Z239">_xlfn.XLOOKUP(INT(X239),INT($AE$2:$AE$1000),$AG$2:$AG$1000,"")</f>
        <v>14.75</v>
      </c>
      <c r="AE239" s="19">
        <f t="shared" si="11"/>
        <v>46206</v>
      </c>
      <c r="AF239" s="19">
        <v>46088</v>
      </c>
      <c r="AG239">
        <v>15.81</v>
      </c>
    </row>
    <row r="240" spans="1:33" x14ac:dyDescent="0.3">
      <c r="A240">
        <v>5</v>
      </c>
      <c r="B240" t="s">
        <v>30</v>
      </c>
      <c r="C240" t="s">
        <v>31</v>
      </c>
      <c r="D240">
        <v>44541</v>
      </c>
      <c r="E240">
        <v>52.91</v>
      </c>
      <c r="F240">
        <v>89.31</v>
      </c>
      <c r="G240">
        <v>52.904708999999997</v>
      </c>
      <c r="H240">
        <v>89.318931000000006</v>
      </c>
      <c r="I240">
        <v>4.4053721713600078</v>
      </c>
      <c r="J240">
        <v>0.60699763809152618</v>
      </c>
      <c r="K240">
        <v>-0.189000189000189</v>
      </c>
      <c r="L240">
        <v>6.7965248918545079E-2</v>
      </c>
      <c r="M240" t="s">
        <v>27</v>
      </c>
      <c r="N240">
        <v>3</v>
      </c>
      <c r="O240" t="s">
        <v>28</v>
      </c>
      <c r="P240">
        <v>44544</v>
      </c>
      <c r="Q240">
        <v>52.54</v>
      </c>
      <c r="R240">
        <v>88.84</v>
      </c>
      <c r="S240">
        <v>-3.1865355660327693E-2</v>
      </c>
      <c r="T240">
        <v>3.7986402938353342E-2</v>
      </c>
      <c r="U240">
        <v>3.4782595035862458E-2</v>
      </c>
      <c r="V240">
        <v>3.2139166757106708E-3</v>
      </c>
      <c r="W240">
        <v>3.1568678360151793E-2</v>
      </c>
      <c r="X240" s="19">
        <f t="shared" si="9"/>
        <v>46030</v>
      </c>
      <c r="Y240" s="19">
        <f t="shared" si="10"/>
        <v>46030</v>
      </c>
      <c r="Z240">
        <f t="array" ref="Z240">_xlfn.XLOOKUP(INT(X240),INT($AE$2:$AE$1000),$AG$2:$AG$1000,"")</f>
        <v>15.45</v>
      </c>
      <c r="AE240" s="19">
        <f t="shared" si="11"/>
        <v>46209</v>
      </c>
      <c r="AF240" s="19">
        <v>46180</v>
      </c>
      <c r="AG240">
        <v>15.57</v>
      </c>
    </row>
    <row r="241" spans="1:33" x14ac:dyDescent="0.3">
      <c r="A241">
        <v>5</v>
      </c>
      <c r="B241" t="s">
        <v>30</v>
      </c>
      <c r="C241" t="s">
        <v>31</v>
      </c>
      <c r="D241">
        <v>44934</v>
      </c>
      <c r="E241">
        <v>52.344999999999999</v>
      </c>
      <c r="F241">
        <v>87.17</v>
      </c>
      <c r="G241">
        <v>52.350234499999999</v>
      </c>
      <c r="H241">
        <v>87.161282999999997</v>
      </c>
      <c r="I241">
        <v>-3.7539574893101659</v>
      </c>
      <c r="J241">
        <v>0.60699763809152618</v>
      </c>
      <c r="K241">
        <v>0.19104021396503959</v>
      </c>
      <c r="L241">
        <v>-6.9633777456868898E-2</v>
      </c>
      <c r="M241" t="s">
        <v>29</v>
      </c>
      <c r="N241">
        <v>14</v>
      </c>
      <c r="O241" t="s">
        <v>28</v>
      </c>
      <c r="P241">
        <v>44948</v>
      </c>
      <c r="Q241">
        <v>52.715000000000003</v>
      </c>
      <c r="R241">
        <v>87.87</v>
      </c>
      <c r="S241">
        <v>-0.18276601188841479</v>
      </c>
      <c r="T241">
        <v>2.194123494725711E-2</v>
      </c>
      <c r="U241">
        <v>1.8715296818735312E-2</v>
      </c>
      <c r="V241">
        <v>3.214073876655434E-3</v>
      </c>
      <c r="W241">
        <v>1.5501222942079869E-2</v>
      </c>
      <c r="X241" s="19">
        <f t="shared" si="9"/>
        <v>46031</v>
      </c>
      <c r="Y241" s="19">
        <f t="shared" si="10"/>
        <v>46031</v>
      </c>
      <c r="Z241">
        <f t="array" ref="Z241">_xlfn.XLOOKUP(INT(X241),INT($AE$2:$AE$1000),$AG$2:$AG$1000,"")</f>
        <v>14.49</v>
      </c>
      <c r="AE241" s="19">
        <f t="shared" si="11"/>
        <v>46210</v>
      </c>
      <c r="AF241" s="19">
        <v>46210</v>
      </c>
      <c r="AG241">
        <v>16.13</v>
      </c>
    </row>
    <row r="242" spans="1:33" x14ac:dyDescent="0.3">
      <c r="A242">
        <v>5</v>
      </c>
      <c r="B242" t="s">
        <v>30</v>
      </c>
      <c r="C242" t="s">
        <v>31</v>
      </c>
      <c r="D242">
        <v>45515</v>
      </c>
      <c r="E242">
        <v>52.44</v>
      </c>
      <c r="F242">
        <v>86.844999999999999</v>
      </c>
      <c r="G242">
        <v>52.434756</v>
      </c>
      <c r="H242">
        <v>86.8536845</v>
      </c>
      <c r="I242">
        <v>3.7192283561869961</v>
      </c>
      <c r="J242">
        <v>0.60699763809152618</v>
      </c>
      <c r="K242">
        <v>-0.1906941266209001</v>
      </c>
      <c r="L242">
        <v>6.9894367907366708E-2</v>
      </c>
      <c r="M242" t="s">
        <v>27</v>
      </c>
      <c r="N242">
        <v>19</v>
      </c>
      <c r="O242" t="s">
        <v>28</v>
      </c>
      <c r="P242">
        <v>45534</v>
      </c>
      <c r="Q242">
        <v>52.39</v>
      </c>
      <c r="R242">
        <v>86.78</v>
      </c>
      <c r="S242">
        <v>0.22693364320808621</v>
      </c>
      <c r="T242">
        <v>4.9915724170657844E-3</v>
      </c>
      <c r="U242">
        <v>1.778984924908152E-3</v>
      </c>
      <c r="V242">
        <v>3.2139166757106708E-3</v>
      </c>
      <c r="W242">
        <v>-1.4349317508025191E-3</v>
      </c>
      <c r="X242" s="19">
        <f t="shared" si="9"/>
        <v>46034</v>
      </c>
      <c r="Y242" s="19">
        <f t="shared" si="10"/>
        <v>46034</v>
      </c>
      <c r="Z242">
        <f t="array" ref="Z242">_xlfn.XLOOKUP(INT(X242),INT($AE$2:$AE$1000),$AG$2:$AG$1000,"")</f>
        <v>15.12</v>
      </c>
      <c r="AE242" s="19">
        <f t="shared" si="11"/>
        <v>46211</v>
      </c>
      <c r="AF242" s="19">
        <v>46241</v>
      </c>
      <c r="AG242">
        <v>16.899999999999999</v>
      </c>
    </row>
    <row r="243" spans="1:33" x14ac:dyDescent="0.3">
      <c r="A243">
        <v>5</v>
      </c>
      <c r="B243" t="s">
        <v>30</v>
      </c>
      <c r="C243" t="s">
        <v>31</v>
      </c>
      <c r="D243">
        <v>45712</v>
      </c>
      <c r="E243">
        <v>52.63</v>
      </c>
      <c r="F243">
        <v>86.45</v>
      </c>
      <c r="G243">
        <v>52.624737000000003</v>
      </c>
      <c r="H243">
        <v>86.458645000000004</v>
      </c>
      <c r="I243">
        <v>4.7581024503827214</v>
      </c>
      <c r="J243">
        <v>0.60699763809152618</v>
      </c>
      <c r="K243">
        <v>-0.1900057001710051</v>
      </c>
      <c r="L243">
        <v>7.0213723318857849E-2</v>
      </c>
      <c r="M243" t="s">
        <v>27</v>
      </c>
      <c r="N243">
        <v>13</v>
      </c>
      <c r="O243" t="s">
        <v>28</v>
      </c>
      <c r="P243">
        <v>45725</v>
      </c>
      <c r="Q243">
        <v>52.805</v>
      </c>
      <c r="R243">
        <v>87.42</v>
      </c>
      <c r="S243">
        <v>0.28526969170980321</v>
      </c>
      <c r="T243">
        <v>3.485631408936668E-2</v>
      </c>
      <c r="U243">
        <v>3.1632182982269282E-2</v>
      </c>
      <c r="V243">
        <v>3.2139166757106708E-3</v>
      </c>
      <c r="W243">
        <v>2.8418266306558609E-2</v>
      </c>
      <c r="X243" s="19">
        <f t="shared" si="9"/>
        <v>46035</v>
      </c>
      <c r="Y243" s="19">
        <f t="shared" si="10"/>
        <v>46035</v>
      </c>
      <c r="Z243">
        <f t="array" ref="Z243">_xlfn.XLOOKUP(INT(X243),INT($AE$2:$AE$1000),$AG$2:$AG$1000,"")</f>
        <v>15.98</v>
      </c>
      <c r="AE243" s="19">
        <f t="shared" si="11"/>
        <v>46212</v>
      </c>
      <c r="AF243" s="19">
        <v>46272</v>
      </c>
      <c r="AG243">
        <v>15.84</v>
      </c>
    </row>
    <row r="244" spans="1:33" x14ac:dyDescent="0.3">
      <c r="A244">
        <v>5</v>
      </c>
      <c r="B244" t="s">
        <v>30</v>
      </c>
      <c r="C244" t="s">
        <v>31</v>
      </c>
      <c r="D244">
        <v>45806</v>
      </c>
      <c r="E244">
        <v>52.82</v>
      </c>
      <c r="F244">
        <v>88.224999999999994</v>
      </c>
      <c r="G244">
        <v>52.814717999999999</v>
      </c>
      <c r="H244">
        <v>88.233822499999988</v>
      </c>
      <c r="I244">
        <v>3.5419216132306008</v>
      </c>
      <c r="J244">
        <v>0.60699763809152618</v>
      </c>
      <c r="K244">
        <v>-0.18932222642938279</v>
      </c>
      <c r="L244">
        <v>6.8801092444491493E-2</v>
      </c>
      <c r="M244" t="s">
        <v>27</v>
      </c>
      <c r="N244">
        <v>9</v>
      </c>
      <c r="O244" t="s">
        <v>28</v>
      </c>
      <c r="P244">
        <v>45815</v>
      </c>
      <c r="Q244">
        <v>52.805</v>
      </c>
      <c r="R244">
        <v>88.355000000000004</v>
      </c>
      <c r="S244">
        <v>0.2694315323905429</v>
      </c>
      <c r="T244">
        <v>1.178397541422541E-2</v>
      </c>
      <c r="U244">
        <v>8.569369707180613E-3</v>
      </c>
      <c r="V244">
        <v>3.2139166757106708E-3</v>
      </c>
      <c r="W244">
        <v>5.3554530314699426E-3</v>
      </c>
      <c r="X244" s="19">
        <f t="shared" si="9"/>
        <v>46035</v>
      </c>
      <c r="Y244" s="19">
        <f t="shared" si="10"/>
        <v>46035</v>
      </c>
      <c r="Z244">
        <f t="array" ref="Z244">_xlfn.XLOOKUP(INT(X244),INT($AE$2:$AE$1000),$AG$2:$AG$1000,"")</f>
        <v>15.98</v>
      </c>
      <c r="AE244" s="19">
        <f t="shared" si="11"/>
        <v>46213</v>
      </c>
      <c r="AF244" s="19">
        <v>46302</v>
      </c>
      <c r="AG244">
        <v>15.03</v>
      </c>
    </row>
    <row r="245" spans="1:33" x14ac:dyDescent="0.3">
      <c r="A245">
        <v>5</v>
      </c>
      <c r="B245" t="s">
        <v>30</v>
      </c>
      <c r="C245" t="s">
        <v>31</v>
      </c>
      <c r="D245">
        <v>46105</v>
      </c>
      <c r="E245">
        <v>51.88</v>
      </c>
      <c r="F245">
        <v>87.05</v>
      </c>
      <c r="G245">
        <v>51.885187999999999</v>
      </c>
      <c r="H245">
        <v>87.041295000000005</v>
      </c>
      <c r="I245">
        <v>-3.8454865415351742</v>
      </c>
      <c r="J245">
        <v>0.60699763809152618</v>
      </c>
      <c r="K245">
        <v>0.19275250578257519</v>
      </c>
      <c r="L245">
        <v>-6.9729768878980608E-2</v>
      </c>
      <c r="M245" t="s">
        <v>29</v>
      </c>
      <c r="N245">
        <v>13</v>
      </c>
      <c r="O245" t="s">
        <v>28</v>
      </c>
      <c r="P245">
        <v>46118</v>
      </c>
      <c r="Q245">
        <v>51.82</v>
      </c>
      <c r="R245">
        <v>87.155000000000001</v>
      </c>
      <c r="S245">
        <v>-0.46359031874689971</v>
      </c>
      <c r="T245">
        <v>-1.8886776079248189E-2</v>
      </c>
      <c r="U245">
        <v>-2.2100347002967761E-2</v>
      </c>
      <c r="V245">
        <v>3.214073876655434E-3</v>
      </c>
      <c r="W245">
        <v>-2.5314420879623191E-2</v>
      </c>
      <c r="X245" s="19">
        <f t="shared" si="9"/>
        <v>46036</v>
      </c>
      <c r="Y245" s="19">
        <f t="shared" si="10"/>
        <v>46036</v>
      </c>
      <c r="Z245">
        <f t="array" ref="Z245">_xlfn.XLOOKUP(INT(X245),INT($AE$2:$AE$1000),$AG$2:$AG$1000,"")</f>
        <v>16.75</v>
      </c>
      <c r="AE245" s="19">
        <f t="shared" si="11"/>
        <v>46216</v>
      </c>
      <c r="AF245" t="s">
        <v>205</v>
      </c>
      <c r="AG245">
        <v>17.16</v>
      </c>
    </row>
    <row r="246" spans="1:33" x14ac:dyDescent="0.3">
      <c r="A246">
        <v>5</v>
      </c>
      <c r="B246" t="s">
        <v>30</v>
      </c>
      <c r="C246" t="s">
        <v>31</v>
      </c>
      <c r="D246">
        <v>46492</v>
      </c>
      <c r="E246">
        <v>51.84</v>
      </c>
      <c r="F246">
        <v>86.97</v>
      </c>
      <c r="G246">
        <v>51.834816000000004</v>
      </c>
      <c r="H246">
        <v>86.978696999999997</v>
      </c>
      <c r="I246">
        <v>3.7090223895453591</v>
      </c>
      <c r="J246">
        <v>0.60699763809152618</v>
      </c>
      <c r="K246">
        <v>-0.1929012345679012</v>
      </c>
      <c r="L246">
        <v>6.9793910324425223E-2</v>
      </c>
      <c r="M246" t="s">
        <v>27</v>
      </c>
      <c r="N246">
        <v>4</v>
      </c>
      <c r="O246" t="s">
        <v>28</v>
      </c>
      <c r="P246">
        <v>46496</v>
      </c>
      <c r="Q246">
        <v>51.924999999999997</v>
      </c>
      <c r="R246">
        <v>87.46</v>
      </c>
      <c r="S246">
        <v>0.40797625768877821</v>
      </c>
      <c r="T246">
        <v>1.7802411120697609E-2</v>
      </c>
      <c r="U246">
        <v>1.4583356282414899E-2</v>
      </c>
      <c r="V246">
        <v>3.2139166757106708E-3</v>
      </c>
      <c r="W246">
        <v>1.1369439606704231E-2</v>
      </c>
      <c r="X246" s="19">
        <f t="shared" si="9"/>
        <v>46037</v>
      </c>
      <c r="Y246" s="19">
        <f t="shared" si="10"/>
        <v>46037</v>
      </c>
      <c r="Z246">
        <f t="array" ref="Z246">_xlfn.XLOOKUP(INT(X246),INT($AE$2:$AE$1000),$AG$2:$AG$1000,"")</f>
        <v>15.84</v>
      </c>
      <c r="AE246" s="19">
        <f t="shared" si="11"/>
        <v>46217</v>
      </c>
      <c r="AF246" t="s">
        <v>206</v>
      </c>
      <c r="AG246">
        <v>16.5</v>
      </c>
    </row>
    <row r="247" spans="1:33" x14ac:dyDescent="0.3">
      <c r="A247">
        <v>5</v>
      </c>
      <c r="B247" t="s">
        <v>30</v>
      </c>
      <c r="C247" t="s">
        <v>31</v>
      </c>
      <c r="D247">
        <v>47273</v>
      </c>
      <c r="E247">
        <v>51.95</v>
      </c>
      <c r="F247">
        <v>88.66</v>
      </c>
      <c r="G247">
        <v>51.955195000000003</v>
      </c>
      <c r="H247">
        <v>88.651133999999999</v>
      </c>
      <c r="I247">
        <v>-4.0212474086193817</v>
      </c>
      <c r="J247">
        <v>0.60699763809152618</v>
      </c>
      <c r="K247">
        <v>0.19249278152069299</v>
      </c>
      <c r="L247">
        <v>-6.8463527869560808E-2</v>
      </c>
      <c r="M247" t="s">
        <v>29</v>
      </c>
      <c r="N247">
        <v>26</v>
      </c>
      <c r="O247" t="s">
        <v>28</v>
      </c>
      <c r="P247">
        <v>47299</v>
      </c>
      <c r="Q247">
        <v>51.954999999999998</v>
      </c>
      <c r="R247">
        <v>88.9</v>
      </c>
      <c r="S247">
        <v>-0.30297441161081379</v>
      </c>
      <c r="T247">
        <v>-1.546878278109263E-2</v>
      </c>
      <c r="U247">
        <v>-1.8684517428334671E-2</v>
      </c>
      <c r="V247">
        <v>3.214073876655434E-3</v>
      </c>
      <c r="W247">
        <v>-2.1898591304990112E-2</v>
      </c>
      <c r="X247" s="19">
        <f t="shared" si="9"/>
        <v>46041</v>
      </c>
      <c r="Y247" s="19">
        <f t="shared" si="10"/>
        <v>46041</v>
      </c>
      <c r="Z247">
        <f t="array" ref="Z247">_xlfn.XLOOKUP(INT(X247),INT($AE$2:$AE$1000),$AG$2:$AG$1000,"")</f>
        <v>18.84</v>
      </c>
      <c r="AE247" s="19">
        <f t="shared" si="11"/>
        <v>46218</v>
      </c>
      <c r="AF247" t="s">
        <v>207</v>
      </c>
      <c r="AG247">
        <v>15.67</v>
      </c>
    </row>
    <row r="248" spans="1:33" x14ac:dyDescent="0.3">
      <c r="A248">
        <v>5</v>
      </c>
      <c r="B248" t="s">
        <v>31</v>
      </c>
      <c r="C248" t="s">
        <v>33</v>
      </c>
      <c r="D248">
        <v>43501</v>
      </c>
      <c r="E248">
        <v>94.52</v>
      </c>
      <c r="F248">
        <v>214.45500000000001</v>
      </c>
      <c r="G248">
        <v>94.529451999999992</v>
      </c>
      <c r="H248">
        <v>214.43355450000001</v>
      </c>
      <c r="I248">
        <v>-5.2855199042255254</v>
      </c>
      <c r="J248">
        <v>0.63178402664115341</v>
      </c>
      <c r="K248">
        <v>0.10579771476936101</v>
      </c>
      <c r="L248">
        <v>-2.9459981191445911E-2</v>
      </c>
      <c r="M248" t="s">
        <v>29</v>
      </c>
      <c r="N248">
        <v>22</v>
      </c>
      <c r="O248" t="s">
        <v>28</v>
      </c>
      <c r="P248">
        <v>43523</v>
      </c>
      <c r="Q248">
        <v>94.46</v>
      </c>
      <c r="R248">
        <v>214.14</v>
      </c>
      <c r="S248">
        <v>-0.49966163605747721</v>
      </c>
      <c r="T248">
        <v>2.9320311891443342E-3</v>
      </c>
      <c r="U248">
        <v>-3.2997408844083649E-4</v>
      </c>
      <c r="V248">
        <v>3.2636416964769788E-3</v>
      </c>
      <c r="W248">
        <v>-3.5936157849178149E-3</v>
      </c>
      <c r="X248" s="19">
        <f t="shared" si="9"/>
        <v>46027</v>
      </c>
      <c r="Y248" s="19">
        <f t="shared" si="10"/>
        <v>46027</v>
      </c>
      <c r="Z248">
        <f t="array" ref="Z248">_xlfn.XLOOKUP(INT(X248),INT($AE$2:$AE$1000),$AG$2:$AG$1000,"")</f>
        <v>14.9</v>
      </c>
      <c r="AE248" s="19">
        <f t="shared" si="11"/>
        <v>46219</v>
      </c>
      <c r="AF248" t="s">
        <v>208</v>
      </c>
      <c r="AG248">
        <v>16.73</v>
      </c>
    </row>
    <row r="249" spans="1:33" x14ac:dyDescent="0.3">
      <c r="A249">
        <v>5</v>
      </c>
      <c r="B249" t="s">
        <v>31</v>
      </c>
      <c r="C249" t="s">
        <v>33</v>
      </c>
      <c r="D249">
        <v>43730</v>
      </c>
      <c r="E249">
        <v>93.584999999999994</v>
      </c>
      <c r="F249">
        <v>212.42</v>
      </c>
      <c r="G249">
        <v>93.575641499999989</v>
      </c>
      <c r="H249">
        <v>212.44124199999999</v>
      </c>
      <c r="I249">
        <v>4.456270002205394</v>
      </c>
      <c r="J249">
        <v>0.63178402664115341</v>
      </c>
      <c r="K249">
        <v>-0.1068547309932147</v>
      </c>
      <c r="L249">
        <v>2.974221008573362E-2</v>
      </c>
      <c r="M249" t="s">
        <v>27</v>
      </c>
      <c r="N249">
        <v>23</v>
      </c>
      <c r="O249" t="s">
        <v>28</v>
      </c>
      <c r="P249">
        <v>43753</v>
      </c>
      <c r="Q249">
        <v>93.51</v>
      </c>
      <c r="R249">
        <v>212.48</v>
      </c>
      <c r="S249">
        <v>0.45547284702811952</v>
      </c>
      <c r="T249">
        <v>9.7986374296339749E-3</v>
      </c>
      <c r="U249">
        <v>6.5356923335740079E-3</v>
      </c>
      <c r="V249">
        <v>3.2634944100876349E-3</v>
      </c>
      <c r="W249">
        <v>3.272197923486373E-3</v>
      </c>
      <c r="X249" s="19">
        <f t="shared" si="9"/>
        <v>46028</v>
      </c>
      <c r="Y249" s="19">
        <f t="shared" si="10"/>
        <v>46028</v>
      </c>
      <c r="Z249">
        <f t="array" ref="Z249">_xlfn.XLOOKUP(INT(X249),INT($AE$2:$AE$1000),$AG$2:$AG$1000,"")</f>
        <v>14.75</v>
      </c>
      <c r="AE249" s="19">
        <f t="shared" si="11"/>
        <v>46220</v>
      </c>
      <c r="AF249" t="s">
        <v>209</v>
      </c>
      <c r="AG249">
        <v>18.77</v>
      </c>
    </row>
    <row r="250" spans="1:33" x14ac:dyDescent="0.3">
      <c r="A250">
        <v>5</v>
      </c>
      <c r="B250" t="s">
        <v>31</v>
      </c>
      <c r="C250" t="s">
        <v>33</v>
      </c>
      <c r="D250">
        <v>43755</v>
      </c>
      <c r="E250">
        <v>90.31</v>
      </c>
      <c r="F250">
        <v>211.63499999999999</v>
      </c>
      <c r="G250">
        <v>90.319030999999995</v>
      </c>
      <c r="H250">
        <v>211.61383649999999</v>
      </c>
      <c r="I250">
        <v>-5.1682725273024301</v>
      </c>
      <c r="J250">
        <v>0.63178402664115341</v>
      </c>
      <c r="K250">
        <v>0.1107297087808659</v>
      </c>
      <c r="L250">
        <v>-2.9852530377355042E-2</v>
      </c>
      <c r="M250" t="s">
        <v>29</v>
      </c>
      <c r="N250">
        <v>23</v>
      </c>
      <c r="O250" t="s">
        <v>28</v>
      </c>
      <c r="P250">
        <v>43778</v>
      </c>
      <c r="Q250">
        <v>89.44</v>
      </c>
      <c r="R250">
        <v>209.9</v>
      </c>
      <c r="S250">
        <v>-0.4012576118250038</v>
      </c>
      <c r="T250">
        <v>-4.4540706434643293E-2</v>
      </c>
      <c r="U250">
        <v>-4.7789461589240738E-2</v>
      </c>
      <c r="V250">
        <v>3.2636416964769788E-3</v>
      </c>
      <c r="W250">
        <v>-5.1053103285717723E-2</v>
      </c>
      <c r="X250" s="19">
        <f t="shared" si="9"/>
        <v>46028</v>
      </c>
      <c r="Y250" s="19">
        <f t="shared" si="10"/>
        <v>46028</v>
      </c>
      <c r="Z250">
        <f t="array" ref="Z250">_xlfn.XLOOKUP(INT(X250),INT($AE$2:$AE$1000),$AG$2:$AG$1000,"")</f>
        <v>14.75</v>
      </c>
      <c r="AE250" s="19">
        <f t="shared" si="11"/>
        <v>46223</v>
      </c>
      <c r="AF250" t="s">
        <v>210</v>
      </c>
      <c r="AG250">
        <v>18.649999999999999</v>
      </c>
    </row>
    <row r="251" spans="1:33" x14ac:dyDescent="0.3">
      <c r="A251">
        <v>5</v>
      </c>
      <c r="B251" t="s">
        <v>31</v>
      </c>
      <c r="C251" t="s">
        <v>33</v>
      </c>
      <c r="D251">
        <v>44465</v>
      </c>
      <c r="E251">
        <v>89.19</v>
      </c>
      <c r="F251">
        <v>215.75</v>
      </c>
      <c r="G251">
        <v>89.198919000000004</v>
      </c>
      <c r="H251">
        <v>215.72842499999999</v>
      </c>
      <c r="I251">
        <v>-3.8503718180462321</v>
      </c>
      <c r="J251">
        <v>0.63178402664115341</v>
      </c>
      <c r="K251">
        <v>0.11212019284673171</v>
      </c>
      <c r="L251">
        <v>-2.9283153030876169E-2</v>
      </c>
      <c r="M251" t="s">
        <v>29</v>
      </c>
      <c r="N251">
        <v>18</v>
      </c>
      <c r="O251" t="s">
        <v>28</v>
      </c>
      <c r="P251">
        <v>44483</v>
      </c>
      <c r="Q251">
        <v>89.16</v>
      </c>
      <c r="R251">
        <v>215.6</v>
      </c>
      <c r="S251">
        <v>-0.36362385067986058</v>
      </c>
      <c r="T251">
        <v>1.0288671692295129E-3</v>
      </c>
      <c r="U251">
        <v>-2.2339252761787282E-3</v>
      </c>
      <c r="V251">
        <v>3.2636416964769801E-3</v>
      </c>
      <c r="W251">
        <v>-5.4975669726557083E-3</v>
      </c>
      <c r="X251" s="19">
        <f t="shared" si="9"/>
        <v>46030</v>
      </c>
      <c r="Y251" s="19">
        <f t="shared" si="10"/>
        <v>46030</v>
      </c>
      <c r="Z251">
        <f t="array" ref="Z251">_xlfn.XLOOKUP(INT(X251),INT($AE$2:$AE$1000),$AG$2:$AG$1000,"")</f>
        <v>15.45</v>
      </c>
      <c r="AE251" s="19">
        <f t="shared" si="11"/>
        <v>46224</v>
      </c>
      <c r="AF251" t="s">
        <v>211</v>
      </c>
      <c r="AG251">
        <v>17.05</v>
      </c>
    </row>
    <row r="252" spans="1:33" x14ac:dyDescent="0.3">
      <c r="A252">
        <v>5</v>
      </c>
      <c r="B252" t="s">
        <v>31</v>
      </c>
      <c r="C252" t="s">
        <v>33</v>
      </c>
      <c r="D252">
        <v>44540</v>
      </c>
      <c r="E252">
        <v>89.025000000000006</v>
      </c>
      <c r="F252">
        <v>223.25</v>
      </c>
      <c r="G252">
        <v>89.033902500000011</v>
      </c>
      <c r="H252">
        <v>223.227675</v>
      </c>
      <c r="I252">
        <v>-5.2391917570801398</v>
      </c>
      <c r="J252">
        <v>0.63178402664115341</v>
      </c>
      <c r="K252">
        <v>0.11232799775344</v>
      </c>
      <c r="L252">
        <v>-2.8299396490085262E-2</v>
      </c>
      <c r="M252" t="s">
        <v>29</v>
      </c>
      <c r="N252">
        <v>22</v>
      </c>
      <c r="O252" t="s">
        <v>28</v>
      </c>
      <c r="P252">
        <v>44562</v>
      </c>
      <c r="Q252">
        <v>89.23</v>
      </c>
      <c r="R252">
        <v>222.08500000000001</v>
      </c>
      <c r="S252">
        <v>-0.4956526817124024</v>
      </c>
      <c r="T252">
        <v>5.5996036450404123E-2</v>
      </c>
      <c r="U252">
        <v>5.2733462552858879E-2</v>
      </c>
      <c r="V252">
        <v>3.2636416964769788E-3</v>
      </c>
      <c r="W252">
        <v>4.9469820856381901E-2</v>
      </c>
      <c r="X252" s="19">
        <f t="shared" si="9"/>
        <v>46030</v>
      </c>
      <c r="Y252" s="19">
        <f t="shared" si="10"/>
        <v>46030</v>
      </c>
      <c r="Z252">
        <f t="array" ref="Z252">_xlfn.XLOOKUP(INT(X252),INT($AE$2:$AE$1000),$AG$2:$AG$1000,"")</f>
        <v>15.45</v>
      </c>
      <c r="AE252" s="19">
        <f t="shared" si="11"/>
        <v>46225</v>
      </c>
      <c r="AF252" t="s">
        <v>212</v>
      </c>
      <c r="AG252">
        <v>16.64</v>
      </c>
    </row>
    <row r="253" spans="1:33" x14ac:dyDescent="0.3">
      <c r="A253">
        <v>5</v>
      </c>
      <c r="B253" t="s">
        <v>31</v>
      </c>
      <c r="C253" t="s">
        <v>33</v>
      </c>
      <c r="D253">
        <v>44931</v>
      </c>
      <c r="E253">
        <v>87.1</v>
      </c>
      <c r="F253">
        <v>220.86500000000001</v>
      </c>
      <c r="G253">
        <v>87.108709999999988</v>
      </c>
      <c r="H253">
        <v>220.84291350000001</v>
      </c>
      <c r="I253">
        <v>-3.5939633271992362</v>
      </c>
      <c r="J253">
        <v>0.63178402664115341</v>
      </c>
      <c r="K253">
        <v>0.11481056257175661</v>
      </c>
      <c r="L253">
        <v>-2.860498615177386E-2</v>
      </c>
      <c r="M253" t="s">
        <v>29</v>
      </c>
      <c r="N253">
        <v>5</v>
      </c>
      <c r="O253" t="s">
        <v>28</v>
      </c>
      <c r="P253">
        <v>44936</v>
      </c>
      <c r="Q253">
        <v>87.27</v>
      </c>
      <c r="R253">
        <v>219.57499999999999</v>
      </c>
      <c r="S253">
        <v>-0.1867591720624204</v>
      </c>
      <c r="T253">
        <v>5.6418227772987682E-2</v>
      </c>
      <c r="U253">
        <v>5.3156397983357168E-2</v>
      </c>
      <c r="V253">
        <v>3.2636416964769788E-3</v>
      </c>
      <c r="W253">
        <v>4.989275628688019E-2</v>
      </c>
      <c r="X253" s="19">
        <f t="shared" si="9"/>
        <v>46031</v>
      </c>
      <c r="Y253" s="19">
        <f t="shared" si="10"/>
        <v>46031</v>
      </c>
      <c r="Z253">
        <f t="array" ref="Z253">_xlfn.XLOOKUP(INT(X253),INT($AE$2:$AE$1000),$AG$2:$AG$1000,"")</f>
        <v>14.49</v>
      </c>
      <c r="AE253" s="19">
        <f t="shared" si="11"/>
        <v>46226</v>
      </c>
      <c r="AF253" t="s">
        <v>213</v>
      </c>
      <c r="AG253">
        <v>18.7</v>
      </c>
    </row>
    <row r="254" spans="1:33" x14ac:dyDescent="0.3">
      <c r="A254">
        <v>5</v>
      </c>
      <c r="B254" t="s">
        <v>31</v>
      </c>
      <c r="C254" t="s">
        <v>33</v>
      </c>
      <c r="D254">
        <v>46102</v>
      </c>
      <c r="E254">
        <v>87.27</v>
      </c>
      <c r="F254">
        <v>221.495</v>
      </c>
      <c r="G254">
        <v>87.278726999999989</v>
      </c>
      <c r="H254">
        <v>221.47285049999999</v>
      </c>
      <c r="I254">
        <v>-4.73666843662732</v>
      </c>
      <c r="J254">
        <v>0.63178402664115341</v>
      </c>
      <c r="K254">
        <v>0.1145869141744013</v>
      </c>
      <c r="L254">
        <v>-2.852362476088189E-2</v>
      </c>
      <c r="M254" t="s">
        <v>29</v>
      </c>
      <c r="N254">
        <v>5</v>
      </c>
      <c r="O254" t="s">
        <v>28</v>
      </c>
      <c r="P254">
        <v>46107</v>
      </c>
      <c r="Q254">
        <v>87.41</v>
      </c>
      <c r="R254">
        <v>220.27500000000001</v>
      </c>
      <c r="S254">
        <v>-0.35907351483361111</v>
      </c>
      <c r="T254">
        <v>5.0840990192692122E-2</v>
      </c>
      <c r="U254">
        <v>4.7579297804833172E-2</v>
      </c>
      <c r="V254">
        <v>3.2636416964769788E-3</v>
      </c>
      <c r="W254">
        <v>4.4315656108356187E-2</v>
      </c>
      <c r="X254" s="19">
        <f t="shared" si="9"/>
        <v>46036</v>
      </c>
      <c r="Y254" s="19">
        <f t="shared" si="10"/>
        <v>46036</v>
      </c>
      <c r="Z254">
        <f t="array" ref="Z254">_xlfn.XLOOKUP(INT(X254),INT($AE$2:$AE$1000),$AG$2:$AG$1000,"")</f>
        <v>16.75</v>
      </c>
      <c r="AE254" s="19">
        <f t="shared" si="11"/>
        <v>46227</v>
      </c>
      <c r="AF254" t="s">
        <v>214</v>
      </c>
      <c r="AG254">
        <v>18.579999999999998</v>
      </c>
    </row>
    <row r="255" spans="1:33" x14ac:dyDescent="0.3">
      <c r="A255">
        <v>5</v>
      </c>
      <c r="B255" t="s">
        <v>31</v>
      </c>
      <c r="C255" t="s">
        <v>33</v>
      </c>
      <c r="D255">
        <v>46492</v>
      </c>
      <c r="E255">
        <v>86.97</v>
      </c>
      <c r="F255">
        <v>220.1</v>
      </c>
      <c r="G255">
        <v>86.978696999999997</v>
      </c>
      <c r="H255">
        <v>220.07799</v>
      </c>
      <c r="I255">
        <v>-3.72144658898819</v>
      </c>
      <c r="J255">
        <v>0.63178402664115341</v>
      </c>
      <c r="K255">
        <v>0.1149821777624468</v>
      </c>
      <c r="L255">
        <v>-2.8704408298098751E-2</v>
      </c>
      <c r="M255" t="s">
        <v>29</v>
      </c>
      <c r="N255">
        <v>27</v>
      </c>
      <c r="O255" t="s">
        <v>28</v>
      </c>
      <c r="P255">
        <v>46519</v>
      </c>
      <c r="Q255">
        <v>87.915000000000006</v>
      </c>
      <c r="R255">
        <v>219.84</v>
      </c>
      <c r="S255">
        <v>0.44794827343774268</v>
      </c>
      <c r="T255">
        <v>0.11612130414301849</v>
      </c>
      <c r="U255">
        <v>0.11284761658855361</v>
      </c>
      <c r="V255">
        <v>3.2636416964769788E-3</v>
      </c>
      <c r="W255">
        <v>0.10958397489207659</v>
      </c>
      <c r="X255" s="19">
        <f t="shared" si="9"/>
        <v>46037</v>
      </c>
      <c r="Y255" s="19">
        <f t="shared" si="10"/>
        <v>46037</v>
      </c>
      <c r="Z255">
        <f t="array" ref="Z255">_xlfn.XLOOKUP(INT(X255),INT($AE$2:$AE$1000),$AG$2:$AG$1000,"")</f>
        <v>15.84</v>
      </c>
      <c r="AE255" s="19">
        <f t="shared" si="11"/>
        <v>46230</v>
      </c>
      <c r="AF255" t="s">
        <v>215</v>
      </c>
      <c r="AG255">
        <v>18.670000000000002</v>
      </c>
    </row>
    <row r="256" spans="1:33" x14ac:dyDescent="0.3">
      <c r="A256">
        <v>5</v>
      </c>
      <c r="B256" t="s">
        <v>87</v>
      </c>
      <c r="C256" t="s">
        <v>33</v>
      </c>
      <c r="D256">
        <v>43501</v>
      </c>
      <c r="E256">
        <v>117.22</v>
      </c>
      <c r="F256">
        <v>214.45500000000001</v>
      </c>
      <c r="G256">
        <v>117.231722</v>
      </c>
      <c r="H256">
        <v>214.43355450000001</v>
      </c>
      <c r="I256">
        <v>-5.2946424856467047</v>
      </c>
      <c r="J256">
        <v>1.0729530851129121</v>
      </c>
      <c r="K256">
        <v>8.5309674117044876E-2</v>
      </c>
      <c r="L256">
        <v>-5.003161899293148E-2</v>
      </c>
      <c r="M256" t="s">
        <v>29</v>
      </c>
      <c r="N256">
        <v>23</v>
      </c>
      <c r="O256" t="s">
        <v>28</v>
      </c>
      <c r="P256">
        <v>43524</v>
      </c>
      <c r="Q256">
        <v>117.125</v>
      </c>
      <c r="R256">
        <v>214.14</v>
      </c>
      <c r="S256">
        <v>-0.49044372888553178</v>
      </c>
      <c r="T256">
        <v>7.6555409416555562E-3</v>
      </c>
      <c r="U256">
        <v>3.5120212093331092E-3</v>
      </c>
      <c r="V256">
        <v>4.1458915796088024E-3</v>
      </c>
      <c r="W256">
        <v>-6.3387037027569284E-4</v>
      </c>
      <c r="X256" s="19">
        <f t="shared" si="9"/>
        <v>46027</v>
      </c>
      <c r="Y256" s="19">
        <f t="shared" si="10"/>
        <v>46027</v>
      </c>
      <c r="Z256">
        <f t="array" ref="Z256">_xlfn.XLOOKUP(INT(X256),INT($AE$2:$AE$1000),$AG$2:$AG$1000,"")</f>
        <v>14.9</v>
      </c>
      <c r="AE256" s="19">
        <f t="shared" si="11"/>
        <v>46231</v>
      </c>
      <c r="AF256" t="s">
        <v>216</v>
      </c>
      <c r="AG256">
        <v>18.21</v>
      </c>
    </row>
    <row r="257" spans="1:33" x14ac:dyDescent="0.3">
      <c r="A257">
        <v>5</v>
      </c>
      <c r="B257" t="s">
        <v>87</v>
      </c>
      <c r="C257" t="s">
        <v>33</v>
      </c>
      <c r="D257">
        <v>43551</v>
      </c>
      <c r="E257">
        <v>116.49</v>
      </c>
      <c r="F257">
        <v>213.91</v>
      </c>
      <c r="G257">
        <v>116.501649</v>
      </c>
      <c r="H257">
        <v>213.888609</v>
      </c>
      <c r="I257">
        <v>-3.5693742623120239</v>
      </c>
      <c r="J257">
        <v>1.0729530851129121</v>
      </c>
      <c r="K257">
        <v>8.5844278478839395E-2</v>
      </c>
      <c r="L257">
        <v>-5.0159089575658553E-2</v>
      </c>
      <c r="M257" t="s">
        <v>29</v>
      </c>
      <c r="N257">
        <v>18</v>
      </c>
      <c r="O257" t="s">
        <v>28</v>
      </c>
      <c r="P257">
        <v>43569</v>
      </c>
      <c r="Q257">
        <v>116.64</v>
      </c>
      <c r="R257">
        <v>214.05500000000001</v>
      </c>
      <c r="S257">
        <v>-0.47805493372812458</v>
      </c>
      <c r="T257">
        <v>5.6035737833553942E-3</v>
      </c>
      <c r="U257">
        <v>1.45565264215439E-3</v>
      </c>
      <c r="V257">
        <v>4.1458915796088024E-3</v>
      </c>
      <c r="W257">
        <v>-2.690238937454412E-3</v>
      </c>
      <c r="X257" s="19">
        <f t="shared" si="9"/>
        <v>46027</v>
      </c>
      <c r="Y257" s="19">
        <f t="shared" si="10"/>
        <v>46027</v>
      </c>
      <c r="Z257">
        <f t="array" ref="Z257">_xlfn.XLOOKUP(INT(X257),INT($AE$2:$AE$1000),$AG$2:$AG$1000,"")</f>
        <v>14.9</v>
      </c>
      <c r="AE257" s="19">
        <f t="shared" si="11"/>
        <v>46232</v>
      </c>
      <c r="AF257" t="s">
        <v>217</v>
      </c>
      <c r="AG257">
        <v>20.66</v>
      </c>
    </row>
    <row r="258" spans="1:33" x14ac:dyDescent="0.3">
      <c r="A258">
        <v>5</v>
      </c>
      <c r="B258" t="s">
        <v>87</v>
      </c>
      <c r="C258" t="s">
        <v>33</v>
      </c>
      <c r="D258">
        <v>43746</v>
      </c>
      <c r="E258">
        <v>117.3</v>
      </c>
      <c r="F258">
        <v>212.48</v>
      </c>
      <c r="G258">
        <v>117.28827</v>
      </c>
      <c r="H258">
        <v>212.501248</v>
      </c>
      <c r="I258">
        <v>4.0488525462849481</v>
      </c>
      <c r="J258">
        <v>1.0729530851129121</v>
      </c>
      <c r="K258">
        <v>-8.525149190110827E-2</v>
      </c>
      <c r="L258">
        <v>5.0496662514726669E-2</v>
      </c>
      <c r="M258" t="s">
        <v>27</v>
      </c>
      <c r="N258">
        <v>13</v>
      </c>
      <c r="O258" t="s">
        <v>28</v>
      </c>
      <c r="P258">
        <v>43759</v>
      </c>
      <c r="Q258">
        <v>115.85</v>
      </c>
      <c r="R258">
        <v>210.72</v>
      </c>
      <c r="S258">
        <v>0.25860543888588161</v>
      </c>
      <c r="T258">
        <v>3.4740537230688762E-2</v>
      </c>
      <c r="U258">
        <v>3.0615879939392011E-2</v>
      </c>
      <c r="V258">
        <v>4.145920760842847E-3</v>
      </c>
      <c r="W258">
        <v>2.6469959178549159E-2</v>
      </c>
      <c r="X258" s="19">
        <f t="shared" ref="X258:X321" si="12">WORKDAY(DATE(2025,8,2),INT(D258/390))</f>
        <v>46028</v>
      </c>
      <c r="Y258" s="19">
        <f t="shared" ref="Y258:Y321" si="13">WORKDAY(DATE(2025,8,2),INT(P258/390))</f>
        <v>46028</v>
      </c>
      <c r="Z258">
        <f t="array" ref="Z258">_xlfn.XLOOKUP(INT(X258),INT($AE$2:$AE$1000),$AG$2:$AG$1000,"")</f>
        <v>14.75</v>
      </c>
      <c r="AE258" s="19">
        <f t="shared" ref="AE258:AE321" si="14">IF(ISNUMBER(AF258),DATE(YEAR(AF258),DAY(AF258),MONTH(AF258)),DATE(RIGHT(AF258,4),LEFT(AF258,2),MID(AF258,4,2)))</f>
        <v>46233</v>
      </c>
      <c r="AF258" t="s">
        <v>218</v>
      </c>
      <c r="AG258">
        <v>17.09</v>
      </c>
    </row>
    <row r="259" spans="1:33" x14ac:dyDescent="0.3">
      <c r="A259">
        <v>5</v>
      </c>
      <c r="B259" t="s">
        <v>87</v>
      </c>
      <c r="C259" t="s">
        <v>33</v>
      </c>
      <c r="D259">
        <v>44055</v>
      </c>
      <c r="E259">
        <v>111.95</v>
      </c>
      <c r="F259">
        <v>211.97</v>
      </c>
      <c r="G259">
        <v>111.938805</v>
      </c>
      <c r="H259">
        <v>211.991197</v>
      </c>
      <c r="I259">
        <v>3.5253183081807768</v>
      </c>
      <c r="J259">
        <v>1.0729530851129121</v>
      </c>
      <c r="K259">
        <v>-8.9325591782045549E-2</v>
      </c>
      <c r="L259">
        <v>5.061815752761769E-2</v>
      </c>
      <c r="M259" t="s">
        <v>27</v>
      </c>
      <c r="N259">
        <v>12</v>
      </c>
      <c r="O259" t="s">
        <v>28</v>
      </c>
      <c r="P259">
        <v>44067</v>
      </c>
      <c r="Q259">
        <v>111.89</v>
      </c>
      <c r="R259">
        <v>212.22</v>
      </c>
      <c r="S259">
        <v>0.48651662719937983</v>
      </c>
      <c r="T259">
        <v>1.801407488882736E-2</v>
      </c>
      <c r="U259">
        <v>1.386743921821406E-2</v>
      </c>
      <c r="V259">
        <v>4.145920760842847E-3</v>
      </c>
      <c r="W259">
        <v>9.7215184573712123E-3</v>
      </c>
      <c r="X259" s="19">
        <f t="shared" si="12"/>
        <v>46028</v>
      </c>
      <c r="Y259" s="19">
        <f t="shared" si="13"/>
        <v>46028</v>
      </c>
      <c r="Z259">
        <f t="array" ref="Z259">_xlfn.XLOOKUP(INT(X259),INT($AE$2:$AE$1000),$AG$2:$AG$1000,"")</f>
        <v>14.75</v>
      </c>
      <c r="AE259" s="19">
        <f t="shared" si="14"/>
        <v>46234</v>
      </c>
      <c r="AF259" t="s">
        <v>219</v>
      </c>
      <c r="AG259">
        <v>15.99</v>
      </c>
    </row>
    <row r="260" spans="1:33" x14ac:dyDescent="0.3">
      <c r="A260">
        <v>5</v>
      </c>
      <c r="B260" t="s">
        <v>87</v>
      </c>
      <c r="C260" t="s">
        <v>33</v>
      </c>
      <c r="D260">
        <v>44130</v>
      </c>
      <c r="E260">
        <v>111.99</v>
      </c>
      <c r="F260">
        <v>212.03</v>
      </c>
      <c r="G260">
        <v>111.978801</v>
      </c>
      <c r="H260">
        <v>212.05120299999999</v>
      </c>
      <c r="I260">
        <v>3.5570737216228929</v>
      </c>
      <c r="J260">
        <v>1.0729530851129121</v>
      </c>
      <c r="K260">
        <v>-8.9293686936333605E-2</v>
      </c>
      <c r="L260">
        <v>5.060383366094006E-2</v>
      </c>
      <c r="M260" t="s">
        <v>27</v>
      </c>
      <c r="N260">
        <v>39</v>
      </c>
      <c r="O260" t="s">
        <v>28</v>
      </c>
      <c r="P260">
        <v>44169</v>
      </c>
      <c r="Q260">
        <v>115.77</v>
      </c>
      <c r="R260">
        <v>213.67</v>
      </c>
      <c r="S260">
        <v>0.46817261302304131</v>
      </c>
      <c r="T260">
        <v>-0.25453984941540009</v>
      </c>
      <c r="U260">
        <v>-0.25872780762800812</v>
      </c>
      <c r="V260">
        <v>4.145920760842847E-3</v>
      </c>
      <c r="W260">
        <v>-0.26287372838885092</v>
      </c>
      <c r="X260" s="19">
        <f t="shared" si="12"/>
        <v>46029</v>
      </c>
      <c r="Y260" s="19">
        <f t="shared" si="13"/>
        <v>46029</v>
      </c>
      <c r="Z260">
        <f t="array" ref="Z260">_xlfn.XLOOKUP(INT(X260),INT($AE$2:$AE$1000),$AG$2:$AG$1000,"")</f>
        <v>15.38</v>
      </c>
      <c r="AE260" s="19" t="e">
        <f t="shared" si="14"/>
        <v>#VALUE!</v>
      </c>
      <c r="AF260" s="19"/>
    </row>
    <row r="261" spans="1:33" x14ac:dyDescent="0.3">
      <c r="A261">
        <v>5</v>
      </c>
      <c r="B261" t="s">
        <v>87</v>
      </c>
      <c r="C261" t="s">
        <v>33</v>
      </c>
      <c r="D261">
        <v>44540</v>
      </c>
      <c r="E261">
        <v>117.88</v>
      </c>
      <c r="F261">
        <v>223.25</v>
      </c>
      <c r="G261">
        <v>117.89178800000001</v>
      </c>
      <c r="H261">
        <v>223.227675</v>
      </c>
      <c r="I261">
        <v>-5.1329490608015309</v>
      </c>
      <c r="J261">
        <v>1.0729530851129121</v>
      </c>
      <c r="K261">
        <v>8.483203257550051E-2</v>
      </c>
      <c r="L261">
        <v>-4.8060608515695963E-2</v>
      </c>
      <c r="M261" t="s">
        <v>29</v>
      </c>
      <c r="N261">
        <v>8</v>
      </c>
      <c r="O261" t="s">
        <v>28</v>
      </c>
      <c r="P261">
        <v>44548</v>
      </c>
      <c r="Q261">
        <v>119.145</v>
      </c>
      <c r="R261">
        <v>220.75</v>
      </c>
      <c r="S261">
        <v>-0.44959950632013601</v>
      </c>
      <c r="T261">
        <v>0.22746404249724811</v>
      </c>
      <c r="U261">
        <v>0.22331942022703069</v>
      </c>
      <c r="V261">
        <v>4.1458915796088024E-3</v>
      </c>
      <c r="W261">
        <v>0.2191735286474219</v>
      </c>
      <c r="X261" s="19">
        <f t="shared" si="12"/>
        <v>46030</v>
      </c>
      <c r="Y261" s="19">
        <f t="shared" si="13"/>
        <v>46030</v>
      </c>
      <c r="Z261">
        <f t="array" ref="Z261">_xlfn.XLOOKUP(INT(X261),INT($AE$2:$AE$1000),$AG$2:$AG$1000,"")</f>
        <v>15.45</v>
      </c>
      <c r="AE261" s="19" t="e">
        <f t="shared" si="14"/>
        <v>#VALUE!</v>
      </c>
      <c r="AF261" s="19"/>
    </row>
    <row r="262" spans="1:33" x14ac:dyDescent="0.3">
      <c r="A262">
        <v>5</v>
      </c>
      <c r="B262" t="s">
        <v>87</v>
      </c>
      <c r="C262" t="s">
        <v>33</v>
      </c>
      <c r="D262">
        <v>44931</v>
      </c>
      <c r="E262">
        <v>114.77</v>
      </c>
      <c r="F262">
        <v>220.86500000000001</v>
      </c>
      <c r="G262">
        <v>114.781477</v>
      </c>
      <c r="H262">
        <v>220.84291350000001</v>
      </c>
      <c r="I262">
        <v>-4.7345841697493709</v>
      </c>
      <c r="J262">
        <v>1.0729530851129121</v>
      </c>
      <c r="K262">
        <v>8.7130783305741921E-2</v>
      </c>
      <c r="L262">
        <v>-4.8579588667870058E-2</v>
      </c>
      <c r="M262" t="s">
        <v>29</v>
      </c>
      <c r="N262">
        <v>20</v>
      </c>
      <c r="O262" t="s">
        <v>28</v>
      </c>
      <c r="P262">
        <v>44951</v>
      </c>
      <c r="Q262">
        <v>115.32</v>
      </c>
      <c r="R262">
        <v>221.035</v>
      </c>
      <c r="S262">
        <v>-0.45774768114442749</v>
      </c>
      <c r="T262">
        <v>3.9663400744620513E-2</v>
      </c>
      <c r="U262">
        <v>3.5511876528306022E-2</v>
      </c>
      <c r="V262">
        <v>4.1458915796088024E-3</v>
      </c>
      <c r="W262">
        <v>3.1365984948697218E-2</v>
      </c>
      <c r="X262" s="19">
        <f t="shared" si="12"/>
        <v>46031</v>
      </c>
      <c r="Y262" s="19">
        <f t="shared" si="13"/>
        <v>46031</v>
      </c>
      <c r="Z262">
        <f t="array" ref="Z262">_xlfn.XLOOKUP(INT(X262),INT($AE$2:$AE$1000),$AG$2:$AG$1000,"")</f>
        <v>14.49</v>
      </c>
      <c r="AE262" s="19" t="e">
        <f t="shared" si="14"/>
        <v>#VALUE!</v>
      </c>
      <c r="AF262" s="19"/>
    </row>
    <row r="263" spans="1:33" x14ac:dyDescent="0.3">
      <c r="A263">
        <v>5</v>
      </c>
      <c r="B263" t="s">
        <v>87</v>
      </c>
      <c r="C263" t="s">
        <v>33</v>
      </c>
      <c r="D263">
        <v>46225</v>
      </c>
      <c r="E263">
        <v>113.89</v>
      </c>
      <c r="F263">
        <v>218.55</v>
      </c>
      <c r="G263">
        <v>113.90138899999999</v>
      </c>
      <c r="H263">
        <v>218.52814499999999</v>
      </c>
      <c r="I263">
        <v>-3.5851047201173181</v>
      </c>
      <c r="J263">
        <v>1.0729530851129121</v>
      </c>
      <c r="K263">
        <v>8.7804021424181228E-2</v>
      </c>
      <c r="L263">
        <v>-4.9094169989151767E-2</v>
      </c>
      <c r="M263" t="s">
        <v>29</v>
      </c>
      <c r="N263">
        <v>31</v>
      </c>
      <c r="O263" t="s">
        <v>28</v>
      </c>
      <c r="P263">
        <v>46256</v>
      </c>
      <c r="Q263">
        <v>113.44499999999999</v>
      </c>
      <c r="R263">
        <v>218.64</v>
      </c>
      <c r="S263">
        <v>-0.38168556496189521</v>
      </c>
      <c r="T263">
        <v>-4.3491264832783733E-2</v>
      </c>
      <c r="U263">
        <v>-4.7633705571584022E-2</v>
      </c>
      <c r="V263">
        <v>4.1458915796088024E-3</v>
      </c>
      <c r="W263">
        <v>-5.1779597151192833E-2</v>
      </c>
      <c r="X263" s="19">
        <f t="shared" si="12"/>
        <v>46036</v>
      </c>
      <c r="Y263" s="19">
        <f t="shared" si="13"/>
        <v>46036</v>
      </c>
      <c r="Z263">
        <f t="array" ref="Z263">_xlfn.XLOOKUP(INT(X263),INT($AE$2:$AE$1000),$AG$2:$AG$1000,"")</f>
        <v>16.75</v>
      </c>
      <c r="AE263" s="19" t="e">
        <f t="shared" si="14"/>
        <v>#VALUE!</v>
      </c>
    </row>
    <row r="264" spans="1:33" x14ac:dyDescent="0.3">
      <c r="A264">
        <v>5</v>
      </c>
      <c r="B264" t="s">
        <v>87</v>
      </c>
      <c r="C264" t="s">
        <v>33</v>
      </c>
      <c r="D264">
        <v>46497</v>
      </c>
      <c r="E264">
        <v>114.93</v>
      </c>
      <c r="F264">
        <v>220.1</v>
      </c>
      <c r="G264">
        <v>114.91850700000001</v>
      </c>
      <c r="H264">
        <v>220.12200999999999</v>
      </c>
      <c r="I264">
        <v>3.630121417505435</v>
      </c>
      <c r="J264">
        <v>1.0729530851129121</v>
      </c>
      <c r="K264">
        <v>-8.7009484033759674E-2</v>
      </c>
      <c r="L264">
        <v>4.8748436397678882E-2</v>
      </c>
      <c r="M264" t="s">
        <v>27</v>
      </c>
      <c r="N264">
        <v>23</v>
      </c>
      <c r="O264" t="s">
        <v>28</v>
      </c>
      <c r="P264">
        <v>46520</v>
      </c>
      <c r="Q264">
        <v>114.97499999999999</v>
      </c>
      <c r="R264">
        <v>219.84</v>
      </c>
      <c r="S264">
        <v>0.36220965461649168</v>
      </c>
      <c r="T264">
        <v>-1.6590020244914159E-2</v>
      </c>
      <c r="U264">
        <v>-2.0735050498472209E-2</v>
      </c>
      <c r="V264">
        <v>4.145920760842847E-3</v>
      </c>
      <c r="W264">
        <v>-2.4880971259315061E-2</v>
      </c>
      <c r="X264" s="19">
        <f t="shared" si="12"/>
        <v>46037</v>
      </c>
      <c r="Y264" s="19">
        <f t="shared" si="13"/>
        <v>46037</v>
      </c>
      <c r="Z264">
        <f t="array" ref="Z264">_xlfn.XLOOKUP(INT(X264),INT($AE$2:$AE$1000),$AG$2:$AG$1000,"")</f>
        <v>15.84</v>
      </c>
      <c r="AE264" s="19" t="e">
        <f t="shared" si="14"/>
        <v>#VALUE!</v>
      </c>
    </row>
    <row r="265" spans="1:33" x14ac:dyDescent="0.3">
      <c r="A265">
        <v>5</v>
      </c>
      <c r="B265" t="s">
        <v>87</v>
      </c>
      <c r="C265" t="s">
        <v>33</v>
      </c>
      <c r="D265">
        <v>46760</v>
      </c>
      <c r="E265">
        <v>114.88</v>
      </c>
      <c r="F265">
        <v>220.7</v>
      </c>
      <c r="G265">
        <v>114.868512</v>
      </c>
      <c r="H265">
        <v>220.72207</v>
      </c>
      <c r="I265">
        <v>3.614150282742977</v>
      </c>
      <c r="J265">
        <v>1.0729530851129121</v>
      </c>
      <c r="K265">
        <v>-8.7047353760445687E-2</v>
      </c>
      <c r="L265">
        <v>4.8615907798500779E-2</v>
      </c>
      <c r="M265" t="s">
        <v>27</v>
      </c>
      <c r="N265">
        <v>16</v>
      </c>
      <c r="O265" t="s">
        <v>28</v>
      </c>
      <c r="P265">
        <v>46776</v>
      </c>
      <c r="Q265">
        <v>115.04</v>
      </c>
      <c r="R265">
        <v>220.98</v>
      </c>
      <c r="S265">
        <v>0.42089109152633808</v>
      </c>
      <c r="T265">
        <v>-3.1512241809197698E-4</v>
      </c>
      <c r="U265">
        <v>-4.4637825913957773E-3</v>
      </c>
      <c r="V265">
        <v>4.145920760842847E-3</v>
      </c>
      <c r="W265">
        <v>-8.6097033522386235E-3</v>
      </c>
      <c r="X265" s="19">
        <f t="shared" si="12"/>
        <v>46037</v>
      </c>
      <c r="Y265" s="19">
        <f t="shared" si="13"/>
        <v>46037</v>
      </c>
      <c r="Z265">
        <f t="array" ref="Z265">_xlfn.XLOOKUP(INT(X265),INT($AE$2:$AE$1000),$AG$2:$AG$1000,"")</f>
        <v>15.84</v>
      </c>
      <c r="AE265" s="19" t="e">
        <f t="shared" si="14"/>
        <v>#VALUE!</v>
      </c>
    </row>
    <row r="266" spans="1:33" x14ac:dyDescent="0.3">
      <c r="A266">
        <v>5</v>
      </c>
      <c r="B266" t="s">
        <v>87</v>
      </c>
      <c r="C266" t="s">
        <v>33</v>
      </c>
      <c r="D266">
        <v>46885</v>
      </c>
      <c r="E266">
        <v>115.35</v>
      </c>
      <c r="F266">
        <v>220.97</v>
      </c>
      <c r="G266">
        <v>115.338465</v>
      </c>
      <c r="H266">
        <v>220.992097</v>
      </c>
      <c r="I266">
        <v>3.6360206963218968</v>
      </c>
      <c r="J266">
        <v>1.0729530851129121</v>
      </c>
      <c r="K266">
        <v>-8.6692674469007372E-2</v>
      </c>
      <c r="L266">
        <v>4.8556504734258592E-2</v>
      </c>
      <c r="M266" t="s">
        <v>27</v>
      </c>
      <c r="N266">
        <v>5</v>
      </c>
      <c r="O266" t="s">
        <v>28</v>
      </c>
      <c r="P266">
        <v>46890</v>
      </c>
      <c r="Q266">
        <v>115.67</v>
      </c>
      <c r="R266">
        <v>222.23</v>
      </c>
      <c r="S266">
        <v>-3.8792575012646408E-2</v>
      </c>
      <c r="T266">
        <v>3.3439540135082393E-2</v>
      </c>
      <c r="U266">
        <v>2.9284741679677571E-2</v>
      </c>
      <c r="V266">
        <v>4.145920760842847E-3</v>
      </c>
      <c r="W266">
        <v>2.5138820918834719E-2</v>
      </c>
      <c r="X266" s="19">
        <f t="shared" si="12"/>
        <v>46038</v>
      </c>
      <c r="Y266" s="19">
        <f t="shared" si="13"/>
        <v>46038</v>
      </c>
      <c r="Z266">
        <f t="array" ref="Z266">_xlfn.XLOOKUP(INT(X266),INT($AE$2:$AE$1000),$AG$2:$AG$1000,"")</f>
        <v>15.86</v>
      </c>
      <c r="AE266" s="19" t="e">
        <f t="shared" si="14"/>
        <v>#VALUE!</v>
      </c>
    </row>
    <row r="267" spans="1:33" x14ac:dyDescent="0.3">
      <c r="A267">
        <v>5</v>
      </c>
      <c r="B267" t="s">
        <v>87</v>
      </c>
      <c r="C267" t="s">
        <v>33</v>
      </c>
      <c r="D267">
        <v>47279</v>
      </c>
      <c r="E267">
        <v>115.5</v>
      </c>
      <c r="F267">
        <v>222.79</v>
      </c>
      <c r="G267">
        <v>115.48845</v>
      </c>
      <c r="H267">
        <v>222.81227899999999</v>
      </c>
      <c r="I267">
        <v>4.4011148915344309</v>
      </c>
      <c r="J267">
        <v>1.0729530851129121</v>
      </c>
      <c r="K267">
        <v>-8.6580086580086577E-2</v>
      </c>
      <c r="L267">
        <v>4.8159840437762558E-2</v>
      </c>
      <c r="M267" t="s">
        <v>27</v>
      </c>
      <c r="N267">
        <v>9</v>
      </c>
      <c r="O267" t="s">
        <v>28</v>
      </c>
      <c r="P267">
        <v>47288</v>
      </c>
      <c r="Q267">
        <v>114.51</v>
      </c>
      <c r="R267">
        <v>222.20500000000001</v>
      </c>
      <c r="S267">
        <v>0.28238922090172558</v>
      </c>
      <c r="T267">
        <v>5.7540779058195157E-2</v>
      </c>
      <c r="U267">
        <v>5.3406261667206897E-2</v>
      </c>
      <c r="V267">
        <v>4.145920760842847E-3</v>
      </c>
      <c r="W267">
        <v>4.9260340906364053E-2</v>
      </c>
      <c r="X267" s="19">
        <f t="shared" si="12"/>
        <v>46041</v>
      </c>
      <c r="Y267" s="19">
        <f t="shared" si="13"/>
        <v>46041</v>
      </c>
      <c r="Z267">
        <f t="array" ref="Z267">_xlfn.XLOOKUP(INT(X267),INT($AE$2:$AE$1000),$AG$2:$AG$1000,"")</f>
        <v>18.84</v>
      </c>
      <c r="AE267" s="19" t="e">
        <f t="shared" si="14"/>
        <v>#VALUE!</v>
      </c>
    </row>
    <row r="268" spans="1:33" x14ac:dyDescent="0.3">
      <c r="A268">
        <v>5</v>
      </c>
      <c r="B268" t="s">
        <v>30</v>
      </c>
      <c r="C268" t="s">
        <v>76</v>
      </c>
      <c r="D268">
        <v>43501</v>
      </c>
      <c r="E268">
        <v>54.725000000000001</v>
      </c>
      <c r="F268">
        <v>183.57</v>
      </c>
      <c r="G268">
        <v>54.719527500000012</v>
      </c>
      <c r="H268">
        <v>183.588357</v>
      </c>
      <c r="I268">
        <v>5.2945913797763273</v>
      </c>
      <c r="J268">
        <v>0.54272081108663817</v>
      </c>
      <c r="K268">
        <v>-0.18273184102329831</v>
      </c>
      <c r="L268">
        <v>2.956478787855522E-2</v>
      </c>
      <c r="M268" t="s">
        <v>27</v>
      </c>
      <c r="N268">
        <v>23</v>
      </c>
      <c r="O268" t="s">
        <v>28</v>
      </c>
      <c r="P268">
        <v>43524</v>
      </c>
      <c r="Q268">
        <v>54.645000000000003</v>
      </c>
      <c r="R268">
        <v>183.61500000000001</v>
      </c>
      <c r="S268">
        <v>0.4906578405723282</v>
      </c>
      <c r="T268">
        <v>1.5948962736399008E-2</v>
      </c>
      <c r="U268">
        <v>1.2864849927408569E-2</v>
      </c>
      <c r="V268">
        <v>3.0853501663354941E-3</v>
      </c>
      <c r="W268">
        <v>9.7794997610730731E-3</v>
      </c>
      <c r="X268" s="19">
        <f t="shared" si="12"/>
        <v>46027</v>
      </c>
      <c r="Y268" s="19">
        <f t="shared" si="13"/>
        <v>46027</v>
      </c>
      <c r="Z268">
        <f t="array" ref="Z268">_xlfn.XLOOKUP(INT(X268),INT($AE$2:$AE$1000),$AG$2:$AG$1000,"")</f>
        <v>14.9</v>
      </c>
      <c r="AE268" s="19" t="e">
        <f t="shared" si="14"/>
        <v>#VALUE!</v>
      </c>
    </row>
    <row r="269" spans="1:33" x14ac:dyDescent="0.3">
      <c r="A269">
        <v>5</v>
      </c>
      <c r="B269" t="s">
        <v>30</v>
      </c>
      <c r="C269" t="s">
        <v>76</v>
      </c>
      <c r="D269">
        <v>43742</v>
      </c>
      <c r="E269">
        <v>53.85</v>
      </c>
      <c r="F269">
        <v>182.83</v>
      </c>
      <c r="G269">
        <v>53.855384999999998</v>
      </c>
      <c r="H269">
        <v>182.81171699999999</v>
      </c>
      <c r="I269">
        <v>-4.7859499637945628</v>
      </c>
      <c r="J269">
        <v>0.54272081108663817</v>
      </c>
      <c r="K269">
        <v>0.18570102135561739</v>
      </c>
      <c r="L269">
        <v>-2.9684450641942681E-2</v>
      </c>
      <c r="M269" t="s">
        <v>29</v>
      </c>
      <c r="N269">
        <v>32</v>
      </c>
      <c r="O269" t="s">
        <v>28</v>
      </c>
      <c r="P269">
        <v>43774</v>
      </c>
      <c r="Q269">
        <v>52.594999999999999</v>
      </c>
      <c r="R269">
        <v>180.18</v>
      </c>
      <c r="S269">
        <v>-0.33004157137864409</v>
      </c>
      <c r="T269">
        <v>-0.1543909876001521</v>
      </c>
      <c r="U269">
        <v>-0.15744525736472501</v>
      </c>
      <c r="V269">
        <v>3.0855330780110591E-3</v>
      </c>
      <c r="W269">
        <v>-0.16053079044273599</v>
      </c>
      <c r="X269" s="19">
        <f t="shared" si="12"/>
        <v>46028</v>
      </c>
      <c r="Y269" s="19">
        <f t="shared" si="13"/>
        <v>46028</v>
      </c>
      <c r="Z269">
        <f t="array" ref="Z269">_xlfn.XLOOKUP(INT(X269),INT($AE$2:$AE$1000),$AG$2:$AG$1000,"")</f>
        <v>14.75</v>
      </c>
      <c r="AE269" s="19" t="e">
        <f t="shared" si="14"/>
        <v>#VALUE!</v>
      </c>
    </row>
    <row r="270" spans="1:33" x14ac:dyDescent="0.3">
      <c r="A270">
        <v>5</v>
      </c>
      <c r="B270" t="s">
        <v>30</v>
      </c>
      <c r="C270" t="s">
        <v>76</v>
      </c>
      <c r="D270">
        <v>43988</v>
      </c>
      <c r="E270">
        <v>51.805</v>
      </c>
      <c r="F270">
        <v>180.12</v>
      </c>
      <c r="G270">
        <v>51.810180500000001</v>
      </c>
      <c r="H270">
        <v>180.10198800000001</v>
      </c>
      <c r="I270">
        <v>-3.6459869412352268</v>
      </c>
      <c r="J270">
        <v>0.54272081108663817</v>
      </c>
      <c r="K270">
        <v>0.19303156066016791</v>
      </c>
      <c r="L270">
        <v>-3.013106879228504E-2</v>
      </c>
      <c r="M270" t="s">
        <v>29</v>
      </c>
      <c r="N270">
        <v>7</v>
      </c>
      <c r="O270" t="s">
        <v>28</v>
      </c>
      <c r="P270">
        <v>43995</v>
      </c>
      <c r="Q270">
        <v>51.85</v>
      </c>
      <c r="R270">
        <v>180</v>
      </c>
      <c r="S270">
        <v>-0.44328830812541697</v>
      </c>
      <c r="T270">
        <v>1.2302148484782231E-2</v>
      </c>
      <c r="U270">
        <v>9.2161997934117126E-3</v>
      </c>
      <c r="V270">
        <v>3.0855330780110591E-3</v>
      </c>
      <c r="W270">
        <v>6.1306667154006544E-3</v>
      </c>
      <c r="X270" s="19">
        <f t="shared" si="12"/>
        <v>46028</v>
      </c>
      <c r="Y270" s="19">
        <f t="shared" si="13"/>
        <v>46028</v>
      </c>
      <c r="Z270">
        <f t="array" ref="Z270">_xlfn.XLOOKUP(INT(X270),INT($AE$2:$AE$1000),$AG$2:$AG$1000,"")</f>
        <v>14.75</v>
      </c>
      <c r="AE270" s="19" t="e">
        <f t="shared" si="14"/>
        <v>#VALUE!</v>
      </c>
    </row>
    <row r="271" spans="1:33" x14ac:dyDescent="0.3">
      <c r="A271">
        <v>5</v>
      </c>
      <c r="B271" t="s">
        <v>30</v>
      </c>
      <c r="C271" t="s">
        <v>76</v>
      </c>
      <c r="D271">
        <v>44148</v>
      </c>
      <c r="E271">
        <v>52.69</v>
      </c>
      <c r="F271">
        <v>185.15</v>
      </c>
      <c r="G271">
        <v>52.695269000000003</v>
      </c>
      <c r="H271">
        <v>185.131485</v>
      </c>
      <c r="I271">
        <v>-4.4717716784664656</v>
      </c>
      <c r="J271">
        <v>0.54272081108663817</v>
      </c>
      <c r="K271">
        <v>0.18978933383943819</v>
      </c>
      <c r="L271">
        <v>-2.9312493172381208E-2</v>
      </c>
      <c r="M271" t="s">
        <v>29</v>
      </c>
      <c r="N271">
        <v>29</v>
      </c>
      <c r="O271" t="s">
        <v>28</v>
      </c>
      <c r="P271">
        <v>44177</v>
      </c>
      <c r="Q271">
        <v>52.604999999999997</v>
      </c>
      <c r="R271">
        <v>187.89</v>
      </c>
      <c r="S271">
        <v>-0.2156739547748856</v>
      </c>
      <c r="T271">
        <v>-9.6448324668676352E-2</v>
      </c>
      <c r="U271">
        <v>-9.9540184704640822E-2</v>
      </c>
      <c r="V271">
        <v>3.0855330780110591E-3</v>
      </c>
      <c r="W271">
        <v>-0.10262571778265191</v>
      </c>
      <c r="X271" s="19">
        <f t="shared" si="12"/>
        <v>46029</v>
      </c>
      <c r="Y271" s="19">
        <f t="shared" si="13"/>
        <v>46029</v>
      </c>
      <c r="Z271">
        <f t="array" ref="Z271">_xlfn.XLOOKUP(INT(X271),INT($AE$2:$AE$1000),$AG$2:$AG$1000,"")</f>
        <v>15.38</v>
      </c>
      <c r="AE271" s="19" t="e">
        <f t="shared" si="14"/>
        <v>#VALUE!</v>
      </c>
    </row>
    <row r="272" spans="1:33" x14ac:dyDescent="0.3">
      <c r="A272">
        <v>5</v>
      </c>
      <c r="B272" t="s">
        <v>30</v>
      </c>
      <c r="C272" t="s">
        <v>76</v>
      </c>
      <c r="D272">
        <v>44541</v>
      </c>
      <c r="E272">
        <v>52.91</v>
      </c>
      <c r="F272">
        <v>192.04</v>
      </c>
      <c r="G272">
        <v>52.904708999999997</v>
      </c>
      <c r="H272">
        <v>192.05920399999999</v>
      </c>
      <c r="I272">
        <v>4.0347186938590136</v>
      </c>
      <c r="J272">
        <v>0.54272081108663817</v>
      </c>
      <c r="K272">
        <v>-0.189000189000189</v>
      </c>
      <c r="L272">
        <v>2.8260821239670809E-2</v>
      </c>
      <c r="M272" t="s">
        <v>27</v>
      </c>
      <c r="N272">
        <v>2</v>
      </c>
      <c r="O272" t="s">
        <v>28</v>
      </c>
      <c r="P272">
        <v>44543</v>
      </c>
      <c r="Q272">
        <v>52.6</v>
      </c>
      <c r="R272">
        <v>191.57</v>
      </c>
      <c r="S272">
        <v>-4.5118835628666587E-2</v>
      </c>
      <c r="T272">
        <v>4.5307472607412427E-2</v>
      </c>
      <c r="U272">
        <v>4.2229218249696263E-2</v>
      </c>
      <c r="V272">
        <v>3.0853501663354928E-3</v>
      </c>
      <c r="W272">
        <v>3.9143868083360761E-2</v>
      </c>
      <c r="X272" s="19">
        <f t="shared" si="12"/>
        <v>46030</v>
      </c>
      <c r="Y272" s="19">
        <f t="shared" si="13"/>
        <v>46030</v>
      </c>
      <c r="Z272">
        <f t="array" ref="Z272">_xlfn.XLOOKUP(INT(X272),INT($AE$2:$AE$1000),$AG$2:$AG$1000,"")</f>
        <v>15.45</v>
      </c>
      <c r="AE272" s="19" t="e">
        <f t="shared" si="14"/>
        <v>#VALUE!</v>
      </c>
    </row>
    <row r="273" spans="1:32" x14ac:dyDescent="0.3">
      <c r="A273">
        <v>5</v>
      </c>
      <c r="B273" t="s">
        <v>30</v>
      </c>
      <c r="C273" t="s">
        <v>76</v>
      </c>
      <c r="D273">
        <v>45117</v>
      </c>
      <c r="E273">
        <v>52.575000000000003</v>
      </c>
      <c r="F273">
        <v>184.35499999999999</v>
      </c>
      <c r="G273">
        <v>52.580257500000002</v>
      </c>
      <c r="H273">
        <v>184.33656450000001</v>
      </c>
      <c r="I273">
        <v>-3.6616368689965721</v>
      </c>
      <c r="J273">
        <v>0.54272081108663817</v>
      </c>
      <c r="K273">
        <v>0.19020446980504041</v>
      </c>
      <c r="L273">
        <v>-2.943889838011652E-2</v>
      </c>
      <c r="M273" t="s">
        <v>29</v>
      </c>
      <c r="N273">
        <v>20</v>
      </c>
      <c r="O273" t="s">
        <v>28</v>
      </c>
      <c r="P273">
        <v>45137</v>
      </c>
      <c r="Q273">
        <v>52.52</v>
      </c>
      <c r="R273">
        <v>184</v>
      </c>
      <c r="S273">
        <v>-0.20243217523675919</v>
      </c>
      <c r="T273">
        <v>-1.0436914336104179E-5</v>
      </c>
      <c r="U273">
        <v>-3.0937873310323831E-3</v>
      </c>
      <c r="V273">
        <v>3.0855330780110591E-3</v>
      </c>
      <c r="W273">
        <v>-6.1793204090434418E-3</v>
      </c>
      <c r="X273" s="19">
        <f t="shared" si="12"/>
        <v>46031</v>
      </c>
      <c r="Y273" s="19">
        <f t="shared" si="13"/>
        <v>46031</v>
      </c>
      <c r="Z273">
        <f t="array" ref="Z273">_xlfn.XLOOKUP(INT(X273),INT($AE$2:$AE$1000),$AG$2:$AG$1000,"")</f>
        <v>14.49</v>
      </c>
      <c r="AE273" s="19" t="e">
        <f t="shared" si="14"/>
        <v>#VALUE!</v>
      </c>
    </row>
    <row r="274" spans="1:32" x14ac:dyDescent="0.3">
      <c r="A274">
        <v>5</v>
      </c>
      <c r="B274" t="s">
        <v>30</v>
      </c>
      <c r="C274" t="s">
        <v>76</v>
      </c>
      <c r="D274">
        <v>45515</v>
      </c>
      <c r="E274">
        <v>52.44</v>
      </c>
      <c r="F274">
        <v>182.47499999999999</v>
      </c>
      <c r="G274">
        <v>52.434756</v>
      </c>
      <c r="H274">
        <v>182.4932475</v>
      </c>
      <c r="I274">
        <v>3.5843122696395531</v>
      </c>
      <c r="J274">
        <v>0.54272081108663817</v>
      </c>
      <c r="K274">
        <v>-0.1906941266209001</v>
      </c>
      <c r="L274">
        <v>2.97422009089814E-2</v>
      </c>
      <c r="M274" t="s">
        <v>27</v>
      </c>
      <c r="N274">
        <v>19</v>
      </c>
      <c r="O274" t="s">
        <v>28</v>
      </c>
      <c r="P274">
        <v>45534</v>
      </c>
      <c r="Q274">
        <v>52.39</v>
      </c>
      <c r="R274">
        <v>182.44</v>
      </c>
      <c r="S274">
        <v>-3.171171702108897E-3</v>
      </c>
      <c r="T274">
        <v>8.4937292992302137E-3</v>
      </c>
      <c r="U274">
        <v>5.4093452453941211E-3</v>
      </c>
      <c r="V274">
        <v>3.0853501663354941E-3</v>
      </c>
      <c r="W274">
        <v>2.323995079058627E-3</v>
      </c>
      <c r="X274" s="19">
        <f t="shared" si="12"/>
        <v>46034</v>
      </c>
      <c r="Y274" s="19">
        <f t="shared" si="13"/>
        <v>46034</v>
      </c>
      <c r="Z274">
        <f t="array" ref="Z274">_xlfn.XLOOKUP(INT(X274),INT($AE$2:$AE$1000),$AG$2:$AG$1000,"")</f>
        <v>15.12</v>
      </c>
      <c r="AE274" s="19" t="e">
        <f t="shared" si="14"/>
        <v>#VALUE!</v>
      </c>
    </row>
    <row r="275" spans="1:32" x14ac:dyDescent="0.3">
      <c r="A275">
        <v>5</v>
      </c>
      <c r="B275" t="s">
        <v>30</v>
      </c>
      <c r="C275" t="s">
        <v>76</v>
      </c>
      <c r="D275">
        <v>45712</v>
      </c>
      <c r="E275">
        <v>52.63</v>
      </c>
      <c r="F275">
        <v>184.66</v>
      </c>
      <c r="G275">
        <v>52.624737000000003</v>
      </c>
      <c r="H275">
        <v>184.67846599999999</v>
      </c>
      <c r="I275">
        <v>4.6375091376779229</v>
      </c>
      <c r="J275">
        <v>0.54272081108663817</v>
      </c>
      <c r="K275">
        <v>-0.1900057001710051</v>
      </c>
      <c r="L275">
        <v>2.9390274617493672E-2</v>
      </c>
      <c r="M275" t="s">
        <v>27</v>
      </c>
      <c r="N275">
        <v>26</v>
      </c>
      <c r="O275" t="s">
        <v>28</v>
      </c>
      <c r="P275">
        <v>45738</v>
      </c>
      <c r="Q275">
        <v>52.805</v>
      </c>
      <c r="R275">
        <v>182.83</v>
      </c>
      <c r="S275">
        <v>0.45346888123244572</v>
      </c>
      <c r="T275">
        <v>-8.7035200079938313E-2</v>
      </c>
      <c r="U275">
        <v>-9.0118588381608633E-2</v>
      </c>
      <c r="V275">
        <v>3.0853501663354941E-3</v>
      </c>
      <c r="W275">
        <v>-9.3203938547944121E-2</v>
      </c>
      <c r="X275" s="19">
        <f t="shared" si="12"/>
        <v>46035</v>
      </c>
      <c r="Y275" s="19">
        <f t="shared" si="13"/>
        <v>46035</v>
      </c>
      <c r="Z275">
        <f t="array" ref="Z275">_xlfn.XLOOKUP(INT(X275),INT($AE$2:$AE$1000),$AG$2:$AG$1000,"")</f>
        <v>15.98</v>
      </c>
      <c r="AE275" s="19" t="e">
        <f t="shared" si="14"/>
        <v>#VALUE!</v>
      </c>
    </row>
    <row r="276" spans="1:32" x14ac:dyDescent="0.3">
      <c r="A276">
        <v>5</v>
      </c>
      <c r="B276" t="s">
        <v>30</v>
      </c>
      <c r="C276" t="s">
        <v>76</v>
      </c>
      <c r="D276">
        <v>46038</v>
      </c>
      <c r="E276">
        <v>52.515000000000001</v>
      </c>
      <c r="F276">
        <v>183.4</v>
      </c>
      <c r="G276">
        <v>52.520251500000001</v>
      </c>
      <c r="H276">
        <v>183.38166000000001</v>
      </c>
      <c r="I276">
        <v>-3.549619438351082</v>
      </c>
      <c r="J276">
        <v>0.54272081108663817</v>
      </c>
      <c r="K276">
        <v>0.19042178425211839</v>
      </c>
      <c r="L276">
        <v>-2.959219253471309E-2</v>
      </c>
      <c r="M276" t="s">
        <v>29</v>
      </c>
      <c r="N276">
        <v>20</v>
      </c>
      <c r="O276" t="s">
        <v>28</v>
      </c>
      <c r="P276">
        <v>46058</v>
      </c>
      <c r="Q276">
        <v>52.494999999999997</v>
      </c>
      <c r="R276">
        <v>183.33</v>
      </c>
      <c r="S276">
        <v>-0.29065703984773122</v>
      </c>
      <c r="T276">
        <v>-1.7369822076132499E-3</v>
      </c>
      <c r="U276">
        <v>-4.8218358408692553E-3</v>
      </c>
      <c r="V276">
        <v>3.0855330780110591E-3</v>
      </c>
      <c r="W276">
        <v>-7.9073689188803135E-3</v>
      </c>
      <c r="X276" s="19">
        <f t="shared" si="12"/>
        <v>46036</v>
      </c>
      <c r="Y276" s="19">
        <f t="shared" si="13"/>
        <v>46036</v>
      </c>
      <c r="Z276">
        <f t="array" ref="Z276">_xlfn.XLOOKUP(INT(X276),INT($AE$2:$AE$1000),$AG$2:$AG$1000,"")</f>
        <v>16.75</v>
      </c>
      <c r="AE276" s="19" t="e">
        <f t="shared" si="14"/>
        <v>#VALUE!</v>
      </c>
    </row>
    <row r="277" spans="1:32" x14ac:dyDescent="0.3">
      <c r="A277">
        <v>5</v>
      </c>
      <c r="B277" t="s">
        <v>30</v>
      </c>
      <c r="C277" t="s">
        <v>76</v>
      </c>
      <c r="D277">
        <v>46102</v>
      </c>
      <c r="E277">
        <v>52.06</v>
      </c>
      <c r="F277">
        <v>183.04</v>
      </c>
      <c r="G277">
        <v>52.065206000000003</v>
      </c>
      <c r="H277">
        <v>183.02169599999999</v>
      </c>
      <c r="I277">
        <v>-5.1399192028857126</v>
      </c>
      <c r="J277">
        <v>0.54272081108663817</v>
      </c>
      <c r="K277">
        <v>0.19208605455243949</v>
      </c>
      <c r="L277">
        <v>-2.9650393962338189E-2</v>
      </c>
      <c r="M277" t="s">
        <v>29</v>
      </c>
      <c r="N277">
        <v>3</v>
      </c>
      <c r="O277" t="s">
        <v>28</v>
      </c>
      <c r="P277">
        <v>46105</v>
      </c>
      <c r="Q277">
        <v>51.88</v>
      </c>
      <c r="R277">
        <v>179.79</v>
      </c>
      <c r="S277">
        <v>3.4071924163295568E-2</v>
      </c>
      <c r="T277">
        <v>6.1788290558160049E-2</v>
      </c>
      <c r="U277">
        <v>5.8715942863006937E-2</v>
      </c>
      <c r="V277">
        <v>3.0855330780110591E-3</v>
      </c>
      <c r="W277">
        <v>5.563040978499588E-2</v>
      </c>
      <c r="X277" s="19">
        <f t="shared" si="12"/>
        <v>46036</v>
      </c>
      <c r="Y277" s="19">
        <f t="shared" si="13"/>
        <v>46036</v>
      </c>
      <c r="Z277">
        <f t="array" ref="Z277">_xlfn.XLOOKUP(INT(X277),INT($AE$2:$AE$1000),$AG$2:$AG$1000,"")</f>
        <v>16.75</v>
      </c>
      <c r="AE277" s="19" t="e">
        <f t="shared" si="14"/>
        <v>#VALUE!</v>
      </c>
      <c r="AF277" s="19"/>
    </row>
    <row r="278" spans="1:32" x14ac:dyDescent="0.3">
      <c r="A278">
        <v>5</v>
      </c>
      <c r="B278" t="s">
        <v>30</v>
      </c>
      <c r="C278" t="s">
        <v>76</v>
      </c>
      <c r="D278">
        <v>46493</v>
      </c>
      <c r="E278">
        <v>51.99</v>
      </c>
      <c r="F278">
        <v>179.36</v>
      </c>
      <c r="G278">
        <v>51.984800999999997</v>
      </c>
      <c r="H278">
        <v>179.37793600000001</v>
      </c>
      <c r="I278">
        <v>3.7504264913229788</v>
      </c>
      <c r="J278">
        <v>0.54272081108663817</v>
      </c>
      <c r="K278">
        <v>-0.19234468166955179</v>
      </c>
      <c r="L278">
        <v>3.0258742812591329E-2</v>
      </c>
      <c r="M278" t="s">
        <v>27</v>
      </c>
      <c r="N278">
        <v>5</v>
      </c>
      <c r="O278" t="s">
        <v>28</v>
      </c>
      <c r="P278">
        <v>46498</v>
      </c>
      <c r="Q278">
        <v>52.085000000000001</v>
      </c>
      <c r="R278">
        <v>181.26</v>
      </c>
      <c r="S278">
        <v>-0.19357067283039259</v>
      </c>
      <c r="T278">
        <v>3.9218866585315627E-2</v>
      </c>
      <c r="U278">
        <v>3.6125848527532603E-2</v>
      </c>
      <c r="V278">
        <v>3.0853501663354941E-3</v>
      </c>
      <c r="W278">
        <v>3.3040498361197108E-2</v>
      </c>
      <c r="X278" s="19">
        <f t="shared" si="12"/>
        <v>46037</v>
      </c>
      <c r="Y278" s="19">
        <f t="shared" si="13"/>
        <v>46037</v>
      </c>
      <c r="Z278">
        <f t="array" ref="Z278">_xlfn.XLOOKUP(INT(X278),INT($AE$2:$AE$1000),$AG$2:$AG$1000,"")</f>
        <v>15.84</v>
      </c>
      <c r="AE278" s="19" t="e">
        <f t="shared" si="14"/>
        <v>#VALUE!</v>
      </c>
      <c r="AF278" s="19"/>
    </row>
    <row r="279" spans="1:32" x14ac:dyDescent="0.3">
      <c r="A279">
        <v>5</v>
      </c>
      <c r="B279" t="s">
        <v>30</v>
      </c>
      <c r="C279" t="s">
        <v>76</v>
      </c>
      <c r="D279">
        <v>46884</v>
      </c>
      <c r="E279">
        <v>51.994999999999997</v>
      </c>
      <c r="F279">
        <v>182.72</v>
      </c>
      <c r="G279">
        <v>52.000199499999987</v>
      </c>
      <c r="H279">
        <v>182.701728</v>
      </c>
      <c r="I279">
        <v>-3.8446993387112798</v>
      </c>
      <c r="J279">
        <v>0.54272081108663817</v>
      </c>
      <c r="K279">
        <v>0.19232618521011641</v>
      </c>
      <c r="L279">
        <v>-2.9702321097123369E-2</v>
      </c>
      <c r="M279" t="s">
        <v>29</v>
      </c>
      <c r="N279">
        <v>6</v>
      </c>
      <c r="O279" t="s">
        <v>28</v>
      </c>
      <c r="P279">
        <v>46890</v>
      </c>
      <c r="Q279">
        <v>52.195</v>
      </c>
      <c r="R279">
        <v>183.63</v>
      </c>
      <c r="S279">
        <v>-0.47159549984140398</v>
      </c>
      <c r="T279">
        <v>1.1436124843641661E-2</v>
      </c>
      <c r="U279">
        <v>8.344133786544871E-3</v>
      </c>
      <c r="V279">
        <v>3.0855330780110591E-3</v>
      </c>
      <c r="W279">
        <v>5.2586007085338119E-3</v>
      </c>
      <c r="X279" s="19">
        <f t="shared" si="12"/>
        <v>46038</v>
      </c>
      <c r="Y279" s="19">
        <f t="shared" si="13"/>
        <v>46038</v>
      </c>
      <c r="Z279">
        <f t="array" ref="Z279">_xlfn.XLOOKUP(INT(X279),INT($AE$2:$AE$1000),$AG$2:$AG$1000,"")</f>
        <v>15.86</v>
      </c>
      <c r="AE279" s="19" t="e">
        <f t="shared" si="14"/>
        <v>#VALUE!</v>
      </c>
      <c r="AF279" s="19"/>
    </row>
    <row r="280" spans="1:32" x14ac:dyDescent="0.3">
      <c r="A280">
        <v>5</v>
      </c>
      <c r="B280" t="s">
        <v>30</v>
      </c>
      <c r="C280" t="s">
        <v>76</v>
      </c>
      <c r="D280">
        <v>47273</v>
      </c>
      <c r="E280">
        <v>51.95</v>
      </c>
      <c r="F280">
        <v>182.43</v>
      </c>
      <c r="G280">
        <v>51.955195000000003</v>
      </c>
      <c r="H280">
        <v>182.41175699999999</v>
      </c>
      <c r="I280">
        <v>-3.854927360870994</v>
      </c>
      <c r="J280">
        <v>0.54272081108663817</v>
      </c>
      <c r="K280">
        <v>0.19249278152069299</v>
      </c>
      <c r="L280">
        <v>-2.9749537416359051E-2</v>
      </c>
      <c r="M280" t="s">
        <v>29</v>
      </c>
      <c r="N280">
        <v>6</v>
      </c>
      <c r="O280" t="s">
        <v>28</v>
      </c>
      <c r="P280">
        <v>47279</v>
      </c>
      <c r="Q280">
        <v>52.024999999999999</v>
      </c>
      <c r="R280">
        <v>182.4</v>
      </c>
      <c r="S280">
        <v>-0.1572172518197</v>
      </c>
      <c r="T280">
        <v>1.532944473654196E-2</v>
      </c>
      <c r="U280">
        <v>1.2242648667119599E-2</v>
      </c>
      <c r="V280">
        <v>3.0855330780110591E-3</v>
      </c>
      <c r="W280">
        <v>9.1571155891085384E-3</v>
      </c>
      <c r="X280" s="19">
        <f t="shared" si="12"/>
        <v>46041</v>
      </c>
      <c r="Y280" s="19">
        <f t="shared" si="13"/>
        <v>46041</v>
      </c>
      <c r="Z280">
        <f t="array" ref="Z280">_xlfn.XLOOKUP(INT(X280),INT($AE$2:$AE$1000),$AG$2:$AG$1000,"")</f>
        <v>18.84</v>
      </c>
      <c r="AE280" s="19" t="e">
        <f t="shared" si="14"/>
        <v>#VALUE!</v>
      </c>
      <c r="AF280" s="19"/>
    </row>
    <row r="281" spans="1:32" x14ac:dyDescent="0.3">
      <c r="A281">
        <v>5</v>
      </c>
      <c r="B281" t="s">
        <v>76</v>
      </c>
      <c r="C281" t="s">
        <v>32</v>
      </c>
      <c r="D281">
        <v>43501</v>
      </c>
      <c r="E281">
        <v>183.57</v>
      </c>
      <c r="F281">
        <v>54.115000000000002</v>
      </c>
      <c r="G281">
        <v>183.55164300000001</v>
      </c>
      <c r="H281">
        <v>54.120411500000003</v>
      </c>
      <c r="I281">
        <v>5.2945831769688043</v>
      </c>
      <c r="J281">
        <v>0.73571008103418623</v>
      </c>
      <c r="K281">
        <v>-5.4475132102195352E-2</v>
      </c>
      <c r="L281">
        <v>0.1359530778959967</v>
      </c>
      <c r="M281" t="s">
        <v>27</v>
      </c>
      <c r="N281">
        <v>23</v>
      </c>
      <c r="O281" t="s">
        <v>28</v>
      </c>
      <c r="P281">
        <v>43524</v>
      </c>
      <c r="Q281">
        <v>183.61500000000001</v>
      </c>
      <c r="R281">
        <v>54.034999999999997</v>
      </c>
      <c r="S281">
        <v>0.4935421167893535</v>
      </c>
      <c r="T281">
        <v>-1.3327627176280129E-2</v>
      </c>
      <c r="U281">
        <v>-1.6798204851820261E-2</v>
      </c>
      <c r="V281">
        <v>3.4713673040845791E-3</v>
      </c>
      <c r="W281">
        <v>-2.0269572155904841E-2</v>
      </c>
      <c r="X281" s="19">
        <f t="shared" si="12"/>
        <v>46027</v>
      </c>
      <c r="Y281" s="19">
        <f t="shared" si="13"/>
        <v>46027</v>
      </c>
      <c r="Z281">
        <f t="array" ref="Z281">_xlfn.XLOOKUP(INT(X281),INT($AE$2:$AE$1000),$AG$2:$AG$1000,"")</f>
        <v>14.9</v>
      </c>
      <c r="AE281" s="19" t="e">
        <f t="shared" si="14"/>
        <v>#VALUE!</v>
      </c>
      <c r="AF281" s="19"/>
    </row>
    <row r="282" spans="1:32" x14ac:dyDescent="0.3">
      <c r="A282">
        <v>5</v>
      </c>
      <c r="B282" t="s">
        <v>76</v>
      </c>
      <c r="C282" t="s">
        <v>32</v>
      </c>
      <c r="D282">
        <v>43564</v>
      </c>
      <c r="E282">
        <v>182.73</v>
      </c>
      <c r="F282">
        <v>53.96</v>
      </c>
      <c r="G282">
        <v>182.74827300000001</v>
      </c>
      <c r="H282">
        <v>53.954604000000003</v>
      </c>
      <c r="I282">
        <v>-3.5662908462718499</v>
      </c>
      <c r="J282">
        <v>0.73571008103418623</v>
      </c>
      <c r="K282">
        <v>5.4725551359929951E-2</v>
      </c>
      <c r="L282">
        <v>-0.13634360286030139</v>
      </c>
      <c r="M282" t="s">
        <v>29</v>
      </c>
      <c r="N282">
        <v>9</v>
      </c>
      <c r="O282" t="s">
        <v>28</v>
      </c>
      <c r="P282">
        <v>43573</v>
      </c>
      <c r="Q282">
        <v>183.13</v>
      </c>
      <c r="R282">
        <v>54.01</v>
      </c>
      <c r="S282">
        <v>-6.1429160128758507E-2</v>
      </c>
      <c r="T282">
        <v>1.507304040095761E-2</v>
      </c>
      <c r="U282">
        <v>1.1598749498821011E-2</v>
      </c>
      <c r="V282">
        <v>3.4714730200521662E-3</v>
      </c>
      <c r="W282">
        <v>8.1272764787688467E-3</v>
      </c>
      <c r="X282" s="19">
        <f t="shared" si="12"/>
        <v>46027</v>
      </c>
      <c r="Y282" s="19">
        <f t="shared" si="13"/>
        <v>46027</v>
      </c>
      <c r="Z282">
        <f t="array" ref="Z282">_xlfn.XLOOKUP(INT(X282),INT($AE$2:$AE$1000),$AG$2:$AG$1000,"")</f>
        <v>14.9</v>
      </c>
      <c r="AE282" s="19" t="e">
        <f t="shared" si="14"/>
        <v>#VALUE!</v>
      </c>
      <c r="AF282" s="19"/>
    </row>
    <row r="283" spans="1:32" x14ac:dyDescent="0.3">
      <c r="A283">
        <v>5</v>
      </c>
      <c r="B283" t="s">
        <v>76</v>
      </c>
      <c r="C283" t="s">
        <v>32</v>
      </c>
      <c r="D283">
        <v>43757</v>
      </c>
      <c r="E283">
        <v>181.28</v>
      </c>
      <c r="F283">
        <v>53.72</v>
      </c>
      <c r="G283">
        <v>181.29812799999999</v>
      </c>
      <c r="H283">
        <v>53.714627999999998</v>
      </c>
      <c r="I283">
        <v>-3.820351915752398</v>
      </c>
      <c r="J283">
        <v>0.73571008103418623</v>
      </c>
      <c r="K283">
        <v>5.5163283318623121E-2</v>
      </c>
      <c r="L283">
        <v>-0.13695273288052609</v>
      </c>
      <c r="M283" t="s">
        <v>29</v>
      </c>
      <c r="N283">
        <v>1</v>
      </c>
      <c r="O283" t="s">
        <v>28</v>
      </c>
      <c r="P283">
        <v>43758</v>
      </c>
      <c r="Q283">
        <v>181.68</v>
      </c>
      <c r="R283">
        <v>53.555</v>
      </c>
      <c r="S283">
        <v>0.18549604448262261</v>
      </c>
      <c r="T283">
        <v>4.4662514252736249E-2</v>
      </c>
      <c r="U283">
        <v>4.1191147279427839E-2</v>
      </c>
      <c r="V283">
        <v>3.4714730200521662E-3</v>
      </c>
      <c r="W283">
        <v>3.7719674259375682E-2</v>
      </c>
      <c r="X283" s="19">
        <f t="shared" si="12"/>
        <v>46028</v>
      </c>
      <c r="Y283" s="19">
        <f t="shared" si="13"/>
        <v>46028</v>
      </c>
      <c r="Z283">
        <f t="array" ref="Z283">_xlfn.XLOOKUP(INT(X283),INT($AE$2:$AE$1000),$AG$2:$AG$1000,"")</f>
        <v>14.75</v>
      </c>
      <c r="AE283" s="19" t="e">
        <f t="shared" si="14"/>
        <v>#VALUE!</v>
      </c>
      <c r="AF283" s="19"/>
    </row>
    <row r="284" spans="1:32" x14ac:dyDescent="0.3">
      <c r="A284">
        <v>5</v>
      </c>
      <c r="B284" t="s">
        <v>76</v>
      </c>
      <c r="C284" t="s">
        <v>32</v>
      </c>
      <c r="D284">
        <v>44138</v>
      </c>
      <c r="E284">
        <v>180.75</v>
      </c>
      <c r="F284">
        <v>53.465000000000003</v>
      </c>
      <c r="G284">
        <v>180.73192499999999</v>
      </c>
      <c r="H284">
        <v>53.470346500000012</v>
      </c>
      <c r="I284">
        <v>3.7514722373234028</v>
      </c>
      <c r="J284">
        <v>0.73571008103418623</v>
      </c>
      <c r="K284">
        <v>-5.5325034578146609E-2</v>
      </c>
      <c r="L284">
        <v>0.1376059255651709</v>
      </c>
      <c r="M284" t="s">
        <v>27</v>
      </c>
      <c r="N284">
        <v>31</v>
      </c>
      <c r="O284" t="s">
        <v>28</v>
      </c>
      <c r="P284">
        <v>44169</v>
      </c>
      <c r="Q284">
        <v>186.65</v>
      </c>
      <c r="R284">
        <v>53.9</v>
      </c>
      <c r="S284">
        <v>0.43853583943665758</v>
      </c>
      <c r="T284">
        <v>-0.26655912639021662</v>
      </c>
      <c r="U284">
        <v>-0.27006917418044868</v>
      </c>
      <c r="V284">
        <v>3.4713673040845791E-3</v>
      </c>
      <c r="W284">
        <v>-0.27354054148453327</v>
      </c>
      <c r="X284" s="19">
        <f t="shared" si="12"/>
        <v>46029</v>
      </c>
      <c r="Y284" s="19">
        <f t="shared" si="13"/>
        <v>46029</v>
      </c>
      <c r="Z284">
        <f t="array" ref="Z284">_xlfn.XLOOKUP(INT(X284),INT($AE$2:$AE$1000),$AG$2:$AG$1000,"")</f>
        <v>15.38</v>
      </c>
      <c r="AE284" s="19" t="e">
        <f t="shared" si="14"/>
        <v>#VALUE!</v>
      </c>
      <c r="AF284" s="19"/>
    </row>
    <row r="285" spans="1:32" x14ac:dyDescent="0.3">
      <c r="A285">
        <v>5</v>
      </c>
      <c r="B285" t="s">
        <v>76</v>
      </c>
      <c r="C285" t="s">
        <v>32</v>
      </c>
      <c r="D285">
        <v>44812</v>
      </c>
      <c r="E285">
        <v>191.53</v>
      </c>
      <c r="F285">
        <v>54.725000000000001</v>
      </c>
      <c r="G285">
        <v>191.51084700000001</v>
      </c>
      <c r="H285">
        <v>54.730472499999998</v>
      </c>
      <c r="I285">
        <v>3.6066587164096071</v>
      </c>
      <c r="J285">
        <v>0.73571008103418623</v>
      </c>
      <c r="K285">
        <v>-5.2211141857672429E-2</v>
      </c>
      <c r="L285">
        <v>0.13443765756677681</v>
      </c>
      <c r="M285" t="s">
        <v>27</v>
      </c>
      <c r="N285">
        <v>12</v>
      </c>
      <c r="O285" t="s">
        <v>28</v>
      </c>
      <c r="P285">
        <v>44824</v>
      </c>
      <c r="Q285">
        <v>191.31</v>
      </c>
      <c r="R285">
        <v>54.71</v>
      </c>
      <c r="S285">
        <v>0.13187442278154549</v>
      </c>
      <c r="T285">
        <v>9.4698863451861456E-3</v>
      </c>
      <c r="U285">
        <v>5.9998164847267534E-3</v>
      </c>
      <c r="V285">
        <v>3.4713673040845791E-3</v>
      </c>
      <c r="W285">
        <v>2.5284491806421738E-3</v>
      </c>
      <c r="X285" s="19">
        <f t="shared" si="12"/>
        <v>46030</v>
      </c>
      <c r="Y285" s="19">
        <f t="shared" si="13"/>
        <v>46030</v>
      </c>
      <c r="Z285">
        <f t="array" ref="Z285">_xlfn.XLOOKUP(INT(X285),INT($AE$2:$AE$1000),$AG$2:$AG$1000,"")</f>
        <v>15.45</v>
      </c>
      <c r="AE285" s="19" t="e">
        <f t="shared" si="14"/>
        <v>#VALUE!</v>
      </c>
    </row>
    <row r="286" spans="1:32" x14ac:dyDescent="0.3">
      <c r="A286">
        <v>5</v>
      </c>
      <c r="B286" t="s">
        <v>76</v>
      </c>
      <c r="C286" t="s">
        <v>32</v>
      </c>
      <c r="D286">
        <v>44931</v>
      </c>
      <c r="E286">
        <v>185</v>
      </c>
      <c r="F286">
        <v>53.92</v>
      </c>
      <c r="G286">
        <v>185.01849999999999</v>
      </c>
      <c r="H286">
        <v>53.914608000000001</v>
      </c>
      <c r="I286">
        <v>-4.8963596709112949</v>
      </c>
      <c r="J286">
        <v>0.73571008103418623</v>
      </c>
      <c r="K286">
        <v>5.4054054054054057E-2</v>
      </c>
      <c r="L286">
        <v>-0.13644474796628081</v>
      </c>
      <c r="M286" t="s">
        <v>29</v>
      </c>
      <c r="N286">
        <v>22</v>
      </c>
      <c r="O286" t="s">
        <v>28</v>
      </c>
      <c r="P286">
        <v>44953</v>
      </c>
      <c r="Q286">
        <v>185.53</v>
      </c>
      <c r="R286">
        <v>54.73</v>
      </c>
      <c r="S286">
        <v>-0.47141913319968348</v>
      </c>
      <c r="T286">
        <v>-8.1871597204038082E-2</v>
      </c>
      <c r="U286">
        <v>-8.5356934255556183E-2</v>
      </c>
      <c r="V286">
        <v>3.4714730200521662E-3</v>
      </c>
      <c r="W286">
        <v>-8.8828407275608354E-2</v>
      </c>
      <c r="X286" s="19">
        <f t="shared" si="12"/>
        <v>46031</v>
      </c>
      <c r="Y286" s="19">
        <f t="shared" si="13"/>
        <v>46031</v>
      </c>
      <c r="Z286">
        <f t="array" ref="Z286">_xlfn.XLOOKUP(INT(X286),INT($AE$2:$AE$1000),$AG$2:$AG$1000,"")</f>
        <v>14.49</v>
      </c>
      <c r="AE286" s="19" t="e">
        <f t="shared" si="14"/>
        <v>#VALUE!</v>
      </c>
    </row>
    <row r="287" spans="1:32" x14ac:dyDescent="0.3">
      <c r="A287">
        <v>5</v>
      </c>
      <c r="B287" t="s">
        <v>76</v>
      </c>
      <c r="C287" t="s">
        <v>32</v>
      </c>
      <c r="D287">
        <v>45323</v>
      </c>
      <c r="E287">
        <v>182.77500000000001</v>
      </c>
      <c r="F287">
        <v>55.244999999999997</v>
      </c>
      <c r="G287">
        <v>182.79327749999999</v>
      </c>
      <c r="H287">
        <v>55.239475499999998</v>
      </c>
      <c r="I287">
        <v>-4.0796832532228704</v>
      </c>
      <c r="J287">
        <v>0.73571008103418623</v>
      </c>
      <c r="K287">
        <v>5.4712077691150322E-2</v>
      </c>
      <c r="L287">
        <v>-0.13317224744939571</v>
      </c>
      <c r="M287" t="s">
        <v>29</v>
      </c>
      <c r="N287">
        <v>22</v>
      </c>
      <c r="O287" t="s">
        <v>28</v>
      </c>
      <c r="P287">
        <v>45345</v>
      </c>
      <c r="Q287">
        <v>183.25</v>
      </c>
      <c r="R287">
        <v>55.57</v>
      </c>
      <c r="S287">
        <v>-0.26771985939355131</v>
      </c>
      <c r="T287">
        <v>-1.7292743517757871E-2</v>
      </c>
      <c r="U287">
        <v>-2.0771090601558961E-2</v>
      </c>
      <c r="V287">
        <v>3.4714730200521662E-3</v>
      </c>
      <c r="W287">
        <v>-2.4242563621611129E-2</v>
      </c>
      <c r="X287" s="19">
        <f t="shared" si="12"/>
        <v>46034</v>
      </c>
      <c r="Y287" s="19">
        <f t="shared" si="13"/>
        <v>46034</v>
      </c>
      <c r="Z287">
        <f t="array" ref="Z287">_xlfn.XLOOKUP(INT(X287),INT($AE$2:$AE$1000),$AG$2:$AG$1000,"")</f>
        <v>15.12</v>
      </c>
      <c r="AE287" s="19" t="e">
        <f t="shared" si="14"/>
        <v>#VALUE!</v>
      </c>
    </row>
    <row r="288" spans="1:32" x14ac:dyDescent="0.3">
      <c r="A288">
        <v>5</v>
      </c>
      <c r="B288" t="s">
        <v>76</v>
      </c>
      <c r="C288" t="s">
        <v>32</v>
      </c>
      <c r="D288">
        <v>46105</v>
      </c>
      <c r="E288">
        <v>179.79</v>
      </c>
      <c r="F288">
        <v>55.78</v>
      </c>
      <c r="G288">
        <v>179.80797899999999</v>
      </c>
      <c r="H288">
        <v>55.774422000000001</v>
      </c>
      <c r="I288">
        <v>-3.6709649661979769</v>
      </c>
      <c r="J288">
        <v>0.73571008103418623</v>
      </c>
      <c r="K288">
        <v>5.5620446075977527E-2</v>
      </c>
      <c r="L288">
        <v>-0.1318949589519875</v>
      </c>
      <c r="M288" t="s">
        <v>29</v>
      </c>
      <c r="N288">
        <v>16</v>
      </c>
      <c r="O288" t="s">
        <v>28</v>
      </c>
      <c r="P288">
        <v>46121</v>
      </c>
      <c r="Q288">
        <v>180.06</v>
      </c>
      <c r="R288">
        <v>55.685000000000002</v>
      </c>
      <c r="S288">
        <v>-0.44598103504845632</v>
      </c>
      <c r="T288">
        <v>2.7547541540953169E-2</v>
      </c>
      <c r="U288">
        <v>2.4075872628951452E-2</v>
      </c>
      <c r="V288">
        <v>3.4714730200521662E-3</v>
      </c>
      <c r="W288">
        <v>2.0604399608899291E-2</v>
      </c>
      <c r="X288" s="19">
        <f t="shared" si="12"/>
        <v>46036</v>
      </c>
      <c r="Y288" s="19">
        <f t="shared" si="13"/>
        <v>46036</v>
      </c>
      <c r="Z288">
        <f t="array" ref="Z288">_xlfn.XLOOKUP(INT(X288),INT($AE$2:$AE$1000),$AG$2:$AG$1000,"")</f>
        <v>16.75</v>
      </c>
      <c r="AE288" s="19" t="e">
        <f t="shared" si="14"/>
        <v>#VALUE!</v>
      </c>
    </row>
    <row r="289" spans="1:32" x14ac:dyDescent="0.3">
      <c r="A289">
        <v>5</v>
      </c>
      <c r="B289" t="s">
        <v>76</v>
      </c>
      <c r="C289" t="s">
        <v>32</v>
      </c>
      <c r="D289">
        <v>46495</v>
      </c>
      <c r="E289">
        <v>181.02500000000001</v>
      </c>
      <c r="F289">
        <v>55.86</v>
      </c>
      <c r="G289">
        <v>181.00689750000001</v>
      </c>
      <c r="H289">
        <v>55.865586</v>
      </c>
      <c r="I289">
        <v>4.272218227395312</v>
      </c>
      <c r="J289">
        <v>0.73571008103418623</v>
      </c>
      <c r="K289">
        <v>-5.5240988813699772E-2</v>
      </c>
      <c r="L289">
        <v>0.13170606534804619</v>
      </c>
      <c r="M289" t="s">
        <v>27</v>
      </c>
      <c r="N289">
        <v>21</v>
      </c>
      <c r="O289" t="s">
        <v>28</v>
      </c>
      <c r="P289">
        <v>46516</v>
      </c>
      <c r="Q289">
        <v>181.17</v>
      </c>
      <c r="R289">
        <v>55.97</v>
      </c>
      <c r="S289">
        <v>0.34969473182047262</v>
      </c>
      <c r="T289">
        <v>6.4777238102995474E-3</v>
      </c>
      <c r="U289">
        <v>3.004053887174913E-3</v>
      </c>
      <c r="V289">
        <v>3.4713673040845791E-3</v>
      </c>
      <c r="W289">
        <v>-4.6731341690966609E-4</v>
      </c>
      <c r="X289" s="19">
        <f t="shared" si="12"/>
        <v>46037</v>
      </c>
      <c r="Y289" s="19">
        <f t="shared" si="13"/>
        <v>46037</v>
      </c>
      <c r="Z289">
        <f t="array" ref="Z289">_xlfn.XLOOKUP(INT(X289),INT($AE$2:$AE$1000),$AG$2:$AG$1000,"")</f>
        <v>15.84</v>
      </c>
      <c r="AE289" s="19" t="e">
        <f t="shared" si="14"/>
        <v>#VALUE!</v>
      </c>
    </row>
    <row r="290" spans="1:32" x14ac:dyDescent="0.3">
      <c r="A290">
        <v>5</v>
      </c>
      <c r="B290" t="s">
        <v>76</v>
      </c>
      <c r="C290" t="s">
        <v>32</v>
      </c>
      <c r="D290">
        <v>46884</v>
      </c>
      <c r="E290">
        <v>182.72</v>
      </c>
      <c r="F290">
        <v>55.94</v>
      </c>
      <c r="G290">
        <v>182.701728</v>
      </c>
      <c r="H290">
        <v>55.945594</v>
      </c>
      <c r="I290">
        <v>4.3165573700531308</v>
      </c>
      <c r="J290">
        <v>0.73571008103418623</v>
      </c>
      <c r="K290">
        <v>-5.4728546409807358E-2</v>
      </c>
      <c r="L290">
        <v>0.13151771201898221</v>
      </c>
      <c r="M290" t="s">
        <v>27</v>
      </c>
      <c r="N290">
        <v>10</v>
      </c>
      <c r="O290" t="s">
        <v>28</v>
      </c>
      <c r="P290">
        <v>46894</v>
      </c>
      <c r="Q290">
        <v>183.065</v>
      </c>
      <c r="R290">
        <v>56.15</v>
      </c>
      <c r="S290">
        <v>0.39009845559226919</v>
      </c>
      <c r="T290">
        <v>8.7373710126028882E-3</v>
      </c>
      <c r="U290">
        <v>5.2613008437313903E-3</v>
      </c>
      <c r="V290">
        <v>3.4713673040845791E-3</v>
      </c>
      <c r="W290">
        <v>1.789933539646811E-3</v>
      </c>
      <c r="X290" s="19">
        <f t="shared" si="12"/>
        <v>46038</v>
      </c>
      <c r="Y290" s="19">
        <f t="shared" si="13"/>
        <v>46038</v>
      </c>
      <c r="Z290">
        <f t="array" ref="Z290">_xlfn.XLOOKUP(INT(X290),INT($AE$2:$AE$1000),$AG$2:$AG$1000,"")</f>
        <v>15.86</v>
      </c>
      <c r="AE290" s="19" t="e">
        <f t="shared" si="14"/>
        <v>#VALUE!</v>
      </c>
    </row>
    <row r="291" spans="1:32" x14ac:dyDescent="0.3">
      <c r="A291">
        <v>5</v>
      </c>
      <c r="B291" t="s">
        <v>87</v>
      </c>
      <c r="C291" t="s">
        <v>31</v>
      </c>
      <c r="D291">
        <v>43501</v>
      </c>
      <c r="E291">
        <v>117.22</v>
      </c>
      <c r="F291">
        <v>94.52</v>
      </c>
      <c r="G291">
        <v>117.231722</v>
      </c>
      <c r="H291">
        <v>94.510548</v>
      </c>
      <c r="I291">
        <v>-5.2946505751867567</v>
      </c>
      <c r="J291">
        <v>1.595454876936593</v>
      </c>
      <c r="K291">
        <v>8.5309674117044876E-2</v>
      </c>
      <c r="L291">
        <v>-0.16879547999752359</v>
      </c>
      <c r="M291" t="s">
        <v>29</v>
      </c>
      <c r="N291">
        <v>23</v>
      </c>
      <c r="O291" t="s">
        <v>28</v>
      </c>
      <c r="P291">
        <v>43524</v>
      </c>
      <c r="Q291">
        <v>117.125</v>
      </c>
      <c r="R291">
        <v>94.51</v>
      </c>
      <c r="S291">
        <v>-0.49256026415638288</v>
      </c>
      <c r="T291">
        <v>-6.4164642411454666E-3</v>
      </c>
      <c r="U291">
        <v>-1.160639475763306E-2</v>
      </c>
      <c r="V291">
        <v>5.190790662897799E-3</v>
      </c>
      <c r="W291">
        <v>-1.6797185420530859E-2</v>
      </c>
      <c r="X291" s="19">
        <f t="shared" si="12"/>
        <v>46027</v>
      </c>
      <c r="Y291" s="19">
        <f t="shared" si="13"/>
        <v>46027</v>
      </c>
      <c r="Z291">
        <f t="array" ref="Z291">_xlfn.XLOOKUP(INT(X291),INT($AE$2:$AE$1000),$AG$2:$AG$1000,"")</f>
        <v>14.9</v>
      </c>
      <c r="AE291" s="19" t="e">
        <f t="shared" si="14"/>
        <v>#VALUE!</v>
      </c>
    </row>
    <row r="292" spans="1:32" x14ac:dyDescent="0.3">
      <c r="A292">
        <v>5</v>
      </c>
      <c r="B292" t="s">
        <v>87</v>
      </c>
      <c r="C292" t="s">
        <v>31</v>
      </c>
      <c r="D292">
        <v>43674</v>
      </c>
      <c r="E292">
        <v>116.22499999999999</v>
      </c>
      <c r="F292">
        <v>93.174999999999997</v>
      </c>
      <c r="G292">
        <v>116.21337750000001</v>
      </c>
      <c r="H292">
        <v>93.184317499999992</v>
      </c>
      <c r="I292">
        <v>3.6451096162304681</v>
      </c>
      <c r="J292">
        <v>1.595454876936593</v>
      </c>
      <c r="K292">
        <v>-8.6040008604000864E-2</v>
      </c>
      <c r="L292">
        <v>0.1712320769451669</v>
      </c>
      <c r="M292" t="s">
        <v>27</v>
      </c>
      <c r="N292">
        <v>9</v>
      </c>
      <c r="O292" t="s">
        <v>28</v>
      </c>
      <c r="P292">
        <v>43683</v>
      </c>
      <c r="Q292">
        <v>116.23</v>
      </c>
      <c r="R292">
        <v>93.34</v>
      </c>
      <c r="S292">
        <v>0.3828852521901922</v>
      </c>
      <c r="T292">
        <v>2.7823092652932781E-2</v>
      </c>
      <c r="U292">
        <v>2.2629314549787258E-2</v>
      </c>
      <c r="V292">
        <v>5.1910288448485734E-3</v>
      </c>
      <c r="W292">
        <v>1.7438285704938689E-2</v>
      </c>
      <c r="X292" s="19">
        <f t="shared" si="12"/>
        <v>46027</v>
      </c>
      <c r="Y292" s="19">
        <f t="shared" si="13"/>
        <v>46028</v>
      </c>
      <c r="Z292">
        <f t="array" ref="Z292">_xlfn.XLOOKUP(INT(X292),INT($AE$2:$AE$1000),$AG$2:$AG$1000,"")</f>
        <v>14.9</v>
      </c>
      <c r="AE292" s="19" t="e">
        <f t="shared" si="14"/>
        <v>#VALUE!</v>
      </c>
    </row>
    <row r="293" spans="1:32" x14ac:dyDescent="0.3">
      <c r="A293">
        <v>5</v>
      </c>
      <c r="B293" t="s">
        <v>87</v>
      </c>
      <c r="C293" t="s">
        <v>31</v>
      </c>
      <c r="D293">
        <v>43730</v>
      </c>
      <c r="E293">
        <v>115.845</v>
      </c>
      <c r="F293">
        <v>93.584999999999994</v>
      </c>
      <c r="G293">
        <v>115.8565845</v>
      </c>
      <c r="H293">
        <v>93.575641499999989</v>
      </c>
      <c r="I293">
        <v>-3.9196585938166839</v>
      </c>
      <c r="J293">
        <v>1.595454876936593</v>
      </c>
      <c r="K293">
        <v>8.6322240925374424E-2</v>
      </c>
      <c r="L293">
        <v>-0.17048190168687211</v>
      </c>
      <c r="M293" t="s">
        <v>29</v>
      </c>
      <c r="N293">
        <v>9</v>
      </c>
      <c r="O293" t="s">
        <v>28</v>
      </c>
      <c r="P293">
        <v>43739</v>
      </c>
      <c r="Q293">
        <v>116.34</v>
      </c>
      <c r="R293">
        <v>93.51</v>
      </c>
      <c r="S293">
        <v>0.23299994477142641</v>
      </c>
      <c r="T293">
        <v>5.5515651884574198E-2</v>
      </c>
      <c r="U293">
        <v>5.0321747794037988E-2</v>
      </c>
      <c r="V293">
        <v>5.190790662897799E-3</v>
      </c>
      <c r="W293">
        <v>4.5130957131140188E-2</v>
      </c>
      <c r="X293" s="19">
        <f t="shared" si="12"/>
        <v>46028</v>
      </c>
      <c r="Y293" s="19">
        <f t="shared" si="13"/>
        <v>46028</v>
      </c>
      <c r="Z293">
        <f t="array" ref="Z293">_xlfn.XLOOKUP(INT(X293),INT($AE$2:$AE$1000),$AG$2:$AG$1000,"")</f>
        <v>14.75</v>
      </c>
      <c r="AE293" s="19" t="e">
        <f t="shared" si="14"/>
        <v>#VALUE!</v>
      </c>
    </row>
    <row r="294" spans="1:32" x14ac:dyDescent="0.3">
      <c r="A294">
        <v>5</v>
      </c>
      <c r="B294" t="s">
        <v>87</v>
      </c>
      <c r="C294" t="s">
        <v>31</v>
      </c>
      <c r="D294">
        <v>43755</v>
      </c>
      <c r="E294">
        <v>118.12</v>
      </c>
      <c r="F294">
        <v>90.31</v>
      </c>
      <c r="G294">
        <v>118.108188</v>
      </c>
      <c r="H294">
        <v>90.319030999999995</v>
      </c>
      <c r="I294">
        <v>4.6165779187206279</v>
      </c>
      <c r="J294">
        <v>1.595454876936593</v>
      </c>
      <c r="K294">
        <v>-8.4659668134100904E-2</v>
      </c>
      <c r="L294">
        <v>0.17666425389620119</v>
      </c>
      <c r="M294" t="s">
        <v>27</v>
      </c>
      <c r="N294">
        <v>17</v>
      </c>
      <c r="O294" t="s">
        <v>28</v>
      </c>
      <c r="P294">
        <v>43772</v>
      </c>
      <c r="Q294">
        <v>114.72</v>
      </c>
      <c r="R294">
        <v>89.36</v>
      </c>
      <c r="S294">
        <v>0.48634054673065702</v>
      </c>
      <c r="T294">
        <v>0.12001183045455199</v>
      </c>
      <c r="U294">
        <v>0.1148664880919656</v>
      </c>
      <c r="V294">
        <v>5.1910288448485734E-3</v>
      </c>
      <c r="W294">
        <v>0.10967545924711709</v>
      </c>
      <c r="X294" s="19">
        <f t="shared" si="12"/>
        <v>46028</v>
      </c>
      <c r="Y294" s="19">
        <f t="shared" si="13"/>
        <v>46028</v>
      </c>
      <c r="Z294">
        <f t="array" ref="Z294">_xlfn.XLOOKUP(INT(X294),INT($AE$2:$AE$1000),$AG$2:$AG$1000,"")</f>
        <v>14.75</v>
      </c>
      <c r="AE294" s="19" t="e">
        <f t="shared" si="14"/>
        <v>#VALUE!</v>
      </c>
    </row>
    <row r="295" spans="1:32" x14ac:dyDescent="0.3">
      <c r="A295">
        <v>5</v>
      </c>
      <c r="B295" t="s">
        <v>87</v>
      </c>
      <c r="C295" t="s">
        <v>31</v>
      </c>
      <c r="D295">
        <v>44148</v>
      </c>
      <c r="E295">
        <v>114.34</v>
      </c>
      <c r="F295">
        <v>89.26</v>
      </c>
      <c r="G295">
        <v>114.328566</v>
      </c>
      <c r="H295">
        <v>89.268926000000008</v>
      </c>
      <c r="I295">
        <v>4.7288939074293186</v>
      </c>
      <c r="J295">
        <v>1.595454876936593</v>
      </c>
      <c r="K295">
        <v>-8.745845723281441E-2</v>
      </c>
      <c r="L295">
        <v>0.1787424240350205</v>
      </c>
      <c r="M295" t="s">
        <v>27</v>
      </c>
      <c r="N295">
        <v>36</v>
      </c>
      <c r="O295" t="s">
        <v>28</v>
      </c>
      <c r="P295">
        <v>44184</v>
      </c>
      <c r="Q295">
        <v>116.43</v>
      </c>
      <c r="R295">
        <v>89.14</v>
      </c>
      <c r="S295">
        <v>0.28501691627134368</v>
      </c>
      <c r="T295">
        <v>-0.20423726650078569</v>
      </c>
      <c r="U295">
        <v>-0.20944431016313211</v>
      </c>
      <c r="V295">
        <v>5.1910288448485734E-3</v>
      </c>
      <c r="W295">
        <v>-0.21463533900798071</v>
      </c>
      <c r="X295" s="19">
        <f t="shared" si="12"/>
        <v>46029</v>
      </c>
      <c r="Y295" s="19">
        <f t="shared" si="13"/>
        <v>46029</v>
      </c>
      <c r="Z295">
        <f t="array" ref="Z295">_xlfn.XLOOKUP(INT(X295),INT($AE$2:$AE$1000),$AG$2:$AG$1000,"")</f>
        <v>15.38</v>
      </c>
      <c r="AE295" s="19" t="e">
        <f t="shared" si="14"/>
        <v>#VALUE!</v>
      </c>
    </row>
    <row r="296" spans="1:32" x14ac:dyDescent="0.3">
      <c r="A296">
        <v>5</v>
      </c>
      <c r="B296" t="s">
        <v>87</v>
      </c>
      <c r="C296" t="s">
        <v>31</v>
      </c>
      <c r="D296">
        <v>44541</v>
      </c>
      <c r="E296">
        <v>119.11</v>
      </c>
      <c r="F296">
        <v>89.31</v>
      </c>
      <c r="G296">
        <v>119.098089</v>
      </c>
      <c r="H296">
        <v>89.318931000000006</v>
      </c>
      <c r="I296">
        <v>3.575930273395763</v>
      </c>
      <c r="J296">
        <v>1.595454876936593</v>
      </c>
      <c r="K296">
        <v>-8.395600705230459E-2</v>
      </c>
      <c r="L296">
        <v>0.17864235549620339</v>
      </c>
      <c r="M296" t="s">
        <v>27</v>
      </c>
      <c r="N296">
        <v>8</v>
      </c>
      <c r="O296" t="s">
        <v>28</v>
      </c>
      <c r="P296">
        <v>44549</v>
      </c>
      <c r="Q296">
        <v>119.19</v>
      </c>
      <c r="R296">
        <v>89.55</v>
      </c>
      <c r="S296">
        <v>0.45508621039091962</v>
      </c>
      <c r="T296">
        <v>3.6157684754903677E-2</v>
      </c>
      <c r="U296">
        <v>3.0961815936442282E-2</v>
      </c>
      <c r="V296">
        <v>5.1910288448485734E-3</v>
      </c>
      <c r="W296">
        <v>2.5770787091593712E-2</v>
      </c>
      <c r="X296" s="19">
        <f t="shared" si="12"/>
        <v>46030</v>
      </c>
      <c r="Y296" s="19">
        <f t="shared" si="13"/>
        <v>46030</v>
      </c>
      <c r="Z296">
        <f t="array" ref="Z296">_xlfn.XLOOKUP(INT(X296),INT($AE$2:$AE$1000),$AG$2:$AG$1000,"")</f>
        <v>15.45</v>
      </c>
      <c r="AE296" s="19" t="e">
        <f t="shared" si="14"/>
        <v>#VALUE!</v>
      </c>
      <c r="AF296" s="19"/>
    </row>
    <row r="297" spans="1:32" x14ac:dyDescent="0.3">
      <c r="A297">
        <v>5</v>
      </c>
      <c r="B297" t="s">
        <v>87</v>
      </c>
      <c r="C297" t="s">
        <v>31</v>
      </c>
      <c r="D297">
        <v>44837</v>
      </c>
      <c r="E297">
        <v>118.55500000000001</v>
      </c>
      <c r="F297">
        <v>88.76</v>
      </c>
      <c r="G297">
        <v>118.5431445</v>
      </c>
      <c r="H297">
        <v>88.768876000000006</v>
      </c>
      <c r="I297">
        <v>3.8613974642095532</v>
      </c>
      <c r="J297">
        <v>1.595454876936593</v>
      </c>
      <c r="K297">
        <v>-8.4349036312260123E-2</v>
      </c>
      <c r="L297">
        <v>0.1797493101550916</v>
      </c>
      <c r="M297" t="s">
        <v>27</v>
      </c>
      <c r="N297">
        <v>8</v>
      </c>
      <c r="O297" t="s">
        <v>28</v>
      </c>
      <c r="P297">
        <v>44845</v>
      </c>
      <c r="Q297">
        <v>118.55</v>
      </c>
      <c r="R297">
        <v>88.85</v>
      </c>
      <c r="S297">
        <v>0.43567614126260229</v>
      </c>
      <c r="T297">
        <v>1.659918309551842E-2</v>
      </c>
      <c r="U297">
        <v>1.1406697772373849E-2</v>
      </c>
      <c r="V297">
        <v>5.1910288448485734E-3</v>
      </c>
      <c r="W297">
        <v>6.2156689275252716E-3</v>
      </c>
      <c r="X297" s="19">
        <f t="shared" si="12"/>
        <v>46030</v>
      </c>
      <c r="Y297" s="19">
        <f t="shared" si="13"/>
        <v>46030</v>
      </c>
      <c r="Z297">
        <f t="array" ref="Z297">_xlfn.XLOOKUP(INT(X297),INT($AE$2:$AE$1000),$AG$2:$AG$1000,"")</f>
        <v>15.45</v>
      </c>
      <c r="AE297" s="19" t="e">
        <f t="shared" si="14"/>
        <v>#VALUE!</v>
      </c>
      <c r="AF297" s="19"/>
    </row>
    <row r="298" spans="1:32" x14ac:dyDescent="0.3">
      <c r="A298">
        <v>5</v>
      </c>
      <c r="B298" t="s">
        <v>87</v>
      </c>
      <c r="C298" t="s">
        <v>31</v>
      </c>
      <c r="D298">
        <v>44858</v>
      </c>
      <c r="E298">
        <v>118.72</v>
      </c>
      <c r="F298">
        <v>88.66</v>
      </c>
      <c r="G298">
        <v>118.708128</v>
      </c>
      <c r="H298">
        <v>88.668865999999994</v>
      </c>
      <c r="I298">
        <v>3.560580375629625</v>
      </c>
      <c r="J298">
        <v>1.595454876936593</v>
      </c>
      <c r="K298">
        <v>-8.4231805929919135E-2</v>
      </c>
      <c r="L298">
        <v>0.17995205018459201</v>
      </c>
      <c r="M298" t="s">
        <v>27</v>
      </c>
      <c r="N298">
        <v>6</v>
      </c>
      <c r="O298" t="s">
        <v>28</v>
      </c>
      <c r="P298">
        <v>44864</v>
      </c>
      <c r="Q298">
        <v>118.52500000000001</v>
      </c>
      <c r="R298">
        <v>88.724999999999994</v>
      </c>
      <c r="S298">
        <v>0.42946286581679521</v>
      </c>
      <c r="T298">
        <v>2.8122085418331728E-2</v>
      </c>
      <c r="U298">
        <v>2.2931648496349221E-2</v>
      </c>
      <c r="V298">
        <v>5.1910288448485734E-3</v>
      </c>
      <c r="W298">
        <v>1.7740619651500651E-2</v>
      </c>
      <c r="X298" s="19">
        <f t="shared" si="12"/>
        <v>46031</v>
      </c>
      <c r="Y298" s="19">
        <f t="shared" si="13"/>
        <v>46031</v>
      </c>
      <c r="Z298">
        <f t="array" ref="Z298">_xlfn.XLOOKUP(INT(X298),INT($AE$2:$AE$1000),$AG$2:$AG$1000,"")</f>
        <v>14.49</v>
      </c>
      <c r="AE298" s="19" t="e">
        <f t="shared" si="14"/>
        <v>#VALUE!</v>
      </c>
      <c r="AF298" s="19"/>
    </row>
    <row r="299" spans="1:32" x14ac:dyDescent="0.3">
      <c r="A299">
        <v>5</v>
      </c>
      <c r="B299" t="s">
        <v>87</v>
      </c>
      <c r="C299" t="s">
        <v>31</v>
      </c>
      <c r="D299">
        <v>44937</v>
      </c>
      <c r="E299">
        <v>115.125</v>
      </c>
      <c r="F299">
        <v>87.724999999999994</v>
      </c>
      <c r="G299">
        <v>115.13651249999999</v>
      </c>
      <c r="H299">
        <v>87.716227500000002</v>
      </c>
      <c r="I299">
        <v>-3.500885227245341</v>
      </c>
      <c r="J299">
        <v>1.595454876936593</v>
      </c>
      <c r="K299">
        <v>8.6862106406080344E-2</v>
      </c>
      <c r="L299">
        <v>-0.18187003441853439</v>
      </c>
      <c r="M299" t="s">
        <v>29</v>
      </c>
      <c r="N299">
        <v>18</v>
      </c>
      <c r="O299" t="s">
        <v>28</v>
      </c>
      <c r="P299">
        <v>44955</v>
      </c>
      <c r="Q299">
        <v>114.95</v>
      </c>
      <c r="R299">
        <v>87.66</v>
      </c>
      <c r="S299">
        <v>-0.42205903081060309</v>
      </c>
      <c r="T299">
        <v>-3.3793163838594909E-3</v>
      </c>
      <c r="U299">
        <v>-8.567523895643624E-3</v>
      </c>
      <c r="V299">
        <v>5.190790662897799E-3</v>
      </c>
      <c r="W299">
        <v>-1.375831455854142E-2</v>
      </c>
      <c r="X299" s="19">
        <f t="shared" si="12"/>
        <v>46031</v>
      </c>
      <c r="Y299" s="19">
        <f t="shared" si="13"/>
        <v>46031</v>
      </c>
      <c r="Z299">
        <f t="array" ref="Z299">_xlfn.XLOOKUP(INT(X299),INT($AE$2:$AE$1000),$AG$2:$AG$1000,"")</f>
        <v>14.49</v>
      </c>
      <c r="AE299" s="19" t="e">
        <f t="shared" si="14"/>
        <v>#VALUE!</v>
      </c>
      <c r="AF299" s="19"/>
    </row>
    <row r="300" spans="1:32" x14ac:dyDescent="0.3">
      <c r="A300">
        <v>5</v>
      </c>
      <c r="B300" t="s">
        <v>87</v>
      </c>
      <c r="C300" t="s">
        <v>31</v>
      </c>
      <c r="D300">
        <v>45321</v>
      </c>
      <c r="E300">
        <v>113.73</v>
      </c>
      <c r="F300">
        <v>86.66</v>
      </c>
      <c r="G300">
        <v>113.718627</v>
      </c>
      <c r="H300">
        <v>86.668666000000002</v>
      </c>
      <c r="I300">
        <v>3.9742177994555248</v>
      </c>
      <c r="J300">
        <v>1.595454876936593</v>
      </c>
      <c r="K300">
        <v>-8.7927547700694622E-2</v>
      </c>
      <c r="L300">
        <v>0.18410510927032001</v>
      </c>
      <c r="M300" t="s">
        <v>27</v>
      </c>
      <c r="N300">
        <v>2</v>
      </c>
      <c r="O300" t="s">
        <v>28</v>
      </c>
      <c r="P300">
        <v>45323</v>
      </c>
      <c r="Q300">
        <v>113.68</v>
      </c>
      <c r="R300">
        <v>86.93</v>
      </c>
      <c r="S300">
        <v>0.1179609084150508</v>
      </c>
      <c r="T300">
        <v>5.4104756888022763E-2</v>
      </c>
      <c r="U300">
        <v>4.8909315933938283E-2</v>
      </c>
      <c r="V300">
        <v>5.1910288448485734E-3</v>
      </c>
      <c r="W300">
        <v>4.3718287089089709E-2</v>
      </c>
      <c r="X300" s="19">
        <f t="shared" si="12"/>
        <v>46034</v>
      </c>
      <c r="Y300" s="19">
        <f t="shared" si="13"/>
        <v>46034</v>
      </c>
      <c r="Z300">
        <f t="array" ref="Z300">_xlfn.XLOOKUP(INT(X300),INT($AE$2:$AE$1000),$AG$2:$AG$1000,"")</f>
        <v>15.12</v>
      </c>
      <c r="AE300" s="19" t="e">
        <f t="shared" si="14"/>
        <v>#VALUE!</v>
      </c>
      <c r="AF300" s="19"/>
    </row>
    <row r="301" spans="1:32" x14ac:dyDescent="0.3">
      <c r="A301">
        <v>5</v>
      </c>
      <c r="B301" t="s">
        <v>87</v>
      </c>
      <c r="C301" t="s">
        <v>31</v>
      </c>
      <c r="D301">
        <v>45713</v>
      </c>
      <c r="E301">
        <v>113.87</v>
      </c>
      <c r="F301">
        <v>86.74</v>
      </c>
      <c r="G301">
        <v>113.881387</v>
      </c>
      <c r="H301">
        <v>86.731325999999996</v>
      </c>
      <c r="I301">
        <v>-3.6040210544533888</v>
      </c>
      <c r="J301">
        <v>1.595454876936593</v>
      </c>
      <c r="K301">
        <v>8.7819443224729954E-2</v>
      </c>
      <c r="L301">
        <v>-0.18393530976903311</v>
      </c>
      <c r="M301" t="s">
        <v>29</v>
      </c>
      <c r="N301">
        <v>1</v>
      </c>
      <c r="O301" t="s">
        <v>28</v>
      </c>
      <c r="P301">
        <v>45714</v>
      </c>
      <c r="Q301">
        <v>115.2</v>
      </c>
      <c r="R301">
        <v>86.92</v>
      </c>
      <c r="S301">
        <v>0.1365432598267545</v>
      </c>
      <c r="T301">
        <v>8.3691503730463468E-2</v>
      </c>
      <c r="U301">
        <v>7.8485603155066058E-2</v>
      </c>
      <c r="V301">
        <v>5.190790662897799E-3</v>
      </c>
      <c r="W301">
        <v>7.3294812492168265E-2</v>
      </c>
      <c r="X301" s="19">
        <f t="shared" si="12"/>
        <v>46035</v>
      </c>
      <c r="Y301" s="19">
        <f t="shared" si="13"/>
        <v>46035</v>
      </c>
      <c r="Z301">
        <f t="array" ref="Z301">_xlfn.XLOOKUP(INT(X301),INT($AE$2:$AE$1000),$AG$2:$AG$1000,"")</f>
        <v>15.98</v>
      </c>
      <c r="AE301" s="19" t="e">
        <f t="shared" si="14"/>
        <v>#VALUE!</v>
      </c>
      <c r="AF301" s="19"/>
    </row>
    <row r="302" spans="1:32" x14ac:dyDescent="0.3">
      <c r="A302">
        <v>5</v>
      </c>
      <c r="B302" t="s">
        <v>87</v>
      </c>
      <c r="C302" t="s">
        <v>31</v>
      </c>
      <c r="D302">
        <v>46041</v>
      </c>
      <c r="E302">
        <v>115.35</v>
      </c>
      <c r="F302">
        <v>88.26</v>
      </c>
      <c r="G302">
        <v>115.338465</v>
      </c>
      <c r="H302">
        <v>88.268826000000004</v>
      </c>
      <c r="I302">
        <v>4.0588784715398356</v>
      </c>
      <c r="J302">
        <v>1.595454876936593</v>
      </c>
      <c r="K302">
        <v>-8.6692674469007372E-2</v>
      </c>
      <c r="L302">
        <v>0.18076760445689921</v>
      </c>
      <c r="M302" t="s">
        <v>27</v>
      </c>
      <c r="N302">
        <v>13</v>
      </c>
      <c r="O302" t="s">
        <v>28</v>
      </c>
      <c r="P302">
        <v>46054</v>
      </c>
      <c r="Q302">
        <v>115.37</v>
      </c>
      <c r="R302">
        <v>88.35</v>
      </c>
      <c r="S302">
        <v>-3.3816922614191378E-2</v>
      </c>
      <c r="T302">
        <v>1.453523091173794E-2</v>
      </c>
      <c r="U302">
        <v>9.3425208640750788E-3</v>
      </c>
      <c r="V302">
        <v>5.1910288448485734E-3</v>
      </c>
      <c r="W302">
        <v>4.1514920192265046E-3</v>
      </c>
      <c r="X302" s="19">
        <f t="shared" si="12"/>
        <v>46036</v>
      </c>
      <c r="Y302" s="19">
        <f t="shared" si="13"/>
        <v>46036</v>
      </c>
      <c r="Z302">
        <f t="array" ref="Z302">_xlfn.XLOOKUP(INT(X302),INT($AE$2:$AE$1000),$AG$2:$AG$1000,"")</f>
        <v>16.75</v>
      </c>
      <c r="AE302" s="19" t="e">
        <f t="shared" si="14"/>
        <v>#VALUE!</v>
      </c>
      <c r="AF302" s="19"/>
    </row>
    <row r="303" spans="1:32" x14ac:dyDescent="0.3">
      <c r="A303">
        <v>5</v>
      </c>
      <c r="B303" t="s">
        <v>87</v>
      </c>
      <c r="C303" t="s">
        <v>31</v>
      </c>
      <c r="D303">
        <v>46102</v>
      </c>
      <c r="E303">
        <v>114.9</v>
      </c>
      <c r="F303">
        <v>87.27</v>
      </c>
      <c r="G303">
        <v>114.88851</v>
      </c>
      <c r="H303">
        <v>87.278726999999989</v>
      </c>
      <c r="I303">
        <v>4.4666574193847079</v>
      </c>
      <c r="J303">
        <v>1.595454876936593</v>
      </c>
      <c r="K303">
        <v>-8.7032201914708437E-2</v>
      </c>
      <c r="L303">
        <v>0.18281825105266331</v>
      </c>
      <c r="M303" t="s">
        <v>27</v>
      </c>
      <c r="N303">
        <v>6</v>
      </c>
      <c r="O303" t="s">
        <v>28</v>
      </c>
      <c r="P303">
        <v>46108</v>
      </c>
      <c r="Q303">
        <v>114.125</v>
      </c>
      <c r="R303">
        <v>87.26</v>
      </c>
      <c r="S303">
        <v>0.48464266530216649</v>
      </c>
      <c r="T303">
        <v>6.562177397337457E-2</v>
      </c>
      <c r="U303">
        <v>6.0437792033402757E-2</v>
      </c>
      <c r="V303">
        <v>5.1910288448485734E-3</v>
      </c>
      <c r="W303">
        <v>5.524676318855419E-2</v>
      </c>
      <c r="X303" s="19">
        <f t="shared" si="12"/>
        <v>46036</v>
      </c>
      <c r="Y303" s="19">
        <f t="shared" si="13"/>
        <v>46036</v>
      </c>
      <c r="Z303">
        <f t="array" ref="Z303">_xlfn.XLOOKUP(INT(X303),INT($AE$2:$AE$1000),$AG$2:$AG$1000,"")</f>
        <v>16.75</v>
      </c>
      <c r="AE303" s="19" t="e">
        <f t="shared" si="14"/>
        <v>#VALUE!</v>
      </c>
    </row>
    <row r="304" spans="1:32" x14ac:dyDescent="0.3">
      <c r="A304">
        <v>5</v>
      </c>
      <c r="B304" t="s">
        <v>87</v>
      </c>
      <c r="C304" t="s">
        <v>31</v>
      </c>
      <c r="D304">
        <v>46492</v>
      </c>
      <c r="E304">
        <v>114.13</v>
      </c>
      <c r="F304">
        <v>86.97</v>
      </c>
      <c r="G304">
        <v>114.11858700000001</v>
      </c>
      <c r="H304">
        <v>86.978696999999997</v>
      </c>
      <c r="I304">
        <v>4.0902589499861914</v>
      </c>
      <c r="J304">
        <v>1.595454876936593</v>
      </c>
      <c r="K304">
        <v>-8.7619381407167268E-2</v>
      </c>
      <c r="L304">
        <v>0.183448876271886</v>
      </c>
      <c r="M304" t="s">
        <v>27</v>
      </c>
      <c r="N304">
        <v>4</v>
      </c>
      <c r="O304" t="s">
        <v>28</v>
      </c>
      <c r="P304">
        <v>46496</v>
      </c>
      <c r="Q304">
        <v>114.58499999999999</v>
      </c>
      <c r="R304">
        <v>87.46</v>
      </c>
      <c r="S304">
        <v>-0.49526970947841847</v>
      </c>
      <c r="T304">
        <v>5.0023130832962247E-2</v>
      </c>
      <c r="U304">
        <v>4.4819245402297023E-2</v>
      </c>
      <c r="V304">
        <v>5.1910288448485734E-3</v>
      </c>
      <c r="W304">
        <v>3.9628216557448442E-2</v>
      </c>
      <c r="X304" s="19">
        <f t="shared" si="12"/>
        <v>46037</v>
      </c>
      <c r="Y304" s="19">
        <f t="shared" si="13"/>
        <v>46037</v>
      </c>
      <c r="Z304">
        <f t="array" ref="Z304">_xlfn.XLOOKUP(INT(X304),INT($AE$2:$AE$1000),$AG$2:$AG$1000,"")</f>
        <v>15.84</v>
      </c>
      <c r="AE304" s="19" t="e">
        <f t="shared" si="14"/>
        <v>#VALUE!</v>
      </c>
    </row>
    <row r="305" spans="1:32" x14ac:dyDescent="0.3">
      <c r="A305">
        <v>5</v>
      </c>
      <c r="B305" t="s">
        <v>87</v>
      </c>
      <c r="C305" t="s">
        <v>31</v>
      </c>
      <c r="D305">
        <v>46828</v>
      </c>
      <c r="E305">
        <v>115.1</v>
      </c>
      <c r="F305">
        <v>88.25</v>
      </c>
      <c r="G305">
        <v>115.11151</v>
      </c>
      <c r="H305">
        <v>88.241174999999998</v>
      </c>
      <c r="I305">
        <v>-3.5729462394681288</v>
      </c>
      <c r="J305">
        <v>1.595454876936593</v>
      </c>
      <c r="K305">
        <v>8.6880973066898348E-2</v>
      </c>
      <c r="L305">
        <v>-0.18078808803814081</v>
      </c>
      <c r="M305" t="s">
        <v>29</v>
      </c>
      <c r="N305">
        <v>6</v>
      </c>
      <c r="O305" t="s">
        <v>28</v>
      </c>
      <c r="P305">
        <v>46834</v>
      </c>
      <c r="Q305">
        <v>115.14</v>
      </c>
      <c r="R305">
        <v>88.194999999999993</v>
      </c>
      <c r="S305">
        <v>-0.44870840519357708</v>
      </c>
      <c r="T305">
        <v>1.341858376477546E-2</v>
      </c>
      <c r="U305">
        <v>8.228320821493107E-3</v>
      </c>
      <c r="V305">
        <v>5.190790662897799E-3</v>
      </c>
      <c r="W305">
        <v>3.037530158595308E-3</v>
      </c>
      <c r="X305" s="19">
        <f t="shared" si="12"/>
        <v>46038</v>
      </c>
      <c r="Y305" s="19">
        <f t="shared" si="13"/>
        <v>46038</v>
      </c>
      <c r="Z305">
        <f t="array" ref="Z305">_xlfn.XLOOKUP(INT(X305),INT($AE$2:$AE$1000),$AG$2:$AG$1000,"")</f>
        <v>15.86</v>
      </c>
      <c r="AE305" s="19" t="e">
        <f t="shared" si="14"/>
        <v>#VALUE!</v>
      </c>
    </row>
    <row r="306" spans="1:32" x14ac:dyDescent="0.3">
      <c r="A306">
        <v>5</v>
      </c>
      <c r="B306" t="s">
        <v>87</v>
      </c>
      <c r="C306" t="s">
        <v>31</v>
      </c>
      <c r="D306">
        <v>46886</v>
      </c>
      <c r="E306">
        <v>115.23</v>
      </c>
      <c r="F306">
        <v>87.694999999999993</v>
      </c>
      <c r="G306">
        <v>115.21847699999999</v>
      </c>
      <c r="H306">
        <v>87.703769499999993</v>
      </c>
      <c r="I306">
        <v>3.5415807969586641</v>
      </c>
      <c r="J306">
        <v>1.595454876936593</v>
      </c>
      <c r="K306">
        <v>-8.6782955827475486E-2</v>
      </c>
      <c r="L306">
        <v>0.18193225120435519</v>
      </c>
      <c r="M306" t="s">
        <v>27</v>
      </c>
      <c r="N306">
        <v>1</v>
      </c>
      <c r="O306" t="s">
        <v>28</v>
      </c>
      <c r="P306">
        <v>46887</v>
      </c>
      <c r="Q306">
        <v>115.51</v>
      </c>
      <c r="R306">
        <v>88.22</v>
      </c>
      <c r="S306">
        <v>0.17017795139795069</v>
      </c>
      <c r="T306">
        <v>7.1215204250594286E-2</v>
      </c>
      <c r="U306">
        <v>6.6012313130771189E-2</v>
      </c>
      <c r="V306">
        <v>5.1910288448485734E-3</v>
      </c>
      <c r="W306">
        <v>6.0821284285922622E-2</v>
      </c>
      <c r="X306" s="19">
        <f t="shared" si="12"/>
        <v>46038</v>
      </c>
      <c r="Y306" s="19">
        <f t="shared" si="13"/>
        <v>46038</v>
      </c>
      <c r="Z306">
        <f t="array" ref="Z306">_xlfn.XLOOKUP(INT(X306),INT($AE$2:$AE$1000),$AG$2:$AG$1000,"")</f>
        <v>15.86</v>
      </c>
      <c r="AE306" s="19" t="e">
        <f t="shared" si="14"/>
        <v>#VALUE!</v>
      </c>
    </row>
    <row r="307" spans="1:32" x14ac:dyDescent="0.3">
      <c r="A307">
        <v>5</v>
      </c>
      <c r="B307" t="s">
        <v>87</v>
      </c>
      <c r="C307" t="s">
        <v>31</v>
      </c>
      <c r="D307">
        <v>47277</v>
      </c>
      <c r="E307">
        <v>115.05500000000001</v>
      </c>
      <c r="F307">
        <v>88.44</v>
      </c>
      <c r="G307">
        <v>115.04349449999999</v>
      </c>
      <c r="H307">
        <v>88.448843999999994</v>
      </c>
      <c r="I307">
        <v>3.512318880332693</v>
      </c>
      <c r="J307">
        <v>1.595454876936593</v>
      </c>
      <c r="K307">
        <v>-8.6914953717787138E-2</v>
      </c>
      <c r="L307">
        <v>0.1803996921004741</v>
      </c>
      <c r="M307" t="s">
        <v>27</v>
      </c>
      <c r="N307">
        <v>4</v>
      </c>
      <c r="O307" t="s">
        <v>28</v>
      </c>
      <c r="P307">
        <v>47281</v>
      </c>
      <c r="Q307">
        <v>115.43</v>
      </c>
      <c r="R307">
        <v>89.02</v>
      </c>
      <c r="S307">
        <v>0.29451302287880898</v>
      </c>
      <c r="T307">
        <v>7.2038713774104479E-2</v>
      </c>
      <c r="U307">
        <v>6.6834081527327047E-2</v>
      </c>
      <c r="V307">
        <v>5.1910288448485734E-3</v>
      </c>
      <c r="W307">
        <v>6.1643052682478473E-2</v>
      </c>
      <c r="X307" s="19">
        <f t="shared" si="12"/>
        <v>46041</v>
      </c>
      <c r="Y307" s="19">
        <f t="shared" si="13"/>
        <v>46041</v>
      </c>
      <c r="Z307">
        <f t="array" ref="Z307">_xlfn.XLOOKUP(INT(X307),INT($AE$2:$AE$1000),$AG$2:$AG$1000,"")</f>
        <v>18.84</v>
      </c>
      <c r="AE307" s="19" t="e">
        <f t="shared" si="14"/>
        <v>#VALUE!</v>
      </c>
    </row>
    <row r="308" spans="1:32" x14ac:dyDescent="0.3">
      <c r="A308">
        <v>5</v>
      </c>
      <c r="B308" t="s">
        <v>25</v>
      </c>
      <c r="C308" t="s">
        <v>31</v>
      </c>
      <c r="D308">
        <v>43501</v>
      </c>
      <c r="E308">
        <v>315.13</v>
      </c>
      <c r="F308">
        <v>94.52</v>
      </c>
      <c r="G308">
        <v>315.09848699999998</v>
      </c>
      <c r="H308">
        <v>94.529451999999992</v>
      </c>
      <c r="I308">
        <v>5.294646680921641</v>
      </c>
      <c r="J308">
        <v>0.62227424945427001</v>
      </c>
      <c r="K308">
        <v>-3.1732935613873643E-2</v>
      </c>
      <c r="L308">
        <v>6.5835193552081048E-2</v>
      </c>
      <c r="M308" t="s">
        <v>27</v>
      </c>
      <c r="N308">
        <v>23</v>
      </c>
      <c r="O308" t="s">
        <v>28</v>
      </c>
      <c r="P308">
        <v>43524</v>
      </c>
      <c r="Q308">
        <v>313.86</v>
      </c>
      <c r="R308">
        <v>94.51</v>
      </c>
      <c r="S308">
        <v>0.49061541150977939</v>
      </c>
      <c r="T308">
        <v>3.9642476294098741E-2</v>
      </c>
      <c r="U308">
        <v>3.6402023713206569E-2</v>
      </c>
      <c r="V308">
        <v>3.2444729537584312E-3</v>
      </c>
      <c r="W308">
        <v>3.3157550759448137E-2</v>
      </c>
      <c r="X308" s="19">
        <f t="shared" si="12"/>
        <v>46027</v>
      </c>
      <c r="Y308" s="19">
        <f t="shared" si="13"/>
        <v>46027</v>
      </c>
      <c r="Z308">
        <f t="array" ref="Z308">_xlfn.XLOOKUP(INT(X308),INT($AE$2:$AE$1000),$AG$2:$AG$1000,"")</f>
        <v>14.9</v>
      </c>
      <c r="AE308" s="19" t="e">
        <f t="shared" si="14"/>
        <v>#VALUE!</v>
      </c>
    </row>
    <row r="309" spans="1:32" x14ac:dyDescent="0.3">
      <c r="A309">
        <v>5</v>
      </c>
      <c r="B309" t="s">
        <v>25</v>
      </c>
      <c r="C309" t="s">
        <v>31</v>
      </c>
      <c r="D309">
        <v>43755</v>
      </c>
      <c r="E309">
        <v>310.25</v>
      </c>
      <c r="F309">
        <v>90.31</v>
      </c>
      <c r="G309">
        <v>310.218975</v>
      </c>
      <c r="H309">
        <v>90.319030999999995</v>
      </c>
      <c r="I309">
        <v>5.1923376007958861</v>
      </c>
      <c r="J309">
        <v>0.62227424945427001</v>
      </c>
      <c r="K309">
        <v>-3.2232070910556E-2</v>
      </c>
      <c r="L309">
        <v>6.890424642390322E-2</v>
      </c>
      <c r="M309" t="s">
        <v>27</v>
      </c>
      <c r="N309">
        <v>26</v>
      </c>
      <c r="O309" t="s">
        <v>28</v>
      </c>
      <c r="P309">
        <v>43781</v>
      </c>
      <c r="Q309">
        <v>309.83999999999997</v>
      </c>
      <c r="R309">
        <v>89.11</v>
      </c>
      <c r="S309">
        <v>0.46357019176587672</v>
      </c>
      <c r="T309">
        <v>-6.9469946635355287E-2</v>
      </c>
      <c r="U309">
        <v>-7.270490510978464E-2</v>
      </c>
      <c r="V309">
        <v>3.2444729537584312E-3</v>
      </c>
      <c r="W309">
        <v>-7.5949378063543072E-2</v>
      </c>
      <c r="X309" s="19">
        <f t="shared" si="12"/>
        <v>46028</v>
      </c>
      <c r="Y309" s="19">
        <f t="shared" si="13"/>
        <v>46028</v>
      </c>
      <c r="Z309">
        <f t="array" ref="Z309">_xlfn.XLOOKUP(INT(X309),INT($AE$2:$AE$1000),$AG$2:$AG$1000,"")</f>
        <v>14.75</v>
      </c>
      <c r="AE309" s="19" t="e">
        <f t="shared" si="14"/>
        <v>#VALUE!</v>
      </c>
    </row>
    <row r="310" spans="1:32" x14ac:dyDescent="0.3">
      <c r="A310">
        <v>5</v>
      </c>
      <c r="B310" t="s">
        <v>25</v>
      </c>
      <c r="C310" t="s">
        <v>31</v>
      </c>
      <c r="D310">
        <v>44541</v>
      </c>
      <c r="E310">
        <v>312.39</v>
      </c>
      <c r="F310">
        <v>89.31</v>
      </c>
      <c r="G310">
        <v>312.35876100000002</v>
      </c>
      <c r="H310">
        <v>89.318931000000006</v>
      </c>
      <c r="I310">
        <v>4.2085368873140334</v>
      </c>
      <c r="J310">
        <v>0.62227424945427001</v>
      </c>
      <c r="K310">
        <v>-3.2011267966324149E-2</v>
      </c>
      <c r="L310">
        <v>6.9675764131034601E-2</v>
      </c>
      <c r="M310" t="s">
        <v>27</v>
      </c>
      <c r="N310">
        <v>2</v>
      </c>
      <c r="O310" t="s">
        <v>28</v>
      </c>
      <c r="P310">
        <v>44543</v>
      </c>
      <c r="Q310">
        <v>310.48500000000001</v>
      </c>
      <c r="R310">
        <v>89.1</v>
      </c>
      <c r="S310">
        <v>0.29615250221807438</v>
      </c>
      <c r="T310">
        <v>4.634955500832881E-2</v>
      </c>
      <c r="U310">
        <v>4.3112567847015337E-2</v>
      </c>
      <c r="V310">
        <v>3.2444729537584312E-3</v>
      </c>
      <c r="W310">
        <v>3.9868094893256913E-2</v>
      </c>
      <c r="X310" s="19">
        <f t="shared" si="12"/>
        <v>46030</v>
      </c>
      <c r="Y310" s="19">
        <f t="shared" si="13"/>
        <v>46030</v>
      </c>
      <c r="Z310">
        <f t="array" ref="Z310">_xlfn.XLOOKUP(INT(X310),INT($AE$2:$AE$1000),$AG$2:$AG$1000,"")</f>
        <v>15.45</v>
      </c>
      <c r="AE310" s="19" t="e">
        <f t="shared" si="14"/>
        <v>#VALUE!</v>
      </c>
    </row>
    <row r="311" spans="1:32" x14ac:dyDescent="0.3">
      <c r="A311">
        <v>5</v>
      </c>
      <c r="B311" t="s">
        <v>25</v>
      </c>
      <c r="C311" t="s">
        <v>31</v>
      </c>
      <c r="D311">
        <v>44931</v>
      </c>
      <c r="E311">
        <v>306.3</v>
      </c>
      <c r="F311">
        <v>87.1</v>
      </c>
      <c r="G311">
        <v>306.33062999999999</v>
      </c>
      <c r="H311">
        <v>87.091290000000001</v>
      </c>
      <c r="I311">
        <v>-4.6928612238718888</v>
      </c>
      <c r="J311">
        <v>0.62227424945427001</v>
      </c>
      <c r="K311">
        <v>3.2647730982696702E-2</v>
      </c>
      <c r="L311">
        <v>-7.1443656653762344E-2</v>
      </c>
      <c r="M311" t="s">
        <v>29</v>
      </c>
      <c r="N311">
        <v>24</v>
      </c>
      <c r="O311" t="s">
        <v>28</v>
      </c>
      <c r="P311">
        <v>44955</v>
      </c>
      <c r="Q311">
        <v>306.76</v>
      </c>
      <c r="R311">
        <v>87.66</v>
      </c>
      <c r="S311">
        <v>-0.35487495848711181</v>
      </c>
      <c r="T311">
        <v>-2.4990491474067261E-2</v>
      </c>
      <c r="U311">
        <v>-2.8240542613370952E-2</v>
      </c>
      <c r="V311">
        <v>3.2446240440586489E-3</v>
      </c>
      <c r="W311">
        <v>-3.1485166657429599E-2</v>
      </c>
      <c r="X311" s="19">
        <f t="shared" si="12"/>
        <v>46031</v>
      </c>
      <c r="Y311" s="19">
        <f t="shared" si="13"/>
        <v>46031</v>
      </c>
      <c r="Z311">
        <f t="array" ref="Z311">_xlfn.XLOOKUP(INT(X311),INT($AE$2:$AE$1000),$AG$2:$AG$1000,"")</f>
        <v>14.49</v>
      </c>
      <c r="AE311" s="19" t="e">
        <f t="shared" si="14"/>
        <v>#VALUE!</v>
      </c>
    </row>
    <row r="312" spans="1:32" x14ac:dyDescent="0.3">
      <c r="A312">
        <v>5</v>
      </c>
      <c r="B312" t="s">
        <v>25</v>
      </c>
      <c r="C312" t="s">
        <v>31</v>
      </c>
      <c r="D312">
        <v>45321</v>
      </c>
      <c r="E312">
        <v>304.13</v>
      </c>
      <c r="F312">
        <v>86.66</v>
      </c>
      <c r="G312">
        <v>304.09958699999999</v>
      </c>
      <c r="H312">
        <v>86.668666000000002</v>
      </c>
      <c r="I312">
        <v>4.2219059032193718</v>
      </c>
      <c r="J312">
        <v>0.62227424945427001</v>
      </c>
      <c r="K312">
        <v>-3.2880676026699113E-2</v>
      </c>
      <c r="L312">
        <v>7.1806398506147021E-2</v>
      </c>
      <c r="M312" t="s">
        <v>27</v>
      </c>
      <c r="N312">
        <v>9</v>
      </c>
      <c r="O312" t="s">
        <v>28</v>
      </c>
      <c r="P312">
        <v>45330</v>
      </c>
      <c r="Q312">
        <v>304.71499999999997</v>
      </c>
      <c r="R312">
        <v>87.41</v>
      </c>
      <c r="S312">
        <v>0.18660312629353651</v>
      </c>
      <c r="T312">
        <v>3.4619603403991957E-2</v>
      </c>
      <c r="U312">
        <v>3.1367745905647948E-2</v>
      </c>
      <c r="V312">
        <v>3.2444729537584312E-3</v>
      </c>
      <c r="W312">
        <v>2.812327295188952E-2</v>
      </c>
      <c r="X312" s="19">
        <f t="shared" si="12"/>
        <v>46034</v>
      </c>
      <c r="Y312" s="19">
        <f t="shared" si="13"/>
        <v>46034</v>
      </c>
      <c r="Z312">
        <f t="array" ref="Z312">_xlfn.XLOOKUP(INT(X312),INT($AE$2:$AE$1000),$AG$2:$AG$1000,"")</f>
        <v>15.12</v>
      </c>
      <c r="AE312" s="19" t="e">
        <f t="shared" si="14"/>
        <v>#VALUE!</v>
      </c>
    </row>
    <row r="313" spans="1:32" x14ac:dyDescent="0.3">
      <c r="A313">
        <v>5</v>
      </c>
      <c r="B313" t="s">
        <v>25</v>
      </c>
      <c r="C313" t="s">
        <v>31</v>
      </c>
      <c r="D313">
        <v>45712</v>
      </c>
      <c r="E313">
        <v>305.54000000000002</v>
      </c>
      <c r="F313">
        <v>86.45</v>
      </c>
      <c r="G313">
        <v>305.50944600000003</v>
      </c>
      <c r="H313">
        <v>86.458645000000004</v>
      </c>
      <c r="I313">
        <v>5.1303079868736514</v>
      </c>
      <c r="J313">
        <v>0.62227424945427001</v>
      </c>
      <c r="K313">
        <v>-3.2728938927799961E-2</v>
      </c>
      <c r="L313">
        <v>7.1980827004542516E-2</v>
      </c>
      <c r="M313" t="s">
        <v>27</v>
      </c>
      <c r="N313">
        <v>12</v>
      </c>
      <c r="O313" t="s">
        <v>28</v>
      </c>
      <c r="P313">
        <v>45724</v>
      </c>
      <c r="Q313">
        <v>306.04000000000002</v>
      </c>
      <c r="R313">
        <v>87.28</v>
      </c>
      <c r="S313">
        <v>0.39259747277597429</v>
      </c>
      <c r="T313">
        <v>4.3379616949870192E-2</v>
      </c>
      <c r="U313">
        <v>4.0127457595374158E-2</v>
      </c>
      <c r="V313">
        <v>3.2444729537584312E-3</v>
      </c>
      <c r="W313">
        <v>3.6882984641615733E-2</v>
      </c>
      <c r="X313" s="19">
        <f t="shared" si="12"/>
        <v>46035</v>
      </c>
      <c r="Y313" s="19">
        <f t="shared" si="13"/>
        <v>46035</v>
      </c>
      <c r="Z313">
        <f t="array" ref="Z313">_xlfn.XLOOKUP(INT(X313),INT($AE$2:$AE$1000),$AG$2:$AG$1000,"")</f>
        <v>15.98</v>
      </c>
      <c r="AE313" s="19" t="e">
        <f t="shared" si="14"/>
        <v>#VALUE!</v>
      </c>
    </row>
    <row r="314" spans="1:32" x14ac:dyDescent="0.3">
      <c r="A314">
        <v>5</v>
      </c>
      <c r="B314" t="s">
        <v>25</v>
      </c>
      <c r="C314" t="s">
        <v>31</v>
      </c>
      <c r="D314">
        <v>46103</v>
      </c>
      <c r="E314">
        <v>299.7</v>
      </c>
      <c r="F314">
        <v>87.04</v>
      </c>
      <c r="G314">
        <v>299.72996999999998</v>
      </c>
      <c r="H314">
        <v>87.031296000000012</v>
      </c>
      <c r="I314">
        <v>-4.8316741374431142</v>
      </c>
      <c r="J314">
        <v>0.62227424945427001</v>
      </c>
      <c r="K314">
        <v>3.3366700033366697E-2</v>
      </c>
      <c r="L314">
        <v>-7.1492905497963E-2</v>
      </c>
      <c r="M314" t="s">
        <v>29</v>
      </c>
      <c r="N314">
        <v>25</v>
      </c>
      <c r="O314" t="s">
        <v>28</v>
      </c>
      <c r="P314">
        <v>46128</v>
      </c>
      <c r="Q314">
        <v>300.69</v>
      </c>
      <c r="R314">
        <v>87.41</v>
      </c>
      <c r="S314">
        <v>0.24234842953452021</v>
      </c>
      <c r="T314">
        <v>6.5806579987877228E-3</v>
      </c>
      <c r="U314">
        <v>3.3301609590741209E-3</v>
      </c>
      <c r="V314">
        <v>3.2446240440586489E-3</v>
      </c>
      <c r="W314">
        <v>8.5536915015471584E-5</v>
      </c>
      <c r="X314" s="19">
        <f t="shared" si="12"/>
        <v>46036</v>
      </c>
      <c r="Y314" s="19">
        <f t="shared" si="13"/>
        <v>46036</v>
      </c>
      <c r="Z314">
        <f t="array" ref="Z314">_xlfn.XLOOKUP(INT(X314),INT($AE$2:$AE$1000),$AG$2:$AG$1000,"")</f>
        <v>16.75</v>
      </c>
      <c r="AE314" s="19" t="e">
        <f t="shared" si="14"/>
        <v>#VALUE!</v>
      </c>
    </row>
    <row r="315" spans="1:32" x14ac:dyDescent="0.3">
      <c r="A315">
        <v>5</v>
      </c>
      <c r="B315" t="s">
        <v>25</v>
      </c>
      <c r="C315" t="s">
        <v>31</v>
      </c>
      <c r="D315">
        <v>46885</v>
      </c>
      <c r="E315">
        <v>300.21499999999997</v>
      </c>
      <c r="F315">
        <v>88.05</v>
      </c>
      <c r="G315">
        <v>300.24502150000001</v>
      </c>
      <c r="H315">
        <v>88.041195000000002</v>
      </c>
      <c r="I315">
        <v>-3.591984574612904</v>
      </c>
      <c r="J315">
        <v>0.62227424945427001</v>
      </c>
      <c r="K315">
        <v>3.3309461552554008E-2</v>
      </c>
      <c r="L315">
        <v>-7.0672827876691657E-2</v>
      </c>
      <c r="M315" t="s">
        <v>29</v>
      </c>
      <c r="N315">
        <v>3</v>
      </c>
      <c r="O315" t="s">
        <v>28</v>
      </c>
      <c r="P315">
        <v>46888</v>
      </c>
      <c r="Q315">
        <v>301.89</v>
      </c>
      <c r="R315">
        <v>88.355000000000004</v>
      </c>
      <c r="S315">
        <v>2.56476776802263E-2</v>
      </c>
      <c r="T315">
        <v>3.4238135598136897E-2</v>
      </c>
      <c r="U315">
        <v>3.098585224316874E-2</v>
      </c>
      <c r="V315">
        <v>3.2446240440586489E-3</v>
      </c>
      <c r="W315">
        <v>2.7741228199110089E-2</v>
      </c>
      <c r="X315" s="19">
        <f t="shared" si="12"/>
        <v>46038</v>
      </c>
      <c r="Y315" s="19">
        <f t="shared" si="13"/>
        <v>46038</v>
      </c>
      <c r="Z315">
        <f t="array" ref="Z315">_xlfn.XLOOKUP(INT(X315),INT($AE$2:$AE$1000),$AG$2:$AG$1000,"")</f>
        <v>15.86</v>
      </c>
      <c r="AE315" s="19" t="e">
        <f t="shared" si="14"/>
        <v>#VALUE!</v>
      </c>
      <c r="AF315" s="19"/>
    </row>
    <row r="316" spans="1:32" x14ac:dyDescent="0.3">
      <c r="A316">
        <v>5</v>
      </c>
      <c r="B316" t="s">
        <v>25</v>
      </c>
      <c r="C316" t="s">
        <v>31</v>
      </c>
      <c r="D316">
        <v>47231</v>
      </c>
      <c r="E316">
        <v>299.89999999999998</v>
      </c>
      <c r="F316">
        <v>88.885000000000005</v>
      </c>
      <c r="G316">
        <v>299.87000999999998</v>
      </c>
      <c r="H316">
        <v>88.893888500000003</v>
      </c>
      <c r="I316">
        <v>3.6244069461286448</v>
      </c>
      <c r="J316">
        <v>0.62227424945427001</v>
      </c>
      <c r="K316">
        <v>-3.334444814938313E-2</v>
      </c>
      <c r="L316">
        <v>7.000891595367835E-2</v>
      </c>
      <c r="M316" t="s">
        <v>27</v>
      </c>
      <c r="N316">
        <v>19</v>
      </c>
      <c r="O316" t="s">
        <v>28</v>
      </c>
      <c r="P316">
        <v>47250</v>
      </c>
      <c r="Q316">
        <v>300.08</v>
      </c>
      <c r="R316">
        <v>88.974999999999994</v>
      </c>
      <c r="S316">
        <v>0.47360136298901312</v>
      </c>
      <c r="T316">
        <v>2.9880176894110481E-4</v>
      </c>
      <c r="U316">
        <v>-2.9469770102780188E-3</v>
      </c>
      <c r="V316">
        <v>3.2444729537584312E-3</v>
      </c>
      <c r="W316">
        <v>-6.1914499640364504E-3</v>
      </c>
      <c r="X316" s="19">
        <f t="shared" si="12"/>
        <v>46041</v>
      </c>
      <c r="Y316" s="19">
        <f t="shared" si="13"/>
        <v>46041</v>
      </c>
      <c r="Z316">
        <f t="array" ref="Z316">_xlfn.XLOOKUP(INT(X316),INT($AE$2:$AE$1000),$AG$2:$AG$1000,"")</f>
        <v>18.84</v>
      </c>
      <c r="AE316" s="19" t="e">
        <f t="shared" si="14"/>
        <v>#VALUE!</v>
      </c>
      <c r="AF316" s="19"/>
    </row>
    <row r="317" spans="1:32" x14ac:dyDescent="0.3">
      <c r="A317">
        <v>5</v>
      </c>
      <c r="B317" t="s">
        <v>25</v>
      </c>
      <c r="C317" t="s">
        <v>31</v>
      </c>
      <c r="D317">
        <v>47280</v>
      </c>
      <c r="E317">
        <v>299.47000000000003</v>
      </c>
      <c r="F317">
        <v>89</v>
      </c>
      <c r="G317">
        <v>299.49994700000002</v>
      </c>
      <c r="H317">
        <v>88.991100000000003</v>
      </c>
      <c r="I317">
        <v>-3.5063267356120722</v>
      </c>
      <c r="J317">
        <v>0.62227424945427001</v>
      </c>
      <c r="K317">
        <v>3.3392326443383309E-2</v>
      </c>
      <c r="L317">
        <v>-6.9918454994861795E-2</v>
      </c>
      <c r="M317" t="s">
        <v>29</v>
      </c>
      <c r="N317">
        <v>19</v>
      </c>
      <c r="O317" t="s">
        <v>28</v>
      </c>
      <c r="P317">
        <v>47299</v>
      </c>
      <c r="Q317">
        <v>298.87</v>
      </c>
      <c r="R317">
        <v>88.9</v>
      </c>
      <c r="S317">
        <v>-0.45009266475956672</v>
      </c>
      <c r="T317">
        <v>-1.304355036654496E-2</v>
      </c>
      <c r="U317">
        <v>-1.62853961413152E-2</v>
      </c>
      <c r="V317">
        <v>3.2446240440586489E-3</v>
      </c>
      <c r="W317">
        <v>-1.953002018537385E-2</v>
      </c>
      <c r="X317" s="19">
        <f t="shared" si="12"/>
        <v>46041</v>
      </c>
      <c r="Y317" s="19">
        <f t="shared" si="13"/>
        <v>46041</v>
      </c>
      <c r="Z317">
        <f t="array" ref="Z317">_xlfn.XLOOKUP(INT(X317),INT($AE$2:$AE$1000),$AG$2:$AG$1000,"")</f>
        <v>18.84</v>
      </c>
      <c r="AE317" s="19" t="e">
        <f t="shared" si="14"/>
        <v>#VALUE!</v>
      </c>
      <c r="AF317" s="19"/>
    </row>
    <row r="318" spans="1:32" x14ac:dyDescent="0.3">
      <c r="A318">
        <v>5</v>
      </c>
      <c r="B318" t="s">
        <v>26</v>
      </c>
      <c r="C318" t="s">
        <v>33</v>
      </c>
      <c r="D318">
        <v>43501</v>
      </c>
      <c r="E318">
        <v>941.68</v>
      </c>
      <c r="F318">
        <v>214.45500000000001</v>
      </c>
      <c r="G318">
        <v>941.77416799999992</v>
      </c>
      <c r="H318">
        <v>214.43355450000001</v>
      </c>
      <c r="I318">
        <v>-5.2945785452313174</v>
      </c>
      <c r="J318">
        <v>1.0021600980689991</v>
      </c>
      <c r="K318">
        <v>1.0619318664514489E-2</v>
      </c>
      <c r="L318">
        <v>-4.67305541054766E-2</v>
      </c>
      <c r="M318" t="s">
        <v>29</v>
      </c>
      <c r="N318">
        <v>23</v>
      </c>
      <c r="O318" t="s">
        <v>28</v>
      </c>
      <c r="P318">
        <v>43524</v>
      </c>
      <c r="Q318">
        <v>942.19</v>
      </c>
      <c r="R318">
        <v>214.14</v>
      </c>
      <c r="S318">
        <v>-0.48877766142571238</v>
      </c>
      <c r="T318">
        <v>2.0135977062129849E-2</v>
      </c>
      <c r="U318">
        <v>1.613258729319552E-2</v>
      </c>
      <c r="V318">
        <v>4.0043197641183833E-3</v>
      </c>
      <c r="W318">
        <v>1.212826752907714E-2</v>
      </c>
      <c r="X318" s="19">
        <f t="shared" si="12"/>
        <v>46027</v>
      </c>
      <c r="Y318" s="19">
        <f t="shared" si="13"/>
        <v>46027</v>
      </c>
      <c r="Z318">
        <f t="array" ref="Z318">_xlfn.XLOOKUP(INT(X318),INT($AE$2:$AE$1000),$AG$2:$AG$1000,"")</f>
        <v>14.9</v>
      </c>
      <c r="AE318" s="19" t="e">
        <f t="shared" si="14"/>
        <v>#VALUE!</v>
      </c>
      <c r="AF318" s="19"/>
    </row>
    <row r="319" spans="1:32" x14ac:dyDescent="0.3">
      <c r="A319">
        <v>5</v>
      </c>
      <c r="B319" t="s">
        <v>26</v>
      </c>
      <c r="C319" t="s">
        <v>33</v>
      </c>
      <c r="D319">
        <v>43755</v>
      </c>
      <c r="E319">
        <v>937.19</v>
      </c>
      <c r="F319">
        <v>211.63499999999999</v>
      </c>
      <c r="G319">
        <v>937.09628100000009</v>
      </c>
      <c r="H319">
        <v>211.65616349999999</v>
      </c>
      <c r="I319">
        <v>4.2061923165663568</v>
      </c>
      <c r="J319">
        <v>1.0021600980689991</v>
      </c>
      <c r="K319">
        <v>-1.067019494446163E-2</v>
      </c>
      <c r="L319">
        <v>4.7353230707066353E-2</v>
      </c>
      <c r="M319" t="s">
        <v>27</v>
      </c>
      <c r="N319">
        <v>3</v>
      </c>
      <c r="O319" t="s">
        <v>28</v>
      </c>
      <c r="P319">
        <v>43758</v>
      </c>
      <c r="Q319">
        <v>930.49</v>
      </c>
      <c r="R319">
        <v>210.72</v>
      </c>
      <c r="S319">
        <v>0.12253394754024501</v>
      </c>
      <c r="T319">
        <v>2.8162100030928099E-2</v>
      </c>
      <c r="U319">
        <v>2.416926168601331E-2</v>
      </c>
      <c r="V319">
        <v>4.0043206281576106E-3</v>
      </c>
      <c r="W319">
        <v>2.0164941057855702E-2</v>
      </c>
      <c r="X319" s="19">
        <f t="shared" si="12"/>
        <v>46028</v>
      </c>
      <c r="Y319" s="19">
        <f t="shared" si="13"/>
        <v>46028</v>
      </c>
      <c r="Z319">
        <f t="array" ref="Z319">_xlfn.XLOOKUP(INT(X319),INT($AE$2:$AE$1000),$AG$2:$AG$1000,"")</f>
        <v>14.75</v>
      </c>
      <c r="AE319" s="19" t="e">
        <f t="shared" si="14"/>
        <v>#VALUE!</v>
      </c>
      <c r="AF319" s="19"/>
    </row>
    <row r="320" spans="1:32" x14ac:dyDescent="0.3">
      <c r="A320">
        <v>5</v>
      </c>
      <c r="B320" t="s">
        <v>26</v>
      </c>
      <c r="C320" t="s">
        <v>33</v>
      </c>
      <c r="D320">
        <v>44148</v>
      </c>
      <c r="E320">
        <v>944.01499999999999</v>
      </c>
      <c r="F320">
        <v>213.435</v>
      </c>
      <c r="G320">
        <v>943.92059849999998</v>
      </c>
      <c r="H320">
        <v>213.4563435</v>
      </c>
      <c r="I320">
        <v>3.9793915463726788</v>
      </c>
      <c r="J320">
        <v>1.0021600980689991</v>
      </c>
      <c r="K320">
        <v>-1.059305201718193E-2</v>
      </c>
      <c r="L320">
        <v>4.6953878139433483E-2</v>
      </c>
      <c r="M320" t="s">
        <v>27</v>
      </c>
      <c r="N320">
        <v>5</v>
      </c>
      <c r="O320" t="s">
        <v>28</v>
      </c>
      <c r="P320">
        <v>44153</v>
      </c>
      <c r="Q320">
        <v>936.25</v>
      </c>
      <c r="R320">
        <v>213.095</v>
      </c>
      <c r="S320">
        <v>-4.3278758428127818E-2</v>
      </c>
      <c r="T320">
        <v>6.6290730346010004E-2</v>
      </c>
      <c r="U320">
        <v>6.2296232086620253E-2</v>
      </c>
      <c r="V320">
        <v>4.0043206281576106E-3</v>
      </c>
      <c r="W320">
        <v>5.8291911458462638E-2</v>
      </c>
      <c r="X320" s="19">
        <f t="shared" si="12"/>
        <v>46029</v>
      </c>
      <c r="Y320" s="19">
        <f t="shared" si="13"/>
        <v>46029</v>
      </c>
      <c r="Z320">
        <f t="array" ref="Z320">_xlfn.XLOOKUP(INT(X320),INT($AE$2:$AE$1000),$AG$2:$AG$1000,"")</f>
        <v>15.38</v>
      </c>
      <c r="AE320" s="19" t="e">
        <f t="shared" si="14"/>
        <v>#VALUE!</v>
      </c>
      <c r="AF320" s="19"/>
    </row>
    <row r="321" spans="1:32" x14ac:dyDescent="0.3">
      <c r="A321">
        <v>5</v>
      </c>
      <c r="B321" t="s">
        <v>26</v>
      </c>
      <c r="C321" t="s">
        <v>33</v>
      </c>
      <c r="D321">
        <v>44540</v>
      </c>
      <c r="E321">
        <v>974.07</v>
      </c>
      <c r="F321">
        <v>223.25</v>
      </c>
      <c r="G321">
        <v>974.16740700000003</v>
      </c>
      <c r="H321">
        <v>223.227675</v>
      </c>
      <c r="I321">
        <v>-5.251589035670416</v>
      </c>
      <c r="J321">
        <v>1.0021600980689991</v>
      </c>
      <c r="K321">
        <v>1.0266202634307589E-2</v>
      </c>
      <c r="L321">
        <v>-4.4889590059081677E-2</v>
      </c>
      <c r="M321" t="s">
        <v>29</v>
      </c>
      <c r="N321">
        <v>34</v>
      </c>
      <c r="O321" t="s">
        <v>28</v>
      </c>
      <c r="P321">
        <v>44574</v>
      </c>
      <c r="Q321">
        <v>964.11</v>
      </c>
      <c r="R321">
        <v>221.33</v>
      </c>
      <c r="S321">
        <v>-0.35654803796667422</v>
      </c>
      <c r="T321">
        <v>-1.6063365324267751E-2</v>
      </c>
      <c r="U321">
        <v>-2.0048841581289889E-2</v>
      </c>
      <c r="V321">
        <v>4.0043197641183841E-3</v>
      </c>
      <c r="W321">
        <v>-2.4053161345408271E-2</v>
      </c>
      <c r="X321" s="19">
        <f t="shared" si="12"/>
        <v>46030</v>
      </c>
      <c r="Y321" s="19">
        <f t="shared" si="13"/>
        <v>46030</v>
      </c>
      <c r="Z321">
        <f t="array" ref="Z321">_xlfn.XLOOKUP(INT(X321),INT($AE$2:$AE$1000),$AG$2:$AG$1000,"")</f>
        <v>15.45</v>
      </c>
      <c r="AE321" s="19" t="e">
        <f t="shared" si="14"/>
        <v>#VALUE!</v>
      </c>
      <c r="AF321" s="19"/>
    </row>
    <row r="322" spans="1:32" x14ac:dyDescent="0.3">
      <c r="A322">
        <v>5</v>
      </c>
      <c r="B322" t="s">
        <v>26</v>
      </c>
      <c r="C322" t="s">
        <v>33</v>
      </c>
      <c r="D322">
        <v>45321</v>
      </c>
      <c r="E322">
        <v>942.6</v>
      </c>
      <c r="F322">
        <v>223.19499999999999</v>
      </c>
      <c r="G322">
        <v>942.69425999999999</v>
      </c>
      <c r="H322">
        <v>223.17268050000001</v>
      </c>
      <c r="I322">
        <v>-4.3214532135818162</v>
      </c>
      <c r="J322">
        <v>1.0021600980689991</v>
      </c>
      <c r="K322">
        <v>1.060895395713983E-2</v>
      </c>
      <c r="L322">
        <v>-4.4900651809807512E-2</v>
      </c>
      <c r="M322" t="s">
        <v>29</v>
      </c>
      <c r="N322">
        <v>23</v>
      </c>
      <c r="O322" t="s">
        <v>28</v>
      </c>
      <c r="P322">
        <v>45344</v>
      </c>
      <c r="Q322">
        <v>951.04</v>
      </c>
      <c r="R322">
        <v>225.57</v>
      </c>
      <c r="S322">
        <v>-0.32389509086895563</v>
      </c>
      <c r="T322">
        <v>-1.7099476650033321E-2</v>
      </c>
      <c r="U322">
        <v>-2.112341470811617E-2</v>
      </c>
      <c r="V322">
        <v>4.0043197641183841E-3</v>
      </c>
      <c r="W322">
        <v>-2.5127734472234559E-2</v>
      </c>
      <c r="X322" s="19">
        <f t="shared" ref="X322:X385" si="15">WORKDAY(DATE(2025,8,2),INT(D322/390))</f>
        <v>46034</v>
      </c>
      <c r="Y322" s="19">
        <f t="shared" ref="Y322:Y385" si="16">WORKDAY(DATE(2025,8,2),INT(P322/390))</f>
        <v>46034</v>
      </c>
      <c r="Z322">
        <f t="array" ref="Z322">_xlfn.XLOOKUP(INT(X322),INT($AE$2:$AE$1000),$AG$2:$AG$1000,"")</f>
        <v>15.12</v>
      </c>
      <c r="AE322" s="19" t="e">
        <f t="shared" ref="AE322:AE385" si="17">IF(ISNUMBER(AF322),DATE(YEAR(AF322),DAY(AF322),MONTH(AF322)),DATE(RIGHT(AF322,4),LEFT(AF322,2),MID(AF322,4,2)))</f>
        <v>#VALUE!</v>
      </c>
      <c r="AF322" s="19"/>
    </row>
    <row r="323" spans="1:32" x14ac:dyDescent="0.3">
      <c r="A323">
        <v>5</v>
      </c>
      <c r="B323" t="s">
        <v>26</v>
      </c>
      <c r="C323" t="s">
        <v>33</v>
      </c>
      <c r="D323">
        <v>45712</v>
      </c>
      <c r="E323">
        <v>965.46500000000003</v>
      </c>
      <c r="F323">
        <v>225.77500000000001</v>
      </c>
      <c r="G323">
        <v>965.36845349999999</v>
      </c>
      <c r="H323">
        <v>225.79757749999999</v>
      </c>
      <c r="I323">
        <v>3.923617781019892</v>
      </c>
      <c r="J323">
        <v>1.0021600980689991</v>
      </c>
      <c r="K323">
        <v>-1.035770328287406E-2</v>
      </c>
      <c r="L323">
        <v>4.4387558324393693E-2</v>
      </c>
      <c r="M323" t="s">
        <v>27</v>
      </c>
      <c r="N323">
        <v>6</v>
      </c>
      <c r="O323" t="s">
        <v>28</v>
      </c>
      <c r="P323">
        <v>45718</v>
      </c>
      <c r="Q323">
        <v>961.99</v>
      </c>
      <c r="R323">
        <v>226.52</v>
      </c>
      <c r="S323">
        <v>0.43274235404343142</v>
      </c>
      <c r="T323">
        <v>6.906174985966107E-2</v>
      </c>
      <c r="U323">
        <v>6.5057722092318485E-2</v>
      </c>
      <c r="V323">
        <v>4.0043206281576106E-3</v>
      </c>
      <c r="W323">
        <v>6.1053401464160877E-2</v>
      </c>
      <c r="X323" s="19">
        <f t="shared" si="15"/>
        <v>46035</v>
      </c>
      <c r="Y323" s="19">
        <f t="shared" si="16"/>
        <v>46035</v>
      </c>
      <c r="Z323">
        <f t="array" ref="Z323">_xlfn.XLOOKUP(INT(X323),INT($AE$2:$AE$1000),$AG$2:$AG$1000,"")</f>
        <v>15.98</v>
      </c>
      <c r="AE323" s="19" t="e">
        <f t="shared" si="17"/>
        <v>#VALUE!</v>
      </c>
      <c r="AF323" s="19"/>
    </row>
    <row r="324" spans="1:32" x14ac:dyDescent="0.3">
      <c r="A324">
        <v>5</v>
      </c>
      <c r="B324" t="s">
        <v>26</v>
      </c>
      <c r="C324" t="s">
        <v>33</v>
      </c>
      <c r="D324">
        <v>46102</v>
      </c>
      <c r="E324">
        <v>935.58</v>
      </c>
      <c r="F324">
        <v>221.495</v>
      </c>
      <c r="G324">
        <v>935.67355800000007</v>
      </c>
      <c r="H324">
        <v>221.47285049999999</v>
      </c>
      <c r="I324">
        <v>-4.8578424424322746</v>
      </c>
      <c r="J324">
        <v>1.0021600980689991</v>
      </c>
      <c r="K324">
        <v>1.068855683105667E-2</v>
      </c>
      <c r="L324">
        <v>-4.5245269557732608E-2</v>
      </c>
      <c r="M324" t="s">
        <v>29</v>
      </c>
      <c r="N324">
        <v>16</v>
      </c>
      <c r="O324" t="s">
        <v>28</v>
      </c>
      <c r="P324">
        <v>46118</v>
      </c>
      <c r="Q324">
        <v>927.67</v>
      </c>
      <c r="R324">
        <v>219.44</v>
      </c>
      <c r="S324">
        <v>-0.46196948944351091</v>
      </c>
      <c r="T324">
        <v>8.4325444074817013E-3</v>
      </c>
      <c r="U324">
        <v>4.445976762692247E-3</v>
      </c>
      <c r="V324">
        <v>4.0043197641183841E-3</v>
      </c>
      <c r="W324">
        <v>4.4165699857386277E-4</v>
      </c>
      <c r="X324" s="19">
        <f t="shared" si="15"/>
        <v>46036</v>
      </c>
      <c r="Y324" s="19">
        <f t="shared" si="16"/>
        <v>46036</v>
      </c>
      <c r="Z324">
        <f t="array" ref="Z324">_xlfn.XLOOKUP(INT(X324),INT($AE$2:$AE$1000),$AG$2:$AG$1000,"")</f>
        <v>16.75</v>
      </c>
      <c r="AE324" s="19" t="e">
        <f t="shared" si="17"/>
        <v>#VALUE!</v>
      </c>
      <c r="AF324" s="19"/>
    </row>
    <row r="325" spans="1:32" x14ac:dyDescent="0.3">
      <c r="A325">
        <v>5</v>
      </c>
      <c r="B325" t="s">
        <v>26</v>
      </c>
      <c r="C325" t="s">
        <v>33</v>
      </c>
      <c r="D325">
        <v>46493</v>
      </c>
      <c r="E325">
        <v>928.44</v>
      </c>
      <c r="F325">
        <v>220.1</v>
      </c>
      <c r="G325">
        <v>928.34715600000004</v>
      </c>
      <c r="H325">
        <v>220.12200999999999</v>
      </c>
      <c r="I325">
        <v>3.5173602120249852</v>
      </c>
      <c r="J325">
        <v>1.0021600980689991</v>
      </c>
      <c r="K325">
        <v>-1.07707552453578E-2</v>
      </c>
      <c r="L325">
        <v>4.5532035350704159E-2</v>
      </c>
      <c r="M325" t="s">
        <v>27</v>
      </c>
      <c r="N325">
        <v>7</v>
      </c>
      <c r="O325" t="s">
        <v>28</v>
      </c>
      <c r="P325">
        <v>46500</v>
      </c>
      <c r="Q325">
        <v>926.38499999999999</v>
      </c>
      <c r="R325">
        <v>220.77</v>
      </c>
      <c r="S325">
        <v>-0.1145877959910727</v>
      </c>
      <c r="T325">
        <v>5.2640365714183478E-2</v>
      </c>
      <c r="U325">
        <v>4.8635208261879982E-2</v>
      </c>
      <c r="V325">
        <v>4.0043206281576106E-3</v>
      </c>
      <c r="W325">
        <v>4.4630887633722367E-2</v>
      </c>
      <c r="X325" s="19">
        <f t="shared" si="15"/>
        <v>46037</v>
      </c>
      <c r="Y325" s="19">
        <f t="shared" si="16"/>
        <v>46037</v>
      </c>
      <c r="Z325">
        <f t="array" ref="Z325">_xlfn.XLOOKUP(INT(X325),INT($AE$2:$AE$1000),$AG$2:$AG$1000,"")</f>
        <v>15.84</v>
      </c>
      <c r="AE325" s="19" t="e">
        <f t="shared" si="17"/>
        <v>#VALUE!</v>
      </c>
    </row>
    <row r="326" spans="1:32" x14ac:dyDescent="0.3">
      <c r="A326">
        <v>5</v>
      </c>
      <c r="B326" t="s">
        <v>26</v>
      </c>
      <c r="C326" t="s">
        <v>33</v>
      </c>
      <c r="D326">
        <v>46883</v>
      </c>
      <c r="E326">
        <v>926.29</v>
      </c>
      <c r="F326">
        <v>220.97</v>
      </c>
      <c r="G326">
        <v>926.38262899999995</v>
      </c>
      <c r="H326">
        <v>220.947903</v>
      </c>
      <c r="I326">
        <v>-4.366306266105493</v>
      </c>
      <c r="J326">
        <v>1.0021600980689991</v>
      </c>
      <c r="K326">
        <v>1.079575510909111E-2</v>
      </c>
      <c r="L326">
        <v>-4.5352767256595851E-2</v>
      </c>
      <c r="M326" t="s">
        <v>29</v>
      </c>
      <c r="N326">
        <v>31</v>
      </c>
      <c r="O326" t="s">
        <v>28</v>
      </c>
      <c r="P326">
        <v>46914</v>
      </c>
      <c r="Q326">
        <v>927.78</v>
      </c>
      <c r="R326">
        <v>221.7</v>
      </c>
      <c r="S326">
        <v>-0.38167768296865229</v>
      </c>
      <c r="T326">
        <v>-1.702184498476866E-2</v>
      </c>
      <c r="U326">
        <v>-2.1031084500426581E-2</v>
      </c>
      <c r="V326">
        <v>4.0043197641183841E-3</v>
      </c>
      <c r="W326">
        <v>-2.503540426454497E-2</v>
      </c>
      <c r="X326" s="19">
        <f t="shared" si="15"/>
        <v>46038</v>
      </c>
      <c r="Y326" s="19">
        <f t="shared" si="16"/>
        <v>46038</v>
      </c>
      <c r="Z326">
        <f t="array" ref="Z326">_xlfn.XLOOKUP(INT(X326),INT($AE$2:$AE$1000),$AG$2:$AG$1000,"")</f>
        <v>15.86</v>
      </c>
      <c r="AE326" s="19" t="e">
        <f t="shared" si="17"/>
        <v>#VALUE!</v>
      </c>
    </row>
    <row r="327" spans="1:32" x14ac:dyDescent="0.3">
      <c r="A327">
        <v>5</v>
      </c>
      <c r="B327" t="s">
        <v>76</v>
      </c>
      <c r="C327" t="s">
        <v>34</v>
      </c>
      <c r="D327">
        <v>43501</v>
      </c>
      <c r="E327">
        <v>183.57</v>
      </c>
      <c r="F327">
        <v>49.98</v>
      </c>
      <c r="G327">
        <v>183.55164300000001</v>
      </c>
      <c r="H327">
        <v>49.984997999999997</v>
      </c>
      <c r="I327">
        <v>5.2945272383784099</v>
      </c>
      <c r="J327">
        <v>0.83779571666773978</v>
      </c>
      <c r="K327">
        <v>-5.4475132102195352E-2</v>
      </c>
      <c r="L327">
        <v>0.16762619381107241</v>
      </c>
      <c r="M327" t="s">
        <v>27</v>
      </c>
      <c r="N327">
        <v>23</v>
      </c>
      <c r="O327" t="s">
        <v>28</v>
      </c>
      <c r="P327">
        <v>43524</v>
      </c>
      <c r="Q327">
        <v>183.61500000000001</v>
      </c>
      <c r="R327">
        <v>50.005000000000003</v>
      </c>
      <c r="S327">
        <v>0.49295414447834629</v>
      </c>
      <c r="T327">
        <v>1.7392739006781041E-3</v>
      </c>
      <c r="U327">
        <v>-1.9369817362370079E-3</v>
      </c>
      <c r="V327">
        <v>3.6755589924788129E-3</v>
      </c>
      <c r="W327">
        <v>-5.6125407287158213E-3</v>
      </c>
      <c r="X327" s="19">
        <f t="shared" si="15"/>
        <v>46027</v>
      </c>
      <c r="Y327" s="19">
        <f t="shared" si="16"/>
        <v>46027</v>
      </c>
      <c r="Z327">
        <f t="array" ref="Z327">_xlfn.XLOOKUP(INT(X327),INT($AE$2:$AE$1000),$AG$2:$AG$1000,"")</f>
        <v>14.9</v>
      </c>
      <c r="AE327" s="19" t="e">
        <f t="shared" si="17"/>
        <v>#VALUE!</v>
      </c>
    </row>
    <row r="328" spans="1:32" x14ac:dyDescent="0.3">
      <c r="A328">
        <v>5</v>
      </c>
      <c r="B328" t="s">
        <v>76</v>
      </c>
      <c r="C328" t="s">
        <v>34</v>
      </c>
      <c r="D328">
        <v>43564</v>
      </c>
      <c r="E328">
        <v>182.73</v>
      </c>
      <c r="F328">
        <v>49.924999999999997</v>
      </c>
      <c r="G328">
        <v>182.74827300000001</v>
      </c>
      <c r="H328">
        <v>49.920007499999997</v>
      </c>
      <c r="I328">
        <v>-4.0785095252580703</v>
      </c>
      <c r="J328">
        <v>0.83779571666773978</v>
      </c>
      <c r="K328">
        <v>5.4725551359929951E-2</v>
      </c>
      <c r="L328">
        <v>-0.16781085962298239</v>
      </c>
      <c r="M328" t="s">
        <v>29</v>
      </c>
      <c r="N328">
        <v>9</v>
      </c>
      <c r="O328" t="s">
        <v>28</v>
      </c>
      <c r="P328">
        <v>43573</v>
      </c>
      <c r="Q328">
        <v>183.13</v>
      </c>
      <c r="R328">
        <v>49.975000000000001</v>
      </c>
      <c r="S328">
        <v>-3.744572449701828E-2</v>
      </c>
      <c r="T328">
        <v>1.349967756282246E-2</v>
      </c>
      <c r="U328">
        <v>9.8210580531341487E-3</v>
      </c>
      <c r="V328">
        <v>3.675623874192146E-3</v>
      </c>
      <c r="W328">
        <v>6.1454341789420027E-3</v>
      </c>
      <c r="X328" s="19">
        <f t="shared" si="15"/>
        <v>46027</v>
      </c>
      <c r="Y328" s="19">
        <f t="shared" si="16"/>
        <v>46027</v>
      </c>
      <c r="Z328">
        <f t="array" ref="Z328">_xlfn.XLOOKUP(INT(X328),INT($AE$2:$AE$1000),$AG$2:$AG$1000,"")</f>
        <v>14.9</v>
      </c>
      <c r="AE328" s="19" t="e">
        <f t="shared" si="17"/>
        <v>#VALUE!</v>
      </c>
    </row>
    <row r="329" spans="1:32" x14ac:dyDescent="0.3">
      <c r="A329">
        <v>5</v>
      </c>
      <c r="B329" t="s">
        <v>76</v>
      </c>
      <c r="C329" t="s">
        <v>34</v>
      </c>
      <c r="D329">
        <v>43757</v>
      </c>
      <c r="E329">
        <v>181.28</v>
      </c>
      <c r="F329">
        <v>49.47</v>
      </c>
      <c r="G329">
        <v>181.29812799999999</v>
      </c>
      <c r="H329">
        <v>49.465052999999997</v>
      </c>
      <c r="I329">
        <v>-4.1805812070924802</v>
      </c>
      <c r="J329">
        <v>0.83779571666773978</v>
      </c>
      <c r="K329">
        <v>5.5163283318623121E-2</v>
      </c>
      <c r="L329">
        <v>-0.1693542989019082</v>
      </c>
      <c r="M329" t="s">
        <v>29</v>
      </c>
      <c r="N329">
        <v>38</v>
      </c>
      <c r="O329" t="s">
        <v>28</v>
      </c>
      <c r="P329">
        <v>43795</v>
      </c>
      <c r="Q329">
        <v>180.09</v>
      </c>
      <c r="R329">
        <v>49.62</v>
      </c>
      <c r="S329">
        <v>-0.26520117491687079</v>
      </c>
      <c r="T329">
        <v>-9.1047451984447372E-2</v>
      </c>
      <c r="U329">
        <v>-9.4719019301551327E-2</v>
      </c>
      <c r="V329">
        <v>3.675623874192146E-3</v>
      </c>
      <c r="W329">
        <v>-9.8394643175743479E-2</v>
      </c>
      <c r="X329" s="19">
        <f t="shared" si="15"/>
        <v>46028</v>
      </c>
      <c r="Y329" s="19">
        <f t="shared" si="16"/>
        <v>46028</v>
      </c>
      <c r="Z329">
        <f t="array" ref="Z329">_xlfn.XLOOKUP(INT(X329),INT($AE$2:$AE$1000),$AG$2:$AG$1000,"")</f>
        <v>14.75</v>
      </c>
      <c r="AE329" s="19" t="e">
        <f t="shared" si="17"/>
        <v>#VALUE!</v>
      </c>
    </row>
    <row r="330" spans="1:32" x14ac:dyDescent="0.3">
      <c r="A330">
        <v>5</v>
      </c>
      <c r="B330" t="s">
        <v>76</v>
      </c>
      <c r="C330" t="s">
        <v>34</v>
      </c>
      <c r="D330">
        <v>44136</v>
      </c>
      <c r="E330">
        <v>180.32</v>
      </c>
      <c r="F330">
        <v>49.715000000000003</v>
      </c>
      <c r="G330">
        <v>180.30196799999999</v>
      </c>
      <c r="H330">
        <v>49.7199715</v>
      </c>
      <c r="I330">
        <v>3.5045200341953811</v>
      </c>
      <c r="J330">
        <v>0.83779571666773978</v>
      </c>
      <c r="K330">
        <v>-5.5456965394853598E-2</v>
      </c>
      <c r="L330">
        <v>0.16851970565578589</v>
      </c>
      <c r="M330" t="s">
        <v>27</v>
      </c>
      <c r="N330">
        <v>29</v>
      </c>
      <c r="O330" t="s">
        <v>28</v>
      </c>
      <c r="P330">
        <v>44165</v>
      </c>
      <c r="Q330">
        <v>186.32</v>
      </c>
      <c r="R330">
        <v>50.22</v>
      </c>
      <c r="S330">
        <v>0.44235881433287849</v>
      </c>
      <c r="T330">
        <v>-0.24763934101295049</v>
      </c>
      <c r="U330">
        <v>-0.25135671687065742</v>
      </c>
      <c r="V330">
        <v>3.6755589924788129E-3</v>
      </c>
      <c r="W330">
        <v>-0.2550322758631362</v>
      </c>
      <c r="X330" s="19">
        <f t="shared" si="15"/>
        <v>46029</v>
      </c>
      <c r="Y330" s="19">
        <f t="shared" si="16"/>
        <v>46029</v>
      </c>
      <c r="Z330">
        <f t="array" ref="Z330">_xlfn.XLOOKUP(INT(X330),INT($AE$2:$AE$1000),$AG$2:$AG$1000,"")</f>
        <v>15.38</v>
      </c>
      <c r="AE330" s="19" t="e">
        <f t="shared" si="17"/>
        <v>#VALUE!</v>
      </c>
    </row>
    <row r="331" spans="1:32" x14ac:dyDescent="0.3">
      <c r="A331">
        <v>5</v>
      </c>
      <c r="B331" t="s">
        <v>76</v>
      </c>
      <c r="C331" t="s">
        <v>34</v>
      </c>
      <c r="D331">
        <v>44931</v>
      </c>
      <c r="E331">
        <v>185</v>
      </c>
      <c r="F331">
        <v>49.57</v>
      </c>
      <c r="G331">
        <v>185.01849999999999</v>
      </c>
      <c r="H331">
        <v>49.565043000000003</v>
      </c>
      <c r="I331">
        <v>-5.0326001456148699</v>
      </c>
      <c r="J331">
        <v>0.83779571666773978</v>
      </c>
      <c r="K331">
        <v>5.4054054054054057E-2</v>
      </c>
      <c r="L331">
        <v>-0.16901265214196889</v>
      </c>
      <c r="M331" t="s">
        <v>29</v>
      </c>
      <c r="N331">
        <v>18</v>
      </c>
      <c r="O331" t="s">
        <v>28</v>
      </c>
      <c r="P331">
        <v>44949</v>
      </c>
      <c r="Q331">
        <v>184.99</v>
      </c>
      <c r="R331">
        <v>49.56</v>
      </c>
      <c r="S331">
        <v>-0.37751324728383001</v>
      </c>
      <c r="T331">
        <v>1.1495859808793041E-3</v>
      </c>
      <c r="U331">
        <v>-2.5257823857484721E-3</v>
      </c>
      <c r="V331">
        <v>3.675623874192146E-3</v>
      </c>
      <c r="W331">
        <v>-6.201406259940619E-3</v>
      </c>
      <c r="X331" s="19">
        <f t="shared" si="15"/>
        <v>46031</v>
      </c>
      <c r="Y331" s="19">
        <f t="shared" si="16"/>
        <v>46031</v>
      </c>
      <c r="Z331">
        <f t="array" ref="Z331">_xlfn.XLOOKUP(INT(X331),INT($AE$2:$AE$1000),$AG$2:$AG$1000,"")</f>
        <v>14.49</v>
      </c>
      <c r="AE331" s="19" t="e">
        <f t="shared" si="17"/>
        <v>#VALUE!</v>
      </c>
    </row>
    <row r="332" spans="1:32" x14ac:dyDescent="0.3">
      <c r="A332">
        <v>5</v>
      </c>
      <c r="B332" t="s">
        <v>76</v>
      </c>
      <c r="C332" t="s">
        <v>34</v>
      </c>
      <c r="D332">
        <v>45082</v>
      </c>
      <c r="E332">
        <v>185.10499999999999</v>
      </c>
      <c r="F332">
        <v>49.67</v>
      </c>
      <c r="G332">
        <v>185.0864895</v>
      </c>
      <c r="H332">
        <v>49.674967000000002</v>
      </c>
      <c r="I332">
        <v>3.9729367656829448</v>
      </c>
      <c r="J332">
        <v>0.83779571666773978</v>
      </c>
      <c r="K332">
        <v>-5.4023392128791772E-2</v>
      </c>
      <c r="L332">
        <v>0.1686723810484678</v>
      </c>
      <c r="M332" t="s">
        <v>27</v>
      </c>
      <c r="N332">
        <v>17</v>
      </c>
      <c r="O332" t="s">
        <v>28</v>
      </c>
      <c r="P332">
        <v>45099</v>
      </c>
      <c r="Q332">
        <v>185.24</v>
      </c>
      <c r="R332">
        <v>49.774999999999999</v>
      </c>
      <c r="S332">
        <v>0.47402270596460983</v>
      </c>
      <c r="T332">
        <v>1.041744207270066E-2</v>
      </c>
      <c r="U332">
        <v>6.7393502635712081E-3</v>
      </c>
      <c r="V332">
        <v>3.6755589924788129E-3</v>
      </c>
      <c r="W332">
        <v>3.0637912710923948E-3</v>
      </c>
      <c r="X332" s="19">
        <f t="shared" si="15"/>
        <v>46031</v>
      </c>
      <c r="Y332" s="19">
        <f t="shared" si="16"/>
        <v>46031</v>
      </c>
      <c r="Z332">
        <f t="array" ref="Z332">_xlfn.XLOOKUP(INT(X332),INT($AE$2:$AE$1000),$AG$2:$AG$1000,"")</f>
        <v>14.49</v>
      </c>
      <c r="AE332" s="19" t="e">
        <f t="shared" si="17"/>
        <v>#VALUE!</v>
      </c>
    </row>
    <row r="333" spans="1:32" x14ac:dyDescent="0.3">
      <c r="A333">
        <v>5</v>
      </c>
      <c r="B333" t="s">
        <v>76</v>
      </c>
      <c r="C333" t="s">
        <v>34</v>
      </c>
      <c r="D333">
        <v>45163</v>
      </c>
      <c r="E333">
        <v>183.82</v>
      </c>
      <c r="F333">
        <v>49.27</v>
      </c>
      <c r="G333">
        <v>183.80161799999999</v>
      </c>
      <c r="H333">
        <v>49.274927000000012</v>
      </c>
      <c r="I333">
        <v>3.7601235187900328</v>
      </c>
      <c r="J333">
        <v>0.83779571666773978</v>
      </c>
      <c r="K333">
        <v>-5.4401044500054403E-2</v>
      </c>
      <c r="L333">
        <v>0.17004175292627149</v>
      </c>
      <c r="M333" t="s">
        <v>27</v>
      </c>
      <c r="N333">
        <v>21</v>
      </c>
      <c r="O333" t="s">
        <v>28</v>
      </c>
      <c r="P333">
        <v>45184</v>
      </c>
      <c r="Q333">
        <v>182.89</v>
      </c>
      <c r="R333">
        <v>48.884999999999998</v>
      </c>
      <c r="S333">
        <v>0.46176380693113339</v>
      </c>
      <c r="T333">
        <v>-1.487310349156443E-2</v>
      </c>
      <c r="U333">
        <v>-1.8537089020274771E-2</v>
      </c>
      <c r="V333">
        <v>3.6755589924788129E-3</v>
      </c>
      <c r="W333">
        <v>-2.2212648012753581E-2</v>
      </c>
      <c r="X333" s="19">
        <f t="shared" si="15"/>
        <v>46031</v>
      </c>
      <c r="Y333" s="19">
        <f t="shared" si="16"/>
        <v>46031</v>
      </c>
      <c r="Z333">
        <f t="array" ref="Z333">_xlfn.XLOOKUP(INT(X333),INT($AE$2:$AE$1000),$AG$2:$AG$1000,"")</f>
        <v>14.49</v>
      </c>
      <c r="AE333" s="19" t="e">
        <f t="shared" si="17"/>
        <v>#VALUE!</v>
      </c>
    </row>
    <row r="334" spans="1:32" x14ac:dyDescent="0.3">
      <c r="A334">
        <v>5</v>
      </c>
      <c r="B334" t="s">
        <v>76</v>
      </c>
      <c r="C334" t="s">
        <v>34</v>
      </c>
      <c r="D334">
        <v>45321</v>
      </c>
      <c r="E334">
        <v>183.89</v>
      </c>
      <c r="F334">
        <v>48.62</v>
      </c>
      <c r="G334">
        <v>183.871611</v>
      </c>
      <c r="H334">
        <v>48.624862</v>
      </c>
      <c r="I334">
        <v>5.1224169451017652</v>
      </c>
      <c r="J334">
        <v>0.83779571666773978</v>
      </c>
      <c r="K334">
        <v>-5.4380336070476917E-2</v>
      </c>
      <c r="L334">
        <v>0.17231503839320031</v>
      </c>
      <c r="M334" t="s">
        <v>27</v>
      </c>
      <c r="N334">
        <v>3</v>
      </c>
      <c r="O334" t="s">
        <v>28</v>
      </c>
      <c r="P334">
        <v>45324</v>
      </c>
      <c r="Q334">
        <v>182.77500000000001</v>
      </c>
      <c r="R334">
        <v>49.18</v>
      </c>
      <c r="S334">
        <v>0.43212195566725398</v>
      </c>
      <c r="T334">
        <v>0.15713049621877331</v>
      </c>
      <c r="U334">
        <v>0.15345131855076</v>
      </c>
      <c r="V334">
        <v>3.6755589924788129E-3</v>
      </c>
      <c r="W334">
        <v>0.14977575955828121</v>
      </c>
      <c r="X334" s="19">
        <f t="shared" si="15"/>
        <v>46034</v>
      </c>
      <c r="Y334" s="19">
        <f t="shared" si="16"/>
        <v>46034</v>
      </c>
      <c r="Z334">
        <f t="array" ref="Z334">_xlfn.XLOOKUP(INT(X334),INT($AE$2:$AE$1000),$AG$2:$AG$1000,"")</f>
        <v>15.12</v>
      </c>
      <c r="AE334" s="19" t="e">
        <f t="shared" si="17"/>
        <v>#VALUE!</v>
      </c>
    </row>
    <row r="335" spans="1:32" x14ac:dyDescent="0.3">
      <c r="A335">
        <v>5</v>
      </c>
      <c r="B335" t="s">
        <v>76</v>
      </c>
      <c r="C335" t="s">
        <v>34</v>
      </c>
      <c r="D335">
        <v>46102</v>
      </c>
      <c r="E335">
        <v>183.04</v>
      </c>
      <c r="F335">
        <v>50.09</v>
      </c>
      <c r="G335">
        <v>183.02169599999999</v>
      </c>
      <c r="H335">
        <v>50.095008999999997</v>
      </c>
      <c r="I335">
        <v>3.7451329770824691</v>
      </c>
      <c r="J335">
        <v>0.83779571666773978</v>
      </c>
      <c r="K335">
        <v>-5.4632867132867143E-2</v>
      </c>
      <c r="L335">
        <v>0.1672580787917228</v>
      </c>
      <c r="M335" t="s">
        <v>27</v>
      </c>
      <c r="N335">
        <v>20</v>
      </c>
      <c r="O335" t="s">
        <v>28</v>
      </c>
      <c r="P335">
        <v>46122</v>
      </c>
      <c r="Q335">
        <v>180.28</v>
      </c>
      <c r="R335">
        <v>50.18</v>
      </c>
      <c r="S335">
        <v>-0.42986150116190408</v>
      </c>
      <c r="T335">
        <v>0.1658399403779672</v>
      </c>
      <c r="U335">
        <v>0.16217792229325181</v>
      </c>
      <c r="V335">
        <v>3.6755589924788129E-3</v>
      </c>
      <c r="W335">
        <v>0.158502363300773</v>
      </c>
      <c r="X335" s="19">
        <f t="shared" si="15"/>
        <v>46036</v>
      </c>
      <c r="Y335" s="19">
        <f t="shared" si="16"/>
        <v>46036</v>
      </c>
      <c r="Z335">
        <f t="array" ref="Z335">_xlfn.XLOOKUP(INT(X335),INT($AE$2:$AE$1000),$AG$2:$AG$1000,"")</f>
        <v>16.75</v>
      </c>
      <c r="AE335" s="19" t="e">
        <f t="shared" si="17"/>
        <v>#VALUE!</v>
      </c>
    </row>
    <row r="336" spans="1:32" x14ac:dyDescent="0.3">
      <c r="A336">
        <v>5</v>
      </c>
      <c r="B336" t="s">
        <v>76</v>
      </c>
      <c r="C336" t="s">
        <v>34</v>
      </c>
      <c r="D336">
        <v>47268</v>
      </c>
      <c r="E336">
        <v>182.83</v>
      </c>
      <c r="F336">
        <v>50.86</v>
      </c>
      <c r="G336">
        <v>182.84828300000001</v>
      </c>
      <c r="H336">
        <v>50.854914000000001</v>
      </c>
      <c r="I336">
        <v>-3.789543788202864</v>
      </c>
      <c r="J336">
        <v>0.83779571666773978</v>
      </c>
      <c r="K336">
        <v>5.4695618880927631E-2</v>
      </c>
      <c r="L336">
        <v>-0.16472585856620919</v>
      </c>
      <c r="M336" t="s">
        <v>29</v>
      </c>
      <c r="N336">
        <v>7</v>
      </c>
      <c r="O336" t="s">
        <v>28</v>
      </c>
      <c r="P336">
        <v>47275</v>
      </c>
      <c r="Q336">
        <v>183</v>
      </c>
      <c r="R336">
        <v>50.81</v>
      </c>
      <c r="S336">
        <v>-6.8661207322118251E-2</v>
      </c>
      <c r="T336">
        <v>1.753454813806701E-2</v>
      </c>
      <c r="U336">
        <v>1.38588505085037E-2</v>
      </c>
      <c r="V336">
        <v>3.675623874192146E-3</v>
      </c>
      <c r="W336">
        <v>1.018322663431155E-2</v>
      </c>
      <c r="X336" s="19">
        <f t="shared" si="15"/>
        <v>46041</v>
      </c>
      <c r="Y336" s="19">
        <f t="shared" si="16"/>
        <v>46041</v>
      </c>
      <c r="Z336">
        <f t="array" ref="Z336">_xlfn.XLOOKUP(INT(X336),INT($AE$2:$AE$1000),$AG$2:$AG$1000,"")</f>
        <v>18.84</v>
      </c>
      <c r="AE336" s="19" t="e">
        <f t="shared" si="17"/>
        <v>#VALUE!</v>
      </c>
    </row>
    <row r="337" spans="1:32" x14ac:dyDescent="0.3">
      <c r="A337">
        <v>5</v>
      </c>
      <c r="B337" t="s">
        <v>87</v>
      </c>
      <c r="C337" t="s">
        <v>76</v>
      </c>
      <c r="D337">
        <v>43501</v>
      </c>
      <c r="E337">
        <v>117.22</v>
      </c>
      <c r="F337">
        <v>183.57</v>
      </c>
      <c r="G337">
        <v>117.231722</v>
      </c>
      <c r="H337">
        <v>183.55164300000001</v>
      </c>
      <c r="I337">
        <v>-5.2946501506417434</v>
      </c>
      <c r="J337">
        <v>1.4055877728458459</v>
      </c>
      <c r="K337">
        <v>8.5309674117044876E-2</v>
      </c>
      <c r="L337">
        <v>-7.6569579607007998E-2</v>
      </c>
      <c r="M337" t="s">
        <v>29</v>
      </c>
      <c r="N337">
        <v>23</v>
      </c>
      <c r="O337" t="s">
        <v>28</v>
      </c>
      <c r="P337">
        <v>43524</v>
      </c>
      <c r="Q337">
        <v>117.125</v>
      </c>
      <c r="R337">
        <v>183.61500000000001</v>
      </c>
      <c r="S337">
        <v>-0.49190250869519991</v>
      </c>
      <c r="T337">
        <v>-1.155005012343575E-2</v>
      </c>
      <c r="U337">
        <v>-1.6360759790331469E-2</v>
      </c>
      <c r="V337">
        <v>4.8110944281371222E-3</v>
      </c>
      <c r="W337">
        <v>-2.1171854218468591E-2</v>
      </c>
      <c r="X337" s="19">
        <f t="shared" si="15"/>
        <v>46027</v>
      </c>
      <c r="Y337" s="19">
        <f t="shared" si="16"/>
        <v>46027</v>
      </c>
      <c r="Z337">
        <f t="array" ref="Z337">_xlfn.XLOOKUP(INT(X337),INT($AE$2:$AE$1000),$AG$2:$AG$1000,"")</f>
        <v>14.9</v>
      </c>
      <c r="AE337" s="19" t="e">
        <f t="shared" si="17"/>
        <v>#VALUE!</v>
      </c>
      <c r="AF337" s="19"/>
    </row>
    <row r="338" spans="1:32" x14ac:dyDescent="0.3">
      <c r="A338">
        <v>5</v>
      </c>
      <c r="B338" t="s">
        <v>87</v>
      </c>
      <c r="C338" t="s">
        <v>76</v>
      </c>
      <c r="D338">
        <v>43746</v>
      </c>
      <c r="E338">
        <v>117.3</v>
      </c>
      <c r="F338">
        <v>182.83</v>
      </c>
      <c r="G338">
        <v>117.28827</v>
      </c>
      <c r="H338">
        <v>182.84828300000001</v>
      </c>
      <c r="I338">
        <v>3.527810585627182</v>
      </c>
      <c r="J338">
        <v>1.4055877728458459</v>
      </c>
      <c r="K338">
        <v>-8.525149190110827E-2</v>
      </c>
      <c r="L338">
        <v>7.6879493127268272E-2</v>
      </c>
      <c r="M338" t="s">
        <v>27</v>
      </c>
      <c r="N338">
        <v>19</v>
      </c>
      <c r="O338" t="s">
        <v>28</v>
      </c>
      <c r="P338">
        <v>43765</v>
      </c>
      <c r="Q338">
        <v>116.015</v>
      </c>
      <c r="R338">
        <v>181.13499999999999</v>
      </c>
      <c r="S338">
        <v>0.38051139423535191</v>
      </c>
      <c r="T338">
        <v>-2.076257375779755E-2</v>
      </c>
      <c r="U338">
        <v>-2.5549763412694281E-2</v>
      </c>
      <c r="V338">
        <v>4.8112566632462616E-3</v>
      </c>
      <c r="W338">
        <v>-3.0361020075940551E-2</v>
      </c>
      <c r="X338" s="19">
        <f t="shared" si="15"/>
        <v>46028</v>
      </c>
      <c r="Y338" s="19">
        <f t="shared" si="16"/>
        <v>46028</v>
      </c>
      <c r="Z338">
        <f t="array" ref="Z338">_xlfn.XLOOKUP(INT(X338),INT($AE$2:$AE$1000),$AG$2:$AG$1000,"")</f>
        <v>14.75</v>
      </c>
      <c r="AE338" s="19" t="e">
        <f t="shared" si="17"/>
        <v>#VALUE!</v>
      </c>
      <c r="AF338" s="19"/>
    </row>
    <row r="339" spans="1:32" x14ac:dyDescent="0.3">
      <c r="A339">
        <v>5</v>
      </c>
      <c r="B339" t="s">
        <v>87</v>
      </c>
      <c r="C339" t="s">
        <v>76</v>
      </c>
      <c r="D339">
        <v>44130</v>
      </c>
      <c r="E339">
        <v>111.99</v>
      </c>
      <c r="F339">
        <v>180.04499999999999</v>
      </c>
      <c r="G339">
        <v>111.978801</v>
      </c>
      <c r="H339">
        <v>180.06300450000001</v>
      </c>
      <c r="I339">
        <v>3.586273357837567</v>
      </c>
      <c r="J339">
        <v>1.4055877728458459</v>
      </c>
      <c r="K339">
        <v>-8.9293686936333605E-2</v>
      </c>
      <c r="L339">
        <v>7.8068692429439632E-2</v>
      </c>
      <c r="M339" t="s">
        <v>27</v>
      </c>
      <c r="N339">
        <v>8</v>
      </c>
      <c r="O339" t="s">
        <v>28</v>
      </c>
      <c r="P339">
        <v>44138</v>
      </c>
      <c r="Q339">
        <v>112.32</v>
      </c>
      <c r="R339">
        <v>180.75</v>
      </c>
      <c r="S339">
        <v>0.27222272608961079</v>
      </c>
      <c r="T339">
        <v>2.5571511473765979E-2</v>
      </c>
      <c r="U339">
        <v>2.0751885393589371E-2</v>
      </c>
      <c r="V339">
        <v>4.8112566632462607E-3</v>
      </c>
      <c r="W339">
        <v>1.5940628730343111E-2</v>
      </c>
      <c r="X339" s="19">
        <f t="shared" si="15"/>
        <v>46029</v>
      </c>
      <c r="Y339" s="19">
        <f t="shared" si="16"/>
        <v>46029</v>
      </c>
      <c r="Z339">
        <f t="array" ref="Z339">_xlfn.XLOOKUP(INT(X339),INT($AE$2:$AE$1000),$AG$2:$AG$1000,"")</f>
        <v>15.38</v>
      </c>
      <c r="AE339" s="19" t="e">
        <f t="shared" si="17"/>
        <v>#VALUE!</v>
      </c>
      <c r="AF339" s="19"/>
    </row>
    <row r="340" spans="1:32" x14ac:dyDescent="0.3">
      <c r="A340">
        <v>5</v>
      </c>
      <c r="B340" t="s">
        <v>87</v>
      </c>
      <c r="C340" t="s">
        <v>76</v>
      </c>
      <c r="D340">
        <v>44148</v>
      </c>
      <c r="E340">
        <v>114.34</v>
      </c>
      <c r="F340">
        <v>185.15</v>
      </c>
      <c r="G340">
        <v>114.351434</v>
      </c>
      <c r="H340">
        <v>185.131485</v>
      </c>
      <c r="I340">
        <v>-4.1541981973553117</v>
      </c>
      <c r="J340">
        <v>1.4055877728458459</v>
      </c>
      <c r="K340">
        <v>8.745845723281441E-2</v>
      </c>
      <c r="L340">
        <v>-7.5916163804798584E-2</v>
      </c>
      <c r="M340" t="s">
        <v>29</v>
      </c>
      <c r="N340">
        <v>17</v>
      </c>
      <c r="O340" t="s">
        <v>28</v>
      </c>
      <c r="P340">
        <v>44165</v>
      </c>
      <c r="Q340">
        <v>115.905</v>
      </c>
      <c r="R340">
        <v>186.32</v>
      </c>
      <c r="S340">
        <v>-7.9386938946508404E-2</v>
      </c>
      <c r="T340">
        <v>4.8050573917740973E-2</v>
      </c>
      <c r="U340">
        <v>4.3216828932327603E-2</v>
      </c>
      <c r="V340">
        <v>4.8110944281371222E-3</v>
      </c>
      <c r="W340">
        <v>3.8405734504190478E-2</v>
      </c>
      <c r="X340" s="19">
        <f t="shared" si="15"/>
        <v>46029</v>
      </c>
      <c r="Y340" s="19">
        <f t="shared" si="16"/>
        <v>46029</v>
      </c>
      <c r="Z340">
        <f t="array" ref="Z340">_xlfn.XLOOKUP(INT(X340),INT($AE$2:$AE$1000),$AG$2:$AG$1000,"")</f>
        <v>15.38</v>
      </c>
      <c r="AE340" s="19" t="e">
        <f t="shared" si="17"/>
        <v>#VALUE!</v>
      </c>
      <c r="AF340" s="19"/>
    </row>
    <row r="341" spans="1:32" x14ac:dyDescent="0.3">
      <c r="A341">
        <v>5</v>
      </c>
      <c r="B341" t="s">
        <v>87</v>
      </c>
      <c r="C341" t="s">
        <v>76</v>
      </c>
      <c r="D341">
        <v>44270</v>
      </c>
      <c r="E341">
        <v>116.97</v>
      </c>
      <c r="F341">
        <v>191.13</v>
      </c>
      <c r="G341">
        <v>116.981697</v>
      </c>
      <c r="H341">
        <v>191.11088699999999</v>
      </c>
      <c r="I341">
        <v>-3.6197200704713119</v>
      </c>
      <c r="J341">
        <v>1.4055877728458459</v>
      </c>
      <c r="K341">
        <v>8.5492006497392498E-2</v>
      </c>
      <c r="L341">
        <v>-7.354092883617673E-2</v>
      </c>
      <c r="M341" t="s">
        <v>29</v>
      </c>
      <c r="N341">
        <v>15</v>
      </c>
      <c r="O341" t="s">
        <v>28</v>
      </c>
      <c r="P341">
        <v>44285</v>
      </c>
      <c r="Q341">
        <v>117.07</v>
      </c>
      <c r="R341">
        <v>191.07</v>
      </c>
      <c r="S341">
        <v>-0.45462263530516878</v>
      </c>
      <c r="T341">
        <v>1.296165637990954E-2</v>
      </c>
      <c r="U341">
        <v>8.1500671597262778E-3</v>
      </c>
      <c r="V341">
        <v>4.8110944281371222E-3</v>
      </c>
      <c r="W341">
        <v>3.338972731589156E-3</v>
      </c>
      <c r="X341" s="19">
        <f t="shared" si="15"/>
        <v>46029</v>
      </c>
      <c r="Y341" s="19">
        <f t="shared" si="16"/>
        <v>46029</v>
      </c>
      <c r="Z341">
        <f t="array" ref="Z341">_xlfn.XLOOKUP(INT(X341),INT($AE$2:$AE$1000),$AG$2:$AG$1000,"")</f>
        <v>15.38</v>
      </c>
      <c r="AE341" s="19" t="e">
        <f t="shared" si="17"/>
        <v>#VALUE!</v>
      </c>
      <c r="AF341" s="19"/>
    </row>
    <row r="342" spans="1:32" x14ac:dyDescent="0.3">
      <c r="A342">
        <v>5</v>
      </c>
      <c r="B342" t="s">
        <v>87</v>
      </c>
      <c r="C342" t="s">
        <v>76</v>
      </c>
      <c r="D342">
        <v>45082</v>
      </c>
      <c r="E342">
        <v>115.355</v>
      </c>
      <c r="F342">
        <v>185.10499999999999</v>
      </c>
      <c r="G342">
        <v>115.3665355</v>
      </c>
      <c r="H342">
        <v>185.0864895</v>
      </c>
      <c r="I342">
        <v>-3.6427687225875429</v>
      </c>
      <c r="J342">
        <v>1.4055877728458459</v>
      </c>
      <c r="K342">
        <v>8.6688916821984305E-2</v>
      </c>
      <c r="L342">
        <v>-7.5934619423886227E-2</v>
      </c>
      <c r="M342" t="s">
        <v>29</v>
      </c>
      <c r="N342">
        <v>20</v>
      </c>
      <c r="O342" t="s">
        <v>28</v>
      </c>
      <c r="P342">
        <v>45102</v>
      </c>
      <c r="Q342">
        <v>115.105</v>
      </c>
      <c r="R342">
        <v>184.99</v>
      </c>
      <c r="S342">
        <v>-0.16032558250913101</v>
      </c>
      <c r="T342">
        <v>-1.2939747971750629E-2</v>
      </c>
      <c r="U342">
        <v>-1.774788304639649E-2</v>
      </c>
      <c r="V342">
        <v>4.8110944281371231E-3</v>
      </c>
      <c r="W342">
        <v>-2.2558977474533611E-2</v>
      </c>
      <c r="X342" s="19">
        <f t="shared" si="15"/>
        <v>46031</v>
      </c>
      <c r="Y342" s="19">
        <f t="shared" si="16"/>
        <v>46031</v>
      </c>
      <c r="Z342">
        <f t="array" ref="Z342">_xlfn.XLOOKUP(INT(X342),INT($AE$2:$AE$1000),$AG$2:$AG$1000,"")</f>
        <v>14.49</v>
      </c>
      <c r="AE342" s="19" t="e">
        <f t="shared" si="17"/>
        <v>#VALUE!</v>
      </c>
      <c r="AF342" s="19"/>
    </row>
    <row r="343" spans="1:32" x14ac:dyDescent="0.3">
      <c r="A343">
        <v>5</v>
      </c>
      <c r="B343" t="s">
        <v>87</v>
      </c>
      <c r="C343" t="s">
        <v>76</v>
      </c>
      <c r="D343">
        <v>45321</v>
      </c>
      <c r="E343">
        <v>113.73</v>
      </c>
      <c r="F343">
        <v>183.89</v>
      </c>
      <c r="G343">
        <v>113.741373</v>
      </c>
      <c r="H343">
        <v>183.871611</v>
      </c>
      <c r="I343">
        <v>-4.2566833075159636</v>
      </c>
      <c r="J343">
        <v>1.4055877728458459</v>
      </c>
      <c r="K343">
        <v>8.7927547700694622E-2</v>
      </c>
      <c r="L343">
        <v>-7.6436335463910265E-2</v>
      </c>
      <c r="M343" t="s">
        <v>29</v>
      </c>
      <c r="N343">
        <v>2</v>
      </c>
      <c r="O343" t="s">
        <v>28</v>
      </c>
      <c r="P343">
        <v>45323</v>
      </c>
      <c r="Q343">
        <v>113.68</v>
      </c>
      <c r="R343">
        <v>182.77500000000001</v>
      </c>
      <c r="S343">
        <v>7.4030595856448458E-2</v>
      </c>
      <c r="T343">
        <v>8.083013665722398E-2</v>
      </c>
      <c r="U343">
        <v>7.6027923400675684E-2</v>
      </c>
      <c r="V343">
        <v>4.8110944281371231E-3</v>
      </c>
      <c r="W343">
        <v>7.1216828972538559E-2</v>
      </c>
      <c r="X343" s="19">
        <f t="shared" si="15"/>
        <v>46034</v>
      </c>
      <c r="Y343" s="19">
        <f t="shared" si="16"/>
        <v>46034</v>
      </c>
      <c r="Z343">
        <f t="array" ref="Z343">_xlfn.XLOOKUP(INT(X343),INT($AE$2:$AE$1000),$AG$2:$AG$1000,"")</f>
        <v>15.12</v>
      </c>
      <c r="AE343" s="19" t="e">
        <f t="shared" si="17"/>
        <v>#VALUE!</v>
      </c>
      <c r="AF343" s="19"/>
    </row>
    <row r="344" spans="1:32" x14ac:dyDescent="0.3">
      <c r="A344">
        <v>5</v>
      </c>
      <c r="B344" t="s">
        <v>87</v>
      </c>
      <c r="C344" t="s">
        <v>76</v>
      </c>
      <c r="D344">
        <v>45558</v>
      </c>
      <c r="E344">
        <v>114.29</v>
      </c>
      <c r="F344">
        <v>183.26499999999999</v>
      </c>
      <c r="G344">
        <v>114.301429</v>
      </c>
      <c r="H344">
        <v>183.24667350000001</v>
      </c>
      <c r="I344">
        <v>-3.5155871539595629</v>
      </c>
      <c r="J344">
        <v>1.4055877728458459</v>
      </c>
      <c r="K344">
        <v>8.7496718873042251E-2</v>
      </c>
      <c r="L344">
        <v>-7.6697011041161486E-2</v>
      </c>
      <c r="M344" t="s">
        <v>29</v>
      </c>
      <c r="N344">
        <v>18</v>
      </c>
      <c r="O344" t="s">
        <v>28</v>
      </c>
      <c r="P344">
        <v>45576</v>
      </c>
      <c r="Q344">
        <v>114.17</v>
      </c>
      <c r="R344">
        <v>183.11500000000001</v>
      </c>
      <c r="S344">
        <v>-0.45261173108776881</v>
      </c>
      <c r="T344">
        <v>1.0049453914070109E-3</v>
      </c>
      <c r="U344">
        <v>-3.8040297384922682E-3</v>
      </c>
      <c r="V344">
        <v>4.8110944281371231E-3</v>
      </c>
      <c r="W344">
        <v>-8.6151241666293909E-3</v>
      </c>
      <c r="X344" s="19">
        <f t="shared" si="15"/>
        <v>46034</v>
      </c>
      <c r="Y344" s="19">
        <f t="shared" si="16"/>
        <v>46034</v>
      </c>
      <c r="Z344">
        <f t="array" ref="Z344">_xlfn.XLOOKUP(INT(X344),INT($AE$2:$AE$1000),$AG$2:$AG$1000,"")</f>
        <v>15.12</v>
      </c>
      <c r="AE344" s="19" t="e">
        <f t="shared" si="17"/>
        <v>#VALUE!</v>
      </c>
      <c r="AF344" s="19"/>
    </row>
    <row r="345" spans="1:32" x14ac:dyDescent="0.3">
      <c r="A345">
        <v>5</v>
      </c>
      <c r="B345" t="s">
        <v>87</v>
      </c>
      <c r="C345" t="s">
        <v>76</v>
      </c>
      <c r="D345">
        <v>46102</v>
      </c>
      <c r="E345">
        <v>114.9</v>
      </c>
      <c r="F345">
        <v>183.04</v>
      </c>
      <c r="G345">
        <v>114.91149</v>
      </c>
      <c r="H345">
        <v>183.02169599999999</v>
      </c>
      <c r="I345">
        <v>-3.893319089644049</v>
      </c>
      <c r="J345">
        <v>1.4055877728458459</v>
      </c>
      <c r="K345">
        <v>8.7032201914708437E-2</v>
      </c>
      <c r="L345">
        <v>-7.6791290037469734E-2</v>
      </c>
      <c r="M345" t="s">
        <v>29</v>
      </c>
      <c r="N345">
        <v>37</v>
      </c>
      <c r="O345" t="s">
        <v>28</v>
      </c>
      <c r="P345">
        <v>46139</v>
      </c>
      <c r="Q345">
        <v>115</v>
      </c>
      <c r="R345">
        <v>180.25</v>
      </c>
      <c r="S345">
        <v>0.37956705105258742</v>
      </c>
      <c r="T345">
        <v>0.22295091939601031</v>
      </c>
      <c r="U345">
        <v>0.21816029829822089</v>
      </c>
      <c r="V345">
        <v>4.8110944281371231E-3</v>
      </c>
      <c r="W345">
        <v>0.2133492038700838</v>
      </c>
      <c r="X345" s="19">
        <f t="shared" si="15"/>
        <v>46036</v>
      </c>
      <c r="Y345" s="19">
        <f t="shared" si="16"/>
        <v>46036</v>
      </c>
      <c r="Z345">
        <f t="array" ref="Z345">_xlfn.XLOOKUP(INT(X345),INT($AE$2:$AE$1000),$AG$2:$AG$1000,"")</f>
        <v>16.75</v>
      </c>
      <c r="AE345" s="19" t="e">
        <f t="shared" si="17"/>
        <v>#VALUE!</v>
      </c>
    </row>
    <row r="346" spans="1:32" x14ac:dyDescent="0.3">
      <c r="A346">
        <v>5</v>
      </c>
      <c r="B346" t="s">
        <v>87</v>
      </c>
      <c r="C346" t="s">
        <v>76</v>
      </c>
      <c r="D346">
        <v>46486</v>
      </c>
      <c r="E346">
        <v>113.63500000000001</v>
      </c>
      <c r="F346">
        <v>178.68</v>
      </c>
      <c r="G346">
        <v>113.6236365</v>
      </c>
      <c r="H346">
        <v>178.697868</v>
      </c>
      <c r="I346">
        <v>3.5948008626216712</v>
      </c>
      <c r="J346">
        <v>1.4055877728458459</v>
      </c>
      <c r="K346">
        <v>-8.8001056012672149E-2</v>
      </c>
      <c r="L346">
        <v>7.8665086906528195E-2</v>
      </c>
      <c r="M346" t="s">
        <v>27</v>
      </c>
      <c r="N346">
        <v>4</v>
      </c>
      <c r="O346" t="s">
        <v>28</v>
      </c>
      <c r="P346">
        <v>46490</v>
      </c>
      <c r="Q346">
        <v>113.66500000000001</v>
      </c>
      <c r="R346">
        <v>178.94</v>
      </c>
      <c r="S346">
        <v>-0.28794511154190472</v>
      </c>
      <c r="T346">
        <v>1.7812890915316348E-2</v>
      </c>
      <c r="U346">
        <v>1.299940607419924E-2</v>
      </c>
      <c r="V346">
        <v>4.8112566632462616E-3</v>
      </c>
      <c r="W346">
        <v>8.1881494109529787E-3</v>
      </c>
      <c r="X346" s="19">
        <f t="shared" si="15"/>
        <v>46037</v>
      </c>
      <c r="Y346" s="19">
        <f t="shared" si="16"/>
        <v>46037</v>
      </c>
      <c r="Z346">
        <f t="array" ref="Z346">_xlfn.XLOOKUP(INT(X346),INT($AE$2:$AE$1000),$AG$2:$AG$1000,"")</f>
        <v>15.84</v>
      </c>
      <c r="AE346" s="19" t="e">
        <f t="shared" si="17"/>
        <v>#VALUE!</v>
      </c>
    </row>
    <row r="347" spans="1:32" x14ac:dyDescent="0.3">
      <c r="A347">
        <v>5</v>
      </c>
      <c r="B347" t="s">
        <v>87</v>
      </c>
      <c r="C347" t="s">
        <v>76</v>
      </c>
      <c r="D347">
        <v>46493</v>
      </c>
      <c r="E347">
        <v>114.44</v>
      </c>
      <c r="F347">
        <v>179.36</v>
      </c>
      <c r="G347">
        <v>114.428556</v>
      </c>
      <c r="H347">
        <v>179.37793600000001</v>
      </c>
      <c r="I347">
        <v>3.5274263437302111</v>
      </c>
      <c r="J347">
        <v>1.4055877728458459</v>
      </c>
      <c r="K347">
        <v>-8.7382034253757429E-2</v>
      </c>
      <c r="L347">
        <v>7.8366847281771068E-2</v>
      </c>
      <c r="M347" t="s">
        <v>27</v>
      </c>
      <c r="N347">
        <v>20</v>
      </c>
      <c r="O347" t="s">
        <v>28</v>
      </c>
      <c r="P347">
        <v>46513</v>
      </c>
      <c r="Q347">
        <v>115.24</v>
      </c>
      <c r="R347">
        <v>181.185</v>
      </c>
      <c r="S347">
        <v>-0.18025588961307279</v>
      </c>
      <c r="T347">
        <v>7.3113868886225605E-2</v>
      </c>
      <c r="U347">
        <v>6.8281400828167194E-2</v>
      </c>
      <c r="V347">
        <v>4.8112566632462616E-3</v>
      </c>
      <c r="W347">
        <v>6.347014416492093E-2</v>
      </c>
      <c r="X347" s="19">
        <f t="shared" si="15"/>
        <v>46037</v>
      </c>
      <c r="Y347" s="19">
        <f t="shared" si="16"/>
        <v>46037</v>
      </c>
      <c r="Z347">
        <f t="array" ref="Z347">_xlfn.XLOOKUP(INT(X347),INT($AE$2:$AE$1000),$AG$2:$AG$1000,"")</f>
        <v>15.84</v>
      </c>
      <c r="AE347" s="19" t="e">
        <f t="shared" si="17"/>
        <v>#VALUE!</v>
      </c>
    </row>
    <row r="348" spans="1:32" x14ac:dyDescent="0.3">
      <c r="A348">
        <v>5</v>
      </c>
      <c r="B348" t="s">
        <v>87</v>
      </c>
      <c r="C348" t="s">
        <v>76</v>
      </c>
      <c r="D348">
        <v>46883</v>
      </c>
      <c r="E348">
        <v>114.82</v>
      </c>
      <c r="F348">
        <v>182.45500000000001</v>
      </c>
      <c r="G348">
        <v>114.83148199999999</v>
      </c>
      <c r="H348">
        <v>182.43675450000001</v>
      </c>
      <c r="I348">
        <v>-3.8525834427690691</v>
      </c>
      <c r="J348">
        <v>1.4055877728458459</v>
      </c>
      <c r="K348">
        <v>8.709284096847239E-2</v>
      </c>
      <c r="L348">
        <v>-7.7037503649987432E-2</v>
      </c>
      <c r="M348" t="s">
        <v>29</v>
      </c>
      <c r="N348">
        <v>16</v>
      </c>
      <c r="O348" t="s">
        <v>28</v>
      </c>
      <c r="P348">
        <v>46899</v>
      </c>
      <c r="Q348">
        <v>114.95</v>
      </c>
      <c r="R348">
        <v>182.45500000000001</v>
      </c>
      <c r="S348">
        <v>-0.14314274877294089</v>
      </c>
      <c r="T348">
        <v>1.132206932590225E-2</v>
      </c>
      <c r="U348">
        <v>6.5097615732772566E-3</v>
      </c>
      <c r="V348">
        <v>4.8110944281371222E-3</v>
      </c>
      <c r="W348">
        <v>1.6986671451401339E-3</v>
      </c>
      <c r="X348" s="19">
        <f t="shared" si="15"/>
        <v>46038</v>
      </c>
      <c r="Y348" s="19">
        <f t="shared" si="16"/>
        <v>46038</v>
      </c>
      <c r="Z348">
        <f t="array" ref="Z348">_xlfn.XLOOKUP(INT(X348),INT($AE$2:$AE$1000),$AG$2:$AG$1000,"")</f>
        <v>15.86</v>
      </c>
      <c r="AE348" s="19" t="e">
        <f t="shared" si="17"/>
        <v>#VALUE!</v>
      </c>
    </row>
    <row r="349" spans="1:32" x14ac:dyDescent="0.3">
      <c r="A349">
        <v>5</v>
      </c>
      <c r="B349" t="s">
        <v>87</v>
      </c>
      <c r="C349" t="s">
        <v>76</v>
      </c>
      <c r="D349">
        <v>47273</v>
      </c>
      <c r="E349">
        <v>114.785</v>
      </c>
      <c r="F349">
        <v>182.43</v>
      </c>
      <c r="G349">
        <v>114.7735215</v>
      </c>
      <c r="H349">
        <v>182.44824299999999</v>
      </c>
      <c r="I349">
        <v>3.8843672806573721</v>
      </c>
      <c r="J349">
        <v>1.4055877728458459</v>
      </c>
      <c r="K349">
        <v>-8.7119397133771842E-2</v>
      </c>
      <c r="L349">
        <v>7.7048060781990127E-2</v>
      </c>
      <c r="M349" t="s">
        <v>27</v>
      </c>
      <c r="N349">
        <v>3</v>
      </c>
      <c r="O349" t="s">
        <v>28</v>
      </c>
      <c r="P349">
        <v>47276</v>
      </c>
      <c r="Q349">
        <v>114.85</v>
      </c>
      <c r="R349">
        <v>183</v>
      </c>
      <c r="S349">
        <v>0.30032524129669819</v>
      </c>
      <c r="T349">
        <v>3.8254633832038878E-2</v>
      </c>
      <c r="U349">
        <v>3.3438500270802633E-2</v>
      </c>
      <c r="V349">
        <v>4.8112566632462616E-3</v>
      </c>
      <c r="W349">
        <v>2.862724360755636E-2</v>
      </c>
      <c r="X349" s="19">
        <f t="shared" si="15"/>
        <v>46041</v>
      </c>
      <c r="Y349" s="19">
        <f t="shared" si="16"/>
        <v>46041</v>
      </c>
      <c r="Z349">
        <f t="array" ref="Z349">_xlfn.XLOOKUP(INT(X349),INT($AE$2:$AE$1000),$AG$2:$AG$1000,"")</f>
        <v>18.84</v>
      </c>
      <c r="AE349" s="19" t="e">
        <f t="shared" si="17"/>
        <v>#VALUE!</v>
      </c>
    </row>
    <row r="350" spans="1:32" x14ac:dyDescent="0.3">
      <c r="A350">
        <v>6</v>
      </c>
      <c r="B350" t="s">
        <v>25</v>
      </c>
      <c r="C350" t="s">
        <v>30</v>
      </c>
      <c r="D350">
        <v>47401</v>
      </c>
      <c r="E350">
        <v>301.29000000000002</v>
      </c>
      <c r="F350">
        <v>51.65</v>
      </c>
      <c r="G350">
        <v>301.25987099999998</v>
      </c>
      <c r="H350">
        <v>51.655164999999997</v>
      </c>
      <c r="I350">
        <v>5.2946304657620784</v>
      </c>
      <c r="J350">
        <v>1.049029346166849</v>
      </c>
      <c r="K350">
        <v>-3.3190613694447209E-2</v>
      </c>
      <c r="L350">
        <v>0.20310345521139381</v>
      </c>
      <c r="M350" t="s">
        <v>27</v>
      </c>
      <c r="N350">
        <v>23</v>
      </c>
      <c r="O350" t="s">
        <v>28</v>
      </c>
      <c r="P350">
        <v>47424</v>
      </c>
      <c r="Q350">
        <v>301.3</v>
      </c>
      <c r="R350">
        <v>51.674999999999997</v>
      </c>
      <c r="S350">
        <v>0.49150747118914723</v>
      </c>
      <c r="T350">
        <v>4.7456802433403873E-3</v>
      </c>
      <c r="U350">
        <v>6.4708060175645626E-4</v>
      </c>
      <c r="V350">
        <v>4.0980684982029319E-3</v>
      </c>
      <c r="W350">
        <v>-3.4509878964464761E-3</v>
      </c>
      <c r="X350" s="19">
        <f t="shared" si="15"/>
        <v>46041</v>
      </c>
      <c r="Y350" s="19">
        <f t="shared" si="16"/>
        <v>46041</v>
      </c>
      <c r="Z350">
        <f t="array" ref="Z350">_xlfn.XLOOKUP(INT(X350),INT($AE$2:$AE$1000),$AG$2:$AG$1000,"")</f>
        <v>18.84</v>
      </c>
      <c r="AE350" s="19" t="e">
        <f t="shared" si="17"/>
        <v>#VALUE!</v>
      </c>
    </row>
    <row r="351" spans="1:32" x14ac:dyDescent="0.3">
      <c r="A351">
        <v>6</v>
      </c>
      <c r="B351" t="s">
        <v>25</v>
      </c>
      <c r="C351" t="s">
        <v>30</v>
      </c>
      <c r="D351">
        <v>47638</v>
      </c>
      <c r="E351">
        <v>300.86</v>
      </c>
      <c r="F351">
        <v>51.64</v>
      </c>
      <c r="G351">
        <v>300.890086</v>
      </c>
      <c r="H351">
        <v>51.634836</v>
      </c>
      <c r="I351">
        <v>-3.5518788122017551</v>
      </c>
      <c r="J351">
        <v>1.049029346166849</v>
      </c>
      <c r="K351">
        <v>3.3238050920694012E-2</v>
      </c>
      <c r="L351">
        <v>-0.20314278585725201</v>
      </c>
      <c r="M351" t="s">
        <v>29</v>
      </c>
      <c r="N351">
        <v>29</v>
      </c>
      <c r="O351" t="s">
        <v>28</v>
      </c>
      <c r="P351">
        <v>47667</v>
      </c>
      <c r="Q351">
        <v>304.89999999999998</v>
      </c>
      <c r="R351">
        <v>52.38</v>
      </c>
      <c r="S351">
        <v>0.14843382503864511</v>
      </c>
      <c r="T351">
        <v>-1.6043935814764269E-2</v>
      </c>
      <c r="U351">
        <v>-2.0170455245822141E-2</v>
      </c>
      <c r="V351">
        <v>4.098048886464466E-3</v>
      </c>
      <c r="W351">
        <v>-2.4268504132286609E-2</v>
      </c>
      <c r="X351" s="19">
        <f t="shared" si="15"/>
        <v>46042</v>
      </c>
      <c r="Y351" s="19">
        <f t="shared" si="16"/>
        <v>46042</v>
      </c>
      <c r="Z351">
        <f t="array" ref="Z351">_xlfn.XLOOKUP(INT(X351),INT($AE$2:$AE$1000),$AG$2:$AG$1000,"")</f>
        <v>20.09</v>
      </c>
      <c r="AE351" s="19" t="e">
        <f t="shared" si="17"/>
        <v>#VALUE!</v>
      </c>
    </row>
    <row r="352" spans="1:32" x14ac:dyDescent="0.3">
      <c r="A352">
        <v>6</v>
      </c>
      <c r="B352" t="s">
        <v>25</v>
      </c>
      <c r="C352" t="s">
        <v>30</v>
      </c>
      <c r="D352">
        <v>47964</v>
      </c>
      <c r="E352">
        <v>304.83</v>
      </c>
      <c r="F352">
        <v>52.87</v>
      </c>
      <c r="G352">
        <v>304.86048299999999</v>
      </c>
      <c r="H352">
        <v>52.864712999999988</v>
      </c>
      <c r="I352">
        <v>-4.1516297174629004</v>
      </c>
      <c r="J352">
        <v>1.049029346166849</v>
      </c>
      <c r="K352">
        <v>3.2805170094806942E-2</v>
      </c>
      <c r="L352">
        <v>-0.19841674790369759</v>
      </c>
      <c r="M352" t="s">
        <v>29</v>
      </c>
      <c r="N352">
        <v>9</v>
      </c>
      <c r="O352" t="s">
        <v>28</v>
      </c>
      <c r="P352">
        <v>47973</v>
      </c>
      <c r="Q352">
        <v>305.74</v>
      </c>
      <c r="R352">
        <v>52.884999999999998</v>
      </c>
      <c r="S352">
        <v>0.40576483883895809</v>
      </c>
      <c r="T352">
        <v>2.687645356771956E-2</v>
      </c>
      <c r="U352">
        <v>2.2775111979784889E-2</v>
      </c>
      <c r="V352">
        <v>4.0980488864644643E-3</v>
      </c>
      <c r="W352">
        <v>1.8677063093320422E-2</v>
      </c>
      <c r="X352" s="19">
        <f t="shared" si="15"/>
        <v>46042</v>
      </c>
      <c r="Y352" s="19">
        <f t="shared" si="16"/>
        <v>46043</v>
      </c>
      <c r="Z352">
        <f t="array" ref="Z352">_xlfn.XLOOKUP(INT(X352),INT($AE$2:$AE$1000),$AG$2:$AG$1000,"")</f>
        <v>20.09</v>
      </c>
      <c r="AE352" s="19" t="e">
        <f t="shared" si="17"/>
        <v>#VALUE!</v>
      </c>
    </row>
    <row r="353" spans="1:32" x14ac:dyDescent="0.3">
      <c r="A353">
        <v>6</v>
      </c>
      <c r="B353" t="s">
        <v>25</v>
      </c>
      <c r="C353" t="s">
        <v>30</v>
      </c>
      <c r="D353">
        <v>48224</v>
      </c>
      <c r="E353">
        <v>303.74</v>
      </c>
      <c r="F353">
        <v>52.99</v>
      </c>
      <c r="G353">
        <v>303.770374</v>
      </c>
      <c r="H353">
        <v>52.984701000000001</v>
      </c>
      <c r="I353">
        <v>-3.5960148268180601</v>
      </c>
      <c r="J353">
        <v>1.049029346166849</v>
      </c>
      <c r="K353">
        <v>3.2922894580891551E-2</v>
      </c>
      <c r="L353">
        <v>-0.1979674176574541</v>
      </c>
      <c r="M353" t="s">
        <v>29</v>
      </c>
      <c r="N353">
        <v>19</v>
      </c>
      <c r="O353" t="s">
        <v>28</v>
      </c>
      <c r="P353">
        <v>48243</v>
      </c>
      <c r="Q353">
        <v>303.51</v>
      </c>
      <c r="R353">
        <v>52.92</v>
      </c>
      <c r="S353">
        <v>2.9467072457728439E-2</v>
      </c>
      <c r="T353">
        <v>6.2854534824161859E-3</v>
      </c>
      <c r="U353">
        <v>2.1895377885821458E-3</v>
      </c>
      <c r="V353">
        <v>4.0980488864644652E-3</v>
      </c>
      <c r="W353">
        <v>-1.9085110978823189E-3</v>
      </c>
      <c r="X353" s="19">
        <f t="shared" si="15"/>
        <v>46043</v>
      </c>
      <c r="Y353" s="19">
        <f t="shared" si="16"/>
        <v>46043</v>
      </c>
      <c r="Z353">
        <f t="array" ref="Z353">_xlfn.XLOOKUP(INT(X353),INT($AE$2:$AE$1000),$AG$2:$AG$1000,"")</f>
        <v>16.899999999999999</v>
      </c>
      <c r="AE353" s="19" t="e">
        <f t="shared" si="17"/>
        <v>#VALUE!</v>
      </c>
    </row>
    <row r="354" spans="1:32" x14ac:dyDescent="0.3">
      <c r="A354">
        <v>6</v>
      </c>
      <c r="B354" t="s">
        <v>25</v>
      </c>
      <c r="C354" t="s">
        <v>30</v>
      </c>
      <c r="D354">
        <v>48834</v>
      </c>
      <c r="E354">
        <v>312.99</v>
      </c>
      <c r="F354">
        <v>54.57</v>
      </c>
      <c r="G354">
        <v>312.95870100000002</v>
      </c>
      <c r="H354">
        <v>54.575457</v>
      </c>
      <c r="I354">
        <v>3.5632040514477912</v>
      </c>
      <c r="J354">
        <v>1.049029346166849</v>
      </c>
      <c r="K354">
        <v>-3.1949902552797213E-2</v>
      </c>
      <c r="L354">
        <v>0.19223554080389391</v>
      </c>
      <c r="M354" t="s">
        <v>27</v>
      </c>
      <c r="N354">
        <v>1</v>
      </c>
      <c r="O354" t="s">
        <v>28</v>
      </c>
      <c r="P354">
        <v>48835</v>
      </c>
      <c r="Q354">
        <v>311.17</v>
      </c>
      <c r="R354">
        <v>54.49</v>
      </c>
      <c r="S354">
        <v>2.96945488582755E-2</v>
      </c>
      <c r="T354">
        <v>4.2769979381779517E-2</v>
      </c>
      <c r="U354">
        <v>3.8679273456037638E-2</v>
      </c>
      <c r="V354">
        <v>4.0980684982029319E-3</v>
      </c>
      <c r="W354">
        <v>3.4581204957834698E-2</v>
      </c>
      <c r="X354" s="19">
        <f t="shared" si="15"/>
        <v>46045</v>
      </c>
      <c r="Y354" s="19">
        <f t="shared" si="16"/>
        <v>46045</v>
      </c>
      <c r="Z354">
        <f t="array" ref="Z354">_xlfn.XLOOKUP(INT(X354),INT($AE$2:$AE$1000),$AG$2:$AG$1000,"")</f>
        <v>16.09</v>
      </c>
      <c r="AE354" s="19" t="e">
        <f t="shared" si="17"/>
        <v>#VALUE!</v>
      </c>
    </row>
    <row r="355" spans="1:32" x14ac:dyDescent="0.3">
      <c r="A355">
        <v>6</v>
      </c>
      <c r="B355" t="s">
        <v>25</v>
      </c>
      <c r="C355" t="s">
        <v>30</v>
      </c>
      <c r="D355">
        <v>49223</v>
      </c>
      <c r="E355">
        <v>316.18</v>
      </c>
      <c r="F355">
        <v>55.055</v>
      </c>
      <c r="G355">
        <v>316.21161799999999</v>
      </c>
      <c r="H355">
        <v>55.049494500000002</v>
      </c>
      <c r="I355">
        <v>-4.859089007060053</v>
      </c>
      <c r="J355">
        <v>1.049029346166849</v>
      </c>
      <c r="K355">
        <v>3.1627553924979443E-2</v>
      </c>
      <c r="L355">
        <v>-0.19054206632764489</v>
      </c>
      <c r="M355" t="s">
        <v>29</v>
      </c>
      <c r="N355">
        <v>31</v>
      </c>
      <c r="O355" t="s">
        <v>28</v>
      </c>
      <c r="P355">
        <v>49254</v>
      </c>
      <c r="Q355">
        <v>315.45</v>
      </c>
      <c r="R355">
        <v>55.23</v>
      </c>
      <c r="S355">
        <v>-0.18965137323514589</v>
      </c>
      <c r="T355">
        <v>-5.6432975972572887E-2</v>
      </c>
      <c r="U355">
        <v>-6.0532060339628997E-2</v>
      </c>
      <c r="V355">
        <v>4.0980488864644652E-3</v>
      </c>
      <c r="W355">
        <v>-6.4630109226093468E-2</v>
      </c>
      <c r="X355" s="19">
        <f t="shared" si="15"/>
        <v>46048</v>
      </c>
      <c r="Y355" s="19">
        <f t="shared" si="16"/>
        <v>46048</v>
      </c>
      <c r="Z355">
        <f t="array" ref="Z355">_xlfn.XLOOKUP(INT(X355),INT($AE$2:$AE$1000),$AG$2:$AG$1000,"")</f>
        <v>16.149999999999999</v>
      </c>
      <c r="AE355" s="19" t="e">
        <f t="shared" si="17"/>
        <v>#VALUE!</v>
      </c>
    </row>
    <row r="356" spans="1:32" x14ac:dyDescent="0.3">
      <c r="A356">
        <v>6</v>
      </c>
      <c r="B356" t="s">
        <v>25</v>
      </c>
      <c r="C356" t="s">
        <v>30</v>
      </c>
      <c r="D356">
        <v>49616</v>
      </c>
      <c r="E356">
        <v>311.875</v>
      </c>
      <c r="F356">
        <v>54.77</v>
      </c>
      <c r="G356">
        <v>311.90618749999999</v>
      </c>
      <c r="H356">
        <v>54.764522999999997</v>
      </c>
      <c r="I356">
        <v>-3.8976025459049848</v>
      </c>
      <c r="J356">
        <v>1.049029346166849</v>
      </c>
      <c r="K356">
        <v>3.2064128256513023E-2</v>
      </c>
      <c r="L356">
        <v>-0.1915335669466586</v>
      </c>
      <c r="M356" t="s">
        <v>29</v>
      </c>
      <c r="N356">
        <v>2</v>
      </c>
      <c r="O356" t="s">
        <v>28</v>
      </c>
      <c r="P356">
        <v>49618</v>
      </c>
      <c r="Q356">
        <v>311.14999999999998</v>
      </c>
      <c r="R356">
        <v>54.445</v>
      </c>
      <c r="S356">
        <v>-0.18436969319392729</v>
      </c>
      <c r="T356">
        <v>3.900191627169191E-2</v>
      </c>
      <c r="U356">
        <v>3.4912407069583963E-2</v>
      </c>
      <c r="V356">
        <v>4.0980488864644652E-3</v>
      </c>
      <c r="W356">
        <v>3.0814358183119499E-2</v>
      </c>
      <c r="X356" s="19">
        <f t="shared" si="15"/>
        <v>46049</v>
      </c>
      <c r="Y356" s="19">
        <f t="shared" si="16"/>
        <v>46049</v>
      </c>
      <c r="Z356">
        <f t="array" ref="Z356">_xlfn.XLOOKUP(INT(X356),INT($AE$2:$AE$1000),$AG$2:$AG$1000,"")</f>
        <v>16.350000000000001</v>
      </c>
      <c r="AE356" s="19" t="e">
        <f t="shared" si="17"/>
        <v>#VALUE!</v>
      </c>
    </row>
    <row r="357" spans="1:32" x14ac:dyDescent="0.3">
      <c r="A357">
        <v>6</v>
      </c>
      <c r="B357" t="s">
        <v>25</v>
      </c>
      <c r="C357" t="s">
        <v>30</v>
      </c>
      <c r="D357">
        <v>50004</v>
      </c>
      <c r="E357">
        <v>316.02999999999997</v>
      </c>
      <c r="F357">
        <v>55.7</v>
      </c>
      <c r="G357">
        <v>315.99839700000001</v>
      </c>
      <c r="H357">
        <v>55.705570000000002</v>
      </c>
      <c r="I357">
        <v>3.6230947294132791</v>
      </c>
      <c r="J357">
        <v>1.049029346166849</v>
      </c>
      <c r="K357">
        <v>-3.1642565579217158E-2</v>
      </c>
      <c r="L357">
        <v>0.1883356097247485</v>
      </c>
      <c r="M357" t="s">
        <v>27</v>
      </c>
      <c r="N357">
        <v>27</v>
      </c>
      <c r="O357" t="s">
        <v>28</v>
      </c>
      <c r="P357">
        <v>50031</v>
      </c>
      <c r="Q357">
        <v>321.45999999999998</v>
      </c>
      <c r="R357">
        <v>56.15</v>
      </c>
      <c r="S357">
        <v>0.17975243519388259</v>
      </c>
      <c r="T357">
        <v>-8.7068106719013411E-2</v>
      </c>
      <c r="U357">
        <v>-9.119182242689472E-2</v>
      </c>
      <c r="V357">
        <v>4.0980684982029319E-3</v>
      </c>
      <c r="W357">
        <v>-9.5289890925097653E-2</v>
      </c>
      <c r="X357" s="19">
        <f t="shared" si="15"/>
        <v>46050</v>
      </c>
      <c r="Y357" s="19">
        <f t="shared" si="16"/>
        <v>46050</v>
      </c>
      <c r="Z357">
        <f t="array" ref="Z357">_xlfn.XLOOKUP(INT(X357),INT($AE$2:$AE$1000),$AG$2:$AG$1000,"")</f>
        <v>16.350000000000001</v>
      </c>
      <c r="AE357" s="19" t="e">
        <f t="shared" si="17"/>
        <v>#VALUE!</v>
      </c>
    </row>
    <row r="358" spans="1:32" x14ac:dyDescent="0.3">
      <c r="A358">
        <v>6</v>
      </c>
      <c r="B358" t="s">
        <v>25</v>
      </c>
      <c r="C358" t="s">
        <v>30</v>
      </c>
      <c r="D358">
        <v>50394</v>
      </c>
      <c r="E358">
        <v>320.89</v>
      </c>
      <c r="F358">
        <v>56.534999999999997</v>
      </c>
      <c r="G358">
        <v>320.92208900000003</v>
      </c>
      <c r="H358">
        <v>56.529346500000003</v>
      </c>
      <c r="I358">
        <v>-4.3146824282382417</v>
      </c>
      <c r="J358">
        <v>1.049029346166849</v>
      </c>
      <c r="K358">
        <v>3.116332699679018E-2</v>
      </c>
      <c r="L358">
        <v>-0.18555396589136811</v>
      </c>
      <c r="M358" t="s">
        <v>29</v>
      </c>
      <c r="N358">
        <v>1</v>
      </c>
      <c r="O358" t="s">
        <v>28</v>
      </c>
      <c r="P358">
        <v>50395</v>
      </c>
      <c r="Q358">
        <v>320.89499999999998</v>
      </c>
      <c r="R358">
        <v>56.34</v>
      </c>
      <c r="S358">
        <v>-0.46827256733414369</v>
      </c>
      <c r="T358">
        <v>3.6338839983799318E-2</v>
      </c>
      <c r="U358">
        <v>3.2244384012137667E-2</v>
      </c>
      <c r="V358">
        <v>4.0980488864644652E-3</v>
      </c>
      <c r="W358">
        <v>2.8146335125673199E-2</v>
      </c>
      <c r="X358" s="19">
        <f t="shared" si="15"/>
        <v>46051</v>
      </c>
      <c r="Y358" s="19">
        <f t="shared" si="16"/>
        <v>46051</v>
      </c>
      <c r="Z358">
        <f t="array" ref="Z358">_xlfn.XLOOKUP(INT(X358),INT($AE$2:$AE$1000),$AG$2:$AG$1000,"")</f>
        <v>16.88</v>
      </c>
      <c r="AE358" s="19" t="e">
        <f t="shared" si="17"/>
        <v>#VALUE!</v>
      </c>
    </row>
    <row r="359" spans="1:32" x14ac:dyDescent="0.3">
      <c r="A359">
        <v>6</v>
      </c>
      <c r="B359" t="s">
        <v>25</v>
      </c>
      <c r="C359" t="s">
        <v>30</v>
      </c>
      <c r="D359">
        <v>50785</v>
      </c>
      <c r="E359">
        <v>325.55</v>
      </c>
      <c r="F359">
        <v>56.74</v>
      </c>
      <c r="G359">
        <v>325.51744500000001</v>
      </c>
      <c r="H359">
        <v>56.745674000000001</v>
      </c>
      <c r="I359">
        <v>4.0609214064613957</v>
      </c>
      <c r="J359">
        <v>1.049029346166849</v>
      </c>
      <c r="K359">
        <v>-3.0717247734602979E-2</v>
      </c>
      <c r="L359">
        <v>0.18488356471040701</v>
      </c>
      <c r="M359" t="s">
        <v>27</v>
      </c>
      <c r="N359">
        <v>25</v>
      </c>
      <c r="O359" t="s">
        <v>28</v>
      </c>
      <c r="P359">
        <v>50810</v>
      </c>
      <c r="Q359">
        <v>325.10000000000002</v>
      </c>
      <c r="R359">
        <v>56.575000000000003</v>
      </c>
      <c r="S359">
        <v>0.30658079857563819</v>
      </c>
      <c r="T359">
        <v>-1.6683026696646001E-2</v>
      </c>
      <c r="U359">
        <v>-2.0776652534013521E-2</v>
      </c>
      <c r="V359">
        <v>4.0980684982029319E-3</v>
      </c>
      <c r="W359">
        <v>-2.4874721032216451E-2</v>
      </c>
      <c r="X359" s="19">
        <f t="shared" si="15"/>
        <v>46052</v>
      </c>
      <c r="Y359" s="19">
        <f t="shared" si="16"/>
        <v>46052</v>
      </c>
      <c r="Z359">
        <f t="array" ref="Z359">_xlfn.XLOOKUP(INT(X359),INT($AE$2:$AE$1000),$AG$2:$AG$1000,"")</f>
        <v>17.440000000000001</v>
      </c>
      <c r="AE359" s="19" t="e">
        <f t="shared" si="17"/>
        <v>#VALUE!</v>
      </c>
      <c r="AF359" s="19"/>
    </row>
    <row r="360" spans="1:32" x14ac:dyDescent="0.3">
      <c r="A360">
        <v>6</v>
      </c>
      <c r="B360" t="s">
        <v>25</v>
      </c>
      <c r="C360" t="s">
        <v>30</v>
      </c>
      <c r="D360">
        <v>51174</v>
      </c>
      <c r="E360">
        <v>323.52999999999997</v>
      </c>
      <c r="F360">
        <v>55.94</v>
      </c>
      <c r="G360">
        <v>323.49764699999997</v>
      </c>
      <c r="H360">
        <v>55.945594</v>
      </c>
      <c r="I360">
        <v>4.6345613147110241</v>
      </c>
      <c r="J360">
        <v>1.049029346166849</v>
      </c>
      <c r="K360">
        <v>-3.0909034710845981E-2</v>
      </c>
      <c r="L360">
        <v>0.1875275913776992</v>
      </c>
      <c r="M360" t="s">
        <v>27</v>
      </c>
      <c r="N360">
        <v>21</v>
      </c>
      <c r="O360" t="s">
        <v>28</v>
      </c>
      <c r="P360">
        <v>51195</v>
      </c>
      <c r="Q360">
        <v>321.07499999999999</v>
      </c>
      <c r="R360">
        <v>55.34</v>
      </c>
      <c r="S360">
        <v>0.29875456474032003</v>
      </c>
      <c r="T360">
        <v>-3.6634874611492042E-2</v>
      </c>
      <c r="U360">
        <v>-4.0714093480321317E-2</v>
      </c>
      <c r="V360">
        <v>4.0980684982029319E-3</v>
      </c>
      <c r="W360">
        <v>-4.4812161978524251E-2</v>
      </c>
      <c r="X360" s="19">
        <f t="shared" si="15"/>
        <v>46055</v>
      </c>
      <c r="Y360" s="19">
        <f t="shared" si="16"/>
        <v>46055</v>
      </c>
      <c r="Z360">
        <f t="array" ref="Z360">_xlfn.XLOOKUP(INT(X360),INT($AE$2:$AE$1000),$AG$2:$AG$1000,"")</f>
        <v>16.34</v>
      </c>
      <c r="AE360" s="19" t="e">
        <f t="shared" si="17"/>
        <v>#VALUE!</v>
      </c>
      <c r="AF360" s="19"/>
    </row>
    <row r="361" spans="1:32" x14ac:dyDescent="0.3">
      <c r="A361">
        <v>6</v>
      </c>
      <c r="B361" t="s">
        <v>32</v>
      </c>
      <c r="C361" t="s">
        <v>34</v>
      </c>
      <c r="D361">
        <v>47401</v>
      </c>
      <c r="E361">
        <v>55.8</v>
      </c>
      <c r="F361">
        <v>50.42</v>
      </c>
      <c r="G361">
        <v>55.805579999999999</v>
      </c>
      <c r="H361">
        <v>50.414958000000013</v>
      </c>
      <c r="I361">
        <v>-5.29463369466714</v>
      </c>
      <c r="J361">
        <v>1.289086186889977</v>
      </c>
      <c r="K361">
        <v>0.17921146953405021</v>
      </c>
      <c r="L361">
        <v>-0.25566961263188742</v>
      </c>
      <c r="M361" t="s">
        <v>29</v>
      </c>
      <c r="N361">
        <v>23</v>
      </c>
      <c r="O361" t="s">
        <v>28</v>
      </c>
      <c r="P361">
        <v>47424</v>
      </c>
      <c r="Q361">
        <v>55.91</v>
      </c>
      <c r="R361">
        <v>50.515000000000001</v>
      </c>
      <c r="S361">
        <v>-0.49154233712346312</v>
      </c>
      <c r="T361">
        <v>-4.575351551283597E-3</v>
      </c>
      <c r="U361">
        <v>-9.1579241125483192E-3</v>
      </c>
      <c r="V361">
        <v>4.5781145565425736E-3</v>
      </c>
      <c r="W361">
        <v>-1.3736038669090889E-2</v>
      </c>
      <c r="X361" s="19">
        <f t="shared" si="15"/>
        <v>46041</v>
      </c>
      <c r="Y361" s="19">
        <f t="shared" si="16"/>
        <v>46041</v>
      </c>
      <c r="Z361">
        <f t="array" ref="Z361">_xlfn.XLOOKUP(INT(X361),INT($AE$2:$AE$1000),$AG$2:$AG$1000,"")</f>
        <v>18.84</v>
      </c>
      <c r="AE361" s="19" t="e">
        <f t="shared" si="17"/>
        <v>#VALUE!</v>
      </c>
      <c r="AF361" s="19"/>
    </row>
    <row r="362" spans="1:32" x14ac:dyDescent="0.3">
      <c r="A362">
        <v>6</v>
      </c>
      <c r="B362" t="s">
        <v>32</v>
      </c>
      <c r="C362" t="s">
        <v>34</v>
      </c>
      <c r="D362">
        <v>47437</v>
      </c>
      <c r="E362">
        <v>55.835000000000001</v>
      </c>
      <c r="F362">
        <v>50.56</v>
      </c>
      <c r="G362">
        <v>55.840583500000001</v>
      </c>
      <c r="H362">
        <v>50.554944000000013</v>
      </c>
      <c r="I362">
        <v>-3.514135477029789</v>
      </c>
      <c r="J362">
        <v>1.289086186889977</v>
      </c>
      <c r="K362">
        <v>0.17909913136921279</v>
      </c>
      <c r="L362">
        <v>-0.25496166671083398</v>
      </c>
      <c r="M362" t="s">
        <v>29</v>
      </c>
      <c r="N362">
        <v>7</v>
      </c>
      <c r="O362" t="s">
        <v>28</v>
      </c>
      <c r="P362">
        <v>47444</v>
      </c>
      <c r="Q362">
        <v>55.84</v>
      </c>
      <c r="R362">
        <v>50.51</v>
      </c>
      <c r="S362">
        <v>-0.3418556902619721</v>
      </c>
      <c r="T362">
        <v>1.364357899238931E-2</v>
      </c>
      <c r="U362">
        <v>9.0665918773779278E-3</v>
      </c>
      <c r="V362">
        <v>4.5781145565425754E-3</v>
      </c>
      <c r="W362">
        <v>4.4884773208353516E-3</v>
      </c>
      <c r="X362" s="19">
        <f t="shared" si="15"/>
        <v>46041</v>
      </c>
      <c r="Y362" s="19">
        <f t="shared" si="16"/>
        <v>46041</v>
      </c>
      <c r="Z362">
        <f t="array" ref="Z362">_xlfn.XLOOKUP(INT(X362),INT($AE$2:$AE$1000),$AG$2:$AG$1000,"")</f>
        <v>18.84</v>
      </c>
      <c r="AE362" s="19" t="e">
        <f t="shared" si="17"/>
        <v>#VALUE!</v>
      </c>
      <c r="AF362" s="19"/>
    </row>
    <row r="363" spans="1:32" x14ac:dyDescent="0.3">
      <c r="A363">
        <v>6</v>
      </c>
      <c r="B363" t="s">
        <v>32</v>
      </c>
      <c r="C363" t="s">
        <v>34</v>
      </c>
      <c r="D363">
        <v>47663</v>
      </c>
      <c r="E363">
        <v>56.26</v>
      </c>
      <c r="F363">
        <v>50.89</v>
      </c>
      <c r="G363">
        <v>56.265625999999997</v>
      </c>
      <c r="H363">
        <v>50.884911000000002</v>
      </c>
      <c r="I363">
        <v>-4.2969750529152053</v>
      </c>
      <c r="J363">
        <v>1.289086186889977</v>
      </c>
      <c r="K363">
        <v>0.1777461784571632</v>
      </c>
      <c r="L363">
        <v>-0.25330834876989122</v>
      </c>
      <c r="M363" t="s">
        <v>29</v>
      </c>
      <c r="N363">
        <v>18</v>
      </c>
      <c r="O363" t="s">
        <v>28</v>
      </c>
      <c r="P363">
        <v>47681</v>
      </c>
      <c r="Q363">
        <v>55.945</v>
      </c>
      <c r="R363">
        <v>50.79</v>
      </c>
      <c r="S363">
        <v>-0.42490841759205211</v>
      </c>
      <c r="T363">
        <v>-3.0659211337016511E-2</v>
      </c>
      <c r="U363">
        <v>-3.5229251622687467E-2</v>
      </c>
      <c r="V363">
        <v>4.5781145565425736E-3</v>
      </c>
      <c r="W363">
        <v>-3.9807366179230037E-2</v>
      </c>
      <c r="X363" s="19">
        <f t="shared" si="15"/>
        <v>46042</v>
      </c>
      <c r="Y363" s="19">
        <f t="shared" si="16"/>
        <v>46042</v>
      </c>
      <c r="Z363">
        <f t="array" ref="Z363">_xlfn.XLOOKUP(INT(X363),INT($AE$2:$AE$1000),$AG$2:$AG$1000,"")</f>
        <v>20.09</v>
      </c>
      <c r="AE363" s="19" t="e">
        <f t="shared" si="17"/>
        <v>#VALUE!</v>
      </c>
      <c r="AF363" s="19"/>
    </row>
    <row r="364" spans="1:32" x14ac:dyDescent="0.3">
      <c r="A364">
        <v>6</v>
      </c>
      <c r="B364" t="s">
        <v>32</v>
      </c>
      <c r="C364" t="s">
        <v>34</v>
      </c>
      <c r="D364">
        <v>48053</v>
      </c>
      <c r="E364">
        <v>56.15</v>
      </c>
      <c r="F364">
        <v>51.28</v>
      </c>
      <c r="G364">
        <v>56.155614999999997</v>
      </c>
      <c r="H364">
        <v>51.274872000000002</v>
      </c>
      <c r="I364">
        <v>-4.071286273905784</v>
      </c>
      <c r="J364">
        <v>1.289086186889977</v>
      </c>
      <c r="K364">
        <v>0.17809439002671409</v>
      </c>
      <c r="L364">
        <v>-0.25138186171801408</v>
      </c>
      <c r="M364" t="s">
        <v>29</v>
      </c>
      <c r="N364">
        <v>22</v>
      </c>
      <c r="O364" t="s">
        <v>28</v>
      </c>
      <c r="P364">
        <v>48075</v>
      </c>
      <c r="Q364">
        <v>56.27</v>
      </c>
      <c r="R364">
        <v>51.484999999999999</v>
      </c>
      <c r="S364">
        <v>-0.44388247140557952</v>
      </c>
      <c r="T364">
        <v>-3.0161954848985959E-2</v>
      </c>
      <c r="U364">
        <v>-3.4747417683609748E-2</v>
      </c>
      <c r="V364">
        <v>4.5781145565425736E-3</v>
      </c>
      <c r="W364">
        <v>-3.9325532240152332E-2</v>
      </c>
      <c r="X364" s="19">
        <f t="shared" si="15"/>
        <v>46043</v>
      </c>
      <c r="Y364" s="19">
        <f t="shared" si="16"/>
        <v>46043</v>
      </c>
      <c r="Z364">
        <f t="array" ref="Z364">_xlfn.XLOOKUP(INT(X364),INT($AE$2:$AE$1000),$AG$2:$AG$1000,"")</f>
        <v>16.899999999999999</v>
      </c>
      <c r="AE364" s="19" t="e">
        <f t="shared" si="17"/>
        <v>#VALUE!</v>
      </c>
      <c r="AF364" s="19"/>
    </row>
    <row r="365" spans="1:32" x14ac:dyDescent="0.3">
      <c r="A365">
        <v>6</v>
      </c>
      <c r="B365" t="s">
        <v>32</v>
      </c>
      <c r="C365" t="s">
        <v>34</v>
      </c>
      <c r="D365">
        <v>48429</v>
      </c>
      <c r="E365">
        <v>55.945</v>
      </c>
      <c r="F365">
        <v>51.29</v>
      </c>
      <c r="G365">
        <v>55.939405499999999</v>
      </c>
      <c r="H365">
        <v>51.295129000000003</v>
      </c>
      <c r="I365">
        <v>3.5235707609145139</v>
      </c>
      <c r="J365">
        <v>1.289086186889977</v>
      </c>
      <c r="K365">
        <v>-0.178746983644651</v>
      </c>
      <c r="L365">
        <v>0.25133284985181842</v>
      </c>
      <c r="M365" t="s">
        <v>27</v>
      </c>
      <c r="N365">
        <v>13</v>
      </c>
      <c r="O365" t="s">
        <v>28</v>
      </c>
      <c r="P365">
        <v>48442</v>
      </c>
      <c r="Q365">
        <v>56.1</v>
      </c>
      <c r="R365">
        <v>51.44</v>
      </c>
      <c r="S365">
        <v>0.39165568317049848</v>
      </c>
      <c r="T365">
        <v>9.9941450128512993E-3</v>
      </c>
      <c r="U365">
        <v>5.4094320680779309E-3</v>
      </c>
      <c r="V365">
        <v>4.5782301910173321E-3</v>
      </c>
      <c r="W365">
        <v>8.3120187706059879E-4</v>
      </c>
      <c r="X365" s="19">
        <f t="shared" si="15"/>
        <v>46044</v>
      </c>
      <c r="Y365" s="19">
        <f t="shared" si="16"/>
        <v>46044</v>
      </c>
      <c r="Z365">
        <f t="array" ref="Z365">_xlfn.XLOOKUP(INT(X365),INT($AE$2:$AE$1000),$AG$2:$AG$1000,"")</f>
        <v>15.64</v>
      </c>
      <c r="AE365" s="19" t="e">
        <f t="shared" si="17"/>
        <v>#VALUE!</v>
      </c>
      <c r="AF365" s="19"/>
    </row>
    <row r="366" spans="1:32" x14ac:dyDescent="0.3">
      <c r="A366">
        <v>6</v>
      </c>
      <c r="B366" t="s">
        <v>32</v>
      </c>
      <c r="C366" t="s">
        <v>34</v>
      </c>
      <c r="D366">
        <v>48445</v>
      </c>
      <c r="E366">
        <v>56.03</v>
      </c>
      <c r="F366">
        <v>51.74</v>
      </c>
      <c r="G366">
        <v>56.035603000000002</v>
      </c>
      <c r="H366">
        <v>51.734826000000012</v>
      </c>
      <c r="I366">
        <v>-4.1677101427326164</v>
      </c>
      <c r="J366">
        <v>1.289086186889977</v>
      </c>
      <c r="K366">
        <v>0.17847581652686059</v>
      </c>
      <c r="L366">
        <v>-0.2491469244085768</v>
      </c>
      <c r="M366" t="s">
        <v>29</v>
      </c>
      <c r="N366">
        <v>20</v>
      </c>
      <c r="O366" t="s">
        <v>28</v>
      </c>
      <c r="P366">
        <v>48465</v>
      </c>
      <c r="Q366">
        <v>56.72</v>
      </c>
      <c r="R366">
        <v>52.09</v>
      </c>
      <c r="S366">
        <v>-0.2189655012497754</v>
      </c>
      <c r="T366">
        <v>3.5946889860531177E-2</v>
      </c>
      <c r="U366">
        <v>3.134768251305764E-2</v>
      </c>
      <c r="V366">
        <v>4.5781145565425762E-3</v>
      </c>
      <c r="W366">
        <v>2.6769567956515059E-2</v>
      </c>
      <c r="X366" s="19">
        <f t="shared" si="15"/>
        <v>46044</v>
      </c>
      <c r="Y366" s="19">
        <f t="shared" si="16"/>
        <v>46044</v>
      </c>
      <c r="Z366">
        <f t="array" ref="Z366">_xlfn.XLOOKUP(INT(X366),INT($AE$2:$AE$1000),$AG$2:$AG$1000,"")</f>
        <v>15.64</v>
      </c>
      <c r="AE366" s="19" t="e">
        <f t="shared" si="17"/>
        <v>#VALUE!</v>
      </c>
      <c r="AF366" s="19"/>
    </row>
    <row r="367" spans="1:32" x14ac:dyDescent="0.3">
      <c r="A367">
        <v>6</v>
      </c>
      <c r="B367" t="s">
        <v>32</v>
      </c>
      <c r="C367" t="s">
        <v>34</v>
      </c>
      <c r="D367">
        <v>48833</v>
      </c>
      <c r="E367">
        <v>57.62</v>
      </c>
      <c r="F367">
        <v>53.09</v>
      </c>
      <c r="G367">
        <v>57.625761999999987</v>
      </c>
      <c r="H367">
        <v>53.084691000000007</v>
      </c>
      <c r="I367">
        <v>-5.0323775058687206</v>
      </c>
      <c r="J367">
        <v>1.289086186889977</v>
      </c>
      <c r="K367">
        <v>0.17355085039916701</v>
      </c>
      <c r="L367">
        <v>-0.24281148745337661</v>
      </c>
      <c r="M367" t="s">
        <v>29</v>
      </c>
      <c r="N367">
        <v>22</v>
      </c>
      <c r="O367" t="s">
        <v>28</v>
      </c>
      <c r="P367">
        <v>48855</v>
      </c>
      <c r="Q367">
        <v>58.634999999999998</v>
      </c>
      <c r="R367">
        <v>53.82</v>
      </c>
      <c r="S367">
        <v>-0.2466694749158895</v>
      </c>
      <c r="T367">
        <v>-1.098272685809615E-3</v>
      </c>
      <c r="U367">
        <v>-5.7117857094867164E-3</v>
      </c>
      <c r="V367">
        <v>4.5781145565425736E-3</v>
      </c>
      <c r="W367">
        <v>-1.028990026602929E-2</v>
      </c>
      <c r="X367" s="19">
        <f t="shared" si="15"/>
        <v>46045</v>
      </c>
      <c r="Y367" s="19">
        <f t="shared" si="16"/>
        <v>46045</v>
      </c>
      <c r="Z367">
        <f t="array" ref="Z367">_xlfn.XLOOKUP(INT(X367),INT($AE$2:$AE$1000),$AG$2:$AG$1000,"")</f>
        <v>16.09</v>
      </c>
      <c r="AE367" s="19" t="e">
        <f t="shared" si="17"/>
        <v>#VALUE!</v>
      </c>
    </row>
    <row r="368" spans="1:32" x14ac:dyDescent="0.3">
      <c r="A368">
        <v>6</v>
      </c>
      <c r="B368" t="s">
        <v>32</v>
      </c>
      <c r="C368" t="s">
        <v>34</v>
      </c>
      <c r="D368">
        <v>49213</v>
      </c>
      <c r="E368">
        <v>58.704999999999998</v>
      </c>
      <c r="F368">
        <v>54.045000000000002</v>
      </c>
      <c r="G368">
        <v>58.710870499999999</v>
      </c>
      <c r="H368">
        <v>54.039595499999997</v>
      </c>
      <c r="I368">
        <v>-3.5292797079080298</v>
      </c>
      <c r="J368">
        <v>1.289086186889977</v>
      </c>
      <c r="K368">
        <v>0.1703432416318883</v>
      </c>
      <c r="L368">
        <v>-0.2385208968248638</v>
      </c>
      <c r="M368" t="s">
        <v>29</v>
      </c>
      <c r="N368">
        <v>7</v>
      </c>
      <c r="O368" t="s">
        <v>28</v>
      </c>
      <c r="P368">
        <v>49220</v>
      </c>
      <c r="Q368">
        <v>58.76</v>
      </c>
      <c r="R368">
        <v>54.015000000000001</v>
      </c>
      <c r="S368">
        <v>7.5274115590421818E-3</v>
      </c>
      <c r="T368">
        <v>1.6524505194499991E-2</v>
      </c>
      <c r="U368">
        <v>1.194611149558251E-2</v>
      </c>
      <c r="V368">
        <v>4.5781145565425762E-3</v>
      </c>
      <c r="W368">
        <v>7.3679969390399351E-3</v>
      </c>
      <c r="X368" s="19">
        <f t="shared" si="15"/>
        <v>46048</v>
      </c>
      <c r="Y368" s="19">
        <f t="shared" si="16"/>
        <v>46048</v>
      </c>
      <c r="Z368">
        <f t="array" ref="Z368">_xlfn.XLOOKUP(INT(X368),INT($AE$2:$AE$1000),$AG$2:$AG$1000,"")</f>
        <v>16.149999999999999</v>
      </c>
      <c r="AE368" s="19" t="e">
        <f t="shared" si="17"/>
        <v>#VALUE!</v>
      </c>
    </row>
    <row r="369" spans="1:32" x14ac:dyDescent="0.3">
      <c r="A369">
        <v>6</v>
      </c>
      <c r="B369" t="s">
        <v>32</v>
      </c>
      <c r="C369" t="s">
        <v>34</v>
      </c>
      <c r="D369">
        <v>49613</v>
      </c>
      <c r="E369">
        <v>59.52</v>
      </c>
      <c r="F369">
        <v>54.84</v>
      </c>
      <c r="G369">
        <v>59.514048000000003</v>
      </c>
      <c r="H369">
        <v>54.845484000000013</v>
      </c>
      <c r="I369">
        <v>4.0247619332941413</v>
      </c>
      <c r="J369">
        <v>1.289086186889977</v>
      </c>
      <c r="K369">
        <v>-0.168010752688172</v>
      </c>
      <c r="L369">
        <v>0.23506312671224949</v>
      </c>
      <c r="M369" t="s">
        <v>27</v>
      </c>
      <c r="N369">
        <v>2</v>
      </c>
      <c r="O369" t="s">
        <v>28</v>
      </c>
      <c r="P369">
        <v>49615</v>
      </c>
      <c r="Q369">
        <v>59.15</v>
      </c>
      <c r="R369">
        <v>54.93</v>
      </c>
      <c r="S369">
        <v>0.18462776406469469</v>
      </c>
      <c r="T369">
        <v>8.3319659898726015E-2</v>
      </c>
      <c r="U369">
        <v>7.8745588354653784E-2</v>
      </c>
      <c r="V369">
        <v>4.5782301910173321E-3</v>
      </c>
      <c r="W369">
        <v>7.4167358163636454E-2</v>
      </c>
      <c r="X369" s="19">
        <f t="shared" si="15"/>
        <v>46049</v>
      </c>
      <c r="Y369" s="19">
        <f t="shared" si="16"/>
        <v>46049</v>
      </c>
      <c r="Z369">
        <f t="array" ref="Z369">_xlfn.XLOOKUP(INT(X369),INT($AE$2:$AE$1000),$AG$2:$AG$1000,"")</f>
        <v>16.350000000000001</v>
      </c>
      <c r="AE369" s="19" t="e">
        <f t="shared" si="17"/>
        <v>#VALUE!</v>
      </c>
    </row>
    <row r="370" spans="1:32" x14ac:dyDescent="0.3">
      <c r="A370">
        <v>6</v>
      </c>
      <c r="B370" t="s">
        <v>32</v>
      </c>
      <c r="C370" t="s">
        <v>34</v>
      </c>
      <c r="D370">
        <v>49993</v>
      </c>
      <c r="E370">
        <v>59.04</v>
      </c>
      <c r="F370">
        <v>55.12</v>
      </c>
      <c r="G370">
        <v>59.045904</v>
      </c>
      <c r="H370">
        <v>55.114488000000001</v>
      </c>
      <c r="I370">
        <v>-3.7197802549707881</v>
      </c>
      <c r="J370">
        <v>1.289086186889977</v>
      </c>
      <c r="K370">
        <v>0.1693766937669377</v>
      </c>
      <c r="L370">
        <v>-0.23386904696842831</v>
      </c>
      <c r="M370" t="s">
        <v>29</v>
      </c>
      <c r="N370">
        <v>19</v>
      </c>
      <c r="O370" t="s">
        <v>28</v>
      </c>
      <c r="P370">
        <v>50012</v>
      </c>
      <c r="Q370">
        <v>59.95</v>
      </c>
      <c r="R370">
        <v>55.79</v>
      </c>
      <c r="S370">
        <v>-0.47342312295961297</v>
      </c>
      <c r="T370">
        <v>-2.5594701409334402E-3</v>
      </c>
      <c r="U370">
        <v>-7.1687250199914399E-3</v>
      </c>
      <c r="V370">
        <v>4.5781145565425762E-3</v>
      </c>
      <c r="W370">
        <v>-1.174683957653402E-2</v>
      </c>
      <c r="X370" s="19">
        <f t="shared" si="15"/>
        <v>46050</v>
      </c>
      <c r="Y370" s="19">
        <f t="shared" si="16"/>
        <v>46050</v>
      </c>
      <c r="Z370">
        <f t="array" ref="Z370">_xlfn.XLOOKUP(INT(X370),INT($AE$2:$AE$1000),$AG$2:$AG$1000,"")</f>
        <v>16.350000000000001</v>
      </c>
      <c r="AE370" s="19" t="e">
        <f t="shared" si="17"/>
        <v>#VALUE!</v>
      </c>
    </row>
    <row r="371" spans="1:32" x14ac:dyDescent="0.3">
      <c r="A371">
        <v>6</v>
      </c>
      <c r="B371" t="s">
        <v>32</v>
      </c>
      <c r="C371" t="s">
        <v>34</v>
      </c>
      <c r="D371">
        <v>50398</v>
      </c>
      <c r="E371">
        <v>60.4</v>
      </c>
      <c r="F371">
        <v>55.46</v>
      </c>
      <c r="G371">
        <v>60.39396</v>
      </c>
      <c r="H371">
        <v>55.465546000000003</v>
      </c>
      <c r="I371">
        <v>3.804718142203563</v>
      </c>
      <c r="J371">
        <v>1.289086186889977</v>
      </c>
      <c r="K371">
        <v>-0.16556291390728481</v>
      </c>
      <c r="L371">
        <v>0.23243530236025539</v>
      </c>
      <c r="M371" t="s">
        <v>27</v>
      </c>
      <c r="N371">
        <v>25</v>
      </c>
      <c r="O371" t="s">
        <v>28</v>
      </c>
      <c r="P371">
        <v>50423</v>
      </c>
      <c r="Q371">
        <v>60.564999999999998</v>
      </c>
      <c r="R371">
        <v>55.49</v>
      </c>
      <c r="S371">
        <v>0.3410817055269435</v>
      </c>
      <c r="T371">
        <v>-2.034482172389392E-2</v>
      </c>
      <c r="U371">
        <v>-2.4926423191661211E-2</v>
      </c>
      <c r="V371">
        <v>4.5782301910173321E-3</v>
      </c>
      <c r="W371">
        <v>-2.950465338267854E-2</v>
      </c>
      <c r="X371" s="19">
        <f t="shared" si="15"/>
        <v>46051</v>
      </c>
      <c r="Y371" s="19">
        <f t="shared" si="16"/>
        <v>46051</v>
      </c>
      <c r="Z371">
        <f t="array" ref="Z371">_xlfn.XLOOKUP(INT(X371),INT($AE$2:$AE$1000),$AG$2:$AG$1000,"")</f>
        <v>16.88</v>
      </c>
      <c r="AE371" s="19" t="e">
        <f t="shared" si="17"/>
        <v>#VALUE!</v>
      </c>
    </row>
    <row r="372" spans="1:32" x14ac:dyDescent="0.3">
      <c r="A372">
        <v>6</v>
      </c>
      <c r="B372" t="s">
        <v>32</v>
      </c>
      <c r="C372" t="s">
        <v>34</v>
      </c>
      <c r="D372">
        <v>50784</v>
      </c>
      <c r="E372">
        <v>60.56</v>
      </c>
      <c r="F372">
        <v>54.76</v>
      </c>
      <c r="G372">
        <v>60.553944000000001</v>
      </c>
      <c r="H372">
        <v>54.765476</v>
      </c>
      <c r="I372">
        <v>4.2383734480908899</v>
      </c>
      <c r="J372">
        <v>1.289086186889977</v>
      </c>
      <c r="K372">
        <v>-0.1651254953764861</v>
      </c>
      <c r="L372">
        <v>0.23540653522461219</v>
      </c>
      <c r="M372" t="s">
        <v>27</v>
      </c>
      <c r="N372">
        <v>10</v>
      </c>
      <c r="O372" t="s">
        <v>28</v>
      </c>
      <c r="P372">
        <v>50794</v>
      </c>
      <c r="Q372">
        <v>60.79</v>
      </c>
      <c r="R372">
        <v>55.024999999999999</v>
      </c>
      <c r="S372">
        <v>0.37289506145999168</v>
      </c>
      <c r="T372">
        <v>2.440386789793109E-2</v>
      </c>
      <c r="U372">
        <v>1.981565936457386E-2</v>
      </c>
      <c r="V372">
        <v>4.5782301910173321E-3</v>
      </c>
      <c r="W372">
        <v>1.523742917355652E-2</v>
      </c>
      <c r="X372" s="19">
        <f t="shared" si="15"/>
        <v>46052</v>
      </c>
      <c r="Y372" s="19">
        <f t="shared" si="16"/>
        <v>46052</v>
      </c>
      <c r="Z372">
        <f t="array" ref="Z372">_xlfn.XLOOKUP(INT(X372),INT($AE$2:$AE$1000),$AG$2:$AG$1000,"")</f>
        <v>17.440000000000001</v>
      </c>
      <c r="AE372" s="19" t="e">
        <f t="shared" si="17"/>
        <v>#VALUE!</v>
      </c>
    </row>
    <row r="373" spans="1:32" x14ac:dyDescent="0.3">
      <c r="A373">
        <v>6</v>
      </c>
      <c r="B373" t="s">
        <v>32</v>
      </c>
      <c r="C373" t="s">
        <v>34</v>
      </c>
      <c r="D373">
        <v>51176</v>
      </c>
      <c r="E373">
        <v>61.12</v>
      </c>
      <c r="F373">
        <v>55.71</v>
      </c>
      <c r="G373">
        <v>61.126111999999999</v>
      </c>
      <c r="H373">
        <v>55.704428999999998</v>
      </c>
      <c r="I373">
        <v>-3.5660083907549032</v>
      </c>
      <c r="J373">
        <v>1.289086186889977</v>
      </c>
      <c r="K373">
        <v>0.1636125654450262</v>
      </c>
      <c r="L373">
        <v>-0.23139224320408841</v>
      </c>
      <c r="M373" t="s">
        <v>29</v>
      </c>
      <c r="N373">
        <v>7</v>
      </c>
      <c r="O373" t="s">
        <v>28</v>
      </c>
      <c r="P373">
        <v>51183</v>
      </c>
      <c r="Q373">
        <v>60.69</v>
      </c>
      <c r="R373">
        <v>55.265000000000001</v>
      </c>
      <c r="S373">
        <v>-0.23744098685503121</v>
      </c>
      <c r="T373">
        <v>3.261614508445819E-2</v>
      </c>
      <c r="U373">
        <v>2.805530500581566E-2</v>
      </c>
      <c r="V373">
        <v>4.5781145565425762E-3</v>
      </c>
      <c r="W373">
        <v>2.3477190449273079E-2</v>
      </c>
      <c r="X373" s="19">
        <f t="shared" si="15"/>
        <v>46055</v>
      </c>
      <c r="Y373" s="19">
        <f t="shared" si="16"/>
        <v>46055</v>
      </c>
      <c r="Z373">
        <f t="array" ref="Z373">_xlfn.XLOOKUP(INT(X373),INT($AE$2:$AE$1000),$AG$2:$AG$1000,"")</f>
        <v>16.34</v>
      </c>
      <c r="AE373" s="19" t="e">
        <f t="shared" si="17"/>
        <v>#VALUE!</v>
      </c>
    </row>
    <row r="374" spans="1:32" x14ac:dyDescent="0.3">
      <c r="A374">
        <v>6</v>
      </c>
      <c r="B374" t="s">
        <v>31</v>
      </c>
      <c r="C374" t="s">
        <v>152</v>
      </c>
      <c r="D374">
        <v>47401</v>
      </c>
      <c r="E374">
        <v>87.995000000000005</v>
      </c>
      <c r="F374">
        <v>220</v>
      </c>
      <c r="G374">
        <v>87.98620050000001</v>
      </c>
      <c r="H374">
        <v>220.02199999999999</v>
      </c>
      <c r="I374">
        <v>5.2946286749352254</v>
      </c>
      <c r="J374">
        <v>0.64995808535787292</v>
      </c>
      <c r="K374">
        <v>-0.1136428206148077</v>
      </c>
      <c r="L374">
        <v>2.954354933444877E-2</v>
      </c>
      <c r="M374" t="s">
        <v>27</v>
      </c>
      <c r="N374">
        <v>23</v>
      </c>
      <c r="O374" t="s">
        <v>28</v>
      </c>
      <c r="P374">
        <v>47424</v>
      </c>
      <c r="Q374">
        <v>88.06</v>
      </c>
      <c r="R374">
        <v>220.84</v>
      </c>
      <c r="S374">
        <v>0.49053040221865801</v>
      </c>
      <c r="T374">
        <v>1.7429798100974829E-2</v>
      </c>
      <c r="U374">
        <v>1.4126661593782451E-2</v>
      </c>
      <c r="V374">
        <v>3.2998461623328181E-3</v>
      </c>
      <c r="W374">
        <v>1.082681543144963E-2</v>
      </c>
      <c r="X374" s="19">
        <f t="shared" si="15"/>
        <v>46041</v>
      </c>
      <c r="Y374" s="19">
        <f t="shared" si="16"/>
        <v>46041</v>
      </c>
      <c r="Z374">
        <f t="array" ref="Z374">_xlfn.XLOOKUP(INT(X374),INT($AE$2:$AE$1000),$AG$2:$AG$1000,"")</f>
        <v>18.84</v>
      </c>
      <c r="AE374" s="19" t="e">
        <f t="shared" si="17"/>
        <v>#VALUE!</v>
      </c>
    </row>
    <row r="375" spans="1:32" x14ac:dyDescent="0.3">
      <c r="A375">
        <v>6</v>
      </c>
      <c r="B375" t="s">
        <v>31</v>
      </c>
      <c r="C375" t="s">
        <v>152</v>
      </c>
      <c r="D375">
        <v>48823</v>
      </c>
      <c r="E375">
        <v>92.6</v>
      </c>
      <c r="F375">
        <v>224.17500000000001</v>
      </c>
      <c r="G375">
        <v>92.590739999999997</v>
      </c>
      <c r="H375">
        <v>224.1974175</v>
      </c>
      <c r="I375">
        <v>3.5583005144350981</v>
      </c>
      <c r="J375">
        <v>0.64995808535787292</v>
      </c>
      <c r="K375">
        <v>-0.10799136069114471</v>
      </c>
      <c r="L375">
        <v>2.8993334910577581E-2</v>
      </c>
      <c r="M375" t="s">
        <v>27</v>
      </c>
      <c r="N375">
        <v>8</v>
      </c>
      <c r="O375" t="s">
        <v>28</v>
      </c>
      <c r="P375">
        <v>48831</v>
      </c>
      <c r="Q375">
        <v>92.25</v>
      </c>
      <c r="R375">
        <v>223.82</v>
      </c>
      <c r="S375">
        <v>0.20521502647197731</v>
      </c>
      <c r="T375">
        <v>2.7504342348644469E-2</v>
      </c>
      <c r="U375">
        <v>2.420923513894294E-2</v>
      </c>
      <c r="V375">
        <v>3.2998461623328181E-3</v>
      </c>
      <c r="W375">
        <v>2.0909388976610131E-2</v>
      </c>
      <c r="X375" s="19">
        <f t="shared" si="15"/>
        <v>46045</v>
      </c>
      <c r="Y375" s="19">
        <f t="shared" si="16"/>
        <v>46045</v>
      </c>
      <c r="Z375">
        <f t="array" ref="Z375">_xlfn.XLOOKUP(INT(X375),INT($AE$2:$AE$1000),$AG$2:$AG$1000,"")</f>
        <v>16.09</v>
      </c>
      <c r="AE375" s="19" t="e">
        <f t="shared" si="17"/>
        <v>#VALUE!</v>
      </c>
    </row>
    <row r="376" spans="1:32" x14ac:dyDescent="0.3">
      <c r="A376">
        <v>6</v>
      </c>
      <c r="B376" t="s">
        <v>31</v>
      </c>
      <c r="C376" t="s">
        <v>152</v>
      </c>
      <c r="D376">
        <v>49529</v>
      </c>
      <c r="E376">
        <v>92.99</v>
      </c>
      <c r="F376">
        <v>224.49</v>
      </c>
      <c r="G376">
        <v>92.980700999999996</v>
      </c>
      <c r="H376">
        <v>224.512449</v>
      </c>
      <c r="I376">
        <v>3.6108445177792809</v>
      </c>
      <c r="J376">
        <v>0.64995808535787292</v>
      </c>
      <c r="K376">
        <v>-0.10753844499408539</v>
      </c>
      <c r="L376">
        <v>2.8952652027167038E-2</v>
      </c>
      <c r="M376" t="s">
        <v>27</v>
      </c>
      <c r="N376">
        <v>14</v>
      </c>
      <c r="O376" t="s">
        <v>28</v>
      </c>
      <c r="P376">
        <v>49543</v>
      </c>
      <c r="Q376">
        <v>93.13</v>
      </c>
      <c r="R376">
        <v>225.21</v>
      </c>
      <c r="S376">
        <v>0.36827108663498798</v>
      </c>
      <c r="T376">
        <v>5.7905271603882202E-3</v>
      </c>
      <c r="U376">
        <v>2.4870208604967571E-3</v>
      </c>
      <c r="V376">
        <v>3.2998461623328181E-3</v>
      </c>
      <c r="W376">
        <v>-8.1282530183606101E-4</v>
      </c>
      <c r="X376" s="19">
        <f t="shared" si="15"/>
        <v>46048</v>
      </c>
      <c r="Y376" s="19">
        <f t="shared" si="16"/>
        <v>46049</v>
      </c>
      <c r="Z376">
        <f t="array" ref="Z376">_xlfn.XLOOKUP(INT(X376),INT($AE$2:$AE$1000),$AG$2:$AG$1000,"")</f>
        <v>16.149999999999999</v>
      </c>
      <c r="AE376" s="19" t="e">
        <f t="shared" si="17"/>
        <v>#VALUE!</v>
      </c>
    </row>
    <row r="377" spans="1:32" x14ac:dyDescent="0.3">
      <c r="A377">
        <v>6</v>
      </c>
      <c r="B377" t="s">
        <v>31</v>
      </c>
      <c r="C377" t="s">
        <v>152</v>
      </c>
      <c r="D377">
        <v>49617</v>
      </c>
      <c r="E377">
        <v>91.74</v>
      </c>
      <c r="F377">
        <v>223.32</v>
      </c>
      <c r="G377">
        <v>91.749173999999996</v>
      </c>
      <c r="H377">
        <v>223.29766799999999</v>
      </c>
      <c r="I377">
        <v>-4.2617444883992261</v>
      </c>
      <c r="J377">
        <v>0.64995808535787292</v>
      </c>
      <c r="K377">
        <v>0.10900370612600831</v>
      </c>
      <c r="L377">
        <v>-2.9104338409362031E-2</v>
      </c>
      <c r="M377" t="s">
        <v>29</v>
      </c>
      <c r="N377">
        <v>3</v>
      </c>
      <c r="O377" t="s">
        <v>28</v>
      </c>
      <c r="P377">
        <v>49620</v>
      </c>
      <c r="Q377">
        <v>92.35</v>
      </c>
      <c r="R377">
        <v>222.9</v>
      </c>
      <c r="S377">
        <v>3.2464238541570337E-2</v>
      </c>
      <c r="T377">
        <v>7.8716082868796694E-2</v>
      </c>
      <c r="U377">
        <v>7.5410739854219741E-2</v>
      </c>
      <c r="V377">
        <v>3.2999861790986738E-3</v>
      </c>
      <c r="W377">
        <v>7.211075367512107E-2</v>
      </c>
      <c r="X377" s="19">
        <f t="shared" si="15"/>
        <v>46049</v>
      </c>
      <c r="Y377" s="19">
        <f t="shared" si="16"/>
        <v>46049</v>
      </c>
      <c r="Z377">
        <f t="array" ref="Z377">_xlfn.XLOOKUP(INT(X377),INT($AE$2:$AE$1000),$AG$2:$AG$1000,"")</f>
        <v>16.350000000000001</v>
      </c>
      <c r="AE377" s="19" t="e">
        <f t="shared" si="17"/>
        <v>#VALUE!</v>
      </c>
    </row>
    <row r="378" spans="1:32" x14ac:dyDescent="0.3">
      <c r="A378">
        <v>6</v>
      </c>
      <c r="B378" t="s">
        <v>31</v>
      </c>
      <c r="C378" t="s">
        <v>152</v>
      </c>
      <c r="D378">
        <v>50395</v>
      </c>
      <c r="E378">
        <v>90.87</v>
      </c>
      <c r="F378">
        <v>221.83500000000001</v>
      </c>
      <c r="G378">
        <v>90.879086999999998</v>
      </c>
      <c r="H378">
        <v>221.8128165</v>
      </c>
      <c r="I378">
        <v>-5.122975399792848</v>
      </c>
      <c r="J378">
        <v>0.64995808535787292</v>
      </c>
      <c r="K378">
        <v>0.1100473203477495</v>
      </c>
      <c r="L378">
        <v>-2.9299167640718229E-2</v>
      </c>
      <c r="M378" t="s">
        <v>29</v>
      </c>
      <c r="N378">
        <v>14</v>
      </c>
      <c r="O378" t="s">
        <v>28</v>
      </c>
      <c r="P378">
        <v>50409</v>
      </c>
      <c r="Q378">
        <v>93.364999999999995</v>
      </c>
      <c r="R378">
        <v>222.85</v>
      </c>
      <c r="S378">
        <v>-0.28610575278015188</v>
      </c>
      <c r="T378">
        <v>0.24482940911230541</v>
      </c>
      <c r="U378">
        <v>0.24149906226964701</v>
      </c>
      <c r="V378">
        <v>3.2999861790986738E-3</v>
      </c>
      <c r="W378">
        <v>0.23819907609054841</v>
      </c>
      <c r="X378" s="19">
        <f t="shared" si="15"/>
        <v>46051</v>
      </c>
      <c r="Y378" s="19">
        <f t="shared" si="16"/>
        <v>46051</v>
      </c>
      <c r="Z378">
        <f t="array" ref="Z378">_xlfn.XLOOKUP(INT(X378),INT($AE$2:$AE$1000),$AG$2:$AG$1000,"")</f>
        <v>16.88</v>
      </c>
      <c r="AE378" s="19" t="e">
        <f t="shared" si="17"/>
        <v>#VALUE!</v>
      </c>
    </row>
    <row r="379" spans="1:32" x14ac:dyDescent="0.3">
      <c r="A379">
        <v>7</v>
      </c>
      <c r="B379" t="s">
        <v>25</v>
      </c>
      <c r="C379" t="s">
        <v>30</v>
      </c>
      <c r="D379">
        <v>51301</v>
      </c>
      <c r="E379">
        <v>315.82</v>
      </c>
      <c r="F379">
        <v>54.64</v>
      </c>
      <c r="G379">
        <v>315.78841799999998</v>
      </c>
      <c r="H379">
        <v>54.645463999999997</v>
      </c>
      <c r="I379">
        <v>5.2939855502511302</v>
      </c>
      <c r="J379">
        <v>1.010146982915971</v>
      </c>
      <c r="K379">
        <v>-3.1663605851434358E-2</v>
      </c>
      <c r="L379">
        <v>0.1848731667122934</v>
      </c>
      <c r="M379" t="s">
        <v>27</v>
      </c>
      <c r="N379">
        <v>23</v>
      </c>
      <c r="O379" t="s">
        <v>28</v>
      </c>
      <c r="P379">
        <v>51324</v>
      </c>
      <c r="Q379">
        <v>314.75</v>
      </c>
      <c r="R379">
        <v>54.505000000000003</v>
      </c>
      <c r="S379">
        <v>0.49087653503301187</v>
      </c>
      <c r="T379">
        <v>8.9221807548753099E-3</v>
      </c>
      <c r="U379">
        <v>4.9077705826199164E-3</v>
      </c>
      <c r="V379">
        <v>4.0202959952285256E-3</v>
      </c>
      <c r="W379">
        <v>8.8747458739139081E-4</v>
      </c>
      <c r="X379" s="19">
        <f t="shared" si="15"/>
        <v>46055</v>
      </c>
      <c r="Y379" s="19">
        <f t="shared" si="16"/>
        <v>46055</v>
      </c>
      <c r="Z379">
        <f t="array" ref="Z379">_xlfn.XLOOKUP(INT(X379),INT($AE$2:$AE$1000),$AG$2:$AG$1000,"")</f>
        <v>16.34</v>
      </c>
      <c r="AE379" s="19" t="e">
        <f t="shared" si="17"/>
        <v>#VALUE!</v>
      </c>
      <c r="AF379" s="19"/>
    </row>
    <row r="380" spans="1:32" x14ac:dyDescent="0.3">
      <c r="A380">
        <v>7</v>
      </c>
      <c r="B380" t="s">
        <v>25</v>
      </c>
      <c r="C380" t="s">
        <v>30</v>
      </c>
      <c r="D380">
        <v>51565</v>
      </c>
      <c r="E380">
        <v>310.43</v>
      </c>
      <c r="F380">
        <v>53.52</v>
      </c>
      <c r="G380">
        <v>310.398957</v>
      </c>
      <c r="H380">
        <v>53.525352000000012</v>
      </c>
      <c r="I380">
        <v>4.075568730273786</v>
      </c>
      <c r="J380">
        <v>1.010146982915971</v>
      </c>
      <c r="K380">
        <v>-3.2213381438649623E-2</v>
      </c>
      <c r="L380">
        <v>0.18874196242824581</v>
      </c>
      <c r="M380" t="s">
        <v>27</v>
      </c>
      <c r="N380">
        <v>14</v>
      </c>
      <c r="O380" t="s">
        <v>28</v>
      </c>
      <c r="P380">
        <v>51579</v>
      </c>
      <c r="Q380">
        <v>310.47000000000003</v>
      </c>
      <c r="R380">
        <v>53.62</v>
      </c>
      <c r="S380">
        <v>7.7876738339145699E-2</v>
      </c>
      <c r="T380">
        <v>1.758566098527686E-2</v>
      </c>
      <c r="U380">
        <v>1.3563350746294471E-2</v>
      </c>
      <c r="V380">
        <v>4.0202959952285256E-3</v>
      </c>
      <c r="W380">
        <v>9.543054751065946E-3</v>
      </c>
      <c r="X380" s="19">
        <f t="shared" si="15"/>
        <v>46056</v>
      </c>
      <c r="Y380" s="19">
        <f t="shared" si="16"/>
        <v>46056</v>
      </c>
      <c r="Z380">
        <f t="array" ref="Z380">_xlfn.XLOOKUP(INT(X380),INT($AE$2:$AE$1000),$AG$2:$AG$1000,"")</f>
        <v>18</v>
      </c>
      <c r="AE380" s="19" t="e">
        <f t="shared" si="17"/>
        <v>#VALUE!</v>
      </c>
      <c r="AF380" s="19"/>
    </row>
    <row r="381" spans="1:32" x14ac:dyDescent="0.3">
      <c r="A381">
        <v>7</v>
      </c>
      <c r="B381" t="s">
        <v>25</v>
      </c>
      <c r="C381" t="s">
        <v>30</v>
      </c>
      <c r="D381">
        <v>52344</v>
      </c>
      <c r="E381">
        <v>304.58999999999997</v>
      </c>
      <c r="F381">
        <v>53.24</v>
      </c>
      <c r="G381">
        <v>304.62045899999998</v>
      </c>
      <c r="H381">
        <v>53.234676</v>
      </c>
      <c r="I381">
        <v>-4.9584326804218293</v>
      </c>
      <c r="J381">
        <v>1.010146982915971</v>
      </c>
      <c r="K381">
        <v>3.283101874651171E-2</v>
      </c>
      <c r="L381">
        <v>-0.1897345948377106</v>
      </c>
      <c r="M381" t="s">
        <v>29</v>
      </c>
      <c r="N381">
        <v>12</v>
      </c>
      <c r="O381" t="s">
        <v>28</v>
      </c>
      <c r="P381">
        <v>52356</v>
      </c>
      <c r="Q381">
        <v>306.60500000000002</v>
      </c>
      <c r="R381">
        <v>53.274999999999999</v>
      </c>
      <c r="S381">
        <v>-0.14343058562202879</v>
      </c>
      <c r="T381">
        <v>5.9513791954903278E-2</v>
      </c>
      <c r="U381">
        <v>5.5486218467711103E-2</v>
      </c>
      <c r="V381">
        <v>4.0202919364353594E-3</v>
      </c>
      <c r="W381">
        <v>5.1465926531275727E-2</v>
      </c>
      <c r="X381" s="19">
        <f t="shared" si="15"/>
        <v>46058</v>
      </c>
      <c r="Y381" s="19">
        <f t="shared" si="16"/>
        <v>46058</v>
      </c>
      <c r="Z381">
        <f t="array" ref="Z381">_xlfn.XLOOKUP(INT(X381),INT($AE$2:$AE$1000),$AG$2:$AG$1000,"")</f>
        <v>21.77</v>
      </c>
      <c r="AE381" s="19" t="e">
        <f t="shared" si="17"/>
        <v>#VALUE!</v>
      </c>
      <c r="AF381" s="19"/>
    </row>
    <row r="382" spans="1:32" x14ac:dyDescent="0.3">
      <c r="A382">
        <v>7</v>
      </c>
      <c r="B382" t="s">
        <v>25</v>
      </c>
      <c r="C382" t="s">
        <v>30</v>
      </c>
      <c r="D382">
        <v>53127</v>
      </c>
      <c r="E382">
        <v>306.26</v>
      </c>
      <c r="F382">
        <v>52.18</v>
      </c>
      <c r="G382">
        <v>306.22937400000001</v>
      </c>
      <c r="H382">
        <v>52.185217999999999</v>
      </c>
      <c r="I382">
        <v>4.6566311301594041</v>
      </c>
      <c r="J382">
        <v>1.010146982915971</v>
      </c>
      <c r="K382">
        <v>-3.2651995036896753E-2</v>
      </c>
      <c r="L382">
        <v>0.19358891968493119</v>
      </c>
      <c r="M382" t="s">
        <v>27</v>
      </c>
      <c r="N382">
        <v>18</v>
      </c>
      <c r="O382" t="s">
        <v>28</v>
      </c>
      <c r="P382">
        <v>53145</v>
      </c>
      <c r="Q382">
        <v>306.84500000000003</v>
      </c>
      <c r="R382">
        <v>52.46</v>
      </c>
      <c r="S382">
        <v>0.36883765175630667</v>
      </c>
      <c r="T382">
        <v>3.5103480415195183E-2</v>
      </c>
      <c r="U382">
        <v>3.1075855817902918E-2</v>
      </c>
      <c r="V382">
        <v>4.0202959952285256E-3</v>
      </c>
      <c r="W382">
        <v>2.7055559822674401E-2</v>
      </c>
      <c r="X382" s="19">
        <f t="shared" si="15"/>
        <v>46062</v>
      </c>
      <c r="Y382" s="19">
        <f t="shared" si="16"/>
        <v>46062</v>
      </c>
      <c r="Z382">
        <f t="array" ref="Z382">_xlfn.XLOOKUP(INT(X382),INT($AE$2:$AE$1000),$AG$2:$AG$1000,"")</f>
        <v>17.36</v>
      </c>
      <c r="AE382" s="19" t="e">
        <f t="shared" si="17"/>
        <v>#VALUE!</v>
      </c>
      <c r="AF382" s="19"/>
    </row>
    <row r="383" spans="1:32" x14ac:dyDescent="0.3">
      <c r="A383">
        <v>7</v>
      </c>
      <c r="B383" t="s">
        <v>25</v>
      </c>
      <c r="C383" t="s">
        <v>30</v>
      </c>
      <c r="D383">
        <v>53372</v>
      </c>
      <c r="E383">
        <v>305.2</v>
      </c>
      <c r="F383">
        <v>52.24</v>
      </c>
      <c r="G383">
        <v>305.23052000000001</v>
      </c>
      <c r="H383">
        <v>52.234775999999997</v>
      </c>
      <c r="I383">
        <v>-3.7749881529900149</v>
      </c>
      <c r="J383">
        <v>1.010146982915971</v>
      </c>
      <c r="K383">
        <v>3.2765399737876802E-2</v>
      </c>
      <c r="L383">
        <v>-0.19336657406507871</v>
      </c>
      <c r="M383" t="s">
        <v>29</v>
      </c>
      <c r="N383">
        <v>11</v>
      </c>
      <c r="O383" t="s">
        <v>28</v>
      </c>
      <c r="P383">
        <v>53383</v>
      </c>
      <c r="Q383">
        <v>306.63</v>
      </c>
      <c r="R383">
        <v>52.414999999999999</v>
      </c>
      <c r="S383">
        <v>-0.25681306697959139</v>
      </c>
      <c r="T383">
        <v>1.3015371163775821E-2</v>
      </c>
      <c r="U383">
        <v>8.9870078307352427E-3</v>
      </c>
      <c r="V383">
        <v>4.0202919364353603E-3</v>
      </c>
      <c r="W383">
        <v>4.9667158942998824E-3</v>
      </c>
      <c r="X383" s="19">
        <f t="shared" si="15"/>
        <v>46062</v>
      </c>
      <c r="Y383" s="19">
        <f t="shared" si="16"/>
        <v>46062</v>
      </c>
      <c r="Z383">
        <f t="array" ref="Z383">_xlfn.XLOOKUP(INT(X383),INT($AE$2:$AE$1000),$AG$2:$AG$1000,"")</f>
        <v>17.36</v>
      </c>
      <c r="AE383" s="19" t="e">
        <f t="shared" si="17"/>
        <v>#VALUE!</v>
      </c>
      <c r="AF383" s="19"/>
    </row>
    <row r="384" spans="1:32" x14ac:dyDescent="0.3">
      <c r="A384">
        <v>7</v>
      </c>
      <c r="B384" t="s">
        <v>25</v>
      </c>
      <c r="C384" t="s">
        <v>30</v>
      </c>
      <c r="D384">
        <v>53517</v>
      </c>
      <c r="E384">
        <v>307.62</v>
      </c>
      <c r="F384">
        <v>52.44</v>
      </c>
      <c r="G384">
        <v>307.58923800000002</v>
      </c>
      <c r="H384">
        <v>52.445244000000002</v>
      </c>
      <c r="I384">
        <v>4.0646379047212484</v>
      </c>
      <c r="J384">
        <v>1.010146982915971</v>
      </c>
      <c r="K384">
        <v>-3.2507639295234383E-2</v>
      </c>
      <c r="L384">
        <v>0.19262909666589839</v>
      </c>
      <c r="M384" t="s">
        <v>27</v>
      </c>
      <c r="N384">
        <v>18</v>
      </c>
      <c r="O384" t="s">
        <v>28</v>
      </c>
      <c r="P384">
        <v>53535</v>
      </c>
      <c r="Q384">
        <v>305.99</v>
      </c>
      <c r="R384">
        <v>52.08</v>
      </c>
      <c r="S384">
        <v>0.27083471387508978</v>
      </c>
      <c r="T384">
        <v>-1.635902274849144E-2</v>
      </c>
      <c r="U384">
        <v>-2.0367083321636309E-2</v>
      </c>
      <c r="V384">
        <v>4.0202959952285256E-3</v>
      </c>
      <c r="W384">
        <v>-2.438737931686483E-2</v>
      </c>
      <c r="X384" s="19">
        <f t="shared" si="15"/>
        <v>46063</v>
      </c>
      <c r="Y384" s="19">
        <f t="shared" si="16"/>
        <v>46063</v>
      </c>
      <c r="Z384">
        <f t="array" ref="Z384">_xlfn.XLOOKUP(INT(X384),INT($AE$2:$AE$1000),$AG$2:$AG$1000,"")</f>
        <v>17.79</v>
      </c>
      <c r="AE384" s="19" t="e">
        <f t="shared" si="17"/>
        <v>#VALUE!</v>
      </c>
      <c r="AF384" s="19"/>
    </row>
    <row r="385" spans="1:32" x14ac:dyDescent="0.3">
      <c r="A385">
        <v>7</v>
      </c>
      <c r="B385" t="s">
        <v>25</v>
      </c>
      <c r="C385" t="s">
        <v>30</v>
      </c>
      <c r="D385">
        <v>53762</v>
      </c>
      <c r="E385">
        <v>309.98500000000001</v>
      </c>
      <c r="F385">
        <v>52.664999999999999</v>
      </c>
      <c r="G385">
        <v>309.9540015</v>
      </c>
      <c r="H385">
        <v>52.670266499999997</v>
      </c>
      <c r="I385">
        <v>4.2167222232767623</v>
      </c>
      <c r="J385">
        <v>1.010146982915971</v>
      </c>
      <c r="K385">
        <v>-3.2259625465748343E-2</v>
      </c>
      <c r="L385">
        <v>0.19180612986157239</v>
      </c>
      <c r="M385" t="s">
        <v>27</v>
      </c>
      <c r="N385">
        <v>29</v>
      </c>
      <c r="O385" t="s">
        <v>28</v>
      </c>
      <c r="P385">
        <v>53791</v>
      </c>
      <c r="Q385">
        <v>310.69</v>
      </c>
      <c r="R385">
        <v>52.98</v>
      </c>
      <c r="S385">
        <v>-0.45026262429605401</v>
      </c>
      <c r="T385">
        <v>3.7675894953042813E-2</v>
      </c>
      <c r="U385">
        <v>3.3647284790525693E-2</v>
      </c>
      <c r="V385">
        <v>4.0202959952285256E-3</v>
      </c>
      <c r="W385">
        <v>2.9626988795297161E-2</v>
      </c>
      <c r="X385" s="19">
        <f t="shared" si="15"/>
        <v>46063</v>
      </c>
      <c r="Y385" s="19">
        <f t="shared" si="16"/>
        <v>46063</v>
      </c>
      <c r="Z385">
        <f t="array" ref="Z385">_xlfn.XLOOKUP(INT(X385),INT($AE$2:$AE$1000),$AG$2:$AG$1000,"")</f>
        <v>17.79</v>
      </c>
      <c r="AE385" s="19" t="e">
        <f t="shared" si="17"/>
        <v>#VALUE!</v>
      </c>
      <c r="AF385" s="19"/>
    </row>
    <row r="386" spans="1:32" x14ac:dyDescent="0.3">
      <c r="A386">
        <v>7</v>
      </c>
      <c r="B386" t="s">
        <v>25</v>
      </c>
      <c r="C386" t="s">
        <v>30</v>
      </c>
      <c r="D386">
        <v>53907</v>
      </c>
      <c r="E386">
        <v>309.82</v>
      </c>
      <c r="F386">
        <v>53.09</v>
      </c>
      <c r="G386">
        <v>309.85098199999999</v>
      </c>
      <c r="H386">
        <v>53.084691000000007</v>
      </c>
      <c r="I386">
        <v>-4.3878530153906263</v>
      </c>
      <c r="J386">
        <v>1.010146982915971</v>
      </c>
      <c r="K386">
        <v>3.2276805887289393E-2</v>
      </c>
      <c r="L386">
        <v>-0.19027066922508409</v>
      </c>
      <c r="M386" t="s">
        <v>29</v>
      </c>
      <c r="N386">
        <v>22</v>
      </c>
      <c r="O386" t="s">
        <v>28</v>
      </c>
      <c r="P386">
        <v>53929</v>
      </c>
      <c r="Q386">
        <v>306.24</v>
      </c>
      <c r="R386">
        <v>52.59</v>
      </c>
      <c r="S386">
        <v>-0.28515227122360992</v>
      </c>
      <c r="T386">
        <v>-2.041563046395348E-2</v>
      </c>
      <c r="U386">
        <v>-2.4414855799815841E-2</v>
      </c>
      <c r="V386">
        <v>4.0202919364353594E-3</v>
      </c>
      <c r="W386">
        <v>-2.84351477362512E-2</v>
      </c>
      <c r="X386" s="19">
        <f t="shared" ref="X386:X449" si="18">WORKDAY(DATE(2025,8,2),INT(D386/390))</f>
        <v>46064</v>
      </c>
      <c r="Y386" s="19">
        <f t="shared" ref="Y386:Y449" si="19">WORKDAY(DATE(2025,8,2),INT(P386/390))</f>
        <v>46064</v>
      </c>
      <c r="Z386">
        <f t="array" ref="Z386">_xlfn.XLOOKUP(INT(X386),INT($AE$2:$AE$1000),$AG$2:$AG$1000,"")</f>
        <v>17.649999999999999</v>
      </c>
      <c r="AE386" s="19" t="e">
        <f t="shared" ref="AE386:AE449" si="20">IF(ISNUMBER(AF386),DATE(YEAR(AF386),DAY(AF386),MONTH(AF386)),DATE(RIGHT(AF386,4),LEFT(AF386,2),MID(AF386,4,2)))</f>
        <v>#VALUE!</v>
      </c>
      <c r="AF386" s="19"/>
    </row>
    <row r="387" spans="1:32" x14ac:dyDescent="0.3">
      <c r="A387">
        <v>7</v>
      </c>
      <c r="B387" t="s">
        <v>25</v>
      </c>
      <c r="C387" t="s">
        <v>30</v>
      </c>
      <c r="D387">
        <v>54298</v>
      </c>
      <c r="E387">
        <v>294.07</v>
      </c>
      <c r="F387">
        <v>50.25</v>
      </c>
      <c r="G387">
        <v>294.040593</v>
      </c>
      <c r="H387">
        <v>50.255025000000003</v>
      </c>
      <c r="I387">
        <v>3.6402653643952072</v>
      </c>
      <c r="J387">
        <v>1.010146982915971</v>
      </c>
      <c r="K387">
        <v>-3.4005508892440577E-2</v>
      </c>
      <c r="L387">
        <v>0.20102427520715849</v>
      </c>
      <c r="M387" t="s">
        <v>27</v>
      </c>
      <c r="N387">
        <v>26</v>
      </c>
      <c r="O387" t="s">
        <v>28</v>
      </c>
      <c r="P387">
        <v>54324</v>
      </c>
      <c r="Q387">
        <v>292.95</v>
      </c>
      <c r="R387">
        <v>49.75</v>
      </c>
      <c r="S387">
        <v>0.32317564303634372</v>
      </c>
      <c r="T387">
        <v>-6.2425967644045628E-2</v>
      </c>
      <c r="U387">
        <v>-6.6432401779120256E-2</v>
      </c>
      <c r="V387">
        <v>4.0202959952285256E-3</v>
      </c>
      <c r="W387">
        <v>-7.0452697774348788E-2</v>
      </c>
      <c r="X387" s="19">
        <f t="shared" si="18"/>
        <v>46065</v>
      </c>
      <c r="Y387" s="19">
        <f t="shared" si="19"/>
        <v>46065</v>
      </c>
      <c r="Z387">
        <f t="array" ref="Z387">_xlfn.XLOOKUP(INT(X387),INT($AE$2:$AE$1000),$AG$2:$AG$1000,"")</f>
        <v>20.82</v>
      </c>
      <c r="AE387" s="19" t="e">
        <f t="shared" si="20"/>
        <v>#VALUE!</v>
      </c>
      <c r="AF387" s="19"/>
    </row>
    <row r="388" spans="1:32" x14ac:dyDescent="0.3">
      <c r="A388">
        <v>8</v>
      </c>
      <c r="B388" t="s">
        <v>25</v>
      </c>
      <c r="C388" t="s">
        <v>30</v>
      </c>
      <c r="D388">
        <v>55201</v>
      </c>
      <c r="E388">
        <v>306.26</v>
      </c>
      <c r="F388">
        <v>52.134999999999998</v>
      </c>
      <c r="G388">
        <v>306.22937400000001</v>
      </c>
      <c r="H388">
        <v>52.140213499999987</v>
      </c>
      <c r="I388">
        <v>5.2893751873921389</v>
      </c>
      <c r="J388">
        <v>0.96877792326346956</v>
      </c>
      <c r="K388">
        <v>-3.2651995036896753E-2</v>
      </c>
      <c r="L388">
        <v>0.18582102680799259</v>
      </c>
      <c r="M388" t="s">
        <v>27</v>
      </c>
      <c r="N388">
        <v>23</v>
      </c>
      <c r="O388" t="s">
        <v>28</v>
      </c>
      <c r="P388">
        <v>55224</v>
      </c>
      <c r="Q388">
        <v>305.14999999999998</v>
      </c>
      <c r="R388">
        <v>51.924999999999997</v>
      </c>
      <c r="S388">
        <v>0.49429642635938292</v>
      </c>
      <c r="T388">
        <v>-2.7787011387227709E-3</v>
      </c>
      <c r="U388">
        <v>-6.7087303722357453E-3</v>
      </c>
      <c r="V388">
        <v>3.9375496021115926E-3</v>
      </c>
      <c r="W388">
        <v>-1.064627997434734E-2</v>
      </c>
      <c r="X388" s="19">
        <f t="shared" si="18"/>
        <v>46069</v>
      </c>
      <c r="Y388" s="19">
        <f t="shared" si="19"/>
        <v>46069</v>
      </c>
      <c r="Z388">
        <f t="array" ref="Z388">_xlfn.XLOOKUP(INT(X388),INT($AE$2:$AE$1000),$AG$2:$AG$1000,"")</f>
        <v>21.2</v>
      </c>
      <c r="AE388" s="19" t="e">
        <f t="shared" si="20"/>
        <v>#VALUE!</v>
      </c>
    </row>
    <row r="389" spans="1:32" x14ac:dyDescent="0.3">
      <c r="A389">
        <v>8</v>
      </c>
      <c r="B389" t="s">
        <v>25</v>
      </c>
      <c r="C389" t="s">
        <v>30</v>
      </c>
      <c r="D389">
        <v>55468</v>
      </c>
      <c r="E389">
        <v>302.83499999999998</v>
      </c>
      <c r="F389">
        <v>51.37</v>
      </c>
      <c r="G389">
        <v>302.80471649999998</v>
      </c>
      <c r="H389">
        <v>51.375137000000002</v>
      </c>
      <c r="I389">
        <v>3.934397936976795</v>
      </c>
      <c r="J389">
        <v>0.96877792326346956</v>
      </c>
      <c r="K389">
        <v>-3.3021282216388462E-2</v>
      </c>
      <c r="L389">
        <v>0.18858826615991231</v>
      </c>
      <c r="M389" t="s">
        <v>27</v>
      </c>
      <c r="N389">
        <v>35</v>
      </c>
      <c r="O389" t="s">
        <v>28</v>
      </c>
      <c r="P389">
        <v>55503</v>
      </c>
      <c r="Q389">
        <v>297.54000000000002</v>
      </c>
      <c r="R389">
        <v>50.25</v>
      </c>
      <c r="S389">
        <v>5.749173956535495E-2</v>
      </c>
      <c r="T389">
        <v>-3.6371168763325801E-2</v>
      </c>
      <c r="U389">
        <v>-4.0270117955106932E-2</v>
      </c>
      <c r="V389">
        <v>3.9375496021115926E-3</v>
      </c>
      <c r="W389">
        <v>-4.4207667557218527E-2</v>
      </c>
      <c r="X389" s="19">
        <f t="shared" si="18"/>
        <v>46070</v>
      </c>
      <c r="Y389" s="19">
        <f t="shared" si="19"/>
        <v>46070</v>
      </c>
      <c r="Z389">
        <f t="array" ref="Z389">_xlfn.XLOOKUP(INT(X389),INT($AE$2:$AE$1000),$AG$2:$AG$1000,"")</f>
        <v>20.29</v>
      </c>
      <c r="AE389" s="19" t="e">
        <f t="shared" si="20"/>
        <v>#VALUE!</v>
      </c>
    </row>
    <row r="390" spans="1:32" x14ac:dyDescent="0.3">
      <c r="A390">
        <v>8</v>
      </c>
      <c r="B390" t="s">
        <v>25</v>
      </c>
      <c r="C390" t="s">
        <v>30</v>
      </c>
      <c r="D390">
        <v>56249</v>
      </c>
      <c r="E390">
        <v>297.51</v>
      </c>
      <c r="F390">
        <v>48.74</v>
      </c>
      <c r="G390">
        <v>297.48024900000001</v>
      </c>
      <c r="H390">
        <v>48.744874000000003</v>
      </c>
      <c r="I390">
        <v>5.2490396190657274</v>
      </c>
      <c r="J390">
        <v>0.96877792326346956</v>
      </c>
      <c r="K390">
        <v>-3.3612315552418413E-2</v>
      </c>
      <c r="L390">
        <v>0.1987644487614833</v>
      </c>
      <c r="M390" t="s">
        <v>27</v>
      </c>
      <c r="N390">
        <v>1</v>
      </c>
      <c r="O390" t="s">
        <v>28</v>
      </c>
      <c r="P390">
        <v>56250</v>
      </c>
      <c r="Q390">
        <v>290.94</v>
      </c>
      <c r="R390">
        <v>48.62</v>
      </c>
      <c r="S390">
        <v>2.4799705182040371E-2</v>
      </c>
      <c r="T390">
        <v>0.19698117932800979</v>
      </c>
      <c r="U390">
        <v>0.19306809194618649</v>
      </c>
      <c r="V390">
        <v>3.9375496021115926E-3</v>
      </c>
      <c r="W390">
        <v>0.18913054234407489</v>
      </c>
      <c r="X390" s="19">
        <f t="shared" si="18"/>
        <v>46072</v>
      </c>
      <c r="Y390" s="19">
        <f t="shared" si="19"/>
        <v>46072</v>
      </c>
      <c r="Z390">
        <f t="array" ref="Z390">_xlfn.XLOOKUP(INT(X390),INT($AE$2:$AE$1000),$AG$2:$AG$1000,"")</f>
        <v>20.23</v>
      </c>
      <c r="AE390" s="19" t="e">
        <f t="shared" si="20"/>
        <v>#VALUE!</v>
      </c>
    </row>
    <row r="391" spans="1:32" x14ac:dyDescent="0.3">
      <c r="A391">
        <v>8</v>
      </c>
      <c r="B391" t="s">
        <v>25</v>
      </c>
      <c r="C391" t="s">
        <v>30</v>
      </c>
      <c r="D391">
        <v>56633</v>
      </c>
      <c r="E391">
        <v>300.68</v>
      </c>
      <c r="F391">
        <v>49.88</v>
      </c>
      <c r="G391">
        <v>300.64993199999998</v>
      </c>
      <c r="H391">
        <v>49.884988</v>
      </c>
      <c r="I391">
        <v>3.5957734442424671</v>
      </c>
      <c r="J391">
        <v>0.96877792326346956</v>
      </c>
      <c r="K391">
        <v>-3.3257948649727281E-2</v>
      </c>
      <c r="L391">
        <v>0.194221716772949</v>
      </c>
      <c r="M391" t="s">
        <v>27</v>
      </c>
      <c r="N391">
        <v>14</v>
      </c>
      <c r="O391" t="s">
        <v>28</v>
      </c>
      <c r="P391">
        <v>56647</v>
      </c>
      <c r="Q391">
        <v>299.52</v>
      </c>
      <c r="R391">
        <v>49.82</v>
      </c>
      <c r="S391">
        <v>0.37164097552966741</v>
      </c>
      <c r="T391">
        <v>2.69259174273071E-2</v>
      </c>
      <c r="U391">
        <v>2.2993384833126618E-2</v>
      </c>
      <c r="V391">
        <v>3.9375496021115926E-3</v>
      </c>
      <c r="W391">
        <v>1.905583523101503E-2</v>
      </c>
      <c r="X391" s="19">
        <f t="shared" si="18"/>
        <v>46073</v>
      </c>
      <c r="Y391" s="19">
        <f t="shared" si="19"/>
        <v>46073</v>
      </c>
      <c r="Z391">
        <f t="array" ref="Z391">_xlfn.XLOOKUP(INT(X391),INT($AE$2:$AE$1000),$AG$2:$AG$1000,"")</f>
        <v>19.09</v>
      </c>
      <c r="AE391" s="19" t="e">
        <f t="shared" si="20"/>
        <v>#VALUE!</v>
      </c>
    </row>
    <row r="392" spans="1:32" x14ac:dyDescent="0.3">
      <c r="A392">
        <v>8</v>
      </c>
      <c r="B392" t="s">
        <v>25</v>
      </c>
      <c r="C392" t="s">
        <v>30</v>
      </c>
      <c r="D392">
        <v>57037</v>
      </c>
      <c r="E392">
        <v>298.98</v>
      </c>
      <c r="F392">
        <v>50.104999999999997</v>
      </c>
      <c r="G392">
        <v>298.95010200000002</v>
      </c>
      <c r="H392">
        <v>50.110010499999987</v>
      </c>
      <c r="I392">
        <v>4.033613404581768</v>
      </c>
      <c r="J392">
        <v>0.96877792326346956</v>
      </c>
      <c r="K392">
        <v>-3.344705331460298E-2</v>
      </c>
      <c r="L392">
        <v>0.19334955059644141</v>
      </c>
      <c r="M392" t="s">
        <v>27</v>
      </c>
      <c r="N392">
        <v>12</v>
      </c>
      <c r="O392" t="s">
        <v>28</v>
      </c>
      <c r="P392">
        <v>57049</v>
      </c>
      <c r="Q392">
        <v>299.43</v>
      </c>
      <c r="R392">
        <v>50.2</v>
      </c>
      <c r="S392">
        <v>0.1896668712687502</v>
      </c>
      <c r="T392">
        <v>3.3170333150921278E-3</v>
      </c>
      <c r="U392">
        <v>-6.2386446956467015E-4</v>
      </c>
      <c r="V392">
        <v>3.9375496021115917E-3</v>
      </c>
      <c r="W392">
        <v>-4.5614140716762619E-3</v>
      </c>
      <c r="X392" s="19">
        <f t="shared" si="18"/>
        <v>46076</v>
      </c>
      <c r="Y392" s="19">
        <f t="shared" si="19"/>
        <v>46076</v>
      </c>
      <c r="Z392">
        <f t="array" ref="Z392">_xlfn.XLOOKUP(INT(X392),INT($AE$2:$AE$1000),$AG$2:$AG$1000,"")</f>
        <v>21.01</v>
      </c>
      <c r="AE392" s="19" t="e">
        <f t="shared" si="20"/>
        <v>#VALUE!</v>
      </c>
    </row>
    <row r="393" spans="1:32" x14ac:dyDescent="0.3">
      <c r="A393">
        <v>8</v>
      </c>
      <c r="B393" t="s">
        <v>25</v>
      </c>
      <c r="C393" t="s">
        <v>30</v>
      </c>
      <c r="D393">
        <v>57426</v>
      </c>
      <c r="E393">
        <v>293.45999999999998</v>
      </c>
      <c r="F393">
        <v>48.3</v>
      </c>
      <c r="G393">
        <v>293.430654</v>
      </c>
      <c r="H393">
        <v>48.304830000000003</v>
      </c>
      <c r="I393">
        <v>5.2507635355201172</v>
      </c>
      <c r="J393">
        <v>0.96877792326346956</v>
      </c>
      <c r="K393">
        <v>-3.407619437061269E-2</v>
      </c>
      <c r="L393">
        <v>0.20057513939202271</v>
      </c>
      <c r="M393" t="s">
        <v>27</v>
      </c>
      <c r="N393">
        <v>2</v>
      </c>
      <c r="O393" t="s">
        <v>28</v>
      </c>
      <c r="P393">
        <v>57428</v>
      </c>
      <c r="Q393">
        <v>284.45</v>
      </c>
      <c r="R393">
        <v>48.3</v>
      </c>
      <c r="S393">
        <v>-0.43248274821176041</v>
      </c>
      <c r="T393">
        <v>0.30702651127921998</v>
      </c>
      <c r="U393">
        <v>0.3031196580838233</v>
      </c>
      <c r="V393">
        <v>3.9375496021115926E-3</v>
      </c>
      <c r="W393">
        <v>0.29918210848171167</v>
      </c>
      <c r="X393" s="19">
        <f t="shared" si="18"/>
        <v>46077</v>
      </c>
      <c r="Y393" s="19">
        <f t="shared" si="19"/>
        <v>46077</v>
      </c>
      <c r="Z393">
        <f t="array" ref="Z393">_xlfn.XLOOKUP(INT(X393),INT($AE$2:$AE$1000),$AG$2:$AG$1000,"")</f>
        <v>19.55</v>
      </c>
      <c r="AE393" s="19" t="e">
        <f t="shared" si="20"/>
        <v>#VALUE!</v>
      </c>
    </row>
    <row r="394" spans="1:32" x14ac:dyDescent="0.3">
      <c r="A394">
        <v>8</v>
      </c>
      <c r="B394" t="s">
        <v>25</v>
      </c>
      <c r="C394" t="s">
        <v>30</v>
      </c>
      <c r="D394">
        <v>57818</v>
      </c>
      <c r="E394">
        <v>286.09500000000003</v>
      </c>
      <c r="F394">
        <v>47.64</v>
      </c>
      <c r="G394">
        <v>286.06639050000001</v>
      </c>
      <c r="H394">
        <v>47.644764000000002</v>
      </c>
      <c r="I394">
        <v>4.8158246540165557</v>
      </c>
      <c r="J394">
        <v>0.96877792326346956</v>
      </c>
      <c r="K394">
        <v>-3.4953424561771439E-2</v>
      </c>
      <c r="L394">
        <v>0.20335388817453179</v>
      </c>
      <c r="M394" t="s">
        <v>27</v>
      </c>
      <c r="N394">
        <v>13</v>
      </c>
      <c r="O394" t="s">
        <v>28</v>
      </c>
      <c r="P394">
        <v>57831</v>
      </c>
      <c r="Q394">
        <v>284.52999999999997</v>
      </c>
      <c r="R394">
        <v>47.524999999999999</v>
      </c>
      <c r="S394">
        <v>0.35677660429548941</v>
      </c>
      <c r="T394">
        <v>3.1316412299102647E-2</v>
      </c>
      <c r="U394">
        <v>2.7386665233231858E-2</v>
      </c>
      <c r="V394">
        <v>3.9375496021115926E-3</v>
      </c>
      <c r="W394">
        <v>2.344911563112027E-2</v>
      </c>
      <c r="X394" s="19">
        <f t="shared" si="18"/>
        <v>46078</v>
      </c>
      <c r="Y394" s="19">
        <f t="shared" si="19"/>
        <v>46078</v>
      </c>
      <c r="Z394">
        <f t="array" ref="Z394">_xlfn.XLOOKUP(INT(X394),INT($AE$2:$AE$1000),$AG$2:$AG$1000,"")</f>
        <v>17.93</v>
      </c>
      <c r="AE394" s="19" t="e">
        <f t="shared" si="20"/>
        <v>#VALUE!</v>
      </c>
    </row>
    <row r="395" spans="1:32" x14ac:dyDescent="0.3">
      <c r="A395">
        <v>8</v>
      </c>
      <c r="B395" t="s">
        <v>25</v>
      </c>
      <c r="C395" t="s">
        <v>30</v>
      </c>
      <c r="D395">
        <v>58208</v>
      </c>
      <c r="E395">
        <v>290.255</v>
      </c>
      <c r="F395">
        <v>48.28</v>
      </c>
      <c r="G395">
        <v>290.28402549999998</v>
      </c>
      <c r="H395">
        <v>48.275171999999998</v>
      </c>
      <c r="I395">
        <v>-4.3455249506303142</v>
      </c>
      <c r="J395">
        <v>0.96877792326346956</v>
      </c>
      <c r="K395">
        <v>3.4452464212502802E-2</v>
      </c>
      <c r="L395">
        <v>-0.20065822768506</v>
      </c>
      <c r="M395" t="s">
        <v>29</v>
      </c>
      <c r="N395">
        <v>14</v>
      </c>
      <c r="O395" t="s">
        <v>28</v>
      </c>
      <c r="P395">
        <v>58222</v>
      </c>
      <c r="Q395">
        <v>289.8</v>
      </c>
      <c r="R395">
        <v>48.05</v>
      </c>
      <c r="S395">
        <v>-0.45764643065864019</v>
      </c>
      <c r="T395">
        <v>3.0475521150876369E-2</v>
      </c>
      <c r="U395">
        <v>2.6544148030709831E-2</v>
      </c>
      <c r="V395">
        <v>3.9375620909422862E-3</v>
      </c>
      <c r="W395">
        <v>2.260658593976754E-2</v>
      </c>
      <c r="X395" s="19">
        <f t="shared" si="18"/>
        <v>46079</v>
      </c>
      <c r="Y395" s="19">
        <f t="shared" si="19"/>
        <v>46079</v>
      </c>
      <c r="Z395">
        <f t="array" ref="Z395">_xlfn.XLOOKUP(INT(X395),INT($AE$2:$AE$1000),$AG$2:$AG$1000,"")</f>
        <v>18.63</v>
      </c>
      <c r="AE395" s="19" t="e">
        <f t="shared" si="20"/>
        <v>#VALUE!</v>
      </c>
    </row>
    <row r="396" spans="1:32" x14ac:dyDescent="0.3">
      <c r="A396">
        <v>8</v>
      </c>
      <c r="B396" t="s">
        <v>25</v>
      </c>
      <c r="C396" t="s">
        <v>30</v>
      </c>
      <c r="D396">
        <v>58467</v>
      </c>
      <c r="E396">
        <v>291.815</v>
      </c>
      <c r="F396">
        <v>49.12</v>
      </c>
      <c r="G396">
        <v>291.84418149999999</v>
      </c>
      <c r="H396">
        <v>49.115088</v>
      </c>
      <c r="I396">
        <v>-3.727536180721426</v>
      </c>
      <c r="J396">
        <v>0.96877792326346956</v>
      </c>
      <c r="K396">
        <v>3.4268286414337851E-2</v>
      </c>
      <c r="L396">
        <v>-0.19722677590868681</v>
      </c>
      <c r="M396" t="s">
        <v>29</v>
      </c>
      <c r="N396">
        <v>23</v>
      </c>
      <c r="O396" t="s">
        <v>28</v>
      </c>
      <c r="P396">
        <v>58490</v>
      </c>
      <c r="Q396">
        <v>291.93</v>
      </c>
      <c r="R396">
        <v>49.034999999999997</v>
      </c>
      <c r="S396">
        <v>-0.23788929543751439</v>
      </c>
      <c r="T396">
        <v>2.0705128889887708E-2</v>
      </c>
      <c r="U396">
        <v>1.6768855385662779E-2</v>
      </c>
      <c r="V396">
        <v>3.9375620909422862E-3</v>
      </c>
      <c r="W396">
        <v>1.283129329472049E-2</v>
      </c>
      <c r="X396" s="19">
        <f t="shared" si="18"/>
        <v>46079</v>
      </c>
      <c r="Y396" s="19">
        <f t="shared" si="19"/>
        <v>46079</v>
      </c>
      <c r="Z396">
        <f t="array" ref="Z396">_xlfn.XLOOKUP(INT(X396),INT($AE$2:$AE$1000),$AG$2:$AG$1000,"")</f>
        <v>18.63</v>
      </c>
      <c r="AE396" s="19" t="e">
        <f t="shared" si="20"/>
        <v>#VALUE!</v>
      </c>
    </row>
    <row r="397" spans="1:32" x14ac:dyDescent="0.3">
      <c r="A397">
        <v>8</v>
      </c>
      <c r="B397" t="s">
        <v>25</v>
      </c>
      <c r="C397" t="s">
        <v>30</v>
      </c>
      <c r="D397">
        <v>58598</v>
      </c>
      <c r="E397">
        <v>289.2</v>
      </c>
      <c r="F397">
        <v>48.39</v>
      </c>
      <c r="G397">
        <v>289.17108000000002</v>
      </c>
      <c r="H397">
        <v>48.394838999999997</v>
      </c>
      <c r="I397">
        <v>3.989190328545241</v>
      </c>
      <c r="J397">
        <v>0.96877792326346956</v>
      </c>
      <c r="K397">
        <v>-3.4578146611341627E-2</v>
      </c>
      <c r="L397">
        <v>0.20020209201559611</v>
      </c>
      <c r="M397" t="s">
        <v>27</v>
      </c>
      <c r="N397">
        <v>9</v>
      </c>
      <c r="O397" t="s">
        <v>28</v>
      </c>
      <c r="P397">
        <v>58607</v>
      </c>
      <c r="Q397">
        <v>288.79000000000002</v>
      </c>
      <c r="R397">
        <v>48.505000000000003</v>
      </c>
      <c r="S397">
        <v>-9.1354239169039366E-3</v>
      </c>
      <c r="T397">
        <v>3.7200280692442918E-2</v>
      </c>
      <c r="U397">
        <v>3.3261840225870608E-2</v>
      </c>
      <c r="V397">
        <v>3.9375496021115926E-3</v>
      </c>
      <c r="W397">
        <v>2.932429062375902E-2</v>
      </c>
      <c r="X397" s="19">
        <f t="shared" si="18"/>
        <v>46080</v>
      </c>
      <c r="Y397" s="19">
        <f t="shared" si="19"/>
        <v>46080</v>
      </c>
      <c r="Z397">
        <f t="array" ref="Z397">_xlfn.XLOOKUP(INT(X397),INT($AE$2:$AE$1000),$AG$2:$AG$1000,"")</f>
        <v>19.86</v>
      </c>
      <c r="AE397" s="19" t="e">
        <f t="shared" si="20"/>
        <v>#VALUE!</v>
      </c>
    </row>
    <row r="398" spans="1:32" x14ac:dyDescent="0.3">
      <c r="A398">
        <v>8</v>
      </c>
      <c r="B398" t="s">
        <v>25</v>
      </c>
      <c r="C398" t="s">
        <v>30</v>
      </c>
      <c r="D398">
        <v>58990</v>
      </c>
      <c r="E398">
        <v>282.64999999999998</v>
      </c>
      <c r="F398">
        <v>47.515000000000001</v>
      </c>
      <c r="G398">
        <v>282.621735</v>
      </c>
      <c r="H398">
        <v>47.519751499999998</v>
      </c>
      <c r="I398">
        <v>3.5310655190632612</v>
      </c>
      <c r="J398">
        <v>0.96877792326346956</v>
      </c>
      <c r="K398">
        <v>-3.5379444542720677E-2</v>
      </c>
      <c r="L398">
        <v>0.20388886104671569</v>
      </c>
      <c r="M398" t="s">
        <v>27</v>
      </c>
      <c r="N398">
        <v>13</v>
      </c>
      <c r="O398" t="s">
        <v>28</v>
      </c>
      <c r="P398">
        <v>59003</v>
      </c>
      <c r="Q398">
        <v>281.19</v>
      </c>
      <c r="R398">
        <v>47.344999999999999</v>
      </c>
      <c r="S398">
        <v>0.24275071841649179</v>
      </c>
      <c r="T398">
        <v>1.6992882654429459E-2</v>
      </c>
      <c r="U398">
        <v>1.306395831744519E-2</v>
      </c>
      <c r="V398">
        <v>3.9375496021115926E-3</v>
      </c>
      <c r="W398">
        <v>9.126408715333597E-3</v>
      </c>
      <c r="X398" s="19">
        <f t="shared" si="18"/>
        <v>46083</v>
      </c>
      <c r="Y398" s="19">
        <f t="shared" si="19"/>
        <v>46083</v>
      </c>
      <c r="Z398">
        <f t="array" ref="Z398">_xlfn.XLOOKUP(INT(X398),INT($AE$2:$AE$1000),$AG$2:$AG$1000,"")</f>
        <v>21.44</v>
      </c>
      <c r="AE398" s="19" t="e">
        <f t="shared" si="20"/>
        <v>#VALUE!</v>
      </c>
    </row>
    <row r="399" spans="1:32" x14ac:dyDescent="0.3">
      <c r="A399">
        <v>8</v>
      </c>
      <c r="B399" t="s">
        <v>32</v>
      </c>
      <c r="C399" t="s">
        <v>33</v>
      </c>
      <c r="D399">
        <v>55201</v>
      </c>
      <c r="E399">
        <v>56.884999999999998</v>
      </c>
      <c r="F399">
        <v>222.55</v>
      </c>
      <c r="G399">
        <v>56.890688500000003</v>
      </c>
      <c r="H399">
        <v>222.52774500000001</v>
      </c>
      <c r="I399">
        <v>-5.2946392043266526</v>
      </c>
      <c r="J399">
        <v>0.84871972876069857</v>
      </c>
      <c r="K399">
        <v>0.17579326711786941</v>
      </c>
      <c r="L399">
        <v>-3.8136136992167988E-2</v>
      </c>
      <c r="M399" t="s">
        <v>29</v>
      </c>
      <c r="N399">
        <v>23</v>
      </c>
      <c r="O399" t="s">
        <v>28</v>
      </c>
      <c r="P399">
        <v>55224</v>
      </c>
      <c r="Q399">
        <v>56.71</v>
      </c>
      <c r="R399">
        <v>222.285</v>
      </c>
      <c r="S399">
        <v>-0.49289303956399261</v>
      </c>
      <c r="T399">
        <v>-2.0657745442701561E-2</v>
      </c>
      <c r="U399">
        <v>-2.4351097910418149E-2</v>
      </c>
      <c r="V399">
        <v>3.6974697135756449E-3</v>
      </c>
      <c r="W399">
        <v>-2.8048567623993791E-2</v>
      </c>
      <c r="X399" s="19">
        <f t="shared" si="18"/>
        <v>46069</v>
      </c>
      <c r="Y399" s="19">
        <f t="shared" si="19"/>
        <v>46069</v>
      </c>
      <c r="Z399">
        <f t="array" ref="Z399">_xlfn.XLOOKUP(INT(X399),INT($AE$2:$AE$1000),$AG$2:$AG$1000,"")</f>
        <v>21.2</v>
      </c>
      <c r="AE399" s="19" t="e">
        <f t="shared" si="20"/>
        <v>#VALUE!</v>
      </c>
    </row>
    <row r="400" spans="1:32" x14ac:dyDescent="0.3">
      <c r="A400">
        <v>8</v>
      </c>
      <c r="B400" t="s">
        <v>32</v>
      </c>
      <c r="C400" t="s">
        <v>33</v>
      </c>
      <c r="D400">
        <v>55468</v>
      </c>
      <c r="E400">
        <v>56.274999999999999</v>
      </c>
      <c r="F400">
        <v>222.78</v>
      </c>
      <c r="G400">
        <v>56.280627500000001</v>
      </c>
      <c r="H400">
        <v>222.757722</v>
      </c>
      <c r="I400">
        <v>-5.1224025272289557</v>
      </c>
      <c r="J400">
        <v>0.84871972876069857</v>
      </c>
      <c r="K400">
        <v>0.17769880053309639</v>
      </c>
      <c r="L400">
        <v>-3.8096764914296553E-2</v>
      </c>
      <c r="M400" t="s">
        <v>29</v>
      </c>
      <c r="N400">
        <v>1</v>
      </c>
      <c r="O400" t="s">
        <v>28</v>
      </c>
      <c r="P400">
        <v>55469</v>
      </c>
      <c r="Q400">
        <v>56.41</v>
      </c>
      <c r="R400">
        <v>219</v>
      </c>
      <c r="S400">
        <v>0.19913677753928991</v>
      </c>
      <c r="T400">
        <v>0.16799510944800869</v>
      </c>
      <c r="U400">
        <v>0.16430967163381821</v>
      </c>
      <c r="V400">
        <v>3.6974697135756462E-3</v>
      </c>
      <c r="W400">
        <v>0.1606122019202425</v>
      </c>
      <c r="X400" s="19">
        <f t="shared" si="18"/>
        <v>46070</v>
      </c>
      <c r="Y400" s="19">
        <f t="shared" si="19"/>
        <v>46070</v>
      </c>
      <c r="Z400">
        <f t="array" ref="Z400">_xlfn.XLOOKUP(INT(X400),INT($AE$2:$AE$1000),$AG$2:$AG$1000,"")</f>
        <v>20.29</v>
      </c>
      <c r="AE400" s="19" t="e">
        <f t="shared" si="20"/>
        <v>#VALUE!</v>
      </c>
    </row>
    <row r="401" spans="1:32" x14ac:dyDescent="0.3">
      <c r="A401">
        <v>8</v>
      </c>
      <c r="B401" t="s">
        <v>32</v>
      </c>
      <c r="C401" t="s">
        <v>33</v>
      </c>
      <c r="D401">
        <v>55858</v>
      </c>
      <c r="E401">
        <v>53.58</v>
      </c>
      <c r="F401">
        <v>208.7</v>
      </c>
      <c r="G401">
        <v>53.585357999999999</v>
      </c>
      <c r="H401">
        <v>208.67912999999999</v>
      </c>
      <c r="I401">
        <v>-4.5499292658440256</v>
      </c>
      <c r="J401">
        <v>0.84871972876069857</v>
      </c>
      <c r="K401">
        <v>0.1866368047779022</v>
      </c>
      <c r="L401">
        <v>-4.0666973107843729E-2</v>
      </c>
      <c r="M401" t="s">
        <v>29</v>
      </c>
      <c r="N401">
        <v>11</v>
      </c>
      <c r="O401" t="s">
        <v>28</v>
      </c>
      <c r="P401">
        <v>55869</v>
      </c>
      <c r="Q401">
        <v>53.984999999999999</v>
      </c>
      <c r="R401">
        <v>209.87</v>
      </c>
      <c r="S401">
        <v>-0.32101361362627118</v>
      </c>
      <c r="T401">
        <v>2.800754739887279E-2</v>
      </c>
      <c r="U401">
        <v>2.4297791114904672E-2</v>
      </c>
      <c r="V401">
        <v>3.6974697135756449E-3</v>
      </c>
      <c r="W401">
        <v>2.060032140132902E-2</v>
      </c>
      <c r="X401" s="19">
        <f t="shared" si="18"/>
        <v>46071</v>
      </c>
      <c r="Y401" s="19">
        <f t="shared" si="19"/>
        <v>46071</v>
      </c>
      <c r="Z401">
        <f t="array" ref="Z401">_xlfn.XLOOKUP(INT(X401),INT($AE$2:$AE$1000),$AG$2:$AG$1000,"")</f>
        <v>19.62</v>
      </c>
      <c r="AE401" s="19" t="e">
        <f t="shared" si="20"/>
        <v>#VALUE!</v>
      </c>
      <c r="AF401" s="19"/>
    </row>
    <row r="402" spans="1:32" x14ac:dyDescent="0.3">
      <c r="A402">
        <v>8</v>
      </c>
      <c r="B402" t="s">
        <v>32</v>
      </c>
      <c r="C402" t="s">
        <v>33</v>
      </c>
      <c r="D402">
        <v>56250</v>
      </c>
      <c r="E402">
        <v>53.32</v>
      </c>
      <c r="F402">
        <v>209.535</v>
      </c>
      <c r="G402">
        <v>53.325332000000003</v>
      </c>
      <c r="H402">
        <v>209.51404650000001</v>
      </c>
      <c r="I402">
        <v>-4.0623365334675539</v>
      </c>
      <c r="J402">
        <v>0.84871972876069857</v>
      </c>
      <c r="K402">
        <v>0.18754688672168041</v>
      </c>
      <c r="L402">
        <v>-4.05049146329109E-2</v>
      </c>
      <c r="M402" t="s">
        <v>29</v>
      </c>
      <c r="N402">
        <v>26</v>
      </c>
      <c r="O402" t="s">
        <v>28</v>
      </c>
      <c r="P402">
        <v>56276</v>
      </c>
      <c r="Q402">
        <v>53.32</v>
      </c>
      <c r="R402">
        <v>210.09</v>
      </c>
      <c r="S402">
        <v>-0.2642526821812835</v>
      </c>
      <c r="T402">
        <v>-2.2480227621265829E-2</v>
      </c>
      <c r="U402">
        <v>-2.617991510154969E-2</v>
      </c>
      <c r="V402">
        <v>3.6974697135756449E-3</v>
      </c>
      <c r="W402">
        <v>-2.9877384815125332E-2</v>
      </c>
      <c r="X402" s="19">
        <f t="shared" si="18"/>
        <v>46072</v>
      </c>
      <c r="Y402" s="19">
        <f t="shared" si="19"/>
        <v>46072</v>
      </c>
      <c r="Z402">
        <f t="array" ref="Z402">_xlfn.XLOOKUP(INT(X402),INT($AE$2:$AE$1000),$AG$2:$AG$1000,"")</f>
        <v>20.23</v>
      </c>
      <c r="AE402" s="19" t="e">
        <f t="shared" si="20"/>
        <v>#VALUE!</v>
      </c>
      <c r="AF402" s="19"/>
    </row>
    <row r="403" spans="1:32" x14ac:dyDescent="0.3">
      <c r="A403">
        <v>8</v>
      </c>
      <c r="B403" t="s">
        <v>32</v>
      </c>
      <c r="C403" t="s">
        <v>33</v>
      </c>
      <c r="D403">
        <v>56706</v>
      </c>
      <c r="E403">
        <v>54.35</v>
      </c>
      <c r="F403">
        <v>214.1</v>
      </c>
      <c r="G403">
        <v>54.344565000000003</v>
      </c>
      <c r="H403">
        <v>214.12141</v>
      </c>
      <c r="I403">
        <v>3.6003093980396872</v>
      </c>
      <c r="J403">
        <v>0.84871972876069857</v>
      </c>
      <c r="K403">
        <v>-0.18399264029438819</v>
      </c>
      <c r="L403">
        <v>3.9641276448421227E-2</v>
      </c>
      <c r="M403" t="s">
        <v>27</v>
      </c>
      <c r="N403">
        <v>7</v>
      </c>
      <c r="O403" t="s">
        <v>28</v>
      </c>
      <c r="P403">
        <v>56713</v>
      </c>
      <c r="Q403">
        <v>54.13</v>
      </c>
      <c r="R403">
        <v>214.24</v>
      </c>
      <c r="S403">
        <v>-0.4906239703615386</v>
      </c>
      <c r="T403">
        <v>4.602815956754476E-2</v>
      </c>
      <c r="U403">
        <v>4.233421297024037E-2</v>
      </c>
      <c r="V403">
        <v>3.6974092014671498E-3</v>
      </c>
      <c r="W403">
        <v>3.8636803768773223E-2</v>
      </c>
      <c r="X403" s="19">
        <f t="shared" si="18"/>
        <v>46073</v>
      </c>
      <c r="Y403" s="19">
        <f t="shared" si="19"/>
        <v>46073</v>
      </c>
      <c r="Z403">
        <f t="array" ref="Z403">_xlfn.XLOOKUP(INT(X403),INT($AE$2:$AE$1000),$AG$2:$AG$1000,"")</f>
        <v>19.09</v>
      </c>
      <c r="AE403" s="19" t="e">
        <f t="shared" si="20"/>
        <v>#VALUE!</v>
      </c>
      <c r="AF403" s="19"/>
    </row>
    <row r="404" spans="1:32" x14ac:dyDescent="0.3">
      <c r="A404">
        <v>8</v>
      </c>
      <c r="B404" t="s">
        <v>32</v>
      </c>
      <c r="C404" t="s">
        <v>33</v>
      </c>
      <c r="D404">
        <v>56879</v>
      </c>
      <c r="E404">
        <v>54.18</v>
      </c>
      <c r="F404">
        <v>214.01</v>
      </c>
      <c r="G404">
        <v>54.185417999999999</v>
      </c>
      <c r="H404">
        <v>213.98859899999999</v>
      </c>
      <c r="I404">
        <v>-3.609450234398119</v>
      </c>
      <c r="J404">
        <v>0.84871972876069857</v>
      </c>
      <c r="K404">
        <v>0.1845699520118125</v>
      </c>
      <c r="L404">
        <v>-3.965794723427403E-2</v>
      </c>
      <c r="M404" t="s">
        <v>29</v>
      </c>
      <c r="N404">
        <v>5</v>
      </c>
      <c r="O404" t="s">
        <v>28</v>
      </c>
      <c r="P404">
        <v>56884</v>
      </c>
      <c r="Q404">
        <v>54.23</v>
      </c>
      <c r="R404">
        <v>213.87</v>
      </c>
      <c r="S404">
        <v>-0.33792079020628868</v>
      </c>
      <c r="T404">
        <v>1.478061021338792E-2</v>
      </c>
      <c r="U404">
        <v>1.1082803117367829E-2</v>
      </c>
      <c r="V404">
        <v>3.697469713575644E-3</v>
      </c>
      <c r="W404">
        <v>7.3853334037921829E-3</v>
      </c>
      <c r="X404" s="19">
        <f t="shared" si="18"/>
        <v>46073</v>
      </c>
      <c r="Y404" s="19">
        <f t="shared" si="19"/>
        <v>46073</v>
      </c>
      <c r="Z404">
        <f t="array" ref="Z404">_xlfn.XLOOKUP(INT(X404),INT($AE$2:$AE$1000),$AG$2:$AG$1000,"")</f>
        <v>19.09</v>
      </c>
      <c r="AE404" s="19" t="e">
        <f t="shared" si="20"/>
        <v>#VALUE!</v>
      </c>
      <c r="AF404" s="19"/>
    </row>
    <row r="405" spans="1:32" x14ac:dyDescent="0.3">
      <c r="A405">
        <v>8</v>
      </c>
      <c r="B405" t="s">
        <v>32</v>
      </c>
      <c r="C405" t="s">
        <v>33</v>
      </c>
      <c r="D405">
        <v>56926</v>
      </c>
      <c r="E405">
        <v>54.35</v>
      </c>
      <c r="F405">
        <v>214.48</v>
      </c>
      <c r="G405">
        <v>54.355435</v>
      </c>
      <c r="H405">
        <v>214.458552</v>
      </c>
      <c r="I405">
        <v>-3.551413533572763</v>
      </c>
      <c r="J405">
        <v>0.84871972876069857</v>
      </c>
      <c r="K405">
        <v>0.18399264029438819</v>
      </c>
      <c r="L405">
        <v>-3.9571042929909483E-2</v>
      </c>
      <c r="M405" t="s">
        <v>29</v>
      </c>
      <c r="N405">
        <v>10</v>
      </c>
      <c r="O405" t="s">
        <v>28</v>
      </c>
      <c r="P405">
        <v>56936</v>
      </c>
      <c r="Q405">
        <v>54.4</v>
      </c>
      <c r="R405">
        <v>214.39</v>
      </c>
      <c r="S405">
        <v>-0.17014130705030711</v>
      </c>
      <c r="T405">
        <v>1.2761025878410879E-2</v>
      </c>
      <c r="U405">
        <v>9.0630225970754572E-3</v>
      </c>
      <c r="V405">
        <v>3.6974697135756449E-3</v>
      </c>
      <c r="W405">
        <v>5.3655528834998124E-3</v>
      </c>
      <c r="X405" s="19">
        <f t="shared" si="18"/>
        <v>46073</v>
      </c>
      <c r="Y405" s="19">
        <f t="shared" si="19"/>
        <v>46073</v>
      </c>
      <c r="Z405">
        <f t="array" ref="Z405">_xlfn.XLOOKUP(INT(X405),INT($AE$2:$AE$1000),$AG$2:$AG$1000,"")</f>
        <v>19.09</v>
      </c>
      <c r="AE405" s="19" t="e">
        <f t="shared" si="20"/>
        <v>#VALUE!</v>
      </c>
      <c r="AF405" s="19"/>
    </row>
    <row r="406" spans="1:32" x14ac:dyDescent="0.3">
      <c r="A406">
        <v>8</v>
      </c>
      <c r="B406" t="s">
        <v>32</v>
      </c>
      <c r="C406" t="s">
        <v>33</v>
      </c>
      <c r="D406">
        <v>57036</v>
      </c>
      <c r="E406">
        <v>53.704999999999998</v>
      </c>
      <c r="F406">
        <v>213.92</v>
      </c>
      <c r="G406">
        <v>53.710370500000003</v>
      </c>
      <c r="H406">
        <v>213.898608</v>
      </c>
      <c r="I406">
        <v>-5.1182671786437322</v>
      </c>
      <c r="J406">
        <v>0.84871972876069857</v>
      </c>
      <c r="K406">
        <v>0.18620240201098601</v>
      </c>
      <c r="L406">
        <v>-3.9674632047527053E-2</v>
      </c>
      <c r="M406" t="s">
        <v>29</v>
      </c>
      <c r="N406">
        <v>6</v>
      </c>
      <c r="O406" t="s">
        <v>28</v>
      </c>
      <c r="P406">
        <v>57042</v>
      </c>
      <c r="Q406">
        <v>54.075000000000003</v>
      </c>
      <c r="R406">
        <v>212.31</v>
      </c>
      <c r="S406">
        <v>0.18276470637294151</v>
      </c>
      <c r="T406">
        <v>0.13277104634058359</v>
      </c>
      <c r="U406">
        <v>0.1290731050099487</v>
      </c>
      <c r="V406">
        <v>3.697469713575644E-3</v>
      </c>
      <c r="W406">
        <v>0.12537563529637311</v>
      </c>
      <c r="X406" s="19">
        <f t="shared" si="18"/>
        <v>46076</v>
      </c>
      <c r="Y406" s="19">
        <f t="shared" si="19"/>
        <v>46076</v>
      </c>
      <c r="Z406">
        <f t="array" ref="Z406">_xlfn.XLOOKUP(INT(X406),INT($AE$2:$AE$1000),$AG$2:$AG$1000,"")</f>
        <v>21.01</v>
      </c>
      <c r="AE406" s="19" t="e">
        <f t="shared" si="20"/>
        <v>#VALUE!</v>
      </c>
      <c r="AF406" s="19"/>
    </row>
    <row r="407" spans="1:32" x14ac:dyDescent="0.3">
      <c r="A407">
        <v>8</v>
      </c>
      <c r="B407" t="s">
        <v>32</v>
      </c>
      <c r="C407" t="s">
        <v>33</v>
      </c>
      <c r="D407">
        <v>57428</v>
      </c>
      <c r="E407">
        <v>52.255000000000003</v>
      </c>
      <c r="F407">
        <v>207.41</v>
      </c>
      <c r="G407">
        <v>52.260225499999997</v>
      </c>
      <c r="H407">
        <v>207.38925900000001</v>
      </c>
      <c r="I407">
        <v>-3.9444040353076599</v>
      </c>
      <c r="J407">
        <v>0.84871972876069857</v>
      </c>
      <c r="K407">
        <v>0.19136924696201321</v>
      </c>
      <c r="L407">
        <v>-4.0919903995019463E-2</v>
      </c>
      <c r="M407" t="s">
        <v>29</v>
      </c>
      <c r="N407">
        <v>13</v>
      </c>
      <c r="O407" t="s">
        <v>28</v>
      </c>
      <c r="P407">
        <v>57441</v>
      </c>
      <c r="Q407">
        <v>51.55</v>
      </c>
      <c r="R407">
        <v>203.035</v>
      </c>
      <c r="S407">
        <v>-0.22770206441823301</v>
      </c>
      <c r="T407">
        <v>4.4109260869989793E-2</v>
      </c>
      <c r="U407">
        <v>4.0443215402376408E-2</v>
      </c>
      <c r="V407">
        <v>3.6974697135756449E-3</v>
      </c>
      <c r="W407">
        <v>3.674574568880077E-2</v>
      </c>
      <c r="X407" s="19">
        <f t="shared" si="18"/>
        <v>46077</v>
      </c>
      <c r="Y407" s="19">
        <f t="shared" si="19"/>
        <v>46077</v>
      </c>
      <c r="Z407">
        <f t="array" ref="Z407">_xlfn.XLOOKUP(INT(X407),INT($AE$2:$AE$1000),$AG$2:$AG$1000,"")</f>
        <v>19.55</v>
      </c>
      <c r="AE407" s="19" t="e">
        <f t="shared" si="20"/>
        <v>#VALUE!</v>
      </c>
      <c r="AF407" s="19"/>
    </row>
    <row r="408" spans="1:32" x14ac:dyDescent="0.3">
      <c r="A408">
        <v>8</v>
      </c>
      <c r="B408" t="s">
        <v>32</v>
      </c>
      <c r="C408" t="s">
        <v>33</v>
      </c>
      <c r="D408">
        <v>57808</v>
      </c>
      <c r="E408">
        <v>52.225000000000001</v>
      </c>
      <c r="F408">
        <v>205.6</v>
      </c>
      <c r="G408">
        <v>52.219777499999999</v>
      </c>
      <c r="H408">
        <v>205.62056000000001</v>
      </c>
      <c r="I408">
        <v>3.515791886986626</v>
      </c>
      <c r="J408">
        <v>0.84871972876069857</v>
      </c>
      <c r="K408">
        <v>-0.19147917663954039</v>
      </c>
      <c r="L408">
        <v>4.1280142449450323E-2</v>
      </c>
      <c r="M408" t="s">
        <v>27</v>
      </c>
      <c r="N408">
        <v>11</v>
      </c>
      <c r="O408" t="s">
        <v>28</v>
      </c>
      <c r="P408">
        <v>57819</v>
      </c>
      <c r="Q408">
        <v>51.34</v>
      </c>
      <c r="R408">
        <v>201.99</v>
      </c>
      <c r="S408">
        <v>0.1242715702554488</v>
      </c>
      <c r="T408">
        <v>2.0437757083477889E-2</v>
      </c>
      <c r="U408">
        <v>1.6772165664514092E-2</v>
      </c>
      <c r="V408">
        <v>3.697409201467149E-3</v>
      </c>
      <c r="W408">
        <v>1.3074756463046939E-2</v>
      </c>
      <c r="X408" s="19">
        <f t="shared" si="18"/>
        <v>46078</v>
      </c>
      <c r="Y408" s="19">
        <f t="shared" si="19"/>
        <v>46078</v>
      </c>
      <c r="Z408">
        <f t="array" ref="Z408">_xlfn.XLOOKUP(INT(X408),INT($AE$2:$AE$1000),$AG$2:$AG$1000,"")</f>
        <v>17.93</v>
      </c>
      <c r="AE408" s="19" t="e">
        <f t="shared" si="20"/>
        <v>#VALUE!</v>
      </c>
      <c r="AF408" s="19"/>
    </row>
    <row r="409" spans="1:32" x14ac:dyDescent="0.3">
      <c r="A409">
        <v>8</v>
      </c>
      <c r="B409" t="s">
        <v>32</v>
      </c>
      <c r="C409" t="s">
        <v>33</v>
      </c>
      <c r="D409">
        <v>58167</v>
      </c>
      <c r="E409">
        <v>51.45</v>
      </c>
      <c r="F409">
        <v>201.73</v>
      </c>
      <c r="G409">
        <v>51.444854999999997</v>
      </c>
      <c r="H409">
        <v>201.75017299999999</v>
      </c>
      <c r="I409">
        <v>3.7976076487965971</v>
      </c>
      <c r="J409">
        <v>0.84871972876069857</v>
      </c>
      <c r="K409">
        <v>-0.1943634596695821</v>
      </c>
      <c r="L409">
        <v>4.207206309228665E-2</v>
      </c>
      <c r="M409" t="s">
        <v>27</v>
      </c>
      <c r="N409">
        <v>16</v>
      </c>
      <c r="O409" t="s">
        <v>28</v>
      </c>
      <c r="P409">
        <v>58183</v>
      </c>
      <c r="Q409">
        <v>52.164999999999999</v>
      </c>
      <c r="R409">
        <v>205.14</v>
      </c>
      <c r="S409">
        <v>0.43677213621321193</v>
      </c>
      <c r="T409">
        <v>4.4958614809468278E-3</v>
      </c>
      <c r="U409">
        <v>7.7017846254601174E-4</v>
      </c>
      <c r="V409">
        <v>3.6974092014671498E-3</v>
      </c>
      <c r="W409">
        <v>-2.9272307389211381E-3</v>
      </c>
      <c r="X409" s="19">
        <f t="shared" si="18"/>
        <v>46079</v>
      </c>
      <c r="Y409" s="19">
        <f t="shared" si="19"/>
        <v>46079</v>
      </c>
      <c r="Z409">
        <f t="array" ref="Z409">_xlfn.XLOOKUP(INT(X409),INT($AE$2:$AE$1000),$AG$2:$AG$1000,"")</f>
        <v>18.63</v>
      </c>
      <c r="AE409" s="19" t="e">
        <f t="shared" si="20"/>
        <v>#VALUE!</v>
      </c>
    </row>
    <row r="410" spans="1:32" x14ac:dyDescent="0.3">
      <c r="A410">
        <v>8</v>
      </c>
      <c r="B410" t="s">
        <v>32</v>
      </c>
      <c r="C410" t="s">
        <v>33</v>
      </c>
      <c r="D410">
        <v>58209</v>
      </c>
      <c r="E410">
        <v>51.92</v>
      </c>
      <c r="F410">
        <v>205.57</v>
      </c>
      <c r="G410">
        <v>51.925192000000003</v>
      </c>
      <c r="H410">
        <v>205.549443</v>
      </c>
      <c r="I410">
        <v>-3.578364213482768</v>
      </c>
      <c r="J410">
        <v>0.84871972876069857</v>
      </c>
      <c r="K410">
        <v>0.19260400616332821</v>
      </c>
      <c r="L410">
        <v>-4.1286166695563488E-2</v>
      </c>
      <c r="M410" t="s">
        <v>29</v>
      </c>
      <c r="N410">
        <v>28</v>
      </c>
      <c r="O410" t="s">
        <v>28</v>
      </c>
      <c r="P410">
        <v>58237</v>
      </c>
      <c r="Q410">
        <v>51.494999999999997</v>
      </c>
      <c r="R410">
        <v>203.77500000000001</v>
      </c>
      <c r="S410">
        <v>0.40338918993803963</v>
      </c>
      <c r="T410">
        <v>-7.7480334008793589E-3</v>
      </c>
      <c r="U410">
        <v>-1.142987632121711E-2</v>
      </c>
      <c r="V410">
        <v>3.6974697135756449E-3</v>
      </c>
      <c r="W410">
        <v>-1.5127346034792761E-2</v>
      </c>
      <c r="X410" s="19">
        <f t="shared" si="18"/>
        <v>46079</v>
      </c>
      <c r="Y410" s="19">
        <f t="shared" si="19"/>
        <v>46079</v>
      </c>
      <c r="Z410">
        <f t="array" ref="Z410">_xlfn.XLOOKUP(INT(X410),INT($AE$2:$AE$1000),$AG$2:$AG$1000,"")</f>
        <v>18.63</v>
      </c>
      <c r="AE410" s="19" t="e">
        <f t="shared" si="20"/>
        <v>#VALUE!</v>
      </c>
    </row>
    <row r="411" spans="1:32" x14ac:dyDescent="0.3">
      <c r="A411">
        <v>8</v>
      </c>
      <c r="B411" t="s">
        <v>32</v>
      </c>
      <c r="C411" t="s">
        <v>33</v>
      </c>
      <c r="D411">
        <v>58598</v>
      </c>
      <c r="E411">
        <v>52.27</v>
      </c>
      <c r="F411">
        <v>206.33</v>
      </c>
      <c r="G411">
        <v>52.264773000000012</v>
      </c>
      <c r="H411">
        <v>206.35063299999999</v>
      </c>
      <c r="I411">
        <v>4.3399000153630984</v>
      </c>
      <c r="J411">
        <v>0.84871972876069857</v>
      </c>
      <c r="K411">
        <v>-0.19131432944327531</v>
      </c>
      <c r="L411">
        <v>4.1134092413158463E-2</v>
      </c>
      <c r="M411" t="s">
        <v>27</v>
      </c>
      <c r="N411">
        <v>21</v>
      </c>
      <c r="O411" t="s">
        <v>28</v>
      </c>
      <c r="P411">
        <v>58619</v>
      </c>
      <c r="Q411">
        <v>51.77</v>
      </c>
      <c r="R411">
        <v>205.15</v>
      </c>
      <c r="S411">
        <v>-0.14074945910097131</v>
      </c>
      <c r="T411">
        <v>4.7118935674110393E-2</v>
      </c>
      <c r="U411">
        <v>4.3435915755967343E-2</v>
      </c>
      <c r="V411">
        <v>3.697409201467149E-3</v>
      </c>
      <c r="W411">
        <v>3.9738506554500203E-2</v>
      </c>
      <c r="X411" s="19">
        <f t="shared" si="18"/>
        <v>46080</v>
      </c>
      <c r="Y411" s="19">
        <f t="shared" si="19"/>
        <v>46080</v>
      </c>
      <c r="Z411">
        <f t="array" ref="Z411">_xlfn.XLOOKUP(INT(X411),INT($AE$2:$AE$1000),$AG$2:$AG$1000,"")</f>
        <v>19.86</v>
      </c>
      <c r="AE411" s="19" t="e">
        <f t="shared" si="20"/>
        <v>#VALUE!</v>
      </c>
    </row>
    <row r="412" spans="1:32" x14ac:dyDescent="0.3">
      <c r="A412">
        <v>8</v>
      </c>
      <c r="B412" t="s">
        <v>32</v>
      </c>
      <c r="C412" t="s">
        <v>33</v>
      </c>
      <c r="D412">
        <v>58988</v>
      </c>
      <c r="E412">
        <v>51.15</v>
      </c>
      <c r="F412">
        <v>205.58</v>
      </c>
      <c r="G412">
        <v>51.155115000000002</v>
      </c>
      <c r="H412">
        <v>205.55944199999999</v>
      </c>
      <c r="I412">
        <v>-5.213616308883096</v>
      </c>
      <c r="J412">
        <v>0.84871972876069857</v>
      </c>
      <c r="K412">
        <v>0.19550342130987289</v>
      </c>
      <c r="L412">
        <v>-4.1284158418168043E-2</v>
      </c>
      <c r="M412" t="s">
        <v>29</v>
      </c>
      <c r="N412">
        <v>2</v>
      </c>
      <c r="O412" t="s">
        <v>28</v>
      </c>
      <c r="P412">
        <v>58990</v>
      </c>
      <c r="Q412">
        <v>51.23</v>
      </c>
      <c r="R412">
        <v>201.82499999999999</v>
      </c>
      <c r="S412">
        <v>-0.30925762063277679</v>
      </c>
      <c r="T412">
        <v>0.17066228856501151</v>
      </c>
      <c r="U412">
        <v>0.16697878728160689</v>
      </c>
      <c r="V412">
        <v>3.6974697135756449E-3</v>
      </c>
      <c r="W412">
        <v>0.16328131756803119</v>
      </c>
      <c r="X412" s="19">
        <f t="shared" si="18"/>
        <v>46083</v>
      </c>
      <c r="Y412" s="19">
        <f t="shared" si="19"/>
        <v>46083</v>
      </c>
      <c r="Z412">
        <f t="array" ref="Z412">_xlfn.XLOOKUP(INT(X412),INT($AE$2:$AE$1000),$AG$2:$AG$1000,"")</f>
        <v>21.44</v>
      </c>
      <c r="AE412" s="19" t="e">
        <f t="shared" si="20"/>
        <v>#VALUE!</v>
      </c>
    </row>
    <row r="413" spans="1:32" x14ac:dyDescent="0.3">
      <c r="A413">
        <v>9</v>
      </c>
      <c r="B413" t="s">
        <v>25</v>
      </c>
      <c r="C413" t="s">
        <v>30</v>
      </c>
      <c r="D413">
        <v>59101</v>
      </c>
      <c r="E413">
        <v>280.23</v>
      </c>
      <c r="F413">
        <v>47.05</v>
      </c>
      <c r="G413">
        <v>280.201977</v>
      </c>
      <c r="H413">
        <v>47.054704999999998</v>
      </c>
      <c r="I413">
        <v>5.2946445390821086</v>
      </c>
      <c r="J413">
        <v>0.81444705018759989</v>
      </c>
      <c r="K413">
        <v>-3.5684973057845341E-2</v>
      </c>
      <c r="L413">
        <v>0.1731024548751541</v>
      </c>
      <c r="M413" t="s">
        <v>27</v>
      </c>
      <c r="N413">
        <v>23</v>
      </c>
      <c r="O413" t="s">
        <v>28</v>
      </c>
      <c r="P413">
        <v>59124</v>
      </c>
      <c r="Q413">
        <v>281.76499999999999</v>
      </c>
      <c r="R413">
        <v>47.29</v>
      </c>
      <c r="S413">
        <v>0.49207641632737931</v>
      </c>
      <c r="T413">
        <v>-1.323184447375414E-2</v>
      </c>
      <c r="U413">
        <v>-1.6870370676410201E-2</v>
      </c>
      <c r="V413">
        <v>3.628856989785237E-3</v>
      </c>
      <c r="W413">
        <v>-2.0499227666195441E-2</v>
      </c>
      <c r="X413" s="19">
        <f t="shared" si="18"/>
        <v>46083</v>
      </c>
      <c r="Y413" s="19">
        <f t="shared" si="19"/>
        <v>46083</v>
      </c>
      <c r="Z413">
        <f t="array" ref="Z413">_xlfn.XLOOKUP(INT(X413),INT($AE$2:$AE$1000),$AG$2:$AG$1000,"")</f>
        <v>21.44</v>
      </c>
      <c r="AE413" s="19" t="e">
        <f t="shared" si="20"/>
        <v>#VALUE!</v>
      </c>
    </row>
    <row r="414" spans="1:32" x14ac:dyDescent="0.3">
      <c r="A414">
        <v>9</v>
      </c>
      <c r="B414" t="s">
        <v>25</v>
      </c>
      <c r="C414" t="s">
        <v>30</v>
      </c>
      <c r="D414">
        <v>60161</v>
      </c>
      <c r="E414">
        <v>289.625</v>
      </c>
      <c r="F414">
        <v>47.65</v>
      </c>
      <c r="G414">
        <v>289.59603750000002</v>
      </c>
      <c r="H414">
        <v>47.654764999999998</v>
      </c>
      <c r="I414">
        <v>3.682555493572631</v>
      </c>
      <c r="J414">
        <v>0.81444705018759989</v>
      </c>
      <c r="K414">
        <v>-3.4527406128614588E-2</v>
      </c>
      <c r="L414">
        <v>0.17092278073192019</v>
      </c>
      <c r="M414" t="s">
        <v>27</v>
      </c>
      <c r="N414">
        <v>6</v>
      </c>
      <c r="O414" t="s">
        <v>28</v>
      </c>
      <c r="P414">
        <v>60167</v>
      </c>
      <c r="Q414">
        <v>291</v>
      </c>
      <c r="R414">
        <v>48.02</v>
      </c>
      <c r="S414">
        <v>0.39314071275139079</v>
      </c>
      <c r="T414">
        <v>1.5766245443966199E-2</v>
      </c>
      <c r="U414">
        <v>1.212627968236352E-2</v>
      </c>
      <c r="V414">
        <v>3.628856989785237E-3</v>
      </c>
      <c r="W414">
        <v>8.4974226925782874E-3</v>
      </c>
      <c r="X414" s="19">
        <f t="shared" si="18"/>
        <v>46086</v>
      </c>
      <c r="Y414" s="19">
        <f t="shared" si="19"/>
        <v>46086</v>
      </c>
      <c r="Z414">
        <f t="array" ref="Z414">_xlfn.XLOOKUP(INT(X414),INT($AE$2:$AE$1000),$AG$2:$AG$1000,"")</f>
        <v>23.75</v>
      </c>
      <c r="AE414" s="19" t="e">
        <f t="shared" si="20"/>
        <v>#VALUE!</v>
      </c>
    </row>
    <row r="415" spans="1:32" x14ac:dyDescent="0.3">
      <c r="A415">
        <v>9</v>
      </c>
      <c r="B415" t="s">
        <v>25</v>
      </c>
      <c r="C415" t="s">
        <v>30</v>
      </c>
      <c r="D415">
        <v>60506</v>
      </c>
      <c r="E415">
        <v>286.86</v>
      </c>
      <c r="F415">
        <v>47.475000000000001</v>
      </c>
      <c r="G415">
        <v>286.88868600000001</v>
      </c>
      <c r="H415">
        <v>47.470252500000001</v>
      </c>
      <c r="I415">
        <v>-4.4312396332796542</v>
      </c>
      <c r="J415">
        <v>0.81444705018759989</v>
      </c>
      <c r="K415">
        <v>3.4860210555671747E-2</v>
      </c>
      <c r="L415">
        <v>-0.17155282784362291</v>
      </c>
      <c r="M415" t="s">
        <v>29</v>
      </c>
      <c r="N415">
        <v>13</v>
      </c>
      <c r="O415" t="s">
        <v>28</v>
      </c>
      <c r="P415">
        <v>60519</v>
      </c>
      <c r="Q415">
        <v>286.84500000000003</v>
      </c>
      <c r="R415">
        <v>47.424999999999997</v>
      </c>
      <c r="S415">
        <v>-0.23845242360756061</v>
      </c>
      <c r="T415">
        <v>8.0547382338472771E-3</v>
      </c>
      <c r="U415">
        <v>4.4267541879275379E-3</v>
      </c>
      <c r="V415">
        <v>3.6289312109651622E-3</v>
      </c>
      <c r="W415">
        <v>7.978229769623757E-4</v>
      </c>
      <c r="X415" s="19">
        <f t="shared" si="18"/>
        <v>46087</v>
      </c>
      <c r="Y415" s="19">
        <f t="shared" si="19"/>
        <v>46087</v>
      </c>
      <c r="Z415">
        <f t="array" ref="Z415">_xlfn.XLOOKUP(INT(X415),INT($AE$2:$AE$1000),$AG$2:$AG$1000,"")</f>
        <v>29.49</v>
      </c>
      <c r="AE415" s="19" t="e">
        <f t="shared" si="20"/>
        <v>#VALUE!</v>
      </c>
    </row>
    <row r="416" spans="1:32" x14ac:dyDescent="0.3">
      <c r="A416">
        <v>9</v>
      </c>
      <c r="B416" t="s">
        <v>25</v>
      </c>
      <c r="C416" t="s">
        <v>30</v>
      </c>
      <c r="D416">
        <v>60554</v>
      </c>
      <c r="E416">
        <v>285.52499999999998</v>
      </c>
      <c r="F416">
        <v>47.375</v>
      </c>
      <c r="G416">
        <v>285.55355250000002</v>
      </c>
      <c r="H416">
        <v>47.370262500000003</v>
      </c>
      <c r="I416">
        <v>-3.7668691164191461</v>
      </c>
      <c r="J416">
        <v>0.81444705018759989</v>
      </c>
      <c r="K416">
        <v>3.5023202871902637E-2</v>
      </c>
      <c r="L416">
        <v>-0.17191494463062801</v>
      </c>
      <c r="M416" t="s">
        <v>29</v>
      </c>
      <c r="N416">
        <v>12</v>
      </c>
      <c r="O416" t="s">
        <v>28</v>
      </c>
      <c r="P416">
        <v>60566</v>
      </c>
      <c r="Q416">
        <v>286.89999999999998</v>
      </c>
      <c r="R416">
        <v>47.5</v>
      </c>
      <c r="S416">
        <v>-0.36593961571871192</v>
      </c>
      <c r="T416">
        <v>2.6667535870037631E-2</v>
      </c>
      <c r="U416">
        <v>2.3031677142460839E-2</v>
      </c>
      <c r="V416">
        <v>3.6289312109651622E-3</v>
      </c>
      <c r="W416">
        <v>1.9402745931495682E-2</v>
      </c>
      <c r="X416" s="19">
        <f t="shared" si="18"/>
        <v>46087</v>
      </c>
      <c r="Y416" s="19">
        <f t="shared" si="19"/>
        <v>46087</v>
      </c>
      <c r="Z416">
        <f t="array" ref="Z416">_xlfn.XLOOKUP(INT(X416),INT($AE$2:$AE$1000),$AG$2:$AG$1000,"")</f>
        <v>29.49</v>
      </c>
      <c r="AE416" s="19" t="e">
        <f t="shared" si="20"/>
        <v>#VALUE!</v>
      </c>
    </row>
    <row r="417" spans="1:32" x14ac:dyDescent="0.3">
      <c r="A417">
        <v>9</v>
      </c>
      <c r="B417" t="s">
        <v>25</v>
      </c>
      <c r="C417" t="s">
        <v>30</v>
      </c>
      <c r="D417">
        <v>61331</v>
      </c>
      <c r="E417">
        <v>288.13</v>
      </c>
      <c r="F417">
        <v>47.3</v>
      </c>
      <c r="G417">
        <v>288.15881300000001</v>
      </c>
      <c r="H417">
        <v>47.295270000000002</v>
      </c>
      <c r="I417">
        <v>-4.796941551264422</v>
      </c>
      <c r="J417">
        <v>0.81444705018759989</v>
      </c>
      <c r="K417">
        <v>3.4706556068441329E-2</v>
      </c>
      <c r="L417">
        <v>-0.17218753703754761</v>
      </c>
      <c r="M417" t="s">
        <v>29</v>
      </c>
      <c r="N417">
        <v>27</v>
      </c>
      <c r="O417" t="s">
        <v>28</v>
      </c>
      <c r="P417">
        <v>61358</v>
      </c>
      <c r="Q417">
        <v>288.005</v>
      </c>
      <c r="R417">
        <v>47.21</v>
      </c>
      <c r="S417">
        <v>5.6809218071837003E-3</v>
      </c>
      <c r="T417">
        <v>1.1158558824823479E-2</v>
      </c>
      <c r="U417">
        <v>7.5316482442326447E-3</v>
      </c>
      <c r="V417">
        <v>3.6289312109651622E-3</v>
      </c>
      <c r="W417">
        <v>3.9027170332674829E-3</v>
      </c>
      <c r="X417" s="19">
        <f t="shared" si="18"/>
        <v>46091</v>
      </c>
      <c r="Y417" s="19">
        <f t="shared" si="19"/>
        <v>46091</v>
      </c>
      <c r="Z417">
        <f t="array" ref="Z417">_xlfn.XLOOKUP(INT(X417),INT($AE$2:$AE$1000),$AG$2:$AG$1000,"")</f>
        <v>24.93</v>
      </c>
      <c r="AE417" s="19" t="e">
        <f t="shared" si="20"/>
        <v>#VALUE!</v>
      </c>
    </row>
    <row r="418" spans="1:32" x14ac:dyDescent="0.3">
      <c r="A418">
        <v>9</v>
      </c>
      <c r="B418" t="s">
        <v>25</v>
      </c>
      <c r="C418" t="s">
        <v>30</v>
      </c>
      <c r="D418">
        <v>61711</v>
      </c>
      <c r="E418">
        <v>285.69499999999999</v>
      </c>
      <c r="F418">
        <v>46.91</v>
      </c>
      <c r="G418">
        <v>285.7235695</v>
      </c>
      <c r="H418">
        <v>46.905309000000003</v>
      </c>
      <c r="I418">
        <v>-3.7985191049783231</v>
      </c>
      <c r="J418">
        <v>0.81444705018759989</v>
      </c>
      <c r="K418">
        <v>3.5002362659479508E-2</v>
      </c>
      <c r="L418">
        <v>-0.17361906846889791</v>
      </c>
      <c r="M418" t="s">
        <v>29</v>
      </c>
      <c r="N418">
        <v>26</v>
      </c>
      <c r="O418" t="s">
        <v>28</v>
      </c>
      <c r="P418">
        <v>61737</v>
      </c>
      <c r="Q418">
        <v>292.12</v>
      </c>
      <c r="R418">
        <v>47.97</v>
      </c>
      <c r="S418">
        <v>1.0318508698612221E-2</v>
      </c>
      <c r="T418">
        <v>4.0853967510124128E-2</v>
      </c>
      <c r="U418">
        <v>3.7184180770483799E-2</v>
      </c>
      <c r="V418">
        <v>3.6289312109651622E-3</v>
      </c>
      <c r="W418">
        <v>3.3555249559518642E-2</v>
      </c>
      <c r="X418" s="19">
        <f t="shared" si="18"/>
        <v>46092</v>
      </c>
      <c r="Y418" s="19">
        <f t="shared" si="19"/>
        <v>46092</v>
      </c>
      <c r="Z418">
        <f t="array" ref="Z418">_xlfn.XLOOKUP(INT(X418),INT($AE$2:$AE$1000),$AG$2:$AG$1000,"")</f>
        <v>24.23</v>
      </c>
      <c r="AE418" s="19" t="e">
        <f t="shared" si="20"/>
        <v>#VALUE!</v>
      </c>
    </row>
    <row r="419" spans="1:32" x14ac:dyDescent="0.3">
      <c r="A419">
        <v>9</v>
      </c>
      <c r="B419" t="s">
        <v>25</v>
      </c>
      <c r="C419" t="s">
        <v>30</v>
      </c>
      <c r="D419">
        <v>62112</v>
      </c>
      <c r="E419">
        <v>286.98</v>
      </c>
      <c r="F419">
        <v>47.35</v>
      </c>
      <c r="G419">
        <v>287.00869799999998</v>
      </c>
      <c r="H419">
        <v>47.345264999999998</v>
      </c>
      <c r="I419">
        <v>-4.3256654332070488</v>
      </c>
      <c r="J419">
        <v>0.81444705018759989</v>
      </c>
      <c r="K419">
        <v>3.4845633842079587E-2</v>
      </c>
      <c r="L419">
        <v>-0.17200571281681101</v>
      </c>
      <c r="M419" t="s">
        <v>29</v>
      </c>
      <c r="N419">
        <v>18</v>
      </c>
      <c r="O419" t="s">
        <v>28</v>
      </c>
      <c r="P419">
        <v>62130</v>
      </c>
      <c r="Q419">
        <v>288.70999999999998</v>
      </c>
      <c r="R419">
        <v>47.64</v>
      </c>
      <c r="S419">
        <v>-0.34533234217353581</v>
      </c>
      <c r="T419">
        <v>1.040128982992131E-2</v>
      </c>
      <c r="U419">
        <v>6.7613792692200331E-3</v>
      </c>
      <c r="V419">
        <v>3.628931210965163E-3</v>
      </c>
      <c r="W419">
        <v>3.13244805825487E-3</v>
      </c>
      <c r="X419" s="19">
        <f t="shared" si="18"/>
        <v>46093</v>
      </c>
      <c r="Y419" s="19">
        <f t="shared" si="19"/>
        <v>46093</v>
      </c>
      <c r="Z419">
        <f t="array" ref="Z419">_xlfn.XLOOKUP(INT(X419),INT($AE$2:$AE$1000),$AG$2:$AG$1000,"")</f>
        <v>27.29</v>
      </c>
      <c r="AE419" s="19" t="e">
        <f t="shared" si="20"/>
        <v>#VALUE!</v>
      </c>
    </row>
    <row r="420" spans="1:32" x14ac:dyDescent="0.3">
      <c r="A420">
        <v>9</v>
      </c>
      <c r="B420" t="s">
        <v>25</v>
      </c>
      <c r="C420" t="s">
        <v>30</v>
      </c>
      <c r="D420">
        <v>62589</v>
      </c>
      <c r="E420">
        <v>295.58999999999997</v>
      </c>
      <c r="F420">
        <v>48.66</v>
      </c>
      <c r="G420">
        <v>295.56044100000003</v>
      </c>
      <c r="H420">
        <v>48.664866000000004</v>
      </c>
      <c r="I420">
        <v>3.5881352196890308</v>
      </c>
      <c r="J420">
        <v>0.81444705018759989</v>
      </c>
      <c r="K420">
        <v>-3.3830643797151463E-2</v>
      </c>
      <c r="L420">
        <v>0.16737506169083441</v>
      </c>
      <c r="M420" t="s">
        <v>27</v>
      </c>
      <c r="N420">
        <v>8</v>
      </c>
      <c r="O420" t="s">
        <v>28</v>
      </c>
      <c r="P420">
        <v>62597</v>
      </c>
      <c r="Q420">
        <v>294.86</v>
      </c>
      <c r="R420">
        <v>48.585000000000001</v>
      </c>
      <c r="S420">
        <v>8.2929969426686956E-2</v>
      </c>
      <c r="T420">
        <v>1.2143240345107401E-2</v>
      </c>
      <c r="U420">
        <v>8.518071194691652E-3</v>
      </c>
      <c r="V420">
        <v>3.628856989785237E-3</v>
      </c>
      <c r="W420">
        <v>4.889214204906415E-3</v>
      </c>
      <c r="X420" s="19">
        <f t="shared" si="18"/>
        <v>46094</v>
      </c>
      <c r="Y420" s="19">
        <f t="shared" si="19"/>
        <v>46094</v>
      </c>
      <c r="Z420">
        <f t="array" ref="Z420">_xlfn.XLOOKUP(INT(X420),INT($AE$2:$AE$1000),$AG$2:$AG$1000,"")</f>
        <v>27.19</v>
      </c>
      <c r="AE420" s="19" t="e">
        <f t="shared" si="20"/>
        <v>#VALUE!</v>
      </c>
    </row>
    <row r="421" spans="1:32" x14ac:dyDescent="0.3">
      <c r="A421">
        <v>9</v>
      </c>
      <c r="B421" t="s">
        <v>25</v>
      </c>
      <c r="C421" t="s">
        <v>30</v>
      </c>
      <c r="D421">
        <v>62894</v>
      </c>
      <c r="E421">
        <v>293.85000000000002</v>
      </c>
      <c r="F421">
        <v>48.805</v>
      </c>
      <c r="G421">
        <v>293.87938500000001</v>
      </c>
      <c r="H421">
        <v>48.800119500000001</v>
      </c>
      <c r="I421">
        <v>-4.2488124499288347</v>
      </c>
      <c r="J421">
        <v>0.81444705018759989</v>
      </c>
      <c r="K421">
        <v>3.403096818104475E-2</v>
      </c>
      <c r="L421">
        <v>-0.16687778919938531</v>
      </c>
      <c r="M421" t="s">
        <v>29</v>
      </c>
      <c r="N421">
        <v>13</v>
      </c>
      <c r="O421" t="s">
        <v>28</v>
      </c>
      <c r="P421">
        <v>62907</v>
      </c>
      <c r="Q421">
        <v>294.77999999999997</v>
      </c>
      <c r="R421">
        <v>48.835000000000001</v>
      </c>
      <c r="S421">
        <v>-0.49528238982585743</v>
      </c>
      <c r="T421">
        <v>2.6642466732388171E-2</v>
      </c>
      <c r="U421">
        <v>2.300990711860592E-2</v>
      </c>
      <c r="V421">
        <v>3.628931210965163E-3</v>
      </c>
      <c r="W421">
        <v>1.9380975907640759E-2</v>
      </c>
      <c r="X421" s="19">
        <f t="shared" si="18"/>
        <v>46097</v>
      </c>
      <c r="Y421" s="19">
        <f t="shared" si="19"/>
        <v>46097</v>
      </c>
      <c r="Z421">
        <f t="array" ref="Z421">_xlfn.XLOOKUP(INT(X421),INT($AE$2:$AE$1000),$AG$2:$AG$1000,"")</f>
        <v>23.51</v>
      </c>
      <c r="AE421" s="19" t="e">
        <f t="shared" si="20"/>
        <v>#VALUE!</v>
      </c>
    </row>
    <row r="422" spans="1:32" x14ac:dyDescent="0.3">
      <c r="A422">
        <v>9</v>
      </c>
      <c r="B422" t="s">
        <v>32</v>
      </c>
      <c r="C422" t="s">
        <v>33</v>
      </c>
      <c r="D422">
        <v>59101</v>
      </c>
      <c r="E422">
        <v>51.555</v>
      </c>
      <c r="F422">
        <v>201.99</v>
      </c>
      <c r="G422">
        <v>51.5601555</v>
      </c>
      <c r="H422">
        <v>201.96980099999999</v>
      </c>
      <c r="I422">
        <v>-5.2946498020626942</v>
      </c>
      <c r="J422">
        <v>0.85868120102046064</v>
      </c>
      <c r="K422">
        <v>0.19396760740956259</v>
      </c>
      <c r="L422">
        <v>-4.2511074856203812E-2</v>
      </c>
      <c r="M422" t="s">
        <v>29</v>
      </c>
      <c r="N422">
        <v>23</v>
      </c>
      <c r="O422" t="s">
        <v>28</v>
      </c>
      <c r="P422">
        <v>59124</v>
      </c>
      <c r="Q422">
        <v>51.884999999999998</v>
      </c>
      <c r="R422">
        <v>203.68</v>
      </c>
      <c r="S422">
        <v>-0.49282944508508991</v>
      </c>
      <c r="T422">
        <v>-7.8344060618290023E-3</v>
      </c>
      <c r="U422">
        <v>-1.1565353766565031E-2</v>
      </c>
      <c r="V422">
        <v>3.7173906658007172E-3</v>
      </c>
      <c r="W422">
        <v>-1.528274443236575E-2</v>
      </c>
      <c r="X422" s="19">
        <f t="shared" si="18"/>
        <v>46083</v>
      </c>
      <c r="Y422" s="19">
        <f t="shared" si="19"/>
        <v>46083</v>
      </c>
      <c r="Z422">
        <f t="array" ref="Z422">_xlfn.XLOOKUP(INT(X422),INT($AE$2:$AE$1000),$AG$2:$AG$1000,"")</f>
        <v>21.44</v>
      </c>
      <c r="AE422" s="19" t="e">
        <f t="shared" si="20"/>
        <v>#VALUE!</v>
      </c>
    </row>
    <row r="423" spans="1:32" x14ac:dyDescent="0.3">
      <c r="A423">
        <v>9</v>
      </c>
      <c r="B423" t="s">
        <v>32</v>
      </c>
      <c r="C423" t="s">
        <v>33</v>
      </c>
      <c r="D423">
        <v>59378</v>
      </c>
      <c r="E423">
        <v>52.01</v>
      </c>
      <c r="F423">
        <v>202.7</v>
      </c>
      <c r="G423">
        <v>52.004798999999998</v>
      </c>
      <c r="H423">
        <v>202.72027</v>
      </c>
      <c r="I423">
        <v>4.9176018115128253</v>
      </c>
      <c r="J423">
        <v>0.85868120102046064</v>
      </c>
      <c r="K423">
        <v>-0.19227071716977509</v>
      </c>
      <c r="L423">
        <v>4.2362170745952679E-2</v>
      </c>
      <c r="M423" t="s">
        <v>27</v>
      </c>
      <c r="N423">
        <v>7</v>
      </c>
      <c r="O423" t="s">
        <v>28</v>
      </c>
      <c r="P423">
        <v>59385</v>
      </c>
      <c r="Q423">
        <v>51.965000000000003</v>
      </c>
      <c r="R423">
        <v>204.30500000000001</v>
      </c>
      <c r="S423">
        <v>5.4691247745894053E-2</v>
      </c>
      <c r="T423">
        <v>7.6643466319893661E-2</v>
      </c>
      <c r="U423">
        <v>7.2920170007675394E-2</v>
      </c>
      <c r="V423">
        <v>3.7173341382811258E-3</v>
      </c>
      <c r="W423">
        <v>6.9202835869394269E-2</v>
      </c>
      <c r="X423" s="19">
        <f t="shared" si="18"/>
        <v>46084</v>
      </c>
      <c r="Y423" s="19">
        <f t="shared" si="19"/>
        <v>46084</v>
      </c>
      <c r="Z423">
        <f t="array" ref="Z423">_xlfn.XLOOKUP(INT(X423),INT($AE$2:$AE$1000),$AG$2:$AG$1000,"")</f>
        <v>23.57</v>
      </c>
      <c r="AE423" s="19" t="e">
        <f t="shared" si="20"/>
        <v>#VALUE!</v>
      </c>
      <c r="AF423" s="19"/>
    </row>
    <row r="424" spans="1:32" x14ac:dyDescent="0.3">
      <c r="A424">
        <v>9</v>
      </c>
      <c r="B424" t="s">
        <v>32</v>
      </c>
      <c r="C424" t="s">
        <v>33</v>
      </c>
      <c r="D424">
        <v>60161</v>
      </c>
      <c r="E424">
        <v>52.14</v>
      </c>
      <c r="F424">
        <v>200.69499999999999</v>
      </c>
      <c r="G424">
        <v>52.134785999999998</v>
      </c>
      <c r="H424">
        <v>200.7150695</v>
      </c>
      <c r="I424">
        <v>5.2062664277014097</v>
      </c>
      <c r="J424">
        <v>0.85868120102046064</v>
      </c>
      <c r="K424">
        <v>-0.19179133103183729</v>
      </c>
      <c r="L424">
        <v>4.2785380852560388E-2</v>
      </c>
      <c r="M424" t="s">
        <v>27</v>
      </c>
      <c r="N424">
        <v>1</v>
      </c>
      <c r="O424" t="s">
        <v>28</v>
      </c>
      <c r="P424">
        <v>60162</v>
      </c>
      <c r="Q424">
        <v>52.085000000000001</v>
      </c>
      <c r="R424">
        <v>204.51</v>
      </c>
      <c r="S424">
        <v>0.46255149945178309</v>
      </c>
      <c r="T424">
        <v>0.1737747511592688</v>
      </c>
      <c r="U424">
        <v>0.17004212098675189</v>
      </c>
      <c r="V424">
        <v>3.7173341382811249E-3</v>
      </c>
      <c r="W424">
        <v>0.1663247868484708</v>
      </c>
      <c r="X424" s="19">
        <f t="shared" si="18"/>
        <v>46086</v>
      </c>
      <c r="Y424" s="19">
        <f t="shared" si="19"/>
        <v>46086</v>
      </c>
      <c r="Z424">
        <f t="array" ref="Z424">_xlfn.XLOOKUP(INT(X424),INT($AE$2:$AE$1000),$AG$2:$AG$1000,"")</f>
        <v>23.75</v>
      </c>
      <c r="AE424" s="19" t="e">
        <f t="shared" si="20"/>
        <v>#VALUE!</v>
      </c>
      <c r="AF424" s="19"/>
    </row>
    <row r="425" spans="1:32" x14ac:dyDescent="0.3">
      <c r="A425">
        <v>9</v>
      </c>
      <c r="B425" t="s">
        <v>32</v>
      </c>
      <c r="C425" t="s">
        <v>33</v>
      </c>
      <c r="D425">
        <v>60551</v>
      </c>
      <c r="E425">
        <v>51.78</v>
      </c>
      <c r="F425">
        <v>203.61</v>
      </c>
      <c r="G425">
        <v>51.774822</v>
      </c>
      <c r="H425">
        <v>203.63036099999999</v>
      </c>
      <c r="I425">
        <v>4.0757978754471358</v>
      </c>
      <c r="J425">
        <v>0.85868120102046064</v>
      </c>
      <c r="K425">
        <v>-0.19312475859405179</v>
      </c>
      <c r="L425">
        <v>4.2172840283898658E-2</v>
      </c>
      <c r="M425" t="s">
        <v>27</v>
      </c>
      <c r="N425">
        <v>10</v>
      </c>
      <c r="O425" t="s">
        <v>28</v>
      </c>
      <c r="P425">
        <v>60561</v>
      </c>
      <c r="Q425">
        <v>51.825000000000003</v>
      </c>
      <c r="R425">
        <v>204.64</v>
      </c>
      <c r="S425">
        <v>0.35079511794278129</v>
      </c>
      <c r="T425">
        <v>3.4747411355681823E-2</v>
      </c>
      <c r="U425">
        <v>3.102483608967798E-2</v>
      </c>
      <c r="V425">
        <v>3.7173341382811258E-3</v>
      </c>
      <c r="W425">
        <v>2.7307501951396859E-2</v>
      </c>
      <c r="X425" s="19">
        <f t="shared" si="18"/>
        <v>46087</v>
      </c>
      <c r="Y425" s="19">
        <f t="shared" si="19"/>
        <v>46087</v>
      </c>
      <c r="Z425">
        <f t="array" ref="Z425">_xlfn.XLOOKUP(INT(X425),INT($AE$2:$AE$1000),$AG$2:$AG$1000,"")</f>
        <v>29.49</v>
      </c>
      <c r="AE425" s="19" t="e">
        <f t="shared" si="20"/>
        <v>#VALUE!</v>
      </c>
      <c r="AF425" s="19"/>
    </row>
    <row r="426" spans="1:32" x14ac:dyDescent="0.3">
      <c r="A426">
        <v>9</v>
      </c>
      <c r="B426" t="s">
        <v>32</v>
      </c>
      <c r="C426" t="s">
        <v>33</v>
      </c>
      <c r="D426">
        <v>61272</v>
      </c>
      <c r="E426">
        <v>51.47</v>
      </c>
      <c r="F426">
        <v>201.56</v>
      </c>
      <c r="G426">
        <v>51.464852999999998</v>
      </c>
      <c r="H426">
        <v>201.58015599999999</v>
      </c>
      <c r="I426">
        <v>4.4079331904982686</v>
      </c>
      <c r="J426">
        <v>0.85868120102046064</v>
      </c>
      <c r="K426">
        <v>-0.1942879347192539</v>
      </c>
      <c r="L426">
        <v>4.260176627408517E-2</v>
      </c>
      <c r="M426" t="s">
        <v>27</v>
      </c>
      <c r="N426">
        <v>19</v>
      </c>
      <c r="O426" t="s">
        <v>28</v>
      </c>
      <c r="P426">
        <v>61291</v>
      </c>
      <c r="Q426">
        <v>51.52</v>
      </c>
      <c r="R426">
        <v>202.11</v>
      </c>
      <c r="S426">
        <v>0.13344754834079101</v>
      </c>
      <c r="T426">
        <v>1.37165747147838E-2</v>
      </c>
      <c r="U426">
        <v>9.9958977759246198E-3</v>
      </c>
      <c r="V426">
        <v>3.7173341382811249E-3</v>
      </c>
      <c r="W426">
        <v>6.2785636376434936E-3</v>
      </c>
      <c r="X426" s="19">
        <f t="shared" si="18"/>
        <v>46091</v>
      </c>
      <c r="Y426" s="19">
        <f t="shared" si="19"/>
        <v>46091</v>
      </c>
      <c r="Z426">
        <f t="array" ref="Z426">_xlfn.XLOOKUP(INT(X426),INT($AE$2:$AE$1000),$AG$2:$AG$1000,"")</f>
        <v>24.93</v>
      </c>
      <c r="AE426" s="19" t="e">
        <f t="shared" si="20"/>
        <v>#VALUE!</v>
      </c>
      <c r="AF426" s="19"/>
    </row>
    <row r="427" spans="1:32" x14ac:dyDescent="0.3">
      <c r="A427">
        <v>9</v>
      </c>
      <c r="B427" t="s">
        <v>32</v>
      </c>
      <c r="C427" t="s">
        <v>33</v>
      </c>
      <c r="D427">
        <v>61623</v>
      </c>
      <c r="E427">
        <v>50.86</v>
      </c>
      <c r="F427">
        <v>201.32499999999999</v>
      </c>
      <c r="G427">
        <v>50.865085999999998</v>
      </c>
      <c r="H427">
        <v>201.3048675</v>
      </c>
      <c r="I427">
        <v>-3.6247250224962628</v>
      </c>
      <c r="J427">
        <v>0.85868120102046064</v>
      </c>
      <c r="K427">
        <v>0.19661816751867869</v>
      </c>
      <c r="L427">
        <v>-4.2651493903909633E-2</v>
      </c>
      <c r="M427" t="s">
        <v>29</v>
      </c>
      <c r="N427">
        <v>4</v>
      </c>
      <c r="O427" t="s">
        <v>28</v>
      </c>
      <c r="P427">
        <v>61627</v>
      </c>
      <c r="Q427">
        <v>50.95</v>
      </c>
      <c r="R427">
        <v>201.22</v>
      </c>
      <c r="S427">
        <v>7.9607693980409816E-2</v>
      </c>
      <c r="T427">
        <v>2.217404193659183E-2</v>
      </c>
      <c r="U427">
        <v>1.8455357811731139E-2</v>
      </c>
      <c r="V427">
        <v>3.7173906658007172E-3</v>
      </c>
      <c r="W427">
        <v>1.473796714593042E-2</v>
      </c>
      <c r="X427" s="19">
        <f t="shared" si="18"/>
        <v>46092</v>
      </c>
      <c r="Y427" s="19">
        <f t="shared" si="19"/>
        <v>46092</v>
      </c>
      <c r="Z427">
        <f t="array" ref="Z427">_xlfn.XLOOKUP(INT(X427),INT($AE$2:$AE$1000),$AG$2:$AG$1000,"")</f>
        <v>24.23</v>
      </c>
      <c r="AE427" s="19" t="e">
        <f t="shared" si="20"/>
        <v>#VALUE!</v>
      </c>
      <c r="AF427" s="19"/>
    </row>
    <row r="428" spans="1:32" x14ac:dyDescent="0.3">
      <c r="A428">
        <v>9</v>
      </c>
      <c r="B428" t="s">
        <v>32</v>
      </c>
      <c r="C428" t="s">
        <v>33</v>
      </c>
      <c r="D428">
        <v>61722</v>
      </c>
      <c r="E428">
        <v>52.84</v>
      </c>
      <c r="F428">
        <v>201.82</v>
      </c>
      <c r="G428">
        <v>52.834716000000007</v>
      </c>
      <c r="H428">
        <v>201.840182</v>
      </c>
      <c r="I428">
        <v>5.1723963644229061</v>
      </c>
      <c r="J428">
        <v>0.85868120102046064</v>
      </c>
      <c r="K428">
        <v>-0.18925056775170321</v>
      </c>
      <c r="L428">
        <v>4.2546883411974067E-2</v>
      </c>
      <c r="M428" t="s">
        <v>27</v>
      </c>
      <c r="N428">
        <v>4</v>
      </c>
      <c r="O428" t="s">
        <v>28</v>
      </c>
      <c r="P428">
        <v>61726</v>
      </c>
      <c r="Q428">
        <v>52.055</v>
      </c>
      <c r="R428">
        <v>204.345</v>
      </c>
      <c r="S428">
        <v>0.33195478488404229</v>
      </c>
      <c r="T428">
        <v>0.25599257630032252</v>
      </c>
      <c r="U428">
        <v>0.25227932697978889</v>
      </c>
      <c r="V428">
        <v>3.7173341382811258E-3</v>
      </c>
      <c r="W428">
        <v>0.24856199284150779</v>
      </c>
      <c r="X428" s="19">
        <f t="shared" si="18"/>
        <v>46092</v>
      </c>
      <c r="Y428" s="19">
        <f t="shared" si="19"/>
        <v>46092</v>
      </c>
      <c r="Z428">
        <f t="array" ref="Z428">_xlfn.XLOOKUP(INT(X428),INT($AE$2:$AE$1000),$AG$2:$AG$1000,"")</f>
        <v>24.23</v>
      </c>
      <c r="AE428" s="19" t="e">
        <f t="shared" si="20"/>
        <v>#VALUE!</v>
      </c>
      <c r="AF428" s="19"/>
    </row>
    <row r="429" spans="1:32" x14ac:dyDescent="0.3">
      <c r="A429">
        <v>9</v>
      </c>
      <c r="B429" t="s">
        <v>32</v>
      </c>
      <c r="C429" t="s">
        <v>33</v>
      </c>
      <c r="D429">
        <v>62112</v>
      </c>
      <c r="E429">
        <v>50.83</v>
      </c>
      <c r="F429">
        <v>202.70500000000001</v>
      </c>
      <c r="G429">
        <v>50.835082999999997</v>
      </c>
      <c r="H429">
        <v>202.6847295</v>
      </c>
      <c r="I429">
        <v>-5.0316986386704219</v>
      </c>
      <c r="J429">
        <v>0.85868120102046064</v>
      </c>
      <c r="K429">
        <v>0.19673421207948061</v>
      </c>
      <c r="L429">
        <v>-4.236112582425005E-2</v>
      </c>
      <c r="M429" t="s">
        <v>29</v>
      </c>
      <c r="N429">
        <v>9</v>
      </c>
      <c r="O429" t="s">
        <v>28</v>
      </c>
      <c r="P429">
        <v>62121</v>
      </c>
      <c r="Q429">
        <v>51.12</v>
      </c>
      <c r="R429">
        <v>202.70500000000001</v>
      </c>
      <c r="S429">
        <v>-0.46412448841701859</v>
      </c>
      <c r="T429">
        <v>5.705292150304922E-2</v>
      </c>
      <c r="U429">
        <v>5.3329853808857991E-2</v>
      </c>
      <c r="V429">
        <v>3.7173906658007172E-3</v>
      </c>
      <c r="W429">
        <v>4.9612463143057277E-2</v>
      </c>
      <c r="X429" s="19">
        <f t="shared" si="18"/>
        <v>46093</v>
      </c>
      <c r="Y429" s="19">
        <f t="shared" si="19"/>
        <v>46093</v>
      </c>
      <c r="Z429">
        <f t="array" ref="Z429">_xlfn.XLOOKUP(INT(X429),INT($AE$2:$AE$1000),$AG$2:$AG$1000,"")</f>
        <v>27.29</v>
      </c>
      <c r="AE429" s="19" t="e">
        <f t="shared" si="20"/>
        <v>#VALUE!</v>
      </c>
      <c r="AF429" s="19"/>
    </row>
    <row r="430" spans="1:32" x14ac:dyDescent="0.3">
      <c r="A430">
        <v>9</v>
      </c>
      <c r="B430" t="s">
        <v>32</v>
      </c>
      <c r="C430" t="s">
        <v>33</v>
      </c>
      <c r="D430">
        <v>62502</v>
      </c>
      <c r="E430">
        <v>52.66</v>
      </c>
      <c r="F430">
        <v>206.35499999999999</v>
      </c>
      <c r="G430">
        <v>52.654733999999998</v>
      </c>
      <c r="H430">
        <v>206.37563549999999</v>
      </c>
      <c r="I430">
        <v>4.8255452769201774</v>
      </c>
      <c r="J430">
        <v>0.85868120102046064</v>
      </c>
      <c r="K430">
        <v>-0.189897455374098</v>
      </c>
      <c r="L430">
        <v>4.1611843716917972E-2</v>
      </c>
      <c r="M430" t="s">
        <v>27</v>
      </c>
      <c r="N430">
        <v>5</v>
      </c>
      <c r="O430" t="s">
        <v>28</v>
      </c>
      <c r="P430">
        <v>62507</v>
      </c>
      <c r="Q430">
        <v>52.73</v>
      </c>
      <c r="R430">
        <v>208.99</v>
      </c>
      <c r="S430">
        <v>-0.31818858676792439</v>
      </c>
      <c r="T430">
        <v>9.6354386317892754E-2</v>
      </c>
      <c r="U430">
        <v>9.2624729912845233E-2</v>
      </c>
      <c r="V430">
        <v>3.7173341382811258E-3</v>
      </c>
      <c r="W430">
        <v>8.8907395774564107E-2</v>
      </c>
      <c r="X430" s="19">
        <f t="shared" si="18"/>
        <v>46094</v>
      </c>
      <c r="Y430" s="19">
        <f t="shared" si="19"/>
        <v>46094</v>
      </c>
      <c r="Z430">
        <f t="array" ref="Z430">_xlfn.XLOOKUP(INT(X430),INT($AE$2:$AE$1000),$AG$2:$AG$1000,"")</f>
        <v>27.19</v>
      </c>
      <c r="AE430" s="19" t="e">
        <f t="shared" si="20"/>
        <v>#VALUE!</v>
      </c>
      <c r="AF430" s="19"/>
    </row>
    <row r="431" spans="1:32" x14ac:dyDescent="0.3">
      <c r="A431">
        <v>9</v>
      </c>
      <c r="B431" t="s">
        <v>30</v>
      </c>
      <c r="C431" t="s">
        <v>31</v>
      </c>
      <c r="D431">
        <v>59101</v>
      </c>
      <c r="E431">
        <v>47.05</v>
      </c>
      <c r="F431">
        <v>74.81</v>
      </c>
      <c r="G431">
        <v>47.045295000000003</v>
      </c>
      <c r="H431">
        <v>74.817481000000001</v>
      </c>
      <c r="I431">
        <v>5.2945318756306756</v>
      </c>
      <c r="J431">
        <v>0.79809957020448918</v>
      </c>
      <c r="K431">
        <v>-0.2125398512221042</v>
      </c>
      <c r="L431">
        <v>0.10668354099779299</v>
      </c>
      <c r="M431" t="s">
        <v>27</v>
      </c>
      <c r="N431">
        <v>23</v>
      </c>
      <c r="O431" t="s">
        <v>28</v>
      </c>
      <c r="P431">
        <v>59124</v>
      </c>
      <c r="Q431">
        <v>47.29</v>
      </c>
      <c r="R431">
        <v>75.11</v>
      </c>
      <c r="S431">
        <v>0.49440647274464278</v>
      </c>
      <c r="T431">
        <v>-1.9004501993967832E-2</v>
      </c>
      <c r="U431">
        <v>-2.2609002597035011E-2</v>
      </c>
      <c r="V431">
        <v>3.5961587603230189E-3</v>
      </c>
      <c r="W431">
        <v>-2.620516135735803E-2</v>
      </c>
      <c r="X431" s="19">
        <f t="shared" si="18"/>
        <v>46083</v>
      </c>
      <c r="Y431" s="19">
        <f t="shared" si="19"/>
        <v>46083</v>
      </c>
      <c r="Z431">
        <f t="array" ref="Z431">_xlfn.XLOOKUP(INT(X431),INT($AE$2:$AE$1000),$AG$2:$AG$1000,"")</f>
        <v>21.44</v>
      </c>
      <c r="AE431" s="19" t="e">
        <f t="shared" si="20"/>
        <v>#VALUE!</v>
      </c>
    </row>
    <row r="432" spans="1:32" x14ac:dyDescent="0.3">
      <c r="A432">
        <v>9</v>
      </c>
      <c r="B432" t="s">
        <v>30</v>
      </c>
      <c r="C432" t="s">
        <v>31</v>
      </c>
      <c r="D432">
        <v>60011</v>
      </c>
      <c r="E432">
        <v>47.1</v>
      </c>
      <c r="F432">
        <v>74.98</v>
      </c>
      <c r="G432">
        <v>47.095289999999999</v>
      </c>
      <c r="H432">
        <v>74.987498000000002</v>
      </c>
      <c r="I432">
        <v>4.0612607433489822</v>
      </c>
      <c r="J432">
        <v>0.79809957020448918</v>
      </c>
      <c r="K432">
        <v>-0.21231422505307851</v>
      </c>
      <c r="L432">
        <v>0.10644166047005719</v>
      </c>
      <c r="M432" t="s">
        <v>27</v>
      </c>
      <c r="N432">
        <v>11</v>
      </c>
      <c r="O432" t="s">
        <v>28</v>
      </c>
      <c r="P432">
        <v>60022</v>
      </c>
      <c r="Q432">
        <v>47.11</v>
      </c>
      <c r="R432">
        <v>75.180000000000007</v>
      </c>
      <c r="S432">
        <v>0.36151456110797198</v>
      </c>
      <c r="T432">
        <v>1.9165189843481392E-2</v>
      </c>
      <c r="U432">
        <v>1.5566649555636971E-2</v>
      </c>
      <c r="V432">
        <v>3.5961587603230189E-3</v>
      </c>
      <c r="W432">
        <v>1.197049079531395E-2</v>
      </c>
      <c r="X432" s="19">
        <f t="shared" si="18"/>
        <v>46085</v>
      </c>
      <c r="Y432" s="19">
        <f t="shared" si="19"/>
        <v>46085</v>
      </c>
      <c r="Z432">
        <f t="array" ref="Z432">_xlfn.XLOOKUP(INT(X432),INT($AE$2:$AE$1000),$AG$2:$AG$1000,"")</f>
        <v>21.15</v>
      </c>
      <c r="AE432" s="19" t="e">
        <f t="shared" si="20"/>
        <v>#VALUE!</v>
      </c>
    </row>
    <row r="433" spans="1:32" x14ac:dyDescent="0.3">
      <c r="A433">
        <v>9</v>
      </c>
      <c r="B433" t="s">
        <v>30</v>
      </c>
      <c r="C433" t="s">
        <v>31</v>
      </c>
      <c r="D433">
        <v>60161</v>
      </c>
      <c r="E433">
        <v>47.65</v>
      </c>
      <c r="F433">
        <v>75.78</v>
      </c>
      <c r="G433">
        <v>47.645235</v>
      </c>
      <c r="H433">
        <v>75.787577999999996</v>
      </c>
      <c r="I433">
        <v>4.4971911777859717</v>
      </c>
      <c r="J433">
        <v>0.79809957020448918</v>
      </c>
      <c r="K433">
        <v>-0.20986358866736621</v>
      </c>
      <c r="L433">
        <v>0.1053179691481247</v>
      </c>
      <c r="M433" t="s">
        <v>27</v>
      </c>
      <c r="N433">
        <v>3</v>
      </c>
      <c r="O433" t="s">
        <v>28</v>
      </c>
      <c r="P433">
        <v>60164</v>
      </c>
      <c r="Q433">
        <v>47.81</v>
      </c>
      <c r="R433">
        <v>77.06</v>
      </c>
      <c r="S433">
        <v>-4.7340039034950127E-2</v>
      </c>
      <c r="T433">
        <v>0.1012288263228204</v>
      </c>
      <c r="U433">
        <v>9.7615788664942332E-2</v>
      </c>
      <c r="V433">
        <v>3.5961587603230189E-3</v>
      </c>
      <c r="W433">
        <v>9.4019629904619317E-2</v>
      </c>
      <c r="X433" s="19">
        <f t="shared" si="18"/>
        <v>46086</v>
      </c>
      <c r="Y433" s="19">
        <f t="shared" si="19"/>
        <v>46086</v>
      </c>
      <c r="Z433">
        <f t="array" ref="Z433">_xlfn.XLOOKUP(INT(X433),INT($AE$2:$AE$1000),$AG$2:$AG$1000,"")</f>
        <v>23.75</v>
      </c>
      <c r="AE433" s="19" t="e">
        <f t="shared" si="20"/>
        <v>#VALUE!</v>
      </c>
    </row>
    <row r="434" spans="1:32" x14ac:dyDescent="0.3">
      <c r="A434">
        <v>9</v>
      </c>
      <c r="B434" t="s">
        <v>30</v>
      </c>
      <c r="C434" t="s">
        <v>31</v>
      </c>
      <c r="D434">
        <v>60948</v>
      </c>
      <c r="E434">
        <v>46.645000000000003</v>
      </c>
      <c r="F434">
        <v>75.385000000000005</v>
      </c>
      <c r="G434">
        <v>46.640335500000013</v>
      </c>
      <c r="H434">
        <v>75.392538500000001</v>
      </c>
      <c r="I434">
        <v>4.0040848111445371</v>
      </c>
      <c r="J434">
        <v>0.79809957020448918</v>
      </c>
      <c r="K434">
        <v>-0.2143852502947797</v>
      </c>
      <c r="L434">
        <v>0.10586981099747821</v>
      </c>
      <c r="M434" t="s">
        <v>27</v>
      </c>
      <c r="N434">
        <v>7</v>
      </c>
      <c r="O434" t="s">
        <v>28</v>
      </c>
      <c r="P434">
        <v>60955</v>
      </c>
      <c r="Q434">
        <v>46.66</v>
      </c>
      <c r="R434">
        <v>75.775000000000006</v>
      </c>
      <c r="S434">
        <v>9.9103199099043471E-2</v>
      </c>
      <c r="T434">
        <v>3.8073447534596253E-2</v>
      </c>
      <c r="U434">
        <v>3.4472797893684383E-2</v>
      </c>
      <c r="V434">
        <v>3.5961587603230189E-3</v>
      </c>
      <c r="W434">
        <v>3.0876639133361361E-2</v>
      </c>
      <c r="X434" s="19">
        <f t="shared" si="18"/>
        <v>46090</v>
      </c>
      <c r="Y434" s="19">
        <f t="shared" si="19"/>
        <v>46090</v>
      </c>
      <c r="Z434">
        <f t="array" ref="Z434">_xlfn.XLOOKUP(INT(X434),INT($AE$2:$AE$1000),$AG$2:$AG$1000,"")</f>
        <v>25.5</v>
      </c>
      <c r="AE434" s="19" t="e">
        <f t="shared" si="20"/>
        <v>#VALUE!</v>
      </c>
    </row>
    <row r="435" spans="1:32" x14ac:dyDescent="0.3">
      <c r="A435">
        <v>9</v>
      </c>
      <c r="B435" t="s">
        <v>30</v>
      </c>
      <c r="C435" t="s">
        <v>31</v>
      </c>
      <c r="D435">
        <v>61331</v>
      </c>
      <c r="E435">
        <v>47.3</v>
      </c>
      <c r="F435">
        <v>76.36</v>
      </c>
      <c r="G435">
        <v>47.295270000000002</v>
      </c>
      <c r="H435">
        <v>76.367636000000005</v>
      </c>
      <c r="I435">
        <v>4.8249993868349446</v>
      </c>
      <c r="J435">
        <v>0.79809957020448918</v>
      </c>
      <c r="K435">
        <v>-0.21141649048625791</v>
      </c>
      <c r="L435">
        <v>0.1045180160037309</v>
      </c>
      <c r="M435" t="s">
        <v>27</v>
      </c>
      <c r="N435">
        <v>2</v>
      </c>
      <c r="O435" t="s">
        <v>28</v>
      </c>
      <c r="P435">
        <v>61333</v>
      </c>
      <c r="Q435">
        <v>47.115000000000002</v>
      </c>
      <c r="R435">
        <v>76.59</v>
      </c>
      <c r="S435">
        <v>-0.1770527170525851</v>
      </c>
      <c r="T435">
        <v>6.315119442081521E-2</v>
      </c>
      <c r="U435">
        <v>5.9556502571110961E-2</v>
      </c>
      <c r="V435">
        <v>3.5961587603230189E-3</v>
      </c>
      <c r="W435">
        <v>5.5960343810787939E-2</v>
      </c>
      <c r="X435" s="19">
        <f t="shared" si="18"/>
        <v>46091</v>
      </c>
      <c r="Y435" s="19">
        <f t="shared" si="19"/>
        <v>46091</v>
      </c>
      <c r="Z435">
        <f t="array" ref="Z435">_xlfn.XLOOKUP(INT(X435),INT($AE$2:$AE$1000),$AG$2:$AG$1000,"")</f>
        <v>24.93</v>
      </c>
      <c r="AE435" s="19" t="e">
        <f t="shared" si="20"/>
        <v>#VALUE!</v>
      </c>
    </row>
    <row r="436" spans="1:32" x14ac:dyDescent="0.3">
      <c r="A436">
        <v>9</v>
      </c>
      <c r="B436" t="s">
        <v>30</v>
      </c>
      <c r="C436" t="s">
        <v>31</v>
      </c>
      <c r="D436">
        <v>61721</v>
      </c>
      <c r="E436">
        <v>47.17</v>
      </c>
      <c r="F436">
        <v>79.569999999999993</v>
      </c>
      <c r="G436">
        <v>47.174717000000001</v>
      </c>
      <c r="H436">
        <v>79.562042999999989</v>
      </c>
      <c r="I436">
        <v>-5.0025453196703502</v>
      </c>
      <c r="J436">
        <v>0.79809957020448918</v>
      </c>
      <c r="K436">
        <v>0.21199915200339201</v>
      </c>
      <c r="L436">
        <v>-0.1003015671992572</v>
      </c>
      <c r="M436" t="s">
        <v>29</v>
      </c>
      <c r="N436">
        <v>2</v>
      </c>
      <c r="O436" t="s">
        <v>28</v>
      </c>
      <c r="P436">
        <v>61723</v>
      </c>
      <c r="Q436">
        <v>48.015000000000001</v>
      </c>
      <c r="R436">
        <v>79.569999999999993</v>
      </c>
      <c r="S436">
        <v>8.9406624641213558E-2</v>
      </c>
      <c r="T436">
        <v>0.179139283442866</v>
      </c>
      <c r="U436">
        <v>0.17552517037411211</v>
      </c>
      <c r="V436">
        <v>3.5962395204949382E-3</v>
      </c>
      <c r="W436">
        <v>0.17192893085361721</v>
      </c>
      <c r="X436" s="19">
        <f t="shared" si="18"/>
        <v>46092</v>
      </c>
      <c r="Y436" s="19">
        <f t="shared" si="19"/>
        <v>46092</v>
      </c>
      <c r="Z436">
        <f t="array" ref="Z436">_xlfn.XLOOKUP(INT(X436),INT($AE$2:$AE$1000),$AG$2:$AG$1000,"")</f>
        <v>24.23</v>
      </c>
      <c r="AE436" s="19" t="e">
        <f t="shared" si="20"/>
        <v>#VALUE!</v>
      </c>
    </row>
    <row r="437" spans="1:32" x14ac:dyDescent="0.3">
      <c r="A437">
        <v>9</v>
      </c>
      <c r="B437" t="s">
        <v>30</v>
      </c>
      <c r="C437" t="s">
        <v>31</v>
      </c>
      <c r="D437">
        <v>62502</v>
      </c>
      <c r="E437">
        <v>48.96</v>
      </c>
      <c r="F437">
        <v>80.14</v>
      </c>
      <c r="G437">
        <v>48.955103999999999</v>
      </c>
      <c r="H437">
        <v>80.148014000000003</v>
      </c>
      <c r="I437">
        <v>4.7973423847839554</v>
      </c>
      <c r="J437">
        <v>0.79809957020448918</v>
      </c>
      <c r="K437">
        <v>-0.20424836601307189</v>
      </c>
      <c r="L437">
        <v>9.9588166983340304E-2</v>
      </c>
      <c r="M437" t="s">
        <v>27</v>
      </c>
      <c r="N437">
        <v>15</v>
      </c>
      <c r="O437" t="s">
        <v>28</v>
      </c>
      <c r="P437">
        <v>62517</v>
      </c>
      <c r="Q437">
        <v>48.865000000000002</v>
      </c>
      <c r="R437">
        <v>80.489999999999995</v>
      </c>
      <c r="S437">
        <v>0.36866456772015421</v>
      </c>
      <c r="T437">
        <v>5.4259453215410133E-2</v>
      </c>
      <c r="U437">
        <v>5.0661708848633608E-2</v>
      </c>
      <c r="V437">
        <v>3.5961587603230189E-3</v>
      </c>
      <c r="W437">
        <v>4.7065550088310593E-2</v>
      </c>
      <c r="X437" s="19">
        <f t="shared" si="18"/>
        <v>46094</v>
      </c>
      <c r="Y437" s="19">
        <f t="shared" si="19"/>
        <v>46094</v>
      </c>
      <c r="Z437">
        <f t="array" ref="Z437">_xlfn.XLOOKUP(INT(X437),INT($AE$2:$AE$1000),$AG$2:$AG$1000,"")</f>
        <v>27.19</v>
      </c>
      <c r="AE437" s="19" t="e">
        <f t="shared" si="20"/>
        <v>#VALUE!</v>
      </c>
    </row>
    <row r="438" spans="1:32" x14ac:dyDescent="0.3">
      <c r="A438">
        <v>10</v>
      </c>
      <c r="B438" t="s">
        <v>32</v>
      </c>
      <c r="C438" t="s">
        <v>33</v>
      </c>
      <c r="D438">
        <v>63001</v>
      </c>
      <c r="E438">
        <v>51.59</v>
      </c>
      <c r="F438">
        <v>204.84</v>
      </c>
      <c r="G438">
        <v>51.595159000000002</v>
      </c>
      <c r="H438">
        <v>204.81951599999999</v>
      </c>
      <c r="I438">
        <v>-5.2946064178716359</v>
      </c>
      <c r="J438">
        <v>0.90418154948810281</v>
      </c>
      <c r="K438">
        <v>0.19383601473153711</v>
      </c>
      <c r="L438">
        <v>-4.4140868457728119E-2</v>
      </c>
      <c r="M438" t="s">
        <v>29</v>
      </c>
      <c r="N438">
        <v>23</v>
      </c>
      <c r="O438" t="s">
        <v>28</v>
      </c>
      <c r="P438">
        <v>63024</v>
      </c>
      <c r="Q438">
        <v>51.51</v>
      </c>
      <c r="R438">
        <v>205.02</v>
      </c>
      <c r="S438">
        <v>-0.49292000855805712</v>
      </c>
      <c r="T438">
        <v>-2.3452237500915379E-2</v>
      </c>
      <c r="U438">
        <v>-2.7259844447405542E-2</v>
      </c>
      <c r="V438">
        <v>3.8083822626663079E-3</v>
      </c>
      <c r="W438">
        <v>-3.1068226710071849E-2</v>
      </c>
      <c r="X438" s="19">
        <f t="shared" si="18"/>
        <v>46097</v>
      </c>
      <c r="Y438" s="19">
        <f t="shared" si="19"/>
        <v>46097</v>
      </c>
      <c r="Z438">
        <f t="array" ref="Z438">_xlfn.XLOOKUP(INT(X438),INT($AE$2:$AE$1000),$AG$2:$AG$1000,"")</f>
        <v>23.51</v>
      </c>
      <c r="AE438" s="19" t="e">
        <f t="shared" si="20"/>
        <v>#VALUE!</v>
      </c>
    </row>
    <row r="439" spans="1:32" x14ac:dyDescent="0.3">
      <c r="A439">
        <v>10</v>
      </c>
      <c r="B439" t="s">
        <v>32</v>
      </c>
      <c r="C439" t="s">
        <v>33</v>
      </c>
      <c r="D439">
        <v>63283</v>
      </c>
      <c r="E439">
        <v>51.28</v>
      </c>
      <c r="F439">
        <v>205.54</v>
      </c>
      <c r="G439">
        <v>51.285128</v>
      </c>
      <c r="H439">
        <v>205.51944599999999</v>
      </c>
      <c r="I439">
        <v>-3.873463425613366</v>
      </c>
      <c r="J439">
        <v>0.90418154948810281</v>
      </c>
      <c r="K439">
        <v>0.19500780031201251</v>
      </c>
      <c r="L439">
        <v>-4.3990539529439668E-2</v>
      </c>
      <c r="M439" t="s">
        <v>29</v>
      </c>
      <c r="N439">
        <v>6</v>
      </c>
      <c r="O439" t="s">
        <v>28</v>
      </c>
      <c r="P439">
        <v>63289</v>
      </c>
      <c r="Q439">
        <v>50.82</v>
      </c>
      <c r="R439">
        <v>203.11</v>
      </c>
      <c r="S439">
        <v>-0.3608469167561773</v>
      </c>
      <c r="T439">
        <v>1.7193422913011531E-2</v>
      </c>
      <c r="U439">
        <v>1.340471987395535E-2</v>
      </c>
      <c r="V439">
        <v>3.8083822626663079E-3</v>
      </c>
      <c r="W439">
        <v>9.5963376112890401E-3</v>
      </c>
      <c r="X439" s="19">
        <f t="shared" si="18"/>
        <v>46098</v>
      </c>
      <c r="Y439" s="19">
        <f t="shared" si="19"/>
        <v>46098</v>
      </c>
      <c r="Z439">
        <f t="array" ref="Z439">_xlfn.XLOOKUP(INT(X439),INT($AE$2:$AE$1000),$AG$2:$AG$1000,"")</f>
        <v>22.37</v>
      </c>
      <c r="AE439" s="19" t="e">
        <f t="shared" si="20"/>
        <v>#VALUE!</v>
      </c>
    </row>
    <row r="440" spans="1:32" x14ac:dyDescent="0.3">
      <c r="A440">
        <v>10</v>
      </c>
      <c r="B440" t="s">
        <v>32</v>
      </c>
      <c r="C440" t="s">
        <v>33</v>
      </c>
      <c r="D440">
        <v>63459</v>
      </c>
      <c r="E440">
        <v>51.03</v>
      </c>
      <c r="F440">
        <v>203</v>
      </c>
      <c r="G440">
        <v>51.024897000000003</v>
      </c>
      <c r="H440">
        <v>203.02029999999999</v>
      </c>
      <c r="I440">
        <v>3.5523458610373102</v>
      </c>
      <c r="J440">
        <v>0.90418154948810281</v>
      </c>
      <c r="K440">
        <v>-0.1959631589261219</v>
      </c>
      <c r="L440">
        <v>4.4540963028970593E-2</v>
      </c>
      <c r="M440" t="s">
        <v>27</v>
      </c>
      <c r="N440">
        <v>18</v>
      </c>
      <c r="O440" t="s">
        <v>28</v>
      </c>
      <c r="P440">
        <v>63477</v>
      </c>
      <c r="Q440">
        <v>50.975000000000001</v>
      </c>
      <c r="R440">
        <v>203.17</v>
      </c>
      <c r="S440">
        <v>0.1338196310140963</v>
      </c>
      <c r="T440">
        <v>1.8349937455861089E-2</v>
      </c>
      <c r="U440">
        <v>1.4541894957888331E-2</v>
      </c>
      <c r="V440">
        <v>3.8083439352861038E-3</v>
      </c>
      <c r="W440">
        <v>1.073355102260222E-2</v>
      </c>
      <c r="X440" s="19">
        <f t="shared" si="18"/>
        <v>46098</v>
      </c>
      <c r="Y440" s="19">
        <f t="shared" si="19"/>
        <v>46098</v>
      </c>
      <c r="Z440">
        <f t="array" ref="Z440">_xlfn.XLOOKUP(INT(X440),INT($AE$2:$AE$1000),$AG$2:$AG$1000,"")</f>
        <v>22.37</v>
      </c>
      <c r="AE440" s="19" t="e">
        <f t="shared" si="20"/>
        <v>#VALUE!</v>
      </c>
    </row>
    <row r="441" spans="1:32" x14ac:dyDescent="0.3">
      <c r="A441">
        <v>10</v>
      </c>
      <c r="B441" t="s">
        <v>32</v>
      </c>
      <c r="C441" t="s">
        <v>33</v>
      </c>
      <c r="D441">
        <v>63673</v>
      </c>
      <c r="E441">
        <v>51.13</v>
      </c>
      <c r="F441">
        <v>202.32</v>
      </c>
      <c r="G441">
        <v>51.124887000000001</v>
      </c>
      <c r="H441">
        <v>202.34023199999999</v>
      </c>
      <c r="I441">
        <v>4.0184543283837391</v>
      </c>
      <c r="J441">
        <v>0.90418154948810281</v>
      </c>
      <c r="K441">
        <v>-0.195579894386857</v>
      </c>
      <c r="L441">
        <v>4.4690665751685593E-2</v>
      </c>
      <c r="M441" t="s">
        <v>27</v>
      </c>
      <c r="N441">
        <v>5</v>
      </c>
      <c r="O441" t="s">
        <v>28</v>
      </c>
      <c r="P441">
        <v>63678</v>
      </c>
      <c r="Q441">
        <v>51</v>
      </c>
      <c r="R441">
        <v>203.36</v>
      </c>
      <c r="S441">
        <v>-0.12648133375496251</v>
      </c>
      <c r="T441">
        <v>7.1903678652045847E-2</v>
      </c>
      <c r="U441">
        <v>6.8093210262459375E-2</v>
      </c>
      <c r="V441">
        <v>3.8083439352861038E-3</v>
      </c>
      <c r="W441">
        <v>6.4284866327173271E-2</v>
      </c>
      <c r="X441" s="19">
        <f t="shared" si="18"/>
        <v>46099</v>
      </c>
      <c r="Y441" s="19">
        <f t="shared" si="19"/>
        <v>46099</v>
      </c>
      <c r="Z441">
        <f t="array" ref="Z441">_xlfn.XLOOKUP(INT(X441),INT($AE$2:$AE$1000),$AG$2:$AG$1000,"")</f>
        <v>25.09</v>
      </c>
      <c r="AE441" s="19" t="e">
        <f t="shared" si="20"/>
        <v>#VALUE!</v>
      </c>
    </row>
    <row r="442" spans="1:32" x14ac:dyDescent="0.3">
      <c r="A442">
        <v>10</v>
      </c>
      <c r="B442" t="s">
        <v>32</v>
      </c>
      <c r="C442" t="s">
        <v>33</v>
      </c>
      <c r="D442">
        <v>64254</v>
      </c>
      <c r="E442">
        <v>51.725000000000001</v>
      </c>
      <c r="F442">
        <v>205.76499999999999</v>
      </c>
      <c r="G442">
        <v>51.719827500000001</v>
      </c>
      <c r="H442">
        <v>205.78557649999999</v>
      </c>
      <c r="I442">
        <v>3.88209231152267</v>
      </c>
      <c r="J442">
        <v>0.90418154948810281</v>
      </c>
      <c r="K442">
        <v>-0.19333011116481391</v>
      </c>
      <c r="L442">
        <v>4.3942436735504242E-2</v>
      </c>
      <c r="M442" t="s">
        <v>27</v>
      </c>
      <c r="N442">
        <v>4</v>
      </c>
      <c r="O442" t="s">
        <v>28</v>
      </c>
      <c r="P442">
        <v>64258</v>
      </c>
      <c r="Q442">
        <v>51.835000000000001</v>
      </c>
      <c r="R442">
        <v>206.93</v>
      </c>
      <c r="S442">
        <v>0.21192774522584029</v>
      </c>
      <c r="T442">
        <v>2.9926626568733909E-2</v>
      </c>
      <c r="U442">
        <v>2.611101754465496E-2</v>
      </c>
      <c r="V442">
        <v>3.8083439352861038E-3</v>
      </c>
      <c r="W442">
        <v>2.2302673609368859E-2</v>
      </c>
      <c r="X442" s="19">
        <f t="shared" si="18"/>
        <v>46100</v>
      </c>
      <c r="Y442" s="19">
        <f t="shared" si="19"/>
        <v>46100</v>
      </c>
      <c r="Z442">
        <f t="array" ref="Z442">_xlfn.XLOOKUP(INT(X442),INT($AE$2:$AE$1000),$AG$2:$AG$1000,"")</f>
        <v>24.06</v>
      </c>
      <c r="AE442" s="19" t="e">
        <f t="shared" si="20"/>
        <v>#VALUE!</v>
      </c>
    </row>
    <row r="443" spans="1:32" x14ac:dyDescent="0.3">
      <c r="A443">
        <v>10</v>
      </c>
      <c r="B443" t="s">
        <v>32</v>
      </c>
      <c r="C443" t="s">
        <v>33</v>
      </c>
      <c r="D443">
        <v>64455</v>
      </c>
      <c r="E443">
        <v>52.83</v>
      </c>
      <c r="F443">
        <v>208.07</v>
      </c>
      <c r="G443">
        <v>52.824717</v>
      </c>
      <c r="H443">
        <v>208.09080700000001</v>
      </c>
      <c r="I443">
        <v>5.1466095746623628</v>
      </c>
      <c r="J443">
        <v>0.90418154948810281</v>
      </c>
      <c r="K443">
        <v>-0.18928639030853681</v>
      </c>
      <c r="L443">
        <v>4.3455642307305371E-2</v>
      </c>
      <c r="M443" t="s">
        <v>27</v>
      </c>
      <c r="N443">
        <v>13</v>
      </c>
      <c r="O443" t="s">
        <v>28</v>
      </c>
      <c r="P443">
        <v>64468</v>
      </c>
      <c r="Q443">
        <v>52.45</v>
      </c>
      <c r="R443">
        <v>208.07</v>
      </c>
      <c r="S443">
        <v>0.33066042495449588</v>
      </c>
      <c r="T443">
        <v>7.1928828317243135E-2</v>
      </c>
      <c r="U443">
        <v>6.8127658101099331E-2</v>
      </c>
      <c r="V443">
        <v>3.8083439352861038E-3</v>
      </c>
      <c r="W443">
        <v>6.4319314165813227E-2</v>
      </c>
      <c r="X443" s="19">
        <f t="shared" si="18"/>
        <v>46101</v>
      </c>
      <c r="Y443" s="19">
        <f t="shared" si="19"/>
        <v>46101</v>
      </c>
      <c r="Z443">
        <f t="array" ref="Z443">_xlfn.XLOOKUP(INT(X443),INT($AE$2:$AE$1000),$AG$2:$AG$1000,"")</f>
        <v>26.78</v>
      </c>
      <c r="AE443" s="19" t="e">
        <f t="shared" si="20"/>
        <v>#VALUE!</v>
      </c>
      <c r="AF443" s="19"/>
    </row>
    <row r="444" spans="1:32" x14ac:dyDescent="0.3">
      <c r="A444">
        <v>10</v>
      </c>
      <c r="B444" t="s">
        <v>32</v>
      </c>
      <c r="C444" t="s">
        <v>33</v>
      </c>
      <c r="D444">
        <v>64722</v>
      </c>
      <c r="E444">
        <v>52.865000000000002</v>
      </c>
      <c r="F444">
        <v>210.84</v>
      </c>
      <c r="G444">
        <v>52.870286499999999</v>
      </c>
      <c r="H444">
        <v>210.818916</v>
      </c>
      <c r="I444">
        <v>-3.8590103261116311</v>
      </c>
      <c r="J444">
        <v>0.90418154948810281</v>
      </c>
      <c r="K444">
        <v>0.18916107065165991</v>
      </c>
      <c r="L444">
        <v>-4.2884725359898637E-2</v>
      </c>
      <c r="M444" t="s">
        <v>29</v>
      </c>
      <c r="N444">
        <v>4</v>
      </c>
      <c r="O444" t="s">
        <v>28</v>
      </c>
      <c r="P444">
        <v>64726</v>
      </c>
      <c r="Q444">
        <v>52.88</v>
      </c>
      <c r="R444">
        <v>210.47</v>
      </c>
      <c r="S444">
        <v>5.4271450886599168E-2</v>
      </c>
      <c r="T444">
        <v>1.8704764442937699E-2</v>
      </c>
      <c r="U444">
        <v>1.489770433719388E-2</v>
      </c>
      <c r="V444">
        <v>3.8083822626663079E-3</v>
      </c>
      <c r="W444">
        <v>1.108932207452757E-2</v>
      </c>
      <c r="X444" s="19">
        <f t="shared" si="18"/>
        <v>46101</v>
      </c>
      <c r="Y444" s="19">
        <f t="shared" si="19"/>
        <v>46101</v>
      </c>
      <c r="Z444">
        <f t="array" ref="Z444">_xlfn.XLOOKUP(INT(X444),INT($AE$2:$AE$1000),$AG$2:$AG$1000,"")</f>
        <v>26.78</v>
      </c>
      <c r="AE444" s="19" t="e">
        <f t="shared" si="20"/>
        <v>#VALUE!</v>
      </c>
      <c r="AF444" s="19"/>
    </row>
    <row r="445" spans="1:32" x14ac:dyDescent="0.3">
      <c r="A445">
        <v>10</v>
      </c>
      <c r="B445" t="s">
        <v>32</v>
      </c>
      <c r="C445" t="s">
        <v>33</v>
      </c>
      <c r="D445">
        <v>64846</v>
      </c>
      <c r="E445">
        <v>51.92</v>
      </c>
      <c r="F445">
        <v>209.24</v>
      </c>
      <c r="G445">
        <v>51.925192000000003</v>
      </c>
      <c r="H445">
        <v>209.219076</v>
      </c>
      <c r="I445">
        <v>-5.0723224491822858</v>
      </c>
      <c r="J445">
        <v>0.90418154948810281</v>
      </c>
      <c r="K445">
        <v>0.19260400616332821</v>
      </c>
      <c r="L445">
        <v>-4.3212652909964767E-2</v>
      </c>
      <c r="M445" t="s">
        <v>29</v>
      </c>
      <c r="N445">
        <v>4</v>
      </c>
      <c r="O445" t="s">
        <v>28</v>
      </c>
      <c r="P445">
        <v>64850</v>
      </c>
      <c r="Q445">
        <v>51.924999999999997</v>
      </c>
      <c r="R445">
        <v>206.655</v>
      </c>
      <c r="S445">
        <v>-0.24394293720547611</v>
      </c>
      <c r="T445">
        <v>0.112667727803075</v>
      </c>
      <c r="U445">
        <v>0.10887043887287221</v>
      </c>
      <c r="V445">
        <v>3.8083822626663079E-3</v>
      </c>
      <c r="W445">
        <v>0.1050620566102059</v>
      </c>
      <c r="X445" s="19">
        <f t="shared" si="18"/>
        <v>46104</v>
      </c>
      <c r="Y445" s="19">
        <f t="shared" si="19"/>
        <v>46104</v>
      </c>
      <c r="Z445">
        <f t="array" ref="Z445">_xlfn.XLOOKUP(INT(X445),INT($AE$2:$AE$1000),$AG$2:$AG$1000,"")</f>
        <v>26.15</v>
      </c>
      <c r="AE445" s="19" t="e">
        <f t="shared" si="20"/>
        <v>#VALUE!</v>
      </c>
      <c r="AF445" s="19"/>
    </row>
    <row r="446" spans="1:32" x14ac:dyDescent="0.3">
      <c r="A446">
        <v>10</v>
      </c>
      <c r="B446" t="s">
        <v>32</v>
      </c>
      <c r="C446" t="s">
        <v>33</v>
      </c>
      <c r="D446">
        <v>65242</v>
      </c>
      <c r="E446">
        <v>53.325000000000003</v>
      </c>
      <c r="F446">
        <v>211.72</v>
      </c>
      <c r="G446">
        <v>53.319667500000001</v>
      </c>
      <c r="H446">
        <v>211.74117200000001</v>
      </c>
      <c r="I446">
        <v>3.5283094695702362</v>
      </c>
      <c r="J446">
        <v>0.90418154948810281</v>
      </c>
      <c r="K446">
        <v>-0.18752930145335209</v>
      </c>
      <c r="L446">
        <v>4.2706477871155432E-2</v>
      </c>
      <c r="M446" t="s">
        <v>27</v>
      </c>
      <c r="N446">
        <v>9</v>
      </c>
      <c r="O446" t="s">
        <v>28</v>
      </c>
      <c r="P446">
        <v>65251</v>
      </c>
      <c r="Q446">
        <v>53.27</v>
      </c>
      <c r="R446">
        <v>212.32</v>
      </c>
      <c r="S446">
        <v>0.40382193561864049</v>
      </c>
      <c r="T446">
        <v>3.5937998302627318E-2</v>
      </c>
      <c r="U446">
        <v>3.2128104226136142E-2</v>
      </c>
      <c r="V446">
        <v>3.8083439352861038E-3</v>
      </c>
      <c r="W446">
        <v>2.8319760290850031E-2</v>
      </c>
      <c r="X446" s="19">
        <f t="shared" si="18"/>
        <v>46105</v>
      </c>
      <c r="Y446" s="19">
        <f t="shared" si="19"/>
        <v>46105</v>
      </c>
      <c r="Z446">
        <f t="array" ref="Z446">_xlfn.XLOOKUP(INT(X446),INT($AE$2:$AE$1000),$AG$2:$AG$1000,"")</f>
        <v>26.95</v>
      </c>
      <c r="AE446" s="19" t="e">
        <f t="shared" si="20"/>
        <v>#VALUE!</v>
      </c>
      <c r="AF446" s="19"/>
    </row>
    <row r="447" spans="1:32" x14ac:dyDescent="0.3">
      <c r="A447">
        <v>10</v>
      </c>
      <c r="B447" t="s">
        <v>32</v>
      </c>
      <c r="C447" t="s">
        <v>33</v>
      </c>
      <c r="D447">
        <v>65779</v>
      </c>
      <c r="E447">
        <v>53.424999999999997</v>
      </c>
      <c r="F447">
        <v>213.31</v>
      </c>
      <c r="G447">
        <v>53.4196575</v>
      </c>
      <c r="H447">
        <v>213.33133100000001</v>
      </c>
      <c r="I447">
        <v>3.5378142745057541</v>
      </c>
      <c r="J447">
        <v>0.90418154948810281</v>
      </c>
      <c r="K447">
        <v>-0.18717828731867101</v>
      </c>
      <c r="L447">
        <v>4.2388146335760303E-2</v>
      </c>
      <c r="M447" t="s">
        <v>27</v>
      </c>
      <c r="N447">
        <v>27</v>
      </c>
      <c r="O447" t="s">
        <v>28</v>
      </c>
      <c r="P447">
        <v>65806</v>
      </c>
      <c r="Q447">
        <v>53.395000000000003</v>
      </c>
      <c r="R447">
        <v>213.23</v>
      </c>
      <c r="S447">
        <v>0.46336470984441153</v>
      </c>
      <c r="T447">
        <v>2.2242969126976598E-3</v>
      </c>
      <c r="U447">
        <v>-1.5831655462450391E-3</v>
      </c>
      <c r="V447">
        <v>3.8083439352861038E-3</v>
      </c>
      <c r="W447">
        <v>-5.3915094815311423E-3</v>
      </c>
      <c r="X447" s="19">
        <f t="shared" si="18"/>
        <v>46106</v>
      </c>
      <c r="Y447" s="19">
        <f t="shared" si="19"/>
        <v>46106</v>
      </c>
      <c r="Z447">
        <f t="array" ref="Z447">_xlfn.XLOOKUP(INT(X447),INT($AE$2:$AE$1000),$AG$2:$AG$1000,"")</f>
        <v>25.33</v>
      </c>
      <c r="AE447" s="19" t="e">
        <f t="shared" si="20"/>
        <v>#VALUE!</v>
      </c>
      <c r="AF447" s="19"/>
    </row>
    <row r="448" spans="1:32" x14ac:dyDescent="0.3">
      <c r="A448">
        <v>10</v>
      </c>
      <c r="B448" t="s">
        <v>32</v>
      </c>
      <c r="C448" t="s">
        <v>33</v>
      </c>
      <c r="D448">
        <v>65872</v>
      </c>
      <c r="E448">
        <v>53.575000000000003</v>
      </c>
      <c r="F448">
        <v>213.33</v>
      </c>
      <c r="G448">
        <v>53.5696425</v>
      </c>
      <c r="H448">
        <v>213.35133300000001</v>
      </c>
      <c r="I448">
        <v>3.633571010706512</v>
      </c>
      <c r="J448">
        <v>0.90418154948810281</v>
      </c>
      <c r="K448">
        <v>-0.18665422305179649</v>
      </c>
      <c r="L448">
        <v>4.2384172384948328E-2</v>
      </c>
      <c r="M448" t="s">
        <v>27</v>
      </c>
      <c r="N448">
        <v>5</v>
      </c>
      <c r="O448" t="s">
        <v>28</v>
      </c>
      <c r="P448">
        <v>65877</v>
      </c>
      <c r="Q448">
        <v>53.51</v>
      </c>
      <c r="R448">
        <v>213.78</v>
      </c>
      <c r="S448">
        <v>-0.42482070908762037</v>
      </c>
      <c r="T448">
        <v>3.120540207159395E-2</v>
      </c>
      <c r="U448">
        <v>2.739634493731042E-2</v>
      </c>
      <c r="V448">
        <v>3.8083439352861038E-3</v>
      </c>
      <c r="W448">
        <v>2.3588001002024319E-2</v>
      </c>
      <c r="X448" s="19">
        <f t="shared" si="18"/>
        <v>46106</v>
      </c>
      <c r="Y448" s="19">
        <f t="shared" si="19"/>
        <v>46106</v>
      </c>
      <c r="Z448">
        <f t="array" ref="Z448">_xlfn.XLOOKUP(INT(X448),INT($AE$2:$AE$1000),$AG$2:$AG$1000,"")</f>
        <v>25.33</v>
      </c>
      <c r="AE448" s="19" t="e">
        <f t="shared" si="20"/>
        <v>#VALUE!</v>
      </c>
      <c r="AF448" s="19"/>
    </row>
    <row r="449" spans="1:32" x14ac:dyDescent="0.3">
      <c r="A449">
        <v>10</v>
      </c>
      <c r="B449" t="s">
        <v>32</v>
      </c>
      <c r="C449" t="s">
        <v>33</v>
      </c>
      <c r="D449">
        <v>66010</v>
      </c>
      <c r="E449">
        <v>53.77</v>
      </c>
      <c r="F449">
        <v>214.595</v>
      </c>
      <c r="G449">
        <v>53.764623</v>
      </c>
      <c r="H449">
        <v>214.61645949999999</v>
      </c>
      <c r="I449">
        <v>3.6411829482452172</v>
      </c>
      <c r="J449">
        <v>0.90418154948810281</v>
      </c>
      <c r="K449">
        <v>-0.1859773107680863</v>
      </c>
      <c r="L449">
        <v>4.2134325100216821E-2</v>
      </c>
      <c r="M449" t="s">
        <v>27</v>
      </c>
      <c r="N449">
        <v>18</v>
      </c>
      <c r="O449" t="s">
        <v>28</v>
      </c>
      <c r="P449">
        <v>66028</v>
      </c>
      <c r="Q449">
        <v>55.5</v>
      </c>
      <c r="R449">
        <v>221.56</v>
      </c>
      <c r="S449">
        <v>0.26064238289366709</v>
      </c>
      <c r="T449">
        <v>-2.8275173305778441E-2</v>
      </c>
      <c r="U449">
        <v>-3.2145057036949698E-2</v>
      </c>
      <c r="V449">
        <v>3.8083439352861038E-3</v>
      </c>
      <c r="W449">
        <v>-3.5953400972235802E-2</v>
      </c>
      <c r="X449" s="19">
        <f t="shared" si="18"/>
        <v>46107</v>
      </c>
      <c r="Y449" s="19">
        <f t="shared" si="19"/>
        <v>46107</v>
      </c>
      <c r="Z449">
        <f t="array" ref="Z449">_xlfn.XLOOKUP(INT(X449),INT($AE$2:$AE$1000),$AG$2:$AG$1000,"")</f>
        <v>27.44</v>
      </c>
      <c r="AE449" s="19" t="e">
        <f t="shared" si="20"/>
        <v>#VALUE!</v>
      </c>
      <c r="AF449" s="19"/>
    </row>
    <row r="450" spans="1:32" x14ac:dyDescent="0.3">
      <c r="A450">
        <v>10</v>
      </c>
      <c r="B450" t="s">
        <v>32</v>
      </c>
      <c r="C450" t="s">
        <v>33</v>
      </c>
      <c r="D450">
        <v>66408</v>
      </c>
      <c r="E450">
        <v>55.14</v>
      </c>
      <c r="F450">
        <v>220.8</v>
      </c>
      <c r="G450">
        <v>55.145513999999999</v>
      </c>
      <c r="H450">
        <v>220.77791999999999</v>
      </c>
      <c r="I450">
        <v>-4.166335002827581</v>
      </c>
      <c r="J450">
        <v>0.90418154948810281</v>
      </c>
      <c r="K450">
        <v>0.18135654697134571</v>
      </c>
      <c r="L450">
        <v>-4.0950251335511903E-2</v>
      </c>
      <c r="M450" t="s">
        <v>29</v>
      </c>
      <c r="N450">
        <v>1</v>
      </c>
      <c r="O450" t="s">
        <v>28</v>
      </c>
      <c r="P450">
        <v>66409</v>
      </c>
      <c r="Q450">
        <v>55.25</v>
      </c>
      <c r="R450">
        <v>220.06</v>
      </c>
      <c r="S450">
        <v>-0.13808778420271969</v>
      </c>
      <c r="T450">
        <v>5.0252406155127098E-2</v>
      </c>
      <c r="U450">
        <v>4.6445078452733921E-2</v>
      </c>
      <c r="V450">
        <v>3.8083822626663079E-3</v>
      </c>
      <c r="W450">
        <v>4.2636696190067623E-2</v>
      </c>
      <c r="X450" s="19">
        <f t="shared" ref="X450:X513" si="21">WORKDAY(DATE(2025,8,2),INT(D450/390))</f>
        <v>46108</v>
      </c>
      <c r="Y450" s="19">
        <f t="shared" ref="Y450:Y513" si="22">WORKDAY(DATE(2025,8,2),INT(P450/390))</f>
        <v>46108</v>
      </c>
      <c r="Z450">
        <f t="array" ref="Z450">_xlfn.XLOOKUP(INT(X450),INT($AE$2:$AE$1000),$AG$2:$AG$1000,"")</f>
        <v>31.05</v>
      </c>
      <c r="AE450" s="19" t="e">
        <f t="shared" ref="AE450:AE513" si="23">IF(ISNUMBER(AF450),DATE(YEAR(AF450),DAY(AF450),MONTH(AF450)),DATE(RIGHT(AF450,4),LEFT(AF450,2),MID(AF450,4,2)))</f>
        <v>#VALUE!</v>
      </c>
      <c r="AF450" s="19"/>
    </row>
    <row r="451" spans="1:32" x14ac:dyDescent="0.3">
      <c r="A451">
        <v>10</v>
      </c>
      <c r="B451" t="s">
        <v>32</v>
      </c>
      <c r="C451" t="s">
        <v>33</v>
      </c>
      <c r="D451">
        <v>66538</v>
      </c>
      <c r="E451">
        <v>56.18</v>
      </c>
      <c r="F451">
        <v>222.24</v>
      </c>
      <c r="G451">
        <v>56.174382000000001</v>
      </c>
      <c r="H451">
        <v>222.262224</v>
      </c>
      <c r="I451">
        <v>4.0678942296955141</v>
      </c>
      <c r="J451">
        <v>0.90418154948810281</v>
      </c>
      <c r="K451">
        <v>-0.17799928800284801</v>
      </c>
      <c r="L451">
        <v>4.0684914933769932E-2</v>
      </c>
      <c r="M451" t="s">
        <v>27</v>
      </c>
      <c r="N451">
        <v>13</v>
      </c>
      <c r="O451" t="s">
        <v>28</v>
      </c>
      <c r="P451">
        <v>66551</v>
      </c>
      <c r="Q451">
        <v>56.18</v>
      </c>
      <c r="R451">
        <v>222.67</v>
      </c>
      <c r="S451">
        <v>0.38411161075719069</v>
      </c>
      <c r="T451">
        <v>1.749451342152019E-2</v>
      </c>
      <c r="U451">
        <v>1.3684400871202681E-2</v>
      </c>
      <c r="V451">
        <v>3.8083439352861038E-3</v>
      </c>
      <c r="W451">
        <v>9.8760569359165745E-3</v>
      </c>
      <c r="X451" s="19">
        <f t="shared" si="21"/>
        <v>46108</v>
      </c>
      <c r="Y451" s="19">
        <f t="shared" si="22"/>
        <v>46108</v>
      </c>
      <c r="Z451">
        <f t="array" ref="Z451">_xlfn.XLOOKUP(INT(X451),INT($AE$2:$AE$1000),$AG$2:$AG$1000,"")</f>
        <v>31.05</v>
      </c>
      <c r="AE451" s="19" t="e">
        <f t="shared" si="23"/>
        <v>#VALUE!</v>
      </c>
      <c r="AF451" s="19"/>
    </row>
    <row r="452" spans="1:32" x14ac:dyDescent="0.3">
      <c r="A452">
        <v>10</v>
      </c>
      <c r="B452" t="s">
        <v>87</v>
      </c>
      <c r="C452" t="s">
        <v>31</v>
      </c>
      <c r="D452">
        <v>63001</v>
      </c>
      <c r="E452">
        <v>112.87</v>
      </c>
      <c r="F452">
        <v>79.260000000000005</v>
      </c>
      <c r="G452">
        <v>112.85871299999999</v>
      </c>
      <c r="H452">
        <v>79.267926000000003</v>
      </c>
      <c r="I452">
        <v>5.2946506158531292</v>
      </c>
      <c r="J452">
        <v>0.49839208443631872</v>
      </c>
      <c r="K452">
        <v>-8.8597501550456273E-2</v>
      </c>
      <c r="L452">
        <v>6.2880656628352086E-2</v>
      </c>
      <c r="M452" t="s">
        <v>27</v>
      </c>
      <c r="N452">
        <v>23</v>
      </c>
      <c r="O452" t="s">
        <v>28</v>
      </c>
      <c r="P452">
        <v>63024</v>
      </c>
      <c r="Q452">
        <v>112.57</v>
      </c>
      <c r="R452">
        <v>79.06</v>
      </c>
      <c r="S452">
        <v>0.49109857265266199</v>
      </c>
      <c r="T452">
        <v>1.400311913946729E-2</v>
      </c>
      <c r="U452">
        <v>1.1010250508773861E-2</v>
      </c>
      <c r="V452">
        <v>2.996683847289525E-3</v>
      </c>
      <c r="W452">
        <v>8.0135666614843375E-3</v>
      </c>
      <c r="X452" s="19">
        <f t="shared" si="21"/>
        <v>46097</v>
      </c>
      <c r="Y452" s="19">
        <f t="shared" si="22"/>
        <v>46097</v>
      </c>
      <c r="Z452">
        <f t="array" ref="Z452">_xlfn.XLOOKUP(INT(X452),INT($AE$2:$AE$1000),$AG$2:$AG$1000,"")</f>
        <v>23.51</v>
      </c>
      <c r="AE452" s="19" t="e">
        <f t="shared" si="23"/>
        <v>#VALUE!</v>
      </c>
    </row>
    <row r="453" spans="1:32" x14ac:dyDescent="0.3">
      <c r="A453">
        <v>10</v>
      </c>
      <c r="B453" t="s">
        <v>87</v>
      </c>
      <c r="C453" t="s">
        <v>31</v>
      </c>
      <c r="D453">
        <v>63283</v>
      </c>
      <c r="E453">
        <v>112.4</v>
      </c>
      <c r="F453">
        <v>78.37</v>
      </c>
      <c r="G453">
        <v>112.38876</v>
      </c>
      <c r="H453">
        <v>78.377837</v>
      </c>
      <c r="I453">
        <v>4.5167653661641678</v>
      </c>
      <c r="J453">
        <v>0.49839208443631872</v>
      </c>
      <c r="K453">
        <v>-8.8967971530249101E-2</v>
      </c>
      <c r="L453">
        <v>6.3594753660369874E-2</v>
      </c>
      <c r="M453" t="s">
        <v>27</v>
      </c>
      <c r="N453">
        <v>13</v>
      </c>
      <c r="O453" t="s">
        <v>28</v>
      </c>
      <c r="P453">
        <v>63296</v>
      </c>
      <c r="Q453">
        <v>110.78</v>
      </c>
      <c r="R453">
        <v>77.894999999999996</v>
      </c>
      <c r="S453">
        <v>-0.47508950014589552</v>
      </c>
      <c r="T453">
        <v>0.11392060589032769</v>
      </c>
      <c r="U453">
        <v>0.1109412552836422</v>
      </c>
      <c r="V453">
        <v>2.996683847289525E-3</v>
      </c>
      <c r="W453">
        <v>0.10794457143635269</v>
      </c>
      <c r="X453" s="19">
        <f t="shared" si="21"/>
        <v>46098</v>
      </c>
      <c r="Y453" s="19">
        <f t="shared" si="22"/>
        <v>46098</v>
      </c>
      <c r="Z453">
        <f t="array" ref="Z453">_xlfn.XLOOKUP(INT(X453),INT($AE$2:$AE$1000),$AG$2:$AG$1000,"")</f>
        <v>22.37</v>
      </c>
      <c r="AE453" s="19" t="e">
        <f t="shared" si="23"/>
        <v>#VALUE!</v>
      </c>
    </row>
    <row r="454" spans="1:32" x14ac:dyDescent="0.3">
      <c r="A454">
        <v>10</v>
      </c>
      <c r="B454" t="s">
        <v>87</v>
      </c>
      <c r="C454" t="s">
        <v>31</v>
      </c>
      <c r="D454">
        <v>63431</v>
      </c>
      <c r="E454">
        <v>110</v>
      </c>
      <c r="F454">
        <v>77.930000000000007</v>
      </c>
      <c r="G454">
        <v>110.011</v>
      </c>
      <c r="H454">
        <v>77.922207000000014</v>
      </c>
      <c r="I454">
        <v>-4.7110931082644241</v>
      </c>
      <c r="J454">
        <v>0.49839208443631872</v>
      </c>
      <c r="K454">
        <v>9.0909090909090912E-2</v>
      </c>
      <c r="L454">
        <v>-6.3953815531415201E-2</v>
      </c>
      <c r="M454" t="s">
        <v>29</v>
      </c>
      <c r="N454">
        <v>19</v>
      </c>
      <c r="O454" t="s">
        <v>28</v>
      </c>
      <c r="P454">
        <v>63450</v>
      </c>
      <c r="Q454">
        <v>108.5</v>
      </c>
      <c r="R454">
        <v>77.715000000000003</v>
      </c>
      <c r="S454">
        <v>-0.49628742005254889</v>
      </c>
      <c r="T454">
        <v>-0.12261356602438191</v>
      </c>
      <c r="U454">
        <v>-0.12559533882258411</v>
      </c>
      <c r="V454">
        <v>2.9968844904557498E-3</v>
      </c>
      <c r="W454">
        <v>-0.12859222331303979</v>
      </c>
      <c r="X454" s="19">
        <f t="shared" si="21"/>
        <v>46098</v>
      </c>
      <c r="Y454" s="19">
        <f t="shared" si="22"/>
        <v>46098</v>
      </c>
      <c r="Z454">
        <f t="array" ref="Z454">_xlfn.XLOOKUP(INT(X454),INT($AE$2:$AE$1000),$AG$2:$AG$1000,"")</f>
        <v>22.37</v>
      </c>
      <c r="AE454" s="19" t="e">
        <f t="shared" si="23"/>
        <v>#VALUE!</v>
      </c>
    </row>
    <row r="455" spans="1:32" x14ac:dyDescent="0.3">
      <c r="A455">
        <v>10</v>
      </c>
      <c r="B455" t="s">
        <v>87</v>
      </c>
      <c r="C455" t="s">
        <v>31</v>
      </c>
      <c r="D455">
        <v>63514</v>
      </c>
      <c r="E455">
        <v>108.34</v>
      </c>
      <c r="F455">
        <v>77.87</v>
      </c>
      <c r="G455">
        <v>108.35083400000001</v>
      </c>
      <c r="H455">
        <v>77.862213000000011</v>
      </c>
      <c r="I455">
        <v>-3.514355339822576</v>
      </c>
      <c r="J455">
        <v>0.49839208443631872</v>
      </c>
      <c r="K455">
        <v>9.2302012183865606E-2</v>
      </c>
      <c r="L455">
        <v>-6.4003092903084452E-2</v>
      </c>
      <c r="M455" t="s">
        <v>29</v>
      </c>
      <c r="N455">
        <v>33</v>
      </c>
      <c r="O455" t="s">
        <v>28</v>
      </c>
      <c r="P455">
        <v>63547</v>
      </c>
      <c r="Q455">
        <v>107.88</v>
      </c>
      <c r="R455">
        <v>77.625</v>
      </c>
      <c r="S455">
        <v>-0.46953689489302192</v>
      </c>
      <c r="T455">
        <v>-2.6778167843322931E-2</v>
      </c>
      <c r="U455">
        <v>-2.976913804385917E-2</v>
      </c>
      <c r="V455">
        <v>2.9968844904557498E-3</v>
      </c>
      <c r="W455">
        <v>-3.2766022534314918E-2</v>
      </c>
      <c r="X455" s="19">
        <f t="shared" si="21"/>
        <v>46098</v>
      </c>
      <c r="Y455" s="19">
        <f t="shared" si="22"/>
        <v>46098</v>
      </c>
      <c r="Z455">
        <f t="array" ref="Z455">_xlfn.XLOOKUP(INT(X455),INT($AE$2:$AE$1000),$AG$2:$AG$1000,"")</f>
        <v>22.37</v>
      </c>
      <c r="AE455" s="19" t="e">
        <f t="shared" si="23"/>
        <v>#VALUE!</v>
      </c>
    </row>
    <row r="456" spans="1:32" x14ac:dyDescent="0.3">
      <c r="A456">
        <v>10</v>
      </c>
      <c r="B456" t="s">
        <v>87</v>
      </c>
      <c r="C456" t="s">
        <v>31</v>
      </c>
      <c r="D456">
        <v>63584</v>
      </c>
      <c r="E456">
        <v>108.04</v>
      </c>
      <c r="F456">
        <v>77.44</v>
      </c>
      <c r="G456">
        <v>108.029196</v>
      </c>
      <c r="H456">
        <v>77.447744</v>
      </c>
      <c r="I456">
        <v>3.5455149116766949</v>
      </c>
      <c r="J456">
        <v>0.49839208443631872</v>
      </c>
      <c r="K456">
        <v>-9.2558311736393922E-2</v>
      </c>
      <c r="L456">
        <v>6.4358481977830409E-2</v>
      </c>
      <c r="M456" t="s">
        <v>27</v>
      </c>
      <c r="N456">
        <v>22</v>
      </c>
      <c r="O456" t="s">
        <v>28</v>
      </c>
      <c r="P456">
        <v>63606</v>
      </c>
      <c r="Q456">
        <v>107.995</v>
      </c>
      <c r="R456">
        <v>77.3</v>
      </c>
      <c r="S456">
        <v>0.4568966884780914</v>
      </c>
      <c r="T456">
        <v>-4.8450634487584099E-3</v>
      </c>
      <c r="U456">
        <v>-7.8405300864801686E-3</v>
      </c>
      <c r="V456">
        <v>2.996683847289525E-3</v>
      </c>
      <c r="W456">
        <v>-1.083721393376969E-2</v>
      </c>
      <c r="X456" s="19">
        <f t="shared" si="21"/>
        <v>46099</v>
      </c>
      <c r="Y456" s="19">
        <f t="shared" si="22"/>
        <v>46099</v>
      </c>
      <c r="Z456">
        <f t="array" ref="Z456">_xlfn.XLOOKUP(INT(X456),INT($AE$2:$AE$1000),$AG$2:$AG$1000,"")</f>
        <v>25.09</v>
      </c>
      <c r="AE456" s="19" t="e">
        <f t="shared" si="23"/>
        <v>#VALUE!</v>
      </c>
    </row>
    <row r="457" spans="1:32" x14ac:dyDescent="0.3">
      <c r="A457">
        <v>10</v>
      </c>
      <c r="B457" t="s">
        <v>87</v>
      </c>
      <c r="C457" t="s">
        <v>31</v>
      </c>
      <c r="D457">
        <v>63673</v>
      </c>
      <c r="E457">
        <v>108.41</v>
      </c>
      <c r="F457">
        <v>77.7</v>
      </c>
      <c r="G457">
        <v>108.399159</v>
      </c>
      <c r="H457">
        <v>77.707769999999996</v>
      </c>
      <c r="I457">
        <v>3.8046813307920391</v>
      </c>
      <c r="J457">
        <v>0.49839208443631872</v>
      </c>
      <c r="K457">
        <v>-9.2242413061525697E-2</v>
      </c>
      <c r="L457">
        <v>6.4143125410079618E-2</v>
      </c>
      <c r="M457" t="s">
        <v>27</v>
      </c>
      <c r="N457">
        <v>9</v>
      </c>
      <c r="O457" t="s">
        <v>28</v>
      </c>
      <c r="P457">
        <v>63682</v>
      </c>
      <c r="Q457">
        <v>108.2</v>
      </c>
      <c r="R457">
        <v>77.83</v>
      </c>
      <c r="S457">
        <v>0.47408567609457819</v>
      </c>
      <c r="T457">
        <v>2.7709513046229879E-2</v>
      </c>
      <c r="U457">
        <v>2.4713832107401891E-2</v>
      </c>
      <c r="V457">
        <v>2.996683847289525E-3</v>
      </c>
      <c r="W457">
        <v>2.1717148260112371E-2</v>
      </c>
      <c r="X457" s="19">
        <f t="shared" si="21"/>
        <v>46099</v>
      </c>
      <c r="Y457" s="19">
        <f t="shared" si="22"/>
        <v>46099</v>
      </c>
      <c r="Z457">
        <f t="array" ref="Z457">_xlfn.XLOOKUP(INT(X457),INT($AE$2:$AE$1000),$AG$2:$AG$1000,"")</f>
        <v>25.09</v>
      </c>
      <c r="AE457" s="19" t="e">
        <f t="shared" si="23"/>
        <v>#VALUE!</v>
      </c>
    </row>
    <row r="458" spans="1:32" x14ac:dyDescent="0.3">
      <c r="A458">
        <v>10</v>
      </c>
      <c r="B458" t="s">
        <v>87</v>
      </c>
      <c r="C458" t="s">
        <v>31</v>
      </c>
      <c r="D458">
        <v>64065</v>
      </c>
      <c r="E458">
        <v>109.11499999999999</v>
      </c>
      <c r="F458">
        <v>77.66</v>
      </c>
      <c r="G458">
        <v>109.1040885</v>
      </c>
      <c r="H458">
        <v>77.667766</v>
      </c>
      <c r="I458">
        <v>4.8044159692502468</v>
      </c>
      <c r="J458">
        <v>0.49839208443631872</v>
      </c>
      <c r="K458">
        <v>-9.1646428080465567E-2</v>
      </c>
      <c r="L458">
        <v>6.4176163332000866E-2</v>
      </c>
      <c r="M458" t="s">
        <v>27</v>
      </c>
      <c r="N458">
        <v>38</v>
      </c>
      <c r="O458" t="s">
        <v>28</v>
      </c>
      <c r="P458">
        <v>64103</v>
      </c>
      <c r="Q458">
        <v>110.825</v>
      </c>
      <c r="R458">
        <v>78.47</v>
      </c>
      <c r="S458">
        <v>0.1108574037681099</v>
      </c>
      <c r="T458">
        <v>-0.10473269971867601</v>
      </c>
      <c r="U458">
        <v>-0.1077503536959797</v>
      </c>
      <c r="V458">
        <v>2.996683847289525E-3</v>
      </c>
      <c r="W458">
        <v>-0.1107470375432692</v>
      </c>
      <c r="X458" s="19">
        <f t="shared" si="21"/>
        <v>46100</v>
      </c>
      <c r="Y458" s="19">
        <f t="shared" si="22"/>
        <v>46100</v>
      </c>
      <c r="Z458">
        <f t="array" ref="Z458">_xlfn.XLOOKUP(INT(X458),INT($AE$2:$AE$1000),$AG$2:$AG$1000,"")</f>
        <v>24.06</v>
      </c>
      <c r="AE458" s="19" t="e">
        <f t="shared" si="23"/>
        <v>#VALUE!</v>
      </c>
    </row>
    <row r="459" spans="1:32" x14ac:dyDescent="0.3">
      <c r="A459">
        <v>10</v>
      </c>
      <c r="B459" t="s">
        <v>87</v>
      </c>
      <c r="C459" t="s">
        <v>31</v>
      </c>
      <c r="D459">
        <v>64255</v>
      </c>
      <c r="E459">
        <v>112.21</v>
      </c>
      <c r="F459">
        <v>79.239999999999995</v>
      </c>
      <c r="G459">
        <v>112.198779</v>
      </c>
      <c r="H459">
        <v>79.247923999999998</v>
      </c>
      <c r="I459">
        <v>3.5089078509499378</v>
      </c>
      <c r="J459">
        <v>0.49839208443631872</v>
      </c>
      <c r="K459">
        <v>-8.911861687906604E-2</v>
      </c>
      <c r="L459">
        <v>6.2896527566420835E-2</v>
      </c>
      <c r="M459" t="s">
        <v>27</v>
      </c>
      <c r="N459">
        <v>14</v>
      </c>
      <c r="O459" t="s">
        <v>28</v>
      </c>
      <c r="P459">
        <v>64269</v>
      </c>
      <c r="Q459">
        <v>111.715</v>
      </c>
      <c r="R459">
        <v>78.83</v>
      </c>
      <c r="S459">
        <v>0.41509840338201121</v>
      </c>
      <c r="T459">
        <v>1.8326139052904498E-2</v>
      </c>
      <c r="U459">
        <v>1.5336345013198331E-2</v>
      </c>
      <c r="V459">
        <v>2.996683847289525E-3</v>
      </c>
      <c r="W459">
        <v>1.2339661165908809E-2</v>
      </c>
      <c r="X459" s="19">
        <f t="shared" si="21"/>
        <v>46100</v>
      </c>
      <c r="Y459" s="19">
        <f t="shared" si="22"/>
        <v>46100</v>
      </c>
      <c r="Z459">
        <f t="array" ref="Z459">_xlfn.XLOOKUP(INT(X459),INT($AE$2:$AE$1000),$AG$2:$AG$1000,"")</f>
        <v>24.06</v>
      </c>
      <c r="AE459" s="19" t="e">
        <f t="shared" si="23"/>
        <v>#VALUE!</v>
      </c>
    </row>
    <row r="460" spans="1:32" x14ac:dyDescent="0.3">
      <c r="A460">
        <v>10</v>
      </c>
      <c r="B460" t="s">
        <v>87</v>
      </c>
      <c r="C460" t="s">
        <v>31</v>
      </c>
      <c r="D460">
        <v>64423</v>
      </c>
      <c r="E460">
        <v>112.92</v>
      </c>
      <c r="F460">
        <v>79.38</v>
      </c>
      <c r="G460">
        <v>112.931292</v>
      </c>
      <c r="H460">
        <v>79.372062</v>
      </c>
      <c r="I460">
        <v>-3.7398182608789061</v>
      </c>
      <c r="J460">
        <v>0.49839208443631872</v>
      </c>
      <c r="K460">
        <v>8.855827134254339E-2</v>
      </c>
      <c r="L460">
        <v>-6.2785598946374241E-2</v>
      </c>
      <c r="M460" t="s">
        <v>29</v>
      </c>
      <c r="N460">
        <v>2</v>
      </c>
      <c r="O460" t="s">
        <v>28</v>
      </c>
      <c r="P460">
        <v>64425</v>
      </c>
      <c r="Q460">
        <v>113.33</v>
      </c>
      <c r="R460">
        <v>79.52</v>
      </c>
      <c r="S460">
        <v>-0.33578625497563991</v>
      </c>
      <c r="T460">
        <v>2.751890739795006E-2</v>
      </c>
      <c r="U460">
        <v>2.4517613341568011E-2</v>
      </c>
      <c r="V460">
        <v>2.9968844904557498E-3</v>
      </c>
      <c r="W460">
        <v>2.152072885111226E-2</v>
      </c>
      <c r="X460" s="19">
        <f t="shared" si="21"/>
        <v>46101</v>
      </c>
      <c r="Y460" s="19">
        <f t="shared" si="22"/>
        <v>46101</v>
      </c>
      <c r="Z460">
        <f t="array" ref="Z460">_xlfn.XLOOKUP(INT(X460),INT($AE$2:$AE$1000),$AG$2:$AG$1000,"")</f>
        <v>26.78</v>
      </c>
      <c r="AE460" s="19" t="e">
        <f t="shared" si="23"/>
        <v>#VALUE!</v>
      </c>
    </row>
    <row r="461" spans="1:32" x14ac:dyDescent="0.3">
      <c r="A461">
        <v>10</v>
      </c>
      <c r="B461" t="s">
        <v>87</v>
      </c>
      <c r="C461" t="s">
        <v>31</v>
      </c>
      <c r="D461">
        <v>64455</v>
      </c>
      <c r="E461">
        <v>115.88</v>
      </c>
      <c r="F461">
        <v>81.23</v>
      </c>
      <c r="G461">
        <v>115.86841200000001</v>
      </c>
      <c r="H461">
        <v>81.238123000000002</v>
      </c>
      <c r="I461">
        <v>5.0537225371335879</v>
      </c>
      <c r="J461">
        <v>0.49839208443631872</v>
      </c>
      <c r="K461">
        <v>-8.6296168450120822E-2</v>
      </c>
      <c r="L461">
        <v>6.1355667171773813E-2</v>
      </c>
      <c r="M461" t="s">
        <v>27</v>
      </c>
      <c r="N461">
        <v>12</v>
      </c>
      <c r="O461" t="s">
        <v>28</v>
      </c>
      <c r="P461">
        <v>64467</v>
      </c>
      <c r="Q461">
        <v>115.34</v>
      </c>
      <c r="R461">
        <v>81.2</v>
      </c>
      <c r="S461">
        <v>0.26635262082629868</v>
      </c>
      <c r="T461">
        <v>4.4759260947911272E-2</v>
      </c>
      <c r="U461">
        <v>4.1767320839136222E-2</v>
      </c>
      <c r="V461">
        <v>2.996683847289525E-3</v>
      </c>
      <c r="W461">
        <v>3.8770636991846692E-2</v>
      </c>
      <c r="X461" s="19">
        <f t="shared" si="21"/>
        <v>46101</v>
      </c>
      <c r="Y461" s="19">
        <f t="shared" si="22"/>
        <v>46101</v>
      </c>
      <c r="Z461">
        <f t="array" ref="Z461">_xlfn.XLOOKUP(INT(X461),INT($AE$2:$AE$1000),$AG$2:$AG$1000,"")</f>
        <v>26.78</v>
      </c>
      <c r="AE461" s="19" t="e">
        <f t="shared" si="23"/>
        <v>#VALUE!</v>
      </c>
    </row>
    <row r="462" spans="1:32" x14ac:dyDescent="0.3">
      <c r="A462">
        <v>10</v>
      </c>
      <c r="B462" t="s">
        <v>87</v>
      </c>
      <c r="C462" t="s">
        <v>31</v>
      </c>
      <c r="D462">
        <v>64509</v>
      </c>
      <c r="E462">
        <v>114.86</v>
      </c>
      <c r="F462">
        <v>80.89</v>
      </c>
      <c r="G462">
        <v>114.871486</v>
      </c>
      <c r="H462">
        <v>80.881911000000002</v>
      </c>
      <c r="I462">
        <v>-4.1663046948451816</v>
      </c>
      <c r="J462">
        <v>0.49839208443631872</v>
      </c>
      <c r="K462">
        <v>8.7062510882813859E-2</v>
      </c>
      <c r="L462">
        <v>-6.1613559702845683E-2</v>
      </c>
      <c r="M462" t="s">
        <v>29</v>
      </c>
      <c r="N462">
        <v>10</v>
      </c>
      <c r="O462" t="s">
        <v>28</v>
      </c>
      <c r="P462">
        <v>64519</v>
      </c>
      <c r="Q462">
        <v>115.02</v>
      </c>
      <c r="R462">
        <v>80.650000000000006</v>
      </c>
      <c r="S462">
        <v>-0.38264550882781578</v>
      </c>
      <c r="T462">
        <v>2.871725606993257E-2</v>
      </c>
      <c r="U462">
        <v>2.5720557626318832E-2</v>
      </c>
      <c r="V462">
        <v>2.9968844904557498E-3</v>
      </c>
      <c r="W462">
        <v>2.2723673135863081E-2</v>
      </c>
      <c r="X462" s="19">
        <f t="shared" si="21"/>
        <v>46101</v>
      </c>
      <c r="Y462" s="19">
        <f t="shared" si="22"/>
        <v>46101</v>
      </c>
      <c r="Z462">
        <f t="array" ref="Z462">_xlfn.XLOOKUP(INT(X462),INT($AE$2:$AE$1000),$AG$2:$AG$1000,"")</f>
        <v>26.78</v>
      </c>
      <c r="AE462" s="19" t="e">
        <f t="shared" si="23"/>
        <v>#VALUE!</v>
      </c>
    </row>
    <row r="463" spans="1:32" x14ac:dyDescent="0.3">
      <c r="A463">
        <v>10</v>
      </c>
      <c r="B463" t="s">
        <v>87</v>
      </c>
      <c r="C463" t="s">
        <v>31</v>
      </c>
      <c r="D463">
        <v>64846</v>
      </c>
      <c r="E463">
        <v>112.62</v>
      </c>
      <c r="F463">
        <v>79.44</v>
      </c>
      <c r="G463">
        <v>112.63126200000001</v>
      </c>
      <c r="H463">
        <v>79.432056000000003</v>
      </c>
      <c r="I463">
        <v>-4.9725307633768772</v>
      </c>
      <c r="J463">
        <v>0.49839208443631872</v>
      </c>
      <c r="K463">
        <v>8.8794175102113293E-2</v>
      </c>
      <c r="L463">
        <v>-6.2738177799133779E-2</v>
      </c>
      <c r="M463" t="s">
        <v>29</v>
      </c>
      <c r="N463">
        <v>20</v>
      </c>
      <c r="O463" t="s">
        <v>28</v>
      </c>
      <c r="P463">
        <v>64866</v>
      </c>
      <c r="Q463">
        <v>112.83</v>
      </c>
      <c r="R463">
        <v>79.319999999999993</v>
      </c>
      <c r="S463">
        <v>-0.42538197962715613</v>
      </c>
      <c r="T463">
        <v>2.6175358107339571E-2</v>
      </c>
      <c r="U463">
        <v>2.317746211892446E-2</v>
      </c>
      <c r="V463">
        <v>2.9968844904557498E-3</v>
      </c>
      <c r="W463">
        <v>2.0180577628468709E-2</v>
      </c>
      <c r="X463" s="19">
        <f t="shared" si="21"/>
        <v>46104</v>
      </c>
      <c r="Y463" s="19">
        <f t="shared" si="22"/>
        <v>46104</v>
      </c>
      <c r="Z463">
        <f t="array" ref="Z463">_xlfn.XLOOKUP(INT(X463),INT($AE$2:$AE$1000),$AG$2:$AG$1000,"")</f>
        <v>26.15</v>
      </c>
      <c r="AE463" s="19" t="e">
        <f t="shared" si="23"/>
        <v>#VALUE!</v>
      </c>
    </row>
    <row r="464" spans="1:32" x14ac:dyDescent="0.3">
      <c r="A464">
        <v>10</v>
      </c>
      <c r="B464" t="s">
        <v>87</v>
      </c>
      <c r="C464" t="s">
        <v>31</v>
      </c>
      <c r="D464">
        <v>64912</v>
      </c>
      <c r="E464">
        <v>115.15</v>
      </c>
      <c r="F464">
        <v>80.53</v>
      </c>
      <c r="G464">
        <v>115.138485</v>
      </c>
      <c r="H464">
        <v>80.538053000000005</v>
      </c>
      <c r="I464">
        <v>3.83045172650053</v>
      </c>
      <c r="J464">
        <v>0.49839208443631872</v>
      </c>
      <c r="K464">
        <v>-8.6843247937472862E-2</v>
      </c>
      <c r="L464">
        <v>6.1888995956329157E-2</v>
      </c>
      <c r="M464" t="s">
        <v>27</v>
      </c>
      <c r="N464">
        <v>16</v>
      </c>
      <c r="O464" t="s">
        <v>28</v>
      </c>
      <c r="P464">
        <v>64928</v>
      </c>
      <c r="Q464">
        <v>114.51</v>
      </c>
      <c r="R464">
        <v>80.064999999999998</v>
      </c>
      <c r="S464">
        <v>0.48995125451580213</v>
      </c>
      <c r="T464">
        <v>2.6801295560289411E-2</v>
      </c>
      <c r="U464">
        <v>2.38129471975972E-2</v>
      </c>
      <c r="V464">
        <v>2.996683847289525E-3</v>
      </c>
      <c r="W464">
        <v>2.081626335030767E-2</v>
      </c>
      <c r="X464" s="19">
        <f t="shared" si="21"/>
        <v>46104</v>
      </c>
      <c r="Y464" s="19">
        <f t="shared" si="22"/>
        <v>46104</v>
      </c>
      <c r="Z464">
        <f t="array" ref="Z464">_xlfn.XLOOKUP(INT(X464),INT($AE$2:$AE$1000),$AG$2:$AG$1000,"")</f>
        <v>26.15</v>
      </c>
      <c r="AE464" s="19" t="e">
        <f t="shared" si="23"/>
        <v>#VALUE!</v>
      </c>
    </row>
    <row r="465" spans="1:32" x14ac:dyDescent="0.3">
      <c r="A465">
        <v>10</v>
      </c>
      <c r="B465" t="s">
        <v>87</v>
      </c>
      <c r="C465" t="s">
        <v>31</v>
      </c>
      <c r="D465">
        <v>65226</v>
      </c>
      <c r="E465">
        <v>115.16</v>
      </c>
      <c r="F465">
        <v>80.665000000000006</v>
      </c>
      <c r="G465">
        <v>115.148484</v>
      </c>
      <c r="H465">
        <v>80.673066500000004</v>
      </c>
      <c r="I465">
        <v>3.9150847248243998</v>
      </c>
      <c r="J465">
        <v>0.49839208443631872</v>
      </c>
      <c r="K465">
        <v>-8.6835706842653695E-2</v>
      </c>
      <c r="L465">
        <v>6.1785419256966297E-2</v>
      </c>
      <c r="M465" t="s">
        <v>27</v>
      </c>
      <c r="N465">
        <v>31</v>
      </c>
      <c r="O465" t="s">
        <v>28</v>
      </c>
      <c r="P465">
        <v>65257</v>
      </c>
      <c r="Q465">
        <v>116.56</v>
      </c>
      <c r="R465">
        <v>81.02</v>
      </c>
      <c r="S465">
        <v>0.22434060298941569</v>
      </c>
      <c r="T465">
        <v>-9.9636165743493266E-2</v>
      </c>
      <c r="U465">
        <v>-0.10264730029370719</v>
      </c>
      <c r="V465">
        <v>2.996683847289525E-3</v>
      </c>
      <c r="W465">
        <v>-0.1056439841409967</v>
      </c>
      <c r="X465" s="19">
        <f t="shared" si="21"/>
        <v>46105</v>
      </c>
      <c r="Y465" s="19">
        <f t="shared" si="22"/>
        <v>46105</v>
      </c>
      <c r="Z465">
        <f t="array" ref="Z465">_xlfn.XLOOKUP(INT(X465),INT($AE$2:$AE$1000),$AG$2:$AG$1000,"")</f>
        <v>26.95</v>
      </c>
      <c r="AE465" s="19" t="e">
        <f t="shared" si="23"/>
        <v>#VALUE!</v>
      </c>
    </row>
    <row r="466" spans="1:32" x14ac:dyDescent="0.3">
      <c r="A466">
        <v>10</v>
      </c>
      <c r="B466" t="s">
        <v>87</v>
      </c>
      <c r="C466" t="s">
        <v>31</v>
      </c>
      <c r="D466">
        <v>65975</v>
      </c>
      <c r="E466">
        <v>116.99</v>
      </c>
      <c r="F466">
        <v>81.64</v>
      </c>
      <c r="G466">
        <v>116.978301</v>
      </c>
      <c r="H466">
        <v>81.648163999999994</v>
      </c>
      <c r="I466">
        <v>3.7999332676635769</v>
      </c>
      <c r="J466">
        <v>0.49839208443631872</v>
      </c>
      <c r="K466">
        <v>-8.547739123001967E-2</v>
      </c>
      <c r="L466">
        <v>6.1047536065203169E-2</v>
      </c>
      <c r="M466" t="s">
        <v>27</v>
      </c>
      <c r="N466">
        <v>21</v>
      </c>
      <c r="O466" t="s">
        <v>28</v>
      </c>
      <c r="P466">
        <v>65996</v>
      </c>
      <c r="Q466">
        <v>116.99</v>
      </c>
      <c r="R466">
        <v>81.66</v>
      </c>
      <c r="S466">
        <v>0.28186310984338547</v>
      </c>
      <c r="T466">
        <v>1.22095072130382E-3</v>
      </c>
      <c r="U466">
        <v>-1.7759555426395349E-3</v>
      </c>
      <c r="V466">
        <v>2.996683847289525E-3</v>
      </c>
      <c r="W466">
        <v>-4.7726393899290599E-3</v>
      </c>
      <c r="X466" s="19">
        <f t="shared" si="21"/>
        <v>46107</v>
      </c>
      <c r="Y466" s="19">
        <f t="shared" si="22"/>
        <v>46107</v>
      </c>
      <c r="Z466">
        <f t="array" ref="Z466">_xlfn.XLOOKUP(INT(X466),INT($AE$2:$AE$1000),$AG$2:$AG$1000,"")</f>
        <v>27.44</v>
      </c>
      <c r="AE466" s="19" t="e">
        <f t="shared" si="23"/>
        <v>#VALUE!</v>
      </c>
      <c r="AF466" s="19"/>
    </row>
    <row r="467" spans="1:32" x14ac:dyDescent="0.3">
      <c r="A467">
        <v>10</v>
      </c>
      <c r="B467" t="s">
        <v>87</v>
      </c>
      <c r="C467" t="s">
        <v>31</v>
      </c>
      <c r="D467">
        <v>66002</v>
      </c>
      <c r="E467">
        <v>117.65</v>
      </c>
      <c r="F467">
        <v>82.03</v>
      </c>
      <c r="G467">
        <v>117.63823499999999</v>
      </c>
      <c r="H467">
        <v>82.038202999999996</v>
      </c>
      <c r="I467">
        <v>3.6050289037326828</v>
      </c>
      <c r="J467">
        <v>0.49839208443631872</v>
      </c>
      <c r="K467">
        <v>-8.4997875053123673E-2</v>
      </c>
      <c r="L467">
        <v>6.0757294213863063E-2</v>
      </c>
      <c r="M467" t="s">
        <v>27</v>
      </c>
      <c r="N467">
        <v>14</v>
      </c>
      <c r="O467" t="s">
        <v>28</v>
      </c>
      <c r="P467">
        <v>66016</v>
      </c>
      <c r="Q467">
        <v>117.14</v>
      </c>
      <c r="R467">
        <v>81.760000000000005</v>
      </c>
      <c r="S467">
        <v>-1.8382640805300741E-2</v>
      </c>
      <c r="T467">
        <v>2.6944446839350721E-2</v>
      </c>
      <c r="U467">
        <v>2.3953638009049989E-2</v>
      </c>
      <c r="V467">
        <v>2.996683847289525E-3</v>
      </c>
      <c r="W467">
        <v>2.0956954161760459E-2</v>
      </c>
      <c r="X467" s="19">
        <f t="shared" si="21"/>
        <v>46107</v>
      </c>
      <c r="Y467" s="19">
        <f t="shared" si="22"/>
        <v>46107</v>
      </c>
      <c r="Z467">
        <f t="array" ref="Z467">_xlfn.XLOOKUP(INT(X467),INT($AE$2:$AE$1000),$AG$2:$AG$1000,"")</f>
        <v>27.44</v>
      </c>
      <c r="AE467" s="19" t="e">
        <f t="shared" si="23"/>
        <v>#VALUE!</v>
      </c>
      <c r="AF467" s="19"/>
    </row>
    <row r="468" spans="1:32" x14ac:dyDescent="0.3">
      <c r="A468">
        <v>10</v>
      </c>
      <c r="B468" t="s">
        <v>87</v>
      </c>
      <c r="C468" t="s">
        <v>31</v>
      </c>
      <c r="D468">
        <v>66018</v>
      </c>
      <c r="E468">
        <v>122.65</v>
      </c>
      <c r="F468">
        <v>84.55</v>
      </c>
      <c r="G468">
        <v>122.63773500000001</v>
      </c>
      <c r="H468">
        <v>84.558454999999995</v>
      </c>
      <c r="I468">
        <v>5.1668922762923541</v>
      </c>
      <c r="J468">
        <v>0.49839208443631872</v>
      </c>
      <c r="K468">
        <v>-8.1532816958825929E-2</v>
      </c>
      <c r="L468">
        <v>5.8946432221918241E-2</v>
      </c>
      <c r="M468" t="s">
        <v>27</v>
      </c>
      <c r="N468">
        <v>23</v>
      </c>
      <c r="O468" t="s">
        <v>28</v>
      </c>
      <c r="P468">
        <v>66041</v>
      </c>
      <c r="Q468">
        <v>123.54</v>
      </c>
      <c r="R468">
        <v>85.07</v>
      </c>
      <c r="S468">
        <v>0.39546258562408287</v>
      </c>
      <c r="T468">
        <v>-4.191206233795787E-2</v>
      </c>
      <c r="U468">
        <v>-4.4919168142015027E-2</v>
      </c>
      <c r="V468">
        <v>2.996683847289525E-3</v>
      </c>
      <c r="W468">
        <v>-4.7915851989304557E-2</v>
      </c>
      <c r="X468" s="19">
        <f t="shared" si="21"/>
        <v>46107</v>
      </c>
      <c r="Y468" s="19">
        <f t="shared" si="22"/>
        <v>46107</v>
      </c>
      <c r="Z468">
        <f t="array" ref="Z468">_xlfn.XLOOKUP(INT(X468),INT($AE$2:$AE$1000),$AG$2:$AG$1000,"")</f>
        <v>27.44</v>
      </c>
      <c r="AE468" s="19" t="e">
        <f t="shared" si="23"/>
        <v>#VALUE!</v>
      </c>
      <c r="AF468" s="19"/>
    </row>
    <row r="469" spans="1:32" x14ac:dyDescent="0.3">
      <c r="A469">
        <v>10</v>
      </c>
      <c r="B469" t="s">
        <v>87</v>
      </c>
      <c r="C469" t="s">
        <v>31</v>
      </c>
      <c r="D469">
        <v>66411</v>
      </c>
      <c r="E469">
        <v>122.935</v>
      </c>
      <c r="F469">
        <v>85.094999999999999</v>
      </c>
      <c r="G469">
        <v>122.9472935</v>
      </c>
      <c r="H469">
        <v>85.086490499999996</v>
      </c>
      <c r="I469">
        <v>-3.889256760968657</v>
      </c>
      <c r="J469">
        <v>0.49839208443631872</v>
      </c>
      <c r="K469">
        <v>8.1343799568877856E-2</v>
      </c>
      <c r="L469">
        <v>-5.8568903512112191E-2</v>
      </c>
      <c r="M469" t="s">
        <v>29</v>
      </c>
      <c r="N469">
        <v>17</v>
      </c>
      <c r="O469" t="s">
        <v>28</v>
      </c>
      <c r="P469">
        <v>66428</v>
      </c>
      <c r="Q469">
        <v>123.045</v>
      </c>
      <c r="R469">
        <v>84.905000000000001</v>
      </c>
      <c r="S469">
        <v>-0.38369648927039962</v>
      </c>
      <c r="T469">
        <v>2.0075909619877701E-2</v>
      </c>
      <c r="U469">
        <v>1.7079343478376981E-2</v>
      </c>
      <c r="V469">
        <v>2.9968844904557498E-3</v>
      </c>
      <c r="W469">
        <v>1.408245898792123E-2</v>
      </c>
      <c r="X469" s="19">
        <f t="shared" si="21"/>
        <v>46108</v>
      </c>
      <c r="Y469" s="19">
        <f t="shared" si="22"/>
        <v>46108</v>
      </c>
      <c r="Z469">
        <f t="array" ref="Z469">_xlfn.XLOOKUP(INT(X469),INT($AE$2:$AE$1000),$AG$2:$AG$1000,"")</f>
        <v>31.05</v>
      </c>
      <c r="AE469" s="19" t="e">
        <f t="shared" si="23"/>
        <v>#VALUE!</v>
      </c>
      <c r="AF469" s="19"/>
    </row>
    <row r="470" spans="1:32" x14ac:dyDescent="0.3">
      <c r="A470">
        <v>10</v>
      </c>
      <c r="B470" t="s">
        <v>30</v>
      </c>
      <c r="C470" t="s">
        <v>31</v>
      </c>
      <c r="D470">
        <v>63001</v>
      </c>
      <c r="E470">
        <v>48.44</v>
      </c>
      <c r="F470">
        <v>79.260000000000005</v>
      </c>
      <c r="G470">
        <v>48.444844000000003</v>
      </c>
      <c r="H470">
        <v>79.252074000000007</v>
      </c>
      <c r="I470">
        <v>-5.2946460357740284</v>
      </c>
      <c r="J470">
        <v>0.77878009241861823</v>
      </c>
      <c r="K470">
        <v>0.20644095788604461</v>
      </c>
      <c r="L470">
        <v>-9.8256383095964947E-2</v>
      </c>
      <c r="M470" t="s">
        <v>29</v>
      </c>
      <c r="N470">
        <v>23</v>
      </c>
      <c r="O470" t="s">
        <v>28</v>
      </c>
      <c r="P470">
        <v>63024</v>
      </c>
      <c r="Q470">
        <v>48.31</v>
      </c>
      <c r="R470">
        <v>79.06</v>
      </c>
      <c r="S470">
        <v>-0.49165118888388748</v>
      </c>
      <c r="T470">
        <v>-7.1860479059915917E-3</v>
      </c>
      <c r="U470">
        <v>-1.0738959230715E-2</v>
      </c>
      <c r="V470">
        <v>3.5576044288187529E-3</v>
      </c>
      <c r="W470">
        <v>-1.4296563659533751E-2</v>
      </c>
      <c r="X470" s="19">
        <f t="shared" si="21"/>
        <v>46097</v>
      </c>
      <c r="Y470" s="19">
        <f t="shared" si="22"/>
        <v>46097</v>
      </c>
      <c r="Z470">
        <f t="array" ref="Z470">_xlfn.XLOOKUP(INT(X470),INT($AE$2:$AE$1000),$AG$2:$AG$1000,"")</f>
        <v>23.51</v>
      </c>
      <c r="AE470" s="19" t="e">
        <f t="shared" si="23"/>
        <v>#VALUE!</v>
      </c>
      <c r="AF470" s="19"/>
    </row>
    <row r="471" spans="1:32" x14ac:dyDescent="0.3">
      <c r="A471">
        <v>10</v>
      </c>
      <c r="B471" t="s">
        <v>30</v>
      </c>
      <c r="C471" t="s">
        <v>31</v>
      </c>
      <c r="D471">
        <v>63673</v>
      </c>
      <c r="E471">
        <v>47.71</v>
      </c>
      <c r="F471">
        <v>77.7</v>
      </c>
      <c r="G471">
        <v>47.705229000000003</v>
      </c>
      <c r="H471">
        <v>77.707769999999996</v>
      </c>
      <c r="I471">
        <v>5.0666340482938708</v>
      </c>
      <c r="J471">
        <v>0.77878009241861823</v>
      </c>
      <c r="K471">
        <v>-0.20959966464053659</v>
      </c>
      <c r="L471">
        <v>0.1002290981233743</v>
      </c>
      <c r="M471" t="s">
        <v>27</v>
      </c>
      <c r="N471">
        <v>14</v>
      </c>
      <c r="O471" t="s">
        <v>28</v>
      </c>
      <c r="P471">
        <v>63687</v>
      </c>
      <c r="Q471">
        <v>47.42</v>
      </c>
      <c r="R471">
        <v>77.625</v>
      </c>
      <c r="S471">
        <v>0.45390169180104117</v>
      </c>
      <c r="T471">
        <v>5.326672038650207E-2</v>
      </c>
      <c r="U471">
        <v>4.971599031017649E-2</v>
      </c>
      <c r="V471">
        <v>3.55751594085572E-3</v>
      </c>
      <c r="W471">
        <v>4.6158474369320773E-2</v>
      </c>
      <c r="X471" s="19">
        <f t="shared" si="21"/>
        <v>46099</v>
      </c>
      <c r="Y471" s="19">
        <f t="shared" si="22"/>
        <v>46099</v>
      </c>
      <c r="Z471">
        <f t="array" ref="Z471">_xlfn.XLOOKUP(INT(X471),INT($AE$2:$AE$1000),$AG$2:$AG$1000,"")</f>
        <v>25.09</v>
      </c>
      <c r="AE471" s="19" t="e">
        <f t="shared" si="23"/>
        <v>#VALUE!</v>
      </c>
      <c r="AF471" s="19"/>
    </row>
    <row r="472" spans="1:32" x14ac:dyDescent="0.3">
      <c r="A472">
        <v>10</v>
      </c>
      <c r="B472" t="s">
        <v>30</v>
      </c>
      <c r="C472" t="s">
        <v>31</v>
      </c>
      <c r="D472">
        <v>64064</v>
      </c>
      <c r="E472">
        <v>47.67</v>
      </c>
      <c r="F472">
        <v>76.805000000000007</v>
      </c>
      <c r="G472">
        <v>47.665233000000001</v>
      </c>
      <c r="H472">
        <v>76.812680499999999</v>
      </c>
      <c r="I472">
        <v>4.6487470474659931</v>
      </c>
      <c r="J472">
        <v>0.77878009241861823</v>
      </c>
      <c r="K472">
        <v>-0.20977554017201591</v>
      </c>
      <c r="L472">
        <v>0.1013970564961419</v>
      </c>
      <c r="M472" t="s">
        <v>27</v>
      </c>
      <c r="N472">
        <v>15</v>
      </c>
      <c r="O472" t="s">
        <v>28</v>
      </c>
      <c r="P472">
        <v>64079</v>
      </c>
      <c r="Q472">
        <v>47.895000000000003</v>
      </c>
      <c r="R472">
        <v>78.424999999999997</v>
      </c>
      <c r="S472">
        <v>-0.20247447759172121</v>
      </c>
      <c r="T472">
        <v>0.1170637349850451</v>
      </c>
      <c r="U472">
        <v>0.1134850285274024</v>
      </c>
      <c r="V472">
        <v>3.5575159408557208E-3</v>
      </c>
      <c r="W472">
        <v>0.10992751258654671</v>
      </c>
      <c r="X472" s="19">
        <f t="shared" si="21"/>
        <v>46100</v>
      </c>
      <c r="Y472" s="19">
        <f t="shared" si="22"/>
        <v>46100</v>
      </c>
      <c r="Z472">
        <f t="array" ref="Z472">_xlfn.XLOOKUP(INT(X472),INT($AE$2:$AE$1000),$AG$2:$AG$1000,"")</f>
        <v>24.06</v>
      </c>
      <c r="AE472" s="19" t="e">
        <f t="shared" si="23"/>
        <v>#VALUE!</v>
      </c>
      <c r="AF472" s="19"/>
    </row>
    <row r="473" spans="1:32" x14ac:dyDescent="0.3">
      <c r="A473">
        <v>10</v>
      </c>
      <c r="B473" t="s">
        <v>30</v>
      </c>
      <c r="C473" t="s">
        <v>31</v>
      </c>
      <c r="D473">
        <v>64454</v>
      </c>
      <c r="E473">
        <v>49.68</v>
      </c>
      <c r="F473">
        <v>79.605000000000004</v>
      </c>
      <c r="G473">
        <v>49.675032000000002</v>
      </c>
      <c r="H473">
        <v>79.6129605</v>
      </c>
      <c r="I473">
        <v>5.2462406063212397</v>
      </c>
      <c r="J473">
        <v>0.77878009241861823</v>
      </c>
      <c r="K473">
        <v>-0.20128824476650559</v>
      </c>
      <c r="L473">
        <v>9.7830549892421112E-2</v>
      </c>
      <c r="M473" t="s">
        <v>27</v>
      </c>
      <c r="N473">
        <v>5</v>
      </c>
      <c r="O473" t="s">
        <v>28</v>
      </c>
      <c r="P473">
        <v>64459</v>
      </c>
      <c r="Q473">
        <v>49.64</v>
      </c>
      <c r="R473">
        <v>81.23</v>
      </c>
      <c r="S473">
        <v>0.45772002083047653</v>
      </c>
      <c r="T473">
        <v>0.16702617336584441</v>
      </c>
      <c r="U473">
        <v>0.1634535208696295</v>
      </c>
      <c r="V473">
        <v>3.5575159408557208E-3</v>
      </c>
      <c r="W473">
        <v>0.15989600492877379</v>
      </c>
      <c r="X473" s="19">
        <f t="shared" si="21"/>
        <v>46101</v>
      </c>
      <c r="Y473" s="19">
        <f t="shared" si="22"/>
        <v>46101</v>
      </c>
      <c r="Z473">
        <f t="array" ref="Z473">_xlfn.XLOOKUP(INT(X473),INT($AE$2:$AE$1000),$AG$2:$AG$1000,"")</f>
        <v>26.78</v>
      </c>
      <c r="AE473" s="19" t="e">
        <f t="shared" si="23"/>
        <v>#VALUE!</v>
      </c>
      <c r="AF473" s="19"/>
    </row>
    <row r="474" spans="1:32" x14ac:dyDescent="0.3">
      <c r="A474">
        <v>10</v>
      </c>
      <c r="B474" t="s">
        <v>30</v>
      </c>
      <c r="C474" t="s">
        <v>31</v>
      </c>
      <c r="D474">
        <v>65237</v>
      </c>
      <c r="E474">
        <v>49.63</v>
      </c>
      <c r="F474">
        <v>80.984999999999999</v>
      </c>
      <c r="G474">
        <v>49.625037000000013</v>
      </c>
      <c r="H474">
        <v>80.993098500000002</v>
      </c>
      <c r="I474">
        <v>4.1397509245378501</v>
      </c>
      <c r="J474">
        <v>0.77878009241861823</v>
      </c>
      <c r="K474">
        <v>-0.20149103364900259</v>
      </c>
      <c r="L474">
        <v>9.6163498477325221E-2</v>
      </c>
      <c r="M474" t="s">
        <v>27</v>
      </c>
      <c r="N474">
        <v>17</v>
      </c>
      <c r="O474" t="s">
        <v>28</v>
      </c>
      <c r="P474">
        <v>65254</v>
      </c>
      <c r="Q474">
        <v>49.77</v>
      </c>
      <c r="R474">
        <v>81.254999999999995</v>
      </c>
      <c r="S474">
        <v>0.16707838628940369</v>
      </c>
      <c r="T474">
        <v>-2.2446001219830519E-3</v>
      </c>
      <c r="U474">
        <v>-5.8075775957496826E-3</v>
      </c>
      <c r="V474">
        <v>3.5575159408557208E-3</v>
      </c>
      <c r="W474">
        <v>-9.3650935366054039E-3</v>
      </c>
      <c r="X474" s="19">
        <f t="shared" si="21"/>
        <v>46105</v>
      </c>
      <c r="Y474" s="19">
        <f t="shared" si="22"/>
        <v>46105</v>
      </c>
      <c r="Z474">
        <f t="array" ref="Z474">_xlfn.XLOOKUP(INT(X474),INT($AE$2:$AE$1000),$AG$2:$AG$1000,"")</f>
        <v>26.95</v>
      </c>
      <c r="AE474" s="19" t="e">
        <f t="shared" si="23"/>
        <v>#VALUE!</v>
      </c>
    </row>
    <row r="475" spans="1:32" x14ac:dyDescent="0.3">
      <c r="A475">
        <v>10</v>
      </c>
      <c r="B475" t="s">
        <v>30</v>
      </c>
      <c r="C475" t="s">
        <v>31</v>
      </c>
      <c r="D475">
        <v>65622</v>
      </c>
      <c r="E475">
        <v>50.11</v>
      </c>
      <c r="F475">
        <v>81.674999999999997</v>
      </c>
      <c r="G475">
        <v>50.104989000000003</v>
      </c>
      <c r="H475">
        <v>81.683167499999996</v>
      </c>
      <c r="I475">
        <v>4.1218915554736801</v>
      </c>
      <c r="J475">
        <v>0.77878009241861823</v>
      </c>
      <c r="K475">
        <v>-0.1995609658750748</v>
      </c>
      <c r="L475">
        <v>9.5351097939224763E-2</v>
      </c>
      <c r="M475" t="s">
        <v>27</v>
      </c>
      <c r="N475">
        <v>7</v>
      </c>
      <c r="O475" t="s">
        <v>28</v>
      </c>
      <c r="P475">
        <v>65629</v>
      </c>
      <c r="Q475">
        <v>49.85</v>
      </c>
      <c r="R475">
        <v>81.319999999999993</v>
      </c>
      <c r="S475">
        <v>-4.4318168182983973E-2</v>
      </c>
      <c r="T475">
        <v>1.803621135909388E-2</v>
      </c>
      <c r="U475">
        <v>1.448722472334724E-2</v>
      </c>
      <c r="V475">
        <v>3.5575159408557208E-3</v>
      </c>
      <c r="W475">
        <v>1.0929708782491519E-2</v>
      </c>
      <c r="X475" s="19">
        <f t="shared" si="21"/>
        <v>46106</v>
      </c>
      <c r="Y475" s="19">
        <f t="shared" si="22"/>
        <v>46106</v>
      </c>
      <c r="Z475">
        <f t="array" ref="Z475">_xlfn.XLOOKUP(INT(X475),INT($AE$2:$AE$1000),$AG$2:$AG$1000,"")</f>
        <v>25.33</v>
      </c>
      <c r="AE475" s="19" t="e">
        <f t="shared" si="23"/>
        <v>#VALUE!</v>
      </c>
    </row>
    <row r="476" spans="1:32" x14ac:dyDescent="0.3">
      <c r="A476">
        <v>10</v>
      </c>
      <c r="B476" t="s">
        <v>30</v>
      </c>
      <c r="C476" t="s">
        <v>31</v>
      </c>
      <c r="D476">
        <v>66018</v>
      </c>
      <c r="E476">
        <v>52.234999999999999</v>
      </c>
      <c r="F476">
        <v>84.55</v>
      </c>
      <c r="G476">
        <v>52.2297765</v>
      </c>
      <c r="H476">
        <v>84.558454999999995</v>
      </c>
      <c r="I476">
        <v>5.2082083059189719</v>
      </c>
      <c r="J476">
        <v>0.77878009241861823</v>
      </c>
      <c r="K476">
        <v>-0.19144251938355511</v>
      </c>
      <c r="L476">
        <v>9.2108822284875019E-2</v>
      </c>
      <c r="M476" t="s">
        <v>27</v>
      </c>
      <c r="N476">
        <v>9</v>
      </c>
      <c r="O476" t="s">
        <v>28</v>
      </c>
      <c r="P476">
        <v>66027</v>
      </c>
      <c r="Q476">
        <v>52.085000000000001</v>
      </c>
      <c r="R476">
        <v>85.26</v>
      </c>
      <c r="S476">
        <v>0.23387035755370189</v>
      </c>
      <c r="T476">
        <v>9.4113641729794986E-2</v>
      </c>
      <c r="U476">
        <v>9.055241345636586E-2</v>
      </c>
      <c r="V476">
        <v>3.5575159408557208E-3</v>
      </c>
      <c r="W476">
        <v>8.6994897515510136E-2</v>
      </c>
      <c r="X476" s="19">
        <f t="shared" si="21"/>
        <v>46107</v>
      </c>
      <c r="Y476" s="19">
        <f t="shared" si="22"/>
        <v>46107</v>
      </c>
      <c r="Z476">
        <f t="array" ref="Z476">_xlfn.XLOOKUP(INT(X476),INT($AE$2:$AE$1000),$AG$2:$AG$1000,"")</f>
        <v>27.44</v>
      </c>
      <c r="AE476" s="19" t="e">
        <f t="shared" si="23"/>
        <v>#VALUE!</v>
      </c>
    </row>
    <row r="477" spans="1:32" x14ac:dyDescent="0.3">
      <c r="A477">
        <v>10</v>
      </c>
      <c r="B477" t="s">
        <v>30</v>
      </c>
      <c r="C477" t="s">
        <v>31</v>
      </c>
      <c r="D477">
        <v>66307</v>
      </c>
      <c r="E477">
        <v>51.844999999999999</v>
      </c>
      <c r="F477">
        <v>85.015000000000001</v>
      </c>
      <c r="G477">
        <v>51.850184499999997</v>
      </c>
      <c r="H477">
        <v>85.006498500000006</v>
      </c>
      <c r="I477">
        <v>-3.889201928504356</v>
      </c>
      <c r="J477">
        <v>0.77878009241861823</v>
      </c>
      <c r="K477">
        <v>0.19288263091908581</v>
      </c>
      <c r="L477">
        <v>-9.1605021751293092E-2</v>
      </c>
      <c r="M477" t="s">
        <v>29</v>
      </c>
      <c r="N477">
        <v>3</v>
      </c>
      <c r="O477" t="s">
        <v>28</v>
      </c>
      <c r="P477">
        <v>66310</v>
      </c>
      <c r="Q477">
        <v>51.835000000000001</v>
      </c>
      <c r="R477">
        <v>84.82</v>
      </c>
      <c r="S477">
        <v>-0.26030110744192658</v>
      </c>
      <c r="T477">
        <v>1.5934152932312359E-2</v>
      </c>
      <c r="U477">
        <v>1.2378571928030709E-2</v>
      </c>
      <c r="V477">
        <v>3.5576044288187529E-3</v>
      </c>
      <c r="W477">
        <v>8.820967499211952E-3</v>
      </c>
      <c r="X477" s="19">
        <f t="shared" si="21"/>
        <v>46108</v>
      </c>
      <c r="Y477" s="19">
        <f t="shared" si="22"/>
        <v>46108</v>
      </c>
      <c r="Z477">
        <f t="array" ref="Z477">_xlfn.XLOOKUP(INT(X477),INT($AE$2:$AE$1000),$AG$2:$AG$1000,"")</f>
        <v>31.05</v>
      </c>
      <c r="AE477" s="19" t="e">
        <f t="shared" si="23"/>
        <v>#VALUE!</v>
      </c>
    </row>
    <row r="478" spans="1:32" x14ac:dyDescent="0.3">
      <c r="A478">
        <v>10</v>
      </c>
      <c r="B478" t="s">
        <v>30</v>
      </c>
      <c r="C478" t="s">
        <v>31</v>
      </c>
      <c r="D478">
        <v>66408</v>
      </c>
      <c r="E478">
        <v>51.8</v>
      </c>
      <c r="F478">
        <v>84.7</v>
      </c>
      <c r="G478">
        <v>51.80518</v>
      </c>
      <c r="H478">
        <v>84.69153</v>
      </c>
      <c r="I478">
        <v>-4.0248755388961044</v>
      </c>
      <c r="J478">
        <v>0.77878009241861823</v>
      </c>
      <c r="K478">
        <v>0.19305019305019311</v>
      </c>
      <c r="L478">
        <v>-9.1945701584252443E-2</v>
      </c>
      <c r="M478" t="s">
        <v>29</v>
      </c>
      <c r="N478">
        <v>18</v>
      </c>
      <c r="O478" t="s">
        <v>28</v>
      </c>
      <c r="P478">
        <v>66426</v>
      </c>
      <c r="Q478">
        <v>51.975000000000001</v>
      </c>
      <c r="R478">
        <v>84.89</v>
      </c>
      <c r="S478">
        <v>4.2043145833105443E-2</v>
      </c>
      <c r="T478">
        <v>1.6314100482776851E-2</v>
      </c>
      <c r="U478">
        <v>1.275141495123034E-2</v>
      </c>
      <c r="V478">
        <v>3.5576044288187529E-3</v>
      </c>
      <c r="W478">
        <v>9.1938105224115864E-3</v>
      </c>
      <c r="X478" s="19">
        <f t="shared" si="21"/>
        <v>46108</v>
      </c>
      <c r="Y478" s="19">
        <f t="shared" si="22"/>
        <v>46108</v>
      </c>
      <c r="Z478">
        <f t="array" ref="Z478">_xlfn.XLOOKUP(INT(X478),INT($AE$2:$AE$1000),$AG$2:$AG$1000,"")</f>
        <v>31.05</v>
      </c>
      <c r="AE478" s="19" t="e">
        <f t="shared" si="23"/>
        <v>#VALUE!</v>
      </c>
    </row>
    <row r="479" spans="1:32" x14ac:dyDescent="0.3">
      <c r="A479">
        <v>10</v>
      </c>
      <c r="B479" t="s">
        <v>30</v>
      </c>
      <c r="C479" t="s">
        <v>31</v>
      </c>
      <c r="D479">
        <v>66798</v>
      </c>
      <c r="E479">
        <v>52.56</v>
      </c>
      <c r="F479">
        <v>86.02</v>
      </c>
      <c r="G479">
        <v>52.565256000000012</v>
      </c>
      <c r="H479">
        <v>86.011398</v>
      </c>
      <c r="I479">
        <v>-4.5165147409446318</v>
      </c>
      <c r="J479">
        <v>0.77878009241861823</v>
      </c>
      <c r="K479">
        <v>0.19025875190258751</v>
      </c>
      <c r="L479">
        <v>-9.0534770102141157E-2</v>
      </c>
      <c r="M479" t="s">
        <v>29</v>
      </c>
      <c r="N479">
        <v>2</v>
      </c>
      <c r="O479" t="s">
        <v>28</v>
      </c>
      <c r="P479">
        <v>66800</v>
      </c>
      <c r="Q479">
        <v>52.54</v>
      </c>
      <c r="R479">
        <v>85.56</v>
      </c>
      <c r="S479">
        <v>3.7856189401151659E-2</v>
      </c>
      <c r="T479">
        <v>3.7840819208932022E-2</v>
      </c>
      <c r="U479">
        <v>3.4287804141023073E-2</v>
      </c>
      <c r="V479">
        <v>3.5576044288187529E-3</v>
      </c>
      <c r="W479">
        <v>3.073019971220432E-2</v>
      </c>
      <c r="X479" s="19">
        <f t="shared" si="21"/>
        <v>46111</v>
      </c>
      <c r="Y479" s="19">
        <f t="shared" si="22"/>
        <v>46111</v>
      </c>
      <c r="Z479">
        <f t="array" ref="Z479">_xlfn.XLOOKUP(INT(X479),INT($AE$2:$AE$1000),$AG$2:$AG$1000,"")</f>
        <v>30.61</v>
      </c>
      <c r="AE479" s="19" t="e">
        <f t="shared" si="23"/>
        <v>#VALUE!</v>
      </c>
    </row>
    <row r="480" spans="1:32" x14ac:dyDescent="0.3">
      <c r="A480">
        <v>11</v>
      </c>
      <c r="B480" t="s">
        <v>25</v>
      </c>
      <c r="C480" t="s">
        <v>34</v>
      </c>
      <c r="D480">
        <v>66901</v>
      </c>
      <c r="E480">
        <v>309.49</v>
      </c>
      <c r="F480">
        <v>50.06</v>
      </c>
      <c r="G480">
        <v>309.45905099999999</v>
      </c>
      <c r="H480">
        <v>50.065005999999997</v>
      </c>
      <c r="I480">
        <v>5.2946505529734447</v>
      </c>
      <c r="J480">
        <v>0.47149546609780307</v>
      </c>
      <c r="K480">
        <v>-3.2311221687292002E-2</v>
      </c>
      <c r="L480">
        <v>9.4186069935637856E-2</v>
      </c>
      <c r="M480" t="s">
        <v>27</v>
      </c>
      <c r="N480">
        <v>23</v>
      </c>
      <c r="O480" t="s">
        <v>28</v>
      </c>
      <c r="P480">
        <v>66924</v>
      </c>
      <c r="Q480">
        <v>309.08</v>
      </c>
      <c r="R480">
        <v>50.02</v>
      </c>
      <c r="S480">
        <v>0.49116606733545831</v>
      </c>
      <c r="T480">
        <v>9.4801580943650928E-3</v>
      </c>
      <c r="U480">
        <v>6.5388686665374621E-3</v>
      </c>
      <c r="V480">
        <v>2.9428852312888259E-3</v>
      </c>
      <c r="W480">
        <v>3.5959834352486358E-3</v>
      </c>
      <c r="X480" s="19">
        <f t="shared" si="21"/>
        <v>46111</v>
      </c>
      <c r="Y480" s="19">
        <f t="shared" si="22"/>
        <v>46111</v>
      </c>
      <c r="Z480">
        <f t="array" ref="Z480">_xlfn.XLOOKUP(INT(X480),INT($AE$2:$AE$1000),$AG$2:$AG$1000,"")</f>
        <v>30.61</v>
      </c>
      <c r="AE480" s="19" t="e">
        <f t="shared" si="23"/>
        <v>#VALUE!</v>
      </c>
    </row>
    <row r="481" spans="1:32" x14ac:dyDescent="0.3">
      <c r="A481">
        <v>11</v>
      </c>
      <c r="B481" t="s">
        <v>25</v>
      </c>
      <c r="C481" t="s">
        <v>34</v>
      </c>
      <c r="D481">
        <v>67194</v>
      </c>
      <c r="E481">
        <v>306.95</v>
      </c>
      <c r="F481">
        <v>49.19</v>
      </c>
      <c r="G481">
        <v>306.98069500000003</v>
      </c>
      <c r="H481">
        <v>49.185080999999997</v>
      </c>
      <c r="I481">
        <v>-4.9100708769204129</v>
      </c>
      <c r="J481">
        <v>0.47149546609780307</v>
      </c>
      <c r="K481">
        <v>3.2578595862518329E-2</v>
      </c>
      <c r="L481">
        <v>-9.5851893900752827E-2</v>
      </c>
      <c r="M481" t="s">
        <v>29</v>
      </c>
      <c r="N481">
        <v>18</v>
      </c>
      <c r="O481" t="s">
        <v>28</v>
      </c>
      <c r="P481">
        <v>67212</v>
      </c>
      <c r="Q481">
        <v>307.07499999999999</v>
      </c>
      <c r="R481">
        <v>49.27</v>
      </c>
      <c r="S481">
        <v>-0.36870651064077159</v>
      </c>
      <c r="T481">
        <v>-3.5958270292459518E-3</v>
      </c>
      <c r="U481">
        <v>-6.5399920090408771E-3</v>
      </c>
      <c r="V481">
        <v>2.943096633102387E-3</v>
      </c>
      <c r="W481">
        <v>-9.4830886421432645E-3</v>
      </c>
      <c r="X481" s="19">
        <f t="shared" si="21"/>
        <v>46112</v>
      </c>
      <c r="Y481" s="19">
        <f t="shared" si="22"/>
        <v>46112</v>
      </c>
      <c r="Z481">
        <f t="array" ref="Z481">_xlfn.XLOOKUP(INT(X481),INT($AE$2:$AE$1000),$AG$2:$AG$1000,"")</f>
        <v>25.25</v>
      </c>
      <c r="AE481" s="19" t="e">
        <f t="shared" si="23"/>
        <v>#VALUE!</v>
      </c>
    </row>
    <row r="482" spans="1:32" x14ac:dyDescent="0.3">
      <c r="A482">
        <v>11</v>
      </c>
      <c r="B482" t="s">
        <v>25</v>
      </c>
      <c r="C482" t="s">
        <v>34</v>
      </c>
      <c r="D482">
        <v>67591</v>
      </c>
      <c r="E482">
        <v>309.93</v>
      </c>
      <c r="F482">
        <v>50.01</v>
      </c>
      <c r="G482">
        <v>309.96099299999997</v>
      </c>
      <c r="H482">
        <v>50.004998999999998</v>
      </c>
      <c r="I482">
        <v>-5.0388799278724017</v>
      </c>
      <c r="J482">
        <v>0.47149546609780307</v>
      </c>
      <c r="K482">
        <v>3.2265350240376862E-2</v>
      </c>
      <c r="L482">
        <v>-9.4280237172126205E-2</v>
      </c>
      <c r="M482" t="s">
        <v>29</v>
      </c>
      <c r="N482">
        <v>5</v>
      </c>
      <c r="O482" t="s">
        <v>28</v>
      </c>
      <c r="P482">
        <v>67596</v>
      </c>
      <c r="Q482">
        <v>311.31</v>
      </c>
      <c r="R482">
        <v>49.71</v>
      </c>
      <c r="S482">
        <v>-0.37316139870768628</v>
      </c>
      <c r="T482">
        <v>7.2810254483357512E-2</v>
      </c>
      <c r="U482">
        <v>6.9865639339942831E-2</v>
      </c>
      <c r="V482">
        <v>2.943096633102387E-3</v>
      </c>
      <c r="W482">
        <v>6.6922542706840449E-2</v>
      </c>
      <c r="X482" s="19">
        <f t="shared" si="21"/>
        <v>46113</v>
      </c>
      <c r="Y482" s="19">
        <f t="shared" si="22"/>
        <v>46113</v>
      </c>
      <c r="Z482">
        <f t="array" ref="Z482">_xlfn.XLOOKUP(INT(X482),INT($AE$2:$AE$1000),$AG$2:$AG$1000,"")</f>
        <v>24.54</v>
      </c>
      <c r="AE482" s="19" t="e">
        <f t="shared" si="23"/>
        <v>#VALUE!</v>
      </c>
    </row>
    <row r="483" spans="1:32" x14ac:dyDescent="0.3">
      <c r="A483">
        <v>11</v>
      </c>
      <c r="B483" t="s">
        <v>25</v>
      </c>
      <c r="C483" t="s">
        <v>34</v>
      </c>
      <c r="D483">
        <v>67650</v>
      </c>
      <c r="E483">
        <v>309.91000000000003</v>
      </c>
      <c r="F483">
        <v>49.26</v>
      </c>
      <c r="G483">
        <v>309.940991</v>
      </c>
      <c r="H483">
        <v>49.255074</v>
      </c>
      <c r="I483">
        <v>-3.5230144782168549</v>
      </c>
      <c r="J483">
        <v>0.47149546609780307</v>
      </c>
      <c r="K483">
        <v>3.2267432480397533E-2</v>
      </c>
      <c r="L483">
        <v>-9.5715685362932013E-2</v>
      </c>
      <c r="M483" t="s">
        <v>29</v>
      </c>
      <c r="N483">
        <v>11</v>
      </c>
      <c r="O483" t="s">
        <v>28</v>
      </c>
      <c r="P483">
        <v>67661</v>
      </c>
      <c r="Q483">
        <v>311.58999999999997</v>
      </c>
      <c r="R483">
        <v>49.365000000000002</v>
      </c>
      <c r="S483">
        <v>-0.43991252226689243</v>
      </c>
      <c r="T483">
        <v>4.4159139603958002E-2</v>
      </c>
      <c r="U483">
        <v>4.1209722728410503E-2</v>
      </c>
      <c r="V483">
        <v>2.943096633102387E-3</v>
      </c>
      <c r="W483">
        <v>3.8266626095308107E-2</v>
      </c>
      <c r="X483" s="19">
        <f t="shared" si="21"/>
        <v>46113</v>
      </c>
      <c r="Y483" s="19">
        <f t="shared" si="22"/>
        <v>46113</v>
      </c>
      <c r="Z483">
        <f t="array" ref="Z483">_xlfn.XLOOKUP(INT(X483),INT($AE$2:$AE$1000),$AG$2:$AG$1000,"")</f>
        <v>24.54</v>
      </c>
      <c r="AE483" s="19" t="e">
        <f t="shared" si="23"/>
        <v>#VALUE!</v>
      </c>
    </row>
    <row r="484" spans="1:32" x14ac:dyDescent="0.3">
      <c r="A484">
        <v>11</v>
      </c>
      <c r="B484" t="s">
        <v>25</v>
      </c>
      <c r="C484" t="s">
        <v>34</v>
      </c>
      <c r="D484">
        <v>68372</v>
      </c>
      <c r="E484">
        <v>305.77999999999997</v>
      </c>
      <c r="F484">
        <v>49.68</v>
      </c>
      <c r="G484">
        <v>305.74942199999998</v>
      </c>
      <c r="H484">
        <v>49.684967999999998</v>
      </c>
      <c r="I484">
        <v>3.772364382077054</v>
      </c>
      <c r="J484">
        <v>0.47149546609780307</v>
      </c>
      <c r="K484">
        <v>-3.2703250703119892E-2</v>
      </c>
      <c r="L484">
        <v>9.4906494786192258E-2</v>
      </c>
      <c r="M484" t="s">
        <v>27</v>
      </c>
      <c r="N484">
        <v>30</v>
      </c>
      <c r="O484" t="s">
        <v>28</v>
      </c>
      <c r="P484">
        <v>68402</v>
      </c>
      <c r="Q484">
        <v>308.39</v>
      </c>
      <c r="R484">
        <v>49.63</v>
      </c>
      <c r="S484">
        <v>0.25014650015062811</v>
      </c>
      <c r="T484">
        <v>-9.0100809074452712E-2</v>
      </c>
      <c r="U484">
        <v>-9.3051861022607582E-2</v>
      </c>
      <c r="V484">
        <v>2.9428852312888259E-3</v>
      </c>
      <c r="W484">
        <v>-9.599474625389641E-2</v>
      </c>
      <c r="X484" s="19">
        <f t="shared" si="21"/>
        <v>46115</v>
      </c>
      <c r="Y484" s="19">
        <f t="shared" si="22"/>
        <v>46115</v>
      </c>
      <c r="Z484" t="str">
        <f t="array" ref="Z484">_xlfn.XLOOKUP(INT(X484),INT($AE$2:$AE$1000),$AG$2:$AG$1000,"")</f>
        <v/>
      </c>
      <c r="AE484" s="19" t="e">
        <f t="shared" si="23"/>
        <v>#VALUE!</v>
      </c>
    </row>
    <row r="485" spans="1:32" x14ac:dyDescent="0.3">
      <c r="A485">
        <v>11</v>
      </c>
      <c r="B485" t="s">
        <v>25</v>
      </c>
      <c r="C485" t="s">
        <v>34</v>
      </c>
      <c r="D485">
        <v>68770</v>
      </c>
      <c r="E485">
        <v>312.74</v>
      </c>
      <c r="F485">
        <v>49.32</v>
      </c>
      <c r="G485">
        <v>312.70872600000001</v>
      </c>
      <c r="H485">
        <v>49.324931999999997</v>
      </c>
      <c r="I485">
        <v>5.0105760800830934</v>
      </c>
      <c r="J485">
        <v>0.47149546609780307</v>
      </c>
      <c r="K485">
        <v>-3.1975442859883609E-2</v>
      </c>
      <c r="L485">
        <v>9.5599242923317743E-2</v>
      </c>
      <c r="M485" t="s">
        <v>27</v>
      </c>
      <c r="N485">
        <v>8</v>
      </c>
      <c r="O485" t="s">
        <v>28</v>
      </c>
      <c r="P485">
        <v>68778</v>
      </c>
      <c r="Q485">
        <v>312.90499999999997</v>
      </c>
      <c r="R485">
        <v>50.18</v>
      </c>
      <c r="S485">
        <v>0.37959497036795192</v>
      </c>
      <c r="T485">
        <v>7.6939400842173572E-2</v>
      </c>
      <c r="U485">
        <v>7.3987660780279477E-2</v>
      </c>
      <c r="V485">
        <v>2.9428852312888259E-3</v>
      </c>
      <c r="W485">
        <v>7.1044775548990649E-2</v>
      </c>
      <c r="X485" s="19">
        <f t="shared" si="21"/>
        <v>46118</v>
      </c>
      <c r="Y485" s="19">
        <f t="shared" si="22"/>
        <v>46118</v>
      </c>
      <c r="Z485">
        <f t="array" ref="Z485">_xlfn.XLOOKUP(INT(X485),INT($AE$2:$AE$1000),$AG$2:$AG$1000,"")</f>
        <v>24.17</v>
      </c>
      <c r="AE485" s="19" t="e">
        <f t="shared" si="23"/>
        <v>#VALUE!</v>
      </c>
    </row>
    <row r="486" spans="1:32" x14ac:dyDescent="0.3">
      <c r="A486">
        <v>11</v>
      </c>
      <c r="B486" t="s">
        <v>25</v>
      </c>
      <c r="C486" t="s">
        <v>34</v>
      </c>
      <c r="D486">
        <v>68988</v>
      </c>
      <c r="E486">
        <v>313.125</v>
      </c>
      <c r="F486">
        <v>51.215000000000003</v>
      </c>
      <c r="G486">
        <v>313.15631250000001</v>
      </c>
      <c r="H486">
        <v>51.209878500000002</v>
      </c>
      <c r="I486">
        <v>-3.6592969650580041</v>
      </c>
      <c r="J486">
        <v>0.47149546609780307</v>
      </c>
      <c r="K486">
        <v>3.1936127744510982E-2</v>
      </c>
      <c r="L486">
        <v>-9.2061986936991719E-2</v>
      </c>
      <c r="M486" t="s">
        <v>29</v>
      </c>
      <c r="N486">
        <v>25</v>
      </c>
      <c r="O486" t="s">
        <v>28</v>
      </c>
      <c r="P486">
        <v>69013</v>
      </c>
      <c r="Q486">
        <v>311.77999999999997</v>
      </c>
      <c r="R486">
        <v>50.835000000000001</v>
      </c>
      <c r="S486">
        <v>-0.48893106947955051</v>
      </c>
      <c r="T486">
        <v>-7.9705367803110452E-3</v>
      </c>
      <c r="U486">
        <v>-1.0905733947822091E-2</v>
      </c>
      <c r="V486">
        <v>2.943096633102387E-3</v>
      </c>
      <c r="W486">
        <v>-1.384883058092448E-2</v>
      </c>
      <c r="X486" s="19">
        <f t="shared" si="21"/>
        <v>46118</v>
      </c>
      <c r="Y486" s="19">
        <f t="shared" si="22"/>
        <v>46118</v>
      </c>
      <c r="Z486">
        <f t="array" ref="Z486">_xlfn.XLOOKUP(INT(X486),INT($AE$2:$AE$1000),$AG$2:$AG$1000,"")</f>
        <v>24.17</v>
      </c>
      <c r="AE486" s="19" t="e">
        <f t="shared" si="23"/>
        <v>#VALUE!</v>
      </c>
      <c r="AF486" s="19"/>
    </row>
    <row r="487" spans="1:32" x14ac:dyDescent="0.3">
      <c r="A487">
        <v>11</v>
      </c>
      <c r="B487" t="s">
        <v>25</v>
      </c>
      <c r="C487" t="s">
        <v>34</v>
      </c>
      <c r="D487">
        <v>69550</v>
      </c>
      <c r="E487">
        <v>316.75</v>
      </c>
      <c r="F487">
        <v>50.854999999999997</v>
      </c>
      <c r="G487">
        <v>316.71832499999999</v>
      </c>
      <c r="H487">
        <v>50.860085499999997</v>
      </c>
      <c r="I487">
        <v>3.516778926538902</v>
      </c>
      <c r="J487">
        <v>0.47149546609780307</v>
      </c>
      <c r="K487">
        <v>-3.1570639305445937E-2</v>
      </c>
      <c r="L487">
        <v>9.2713689135346208E-2</v>
      </c>
      <c r="M487" t="s">
        <v>27</v>
      </c>
      <c r="N487">
        <v>12</v>
      </c>
      <c r="O487" t="s">
        <v>28</v>
      </c>
      <c r="P487">
        <v>69562</v>
      </c>
      <c r="Q487">
        <v>318.14999999999998</v>
      </c>
      <c r="R487">
        <v>51.41</v>
      </c>
      <c r="S487">
        <v>-3.4844040313232308E-2</v>
      </c>
      <c r="T487">
        <v>7.2572024424935253E-3</v>
      </c>
      <c r="U487">
        <v>4.3046460110479426E-3</v>
      </c>
      <c r="V487">
        <v>2.9428852312888259E-3</v>
      </c>
      <c r="W487">
        <v>1.3617607797591161E-3</v>
      </c>
      <c r="X487" s="19">
        <f t="shared" si="21"/>
        <v>46120</v>
      </c>
      <c r="Y487" s="19">
        <f t="shared" si="22"/>
        <v>46120</v>
      </c>
      <c r="Z487">
        <f t="array" ref="Z487">_xlfn.XLOOKUP(INT(X487),INT($AE$2:$AE$1000),$AG$2:$AG$1000,"")</f>
        <v>21.04</v>
      </c>
      <c r="AE487" s="19" t="e">
        <f t="shared" si="23"/>
        <v>#VALUE!</v>
      </c>
      <c r="AF487" s="19"/>
    </row>
    <row r="488" spans="1:32" x14ac:dyDescent="0.3">
      <c r="A488">
        <v>11</v>
      </c>
      <c r="B488" t="s">
        <v>25</v>
      </c>
      <c r="C488" t="s">
        <v>34</v>
      </c>
      <c r="D488">
        <v>70334</v>
      </c>
      <c r="E488">
        <v>312.85000000000002</v>
      </c>
      <c r="F488">
        <v>51.104999999999997</v>
      </c>
      <c r="G488">
        <v>312.88128499999999</v>
      </c>
      <c r="H488">
        <v>51.099889500000003</v>
      </c>
      <c r="I488">
        <v>-4.1155435353886016</v>
      </c>
      <c r="J488">
        <v>0.47149546609780307</v>
      </c>
      <c r="K488">
        <v>3.1964200095892598E-2</v>
      </c>
      <c r="L488">
        <v>-9.2260144036357128E-2</v>
      </c>
      <c r="M488" t="s">
        <v>29</v>
      </c>
      <c r="N488">
        <v>8</v>
      </c>
      <c r="O488" t="s">
        <v>28</v>
      </c>
      <c r="P488">
        <v>70342</v>
      </c>
      <c r="Q488">
        <v>313.19499999999999</v>
      </c>
      <c r="R488">
        <v>51.08</v>
      </c>
      <c r="S488">
        <v>-0.46270999521008549</v>
      </c>
      <c r="T488">
        <v>1.3334152633990799E-2</v>
      </c>
      <c r="U488">
        <v>1.039028958725309E-2</v>
      </c>
      <c r="V488">
        <v>2.943096633102387E-3</v>
      </c>
      <c r="W488">
        <v>7.4471929541507003E-3</v>
      </c>
      <c r="X488" s="19">
        <f t="shared" si="21"/>
        <v>46122</v>
      </c>
      <c r="Y488" s="19">
        <f t="shared" si="22"/>
        <v>46122</v>
      </c>
      <c r="Z488">
        <f t="array" ref="Z488">_xlfn.XLOOKUP(INT(X488),INT($AE$2:$AE$1000),$AG$2:$AG$1000,"")</f>
        <v>19.23</v>
      </c>
      <c r="AE488" s="19" t="e">
        <f t="shared" si="23"/>
        <v>#VALUE!</v>
      </c>
      <c r="AF488" s="19"/>
    </row>
    <row r="489" spans="1:32" x14ac:dyDescent="0.3">
      <c r="A489">
        <v>11</v>
      </c>
      <c r="B489" t="s">
        <v>25</v>
      </c>
      <c r="C489" t="s">
        <v>34</v>
      </c>
      <c r="D489">
        <v>70725</v>
      </c>
      <c r="E489">
        <v>309.55</v>
      </c>
      <c r="F489">
        <v>51.22</v>
      </c>
      <c r="G489">
        <v>309.58095500000002</v>
      </c>
      <c r="H489">
        <v>51.214877999999999</v>
      </c>
      <c r="I489">
        <v>-4.5665201388707164</v>
      </c>
      <c r="J489">
        <v>0.47149546609780307</v>
      </c>
      <c r="K489">
        <v>3.2304958811177523E-2</v>
      </c>
      <c r="L489">
        <v>-9.2053000019094708E-2</v>
      </c>
      <c r="M489" t="s">
        <v>29</v>
      </c>
      <c r="N489">
        <v>13</v>
      </c>
      <c r="O489" t="s">
        <v>28</v>
      </c>
      <c r="P489">
        <v>70738</v>
      </c>
      <c r="Q489">
        <v>310.68</v>
      </c>
      <c r="R489">
        <v>51.295000000000002</v>
      </c>
      <c r="S489">
        <v>-0.26663144891004881</v>
      </c>
      <c r="T489">
        <v>2.9600628455198081E-2</v>
      </c>
      <c r="U489">
        <v>2.665329666515609E-2</v>
      </c>
      <c r="V489">
        <v>2.943096633102387E-3</v>
      </c>
      <c r="W489">
        <v>2.3710200032053701E-2</v>
      </c>
      <c r="X489" s="19">
        <f t="shared" si="21"/>
        <v>46125</v>
      </c>
      <c r="Y489" s="19">
        <f t="shared" si="22"/>
        <v>46125</v>
      </c>
      <c r="Z489">
        <f t="array" ref="Z489">_xlfn.XLOOKUP(INT(X489),INT($AE$2:$AE$1000),$AG$2:$AG$1000,"")</f>
        <v>19.12</v>
      </c>
      <c r="AE489" s="19" t="e">
        <f t="shared" si="23"/>
        <v>#VALUE!</v>
      </c>
      <c r="AF489" s="19"/>
    </row>
    <row r="490" spans="1:32" x14ac:dyDescent="0.3">
      <c r="A490">
        <v>11</v>
      </c>
      <c r="B490" t="s">
        <v>25</v>
      </c>
      <c r="C490" t="s">
        <v>30</v>
      </c>
      <c r="D490">
        <v>66901</v>
      </c>
      <c r="E490">
        <v>309.49</v>
      </c>
      <c r="F490">
        <v>52.575000000000003</v>
      </c>
      <c r="G490">
        <v>309.52094899999997</v>
      </c>
      <c r="H490">
        <v>52.569742499999997</v>
      </c>
      <c r="I490">
        <v>-5.2944918704551442</v>
      </c>
      <c r="J490">
        <v>0.64828847730887773</v>
      </c>
      <c r="K490">
        <v>3.2311221687292002E-2</v>
      </c>
      <c r="L490">
        <v>-0.1233073661072521</v>
      </c>
      <c r="M490" t="s">
        <v>29</v>
      </c>
      <c r="N490">
        <v>23</v>
      </c>
      <c r="O490" t="s">
        <v>28</v>
      </c>
      <c r="P490">
        <v>66924</v>
      </c>
      <c r="Q490">
        <v>309.08</v>
      </c>
      <c r="R490">
        <v>52.465000000000003</v>
      </c>
      <c r="S490">
        <v>-0.49075584173693632</v>
      </c>
      <c r="T490">
        <v>3.1620938000712952E-4</v>
      </c>
      <c r="U490">
        <v>-2.9776864334949749E-3</v>
      </c>
      <c r="V490">
        <v>3.2966472969222938E-3</v>
      </c>
      <c r="W490">
        <v>-6.2743337304172683E-3</v>
      </c>
      <c r="X490" s="19">
        <f t="shared" si="21"/>
        <v>46111</v>
      </c>
      <c r="Y490" s="19">
        <f t="shared" si="22"/>
        <v>46111</v>
      </c>
      <c r="Z490">
        <f t="array" ref="Z490">_xlfn.XLOOKUP(INT(X490),INT($AE$2:$AE$1000),$AG$2:$AG$1000,"")</f>
        <v>30.61</v>
      </c>
      <c r="AE490" s="19" t="e">
        <f t="shared" si="23"/>
        <v>#VALUE!</v>
      </c>
      <c r="AF490" s="19"/>
    </row>
    <row r="491" spans="1:32" x14ac:dyDescent="0.3">
      <c r="A491">
        <v>11</v>
      </c>
      <c r="B491" t="s">
        <v>25</v>
      </c>
      <c r="C491" t="s">
        <v>30</v>
      </c>
      <c r="D491">
        <v>67184</v>
      </c>
      <c r="E491">
        <v>309.94499999999999</v>
      </c>
      <c r="F491">
        <v>52.46</v>
      </c>
      <c r="G491">
        <v>309.91400549999997</v>
      </c>
      <c r="H491">
        <v>52.465246</v>
      </c>
      <c r="I491">
        <v>3.5191189028420879</v>
      </c>
      <c r="J491">
        <v>0.64828847730887773</v>
      </c>
      <c r="K491">
        <v>-3.2263788736711353E-2</v>
      </c>
      <c r="L491">
        <v>0.12357767390561911</v>
      </c>
      <c r="M491" t="s">
        <v>27</v>
      </c>
      <c r="N491">
        <v>4</v>
      </c>
      <c r="O491" t="s">
        <v>28</v>
      </c>
      <c r="P491">
        <v>67188</v>
      </c>
      <c r="Q491">
        <v>309.87</v>
      </c>
      <c r="R491">
        <v>52.56</v>
      </c>
      <c r="S491">
        <v>0.30478710425844668</v>
      </c>
      <c r="T491">
        <v>1.477755154581507E-2</v>
      </c>
      <c r="U491">
        <v>1.147998079287342E-2</v>
      </c>
      <c r="V491">
        <v>3.2965066123132169E-3</v>
      </c>
      <c r="W491">
        <v>8.183474180560207E-3</v>
      </c>
      <c r="X491" s="19">
        <f t="shared" si="21"/>
        <v>46112</v>
      </c>
      <c r="Y491" s="19">
        <f t="shared" si="22"/>
        <v>46112</v>
      </c>
      <c r="Z491">
        <f t="array" ref="Z491">_xlfn.XLOOKUP(INT(X491),INT($AE$2:$AE$1000),$AG$2:$AG$1000,"")</f>
        <v>25.25</v>
      </c>
      <c r="AE491" s="19" t="e">
        <f t="shared" si="23"/>
        <v>#VALUE!</v>
      </c>
      <c r="AF491" s="19"/>
    </row>
    <row r="492" spans="1:32" x14ac:dyDescent="0.3">
      <c r="A492">
        <v>11</v>
      </c>
      <c r="B492" t="s">
        <v>25</v>
      </c>
      <c r="C492" t="s">
        <v>30</v>
      </c>
      <c r="D492">
        <v>67189</v>
      </c>
      <c r="E492">
        <v>309.87</v>
      </c>
      <c r="F492">
        <v>51.78</v>
      </c>
      <c r="G492">
        <v>309.83901300000002</v>
      </c>
      <c r="H492">
        <v>51.785178000000002</v>
      </c>
      <c r="I492">
        <v>5.0740288809950593</v>
      </c>
      <c r="J492">
        <v>0.64828847730887773</v>
      </c>
      <c r="K492">
        <v>-3.2271597766805431E-2</v>
      </c>
      <c r="L492">
        <v>0.12520055567958241</v>
      </c>
      <c r="M492" t="s">
        <v>27</v>
      </c>
      <c r="N492">
        <v>23</v>
      </c>
      <c r="O492" t="s">
        <v>28</v>
      </c>
      <c r="P492">
        <v>67212</v>
      </c>
      <c r="Q492">
        <v>307.07499999999999</v>
      </c>
      <c r="R492">
        <v>52.15</v>
      </c>
      <c r="S492">
        <v>-0.45977261625563592</v>
      </c>
      <c r="T492">
        <v>0.13652332135966691</v>
      </c>
      <c r="U492">
        <v>0.13323113189606511</v>
      </c>
      <c r="V492">
        <v>3.2965066123132169E-3</v>
      </c>
      <c r="W492">
        <v>0.12993462528375191</v>
      </c>
      <c r="X492" s="19">
        <f t="shared" si="21"/>
        <v>46112</v>
      </c>
      <c r="Y492" s="19">
        <f t="shared" si="22"/>
        <v>46112</v>
      </c>
      <c r="Z492">
        <f t="array" ref="Z492">_xlfn.XLOOKUP(INT(X492),INT($AE$2:$AE$1000),$AG$2:$AG$1000,"")</f>
        <v>25.25</v>
      </c>
      <c r="AE492" s="19" t="e">
        <f t="shared" si="23"/>
        <v>#VALUE!</v>
      </c>
      <c r="AF492" s="19"/>
    </row>
    <row r="493" spans="1:32" x14ac:dyDescent="0.3">
      <c r="A493">
        <v>11</v>
      </c>
      <c r="B493" t="s">
        <v>25</v>
      </c>
      <c r="C493" t="s">
        <v>30</v>
      </c>
      <c r="D493">
        <v>67583</v>
      </c>
      <c r="E493">
        <v>313.55</v>
      </c>
      <c r="F493">
        <v>53.33</v>
      </c>
      <c r="G493">
        <v>313.51864499999999</v>
      </c>
      <c r="H493">
        <v>53.335332999999999</v>
      </c>
      <c r="I493">
        <v>3.6225675242442952</v>
      </c>
      <c r="J493">
        <v>0.64828847730887773</v>
      </c>
      <c r="K493">
        <v>-3.1892840057407112E-2</v>
      </c>
      <c r="L493">
        <v>0.12156168710085841</v>
      </c>
      <c r="M493" t="s">
        <v>27</v>
      </c>
      <c r="N493">
        <v>2</v>
      </c>
      <c r="O493" t="s">
        <v>28</v>
      </c>
      <c r="P493">
        <v>67585</v>
      </c>
      <c r="Q493">
        <v>312.95</v>
      </c>
      <c r="R493">
        <v>53.33</v>
      </c>
      <c r="S493">
        <v>-0.12786558566396031</v>
      </c>
      <c r="T493">
        <v>1.9135704034444988E-2</v>
      </c>
      <c r="U493">
        <v>1.5841040650230009E-2</v>
      </c>
      <c r="V493">
        <v>3.2965066123132182E-3</v>
      </c>
      <c r="W493">
        <v>1.2544534037916791E-2</v>
      </c>
      <c r="X493" s="19">
        <f t="shared" si="21"/>
        <v>46113</v>
      </c>
      <c r="Y493" s="19">
        <f t="shared" si="22"/>
        <v>46113</v>
      </c>
      <c r="Z493">
        <f t="array" ref="Z493">_xlfn.XLOOKUP(INT(X493),INT($AE$2:$AE$1000),$AG$2:$AG$1000,"")</f>
        <v>24.54</v>
      </c>
      <c r="AE493" s="19" t="e">
        <f t="shared" si="23"/>
        <v>#VALUE!</v>
      </c>
      <c r="AF493" s="19"/>
    </row>
    <row r="494" spans="1:32" x14ac:dyDescent="0.3">
      <c r="A494">
        <v>11</v>
      </c>
      <c r="B494" t="s">
        <v>25</v>
      </c>
      <c r="C494" t="s">
        <v>30</v>
      </c>
      <c r="D494">
        <v>67591</v>
      </c>
      <c r="E494">
        <v>309.93</v>
      </c>
      <c r="F494">
        <v>53.33</v>
      </c>
      <c r="G494">
        <v>309.96099299999997</v>
      </c>
      <c r="H494">
        <v>53.324666999999998</v>
      </c>
      <c r="I494">
        <v>-5.0261094126157166</v>
      </c>
      <c r="J494">
        <v>0.64828847730887773</v>
      </c>
      <c r="K494">
        <v>3.2265350240376862E-2</v>
      </c>
      <c r="L494">
        <v>-0.12156168710085841</v>
      </c>
      <c r="M494" t="s">
        <v>29</v>
      </c>
      <c r="N494">
        <v>5</v>
      </c>
      <c r="O494" t="s">
        <v>28</v>
      </c>
      <c r="P494">
        <v>67596</v>
      </c>
      <c r="Q494">
        <v>311.31</v>
      </c>
      <c r="R494">
        <v>53.11</v>
      </c>
      <c r="S494">
        <v>-0.2955834005487879</v>
      </c>
      <c r="T494">
        <v>7.1269754493908613E-2</v>
      </c>
      <c r="U494">
        <v>6.7971399278072719E-2</v>
      </c>
      <c r="V494">
        <v>3.2966472969222929E-3</v>
      </c>
      <c r="W494">
        <v>6.4674751981150427E-2</v>
      </c>
      <c r="X494" s="19">
        <f t="shared" si="21"/>
        <v>46113</v>
      </c>
      <c r="Y494" s="19">
        <f t="shared" si="22"/>
        <v>46113</v>
      </c>
      <c r="Z494">
        <f t="array" ref="Z494">_xlfn.XLOOKUP(INT(X494),INT($AE$2:$AE$1000),$AG$2:$AG$1000,"")</f>
        <v>24.54</v>
      </c>
      <c r="AE494" s="19" t="e">
        <f t="shared" si="23"/>
        <v>#VALUE!</v>
      </c>
      <c r="AF494" s="19"/>
    </row>
    <row r="495" spans="1:32" x14ac:dyDescent="0.3">
      <c r="A495">
        <v>11</v>
      </c>
      <c r="B495" t="s">
        <v>25</v>
      </c>
      <c r="C495" t="s">
        <v>30</v>
      </c>
      <c r="D495">
        <v>67650</v>
      </c>
      <c r="E495">
        <v>309.91000000000003</v>
      </c>
      <c r="F495">
        <v>53.005000000000003</v>
      </c>
      <c r="G495">
        <v>309.940991</v>
      </c>
      <c r="H495">
        <v>52.999699500000013</v>
      </c>
      <c r="I495">
        <v>-3.5700713048646442</v>
      </c>
      <c r="J495">
        <v>0.64828847730887773</v>
      </c>
      <c r="K495">
        <v>3.2267432480397533E-2</v>
      </c>
      <c r="L495">
        <v>-0.1223070422241067</v>
      </c>
      <c r="M495" t="s">
        <v>29</v>
      </c>
      <c r="N495">
        <v>15</v>
      </c>
      <c r="O495" t="s">
        <v>28</v>
      </c>
      <c r="P495">
        <v>67665</v>
      </c>
      <c r="Q495">
        <v>311.57</v>
      </c>
      <c r="R495">
        <v>53.164999999999999</v>
      </c>
      <c r="S495">
        <v>-0.42462812886325069</v>
      </c>
      <c r="T495">
        <v>3.3994811161602217E-2</v>
      </c>
      <c r="U495">
        <v>3.069092090051825E-2</v>
      </c>
      <c r="V495">
        <v>3.2966472969222929E-3</v>
      </c>
      <c r="W495">
        <v>2.7394273603595962E-2</v>
      </c>
      <c r="X495" s="19">
        <f t="shared" si="21"/>
        <v>46113</v>
      </c>
      <c r="Y495" s="19">
        <f t="shared" si="22"/>
        <v>46113</v>
      </c>
      <c r="Z495">
        <f t="array" ref="Z495">_xlfn.XLOOKUP(INT(X495),INT($AE$2:$AE$1000),$AG$2:$AG$1000,"")</f>
        <v>24.54</v>
      </c>
      <c r="AE495" s="19" t="e">
        <f t="shared" si="23"/>
        <v>#VALUE!</v>
      </c>
    </row>
    <row r="496" spans="1:32" x14ac:dyDescent="0.3">
      <c r="A496">
        <v>11</v>
      </c>
      <c r="B496" t="s">
        <v>25</v>
      </c>
      <c r="C496" t="s">
        <v>30</v>
      </c>
      <c r="D496">
        <v>67985</v>
      </c>
      <c r="E496">
        <v>311.17</v>
      </c>
      <c r="F496">
        <v>53.85</v>
      </c>
      <c r="G496">
        <v>311.20111700000001</v>
      </c>
      <c r="H496">
        <v>53.844614999999997</v>
      </c>
      <c r="I496">
        <v>-4.0702947715023274</v>
      </c>
      <c r="J496">
        <v>0.64828847730887773</v>
      </c>
      <c r="K496">
        <v>3.2136774110614767E-2</v>
      </c>
      <c r="L496">
        <v>-0.1203878323693366</v>
      </c>
      <c r="M496" t="s">
        <v>29</v>
      </c>
      <c r="N496">
        <v>27</v>
      </c>
      <c r="O496" t="s">
        <v>28</v>
      </c>
      <c r="P496">
        <v>68012</v>
      </c>
      <c r="Q496">
        <v>308.12</v>
      </c>
      <c r="R496">
        <v>54.195</v>
      </c>
      <c r="S496">
        <v>-0.32490548119612578</v>
      </c>
      <c r="T496">
        <v>-0.1395509632047964</v>
      </c>
      <c r="U496">
        <v>-0.14284189182352591</v>
      </c>
      <c r="V496">
        <v>3.2966472969222929E-3</v>
      </c>
      <c r="W496">
        <v>-0.14613853912044819</v>
      </c>
      <c r="X496" s="19">
        <f t="shared" si="21"/>
        <v>46114</v>
      </c>
      <c r="Y496" s="19">
        <f t="shared" si="22"/>
        <v>46114</v>
      </c>
      <c r="Z496">
        <f t="array" ref="Z496">_xlfn.XLOOKUP(INT(X496),INT($AE$2:$AE$1000),$AG$2:$AG$1000,"")</f>
        <v>23.87</v>
      </c>
      <c r="AE496" s="19" t="e">
        <f t="shared" si="23"/>
        <v>#VALUE!</v>
      </c>
    </row>
    <row r="497" spans="1:32" x14ac:dyDescent="0.3">
      <c r="A497">
        <v>11</v>
      </c>
      <c r="B497" t="s">
        <v>25</v>
      </c>
      <c r="C497" t="s">
        <v>30</v>
      </c>
      <c r="D497">
        <v>68380</v>
      </c>
      <c r="E497">
        <v>306.36</v>
      </c>
      <c r="F497">
        <v>54.26</v>
      </c>
      <c r="G497">
        <v>306.329364</v>
      </c>
      <c r="H497">
        <v>54.265425999999998</v>
      </c>
      <c r="I497">
        <v>3.554507543251284</v>
      </c>
      <c r="J497">
        <v>0.64828847730887773</v>
      </c>
      <c r="K497">
        <v>-3.2641336989163078E-2</v>
      </c>
      <c r="L497">
        <v>0.1194781565257792</v>
      </c>
      <c r="M497" t="s">
        <v>27</v>
      </c>
      <c r="N497">
        <v>25</v>
      </c>
      <c r="O497" t="s">
        <v>28</v>
      </c>
      <c r="P497">
        <v>68405</v>
      </c>
      <c r="Q497">
        <v>307.89999999999998</v>
      </c>
      <c r="R497">
        <v>54.09</v>
      </c>
      <c r="S497">
        <v>0.42565420034511331</v>
      </c>
      <c r="T497">
        <v>-7.0578945572691759E-2</v>
      </c>
      <c r="U497">
        <v>-7.3878518164546242E-2</v>
      </c>
      <c r="V497">
        <v>3.2965066123132182E-3</v>
      </c>
      <c r="W497">
        <v>-7.717502477685946E-2</v>
      </c>
      <c r="X497" s="19">
        <f t="shared" si="21"/>
        <v>46115</v>
      </c>
      <c r="Y497" s="19">
        <f t="shared" si="22"/>
        <v>46115</v>
      </c>
      <c r="Z497" t="str">
        <f t="array" ref="Z497">_xlfn.XLOOKUP(INT(X497),INT($AE$2:$AE$1000),$AG$2:$AG$1000,"")</f>
        <v/>
      </c>
      <c r="AE497" s="19" t="e">
        <f t="shared" si="23"/>
        <v>#VALUE!</v>
      </c>
    </row>
    <row r="498" spans="1:32" x14ac:dyDescent="0.3">
      <c r="A498">
        <v>11</v>
      </c>
      <c r="B498" t="s">
        <v>25</v>
      </c>
      <c r="C498" t="s">
        <v>30</v>
      </c>
      <c r="D498">
        <v>68621</v>
      </c>
      <c r="E498">
        <v>307.88499999999999</v>
      </c>
      <c r="F498">
        <v>53.545000000000002</v>
      </c>
      <c r="G498">
        <v>307.85421150000002</v>
      </c>
      <c r="H498">
        <v>53.550354499999997</v>
      </c>
      <c r="I498">
        <v>3.690883013955744</v>
      </c>
      <c r="J498">
        <v>0.64828847730887773</v>
      </c>
      <c r="K498">
        <v>-3.2479659613167247E-2</v>
      </c>
      <c r="L498">
        <v>0.1210735787298306</v>
      </c>
      <c r="M498" t="s">
        <v>27</v>
      </c>
      <c r="N498">
        <v>14</v>
      </c>
      <c r="O498" t="s">
        <v>28</v>
      </c>
      <c r="P498">
        <v>68635</v>
      </c>
      <c r="Q498">
        <v>308.27999999999997</v>
      </c>
      <c r="R498">
        <v>53.71</v>
      </c>
      <c r="S498">
        <v>0.23919492376003151</v>
      </c>
      <c r="T498">
        <v>7.1476749432214659E-3</v>
      </c>
      <c r="U498">
        <v>3.8478173280014089E-3</v>
      </c>
      <c r="V498">
        <v>3.2965066123132182E-3</v>
      </c>
      <c r="W498">
        <v>5.5131071568819117E-4</v>
      </c>
      <c r="X498" s="19">
        <f t="shared" si="21"/>
        <v>46115</v>
      </c>
      <c r="Y498" s="19">
        <f t="shared" si="22"/>
        <v>46115</v>
      </c>
      <c r="Z498" t="str">
        <f t="array" ref="Z498">_xlfn.XLOOKUP(INT(X498),INT($AE$2:$AE$1000),$AG$2:$AG$1000,"")</f>
        <v/>
      </c>
      <c r="AE498" s="19" t="e">
        <f t="shared" si="23"/>
        <v>#VALUE!</v>
      </c>
    </row>
    <row r="499" spans="1:32" x14ac:dyDescent="0.3">
      <c r="A499">
        <v>11</v>
      </c>
      <c r="B499" t="s">
        <v>25</v>
      </c>
      <c r="C499" t="s">
        <v>30</v>
      </c>
      <c r="D499">
        <v>68770</v>
      </c>
      <c r="E499">
        <v>312.74</v>
      </c>
      <c r="F499">
        <v>53.78</v>
      </c>
      <c r="G499">
        <v>312.70872600000001</v>
      </c>
      <c r="H499">
        <v>53.785378000000001</v>
      </c>
      <c r="I499">
        <v>3.8458421425257092</v>
      </c>
      <c r="J499">
        <v>0.64828847730887773</v>
      </c>
      <c r="K499">
        <v>-3.1975442859883609E-2</v>
      </c>
      <c r="L499">
        <v>0.1205445290644994</v>
      </c>
      <c r="M499" t="s">
        <v>27</v>
      </c>
      <c r="N499">
        <v>9</v>
      </c>
      <c r="O499" t="s">
        <v>28</v>
      </c>
      <c r="P499">
        <v>68779</v>
      </c>
      <c r="Q499">
        <v>312.25</v>
      </c>
      <c r="R499">
        <v>53.97</v>
      </c>
      <c r="S499">
        <v>0.48636369279591668</v>
      </c>
      <c r="T499">
        <v>3.8571427523597872E-2</v>
      </c>
      <c r="U499">
        <v>3.5274127019627649E-2</v>
      </c>
      <c r="V499">
        <v>3.2965066123132182E-3</v>
      </c>
      <c r="W499">
        <v>3.197762040731443E-2</v>
      </c>
      <c r="X499" s="19">
        <f t="shared" si="21"/>
        <v>46118</v>
      </c>
      <c r="Y499" s="19">
        <f t="shared" si="22"/>
        <v>46118</v>
      </c>
      <c r="Z499">
        <f t="array" ref="Z499">_xlfn.XLOOKUP(INT(X499),INT($AE$2:$AE$1000),$AG$2:$AG$1000,"")</f>
        <v>24.17</v>
      </c>
      <c r="AE499" s="19" t="e">
        <f t="shared" si="23"/>
        <v>#VALUE!</v>
      </c>
    </row>
    <row r="500" spans="1:32" x14ac:dyDescent="0.3">
      <c r="A500">
        <v>11</v>
      </c>
      <c r="B500" t="s">
        <v>25</v>
      </c>
      <c r="C500" t="s">
        <v>30</v>
      </c>
      <c r="D500">
        <v>69162</v>
      </c>
      <c r="E500">
        <v>312.39</v>
      </c>
      <c r="F500">
        <v>53.62</v>
      </c>
      <c r="G500">
        <v>312.35876100000002</v>
      </c>
      <c r="H500">
        <v>53.625362000000003</v>
      </c>
      <c r="I500">
        <v>4.4255869449185514</v>
      </c>
      <c r="J500">
        <v>0.64828847730887773</v>
      </c>
      <c r="K500">
        <v>-3.2011267966324149E-2</v>
      </c>
      <c r="L500">
        <v>0.1209042292631253</v>
      </c>
      <c r="M500" t="s">
        <v>27</v>
      </c>
      <c r="N500">
        <v>39</v>
      </c>
      <c r="O500" t="s">
        <v>28</v>
      </c>
      <c r="P500">
        <v>69201</v>
      </c>
      <c r="Q500">
        <v>314.55</v>
      </c>
      <c r="R500">
        <v>53.695</v>
      </c>
      <c r="S500">
        <v>2.5813094717502209E-2</v>
      </c>
      <c r="T500">
        <v>-6.0076521612526218E-2</v>
      </c>
      <c r="U500">
        <v>-6.3380919782742878E-2</v>
      </c>
      <c r="V500">
        <v>3.2965066123132182E-3</v>
      </c>
      <c r="W500">
        <v>-6.6677426395056097E-2</v>
      </c>
      <c r="X500" s="19">
        <f t="shared" si="21"/>
        <v>46119</v>
      </c>
      <c r="Y500" s="19">
        <f t="shared" si="22"/>
        <v>46119</v>
      </c>
      <c r="Z500">
        <f t="array" ref="Z500">_xlfn.XLOOKUP(INT(X500),INT($AE$2:$AE$1000),$AG$2:$AG$1000,"")</f>
        <v>25.78</v>
      </c>
      <c r="AE500" s="19" t="e">
        <f t="shared" si="23"/>
        <v>#VALUE!</v>
      </c>
    </row>
    <row r="501" spans="1:32" x14ac:dyDescent="0.3">
      <c r="A501">
        <v>11</v>
      </c>
      <c r="B501" t="s">
        <v>25</v>
      </c>
      <c r="C501" t="s">
        <v>30</v>
      </c>
      <c r="D501">
        <v>69553</v>
      </c>
      <c r="E501">
        <v>317.63</v>
      </c>
      <c r="F501">
        <v>53.97</v>
      </c>
      <c r="G501">
        <v>317.59823699999998</v>
      </c>
      <c r="H501">
        <v>53.975397000000001</v>
      </c>
      <c r="I501">
        <v>3.7304927402356989</v>
      </c>
      <c r="J501">
        <v>0.64828847730887773</v>
      </c>
      <c r="K501">
        <v>-3.1483172244435351E-2</v>
      </c>
      <c r="L501">
        <v>0.1201201551433904</v>
      </c>
      <c r="M501" t="s">
        <v>27</v>
      </c>
      <c r="N501">
        <v>4</v>
      </c>
      <c r="O501" t="s">
        <v>28</v>
      </c>
      <c r="P501">
        <v>69557</v>
      </c>
      <c r="Q501">
        <v>318.58999999999997</v>
      </c>
      <c r="R501">
        <v>54.37</v>
      </c>
      <c r="S501">
        <v>0.39159882361657999</v>
      </c>
      <c r="T501">
        <v>1.7824216702698681E-2</v>
      </c>
      <c r="U501">
        <v>1.4519812557339111E-2</v>
      </c>
      <c r="V501">
        <v>3.2965066123132182E-3</v>
      </c>
      <c r="W501">
        <v>1.122330594502589E-2</v>
      </c>
      <c r="X501" s="19">
        <f t="shared" si="21"/>
        <v>46120</v>
      </c>
      <c r="Y501" s="19">
        <f t="shared" si="22"/>
        <v>46120</v>
      </c>
      <c r="Z501">
        <f t="array" ref="Z501">_xlfn.XLOOKUP(INT(X501),INT($AE$2:$AE$1000),$AG$2:$AG$1000,"")</f>
        <v>21.04</v>
      </c>
      <c r="AE501" s="19" t="e">
        <f t="shared" si="23"/>
        <v>#VALUE!</v>
      </c>
    </row>
    <row r="502" spans="1:32" x14ac:dyDescent="0.3">
      <c r="A502">
        <v>11</v>
      </c>
      <c r="B502" t="s">
        <v>25</v>
      </c>
      <c r="C502" t="s">
        <v>30</v>
      </c>
      <c r="D502">
        <v>69803</v>
      </c>
      <c r="E502">
        <v>314.75</v>
      </c>
      <c r="F502">
        <v>53.594999999999999</v>
      </c>
      <c r="G502">
        <v>314.718525</v>
      </c>
      <c r="H502">
        <v>53.600359500000003</v>
      </c>
      <c r="I502">
        <v>3.5511860403474258</v>
      </c>
      <c r="J502">
        <v>0.64828847730887773</v>
      </c>
      <c r="K502">
        <v>-3.1771247021445591E-2</v>
      </c>
      <c r="L502">
        <v>0.12096062642203149</v>
      </c>
      <c r="M502" t="s">
        <v>27</v>
      </c>
      <c r="N502">
        <v>14</v>
      </c>
      <c r="O502" t="s">
        <v>28</v>
      </c>
      <c r="P502">
        <v>69817</v>
      </c>
      <c r="Q502">
        <v>314.38499999999999</v>
      </c>
      <c r="R502">
        <v>53.564999999999998</v>
      </c>
      <c r="S502">
        <v>2.8574248615002119E-2</v>
      </c>
      <c r="T502">
        <v>7.9676863701668484E-3</v>
      </c>
      <c r="U502">
        <v>4.6726319479458989E-3</v>
      </c>
      <c r="V502">
        <v>3.2965066123132182E-3</v>
      </c>
      <c r="W502">
        <v>1.3761253356326809E-3</v>
      </c>
      <c r="X502" s="19">
        <f t="shared" si="21"/>
        <v>46120</v>
      </c>
      <c r="Y502" s="19">
        <f t="shared" si="22"/>
        <v>46121</v>
      </c>
      <c r="Z502">
        <f t="array" ref="Z502">_xlfn.XLOOKUP(INT(X502),INT($AE$2:$AE$1000),$AG$2:$AG$1000,"")</f>
        <v>21.04</v>
      </c>
      <c r="AE502" s="19" t="e">
        <f t="shared" si="23"/>
        <v>#VALUE!</v>
      </c>
    </row>
    <row r="503" spans="1:32" x14ac:dyDescent="0.3">
      <c r="A503">
        <v>11</v>
      </c>
      <c r="B503" t="s">
        <v>25</v>
      </c>
      <c r="C503" t="s">
        <v>30</v>
      </c>
      <c r="D503">
        <v>70725</v>
      </c>
      <c r="E503">
        <v>309.55</v>
      </c>
      <c r="F503">
        <v>52.17</v>
      </c>
      <c r="G503">
        <v>309.58095500000002</v>
      </c>
      <c r="H503">
        <v>52.164783</v>
      </c>
      <c r="I503">
        <v>-4.2545011115263867</v>
      </c>
      <c r="J503">
        <v>0.64828847730887773</v>
      </c>
      <c r="K503">
        <v>3.2304958811177523E-2</v>
      </c>
      <c r="L503">
        <v>-0.1242646113300513</v>
      </c>
      <c r="M503" t="s">
        <v>29</v>
      </c>
      <c r="N503">
        <v>34</v>
      </c>
      <c r="O503" t="s">
        <v>28</v>
      </c>
      <c r="P503">
        <v>70759</v>
      </c>
      <c r="Q503">
        <v>310.02</v>
      </c>
      <c r="R503">
        <v>52.305</v>
      </c>
      <c r="S503">
        <v>-0.26603252166658192</v>
      </c>
      <c r="T503">
        <v>-1.5923918883042011E-3</v>
      </c>
      <c r="U503">
        <v>-4.8921647482389986E-3</v>
      </c>
      <c r="V503">
        <v>3.2966472969222938E-3</v>
      </c>
      <c r="W503">
        <v>-8.1888120451612933E-3</v>
      </c>
      <c r="X503" s="19">
        <f t="shared" si="21"/>
        <v>46125</v>
      </c>
      <c r="Y503" s="19">
        <f t="shared" si="22"/>
        <v>46125</v>
      </c>
      <c r="Z503">
        <f t="array" ref="Z503">_xlfn.XLOOKUP(INT(X503),INT($AE$2:$AE$1000),$AG$2:$AG$1000,"")</f>
        <v>19.12</v>
      </c>
      <c r="AE503" s="19" t="e">
        <f t="shared" si="23"/>
        <v>#VALUE!</v>
      </c>
    </row>
    <row r="504" spans="1:32" x14ac:dyDescent="0.3">
      <c r="A504">
        <v>11</v>
      </c>
      <c r="B504" t="s">
        <v>25</v>
      </c>
      <c r="C504" t="s">
        <v>33</v>
      </c>
      <c r="D504">
        <v>66901</v>
      </c>
      <c r="E504">
        <v>309.49</v>
      </c>
      <c r="F504">
        <v>222.035</v>
      </c>
      <c r="G504">
        <v>309.52094899999997</v>
      </c>
      <c r="H504">
        <v>222.01279650000001</v>
      </c>
      <c r="I504">
        <v>-5.2944308705738186</v>
      </c>
      <c r="J504">
        <v>0.57059684405718136</v>
      </c>
      <c r="K504">
        <v>3.2311221687292002E-2</v>
      </c>
      <c r="L504">
        <v>-2.5698508976385769E-2</v>
      </c>
      <c r="M504" t="s">
        <v>29</v>
      </c>
      <c r="N504">
        <v>23</v>
      </c>
      <c r="O504" t="s">
        <v>28</v>
      </c>
      <c r="P504">
        <v>66924</v>
      </c>
      <c r="Q504">
        <v>309.08</v>
      </c>
      <c r="R504">
        <v>222.07499999999999</v>
      </c>
      <c r="S504">
        <v>-0.49503448530668231</v>
      </c>
      <c r="T504">
        <v>-1.427554125084575E-2</v>
      </c>
      <c r="U504">
        <v>-1.741551297290778E-2</v>
      </c>
      <c r="V504">
        <v>3.1412795687455518E-3</v>
      </c>
      <c r="W504">
        <v>-2.0556792541653331E-2</v>
      </c>
      <c r="X504" s="19">
        <f t="shared" si="21"/>
        <v>46111</v>
      </c>
      <c r="Y504" s="19">
        <f t="shared" si="22"/>
        <v>46111</v>
      </c>
      <c r="Z504">
        <f t="array" ref="Z504">_xlfn.XLOOKUP(INT(X504),INT($AE$2:$AE$1000),$AG$2:$AG$1000,"")</f>
        <v>30.61</v>
      </c>
      <c r="AE504" s="19" t="e">
        <f t="shared" si="23"/>
        <v>#VALUE!</v>
      </c>
    </row>
    <row r="505" spans="1:32" x14ac:dyDescent="0.3">
      <c r="A505">
        <v>11</v>
      </c>
      <c r="B505" t="s">
        <v>25</v>
      </c>
      <c r="C505" t="s">
        <v>33</v>
      </c>
      <c r="D505">
        <v>67542</v>
      </c>
      <c r="E505">
        <v>311.58999999999997</v>
      </c>
      <c r="F505">
        <v>221.70500000000001</v>
      </c>
      <c r="G505">
        <v>311.62115899999998</v>
      </c>
      <c r="H505">
        <v>221.6828295</v>
      </c>
      <c r="I505">
        <v>-3.797961204009662</v>
      </c>
      <c r="J505">
        <v>0.57059684405718136</v>
      </c>
      <c r="K505">
        <v>3.2093456144292182E-2</v>
      </c>
      <c r="L505">
        <v>-2.573676029215315E-2</v>
      </c>
      <c r="M505" t="s">
        <v>29</v>
      </c>
      <c r="N505">
        <v>4</v>
      </c>
      <c r="O505" t="s">
        <v>28</v>
      </c>
      <c r="P505">
        <v>67546</v>
      </c>
      <c r="Q505">
        <v>312.13</v>
      </c>
      <c r="R505">
        <v>221.93</v>
      </c>
      <c r="S505">
        <v>0.35140661475122492</v>
      </c>
      <c r="T505">
        <v>1.153969525218412E-2</v>
      </c>
      <c r="U505">
        <v>8.3961894403326263E-3</v>
      </c>
      <c r="V505">
        <v>3.1412795687455509E-3</v>
      </c>
      <c r="W505">
        <v>5.2549098715870754E-3</v>
      </c>
      <c r="X505" s="19">
        <f t="shared" si="21"/>
        <v>46113</v>
      </c>
      <c r="Y505" s="19">
        <f t="shared" si="22"/>
        <v>46113</v>
      </c>
      <c r="Z505">
        <f t="array" ref="Z505">_xlfn.XLOOKUP(INT(X505),INT($AE$2:$AE$1000),$AG$2:$AG$1000,"")</f>
        <v>24.54</v>
      </c>
      <c r="AE505" s="19" t="e">
        <f t="shared" si="23"/>
        <v>#VALUE!</v>
      </c>
    </row>
    <row r="506" spans="1:32" x14ac:dyDescent="0.3">
      <c r="A506">
        <v>11</v>
      </c>
      <c r="B506" t="s">
        <v>25</v>
      </c>
      <c r="C506" t="s">
        <v>33</v>
      </c>
      <c r="D506">
        <v>67591</v>
      </c>
      <c r="E506">
        <v>309.93</v>
      </c>
      <c r="F506">
        <v>223.08</v>
      </c>
      <c r="G506">
        <v>309.96099299999997</v>
      </c>
      <c r="H506">
        <v>223.057692</v>
      </c>
      <c r="I506">
        <v>-5.1185768987787341</v>
      </c>
      <c r="J506">
        <v>0.57059684405718136</v>
      </c>
      <c r="K506">
        <v>3.2265350240376862E-2</v>
      </c>
      <c r="L506">
        <v>-2.557812641461276E-2</v>
      </c>
      <c r="M506" t="s">
        <v>29</v>
      </c>
      <c r="N506">
        <v>5</v>
      </c>
      <c r="O506" t="s">
        <v>28</v>
      </c>
      <c r="P506">
        <v>67596</v>
      </c>
      <c r="Q506">
        <v>311.31</v>
      </c>
      <c r="R506">
        <v>220.74</v>
      </c>
      <c r="S506">
        <v>0.4715635620531281</v>
      </c>
      <c r="T506">
        <v>0.1043789991419138</v>
      </c>
      <c r="U506">
        <v>0.1012393381170457</v>
      </c>
      <c r="V506">
        <v>3.1412795687455509E-3</v>
      </c>
      <c r="W506">
        <v>9.8098058548300171E-2</v>
      </c>
      <c r="X506" s="19">
        <f t="shared" si="21"/>
        <v>46113</v>
      </c>
      <c r="Y506" s="19">
        <f t="shared" si="22"/>
        <v>46113</v>
      </c>
      <c r="Z506">
        <f t="array" ref="Z506">_xlfn.XLOOKUP(INT(X506),INT($AE$2:$AE$1000),$AG$2:$AG$1000,"")</f>
        <v>24.54</v>
      </c>
      <c r="AE506" s="19" t="e">
        <f t="shared" si="23"/>
        <v>#VALUE!</v>
      </c>
    </row>
    <row r="507" spans="1:32" x14ac:dyDescent="0.3">
      <c r="A507">
        <v>11</v>
      </c>
      <c r="B507" t="s">
        <v>25</v>
      </c>
      <c r="C507" t="s">
        <v>33</v>
      </c>
      <c r="D507">
        <v>67649</v>
      </c>
      <c r="E507">
        <v>310.91000000000003</v>
      </c>
      <c r="F507">
        <v>219.72</v>
      </c>
      <c r="G507">
        <v>310.94109099999997</v>
      </c>
      <c r="H507">
        <v>219.69802799999999</v>
      </c>
      <c r="I507">
        <v>-3.5709860904083488</v>
      </c>
      <c r="J507">
        <v>0.57059684405718136</v>
      </c>
      <c r="K507">
        <v>3.2163648644302198E-2</v>
      </c>
      <c r="L507">
        <v>-2.5969271985125681E-2</v>
      </c>
      <c r="M507" t="s">
        <v>29</v>
      </c>
      <c r="N507">
        <v>18</v>
      </c>
      <c r="O507" t="s">
        <v>28</v>
      </c>
      <c r="P507">
        <v>67667</v>
      </c>
      <c r="Q507">
        <v>311.5</v>
      </c>
      <c r="R507">
        <v>220.2</v>
      </c>
      <c r="S507">
        <v>-0.39520252356599822</v>
      </c>
      <c r="T507">
        <v>6.5113021472774386E-3</v>
      </c>
      <c r="U507">
        <v>3.3669642788386051E-3</v>
      </c>
      <c r="V507">
        <v>3.1412795687455509E-3</v>
      </c>
      <c r="W507">
        <v>2.256847100930537E-4</v>
      </c>
      <c r="X507" s="19">
        <f t="shared" si="21"/>
        <v>46113</v>
      </c>
      <c r="Y507" s="19">
        <f t="shared" si="22"/>
        <v>46113</v>
      </c>
      <c r="Z507">
        <f t="array" ref="Z507">_xlfn.XLOOKUP(INT(X507),INT($AE$2:$AE$1000),$AG$2:$AG$1000,"")</f>
        <v>24.54</v>
      </c>
      <c r="AE507" s="19" t="e">
        <f t="shared" si="23"/>
        <v>#VALUE!</v>
      </c>
      <c r="AF507" s="19"/>
    </row>
    <row r="508" spans="1:32" x14ac:dyDescent="0.3">
      <c r="A508">
        <v>11</v>
      </c>
      <c r="B508" t="s">
        <v>25</v>
      </c>
      <c r="C508" t="s">
        <v>33</v>
      </c>
      <c r="D508">
        <v>68770</v>
      </c>
      <c r="E508">
        <v>312.74</v>
      </c>
      <c r="F508">
        <v>220</v>
      </c>
      <c r="G508">
        <v>312.70872600000001</v>
      </c>
      <c r="H508">
        <v>220.02199999999999</v>
      </c>
      <c r="I508">
        <v>4.7103726555612742</v>
      </c>
      <c r="J508">
        <v>0.57059684405718136</v>
      </c>
      <c r="K508">
        <v>-3.1975442859883609E-2</v>
      </c>
      <c r="L508">
        <v>2.5936220184417332E-2</v>
      </c>
      <c r="M508" t="s">
        <v>27</v>
      </c>
      <c r="N508">
        <v>7</v>
      </c>
      <c r="O508" t="s">
        <v>28</v>
      </c>
      <c r="P508">
        <v>68777</v>
      </c>
      <c r="Q508">
        <v>312.99</v>
      </c>
      <c r="R508">
        <v>223.73500000000001</v>
      </c>
      <c r="S508">
        <v>7.1029836560365711E-2</v>
      </c>
      <c r="T508">
        <v>8.8877921673828186E-2</v>
      </c>
      <c r="U508">
        <v>8.5726241421404475E-2</v>
      </c>
      <c r="V508">
        <v>3.1411078074831738E-3</v>
      </c>
      <c r="W508">
        <v>8.2585133613921308E-2</v>
      </c>
      <c r="X508" s="19">
        <f t="shared" si="21"/>
        <v>46118</v>
      </c>
      <c r="Y508" s="19">
        <f t="shared" si="22"/>
        <v>46118</v>
      </c>
      <c r="Z508">
        <f t="array" ref="Z508">_xlfn.XLOOKUP(INT(X508),INT($AE$2:$AE$1000),$AG$2:$AG$1000,"")</f>
        <v>24.17</v>
      </c>
      <c r="AE508" s="19" t="e">
        <f t="shared" si="23"/>
        <v>#VALUE!</v>
      </c>
      <c r="AF508" s="19"/>
    </row>
    <row r="509" spans="1:32" x14ac:dyDescent="0.3">
      <c r="A509">
        <v>11</v>
      </c>
      <c r="B509" t="s">
        <v>25</v>
      </c>
      <c r="C509" t="s">
        <v>33</v>
      </c>
      <c r="D509">
        <v>69155</v>
      </c>
      <c r="E509">
        <v>310.47000000000003</v>
      </c>
      <c r="F509">
        <v>224.52</v>
      </c>
      <c r="G509">
        <v>310.50104700000003</v>
      </c>
      <c r="H509">
        <v>224.49754799999999</v>
      </c>
      <c r="I509">
        <v>-4.2902584377957682</v>
      </c>
      <c r="J509">
        <v>0.57059684405718136</v>
      </c>
      <c r="K509">
        <v>3.2209231165652073E-2</v>
      </c>
      <c r="L509">
        <v>-2.5414076432263559E-2</v>
      </c>
      <c r="M509" t="s">
        <v>29</v>
      </c>
      <c r="N509">
        <v>27</v>
      </c>
      <c r="O509" t="s">
        <v>28</v>
      </c>
      <c r="P509">
        <v>69182</v>
      </c>
      <c r="Q509">
        <v>313.74</v>
      </c>
      <c r="R509">
        <v>225.49</v>
      </c>
      <c r="S509">
        <v>0.47212188172419078</v>
      </c>
      <c r="T509">
        <v>8.0672531772386064E-2</v>
      </c>
      <c r="U509">
        <v>7.7518340500267888E-2</v>
      </c>
      <c r="V509">
        <v>3.1412795687455509E-3</v>
      </c>
      <c r="W509">
        <v>7.437706093152234E-2</v>
      </c>
      <c r="X509" s="19">
        <f t="shared" si="21"/>
        <v>46119</v>
      </c>
      <c r="Y509" s="19">
        <f t="shared" si="22"/>
        <v>46119</v>
      </c>
      <c r="Z509">
        <f t="array" ref="Z509">_xlfn.XLOOKUP(INT(X509),INT($AE$2:$AE$1000),$AG$2:$AG$1000,"")</f>
        <v>25.78</v>
      </c>
      <c r="AE509" s="19" t="e">
        <f t="shared" si="23"/>
        <v>#VALUE!</v>
      </c>
      <c r="AF509" s="19"/>
    </row>
    <row r="510" spans="1:32" x14ac:dyDescent="0.3">
      <c r="A510">
        <v>11</v>
      </c>
      <c r="B510" t="s">
        <v>25</v>
      </c>
      <c r="C510" t="s">
        <v>33</v>
      </c>
      <c r="D510">
        <v>69877</v>
      </c>
      <c r="E510">
        <v>314.51</v>
      </c>
      <c r="F510">
        <v>228.08</v>
      </c>
      <c r="G510">
        <v>314.47854899999999</v>
      </c>
      <c r="H510">
        <v>228.10280800000001</v>
      </c>
      <c r="I510">
        <v>4.2703475984977501</v>
      </c>
      <c r="J510">
        <v>0.57059684405718136</v>
      </c>
      <c r="K510">
        <v>-3.179549139931958E-2</v>
      </c>
      <c r="L510">
        <v>2.5017399336074241E-2</v>
      </c>
      <c r="M510" t="s">
        <v>27</v>
      </c>
      <c r="N510">
        <v>9</v>
      </c>
      <c r="O510" t="s">
        <v>28</v>
      </c>
      <c r="P510">
        <v>69886</v>
      </c>
      <c r="Q510">
        <v>314.32</v>
      </c>
      <c r="R510">
        <v>228.58500000000001</v>
      </c>
      <c r="S510">
        <v>0.22938348531933539</v>
      </c>
      <c r="T510">
        <v>1.8674930030588031E-2</v>
      </c>
      <c r="U510">
        <v>1.5533077078144259E-2</v>
      </c>
      <c r="V510">
        <v>3.1411078074831738E-3</v>
      </c>
      <c r="W510">
        <v>1.239196927066109E-2</v>
      </c>
      <c r="X510" s="19">
        <f t="shared" si="21"/>
        <v>46121</v>
      </c>
      <c r="Y510" s="19">
        <f t="shared" si="22"/>
        <v>46121</v>
      </c>
      <c r="Z510">
        <f t="array" ref="Z510">_xlfn.XLOOKUP(INT(X510),INT($AE$2:$AE$1000),$AG$2:$AG$1000,"")</f>
        <v>19.489999999999998</v>
      </c>
      <c r="AE510" s="19" t="e">
        <f t="shared" si="23"/>
        <v>#VALUE!</v>
      </c>
      <c r="AF510" s="19"/>
    </row>
    <row r="511" spans="1:32" x14ac:dyDescent="0.3">
      <c r="A511">
        <v>11</v>
      </c>
      <c r="B511" t="s">
        <v>25</v>
      </c>
      <c r="C511" t="s">
        <v>33</v>
      </c>
      <c r="D511">
        <v>70279</v>
      </c>
      <c r="E511">
        <v>312.46499999999997</v>
      </c>
      <c r="F511">
        <v>225.71</v>
      </c>
      <c r="G511">
        <v>312.43375350000002</v>
      </c>
      <c r="H511">
        <v>225.73257100000001</v>
      </c>
      <c r="I511">
        <v>3.6001646469655788</v>
      </c>
      <c r="J511">
        <v>0.57059684405718136</v>
      </c>
      <c r="K511">
        <v>-3.2003584401452963E-2</v>
      </c>
      <c r="L511">
        <v>2.52800870168438E-2</v>
      </c>
      <c r="M511" t="s">
        <v>27</v>
      </c>
      <c r="N511">
        <v>39</v>
      </c>
      <c r="O511" t="s">
        <v>28</v>
      </c>
      <c r="P511">
        <v>70318</v>
      </c>
      <c r="Q511">
        <v>312.74</v>
      </c>
      <c r="R511">
        <v>225.07</v>
      </c>
      <c r="S511">
        <v>0.37135272493205579</v>
      </c>
      <c r="T511">
        <v>-2.4980241401181061E-2</v>
      </c>
      <c r="U511">
        <v>-2.8120697262297281E-2</v>
      </c>
      <c r="V511">
        <v>3.1411078074831738E-3</v>
      </c>
      <c r="W511">
        <v>-3.1261805069780463E-2</v>
      </c>
      <c r="X511" s="19">
        <f t="shared" si="21"/>
        <v>46122</v>
      </c>
      <c r="Y511" s="19">
        <f t="shared" si="22"/>
        <v>46122</v>
      </c>
      <c r="Z511">
        <f t="array" ref="Z511">_xlfn.XLOOKUP(INT(X511),INT($AE$2:$AE$1000),$AG$2:$AG$1000,"")</f>
        <v>19.23</v>
      </c>
      <c r="AE511" s="19" t="e">
        <f t="shared" si="23"/>
        <v>#VALUE!</v>
      </c>
      <c r="AF511" s="19"/>
    </row>
    <row r="512" spans="1:32" x14ac:dyDescent="0.3">
      <c r="A512">
        <v>11</v>
      </c>
      <c r="B512" t="s">
        <v>25</v>
      </c>
      <c r="C512" t="s">
        <v>33</v>
      </c>
      <c r="D512">
        <v>70725</v>
      </c>
      <c r="E512">
        <v>309.55</v>
      </c>
      <c r="F512">
        <v>224.35</v>
      </c>
      <c r="G512">
        <v>309.58095500000002</v>
      </c>
      <c r="H512">
        <v>224.32756499999999</v>
      </c>
      <c r="I512">
        <v>-4.1393567701002638</v>
      </c>
      <c r="J512">
        <v>0.57059684405718136</v>
      </c>
      <c r="K512">
        <v>3.2304958811177523E-2</v>
      </c>
      <c r="L512">
        <v>-2.5433333811329679E-2</v>
      </c>
      <c r="M512" t="s">
        <v>29</v>
      </c>
      <c r="N512">
        <v>6</v>
      </c>
      <c r="O512" t="s">
        <v>28</v>
      </c>
      <c r="P512">
        <v>70731</v>
      </c>
      <c r="Q512">
        <v>310.64999999999998</v>
      </c>
      <c r="R512">
        <v>223.91</v>
      </c>
      <c r="S512">
        <v>8.8884723818941053E-2</v>
      </c>
      <c r="T512">
        <v>4.6726121569279168E-2</v>
      </c>
      <c r="U512">
        <v>4.3582493402382683E-2</v>
      </c>
      <c r="V512">
        <v>3.1412795687455509E-3</v>
      </c>
      <c r="W512">
        <v>4.0441213833637121E-2</v>
      </c>
      <c r="X512" s="19">
        <f t="shared" si="21"/>
        <v>46125</v>
      </c>
      <c r="Y512" s="19">
        <f t="shared" si="22"/>
        <v>46125</v>
      </c>
      <c r="Z512">
        <f t="array" ref="Z512">_xlfn.XLOOKUP(INT(X512),INT($AE$2:$AE$1000),$AG$2:$AG$1000,"")</f>
        <v>19.12</v>
      </c>
      <c r="AE512" s="19" t="e">
        <f t="shared" si="23"/>
        <v>#VALUE!</v>
      </c>
      <c r="AF512" s="19"/>
    </row>
    <row r="513" spans="1:32" x14ac:dyDescent="0.3">
      <c r="A513">
        <v>11</v>
      </c>
      <c r="B513" t="s">
        <v>25</v>
      </c>
      <c r="C513" t="s">
        <v>32</v>
      </c>
      <c r="D513">
        <v>66901</v>
      </c>
      <c r="E513">
        <v>309.49</v>
      </c>
      <c r="F513">
        <v>55.965000000000003</v>
      </c>
      <c r="G513">
        <v>309.45905099999999</v>
      </c>
      <c r="H513">
        <v>55.970596500000013</v>
      </c>
      <c r="I513">
        <v>5.2945547198853946</v>
      </c>
      <c r="J513">
        <v>0.58657099777875932</v>
      </c>
      <c r="K513">
        <v>-3.2311221687292002E-2</v>
      </c>
      <c r="L513">
        <v>0.10481032748660039</v>
      </c>
      <c r="M513" t="s">
        <v>27</v>
      </c>
      <c r="N513">
        <v>23</v>
      </c>
      <c r="O513" t="s">
        <v>28</v>
      </c>
      <c r="P513">
        <v>66924</v>
      </c>
      <c r="Q513">
        <v>309.08</v>
      </c>
      <c r="R513">
        <v>55.935000000000002</v>
      </c>
      <c r="S513">
        <v>0.49019590334507418</v>
      </c>
      <c r="T513">
        <v>1.0103291067192389E-2</v>
      </c>
      <c r="U513">
        <v>6.9317882627055764E-3</v>
      </c>
      <c r="V513">
        <v>3.1730593097570739E-3</v>
      </c>
      <c r="W513">
        <v>3.758728952948502E-3</v>
      </c>
      <c r="X513" s="19">
        <f t="shared" si="21"/>
        <v>46111</v>
      </c>
      <c r="Y513" s="19">
        <f t="shared" si="22"/>
        <v>46111</v>
      </c>
      <c r="Z513">
        <f t="array" ref="Z513">_xlfn.XLOOKUP(INT(X513),INT($AE$2:$AE$1000),$AG$2:$AG$1000,"")</f>
        <v>30.61</v>
      </c>
      <c r="AE513" s="19" t="e">
        <f t="shared" si="23"/>
        <v>#VALUE!</v>
      </c>
      <c r="AF513" s="19"/>
    </row>
    <row r="514" spans="1:32" x14ac:dyDescent="0.3">
      <c r="A514">
        <v>11</v>
      </c>
      <c r="B514" t="s">
        <v>25</v>
      </c>
      <c r="C514" t="s">
        <v>32</v>
      </c>
      <c r="D514">
        <v>66984</v>
      </c>
      <c r="E514">
        <v>308.745</v>
      </c>
      <c r="F514">
        <v>55.87</v>
      </c>
      <c r="G514">
        <v>308.77587449999999</v>
      </c>
      <c r="H514">
        <v>55.864412999999999</v>
      </c>
      <c r="I514">
        <v>-3.502846939339638</v>
      </c>
      <c r="J514">
        <v>0.58657099777875932</v>
      </c>
      <c r="K514">
        <v>3.2389188488882413E-2</v>
      </c>
      <c r="L514">
        <v>-0.10498854443865389</v>
      </c>
      <c r="M514" t="s">
        <v>29</v>
      </c>
      <c r="N514">
        <v>11</v>
      </c>
      <c r="O514" t="s">
        <v>28</v>
      </c>
      <c r="P514">
        <v>66995</v>
      </c>
      <c r="Q514">
        <v>308.62</v>
      </c>
      <c r="R514">
        <v>55.774999999999999</v>
      </c>
      <c r="S514">
        <v>-0.1035256758914571</v>
      </c>
      <c r="T514">
        <v>5.9252631605616994E-3</v>
      </c>
      <c r="U514">
        <v>2.7535234210326639E-3</v>
      </c>
      <c r="V514">
        <v>3.1732246813579632E-3</v>
      </c>
      <c r="W514">
        <v>-4.1970126032529878E-4</v>
      </c>
      <c r="X514" s="19">
        <f t="shared" ref="X514:X576" si="24">WORKDAY(DATE(2025,8,2),INT(D514/390))</f>
        <v>46111</v>
      </c>
      <c r="Y514" s="19">
        <f t="shared" ref="Y514:Y577" si="25">WORKDAY(DATE(2025,8,2),INT(P514/390))</f>
        <v>46111</v>
      </c>
      <c r="Z514">
        <f t="array" ref="Z514">_xlfn.XLOOKUP(INT(X514),INT($AE$2:$AE$1000),$AG$2:$AG$1000,"")</f>
        <v>30.61</v>
      </c>
      <c r="AE514" s="19" t="e">
        <f t="shared" ref="AE514:AE577" si="26">IF(ISNUMBER(AF514),DATE(YEAR(AF514),DAY(AF514),MONTH(AF514)),DATE(RIGHT(AF514,4),LEFT(AF514,2),MID(AF514,4,2)))</f>
        <v>#VALUE!</v>
      </c>
    </row>
    <row r="515" spans="1:32" x14ac:dyDescent="0.3">
      <c r="A515">
        <v>11</v>
      </c>
      <c r="B515" t="s">
        <v>25</v>
      </c>
      <c r="C515" t="s">
        <v>32</v>
      </c>
      <c r="D515">
        <v>67163</v>
      </c>
      <c r="E515">
        <v>310.125</v>
      </c>
      <c r="F515">
        <v>55.9</v>
      </c>
      <c r="G515">
        <v>310.09398750000003</v>
      </c>
      <c r="H515">
        <v>55.905589999999997</v>
      </c>
      <c r="I515">
        <v>4.1535457371450466</v>
      </c>
      <c r="J515">
        <v>0.58657099777875932</v>
      </c>
      <c r="K515">
        <v>-3.2245062474808538E-2</v>
      </c>
      <c r="L515">
        <v>0.10493219996042211</v>
      </c>
      <c r="M515" t="s">
        <v>27</v>
      </c>
      <c r="N515">
        <v>14</v>
      </c>
      <c r="O515" t="s">
        <v>28</v>
      </c>
      <c r="P515">
        <v>67177</v>
      </c>
      <c r="Q515">
        <v>309.625</v>
      </c>
      <c r="R515">
        <v>55.784999999999997</v>
      </c>
      <c r="S515">
        <v>0.1168815692085188</v>
      </c>
      <c r="T515">
        <v>4.0553282419555246E-3</v>
      </c>
      <c r="U515">
        <v>8.8500521982290067E-4</v>
      </c>
      <c r="V515">
        <v>3.1730593097570748E-3</v>
      </c>
      <c r="W515">
        <v>-2.2880540899341741E-3</v>
      </c>
      <c r="X515" s="19">
        <f t="shared" si="24"/>
        <v>46112</v>
      </c>
      <c r="Y515" s="19">
        <f t="shared" si="25"/>
        <v>46112</v>
      </c>
      <c r="Z515">
        <f t="array" ref="Z515">_xlfn.XLOOKUP(INT(X515),INT($AE$2:$AE$1000),$AG$2:$AG$1000,"")</f>
        <v>25.25</v>
      </c>
      <c r="AE515" s="19" t="e">
        <f t="shared" si="26"/>
        <v>#VALUE!</v>
      </c>
    </row>
    <row r="516" spans="1:32" x14ac:dyDescent="0.3">
      <c r="A516">
        <v>11</v>
      </c>
      <c r="B516" t="s">
        <v>25</v>
      </c>
      <c r="C516" t="s">
        <v>32</v>
      </c>
      <c r="D516">
        <v>67591</v>
      </c>
      <c r="E516">
        <v>309.93</v>
      </c>
      <c r="F516">
        <v>56.5</v>
      </c>
      <c r="G516">
        <v>309.96099299999997</v>
      </c>
      <c r="H516">
        <v>56.494349999999997</v>
      </c>
      <c r="I516">
        <v>-5.0808858780711219</v>
      </c>
      <c r="J516">
        <v>0.58657099777875932</v>
      </c>
      <c r="K516">
        <v>3.2265350240376862E-2</v>
      </c>
      <c r="L516">
        <v>-0.1038178757130547</v>
      </c>
      <c r="M516" t="s">
        <v>29</v>
      </c>
      <c r="N516">
        <v>31</v>
      </c>
      <c r="O516" t="s">
        <v>28</v>
      </c>
      <c r="P516">
        <v>67622</v>
      </c>
      <c r="Q516">
        <v>312.26</v>
      </c>
      <c r="R516">
        <v>55.475000000000001</v>
      </c>
      <c r="S516">
        <v>9.500812271806755E-2</v>
      </c>
      <c r="T516">
        <v>0.18159158866595851</v>
      </c>
      <c r="U516">
        <v>0.17842157017605451</v>
      </c>
      <c r="V516">
        <v>3.1732246813579632E-3</v>
      </c>
      <c r="W516">
        <v>0.17524834549469659</v>
      </c>
      <c r="X516" s="19">
        <f t="shared" si="24"/>
        <v>46113</v>
      </c>
      <c r="Y516" s="19">
        <f t="shared" si="25"/>
        <v>46113</v>
      </c>
      <c r="Z516">
        <f t="array" ref="Z516">_xlfn.XLOOKUP(INT(X516),INT($AE$2:$AE$1000),$AG$2:$AG$1000,"")</f>
        <v>24.54</v>
      </c>
      <c r="AE516" s="19" t="e">
        <f t="shared" si="26"/>
        <v>#VALUE!</v>
      </c>
    </row>
    <row r="517" spans="1:32" x14ac:dyDescent="0.3">
      <c r="A517">
        <v>11</v>
      </c>
      <c r="B517" t="s">
        <v>25</v>
      </c>
      <c r="C517" t="s">
        <v>32</v>
      </c>
      <c r="D517">
        <v>68380</v>
      </c>
      <c r="E517">
        <v>306.36</v>
      </c>
      <c r="F517">
        <v>55.82</v>
      </c>
      <c r="G517">
        <v>306.329364</v>
      </c>
      <c r="H517">
        <v>55.825581999999997</v>
      </c>
      <c r="I517">
        <v>4.7736834432952886</v>
      </c>
      <c r="J517">
        <v>0.58657099777875932</v>
      </c>
      <c r="K517">
        <v>-3.2641336989163078E-2</v>
      </c>
      <c r="L517">
        <v>0.10508258648849141</v>
      </c>
      <c r="M517" t="s">
        <v>27</v>
      </c>
      <c r="N517">
        <v>27</v>
      </c>
      <c r="O517" t="s">
        <v>28</v>
      </c>
      <c r="P517">
        <v>68407</v>
      </c>
      <c r="Q517">
        <v>308.04000000000002</v>
      </c>
      <c r="R517">
        <v>55.69</v>
      </c>
      <c r="S517">
        <v>0.23043011132595939</v>
      </c>
      <c r="T517">
        <v>-6.8498182385298353E-2</v>
      </c>
      <c r="U517">
        <v>-7.1675442051845645E-2</v>
      </c>
      <c r="V517">
        <v>3.1730593097570739E-3</v>
      </c>
      <c r="W517">
        <v>-7.4848501361602718E-2</v>
      </c>
      <c r="X517" s="19">
        <f t="shared" si="24"/>
        <v>46115</v>
      </c>
      <c r="Y517" s="19">
        <f t="shared" si="25"/>
        <v>46115</v>
      </c>
      <c r="Z517" t="str">
        <f t="array" ref="Z517">_xlfn.XLOOKUP(INT(X517),INT($AE$2:$AE$1000),$AG$2:$AG$1000,"")</f>
        <v/>
      </c>
      <c r="AE517" s="19" t="e">
        <f t="shared" si="26"/>
        <v>#VALUE!</v>
      </c>
    </row>
    <row r="518" spans="1:32" x14ac:dyDescent="0.3">
      <c r="A518">
        <v>11</v>
      </c>
      <c r="B518" t="s">
        <v>25</v>
      </c>
      <c r="C518" t="s">
        <v>32</v>
      </c>
      <c r="D518">
        <v>68740</v>
      </c>
      <c r="E518">
        <v>308.75</v>
      </c>
      <c r="F518">
        <v>55.664999999999999</v>
      </c>
      <c r="G518">
        <v>308.71912500000002</v>
      </c>
      <c r="H518">
        <v>55.6705665</v>
      </c>
      <c r="I518">
        <v>3.8799748390619002</v>
      </c>
      <c r="J518">
        <v>0.58657099777875932</v>
      </c>
      <c r="K518">
        <v>-3.2388663967611343E-2</v>
      </c>
      <c r="L518">
        <v>0.105375190474941</v>
      </c>
      <c r="M518" t="s">
        <v>27</v>
      </c>
      <c r="N518">
        <v>20</v>
      </c>
      <c r="O518" t="s">
        <v>28</v>
      </c>
      <c r="P518">
        <v>68760</v>
      </c>
      <c r="Q518">
        <v>309.17</v>
      </c>
      <c r="R518">
        <v>55.57</v>
      </c>
      <c r="S518">
        <v>0.31029731677746097</v>
      </c>
      <c r="T518">
        <v>-2.3613881961516561E-2</v>
      </c>
      <c r="U518">
        <v>-2.6787383216649811E-2</v>
      </c>
      <c r="V518">
        <v>3.1730593097570748E-3</v>
      </c>
      <c r="W518">
        <v>-2.9960442526406891E-2</v>
      </c>
      <c r="X518" s="19">
        <f t="shared" si="24"/>
        <v>46118</v>
      </c>
      <c r="Y518" s="19">
        <f t="shared" si="25"/>
        <v>46118</v>
      </c>
      <c r="Z518">
        <f t="array" ref="Z518">_xlfn.XLOOKUP(INT(X518),INT($AE$2:$AE$1000),$AG$2:$AG$1000,"")</f>
        <v>24.17</v>
      </c>
      <c r="AE518" s="19" t="e">
        <f t="shared" si="26"/>
        <v>#VALUE!</v>
      </c>
    </row>
    <row r="519" spans="1:32" x14ac:dyDescent="0.3">
      <c r="A519">
        <v>11</v>
      </c>
      <c r="B519" t="s">
        <v>25</v>
      </c>
      <c r="C519" t="s">
        <v>32</v>
      </c>
      <c r="D519">
        <v>68895</v>
      </c>
      <c r="E519">
        <v>312.42</v>
      </c>
      <c r="F519">
        <v>56.92</v>
      </c>
      <c r="G519">
        <v>312.45124199999998</v>
      </c>
      <c r="H519">
        <v>56.914308000000013</v>
      </c>
      <c r="I519">
        <v>-3.588175773108742</v>
      </c>
      <c r="J519">
        <v>0.58657099777875932</v>
      </c>
      <c r="K519">
        <v>3.2008194097689013E-2</v>
      </c>
      <c r="L519">
        <v>-0.10305182673555149</v>
      </c>
      <c r="M519" t="s">
        <v>29</v>
      </c>
      <c r="N519">
        <v>11</v>
      </c>
      <c r="O519" t="s">
        <v>28</v>
      </c>
      <c r="P519">
        <v>68906</v>
      </c>
      <c r="Q519">
        <v>313.14499999999998</v>
      </c>
      <c r="R519">
        <v>56.96</v>
      </c>
      <c r="S519">
        <v>6.525987459048592E-2</v>
      </c>
      <c r="T519">
        <v>1.9083867651401461E-2</v>
      </c>
      <c r="U519">
        <v>1.590799285446438E-2</v>
      </c>
      <c r="V519">
        <v>3.1732246813579632E-3</v>
      </c>
      <c r="W519">
        <v>1.273476817310641E-2</v>
      </c>
      <c r="X519" s="19">
        <f t="shared" si="24"/>
        <v>46118</v>
      </c>
      <c r="Y519" s="19">
        <f t="shared" si="25"/>
        <v>46118</v>
      </c>
      <c r="Z519">
        <f t="array" ref="Z519">_xlfn.XLOOKUP(INT(X519),INT($AE$2:$AE$1000),$AG$2:$AG$1000,"")</f>
        <v>24.17</v>
      </c>
      <c r="AE519" s="19" t="e">
        <f t="shared" si="26"/>
        <v>#VALUE!</v>
      </c>
    </row>
    <row r="520" spans="1:32" x14ac:dyDescent="0.3">
      <c r="A520">
        <v>11</v>
      </c>
      <c r="B520" t="s">
        <v>25</v>
      </c>
      <c r="C520" t="s">
        <v>32</v>
      </c>
      <c r="D520">
        <v>69551</v>
      </c>
      <c r="E520">
        <v>317.10000000000002</v>
      </c>
      <c r="F520">
        <v>57.02</v>
      </c>
      <c r="G520">
        <v>317.06828999999999</v>
      </c>
      <c r="H520">
        <v>57.025702000000003</v>
      </c>
      <c r="I520">
        <v>3.57343734689925</v>
      </c>
      <c r="J520">
        <v>0.58657099777875932</v>
      </c>
      <c r="K520">
        <v>-3.1535793125197102E-2</v>
      </c>
      <c r="L520">
        <v>0.1028710974708452</v>
      </c>
      <c r="M520" t="s">
        <v>27</v>
      </c>
      <c r="N520">
        <v>4</v>
      </c>
      <c r="O520" t="s">
        <v>28</v>
      </c>
      <c r="P520">
        <v>69555</v>
      </c>
      <c r="Q520">
        <v>318.505</v>
      </c>
      <c r="R520">
        <v>57.78</v>
      </c>
      <c r="S520">
        <v>-0.48229151959686012</v>
      </c>
      <c r="T520">
        <v>3.3874244736941089E-2</v>
      </c>
      <c r="U520">
        <v>3.0688853759042001E-2</v>
      </c>
      <c r="V520">
        <v>3.1730593097570748E-3</v>
      </c>
      <c r="W520">
        <v>2.7515794449284921E-2</v>
      </c>
      <c r="X520" s="19">
        <f t="shared" si="24"/>
        <v>46120</v>
      </c>
      <c r="Y520" s="19">
        <f t="shared" si="25"/>
        <v>46120</v>
      </c>
      <c r="Z520">
        <f t="array" ref="Z520">_xlfn.XLOOKUP(INT(X520),INT($AE$2:$AE$1000),$AG$2:$AG$1000,"")</f>
        <v>21.04</v>
      </c>
      <c r="AE520" s="19" t="e">
        <f t="shared" si="26"/>
        <v>#VALUE!</v>
      </c>
    </row>
    <row r="521" spans="1:32" x14ac:dyDescent="0.3">
      <c r="A521">
        <v>11</v>
      </c>
      <c r="B521" t="s">
        <v>25</v>
      </c>
      <c r="C521" t="s">
        <v>32</v>
      </c>
      <c r="D521">
        <v>70279</v>
      </c>
      <c r="E521">
        <v>312.46499999999997</v>
      </c>
      <c r="F521">
        <v>56.524999999999999</v>
      </c>
      <c r="G521">
        <v>312.43375350000002</v>
      </c>
      <c r="H521">
        <v>56.530652500000002</v>
      </c>
      <c r="I521">
        <v>3.6992076498333941</v>
      </c>
      <c r="J521">
        <v>0.58657099777875932</v>
      </c>
      <c r="K521">
        <v>-3.2003584401452963E-2</v>
      </c>
      <c r="L521">
        <v>0.10377195891707371</v>
      </c>
      <c r="M521" t="s">
        <v>27</v>
      </c>
      <c r="N521">
        <v>18</v>
      </c>
      <c r="O521" t="s">
        <v>28</v>
      </c>
      <c r="P521">
        <v>70297</v>
      </c>
      <c r="Q521">
        <v>312.67</v>
      </c>
      <c r="R521">
        <v>56.55</v>
      </c>
      <c r="S521">
        <v>0.36535651814178688</v>
      </c>
      <c r="T521">
        <v>-3.9664358293724717E-3</v>
      </c>
      <c r="U521">
        <v>-7.1404933283075976E-3</v>
      </c>
      <c r="V521">
        <v>3.1730593097570739E-3</v>
      </c>
      <c r="W521">
        <v>-1.0313552638064671E-2</v>
      </c>
      <c r="X521" s="19">
        <f t="shared" si="24"/>
        <v>46122</v>
      </c>
      <c r="Y521" s="19">
        <f t="shared" si="25"/>
        <v>46122</v>
      </c>
      <c r="Z521">
        <f t="array" ref="Z521">_xlfn.XLOOKUP(INT(X521),INT($AE$2:$AE$1000),$AG$2:$AG$1000,"")</f>
        <v>19.23</v>
      </c>
      <c r="AE521" s="19" t="e">
        <f t="shared" si="26"/>
        <v>#VALUE!</v>
      </c>
    </row>
    <row r="522" spans="1:32" x14ac:dyDescent="0.3">
      <c r="A522">
        <v>11</v>
      </c>
      <c r="B522" t="s">
        <v>25</v>
      </c>
      <c r="C522" t="s">
        <v>32</v>
      </c>
      <c r="D522">
        <v>70725</v>
      </c>
      <c r="E522">
        <v>309.55</v>
      </c>
      <c r="F522">
        <v>56.49</v>
      </c>
      <c r="G522">
        <v>309.58095500000002</v>
      </c>
      <c r="H522">
        <v>56.484350999999997</v>
      </c>
      <c r="I522">
        <v>-4.4580535174547862</v>
      </c>
      <c r="J522">
        <v>0.58657099777875932</v>
      </c>
      <c r="K522">
        <v>3.2304958811177523E-2</v>
      </c>
      <c r="L522">
        <v>-0.10383625381107441</v>
      </c>
      <c r="M522" t="s">
        <v>29</v>
      </c>
      <c r="N522">
        <v>12</v>
      </c>
      <c r="O522" t="s">
        <v>28</v>
      </c>
      <c r="P522">
        <v>70737</v>
      </c>
      <c r="Q522">
        <v>310.47000000000003</v>
      </c>
      <c r="R522">
        <v>56.56</v>
      </c>
      <c r="S522">
        <v>-0.45112633588504442</v>
      </c>
      <c r="T522">
        <v>2.2452024339508589E-2</v>
      </c>
      <c r="U522">
        <v>1.927518343396353E-2</v>
      </c>
      <c r="V522">
        <v>3.1732246813579632E-3</v>
      </c>
      <c r="W522">
        <v>1.6101958752605571E-2</v>
      </c>
      <c r="X522" s="19">
        <f t="shared" si="24"/>
        <v>46125</v>
      </c>
      <c r="Y522" s="19">
        <f t="shared" si="25"/>
        <v>46125</v>
      </c>
      <c r="Z522">
        <f t="array" ref="Z522">_xlfn.XLOOKUP(INT(X522),INT($AE$2:$AE$1000),$AG$2:$AG$1000,"")</f>
        <v>19.12</v>
      </c>
      <c r="AE522" s="19" t="e">
        <f t="shared" si="26"/>
        <v>#VALUE!</v>
      </c>
    </row>
    <row r="523" spans="1:32" x14ac:dyDescent="0.3">
      <c r="A523">
        <v>11</v>
      </c>
      <c r="B523" t="s">
        <v>32</v>
      </c>
      <c r="C523" t="s">
        <v>33</v>
      </c>
      <c r="D523">
        <v>66901</v>
      </c>
      <c r="E523">
        <v>55.965000000000003</v>
      </c>
      <c r="F523">
        <v>222.035</v>
      </c>
      <c r="G523">
        <v>55.970596500000013</v>
      </c>
      <c r="H523">
        <v>222.01279650000001</v>
      </c>
      <c r="I523">
        <v>-5.2946478260553409</v>
      </c>
      <c r="J523">
        <v>0.93445707488887586</v>
      </c>
      <c r="K523">
        <v>0.17868310551237379</v>
      </c>
      <c r="L523">
        <v>-4.2086025846775323E-2</v>
      </c>
      <c r="M523" t="s">
        <v>29</v>
      </c>
      <c r="N523">
        <v>23</v>
      </c>
      <c r="O523" t="s">
        <v>28</v>
      </c>
      <c r="P523">
        <v>66924</v>
      </c>
      <c r="Q523">
        <v>55.935000000000002</v>
      </c>
      <c r="R523">
        <v>222.07499999999999</v>
      </c>
      <c r="S523">
        <v>-0.49189975345358661</v>
      </c>
      <c r="T523">
        <v>-7.043934199242095E-3</v>
      </c>
      <c r="U523">
        <v>-1.0912480643806399E-2</v>
      </c>
      <c r="V523">
        <v>3.8689272583627742E-3</v>
      </c>
      <c r="W523">
        <v>-1.478140790216918E-2</v>
      </c>
      <c r="X523" s="19">
        <f t="shared" si="24"/>
        <v>46111</v>
      </c>
      <c r="Y523" s="19">
        <f t="shared" si="25"/>
        <v>46111</v>
      </c>
      <c r="Z523">
        <f t="array" ref="Z523">_xlfn.XLOOKUP(INT(X523),INT($AE$2:$AE$1000),$AG$2:$AG$1000,"")</f>
        <v>30.61</v>
      </c>
      <c r="AE523" s="19" t="e">
        <f t="shared" si="26"/>
        <v>#VALUE!</v>
      </c>
    </row>
    <row r="524" spans="1:32" x14ac:dyDescent="0.3">
      <c r="A524">
        <v>11</v>
      </c>
      <c r="B524" t="s">
        <v>32</v>
      </c>
      <c r="C524" t="s">
        <v>33</v>
      </c>
      <c r="D524">
        <v>67199</v>
      </c>
      <c r="E524">
        <v>55.06</v>
      </c>
      <c r="F524">
        <v>219.55</v>
      </c>
      <c r="G524">
        <v>55.065505999999999</v>
      </c>
      <c r="H524">
        <v>219.52804499999999</v>
      </c>
      <c r="I524">
        <v>-3.8426630156980628</v>
      </c>
      <c r="J524">
        <v>0.93445707488887586</v>
      </c>
      <c r="K524">
        <v>0.18162005085361421</v>
      </c>
      <c r="L524">
        <v>-4.2562381001542957E-2</v>
      </c>
      <c r="M524" t="s">
        <v>29</v>
      </c>
      <c r="N524">
        <v>4</v>
      </c>
      <c r="O524" t="s">
        <v>28</v>
      </c>
      <c r="P524">
        <v>67203</v>
      </c>
      <c r="Q524">
        <v>55.06</v>
      </c>
      <c r="R524">
        <v>218.84</v>
      </c>
      <c r="S524">
        <v>0.1324499817146908</v>
      </c>
      <c r="T524">
        <v>3.0219290511095839E-2</v>
      </c>
      <c r="U524">
        <v>2.63533982903707E-2</v>
      </c>
      <c r="V524">
        <v>3.8689272583627742E-3</v>
      </c>
      <c r="W524">
        <v>2.248447103200792E-2</v>
      </c>
      <c r="X524" s="19">
        <f t="shared" si="24"/>
        <v>46112</v>
      </c>
      <c r="Y524" s="19">
        <f t="shared" si="25"/>
        <v>46112</v>
      </c>
      <c r="Z524">
        <f t="array" ref="Z524">_xlfn.XLOOKUP(INT(X524),INT($AE$2:$AE$1000),$AG$2:$AG$1000,"")</f>
        <v>25.25</v>
      </c>
      <c r="AE524" s="19" t="e">
        <f t="shared" si="26"/>
        <v>#VALUE!</v>
      </c>
    </row>
    <row r="525" spans="1:32" x14ac:dyDescent="0.3">
      <c r="A525">
        <v>11</v>
      </c>
      <c r="B525" t="s">
        <v>32</v>
      </c>
      <c r="C525" t="s">
        <v>33</v>
      </c>
      <c r="D525">
        <v>67526</v>
      </c>
      <c r="E525">
        <v>56.06</v>
      </c>
      <c r="F525">
        <v>220.79499999999999</v>
      </c>
      <c r="G525">
        <v>56.054394000000002</v>
      </c>
      <c r="H525">
        <v>220.81707950000001</v>
      </c>
      <c r="I525">
        <v>3.6632248598909172</v>
      </c>
      <c r="J525">
        <v>0.93445707488887586</v>
      </c>
      <c r="K525">
        <v>-0.1783803068141277</v>
      </c>
      <c r="L525">
        <v>4.2322383880471742E-2</v>
      </c>
      <c r="M525" t="s">
        <v>27</v>
      </c>
      <c r="N525">
        <v>2</v>
      </c>
      <c r="O525" t="s">
        <v>28</v>
      </c>
      <c r="P525">
        <v>67528</v>
      </c>
      <c r="Q525">
        <v>56.055</v>
      </c>
      <c r="R525">
        <v>221.02</v>
      </c>
      <c r="S525">
        <v>0.12602292135027909</v>
      </c>
      <c r="T525">
        <v>1.0414437907178199E-2</v>
      </c>
      <c r="U525">
        <v>6.544660693917119E-3</v>
      </c>
      <c r="V525">
        <v>3.868901041192729E-3</v>
      </c>
      <c r="W525">
        <v>2.6757596527243899E-3</v>
      </c>
      <c r="X525" s="19">
        <f t="shared" si="24"/>
        <v>46113</v>
      </c>
      <c r="Y525" s="19">
        <f t="shared" si="25"/>
        <v>46113</v>
      </c>
      <c r="Z525">
        <f t="array" ref="Z525">_xlfn.XLOOKUP(INT(X525),INT($AE$2:$AE$1000),$AG$2:$AG$1000,"")</f>
        <v>24.54</v>
      </c>
      <c r="AE525" s="19" t="e">
        <f t="shared" si="26"/>
        <v>#VALUE!</v>
      </c>
    </row>
    <row r="526" spans="1:32" x14ac:dyDescent="0.3">
      <c r="A526">
        <v>11</v>
      </c>
      <c r="B526" t="s">
        <v>32</v>
      </c>
      <c r="C526" t="s">
        <v>33</v>
      </c>
      <c r="D526">
        <v>67596</v>
      </c>
      <c r="E526">
        <v>55.86</v>
      </c>
      <c r="F526">
        <v>220.74</v>
      </c>
      <c r="G526">
        <v>55.865586</v>
      </c>
      <c r="H526">
        <v>220.71792600000001</v>
      </c>
      <c r="I526">
        <v>-3.6861653480315608</v>
      </c>
      <c r="J526">
        <v>0.93445707488887586</v>
      </c>
      <c r="K526">
        <v>0.17901897601145719</v>
      </c>
      <c r="L526">
        <v>-4.2332929006472578E-2</v>
      </c>
      <c r="M526" t="s">
        <v>29</v>
      </c>
      <c r="N526">
        <v>25</v>
      </c>
      <c r="O526" t="s">
        <v>28</v>
      </c>
      <c r="P526">
        <v>67621</v>
      </c>
      <c r="Q526">
        <v>55.34</v>
      </c>
      <c r="R526">
        <v>219.47</v>
      </c>
      <c r="S526">
        <v>-0.18402809430865691</v>
      </c>
      <c r="T526">
        <v>-3.9327047687736427E-2</v>
      </c>
      <c r="U526">
        <v>-4.3181276568778078E-2</v>
      </c>
      <c r="V526">
        <v>3.8689272583627742E-3</v>
      </c>
      <c r="W526">
        <v>-4.7050203827140862E-2</v>
      </c>
      <c r="X526" s="19">
        <f t="shared" si="24"/>
        <v>46113</v>
      </c>
      <c r="Y526" s="19">
        <f t="shared" si="25"/>
        <v>46113</v>
      </c>
      <c r="Z526">
        <f t="array" ref="Z526">_xlfn.XLOOKUP(INT(X526),INT($AE$2:$AE$1000),$AG$2:$AG$1000,"")</f>
        <v>24.54</v>
      </c>
      <c r="AE526" s="19" t="e">
        <f t="shared" si="26"/>
        <v>#VALUE!</v>
      </c>
    </row>
    <row r="527" spans="1:32" x14ac:dyDescent="0.3">
      <c r="A527">
        <v>11</v>
      </c>
      <c r="B527" t="s">
        <v>32</v>
      </c>
      <c r="C527" t="s">
        <v>33</v>
      </c>
      <c r="D527">
        <v>67988</v>
      </c>
      <c r="E527">
        <v>56.38</v>
      </c>
      <c r="F527">
        <v>224.095</v>
      </c>
      <c r="G527">
        <v>56.385638</v>
      </c>
      <c r="H527">
        <v>224.07259049999999</v>
      </c>
      <c r="I527">
        <v>-4.8642061366331379</v>
      </c>
      <c r="J527">
        <v>0.93445707488887586</v>
      </c>
      <c r="K527">
        <v>0.17736786094359699</v>
      </c>
      <c r="L527">
        <v>-4.1699148793541828E-2</v>
      </c>
      <c r="M527" t="s">
        <v>29</v>
      </c>
      <c r="N527">
        <v>33</v>
      </c>
      <c r="O527" t="s">
        <v>28</v>
      </c>
      <c r="P527">
        <v>68021</v>
      </c>
      <c r="Q527">
        <v>55.935000000000002</v>
      </c>
      <c r="R527">
        <v>219.91</v>
      </c>
      <c r="S527">
        <v>0.49306683379546712</v>
      </c>
      <c r="T527">
        <v>9.5582239581071954E-2</v>
      </c>
      <c r="U527">
        <v>9.1738669394877584E-2</v>
      </c>
      <c r="V527">
        <v>3.8689272583627742E-3</v>
      </c>
      <c r="W527">
        <v>8.7869742136514814E-2</v>
      </c>
      <c r="X527" s="19">
        <f t="shared" si="24"/>
        <v>46114</v>
      </c>
      <c r="Y527" s="19">
        <f t="shared" si="25"/>
        <v>46114</v>
      </c>
      <c r="Z527">
        <f t="array" ref="Z527">_xlfn.XLOOKUP(INT(X527),INT($AE$2:$AE$1000),$AG$2:$AG$1000,"")</f>
        <v>23.87</v>
      </c>
      <c r="AE527" s="19" t="e">
        <f t="shared" si="26"/>
        <v>#VALUE!</v>
      </c>
    </row>
    <row r="528" spans="1:32" x14ac:dyDescent="0.3">
      <c r="A528">
        <v>11</v>
      </c>
      <c r="B528" t="s">
        <v>32</v>
      </c>
      <c r="C528" t="s">
        <v>33</v>
      </c>
      <c r="D528">
        <v>68382</v>
      </c>
      <c r="E528">
        <v>55.564999999999998</v>
      </c>
      <c r="F528">
        <v>222.875</v>
      </c>
      <c r="G528">
        <v>55.570556500000002</v>
      </c>
      <c r="H528">
        <v>222.8527125</v>
      </c>
      <c r="I528">
        <v>-3.5660628191703179</v>
      </c>
      <c r="J528">
        <v>0.93445707488887586</v>
      </c>
      <c r="K528">
        <v>0.17996940520111579</v>
      </c>
      <c r="L528">
        <v>-4.1927406613073509E-2</v>
      </c>
      <c r="M528" t="s">
        <v>29</v>
      </c>
      <c r="N528">
        <v>10</v>
      </c>
      <c r="O528" t="s">
        <v>28</v>
      </c>
      <c r="P528">
        <v>68392</v>
      </c>
      <c r="Q528">
        <v>56.09</v>
      </c>
      <c r="R528">
        <v>223.16</v>
      </c>
      <c r="S528">
        <v>-0.374839292860145</v>
      </c>
      <c r="T528">
        <v>8.253462684586102E-2</v>
      </c>
      <c r="U528">
        <v>7.8655069371222533E-2</v>
      </c>
      <c r="V528">
        <v>3.8689272583627742E-3</v>
      </c>
      <c r="W528">
        <v>7.4786142112859763E-2</v>
      </c>
      <c r="X528" s="19">
        <f t="shared" si="24"/>
        <v>46115</v>
      </c>
      <c r="Y528" s="19">
        <f t="shared" si="25"/>
        <v>46115</v>
      </c>
      <c r="Z528" t="str">
        <f t="array" ref="Z528">_xlfn.XLOOKUP(INT(X528),INT($AE$2:$AE$1000),$AG$2:$AG$1000,"")</f>
        <v/>
      </c>
      <c r="AE528" s="19" t="e">
        <f t="shared" si="26"/>
        <v>#VALUE!</v>
      </c>
    </row>
    <row r="529" spans="1:32" x14ac:dyDescent="0.3">
      <c r="A529">
        <v>11</v>
      </c>
      <c r="B529" t="s">
        <v>32</v>
      </c>
      <c r="C529" t="s">
        <v>33</v>
      </c>
      <c r="D529">
        <v>68770</v>
      </c>
      <c r="E529">
        <v>56.04</v>
      </c>
      <c r="F529">
        <v>220</v>
      </c>
      <c r="G529">
        <v>56.034396000000001</v>
      </c>
      <c r="H529">
        <v>220.02199999999999</v>
      </c>
      <c r="I529">
        <v>4.6787648366697976</v>
      </c>
      <c r="J529">
        <v>0.93445707488887586</v>
      </c>
      <c r="K529">
        <v>-0.1784439685938615</v>
      </c>
      <c r="L529">
        <v>4.2475321585857991E-2</v>
      </c>
      <c r="M529" t="s">
        <v>27</v>
      </c>
      <c r="N529">
        <v>4</v>
      </c>
      <c r="O529" t="s">
        <v>28</v>
      </c>
      <c r="P529">
        <v>68774</v>
      </c>
      <c r="Q529">
        <v>56.195</v>
      </c>
      <c r="R529">
        <v>223.04499999999999</v>
      </c>
      <c r="S529">
        <v>3.9158459174475939E-3</v>
      </c>
      <c r="T529">
        <v>0.1016785390968883</v>
      </c>
      <c r="U529">
        <v>9.779392533017528E-2</v>
      </c>
      <c r="V529">
        <v>3.8689010411927299E-3</v>
      </c>
      <c r="W529">
        <v>9.3925024288982556E-2</v>
      </c>
      <c r="X529" s="19">
        <f t="shared" si="24"/>
        <v>46118</v>
      </c>
      <c r="Y529" s="19">
        <f t="shared" si="25"/>
        <v>46118</v>
      </c>
      <c r="Z529">
        <f t="array" ref="Z529">_xlfn.XLOOKUP(INT(X529),INT($AE$2:$AE$1000),$AG$2:$AG$1000,"")</f>
        <v>24.17</v>
      </c>
      <c r="AE529" s="19" t="e">
        <f t="shared" si="26"/>
        <v>#VALUE!</v>
      </c>
      <c r="AF529" s="19"/>
    </row>
    <row r="530" spans="1:32" x14ac:dyDescent="0.3">
      <c r="A530">
        <v>11</v>
      </c>
      <c r="B530" t="s">
        <v>32</v>
      </c>
      <c r="C530" t="s">
        <v>33</v>
      </c>
      <c r="D530">
        <v>69317</v>
      </c>
      <c r="E530">
        <v>57.375</v>
      </c>
      <c r="F530">
        <v>226.42</v>
      </c>
      <c r="G530">
        <v>57.369262499999998</v>
      </c>
      <c r="H530">
        <v>226.44264200000001</v>
      </c>
      <c r="I530">
        <v>3.6364574033479982</v>
      </c>
      <c r="J530">
        <v>0.93445707488887586</v>
      </c>
      <c r="K530">
        <v>-0.17429193899782139</v>
      </c>
      <c r="L530">
        <v>4.1270959936793389E-2</v>
      </c>
      <c r="M530" t="s">
        <v>27</v>
      </c>
      <c r="N530">
        <v>2</v>
      </c>
      <c r="O530" t="s">
        <v>28</v>
      </c>
      <c r="P530">
        <v>69319</v>
      </c>
      <c r="Q530">
        <v>57.25</v>
      </c>
      <c r="R530">
        <v>226.3</v>
      </c>
      <c r="S530">
        <v>0.2031159867385792</v>
      </c>
      <c r="T530">
        <v>1.6833977182313449E-2</v>
      </c>
      <c r="U530">
        <v>1.2967736933293049E-2</v>
      </c>
      <c r="V530">
        <v>3.8689010411927299E-3</v>
      </c>
      <c r="W530">
        <v>9.0988358921003203E-3</v>
      </c>
      <c r="X530" s="19">
        <f t="shared" si="24"/>
        <v>46119</v>
      </c>
      <c r="Y530" s="19">
        <f t="shared" si="25"/>
        <v>46119</v>
      </c>
      <c r="Z530">
        <f t="array" ref="Z530">_xlfn.XLOOKUP(INT(X530),INT($AE$2:$AE$1000),$AG$2:$AG$1000,"")</f>
        <v>25.78</v>
      </c>
      <c r="AE530" s="19" t="e">
        <f t="shared" si="26"/>
        <v>#VALUE!</v>
      </c>
      <c r="AF530" s="19"/>
    </row>
    <row r="531" spans="1:32" x14ac:dyDescent="0.3">
      <c r="A531">
        <v>11</v>
      </c>
      <c r="B531" t="s">
        <v>32</v>
      </c>
      <c r="C531" t="s">
        <v>33</v>
      </c>
      <c r="D531">
        <v>69392</v>
      </c>
      <c r="E531">
        <v>57.23</v>
      </c>
      <c r="F531">
        <v>227.22</v>
      </c>
      <c r="G531">
        <v>57.235722999999993</v>
      </c>
      <c r="H531">
        <v>227.19727800000001</v>
      </c>
      <c r="I531">
        <v>-3.6486710820134909</v>
      </c>
      <c r="J531">
        <v>0.93445707488887586</v>
      </c>
      <c r="K531">
        <v>0.1747335313646689</v>
      </c>
      <c r="L531">
        <v>-4.1125652446478117E-2</v>
      </c>
      <c r="M531" t="s">
        <v>29</v>
      </c>
      <c r="N531">
        <v>8</v>
      </c>
      <c r="O531" t="s">
        <v>28</v>
      </c>
      <c r="P531">
        <v>69400</v>
      </c>
      <c r="Q531">
        <v>57.215000000000003</v>
      </c>
      <c r="R531">
        <v>226.755</v>
      </c>
      <c r="S531">
        <v>0.35772578207039879</v>
      </c>
      <c r="T531">
        <v>1.6502425417143571E-2</v>
      </c>
      <c r="U531">
        <v>1.263568571050319E-2</v>
      </c>
      <c r="V531">
        <v>3.8689272583627742E-3</v>
      </c>
      <c r="W531">
        <v>8.7667584521404184E-3</v>
      </c>
      <c r="X531" s="19">
        <f t="shared" si="24"/>
        <v>46119</v>
      </c>
      <c r="Y531" s="19">
        <f t="shared" si="25"/>
        <v>46119</v>
      </c>
      <c r="Z531">
        <f t="array" ref="Z531">_xlfn.XLOOKUP(INT(X531),INT($AE$2:$AE$1000),$AG$2:$AG$1000,"")</f>
        <v>25.78</v>
      </c>
      <c r="AE531" s="19" t="e">
        <f t="shared" si="26"/>
        <v>#VALUE!</v>
      </c>
      <c r="AF531" s="19"/>
    </row>
    <row r="532" spans="1:32" x14ac:dyDescent="0.3">
      <c r="A532">
        <v>11</v>
      </c>
      <c r="B532" t="s">
        <v>32</v>
      </c>
      <c r="C532" t="s">
        <v>33</v>
      </c>
      <c r="D532">
        <v>69500</v>
      </c>
      <c r="E532">
        <v>57.234999999999999</v>
      </c>
      <c r="F532">
        <v>227.77</v>
      </c>
      <c r="G532">
        <v>57.240723500000001</v>
      </c>
      <c r="H532">
        <v>227.74722299999999</v>
      </c>
      <c r="I532">
        <v>-3.7803756811253311</v>
      </c>
      <c r="J532">
        <v>0.93445707488887586</v>
      </c>
      <c r="K532">
        <v>0.17471826679479341</v>
      </c>
      <c r="L532">
        <v>-4.1026345650826523E-2</v>
      </c>
      <c r="M532" t="s">
        <v>29</v>
      </c>
      <c r="N532">
        <v>18</v>
      </c>
      <c r="O532" t="s">
        <v>28</v>
      </c>
      <c r="P532">
        <v>69518</v>
      </c>
      <c r="Q532">
        <v>57.21</v>
      </c>
      <c r="R532">
        <v>227.52</v>
      </c>
      <c r="S532">
        <v>-0.31248890318602818</v>
      </c>
      <c r="T532">
        <v>5.8886297428370439E-3</v>
      </c>
      <c r="U532">
        <v>2.021178047367496E-3</v>
      </c>
      <c r="V532">
        <v>3.8689272583627742E-3</v>
      </c>
      <c r="W532">
        <v>-1.847749210995278E-3</v>
      </c>
      <c r="X532" s="19">
        <f t="shared" si="24"/>
        <v>46120</v>
      </c>
      <c r="Y532" s="19">
        <f t="shared" si="25"/>
        <v>46120</v>
      </c>
      <c r="Z532">
        <f t="array" ref="Z532">_xlfn.XLOOKUP(INT(X532),INT($AE$2:$AE$1000),$AG$2:$AG$1000,"")</f>
        <v>21.04</v>
      </c>
      <c r="AE532" s="19" t="e">
        <f t="shared" si="26"/>
        <v>#VALUE!</v>
      </c>
      <c r="AF532" s="19"/>
    </row>
    <row r="533" spans="1:32" x14ac:dyDescent="0.3">
      <c r="A533">
        <v>11</v>
      </c>
      <c r="B533" t="s">
        <v>32</v>
      </c>
      <c r="C533" t="s">
        <v>33</v>
      </c>
      <c r="D533">
        <v>69553</v>
      </c>
      <c r="E533">
        <v>57.38</v>
      </c>
      <c r="F533">
        <v>227.06</v>
      </c>
      <c r="G533">
        <v>57.374262000000002</v>
      </c>
      <c r="H533">
        <v>227.082706</v>
      </c>
      <c r="I533">
        <v>4.6679679746924823</v>
      </c>
      <c r="J533">
        <v>0.93445707488887586</v>
      </c>
      <c r="K533">
        <v>-0.17427675148135241</v>
      </c>
      <c r="L533">
        <v>4.1154632030691272E-2</v>
      </c>
      <c r="M533" t="s">
        <v>27</v>
      </c>
      <c r="N533">
        <v>8</v>
      </c>
      <c r="O533" t="s">
        <v>28</v>
      </c>
      <c r="P533">
        <v>69561</v>
      </c>
      <c r="Q533">
        <v>57.634999999999998</v>
      </c>
      <c r="R533">
        <v>229.28</v>
      </c>
      <c r="S533">
        <v>-2.75149091945401E-2</v>
      </c>
      <c r="T533">
        <v>4.6922711480390497E-2</v>
      </c>
      <c r="U533">
        <v>4.304021694513864E-2</v>
      </c>
      <c r="V533">
        <v>3.8689010411927299E-3</v>
      </c>
      <c r="W533">
        <v>3.9171315903945909E-2</v>
      </c>
      <c r="X533" s="19">
        <f t="shared" si="24"/>
        <v>46120</v>
      </c>
      <c r="Y533" s="19">
        <f t="shared" si="25"/>
        <v>46120</v>
      </c>
      <c r="Z533">
        <f t="array" ref="Z533">_xlfn.XLOOKUP(INT(X533),INT($AE$2:$AE$1000),$AG$2:$AG$1000,"")</f>
        <v>21.04</v>
      </c>
      <c r="AE533" s="19" t="e">
        <f t="shared" si="26"/>
        <v>#VALUE!</v>
      </c>
      <c r="AF533" s="19"/>
    </row>
    <row r="534" spans="1:32" x14ac:dyDescent="0.3">
      <c r="A534">
        <v>11</v>
      </c>
      <c r="B534" t="s">
        <v>32</v>
      </c>
      <c r="C534" t="s">
        <v>33</v>
      </c>
      <c r="D534">
        <v>70545</v>
      </c>
      <c r="E534">
        <v>56.67</v>
      </c>
      <c r="F534">
        <v>225.82499999999999</v>
      </c>
      <c r="G534">
        <v>56.675666999999997</v>
      </c>
      <c r="H534">
        <v>225.80241749999999</v>
      </c>
      <c r="I534">
        <v>-3.520115427300714</v>
      </c>
      <c r="J534">
        <v>0.93445707488887586</v>
      </c>
      <c r="K534">
        <v>0.1764602082230457</v>
      </c>
      <c r="L534">
        <v>-4.1379699984008672E-2</v>
      </c>
      <c r="M534" t="s">
        <v>29</v>
      </c>
      <c r="N534">
        <v>9</v>
      </c>
      <c r="O534" t="s">
        <v>28</v>
      </c>
      <c r="P534">
        <v>70554</v>
      </c>
      <c r="Q534">
        <v>56.58</v>
      </c>
      <c r="R534">
        <v>224.85</v>
      </c>
      <c r="S534">
        <v>8.675707785119743E-3</v>
      </c>
      <c r="T534">
        <v>2.4463788744333512E-2</v>
      </c>
      <c r="U534">
        <v>2.0600497257178829E-2</v>
      </c>
      <c r="V534">
        <v>3.8689272583627742E-3</v>
      </c>
      <c r="W534">
        <v>1.6731569998816049E-2</v>
      </c>
      <c r="X534" s="19">
        <f t="shared" si="24"/>
        <v>46122</v>
      </c>
      <c r="Y534" s="19">
        <f t="shared" si="25"/>
        <v>46122</v>
      </c>
      <c r="Z534">
        <f t="array" ref="Z534">_xlfn.XLOOKUP(INT(X534),INT($AE$2:$AE$1000),$AG$2:$AG$1000,"")</f>
        <v>19.23</v>
      </c>
      <c r="AE534" s="19" t="e">
        <f t="shared" si="26"/>
        <v>#VALUE!</v>
      </c>
      <c r="AF534" s="19"/>
    </row>
    <row r="535" spans="1:32" x14ac:dyDescent="0.3">
      <c r="A535">
        <v>11</v>
      </c>
      <c r="B535" t="s">
        <v>32</v>
      </c>
      <c r="C535" t="s">
        <v>33</v>
      </c>
      <c r="D535">
        <v>70726</v>
      </c>
      <c r="E535">
        <v>56.59</v>
      </c>
      <c r="F535">
        <v>223.49</v>
      </c>
      <c r="G535">
        <v>56.584341000000002</v>
      </c>
      <c r="H535">
        <v>223.512349</v>
      </c>
      <c r="I535">
        <v>4.7001284441657303</v>
      </c>
      <c r="J535">
        <v>0.93445707488887586</v>
      </c>
      <c r="K535">
        <v>-0.1767096660187312</v>
      </c>
      <c r="L535">
        <v>4.1812030734658188E-2</v>
      </c>
      <c r="M535" t="s">
        <v>27</v>
      </c>
      <c r="N535">
        <v>9</v>
      </c>
      <c r="O535" t="s">
        <v>28</v>
      </c>
      <c r="P535">
        <v>70735</v>
      </c>
      <c r="Q535">
        <v>56.47</v>
      </c>
      <c r="R535">
        <v>223.91</v>
      </c>
      <c r="S535">
        <v>0.211877086786004</v>
      </c>
      <c r="T535">
        <v>3.8766212830804461E-2</v>
      </c>
      <c r="U535">
        <v>3.4897663091728919E-2</v>
      </c>
      <c r="V535">
        <v>3.8689010411927299E-3</v>
      </c>
      <c r="W535">
        <v>3.1028762050536191E-2</v>
      </c>
      <c r="X535" s="19">
        <f t="shared" si="24"/>
        <v>46125</v>
      </c>
      <c r="Y535" s="19">
        <f t="shared" si="25"/>
        <v>46125</v>
      </c>
      <c r="Z535">
        <f t="array" ref="Z535">_xlfn.XLOOKUP(INT(X535),INT($AE$2:$AE$1000),$AG$2:$AG$1000,"")</f>
        <v>19.12</v>
      </c>
      <c r="AE535" s="19" t="e">
        <f t="shared" si="26"/>
        <v>#VALUE!</v>
      </c>
      <c r="AF535" s="19"/>
    </row>
    <row r="536" spans="1:32" x14ac:dyDescent="0.3">
      <c r="A536">
        <v>11</v>
      </c>
      <c r="B536" t="s">
        <v>30</v>
      </c>
      <c r="C536" t="s">
        <v>34</v>
      </c>
      <c r="D536">
        <v>66901</v>
      </c>
      <c r="E536">
        <v>52.575000000000003</v>
      </c>
      <c r="F536">
        <v>50.06</v>
      </c>
      <c r="G536">
        <v>52.569742499999997</v>
      </c>
      <c r="H536">
        <v>50.065005999999997</v>
      </c>
      <c r="I536">
        <v>5.2946458205601541</v>
      </c>
      <c r="J536">
        <v>0.75103909875948072</v>
      </c>
      <c r="K536">
        <v>-0.19020446980504041</v>
      </c>
      <c r="L536">
        <v>0.1500277864082063</v>
      </c>
      <c r="M536" t="s">
        <v>27</v>
      </c>
      <c r="N536">
        <v>23</v>
      </c>
      <c r="O536" t="s">
        <v>28</v>
      </c>
      <c r="P536">
        <v>66924</v>
      </c>
      <c r="Q536">
        <v>52.465000000000003</v>
      </c>
      <c r="R536">
        <v>50.02</v>
      </c>
      <c r="S536">
        <v>0.49005619256529248</v>
      </c>
      <c r="T536">
        <v>1.4921380222226209E-2</v>
      </c>
      <c r="U536">
        <v>1.142199438502137E-2</v>
      </c>
      <c r="V536">
        <v>3.502028405338713E-3</v>
      </c>
      <c r="W536">
        <v>7.919965979682652E-3</v>
      </c>
      <c r="X536" s="19">
        <f t="shared" si="24"/>
        <v>46111</v>
      </c>
      <c r="Y536" s="19">
        <f t="shared" si="25"/>
        <v>46111</v>
      </c>
      <c r="Z536">
        <f t="array" ref="Z536">_xlfn.XLOOKUP(INT(X536),INT($AE$2:$AE$1000),$AG$2:$AG$1000,"")</f>
        <v>30.61</v>
      </c>
      <c r="AE536" s="19" t="e">
        <f t="shared" si="26"/>
        <v>#VALUE!</v>
      </c>
      <c r="AF536" s="19"/>
    </row>
    <row r="537" spans="1:32" x14ac:dyDescent="0.3">
      <c r="A537">
        <v>11</v>
      </c>
      <c r="B537" t="s">
        <v>30</v>
      </c>
      <c r="C537" t="s">
        <v>34</v>
      </c>
      <c r="D537">
        <v>67189</v>
      </c>
      <c r="E537">
        <v>51.78</v>
      </c>
      <c r="F537">
        <v>49.61</v>
      </c>
      <c r="G537">
        <v>51.785178000000002</v>
      </c>
      <c r="H537">
        <v>49.605038999999998</v>
      </c>
      <c r="I537">
        <v>-5.1817157956123729</v>
      </c>
      <c r="J537">
        <v>0.75103909875948072</v>
      </c>
      <c r="K537">
        <v>0.19312475859405179</v>
      </c>
      <c r="L537">
        <v>-0.15138865123150189</v>
      </c>
      <c r="M537" t="s">
        <v>29</v>
      </c>
      <c r="N537">
        <v>5</v>
      </c>
      <c r="O537" t="s">
        <v>28</v>
      </c>
      <c r="P537">
        <v>67194</v>
      </c>
      <c r="Q537">
        <v>52.12</v>
      </c>
      <c r="R537">
        <v>49.19</v>
      </c>
      <c r="S537">
        <v>0.17689783525024561</v>
      </c>
      <c r="T537">
        <v>0.12924565143920791</v>
      </c>
      <c r="U537">
        <v>0.1257433653232479</v>
      </c>
      <c r="V537">
        <v>3.50212798969921E-3</v>
      </c>
      <c r="W537">
        <v>0.12224123733354871</v>
      </c>
      <c r="X537" s="19">
        <f t="shared" si="24"/>
        <v>46112</v>
      </c>
      <c r="Y537" s="19">
        <f t="shared" si="25"/>
        <v>46112</v>
      </c>
      <c r="Z537">
        <f t="array" ref="Z537">_xlfn.XLOOKUP(INT(X537),INT($AE$2:$AE$1000),$AG$2:$AG$1000,"")</f>
        <v>25.25</v>
      </c>
      <c r="AE537" s="19" t="e">
        <f t="shared" si="26"/>
        <v>#VALUE!</v>
      </c>
    </row>
    <row r="538" spans="1:32" x14ac:dyDescent="0.3">
      <c r="A538">
        <v>11</v>
      </c>
      <c r="B538" t="s">
        <v>30</v>
      </c>
      <c r="C538" t="s">
        <v>34</v>
      </c>
      <c r="D538">
        <v>67964</v>
      </c>
      <c r="E538">
        <v>53.42</v>
      </c>
      <c r="F538">
        <v>49.725000000000001</v>
      </c>
      <c r="G538">
        <v>53.414658000000003</v>
      </c>
      <c r="H538">
        <v>49.729972500000002</v>
      </c>
      <c r="I538">
        <v>3.845932989828742</v>
      </c>
      <c r="J538">
        <v>0.75103909875948072</v>
      </c>
      <c r="K538">
        <v>-0.18719580681392739</v>
      </c>
      <c r="L538">
        <v>0.15103853167611481</v>
      </c>
      <c r="M538" t="s">
        <v>27</v>
      </c>
      <c r="N538">
        <v>6</v>
      </c>
      <c r="O538" t="s">
        <v>28</v>
      </c>
      <c r="P538">
        <v>67970</v>
      </c>
      <c r="Q538">
        <v>53.3</v>
      </c>
      <c r="R538">
        <v>49.664999999999999</v>
      </c>
      <c r="S538">
        <v>-0.4427725974125945</v>
      </c>
      <c r="T538">
        <v>1.3401184917104901E-2</v>
      </c>
      <c r="U538">
        <v>9.9022593004574246E-3</v>
      </c>
      <c r="V538">
        <v>3.5020284053387139E-3</v>
      </c>
      <c r="W538">
        <v>6.4002308951187107E-3</v>
      </c>
      <c r="X538" s="19">
        <f t="shared" si="24"/>
        <v>46114</v>
      </c>
      <c r="Y538" s="19">
        <f t="shared" si="25"/>
        <v>46114</v>
      </c>
      <c r="Z538">
        <f t="array" ref="Z538">_xlfn.XLOOKUP(INT(X538),INT($AE$2:$AE$1000),$AG$2:$AG$1000,"")</f>
        <v>23.87</v>
      </c>
      <c r="AE538" s="19" t="e">
        <f t="shared" si="26"/>
        <v>#VALUE!</v>
      </c>
    </row>
    <row r="539" spans="1:32" x14ac:dyDescent="0.3">
      <c r="A539">
        <v>11</v>
      </c>
      <c r="B539" t="s">
        <v>30</v>
      </c>
      <c r="C539" t="s">
        <v>34</v>
      </c>
      <c r="D539">
        <v>67985</v>
      </c>
      <c r="E539">
        <v>53.85</v>
      </c>
      <c r="F539">
        <v>49.55</v>
      </c>
      <c r="G539">
        <v>53.844614999999997</v>
      </c>
      <c r="H539">
        <v>49.554955</v>
      </c>
      <c r="I539">
        <v>4.9668799677409794</v>
      </c>
      <c r="J539">
        <v>0.75103909875948072</v>
      </c>
      <c r="K539">
        <v>-0.18570102135561739</v>
      </c>
      <c r="L539">
        <v>0.1515719674590274</v>
      </c>
      <c r="M539" t="s">
        <v>27</v>
      </c>
      <c r="N539">
        <v>16</v>
      </c>
      <c r="O539" t="s">
        <v>28</v>
      </c>
      <c r="P539">
        <v>68001</v>
      </c>
      <c r="Q539">
        <v>54.31</v>
      </c>
      <c r="R539">
        <v>49.585000000000001</v>
      </c>
      <c r="S539">
        <v>0.4702101711520516</v>
      </c>
      <c r="T539">
        <v>-8.011745096251767E-2</v>
      </c>
      <c r="U539">
        <v>-8.3628601908905281E-2</v>
      </c>
      <c r="V539">
        <v>3.5020284053387139E-3</v>
      </c>
      <c r="W539">
        <v>-8.7130630314243993E-2</v>
      </c>
      <c r="X539" s="19">
        <f t="shared" si="24"/>
        <v>46114</v>
      </c>
      <c r="Y539" s="19">
        <f t="shared" si="25"/>
        <v>46114</v>
      </c>
      <c r="Z539">
        <f t="array" ref="Z539">_xlfn.XLOOKUP(INT(X539),INT($AE$2:$AE$1000),$AG$2:$AG$1000,"")</f>
        <v>23.87</v>
      </c>
      <c r="AE539" s="19" t="e">
        <f t="shared" si="26"/>
        <v>#VALUE!</v>
      </c>
    </row>
    <row r="540" spans="1:32" x14ac:dyDescent="0.3">
      <c r="A540">
        <v>11</v>
      </c>
      <c r="B540" t="s">
        <v>30</v>
      </c>
      <c r="C540" t="s">
        <v>34</v>
      </c>
      <c r="D540">
        <v>68291</v>
      </c>
      <c r="E540">
        <v>54.414999999999999</v>
      </c>
      <c r="F540">
        <v>49.795000000000002</v>
      </c>
      <c r="G540">
        <v>54.420441500000003</v>
      </c>
      <c r="H540">
        <v>49.790020499999997</v>
      </c>
      <c r="I540">
        <v>-3.5057471960265141</v>
      </c>
      <c r="J540">
        <v>0.75103909875948072</v>
      </c>
      <c r="K540">
        <v>0.18377285674905819</v>
      </c>
      <c r="L540">
        <v>-0.15082620720142201</v>
      </c>
      <c r="M540" t="s">
        <v>29</v>
      </c>
      <c r="N540">
        <v>22</v>
      </c>
      <c r="O540" t="s">
        <v>28</v>
      </c>
      <c r="P540">
        <v>68313</v>
      </c>
      <c r="Q540">
        <v>54.395000000000003</v>
      </c>
      <c r="R540">
        <v>49.914999999999999</v>
      </c>
      <c r="S540">
        <v>-0.40822373963592451</v>
      </c>
      <c r="T540">
        <v>-2.177460199915068E-2</v>
      </c>
      <c r="U540">
        <v>-2.5278122565442169E-2</v>
      </c>
      <c r="V540">
        <v>3.5021279896992091E-3</v>
      </c>
      <c r="W540">
        <v>-2.8780250555141371E-2</v>
      </c>
      <c r="X540" s="19">
        <f t="shared" si="24"/>
        <v>46115</v>
      </c>
      <c r="Y540" s="19">
        <f t="shared" si="25"/>
        <v>46115</v>
      </c>
      <c r="Z540" t="str">
        <f t="array" ref="Z540">_xlfn.XLOOKUP(INT(X540),INT($AE$2:$AE$1000),$AG$2:$AG$1000,"")</f>
        <v/>
      </c>
      <c r="AE540" s="19" t="e">
        <f t="shared" si="26"/>
        <v>#VALUE!</v>
      </c>
    </row>
    <row r="541" spans="1:32" x14ac:dyDescent="0.3">
      <c r="A541">
        <v>11</v>
      </c>
      <c r="B541" t="s">
        <v>30</v>
      </c>
      <c r="C541" t="s">
        <v>34</v>
      </c>
      <c r="D541">
        <v>68544</v>
      </c>
      <c r="E541">
        <v>53.85</v>
      </c>
      <c r="F541">
        <v>49.414999999999999</v>
      </c>
      <c r="G541">
        <v>53.855384999999998</v>
      </c>
      <c r="H541">
        <v>49.410058499999998</v>
      </c>
      <c r="I541">
        <v>-3.6354295787321891</v>
      </c>
      <c r="J541">
        <v>0.75103909875948072</v>
      </c>
      <c r="K541">
        <v>0.18570102135561739</v>
      </c>
      <c r="L541">
        <v>-0.15198605661428319</v>
      </c>
      <c r="M541" t="s">
        <v>29</v>
      </c>
      <c r="N541">
        <v>24</v>
      </c>
      <c r="O541" t="s">
        <v>28</v>
      </c>
      <c r="P541">
        <v>68568</v>
      </c>
      <c r="Q541">
        <v>53.795000000000002</v>
      </c>
      <c r="R541">
        <v>49.384999999999998</v>
      </c>
      <c r="S541">
        <v>-0.30687790273302218</v>
      </c>
      <c r="T541">
        <v>-5.6539744761302359E-3</v>
      </c>
      <c r="U541">
        <v>-9.1545753598610627E-3</v>
      </c>
      <c r="V541">
        <v>3.5021279896992091E-3</v>
      </c>
      <c r="W541">
        <v>-1.265670334956027E-2</v>
      </c>
      <c r="X541" s="19">
        <f t="shared" si="24"/>
        <v>46115</v>
      </c>
      <c r="Y541" s="19">
        <f t="shared" si="25"/>
        <v>46115</v>
      </c>
      <c r="Z541" t="str">
        <f t="array" ref="Z541">_xlfn.XLOOKUP(INT(X541),INT($AE$2:$AE$1000),$AG$2:$AG$1000,"")</f>
        <v/>
      </c>
      <c r="AE541" s="19" t="e">
        <f t="shared" si="26"/>
        <v>#VALUE!</v>
      </c>
    </row>
    <row r="542" spans="1:32" x14ac:dyDescent="0.3">
      <c r="A542">
        <v>11</v>
      </c>
      <c r="B542" t="s">
        <v>30</v>
      </c>
      <c r="C542" t="s">
        <v>34</v>
      </c>
      <c r="D542">
        <v>68714</v>
      </c>
      <c r="E542">
        <v>53.655000000000001</v>
      </c>
      <c r="F542">
        <v>49.494999999999997</v>
      </c>
      <c r="G542">
        <v>53.660365499999997</v>
      </c>
      <c r="H542">
        <v>49.490050500000002</v>
      </c>
      <c r="I542">
        <v>-4.0174955619929742</v>
      </c>
      <c r="J542">
        <v>0.75103909875948072</v>
      </c>
      <c r="K542">
        <v>0.18637592023110611</v>
      </c>
      <c r="L542">
        <v>-0.15174039776936679</v>
      </c>
      <c r="M542" t="s">
        <v>29</v>
      </c>
      <c r="N542">
        <v>16</v>
      </c>
      <c r="O542" t="s">
        <v>28</v>
      </c>
      <c r="P542">
        <v>68730</v>
      </c>
      <c r="Q542">
        <v>53.695</v>
      </c>
      <c r="R542">
        <v>49.48</v>
      </c>
      <c r="S542">
        <v>-0.24992467381225661</v>
      </c>
      <c r="T542">
        <v>9.7311427757846743E-3</v>
      </c>
      <c r="U542">
        <v>6.2285466851818806E-3</v>
      </c>
      <c r="V542">
        <v>3.50212798969921E-3</v>
      </c>
      <c r="W542">
        <v>2.726418695482671E-3</v>
      </c>
      <c r="X542" s="19">
        <f t="shared" si="24"/>
        <v>46118</v>
      </c>
      <c r="Y542" s="19">
        <f t="shared" si="25"/>
        <v>46118</v>
      </c>
      <c r="Z542">
        <f t="array" ref="Z542">_xlfn.XLOOKUP(INT(X542),INT($AE$2:$AE$1000),$AG$2:$AG$1000,"")</f>
        <v>24.17</v>
      </c>
      <c r="AE542" s="19" t="e">
        <f t="shared" si="26"/>
        <v>#VALUE!</v>
      </c>
    </row>
    <row r="543" spans="1:32" x14ac:dyDescent="0.3">
      <c r="A543">
        <v>11</v>
      </c>
      <c r="B543" t="s">
        <v>30</v>
      </c>
      <c r="C543" t="s">
        <v>34</v>
      </c>
      <c r="D543">
        <v>69116</v>
      </c>
      <c r="E543">
        <v>53.965000000000003</v>
      </c>
      <c r="F543">
        <v>50.625</v>
      </c>
      <c r="G543">
        <v>53.9703965</v>
      </c>
      <c r="H543">
        <v>50.619937499999999</v>
      </c>
      <c r="I543">
        <v>-3.5144587079333012</v>
      </c>
      <c r="J543">
        <v>0.75103909875948072</v>
      </c>
      <c r="K543">
        <v>0.1853052904660428</v>
      </c>
      <c r="L543">
        <v>-0.14835340222409499</v>
      </c>
      <c r="M543" t="s">
        <v>29</v>
      </c>
      <c r="N543">
        <v>15</v>
      </c>
      <c r="O543" t="s">
        <v>28</v>
      </c>
      <c r="P543">
        <v>69131</v>
      </c>
      <c r="Q543">
        <v>53.92</v>
      </c>
      <c r="R543">
        <v>50.505000000000003</v>
      </c>
      <c r="S543">
        <v>0.1212136935193409</v>
      </c>
      <c r="T543">
        <v>9.4636701959187729E-3</v>
      </c>
      <c r="U543">
        <v>5.9642061130336004E-3</v>
      </c>
      <c r="V543">
        <v>3.50212798969921E-3</v>
      </c>
      <c r="W543">
        <v>2.4620781233343891E-3</v>
      </c>
      <c r="X543" s="19">
        <f t="shared" si="24"/>
        <v>46119</v>
      </c>
      <c r="Y543" s="19">
        <f t="shared" si="25"/>
        <v>46119</v>
      </c>
      <c r="Z543">
        <f t="array" ref="Z543">_xlfn.XLOOKUP(INT(X543),INT($AE$2:$AE$1000),$AG$2:$AG$1000,"")</f>
        <v>25.78</v>
      </c>
      <c r="AE543" s="19" t="e">
        <f t="shared" si="26"/>
        <v>#VALUE!</v>
      </c>
    </row>
    <row r="544" spans="1:32" x14ac:dyDescent="0.3">
      <c r="A544">
        <v>11</v>
      </c>
      <c r="B544" t="s">
        <v>30</v>
      </c>
      <c r="C544" t="s">
        <v>34</v>
      </c>
      <c r="D544">
        <v>69317</v>
      </c>
      <c r="E544">
        <v>53.655000000000001</v>
      </c>
      <c r="F544">
        <v>50.884999999999998</v>
      </c>
      <c r="G544">
        <v>53.649634499999998</v>
      </c>
      <c r="H544">
        <v>50.890088499999997</v>
      </c>
      <c r="I544">
        <v>3.6780709324334189</v>
      </c>
      <c r="J544">
        <v>0.75103909875948072</v>
      </c>
      <c r="K544">
        <v>-0.18637592023110611</v>
      </c>
      <c r="L544">
        <v>0.1475953814993575</v>
      </c>
      <c r="M544" t="s">
        <v>27</v>
      </c>
      <c r="N544">
        <v>11</v>
      </c>
      <c r="O544" t="s">
        <v>28</v>
      </c>
      <c r="P544">
        <v>69328</v>
      </c>
      <c r="Q544">
        <v>53.53</v>
      </c>
      <c r="R544">
        <v>50.805</v>
      </c>
      <c r="S544">
        <v>7.4272866304804133E-2</v>
      </c>
      <c r="T544">
        <v>1.1489359508939921E-2</v>
      </c>
      <c r="U544">
        <v>7.9907917734769567E-3</v>
      </c>
      <c r="V544">
        <v>3.5020284053387139E-3</v>
      </c>
      <c r="W544">
        <v>4.4887633681382428E-3</v>
      </c>
      <c r="X544" s="19">
        <f t="shared" si="24"/>
        <v>46119</v>
      </c>
      <c r="Y544" s="19">
        <f t="shared" si="25"/>
        <v>46119</v>
      </c>
      <c r="Z544">
        <f t="array" ref="Z544">_xlfn.XLOOKUP(INT(X544),INT($AE$2:$AE$1000),$AG$2:$AG$1000,"")</f>
        <v>25.78</v>
      </c>
      <c r="AE544" s="19" t="e">
        <f t="shared" si="26"/>
        <v>#VALUE!</v>
      </c>
    </row>
    <row r="545" spans="1:32" x14ac:dyDescent="0.3">
      <c r="A545">
        <v>11</v>
      </c>
      <c r="B545" t="s">
        <v>30</v>
      </c>
      <c r="C545" t="s">
        <v>34</v>
      </c>
      <c r="D545">
        <v>69948</v>
      </c>
      <c r="E545">
        <v>53.225000000000001</v>
      </c>
      <c r="F545">
        <v>51.07</v>
      </c>
      <c r="G545">
        <v>53.2303225</v>
      </c>
      <c r="H545">
        <v>51.064892999999998</v>
      </c>
      <c r="I545">
        <v>-3.55251244427413</v>
      </c>
      <c r="J545">
        <v>0.75103909875948072</v>
      </c>
      <c r="K545">
        <v>0.18788163457022081</v>
      </c>
      <c r="L545">
        <v>-0.14706072033669099</v>
      </c>
      <c r="M545" t="s">
        <v>29</v>
      </c>
      <c r="N545">
        <v>5</v>
      </c>
      <c r="O545" t="s">
        <v>28</v>
      </c>
      <c r="P545">
        <v>69953</v>
      </c>
      <c r="Q545">
        <v>53.59</v>
      </c>
      <c r="R545">
        <v>51.35</v>
      </c>
      <c r="S545">
        <v>-0.25060534153088571</v>
      </c>
      <c r="T545">
        <v>2.7399794923857312E-2</v>
      </c>
      <c r="U545">
        <v>2.388674134650692E-2</v>
      </c>
      <c r="V545">
        <v>3.50212798969921E-3</v>
      </c>
      <c r="W545">
        <v>2.0384613356807711E-2</v>
      </c>
      <c r="X545" s="19">
        <f t="shared" si="24"/>
        <v>46121</v>
      </c>
      <c r="Y545" s="19">
        <f t="shared" si="25"/>
        <v>46121</v>
      </c>
      <c r="Z545">
        <f t="array" ref="Z545">_xlfn.XLOOKUP(INT(X545),INT($AE$2:$AE$1000),$AG$2:$AG$1000,"")</f>
        <v>19.489999999999998</v>
      </c>
      <c r="AE545" s="19" t="e">
        <f t="shared" si="26"/>
        <v>#VALUE!</v>
      </c>
    </row>
    <row r="546" spans="1:32" x14ac:dyDescent="0.3">
      <c r="A546">
        <v>11</v>
      </c>
      <c r="B546" t="s">
        <v>30</v>
      </c>
      <c r="C546" t="s">
        <v>34</v>
      </c>
      <c r="D546">
        <v>70334</v>
      </c>
      <c r="E546">
        <v>53.02</v>
      </c>
      <c r="F546">
        <v>51.104999999999997</v>
      </c>
      <c r="G546">
        <v>53.025302000000003</v>
      </c>
      <c r="H546">
        <v>51.099889500000003</v>
      </c>
      <c r="I546">
        <v>-4.7742998055501156</v>
      </c>
      <c r="J546">
        <v>0.75103909875948072</v>
      </c>
      <c r="K546">
        <v>0.18860807242549979</v>
      </c>
      <c r="L546">
        <v>-0.14696000367077211</v>
      </c>
      <c r="M546" t="s">
        <v>29</v>
      </c>
      <c r="N546">
        <v>7</v>
      </c>
      <c r="O546" t="s">
        <v>28</v>
      </c>
      <c r="P546">
        <v>70341</v>
      </c>
      <c r="Q546">
        <v>53.215000000000003</v>
      </c>
      <c r="R546">
        <v>51.12</v>
      </c>
      <c r="S546">
        <v>-0.19384973598282609</v>
      </c>
      <c r="T546">
        <v>3.457417406791085E-2</v>
      </c>
      <c r="U546">
        <v>3.1068197572974209E-2</v>
      </c>
      <c r="V546">
        <v>3.5021279896992091E-3</v>
      </c>
      <c r="W546">
        <v>2.7566069583275E-2</v>
      </c>
      <c r="X546" s="19">
        <f t="shared" si="24"/>
        <v>46122</v>
      </c>
      <c r="Y546" s="19">
        <f t="shared" si="25"/>
        <v>46122</v>
      </c>
      <c r="Z546">
        <f t="array" ref="Z546">_xlfn.XLOOKUP(INT(X546),INT($AE$2:$AE$1000),$AG$2:$AG$1000,"")</f>
        <v>19.23</v>
      </c>
      <c r="AE546" s="19" t="e">
        <f t="shared" si="26"/>
        <v>#VALUE!</v>
      </c>
    </row>
    <row r="547" spans="1:32" x14ac:dyDescent="0.3">
      <c r="A547">
        <v>11</v>
      </c>
      <c r="B547" t="s">
        <v>30</v>
      </c>
      <c r="C547" t="s">
        <v>33</v>
      </c>
      <c r="D547">
        <v>66901</v>
      </c>
      <c r="E547">
        <v>52.575000000000003</v>
      </c>
      <c r="F547">
        <v>222.035</v>
      </c>
      <c r="G547">
        <v>52.580257500000002</v>
      </c>
      <c r="H547">
        <v>222.01279650000001</v>
      </c>
      <c r="I547">
        <v>-5.2946418857863193</v>
      </c>
      <c r="J547">
        <v>0.91254513569873641</v>
      </c>
      <c r="K547">
        <v>0.19020446980504041</v>
      </c>
      <c r="L547">
        <v>-4.1099157146338931E-2</v>
      </c>
      <c r="M547" t="s">
        <v>29</v>
      </c>
      <c r="N547">
        <v>23</v>
      </c>
      <c r="O547" t="s">
        <v>28</v>
      </c>
      <c r="P547">
        <v>66924</v>
      </c>
      <c r="Q547">
        <v>52.465000000000003</v>
      </c>
      <c r="R547">
        <v>222.07499999999999</v>
      </c>
      <c r="S547">
        <v>-0.49344865805121602</v>
      </c>
      <c r="T547">
        <v>-2.2566457964407569E-2</v>
      </c>
      <c r="U547">
        <v>-2.6389620383265141E-2</v>
      </c>
      <c r="V547">
        <v>3.825107762370333E-3</v>
      </c>
      <c r="W547">
        <v>-3.0214728145635469E-2</v>
      </c>
      <c r="X547" s="19">
        <f t="shared" si="24"/>
        <v>46111</v>
      </c>
      <c r="Y547" s="19">
        <f t="shared" si="25"/>
        <v>46111</v>
      </c>
      <c r="Z547">
        <f t="array" ref="Z547">_xlfn.XLOOKUP(INT(X547),INT($AE$2:$AE$1000),$AG$2:$AG$1000,"")</f>
        <v>30.61</v>
      </c>
      <c r="AE547" s="19" t="e">
        <f t="shared" si="26"/>
        <v>#VALUE!</v>
      </c>
    </row>
    <row r="548" spans="1:32" x14ac:dyDescent="0.3">
      <c r="A548">
        <v>11</v>
      </c>
      <c r="B548" t="s">
        <v>30</v>
      </c>
      <c r="C548" t="s">
        <v>33</v>
      </c>
      <c r="D548">
        <v>67189</v>
      </c>
      <c r="E548">
        <v>51.78</v>
      </c>
      <c r="F548">
        <v>221.23</v>
      </c>
      <c r="G548">
        <v>51.785178000000002</v>
      </c>
      <c r="H548">
        <v>221.207877</v>
      </c>
      <c r="I548">
        <v>-5.0331396897784746</v>
      </c>
      <c r="J548">
        <v>0.91254513569873641</v>
      </c>
      <c r="K548">
        <v>0.19312475859405179</v>
      </c>
      <c r="L548">
        <v>-4.1248706581328773E-2</v>
      </c>
      <c r="M548" t="s">
        <v>29</v>
      </c>
      <c r="N548">
        <v>6</v>
      </c>
      <c r="O548" t="s">
        <v>28</v>
      </c>
      <c r="P548">
        <v>67195</v>
      </c>
      <c r="Q548">
        <v>52.06</v>
      </c>
      <c r="R548">
        <v>219.55</v>
      </c>
      <c r="S548">
        <v>0.32085241367139361</v>
      </c>
      <c r="T548">
        <v>0.12337275946296621</v>
      </c>
      <c r="U548">
        <v>0.119549191481034</v>
      </c>
      <c r="V548">
        <v>3.8251077623703339E-3</v>
      </c>
      <c r="W548">
        <v>0.11572408371866361</v>
      </c>
      <c r="X548" s="19">
        <f t="shared" si="24"/>
        <v>46112</v>
      </c>
      <c r="Y548" s="19">
        <f t="shared" si="25"/>
        <v>46112</v>
      </c>
      <c r="Z548">
        <f t="array" ref="Z548">_xlfn.XLOOKUP(INT(X548),INT($AE$2:$AE$1000),$AG$2:$AG$1000,"")</f>
        <v>25.25</v>
      </c>
      <c r="AE548" s="19" t="e">
        <f t="shared" si="26"/>
        <v>#VALUE!</v>
      </c>
      <c r="AF548" s="19"/>
    </row>
    <row r="549" spans="1:32" x14ac:dyDescent="0.3">
      <c r="A549">
        <v>11</v>
      </c>
      <c r="B549" t="s">
        <v>30</v>
      </c>
      <c r="C549" t="s">
        <v>33</v>
      </c>
      <c r="D549">
        <v>67595</v>
      </c>
      <c r="E549">
        <v>53.08</v>
      </c>
      <c r="F549">
        <v>220.74</v>
      </c>
      <c r="G549">
        <v>53.074691999999999</v>
      </c>
      <c r="H549">
        <v>220.76207400000001</v>
      </c>
      <c r="I549">
        <v>4.0392940892852387</v>
      </c>
      <c r="J549">
        <v>0.91254513569873641</v>
      </c>
      <c r="K549">
        <v>-0.18839487565938209</v>
      </c>
      <c r="L549">
        <v>4.1340270712092793E-2</v>
      </c>
      <c r="M549" t="s">
        <v>27</v>
      </c>
      <c r="N549">
        <v>34</v>
      </c>
      <c r="O549" t="s">
        <v>28</v>
      </c>
      <c r="P549">
        <v>67629</v>
      </c>
      <c r="Q549">
        <v>53.32</v>
      </c>
      <c r="R549">
        <v>220.02</v>
      </c>
      <c r="S549">
        <v>0.42164111943917248</v>
      </c>
      <c r="T549">
        <v>-7.497976507095884E-2</v>
      </c>
      <c r="U549">
        <v>-7.8806400319880857E-2</v>
      </c>
      <c r="V549">
        <v>3.8250727804246131E-3</v>
      </c>
      <c r="W549">
        <v>-8.2631473100305469E-2</v>
      </c>
      <c r="X549" s="19">
        <f t="shared" si="24"/>
        <v>46113</v>
      </c>
      <c r="Y549" s="19">
        <f t="shared" si="25"/>
        <v>46113</v>
      </c>
      <c r="Z549">
        <f t="array" ref="Z549">_xlfn.XLOOKUP(INT(X549),INT($AE$2:$AE$1000),$AG$2:$AG$1000,"")</f>
        <v>24.54</v>
      </c>
      <c r="AE549" s="19" t="e">
        <f t="shared" si="26"/>
        <v>#VALUE!</v>
      </c>
      <c r="AF549" s="19"/>
    </row>
    <row r="550" spans="1:32" x14ac:dyDescent="0.3">
      <c r="A550">
        <v>11</v>
      </c>
      <c r="B550" t="s">
        <v>30</v>
      </c>
      <c r="C550" t="s">
        <v>33</v>
      </c>
      <c r="D550">
        <v>67985</v>
      </c>
      <c r="E550">
        <v>53.85</v>
      </c>
      <c r="F550">
        <v>221.03</v>
      </c>
      <c r="G550">
        <v>53.844614999999997</v>
      </c>
      <c r="H550">
        <v>221.05210299999999</v>
      </c>
      <c r="I550">
        <v>4.4639483145166121</v>
      </c>
      <c r="J550">
        <v>0.91254513569873641</v>
      </c>
      <c r="K550">
        <v>-0.18570102135561739</v>
      </c>
      <c r="L550">
        <v>4.1286030660939083E-2</v>
      </c>
      <c r="M550" t="s">
        <v>27</v>
      </c>
      <c r="N550">
        <v>15</v>
      </c>
      <c r="O550" t="s">
        <v>28</v>
      </c>
      <c r="P550">
        <v>68000</v>
      </c>
      <c r="Q550">
        <v>54.32</v>
      </c>
      <c r="R550">
        <v>223.45</v>
      </c>
      <c r="S550">
        <v>0.12535427599241161</v>
      </c>
      <c r="T550">
        <v>1.263271416233205E-2</v>
      </c>
      <c r="U550">
        <v>8.788904723512167E-3</v>
      </c>
      <c r="V550">
        <v>3.8250727804246131E-3</v>
      </c>
      <c r="W550">
        <v>4.9638319430875544E-3</v>
      </c>
      <c r="X550" s="19">
        <f t="shared" si="24"/>
        <v>46114</v>
      </c>
      <c r="Y550" s="19">
        <f t="shared" si="25"/>
        <v>46114</v>
      </c>
      <c r="Z550">
        <f t="array" ref="Z550">_xlfn.XLOOKUP(INT(X550),INT($AE$2:$AE$1000),$AG$2:$AG$1000,"")</f>
        <v>23.87</v>
      </c>
      <c r="AE550" s="19" t="e">
        <f t="shared" si="26"/>
        <v>#VALUE!</v>
      </c>
      <c r="AF550" s="19"/>
    </row>
    <row r="551" spans="1:32" x14ac:dyDescent="0.3">
      <c r="A551">
        <v>11</v>
      </c>
      <c r="B551" t="s">
        <v>30</v>
      </c>
      <c r="C551" t="s">
        <v>33</v>
      </c>
      <c r="D551">
        <v>69160</v>
      </c>
      <c r="E551">
        <v>53.6</v>
      </c>
      <c r="F551">
        <v>224.82</v>
      </c>
      <c r="G551">
        <v>53.605359999999997</v>
      </c>
      <c r="H551">
        <v>224.797518</v>
      </c>
      <c r="I551">
        <v>-4.2190092310916292</v>
      </c>
      <c r="J551">
        <v>0.91254513569873641</v>
      </c>
      <c r="K551">
        <v>0.18656716417910449</v>
      </c>
      <c r="L551">
        <v>-4.059003361350131E-2</v>
      </c>
      <c r="M551" t="s">
        <v>29</v>
      </c>
      <c r="N551">
        <v>17</v>
      </c>
      <c r="O551" t="s">
        <v>28</v>
      </c>
      <c r="P551">
        <v>69177</v>
      </c>
      <c r="Q551">
        <v>53.8</v>
      </c>
      <c r="R551">
        <v>225.49</v>
      </c>
      <c r="S551">
        <v>-0.28587744783576802</v>
      </c>
      <c r="T551">
        <v>1.011811031477357E-2</v>
      </c>
      <c r="U551">
        <v>6.2865691678409309E-3</v>
      </c>
      <c r="V551">
        <v>3.825107762370333E-3</v>
      </c>
      <c r="W551">
        <v>2.4614614054705971E-3</v>
      </c>
      <c r="X551" s="19">
        <f t="shared" si="24"/>
        <v>46119</v>
      </c>
      <c r="Y551" s="19">
        <f t="shared" si="25"/>
        <v>46119</v>
      </c>
      <c r="Z551">
        <f t="array" ref="Z551">_xlfn.XLOOKUP(INT(X551),INT($AE$2:$AE$1000),$AG$2:$AG$1000,"")</f>
        <v>25.78</v>
      </c>
      <c r="AE551" s="19" t="e">
        <f t="shared" si="26"/>
        <v>#VALUE!</v>
      </c>
      <c r="AF551" s="19"/>
    </row>
    <row r="552" spans="1:32" x14ac:dyDescent="0.3">
      <c r="A552">
        <v>11</v>
      </c>
      <c r="B552" t="s">
        <v>30</v>
      </c>
      <c r="C552" t="s">
        <v>33</v>
      </c>
      <c r="D552">
        <v>69317</v>
      </c>
      <c r="E552">
        <v>53.655000000000001</v>
      </c>
      <c r="F552">
        <v>226.42</v>
      </c>
      <c r="G552">
        <v>53.649634499999998</v>
      </c>
      <c r="H552">
        <v>226.44264200000001</v>
      </c>
      <c r="I552">
        <v>4.1838652769328917</v>
      </c>
      <c r="J552">
        <v>0.91254513569873641</v>
      </c>
      <c r="K552">
        <v>-0.18637592023110611</v>
      </c>
      <c r="L552">
        <v>4.0303203590616399E-2</v>
      </c>
      <c r="M552" t="s">
        <v>27</v>
      </c>
      <c r="N552">
        <v>11</v>
      </c>
      <c r="O552" t="s">
        <v>28</v>
      </c>
      <c r="P552">
        <v>69328</v>
      </c>
      <c r="Q552">
        <v>53.53</v>
      </c>
      <c r="R552">
        <v>226.36500000000001</v>
      </c>
      <c r="S552">
        <v>-9.8839730390750447E-2</v>
      </c>
      <c r="T552">
        <v>2.108031383140524E-2</v>
      </c>
      <c r="U552">
        <v>1.7257774926631379E-2</v>
      </c>
      <c r="V552">
        <v>3.8250727804246131E-3</v>
      </c>
      <c r="W552">
        <v>1.343270214620677E-2</v>
      </c>
      <c r="X552" s="19">
        <f t="shared" si="24"/>
        <v>46119</v>
      </c>
      <c r="Y552" s="19">
        <f t="shared" si="25"/>
        <v>46119</v>
      </c>
      <c r="Z552">
        <f t="array" ref="Z552">_xlfn.XLOOKUP(INT(X552),INT($AE$2:$AE$1000),$AG$2:$AG$1000,"")</f>
        <v>25.78</v>
      </c>
      <c r="AE552" s="19" t="e">
        <f t="shared" si="26"/>
        <v>#VALUE!</v>
      </c>
      <c r="AF552" s="19"/>
    </row>
    <row r="553" spans="1:32" x14ac:dyDescent="0.3">
      <c r="A553">
        <v>11</v>
      </c>
      <c r="B553" t="s">
        <v>30</v>
      </c>
      <c r="C553" t="s">
        <v>33</v>
      </c>
      <c r="D553">
        <v>69551</v>
      </c>
      <c r="E553">
        <v>53.95</v>
      </c>
      <c r="F553">
        <v>227.06</v>
      </c>
      <c r="G553">
        <v>53.944605000000003</v>
      </c>
      <c r="H553">
        <v>227.082706</v>
      </c>
      <c r="I553">
        <v>3.514604952409893</v>
      </c>
      <c r="J553">
        <v>0.91254513569873641</v>
      </c>
      <c r="K553">
        <v>-0.18535681186283601</v>
      </c>
      <c r="L553">
        <v>4.0189603439563827E-2</v>
      </c>
      <c r="M553" t="s">
        <v>27</v>
      </c>
      <c r="N553">
        <v>5</v>
      </c>
      <c r="O553" t="s">
        <v>28</v>
      </c>
      <c r="P553">
        <v>69556</v>
      </c>
      <c r="Q553">
        <v>54.36</v>
      </c>
      <c r="R553">
        <v>229.36</v>
      </c>
      <c r="S553">
        <v>0.36746654208940482</v>
      </c>
      <c r="T553">
        <v>1.6439795047235171E-2</v>
      </c>
      <c r="U553">
        <v>1.259786153776149E-2</v>
      </c>
      <c r="V553">
        <v>3.8250727804246131E-3</v>
      </c>
      <c r="W553">
        <v>8.7727887573368774E-3</v>
      </c>
      <c r="X553" s="19">
        <f t="shared" si="24"/>
        <v>46120</v>
      </c>
      <c r="Y553" s="19">
        <f t="shared" si="25"/>
        <v>46120</v>
      </c>
      <c r="Z553">
        <f t="array" ref="Z553">_xlfn.XLOOKUP(INT(X553),INT($AE$2:$AE$1000),$AG$2:$AG$1000,"")</f>
        <v>21.04</v>
      </c>
      <c r="AE553" s="19" t="e">
        <f t="shared" si="26"/>
        <v>#VALUE!</v>
      </c>
      <c r="AF553" s="19"/>
    </row>
    <row r="554" spans="1:32" x14ac:dyDescent="0.3">
      <c r="A554">
        <v>11</v>
      </c>
      <c r="B554" t="s">
        <v>30</v>
      </c>
      <c r="C554" t="s">
        <v>33</v>
      </c>
      <c r="D554">
        <v>69621</v>
      </c>
      <c r="E554">
        <v>54.26</v>
      </c>
      <c r="F554">
        <v>229.4</v>
      </c>
      <c r="G554">
        <v>54.265425999999998</v>
      </c>
      <c r="H554">
        <v>229.37706</v>
      </c>
      <c r="I554">
        <v>-3.620923378753663</v>
      </c>
      <c r="J554">
        <v>0.91254513569873641</v>
      </c>
      <c r="K554">
        <v>0.1842978252856616</v>
      </c>
      <c r="L554">
        <v>-3.9779648461148058E-2</v>
      </c>
      <c r="M554" t="s">
        <v>29</v>
      </c>
      <c r="N554">
        <v>21</v>
      </c>
      <c r="O554" t="s">
        <v>28</v>
      </c>
      <c r="P554">
        <v>69642</v>
      </c>
      <c r="Q554">
        <v>54.03</v>
      </c>
      <c r="R554">
        <v>228.26</v>
      </c>
      <c r="S554">
        <v>-0.37650608205513669</v>
      </c>
      <c r="T554">
        <v>2.960299430007772E-3</v>
      </c>
      <c r="U554">
        <v>-8.5601711148433623E-4</v>
      </c>
      <c r="V554">
        <v>3.825107762370333E-3</v>
      </c>
      <c r="W554">
        <v>-4.6811248738546692E-3</v>
      </c>
      <c r="X554" s="19">
        <f t="shared" si="24"/>
        <v>46120</v>
      </c>
      <c r="Y554" s="19">
        <f t="shared" si="25"/>
        <v>46120</v>
      </c>
      <c r="Z554">
        <f t="array" ref="Z554">_xlfn.XLOOKUP(INT(X554),INT($AE$2:$AE$1000),$AG$2:$AG$1000,"")</f>
        <v>21.04</v>
      </c>
      <c r="AE554" s="19" t="e">
        <f t="shared" si="26"/>
        <v>#VALUE!</v>
      </c>
      <c r="AF554" s="19"/>
    </row>
    <row r="555" spans="1:32" x14ac:dyDescent="0.3">
      <c r="A555">
        <v>11</v>
      </c>
      <c r="B555" t="s">
        <v>30</v>
      </c>
      <c r="C555" t="s">
        <v>33</v>
      </c>
      <c r="D555">
        <v>69944</v>
      </c>
      <c r="E555">
        <v>53.63</v>
      </c>
      <c r="F555">
        <v>228.035</v>
      </c>
      <c r="G555">
        <v>53.624637</v>
      </c>
      <c r="H555">
        <v>228.05780350000001</v>
      </c>
      <c r="I555">
        <v>4.234984854801354</v>
      </c>
      <c r="J555">
        <v>0.91254513569873641</v>
      </c>
      <c r="K555">
        <v>-0.18646280067126611</v>
      </c>
      <c r="L555">
        <v>4.0017766382298182E-2</v>
      </c>
      <c r="M555" t="s">
        <v>27</v>
      </c>
      <c r="N555">
        <v>2</v>
      </c>
      <c r="O555" t="s">
        <v>28</v>
      </c>
      <c r="P555">
        <v>69946</v>
      </c>
      <c r="Q555">
        <v>53.53</v>
      </c>
      <c r="R555">
        <v>228.51</v>
      </c>
      <c r="S555">
        <v>-0.29045952413158532</v>
      </c>
      <c r="T555">
        <v>3.765471909871828E-2</v>
      </c>
      <c r="U555">
        <v>3.3829592611423473E-2</v>
      </c>
      <c r="V555">
        <v>3.8250727804246131E-3</v>
      </c>
      <c r="W555">
        <v>3.000451983099886E-2</v>
      </c>
      <c r="X555" s="19">
        <f t="shared" si="24"/>
        <v>46121</v>
      </c>
      <c r="Y555" s="19">
        <f t="shared" si="25"/>
        <v>46121</v>
      </c>
      <c r="Z555">
        <f t="array" ref="Z555">_xlfn.XLOOKUP(INT(X555),INT($AE$2:$AE$1000),$AG$2:$AG$1000,"")</f>
        <v>19.489999999999998</v>
      </c>
      <c r="AE555" s="19" t="e">
        <f t="shared" si="26"/>
        <v>#VALUE!</v>
      </c>
      <c r="AF555" s="19"/>
    </row>
    <row r="556" spans="1:32" x14ac:dyDescent="0.3">
      <c r="A556">
        <v>11</v>
      </c>
      <c r="B556" t="s">
        <v>30</v>
      </c>
      <c r="C556" t="s">
        <v>33</v>
      </c>
      <c r="D556">
        <v>70276</v>
      </c>
      <c r="E556">
        <v>53.07</v>
      </c>
      <c r="F556">
        <v>226.04</v>
      </c>
      <c r="G556">
        <v>53.064692999999998</v>
      </c>
      <c r="H556">
        <v>226.06260399999999</v>
      </c>
      <c r="I556">
        <v>3.5505886688249402</v>
      </c>
      <c r="J556">
        <v>0.91254513569873641</v>
      </c>
      <c r="K556">
        <v>-0.18843037497644621</v>
      </c>
      <c r="L556">
        <v>4.0370958047192373E-2</v>
      </c>
      <c r="M556" t="s">
        <v>27</v>
      </c>
      <c r="N556">
        <v>23</v>
      </c>
      <c r="O556" t="s">
        <v>28</v>
      </c>
      <c r="P556">
        <v>70299</v>
      </c>
      <c r="Q556">
        <v>53.045000000000002</v>
      </c>
      <c r="R556">
        <v>225.52</v>
      </c>
      <c r="S556">
        <v>0.43176611253417418</v>
      </c>
      <c r="T556">
        <v>-1.628213881012841E-2</v>
      </c>
      <c r="U556">
        <v>-2.0104658715770229E-2</v>
      </c>
      <c r="V556">
        <v>3.8250727804246131E-3</v>
      </c>
      <c r="W556">
        <v>-2.3929731496194841E-2</v>
      </c>
      <c r="X556" s="19">
        <f t="shared" si="24"/>
        <v>46122</v>
      </c>
      <c r="Y556" s="19">
        <f t="shared" si="25"/>
        <v>46122</v>
      </c>
      <c r="Z556">
        <f t="array" ref="Z556">_xlfn.XLOOKUP(INT(X556),INT($AE$2:$AE$1000),$AG$2:$AG$1000,"")</f>
        <v>19.23</v>
      </c>
      <c r="AE556" s="19" t="e">
        <f t="shared" si="26"/>
        <v>#VALUE!</v>
      </c>
      <c r="AF556" s="19"/>
    </row>
    <row r="557" spans="1:32" x14ac:dyDescent="0.3">
      <c r="A557">
        <v>11</v>
      </c>
      <c r="B557" t="s">
        <v>30</v>
      </c>
      <c r="C557" t="s">
        <v>33</v>
      </c>
      <c r="D557">
        <v>70334</v>
      </c>
      <c r="E557">
        <v>53.02</v>
      </c>
      <c r="F557">
        <v>226.005</v>
      </c>
      <c r="G557">
        <v>53.025302000000003</v>
      </c>
      <c r="H557">
        <v>225.98239950000001</v>
      </c>
      <c r="I557">
        <v>-3.5864455727332629</v>
      </c>
      <c r="J557">
        <v>0.91254513569873641</v>
      </c>
      <c r="K557">
        <v>0.18860807242549979</v>
      </c>
      <c r="L557">
        <v>-4.0377210048394348E-2</v>
      </c>
      <c r="M557" t="s">
        <v>29</v>
      </c>
      <c r="N557">
        <v>6</v>
      </c>
      <c r="O557" t="s">
        <v>28</v>
      </c>
      <c r="P557">
        <v>70340</v>
      </c>
      <c r="Q557">
        <v>53.134999999999998</v>
      </c>
      <c r="R557">
        <v>225.42500000000001</v>
      </c>
      <c r="S557">
        <v>0.31188106253050868</v>
      </c>
      <c r="T557">
        <v>4.510871015699959E-2</v>
      </c>
      <c r="U557">
        <v>4.1283792770952177E-2</v>
      </c>
      <c r="V557">
        <v>3.825107762370333E-3</v>
      </c>
      <c r="W557">
        <v>3.7458685008581842E-2</v>
      </c>
      <c r="X557" s="19">
        <f t="shared" si="24"/>
        <v>46122</v>
      </c>
      <c r="Y557" s="19">
        <f t="shared" si="25"/>
        <v>46122</v>
      </c>
      <c r="Z557">
        <f t="array" ref="Z557">_xlfn.XLOOKUP(INT(X557),INT($AE$2:$AE$1000),$AG$2:$AG$1000,"")</f>
        <v>19.23</v>
      </c>
      <c r="AE557" s="19" t="e">
        <f t="shared" si="26"/>
        <v>#VALUE!</v>
      </c>
    </row>
    <row r="558" spans="1:32" x14ac:dyDescent="0.3">
      <c r="A558">
        <v>11</v>
      </c>
      <c r="B558" t="s">
        <v>25</v>
      </c>
      <c r="C558" t="s">
        <v>31</v>
      </c>
      <c r="D558">
        <v>66901</v>
      </c>
      <c r="E558">
        <v>309.49</v>
      </c>
      <c r="F558">
        <v>85.55</v>
      </c>
      <c r="G558">
        <v>309.45905099999999</v>
      </c>
      <c r="H558">
        <v>85.558554999999998</v>
      </c>
      <c r="I558">
        <v>5.2946488944811243</v>
      </c>
      <c r="J558">
        <v>0.49788973317770813</v>
      </c>
      <c r="K558">
        <v>-3.2311221687292002E-2</v>
      </c>
      <c r="L558">
        <v>5.8198683013174532E-2</v>
      </c>
      <c r="M558" t="s">
        <v>27</v>
      </c>
      <c r="N558">
        <v>23</v>
      </c>
      <c r="O558" t="s">
        <v>28</v>
      </c>
      <c r="P558">
        <v>66924</v>
      </c>
      <c r="Q558">
        <v>309.08</v>
      </c>
      <c r="R558">
        <v>85.39</v>
      </c>
      <c r="S558">
        <v>0.49152516291676213</v>
      </c>
      <c r="T558">
        <v>3.9358116096827999E-3</v>
      </c>
      <c r="U558">
        <v>9.4228808234373546E-4</v>
      </c>
      <c r="V558">
        <v>2.9956790443020518E-3</v>
      </c>
      <c r="W558">
        <v>-2.0533909619583159E-3</v>
      </c>
      <c r="X558" s="19">
        <f t="shared" si="24"/>
        <v>46111</v>
      </c>
      <c r="Y558" s="19">
        <f t="shared" si="25"/>
        <v>46111</v>
      </c>
      <c r="Z558">
        <f t="array" ref="Z558">_xlfn.XLOOKUP(INT(X558),INT($AE$2:$AE$1000),$AG$2:$AG$1000,"")</f>
        <v>30.61</v>
      </c>
      <c r="AE558" s="19" t="e">
        <f t="shared" si="26"/>
        <v>#VALUE!</v>
      </c>
    </row>
    <row r="559" spans="1:32" x14ac:dyDescent="0.3">
      <c r="A559">
        <v>11</v>
      </c>
      <c r="B559" t="s">
        <v>25</v>
      </c>
      <c r="C559" t="s">
        <v>31</v>
      </c>
      <c r="D559">
        <v>67183</v>
      </c>
      <c r="E559">
        <v>309.995</v>
      </c>
      <c r="F559">
        <v>85.454999999999998</v>
      </c>
      <c r="G559">
        <v>309.9640005</v>
      </c>
      <c r="H559">
        <v>85.463545499999995</v>
      </c>
      <c r="I559">
        <v>3.516054465518816</v>
      </c>
      <c r="J559">
        <v>0.49788973317770813</v>
      </c>
      <c r="K559">
        <v>-3.2258584815884117E-2</v>
      </c>
      <c r="L559">
        <v>5.8263382268762293E-2</v>
      </c>
      <c r="M559" t="s">
        <v>27</v>
      </c>
      <c r="N559">
        <v>29</v>
      </c>
      <c r="O559" t="s">
        <v>28</v>
      </c>
      <c r="P559">
        <v>67212</v>
      </c>
      <c r="Q559">
        <v>307.07499999999999</v>
      </c>
      <c r="R559">
        <v>84.78</v>
      </c>
      <c r="S559">
        <v>-0.36734351385301628</v>
      </c>
      <c r="T559">
        <v>5.486728463096778E-2</v>
      </c>
      <c r="U559">
        <v>5.1884857449681722E-2</v>
      </c>
      <c r="V559">
        <v>2.9956790443020518E-3</v>
      </c>
      <c r="W559">
        <v>4.8889178405379673E-2</v>
      </c>
      <c r="X559" s="19">
        <f t="shared" si="24"/>
        <v>46112</v>
      </c>
      <c r="Y559" s="19">
        <f t="shared" si="25"/>
        <v>46112</v>
      </c>
      <c r="Z559">
        <f t="array" ref="Z559">_xlfn.XLOOKUP(INT(X559),INT($AE$2:$AE$1000),$AG$2:$AG$1000,"")</f>
        <v>25.25</v>
      </c>
      <c r="AE559" s="19" t="e">
        <f t="shared" si="26"/>
        <v>#VALUE!</v>
      </c>
    </row>
    <row r="560" spans="1:32" x14ac:dyDescent="0.3">
      <c r="A560">
        <v>11</v>
      </c>
      <c r="B560" t="s">
        <v>25</v>
      </c>
      <c r="C560" t="s">
        <v>31</v>
      </c>
      <c r="D560">
        <v>67586</v>
      </c>
      <c r="E560">
        <v>312.95</v>
      </c>
      <c r="F560">
        <v>84.75</v>
      </c>
      <c r="G560">
        <v>312.91870499999999</v>
      </c>
      <c r="H560">
        <v>84.758475000000004</v>
      </c>
      <c r="I560">
        <v>5.0586772106571356</v>
      </c>
      <c r="J560">
        <v>0.49788973317770813</v>
      </c>
      <c r="K560">
        <v>-3.1953986259785912E-2</v>
      </c>
      <c r="L560">
        <v>5.8748051112413928E-2</v>
      </c>
      <c r="M560" t="s">
        <v>27</v>
      </c>
      <c r="N560">
        <v>5</v>
      </c>
      <c r="O560" t="s">
        <v>28</v>
      </c>
      <c r="P560">
        <v>67591</v>
      </c>
      <c r="Q560">
        <v>309.93</v>
      </c>
      <c r="R560">
        <v>84.75</v>
      </c>
      <c r="S560">
        <v>-0.4565676238842542</v>
      </c>
      <c r="T560">
        <v>9.6501038504552869E-2</v>
      </c>
      <c r="U560">
        <v>9.3514909142046659E-2</v>
      </c>
      <c r="V560">
        <v>2.9956790443020518E-3</v>
      </c>
      <c r="W560">
        <v>9.051923009774461E-2</v>
      </c>
      <c r="X560" s="19">
        <f t="shared" si="24"/>
        <v>46113</v>
      </c>
      <c r="Y560" s="19">
        <f t="shared" si="25"/>
        <v>46113</v>
      </c>
      <c r="Z560">
        <f t="array" ref="Z560">_xlfn.XLOOKUP(INT(X560),INT($AE$2:$AE$1000),$AG$2:$AG$1000,"")</f>
        <v>24.54</v>
      </c>
      <c r="AE560" s="19" t="e">
        <f t="shared" si="26"/>
        <v>#VALUE!</v>
      </c>
    </row>
    <row r="561" spans="1:32" x14ac:dyDescent="0.3">
      <c r="A561">
        <v>11</v>
      </c>
      <c r="B561" t="s">
        <v>25</v>
      </c>
      <c r="C561" t="s">
        <v>31</v>
      </c>
      <c r="D561">
        <v>67642</v>
      </c>
      <c r="E561">
        <v>313.57</v>
      </c>
      <c r="F561">
        <v>81.790000000000006</v>
      </c>
      <c r="G561">
        <v>313.53864299999998</v>
      </c>
      <c r="H561">
        <v>81.798179000000005</v>
      </c>
      <c r="I561">
        <v>3.5894118136716999</v>
      </c>
      <c r="J561">
        <v>0.49788973317770813</v>
      </c>
      <c r="K561">
        <v>-3.1890805880664598E-2</v>
      </c>
      <c r="L561">
        <v>6.0874157375927142E-2</v>
      </c>
      <c r="M561" t="s">
        <v>27</v>
      </c>
      <c r="N561">
        <v>8</v>
      </c>
      <c r="O561" t="s">
        <v>28</v>
      </c>
      <c r="P561">
        <v>67650</v>
      </c>
      <c r="Q561">
        <v>309.91000000000003</v>
      </c>
      <c r="R561">
        <v>80.64</v>
      </c>
      <c r="S561">
        <v>-0.2010419932884252</v>
      </c>
      <c r="T561">
        <v>4.6715068540914881E-2</v>
      </c>
      <c r="U561">
        <v>4.373796163761029E-2</v>
      </c>
      <c r="V561">
        <v>2.9956790443020518E-3</v>
      </c>
      <c r="W561">
        <v>4.0742282593308241E-2</v>
      </c>
      <c r="X561" s="19">
        <f t="shared" si="24"/>
        <v>46113</v>
      </c>
      <c r="Y561" s="19">
        <f t="shared" si="25"/>
        <v>46113</v>
      </c>
      <c r="Z561">
        <f t="array" ref="Z561">_xlfn.XLOOKUP(INT(X561),INT($AE$2:$AE$1000),$AG$2:$AG$1000,"")</f>
        <v>24.54</v>
      </c>
      <c r="AE561" s="19" t="e">
        <f t="shared" si="26"/>
        <v>#VALUE!</v>
      </c>
    </row>
    <row r="562" spans="1:32" x14ac:dyDescent="0.3">
      <c r="A562">
        <v>11</v>
      </c>
      <c r="B562" t="s">
        <v>25</v>
      </c>
      <c r="C562" t="s">
        <v>31</v>
      </c>
      <c r="D562">
        <v>67988</v>
      </c>
      <c r="E562">
        <v>312.69</v>
      </c>
      <c r="F562">
        <v>81.400000000000006</v>
      </c>
      <c r="G562">
        <v>312.65873099999999</v>
      </c>
      <c r="H562">
        <v>81.408140000000003</v>
      </c>
      <c r="I562">
        <v>4.5944729905036006</v>
      </c>
      <c r="J562">
        <v>0.49788973317770813</v>
      </c>
      <c r="K562">
        <v>-3.1980555822060178E-2</v>
      </c>
      <c r="L562">
        <v>6.1165814886696333E-2</v>
      </c>
      <c r="M562" t="s">
        <v>27</v>
      </c>
      <c r="N562">
        <v>5</v>
      </c>
      <c r="O562" t="s">
        <v>28</v>
      </c>
      <c r="P562">
        <v>67993</v>
      </c>
      <c r="Q562">
        <v>309.31</v>
      </c>
      <c r="R562">
        <v>80.81</v>
      </c>
      <c r="S562">
        <v>-0.3407367115715203</v>
      </c>
      <c r="T562">
        <v>7.2006447895412246E-2</v>
      </c>
      <c r="U562">
        <v>6.9025086640002314E-2</v>
      </c>
      <c r="V562">
        <v>2.9956790443020518E-3</v>
      </c>
      <c r="W562">
        <v>6.6029407595700265E-2</v>
      </c>
      <c r="X562" s="19">
        <f t="shared" si="24"/>
        <v>46114</v>
      </c>
      <c r="Y562" s="19">
        <f t="shared" si="25"/>
        <v>46114</v>
      </c>
      <c r="Z562">
        <f t="array" ref="Z562">_xlfn.XLOOKUP(INT(X562),INT($AE$2:$AE$1000),$AG$2:$AG$1000,"")</f>
        <v>23.87</v>
      </c>
      <c r="AE562" s="19" t="e">
        <f t="shared" si="26"/>
        <v>#VALUE!</v>
      </c>
    </row>
    <row r="563" spans="1:32" x14ac:dyDescent="0.3">
      <c r="A563">
        <v>11</v>
      </c>
      <c r="B563" t="s">
        <v>25</v>
      </c>
      <c r="C563" t="s">
        <v>31</v>
      </c>
      <c r="D563">
        <v>68381</v>
      </c>
      <c r="E563">
        <v>307.435</v>
      </c>
      <c r="F563">
        <v>80.290000000000006</v>
      </c>
      <c r="G563">
        <v>307.40425649999997</v>
      </c>
      <c r="H563">
        <v>80.298029</v>
      </c>
      <c r="I563">
        <v>3.7593829014370361</v>
      </c>
      <c r="J563">
        <v>0.49788973317770813</v>
      </c>
      <c r="K563">
        <v>-3.252720087172898E-2</v>
      </c>
      <c r="L563">
        <v>6.2011425230752037E-2</v>
      </c>
      <c r="M563" t="s">
        <v>27</v>
      </c>
      <c r="N563">
        <v>5</v>
      </c>
      <c r="O563" t="s">
        <v>28</v>
      </c>
      <c r="P563">
        <v>68386</v>
      </c>
      <c r="Q563">
        <v>308.16000000000003</v>
      </c>
      <c r="R563">
        <v>81.400000000000006</v>
      </c>
      <c r="S563">
        <v>0.27477731845789999</v>
      </c>
      <c r="T563">
        <v>4.5250461374130482E-2</v>
      </c>
      <c r="U563">
        <v>4.2245440417512228E-2</v>
      </c>
      <c r="V563">
        <v>2.9956790443020518E-3</v>
      </c>
      <c r="W563">
        <v>3.9249761373210179E-2</v>
      </c>
      <c r="X563" s="19">
        <f t="shared" si="24"/>
        <v>46115</v>
      </c>
      <c r="Y563" s="19">
        <f t="shared" si="25"/>
        <v>46115</v>
      </c>
      <c r="Z563" t="str">
        <f t="array" ref="Z563">_xlfn.XLOOKUP(INT(X563),INT($AE$2:$AE$1000),$AG$2:$AG$1000,"")</f>
        <v/>
      </c>
      <c r="AE563" s="19" t="e">
        <f t="shared" si="26"/>
        <v>#VALUE!</v>
      </c>
    </row>
    <row r="564" spans="1:32" x14ac:dyDescent="0.3">
      <c r="A564">
        <v>11</v>
      </c>
      <c r="B564" t="s">
        <v>25</v>
      </c>
      <c r="C564" t="s">
        <v>31</v>
      </c>
      <c r="D564">
        <v>68770</v>
      </c>
      <c r="E564">
        <v>312.74</v>
      </c>
      <c r="F564">
        <v>81.81</v>
      </c>
      <c r="G564">
        <v>312.70872600000001</v>
      </c>
      <c r="H564">
        <v>81.818180999999996</v>
      </c>
      <c r="I564">
        <v>4.3762334501911573</v>
      </c>
      <c r="J564">
        <v>0.49788973317770813</v>
      </c>
      <c r="K564">
        <v>-3.1975442859883609E-2</v>
      </c>
      <c r="L564">
        <v>6.0859275538162588E-2</v>
      </c>
      <c r="M564" t="s">
        <v>27</v>
      </c>
      <c r="N564">
        <v>16</v>
      </c>
      <c r="O564" t="s">
        <v>28</v>
      </c>
      <c r="P564">
        <v>68786</v>
      </c>
      <c r="Q564">
        <v>311.39999999999998</v>
      </c>
      <c r="R564">
        <v>81.5</v>
      </c>
      <c r="S564">
        <v>0.17132671727952109</v>
      </c>
      <c r="T564">
        <v>2.3980718015414512E-2</v>
      </c>
      <c r="U564">
        <v>2.0991109895944701E-2</v>
      </c>
      <c r="V564">
        <v>2.9956790443020518E-3</v>
      </c>
      <c r="W564">
        <v>1.7995430851642649E-2</v>
      </c>
      <c r="X564" s="19">
        <f t="shared" si="24"/>
        <v>46118</v>
      </c>
      <c r="Y564" s="19">
        <f t="shared" si="25"/>
        <v>46118</v>
      </c>
      <c r="Z564">
        <f t="array" ref="Z564">_xlfn.XLOOKUP(INT(X564),INT($AE$2:$AE$1000),$AG$2:$AG$1000,"")</f>
        <v>24.17</v>
      </c>
      <c r="AE564" s="19" t="e">
        <f t="shared" si="26"/>
        <v>#VALUE!</v>
      </c>
    </row>
    <row r="565" spans="1:32" x14ac:dyDescent="0.3">
      <c r="A565">
        <v>11</v>
      </c>
      <c r="B565" t="s">
        <v>25</v>
      </c>
      <c r="C565" t="s">
        <v>31</v>
      </c>
      <c r="D565">
        <v>69446</v>
      </c>
      <c r="E565">
        <v>315.69</v>
      </c>
      <c r="F565">
        <v>81.89</v>
      </c>
      <c r="G565">
        <v>315.65843100000001</v>
      </c>
      <c r="H565">
        <v>81.898189000000002</v>
      </c>
      <c r="I565">
        <v>3.9121094324755021</v>
      </c>
      <c r="J565">
        <v>0.49788973317770813</v>
      </c>
      <c r="K565">
        <v>-3.1676644809781752E-2</v>
      </c>
      <c r="L565">
        <v>6.0799820878948363E-2</v>
      </c>
      <c r="M565" t="s">
        <v>27</v>
      </c>
      <c r="N565">
        <v>18</v>
      </c>
      <c r="O565" t="s">
        <v>28</v>
      </c>
      <c r="P565">
        <v>69464</v>
      </c>
      <c r="Q565">
        <v>315.75</v>
      </c>
      <c r="R565">
        <v>81.86</v>
      </c>
      <c r="S565">
        <v>0.31842192688250848</v>
      </c>
      <c r="T565">
        <v>-3.724593314955497E-3</v>
      </c>
      <c r="U565">
        <v>-6.7203804417158329E-3</v>
      </c>
      <c r="V565">
        <v>2.9956790443020518E-3</v>
      </c>
      <c r="W565">
        <v>-9.7160594860178848E-3</v>
      </c>
      <c r="X565" s="19">
        <f t="shared" si="24"/>
        <v>46120</v>
      </c>
      <c r="Y565" s="19">
        <f t="shared" si="25"/>
        <v>46120</v>
      </c>
      <c r="Z565">
        <f t="array" ref="Z565">_xlfn.XLOOKUP(INT(X565),INT($AE$2:$AE$1000),$AG$2:$AG$1000,"")</f>
        <v>21.04</v>
      </c>
      <c r="AE565" s="19" t="e">
        <f t="shared" si="26"/>
        <v>#VALUE!</v>
      </c>
    </row>
    <row r="566" spans="1:32" x14ac:dyDescent="0.3">
      <c r="A566">
        <v>11</v>
      </c>
      <c r="B566" t="s">
        <v>25</v>
      </c>
      <c r="C566" t="s">
        <v>31</v>
      </c>
      <c r="D566">
        <v>69801</v>
      </c>
      <c r="E566">
        <v>314.53500000000003</v>
      </c>
      <c r="F566">
        <v>81.795000000000002</v>
      </c>
      <c r="G566">
        <v>314.50354650000003</v>
      </c>
      <c r="H566">
        <v>81.803179499999999</v>
      </c>
      <c r="I566">
        <v>4.0416817131462537</v>
      </c>
      <c r="J566">
        <v>0.49788973317770813</v>
      </c>
      <c r="K566">
        <v>-3.1792964217018771E-2</v>
      </c>
      <c r="L566">
        <v>6.0870436234208472E-2</v>
      </c>
      <c r="M566" t="s">
        <v>27</v>
      </c>
      <c r="N566">
        <v>16</v>
      </c>
      <c r="O566" t="s">
        <v>28</v>
      </c>
      <c r="P566">
        <v>69817</v>
      </c>
      <c r="Q566">
        <v>314.38499999999999</v>
      </c>
      <c r="R566">
        <v>81.69</v>
      </c>
      <c r="S566">
        <v>0.29018003286598931</v>
      </c>
      <c r="T566">
        <v>-1.6224511720382309E-3</v>
      </c>
      <c r="U566">
        <v>-4.6171146043487224E-3</v>
      </c>
      <c r="V566">
        <v>2.9956790443020518E-3</v>
      </c>
      <c r="W566">
        <v>-7.6127936486507751E-3</v>
      </c>
      <c r="X566" s="19">
        <f t="shared" si="24"/>
        <v>46120</v>
      </c>
      <c r="Y566" s="19">
        <f t="shared" si="25"/>
        <v>46121</v>
      </c>
      <c r="Z566">
        <f t="array" ref="Z566">_xlfn.XLOOKUP(INT(X566),INT($AE$2:$AE$1000),$AG$2:$AG$1000,"")</f>
        <v>21.04</v>
      </c>
      <c r="AE566" s="19" t="e">
        <f t="shared" si="26"/>
        <v>#VALUE!</v>
      </c>
    </row>
    <row r="567" spans="1:32" x14ac:dyDescent="0.3">
      <c r="A567">
        <v>11</v>
      </c>
      <c r="B567" t="s">
        <v>25</v>
      </c>
      <c r="C567" t="s">
        <v>31</v>
      </c>
      <c r="D567">
        <v>70725</v>
      </c>
      <c r="E567">
        <v>309.55</v>
      </c>
      <c r="F567">
        <v>79.825000000000003</v>
      </c>
      <c r="G567">
        <v>309.58095500000002</v>
      </c>
      <c r="H567">
        <v>79.817017500000006</v>
      </c>
      <c r="I567">
        <v>-3.7446975272603962</v>
      </c>
      <c r="J567">
        <v>0.49788973317770813</v>
      </c>
      <c r="K567">
        <v>3.2304958811177523E-2</v>
      </c>
      <c r="L567">
        <v>-6.2372656834037969E-2</v>
      </c>
      <c r="M567" t="s">
        <v>29</v>
      </c>
      <c r="N567">
        <v>19</v>
      </c>
      <c r="O567" t="s">
        <v>28</v>
      </c>
      <c r="P567">
        <v>70744</v>
      </c>
      <c r="Q567">
        <v>310.33</v>
      </c>
      <c r="R567">
        <v>80.05</v>
      </c>
      <c r="S567">
        <v>-0.31411224992976883</v>
      </c>
      <c r="T567">
        <v>1.116402008505939E-2</v>
      </c>
      <c r="U567">
        <v>8.1643174471387712E-3</v>
      </c>
      <c r="V567">
        <v>2.9958798884087809E-3</v>
      </c>
      <c r="W567">
        <v>5.1684375587299908E-3</v>
      </c>
      <c r="X567" s="19">
        <f t="shared" si="24"/>
        <v>46125</v>
      </c>
      <c r="Y567" s="19">
        <f t="shared" si="25"/>
        <v>46125</v>
      </c>
      <c r="Z567">
        <f t="array" ref="Z567">_xlfn.XLOOKUP(INT(X567),INT($AE$2:$AE$1000),$AG$2:$AG$1000,"")</f>
        <v>19.12</v>
      </c>
      <c r="AE567" s="19" t="e">
        <f t="shared" si="26"/>
        <v>#VALUE!</v>
      </c>
    </row>
    <row r="568" spans="1:32" x14ac:dyDescent="0.3">
      <c r="A568">
        <v>11</v>
      </c>
      <c r="B568" t="s">
        <v>25</v>
      </c>
      <c r="C568" t="s">
        <v>26</v>
      </c>
      <c r="D568">
        <v>66901</v>
      </c>
      <c r="E568">
        <v>309.49</v>
      </c>
      <c r="F568">
        <v>904.07</v>
      </c>
      <c r="G568">
        <v>309.52094899999997</v>
      </c>
      <c r="H568">
        <v>903.97959300000002</v>
      </c>
      <c r="I568">
        <v>-5.2946240687158879</v>
      </c>
      <c r="J568">
        <v>0.51027925038248712</v>
      </c>
      <c r="K568">
        <v>3.2311221687292002E-2</v>
      </c>
      <c r="L568">
        <v>-5.6442449188944116E-3</v>
      </c>
      <c r="M568" t="s">
        <v>29</v>
      </c>
      <c r="N568">
        <v>23</v>
      </c>
      <c r="O568" t="s">
        <v>28</v>
      </c>
      <c r="P568">
        <v>66924</v>
      </c>
      <c r="Q568">
        <v>309.08</v>
      </c>
      <c r="R568">
        <v>903.08</v>
      </c>
      <c r="S568">
        <v>-0.49239462306835602</v>
      </c>
      <c r="T568">
        <v>-7.6597984220850082E-3</v>
      </c>
      <c r="U568">
        <v>-1.0678473382514649E-2</v>
      </c>
      <c r="V568">
        <v>3.0206564449148979E-3</v>
      </c>
      <c r="W568">
        <v>-1.3699129827429549E-2</v>
      </c>
      <c r="X568" s="19">
        <f t="shared" si="24"/>
        <v>46111</v>
      </c>
      <c r="Y568" s="19">
        <f t="shared" si="25"/>
        <v>46111</v>
      </c>
      <c r="Z568">
        <f t="array" ref="Z568">_xlfn.XLOOKUP(INT(X568),INT($AE$2:$AE$1000),$AG$2:$AG$1000,"")</f>
        <v>30.61</v>
      </c>
      <c r="AE568" s="19" t="e">
        <f t="shared" si="26"/>
        <v>#VALUE!</v>
      </c>
    </row>
    <row r="569" spans="1:32" x14ac:dyDescent="0.3">
      <c r="A569">
        <v>11</v>
      </c>
      <c r="B569" t="s">
        <v>25</v>
      </c>
      <c r="C569" t="s">
        <v>26</v>
      </c>
      <c r="D569">
        <v>67190</v>
      </c>
      <c r="E569">
        <v>309.87</v>
      </c>
      <c r="F569">
        <v>869.49</v>
      </c>
      <c r="G569">
        <v>309.83901300000002</v>
      </c>
      <c r="H569">
        <v>869.57694900000001</v>
      </c>
      <c r="I569">
        <v>5.2773064511384478</v>
      </c>
      <c r="J569">
        <v>0.51027925038248712</v>
      </c>
      <c r="K569">
        <v>-3.2271597766805431E-2</v>
      </c>
      <c r="L569">
        <v>5.8687190235941419E-3</v>
      </c>
      <c r="M569" t="s">
        <v>27</v>
      </c>
      <c r="N569">
        <v>4</v>
      </c>
      <c r="O569" t="s">
        <v>28</v>
      </c>
      <c r="P569">
        <v>67194</v>
      </c>
      <c r="Q569">
        <v>306.95</v>
      </c>
      <c r="R569">
        <v>879.1</v>
      </c>
      <c r="S569">
        <v>0.47482902640070063</v>
      </c>
      <c r="T569">
        <v>0.15063145529581209</v>
      </c>
      <c r="U569">
        <v>0.14761468026261479</v>
      </c>
      <c r="V569">
        <v>3.02046055661505E-3</v>
      </c>
      <c r="W569">
        <v>0.14459421970599981</v>
      </c>
      <c r="X569" s="19">
        <f t="shared" si="24"/>
        <v>46112</v>
      </c>
      <c r="Y569" s="19">
        <f t="shared" si="25"/>
        <v>46112</v>
      </c>
      <c r="Z569">
        <f t="array" ref="Z569">_xlfn.XLOOKUP(INT(X569),INT($AE$2:$AE$1000),$AG$2:$AG$1000,"")</f>
        <v>25.25</v>
      </c>
      <c r="AE569" s="19" t="e">
        <f t="shared" si="26"/>
        <v>#VALUE!</v>
      </c>
    </row>
    <row r="570" spans="1:32" x14ac:dyDescent="0.3">
      <c r="A570">
        <v>11</v>
      </c>
      <c r="B570" t="s">
        <v>25</v>
      </c>
      <c r="C570" t="s">
        <v>26</v>
      </c>
      <c r="D570">
        <v>67649</v>
      </c>
      <c r="E570">
        <v>310.91000000000003</v>
      </c>
      <c r="F570">
        <v>896.49</v>
      </c>
      <c r="G570">
        <v>310.94109099999997</v>
      </c>
      <c r="H570">
        <v>896.400351</v>
      </c>
      <c r="I570">
        <v>-3.8309797276595758</v>
      </c>
      <c r="J570">
        <v>0.51027925038248712</v>
      </c>
      <c r="K570">
        <v>3.2163648644302198E-2</v>
      </c>
      <c r="L570">
        <v>-5.6919681243793796E-3</v>
      </c>
      <c r="M570" t="s">
        <v>29</v>
      </c>
      <c r="N570">
        <v>8</v>
      </c>
      <c r="O570" t="s">
        <v>28</v>
      </c>
      <c r="P570">
        <v>67657</v>
      </c>
      <c r="Q570">
        <v>311.33</v>
      </c>
      <c r="R570">
        <v>894.03</v>
      </c>
      <c r="S570">
        <v>-0.46468982280947668</v>
      </c>
      <c r="T570">
        <v>2.7510974016579089E-2</v>
      </c>
      <c r="U570">
        <v>2.4490464866729431E-2</v>
      </c>
      <c r="V570">
        <v>3.0206564449148979E-3</v>
      </c>
      <c r="W570">
        <v>2.1469808421814531E-2</v>
      </c>
      <c r="X570" s="19">
        <f t="shared" si="24"/>
        <v>46113</v>
      </c>
      <c r="Y570" s="19">
        <f t="shared" si="25"/>
        <v>46113</v>
      </c>
      <c r="Z570">
        <f t="array" ref="Z570">_xlfn.XLOOKUP(INT(X570),INT($AE$2:$AE$1000),$AG$2:$AG$1000,"")</f>
        <v>24.54</v>
      </c>
      <c r="AE570" s="19" t="e">
        <f t="shared" si="26"/>
        <v>#VALUE!</v>
      </c>
      <c r="AF570" s="19"/>
    </row>
    <row r="571" spans="1:32" x14ac:dyDescent="0.3">
      <c r="A571">
        <v>11</v>
      </c>
      <c r="B571" t="s">
        <v>25</v>
      </c>
      <c r="C571" t="s">
        <v>26</v>
      </c>
      <c r="D571">
        <v>67989</v>
      </c>
      <c r="E571">
        <v>311.33999999999997</v>
      </c>
      <c r="F571">
        <v>923.47</v>
      </c>
      <c r="G571">
        <v>311.37113399999998</v>
      </c>
      <c r="H571">
        <v>923.37765300000001</v>
      </c>
      <c r="I571">
        <v>-3.5737683595279162</v>
      </c>
      <c r="J571">
        <v>0.51027925038248712</v>
      </c>
      <c r="K571">
        <v>3.2119226569024217E-2</v>
      </c>
      <c r="L571">
        <v>-5.5256721970663586E-3</v>
      </c>
      <c r="M571" t="s">
        <v>29</v>
      </c>
      <c r="N571">
        <v>24</v>
      </c>
      <c r="O571" t="s">
        <v>28</v>
      </c>
      <c r="P571">
        <v>68013</v>
      </c>
      <c r="Q571">
        <v>308.31</v>
      </c>
      <c r="R571">
        <v>914.15</v>
      </c>
      <c r="S571">
        <v>-0.34663222732642462</v>
      </c>
      <c r="T571">
        <v>-4.5821991627483759E-2</v>
      </c>
      <c r="U571">
        <v>-4.8827668076110227E-2</v>
      </c>
      <c r="V571">
        <v>3.0206564449148971E-3</v>
      </c>
      <c r="W571">
        <v>-5.1848324521025127E-2</v>
      </c>
      <c r="X571" s="19">
        <f t="shared" si="24"/>
        <v>46114</v>
      </c>
      <c r="Y571" s="19">
        <f t="shared" si="25"/>
        <v>46114</v>
      </c>
      <c r="Z571">
        <f t="array" ref="Z571">_xlfn.XLOOKUP(INT(X571),INT($AE$2:$AE$1000),$AG$2:$AG$1000,"")</f>
        <v>23.87</v>
      </c>
      <c r="AE571" s="19" t="e">
        <f t="shared" si="26"/>
        <v>#VALUE!</v>
      </c>
      <c r="AF571" s="19"/>
    </row>
    <row r="572" spans="1:32" x14ac:dyDescent="0.3">
      <c r="A572">
        <v>11</v>
      </c>
      <c r="B572" t="s">
        <v>25</v>
      </c>
      <c r="C572" t="s">
        <v>26</v>
      </c>
      <c r="D572">
        <v>68381</v>
      </c>
      <c r="E572">
        <v>307.435</v>
      </c>
      <c r="F572">
        <v>902.36500000000001</v>
      </c>
      <c r="G572">
        <v>307.40425649999997</v>
      </c>
      <c r="H572">
        <v>902.45523649999996</v>
      </c>
      <c r="I572">
        <v>3.9598325276040418</v>
      </c>
      <c r="J572">
        <v>0.51027925038248712</v>
      </c>
      <c r="K572">
        <v>-3.252720087172898E-2</v>
      </c>
      <c r="L572">
        <v>5.6549096029044456E-3</v>
      </c>
      <c r="M572" t="s">
        <v>27</v>
      </c>
      <c r="N572">
        <v>42</v>
      </c>
      <c r="O572" t="s">
        <v>28</v>
      </c>
      <c r="P572">
        <v>68423</v>
      </c>
      <c r="Q572">
        <v>309.12</v>
      </c>
      <c r="R572">
        <v>901.26499999999999</v>
      </c>
      <c r="S572">
        <v>0.14487268915692109</v>
      </c>
      <c r="T572">
        <v>-6.1028734032058433E-2</v>
      </c>
      <c r="U572">
        <v>-6.4054151326112738E-2</v>
      </c>
      <c r="V572">
        <v>3.02046055661505E-3</v>
      </c>
      <c r="W572">
        <v>-6.7074611882727786E-2</v>
      </c>
      <c r="X572" s="19">
        <f t="shared" si="24"/>
        <v>46115</v>
      </c>
      <c r="Y572" s="19">
        <f t="shared" si="25"/>
        <v>46115</v>
      </c>
      <c r="Z572" t="str">
        <f t="array" ref="Z572">_xlfn.XLOOKUP(INT(X572),INT($AE$2:$AE$1000),$AG$2:$AG$1000,"")</f>
        <v/>
      </c>
      <c r="AE572" s="19" t="e">
        <f t="shared" si="26"/>
        <v>#VALUE!</v>
      </c>
      <c r="AF572" s="19"/>
    </row>
    <row r="573" spans="1:32" x14ac:dyDescent="0.3">
      <c r="A573">
        <v>11</v>
      </c>
      <c r="B573" t="s">
        <v>25</v>
      </c>
      <c r="C573" t="s">
        <v>26</v>
      </c>
      <c r="D573">
        <v>69943</v>
      </c>
      <c r="E573">
        <v>313</v>
      </c>
      <c r="F573">
        <v>934</v>
      </c>
      <c r="G573">
        <v>313.03129999999999</v>
      </c>
      <c r="H573">
        <v>933.90660000000003</v>
      </c>
      <c r="I573">
        <v>-3.9870461386708231</v>
      </c>
      <c r="J573">
        <v>0.51027925038248712</v>
      </c>
      <c r="K573">
        <v>3.1948881789137379E-2</v>
      </c>
      <c r="L573">
        <v>-5.4633752717611044E-3</v>
      </c>
      <c r="M573" t="s">
        <v>29</v>
      </c>
      <c r="N573">
        <v>17</v>
      </c>
      <c r="O573" t="s">
        <v>28</v>
      </c>
      <c r="P573">
        <v>69960</v>
      </c>
      <c r="Q573">
        <v>314.14</v>
      </c>
      <c r="R573">
        <v>936.37</v>
      </c>
      <c r="S573">
        <v>3.3584420121820703E-2</v>
      </c>
      <c r="T573">
        <v>2.347352584554234E-2</v>
      </c>
      <c r="U573">
        <v>2.044803035231536E-2</v>
      </c>
      <c r="V573">
        <v>3.0206564449148979E-3</v>
      </c>
      <c r="W573">
        <v>1.742737390740046E-2</v>
      </c>
      <c r="X573" s="19">
        <f t="shared" si="24"/>
        <v>46121</v>
      </c>
      <c r="Y573" s="19">
        <f t="shared" si="25"/>
        <v>46121</v>
      </c>
      <c r="Z573">
        <f t="array" ref="Z573">_xlfn.XLOOKUP(INT(X573),INT($AE$2:$AE$1000),$AG$2:$AG$1000,"")</f>
        <v>19.489999999999998</v>
      </c>
      <c r="AE573" s="19" t="e">
        <f t="shared" si="26"/>
        <v>#VALUE!</v>
      </c>
      <c r="AF573" s="19"/>
    </row>
    <row r="574" spans="1:32" x14ac:dyDescent="0.3">
      <c r="A574">
        <v>11</v>
      </c>
      <c r="B574" t="s">
        <v>25</v>
      </c>
      <c r="C574" t="s">
        <v>26</v>
      </c>
      <c r="D574">
        <v>70725</v>
      </c>
      <c r="E574">
        <v>309.55</v>
      </c>
      <c r="F574">
        <v>927</v>
      </c>
      <c r="G574">
        <v>309.58095500000002</v>
      </c>
      <c r="H574">
        <v>926.90729999999996</v>
      </c>
      <c r="I574">
        <v>-4.4871109854826514</v>
      </c>
      <c r="J574">
        <v>0.51027925038248712</v>
      </c>
      <c r="K574">
        <v>3.2304958811177523E-2</v>
      </c>
      <c r="L574">
        <v>-5.5046305327129137E-3</v>
      </c>
      <c r="M574" t="s">
        <v>29</v>
      </c>
      <c r="N574">
        <v>6</v>
      </c>
      <c r="O574" t="s">
        <v>28</v>
      </c>
      <c r="P574">
        <v>70731</v>
      </c>
      <c r="Q574">
        <v>310.64999999999998</v>
      </c>
      <c r="R574">
        <v>923.89</v>
      </c>
      <c r="S574">
        <v>0.32428338197502388</v>
      </c>
      <c r="T574">
        <v>5.2654855649031412E-2</v>
      </c>
      <c r="U574">
        <v>4.9632455542891953E-2</v>
      </c>
      <c r="V574">
        <v>3.0206564449148979E-3</v>
      </c>
      <c r="W574">
        <v>4.6611799097977052E-2</v>
      </c>
      <c r="X574" s="19">
        <f t="shared" si="24"/>
        <v>46125</v>
      </c>
      <c r="Y574" s="19">
        <f t="shared" si="25"/>
        <v>46125</v>
      </c>
      <c r="Z574">
        <f t="array" ref="Z574">_xlfn.XLOOKUP(INT(X574),INT($AE$2:$AE$1000),$AG$2:$AG$1000,"")</f>
        <v>19.12</v>
      </c>
      <c r="AE574" s="19" t="e">
        <f t="shared" si="26"/>
        <v>#VALUE!</v>
      </c>
      <c r="AF574" s="19"/>
    </row>
    <row r="575" spans="1:32" x14ac:dyDescent="0.3">
      <c r="A575">
        <v>11</v>
      </c>
      <c r="B575" t="s">
        <v>31</v>
      </c>
      <c r="C575" t="s">
        <v>34</v>
      </c>
      <c r="D575">
        <v>66901</v>
      </c>
      <c r="E575">
        <v>85.55</v>
      </c>
      <c r="F575">
        <v>50.06</v>
      </c>
      <c r="G575">
        <v>85.558554999999998</v>
      </c>
      <c r="H575">
        <v>50.054994000000001</v>
      </c>
      <c r="I575">
        <v>-5.2946312595687228</v>
      </c>
      <c r="J575">
        <v>0.92619521931989357</v>
      </c>
      <c r="K575">
        <v>0.1168907071887785</v>
      </c>
      <c r="L575">
        <v>-0.18501702343585569</v>
      </c>
      <c r="M575" t="s">
        <v>29</v>
      </c>
      <c r="N575">
        <v>23</v>
      </c>
      <c r="O575" t="s">
        <v>28</v>
      </c>
      <c r="P575">
        <v>66924</v>
      </c>
      <c r="Q575">
        <v>85.39</v>
      </c>
      <c r="R575">
        <v>50.02</v>
      </c>
      <c r="S575">
        <v>-0.49321937709213981</v>
      </c>
      <c r="T575">
        <v>-1.1301832212770089E-2</v>
      </c>
      <c r="U575">
        <v>-1.515161233200097E-2</v>
      </c>
      <c r="V575">
        <v>3.8524051995959228E-3</v>
      </c>
      <c r="W575">
        <v>-1.90040175315969E-2</v>
      </c>
      <c r="X575" s="19">
        <f t="shared" si="24"/>
        <v>46111</v>
      </c>
      <c r="Y575" s="19">
        <f t="shared" si="25"/>
        <v>46111</v>
      </c>
      <c r="Z575">
        <f t="array" ref="Z575">_xlfn.XLOOKUP(INT(X575),INT($AE$2:$AE$1000),$AG$2:$AG$1000,"")</f>
        <v>30.61</v>
      </c>
      <c r="AE575" s="19" t="e">
        <f t="shared" si="26"/>
        <v>#VALUE!</v>
      </c>
      <c r="AF575" s="19"/>
    </row>
    <row r="576" spans="1:32" x14ac:dyDescent="0.3">
      <c r="A576">
        <v>11</v>
      </c>
      <c r="B576" t="s">
        <v>31</v>
      </c>
      <c r="C576" t="s">
        <v>34</v>
      </c>
      <c r="D576">
        <v>67586</v>
      </c>
      <c r="E576">
        <v>84.75</v>
      </c>
      <c r="F576">
        <v>50.01</v>
      </c>
      <c r="G576">
        <v>84.758475000000004</v>
      </c>
      <c r="H576">
        <v>50.004998999999998</v>
      </c>
      <c r="I576">
        <v>-5.1216050403378874</v>
      </c>
      <c r="J576">
        <v>0.92619521931989357</v>
      </c>
      <c r="K576">
        <v>0.11799410029498519</v>
      </c>
      <c r="L576">
        <v>-0.18520200346328611</v>
      </c>
      <c r="M576" t="s">
        <v>29</v>
      </c>
      <c r="N576">
        <v>28</v>
      </c>
      <c r="O576" t="s">
        <v>28</v>
      </c>
      <c r="P576">
        <v>67614</v>
      </c>
      <c r="Q576">
        <v>82.284999999999997</v>
      </c>
      <c r="R576">
        <v>49.505000000000003</v>
      </c>
      <c r="S576">
        <v>-0.32766841116338358</v>
      </c>
      <c r="T576">
        <v>-0.1973284454781804</v>
      </c>
      <c r="U576">
        <v>-0.2011423976699232</v>
      </c>
      <c r="V576">
        <v>3.8524051995959241E-3</v>
      </c>
      <c r="W576">
        <v>-0.20499480286951921</v>
      </c>
      <c r="X576" s="19">
        <f t="shared" si="24"/>
        <v>46113</v>
      </c>
      <c r="Y576" s="19">
        <f t="shared" si="25"/>
        <v>46113</v>
      </c>
      <c r="Z576">
        <f t="array" ref="Z576">_xlfn.XLOOKUP(INT(X576),INT($AE$2:$AE$1000),$AG$2:$AG$1000,"")</f>
        <v>24.54</v>
      </c>
      <c r="AE576" s="19" t="e">
        <f t="shared" si="26"/>
        <v>#VALUE!</v>
      </c>
      <c r="AF576" s="19"/>
    </row>
    <row r="577" spans="1:32" x14ac:dyDescent="0.3">
      <c r="A577">
        <v>11</v>
      </c>
      <c r="B577" t="s">
        <v>31</v>
      </c>
      <c r="C577" t="s">
        <v>34</v>
      </c>
      <c r="D577">
        <v>67643</v>
      </c>
      <c r="E577">
        <v>80.834999999999994</v>
      </c>
      <c r="F577">
        <v>49.424999999999997</v>
      </c>
      <c r="G577">
        <v>80.843083499999992</v>
      </c>
      <c r="H577">
        <v>49.420057499999999</v>
      </c>
      <c r="I577">
        <v>-4.5405596106473256</v>
      </c>
      <c r="J577">
        <v>0.92619521931989357</v>
      </c>
      <c r="K577">
        <v>0.1237087895094947</v>
      </c>
      <c r="L577">
        <v>-0.18739407573493039</v>
      </c>
      <c r="M577" t="s">
        <v>29</v>
      </c>
      <c r="N577">
        <v>13</v>
      </c>
      <c r="O577" t="s">
        <v>28</v>
      </c>
      <c r="P577">
        <v>67656</v>
      </c>
      <c r="Q577">
        <v>81.709999999999994</v>
      </c>
      <c r="R577">
        <v>49.35</v>
      </c>
      <c r="S577">
        <v>0.28387641265126801</v>
      </c>
      <c r="T577">
        <v>0.1222997465009268</v>
      </c>
      <c r="U577">
        <v>0.1184379369987737</v>
      </c>
      <c r="V577">
        <v>3.8524051995959228E-3</v>
      </c>
      <c r="W577">
        <v>0.1145855317991777</v>
      </c>
      <c r="Y577" s="19">
        <f t="shared" si="25"/>
        <v>46113</v>
      </c>
      <c r="AE577" s="19" t="e">
        <f t="shared" si="26"/>
        <v>#VALUE!</v>
      </c>
      <c r="AF577" s="19"/>
    </row>
    <row r="578" spans="1:32" x14ac:dyDescent="0.3">
      <c r="A578">
        <v>11</v>
      </c>
      <c r="B578" t="s">
        <v>31</v>
      </c>
      <c r="C578" t="s">
        <v>34</v>
      </c>
      <c r="D578">
        <v>67988</v>
      </c>
      <c r="E578">
        <v>81.400000000000006</v>
      </c>
      <c r="F578">
        <v>49.765000000000001</v>
      </c>
      <c r="G578">
        <v>81.408140000000003</v>
      </c>
      <c r="H578">
        <v>49.760023500000003</v>
      </c>
      <c r="I578">
        <v>-3.7174958820261379</v>
      </c>
      <c r="J578">
        <v>0.92619521931989357</v>
      </c>
      <c r="K578">
        <v>0.1228501228501228</v>
      </c>
      <c r="L578">
        <v>-0.1861137786235092</v>
      </c>
      <c r="M578" t="s">
        <v>29</v>
      </c>
      <c r="N578">
        <v>27</v>
      </c>
      <c r="O578" t="s">
        <v>28</v>
      </c>
      <c r="P578">
        <v>68015</v>
      </c>
      <c r="Q578">
        <v>80.47</v>
      </c>
      <c r="R578">
        <v>49.35</v>
      </c>
      <c r="S578">
        <v>-0.46908546337373119</v>
      </c>
      <c r="T578">
        <v>-3.701339612185893E-2</v>
      </c>
      <c r="U578">
        <v>-4.0846637777259928E-2</v>
      </c>
      <c r="V578">
        <v>3.8524051995959228E-3</v>
      </c>
      <c r="W578">
        <v>-4.4699042976855848E-2</v>
      </c>
      <c r="Y578" s="19">
        <f t="shared" ref="Y578:Y641" si="27">WORKDAY(DATE(2025,8,2),INT(P578/390))</f>
        <v>46114</v>
      </c>
      <c r="AE578" s="19" t="e">
        <f t="shared" ref="AE578:AE641" si="28">IF(ISNUMBER(AF578),DATE(YEAR(AF578),DAY(AF578),MONTH(AF578)),DATE(RIGHT(AF578,4),LEFT(AF578,2),MID(AF578,4,2)))</f>
        <v>#VALUE!</v>
      </c>
    </row>
    <row r="579" spans="1:32" x14ac:dyDescent="0.3">
      <c r="A579">
        <v>11</v>
      </c>
      <c r="B579" t="s">
        <v>31</v>
      </c>
      <c r="C579" t="s">
        <v>34</v>
      </c>
      <c r="D579">
        <v>68714</v>
      </c>
      <c r="E579">
        <v>81.325000000000003</v>
      </c>
      <c r="F579">
        <v>49.494999999999997</v>
      </c>
      <c r="G579">
        <v>81.333132500000005</v>
      </c>
      <c r="H579">
        <v>49.490050500000002</v>
      </c>
      <c r="I579">
        <v>-3.500826348552371</v>
      </c>
      <c r="J579">
        <v>0.92619521931989357</v>
      </c>
      <c r="K579">
        <v>0.122963418383031</v>
      </c>
      <c r="L579">
        <v>-0.18712904724111401</v>
      </c>
      <c r="M579" t="s">
        <v>29</v>
      </c>
      <c r="N579">
        <v>15</v>
      </c>
      <c r="O579" t="s">
        <v>28</v>
      </c>
      <c r="P579">
        <v>68729</v>
      </c>
      <c r="Q579">
        <v>81.38</v>
      </c>
      <c r="R579">
        <v>49.47</v>
      </c>
      <c r="S579">
        <v>-0.39674243981679891</v>
      </c>
      <c r="T579">
        <v>1.1441214192093379E-2</v>
      </c>
      <c r="U579">
        <v>7.5886152772693749E-3</v>
      </c>
      <c r="V579">
        <v>3.8524051995959228E-3</v>
      </c>
      <c r="W579">
        <v>3.7362100776734521E-3</v>
      </c>
      <c r="Y579" s="19">
        <f t="shared" si="27"/>
        <v>46118</v>
      </c>
      <c r="AE579" s="19" t="e">
        <f t="shared" si="28"/>
        <v>#VALUE!</v>
      </c>
    </row>
    <row r="580" spans="1:32" x14ac:dyDescent="0.3">
      <c r="A580">
        <v>11</v>
      </c>
      <c r="B580" t="s">
        <v>31</v>
      </c>
      <c r="C580" t="s">
        <v>34</v>
      </c>
      <c r="D580">
        <v>68770</v>
      </c>
      <c r="E580">
        <v>81.81</v>
      </c>
      <c r="F580">
        <v>49.32</v>
      </c>
      <c r="G580">
        <v>81.801819000000009</v>
      </c>
      <c r="H580">
        <v>49.324931999999997</v>
      </c>
      <c r="I580">
        <v>4.6018004961997114</v>
      </c>
      <c r="J580">
        <v>0.92619521931989357</v>
      </c>
      <c r="K580">
        <v>-0.1222344456667889</v>
      </c>
      <c r="L580">
        <v>0.1877930290591836</v>
      </c>
      <c r="M580" t="s">
        <v>27</v>
      </c>
      <c r="N580">
        <v>1</v>
      </c>
      <c r="O580" t="s">
        <v>28</v>
      </c>
      <c r="P580">
        <v>68771</v>
      </c>
      <c r="Q580">
        <v>81.84</v>
      </c>
      <c r="R580">
        <v>49.765000000000001</v>
      </c>
      <c r="S580">
        <v>0.1279352543491151</v>
      </c>
      <c r="T580">
        <v>7.9900864561332954E-2</v>
      </c>
      <c r="U580">
        <v>7.6039750629564876E-2</v>
      </c>
      <c r="V580">
        <v>3.8523756776836508E-3</v>
      </c>
      <c r="W580">
        <v>7.2187374951881225E-2</v>
      </c>
      <c r="Y580" s="19">
        <f t="shared" si="27"/>
        <v>46118</v>
      </c>
      <c r="AE580" s="19" t="e">
        <f t="shared" si="28"/>
        <v>#VALUE!</v>
      </c>
    </row>
    <row r="581" spans="1:32" x14ac:dyDescent="0.3">
      <c r="A581">
        <v>11</v>
      </c>
      <c r="B581" t="s">
        <v>31</v>
      </c>
      <c r="C581" t="s">
        <v>34</v>
      </c>
      <c r="D581">
        <v>68910</v>
      </c>
      <c r="E581">
        <v>81.875</v>
      </c>
      <c r="F581">
        <v>50.78</v>
      </c>
      <c r="G581">
        <v>81.883187500000005</v>
      </c>
      <c r="H581">
        <v>50.774921999999997</v>
      </c>
      <c r="I581">
        <v>-3.5616991078417581</v>
      </c>
      <c r="J581">
        <v>0.92619521931989357</v>
      </c>
      <c r="K581">
        <v>0.12213740458015269</v>
      </c>
      <c r="L581">
        <v>-0.18239370211104641</v>
      </c>
      <c r="M581" t="s">
        <v>29</v>
      </c>
      <c r="N581">
        <v>29</v>
      </c>
      <c r="O581" t="s">
        <v>28</v>
      </c>
      <c r="P581">
        <v>68939</v>
      </c>
      <c r="Q581">
        <v>81.745000000000005</v>
      </c>
      <c r="R581">
        <v>50.784999999999997</v>
      </c>
      <c r="S581">
        <v>-0.27574915714477932</v>
      </c>
      <c r="T581">
        <v>-1.678983110597369E-2</v>
      </c>
      <c r="U581">
        <v>-2.064072495520395E-2</v>
      </c>
      <c r="V581">
        <v>3.8524051995959228E-3</v>
      </c>
      <c r="W581">
        <v>-2.4493130154799869E-2</v>
      </c>
      <c r="Y581" s="19">
        <f t="shared" si="27"/>
        <v>46118</v>
      </c>
      <c r="AE581" s="19" t="e">
        <f t="shared" si="28"/>
        <v>#VALUE!</v>
      </c>
    </row>
    <row r="582" spans="1:32" x14ac:dyDescent="0.3">
      <c r="A582">
        <v>11</v>
      </c>
      <c r="B582" t="s">
        <v>31</v>
      </c>
      <c r="C582" t="s">
        <v>34</v>
      </c>
      <c r="D582">
        <v>69403</v>
      </c>
      <c r="E582">
        <v>81.87</v>
      </c>
      <c r="F582">
        <v>50.655000000000001</v>
      </c>
      <c r="G582">
        <v>81.861813000000012</v>
      </c>
      <c r="H582">
        <v>50.660065500000002</v>
      </c>
      <c r="I582">
        <v>3.8327705756599562</v>
      </c>
      <c r="J582">
        <v>0.92619521931989357</v>
      </c>
      <c r="K582">
        <v>-0.12214486380847681</v>
      </c>
      <c r="L582">
        <v>0.1828437902121989</v>
      </c>
      <c r="M582" t="s">
        <v>27</v>
      </c>
      <c r="N582">
        <v>24</v>
      </c>
      <c r="O582" t="s">
        <v>28</v>
      </c>
      <c r="P582">
        <v>69427</v>
      </c>
      <c r="Q582">
        <v>81.844999999999999</v>
      </c>
      <c r="R582">
        <v>50.634999999999998</v>
      </c>
      <c r="S582">
        <v>1.3603994950721921E-2</v>
      </c>
      <c r="T582">
        <v>-6.0325420903193424E-4</v>
      </c>
      <c r="U582">
        <v>-4.4549735979305368E-3</v>
      </c>
      <c r="V582">
        <v>3.8523756776836521E-3</v>
      </c>
      <c r="W582">
        <v>-8.3073492756141881E-3</v>
      </c>
      <c r="Y582" s="19">
        <f t="shared" si="27"/>
        <v>46120</v>
      </c>
      <c r="AE582" s="19" t="e">
        <f t="shared" si="28"/>
        <v>#VALUE!</v>
      </c>
    </row>
    <row r="583" spans="1:32" x14ac:dyDescent="0.3">
      <c r="A583">
        <v>11</v>
      </c>
      <c r="B583" t="s">
        <v>31</v>
      </c>
      <c r="C583" t="s">
        <v>34</v>
      </c>
      <c r="D583">
        <v>69944</v>
      </c>
      <c r="E583">
        <v>81.545000000000002</v>
      </c>
      <c r="F583">
        <v>51.36</v>
      </c>
      <c r="G583">
        <v>81.553154500000005</v>
      </c>
      <c r="H583">
        <v>51.354863999999999</v>
      </c>
      <c r="I583">
        <v>-4.3838643205070396</v>
      </c>
      <c r="J583">
        <v>0.92619521931989357</v>
      </c>
      <c r="K583">
        <v>0.1226316757618493</v>
      </c>
      <c r="L583">
        <v>-0.1803339601479543</v>
      </c>
      <c r="M583" t="s">
        <v>29</v>
      </c>
      <c r="N583">
        <v>10</v>
      </c>
      <c r="O583" t="s">
        <v>28</v>
      </c>
      <c r="P583">
        <v>69954</v>
      </c>
      <c r="Q583">
        <v>81.569999999999993</v>
      </c>
      <c r="R583">
        <v>51.27</v>
      </c>
      <c r="S583">
        <v>-0.36985886246546429</v>
      </c>
      <c r="T583">
        <v>1.9295848307360409E-2</v>
      </c>
      <c r="U583">
        <v>1.544477429517215E-2</v>
      </c>
      <c r="V583">
        <v>3.8524051995959228E-3</v>
      </c>
      <c r="W583">
        <v>1.159236909557622E-2</v>
      </c>
      <c r="Y583" s="19">
        <f t="shared" si="27"/>
        <v>46121</v>
      </c>
      <c r="AE583" s="19" t="e">
        <f t="shared" si="28"/>
        <v>#VALUE!</v>
      </c>
    </row>
    <row r="584" spans="1:32" x14ac:dyDescent="0.3">
      <c r="A584">
        <v>11</v>
      </c>
      <c r="B584" t="s">
        <v>31</v>
      </c>
      <c r="C584" t="s">
        <v>34</v>
      </c>
      <c r="D584">
        <v>70038</v>
      </c>
      <c r="E584">
        <v>80.540000000000006</v>
      </c>
      <c r="F584">
        <v>51.155000000000001</v>
      </c>
      <c r="G584">
        <v>80.548054000000008</v>
      </c>
      <c r="H584">
        <v>51.149884499999999</v>
      </c>
      <c r="I584">
        <v>-4.1432420141297071</v>
      </c>
      <c r="J584">
        <v>0.92619521931989357</v>
      </c>
      <c r="K584">
        <v>0.1241619071268935</v>
      </c>
      <c r="L584">
        <v>-0.18105663558203369</v>
      </c>
      <c r="M584" t="s">
        <v>29</v>
      </c>
      <c r="N584">
        <v>4</v>
      </c>
      <c r="O584" t="s">
        <v>28</v>
      </c>
      <c r="P584">
        <v>70042</v>
      </c>
      <c r="Q584">
        <v>81.055000000000007</v>
      </c>
      <c r="R584">
        <v>51.25</v>
      </c>
      <c r="S584">
        <v>-0.31610948957940371</v>
      </c>
      <c r="T584">
        <v>4.6743001790057213E-2</v>
      </c>
      <c r="U584">
        <v>4.2882496975161943E-2</v>
      </c>
      <c r="V584">
        <v>3.8524051995959228E-3</v>
      </c>
      <c r="W584">
        <v>3.9030091775566017E-2</v>
      </c>
      <c r="Y584" s="19">
        <f t="shared" si="27"/>
        <v>46121</v>
      </c>
      <c r="AE584" s="19" t="e">
        <f t="shared" si="28"/>
        <v>#VALUE!</v>
      </c>
    </row>
    <row r="585" spans="1:32" x14ac:dyDescent="0.3">
      <c r="A585">
        <v>11</v>
      </c>
      <c r="B585" t="s">
        <v>31</v>
      </c>
      <c r="C585" t="s">
        <v>34</v>
      </c>
      <c r="D585">
        <v>70334</v>
      </c>
      <c r="E585">
        <v>80.305000000000007</v>
      </c>
      <c r="F585">
        <v>51.104999999999997</v>
      </c>
      <c r="G585">
        <v>80.313030500000011</v>
      </c>
      <c r="H585">
        <v>51.099889500000003</v>
      </c>
      <c r="I585">
        <v>-3.716351521531601</v>
      </c>
      <c r="J585">
        <v>0.92619521931989357</v>
      </c>
      <c r="K585">
        <v>0.1245252474939294</v>
      </c>
      <c r="L585">
        <v>-0.18123377738379681</v>
      </c>
      <c r="M585" t="s">
        <v>29</v>
      </c>
      <c r="N585">
        <v>11</v>
      </c>
      <c r="O585" t="s">
        <v>28</v>
      </c>
      <c r="P585">
        <v>70345</v>
      </c>
      <c r="Q585">
        <v>80.319999999999993</v>
      </c>
      <c r="R585">
        <v>50.98</v>
      </c>
      <c r="S585">
        <v>-0.47500011802618242</v>
      </c>
      <c r="T585">
        <v>2.4522100885381839E-2</v>
      </c>
      <c r="U585">
        <v>2.0671789081088101E-2</v>
      </c>
      <c r="V585">
        <v>3.8524051995959241E-3</v>
      </c>
      <c r="W585">
        <v>1.6819383881492182E-2</v>
      </c>
      <c r="Y585" s="19">
        <f t="shared" si="27"/>
        <v>46122</v>
      </c>
      <c r="AE585" s="19" t="e">
        <f t="shared" si="28"/>
        <v>#VALUE!</v>
      </c>
    </row>
    <row r="586" spans="1:32" x14ac:dyDescent="0.3">
      <c r="A586">
        <v>11</v>
      </c>
      <c r="B586" t="s">
        <v>31</v>
      </c>
      <c r="C586" t="s">
        <v>33</v>
      </c>
      <c r="D586">
        <v>66901</v>
      </c>
      <c r="E586">
        <v>85.55</v>
      </c>
      <c r="F586">
        <v>222.035</v>
      </c>
      <c r="G586">
        <v>85.558554999999998</v>
      </c>
      <c r="H586">
        <v>222.01279650000001</v>
      </c>
      <c r="I586">
        <v>-5.2946413719548611</v>
      </c>
      <c r="J586">
        <v>1.094621650123591</v>
      </c>
      <c r="K586">
        <v>0.1168907071887785</v>
      </c>
      <c r="L586">
        <v>-4.9299509091971602E-2</v>
      </c>
      <c r="M586" t="s">
        <v>29</v>
      </c>
      <c r="N586">
        <v>23</v>
      </c>
      <c r="O586" t="s">
        <v>28</v>
      </c>
      <c r="P586">
        <v>66924</v>
      </c>
      <c r="Q586">
        <v>85.39</v>
      </c>
      <c r="R586">
        <v>222.07499999999999</v>
      </c>
      <c r="S586">
        <v>-0.49293796961793629</v>
      </c>
      <c r="T586">
        <v>-2.067449351388263E-2</v>
      </c>
      <c r="U586">
        <v>-2.4862063760851021E-2</v>
      </c>
      <c r="V586">
        <v>4.1892243759171577E-3</v>
      </c>
      <c r="W586">
        <v>-2.9051288136768171E-2</v>
      </c>
      <c r="Y586" s="19">
        <f t="shared" si="27"/>
        <v>46111</v>
      </c>
      <c r="AE586" s="19" t="e">
        <f t="shared" si="28"/>
        <v>#VALUE!</v>
      </c>
    </row>
    <row r="587" spans="1:32" x14ac:dyDescent="0.3">
      <c r="A587">
        <v>11</v>
      </c>
      <c r="B587" t="s">
        <v>31</v>
      </c>
      <c r="C587" t="s">
        <v>33</v>
      </c>
      <c r="D587">
        <v>67196</v>
      </c>
      <c r="E587">
        <v>84.405000000000001</v>
      </c>
      <c r="F587">
        <v>219.55</v>
      </c>
      <c r="G587">
        <v>84.413440500000007</v>
      </c>
      <c r="H587">
        <v>219.52804499999999</v>
      </c>
      <c r="I587">
        <v>-3.9405715311877789</v>
      </c>
      <c r="J587">
        <v>1.094621650123591</v>
      </c>
      <c r="K587">
        <v>0.1184763935785795</v>
      </c>
      <c r="L587">
        <v>-4.9857510823210723E-2</v>
      </c>
      <c r="M587" t="s">
        <v>29</v>
      </c>
      <c r="N587">
        <v>38</v>
      </c>
      <c r="O587" t="s">
        <v>28</v>
      </c>
      <c r="P587">
        <v>67234</v>
      </c>
      <c r="Q587">
        <v>84.86</v>
      </c>
      <c r="R587">
        <v>219.07</v>
      </c>
      <c r="S587">
        <v>0.49686107240723593</v>
      </c>
      <c r="T587">
        <v>7.7838364273395508E-2</v>
      </c>
      <c r="U587">
        <v>7.3646123457759199E-2</v>
      </c>
      <c r="V587">
        <v>4.1892243759171577E-3</v>
      </c>
      <c r="W587">
        <v>6.9456899081842036E-2</v>
      </c>
      <c r="Y587" s="19">
        <f t="shared" si="27"/>
        <v>46112</v>
      </c>
      <c r="AE587" s="19" t="e">
        <f t="shared" si="28"/>
        <v>#VALUE!</v>
      </c>
    </row>
    <row r="588" spans="1:32" x14ac:dyDescent="0.3">
      <c r="A588">
        <v>11</v>
      </c>
      <c r="B588" t="s">
        <v>31</v>
      </c>
      <c r="C588" t="s">
        <v>33</v>
      </c>
      <c r="D588">
        <v>67454</v>
      </c>
      <c r="E588">
        <v>85.7</v>
      </c>
      <c r="F588">
        <v>220.35499999999999</v>
      </c>
      <c r="G588">
        <v>85.691429999999997</v>
      </c>
      <c r="H588">
        <v>220.37703550000001</v>
      </c>
      <c r="I588">
        <v>3.7243197194991331</v>
      </c>
      <c r="J588">
        <v>1.094621650123591</v>
      </c>
      <c r="K588">
        <v>-0.1166861143523921</v>
      </c>
      <c r="L588">
        <v>4.967537156513769E-2</v>
      </c>
      <c r="M588" t="s">
        <v>27</v>
      </c>
      <c r="N588">
        <v>32</v>
      </c>
      <c r="O588" t="s">
        <v>28</v>
      </c>
      <c r="P588">
        <v>67486</v>
      </c>
      <c r="Q588">
        <v>85.905000000000001</v>
      </c>
      <c r="R588">
        <v>220.57</v>
      </c>
      <c r="S588">
        <v>0.36131950204150742</v>
      </c>
      <c r="T588">
        <v>-1.3240448555735401E-2</v>
      </c>
      <c r="U588">
        <v>-1.743315194181462E-2</v>
      </c>
      <c r="V588">
        <v>4.1892622245772084E-3</v>
      </c>
      <c r="W588">
        <v>-2.162241416639183E-2</v>
      </c>
      <c r="Y588" s="19">
        <f t="shared" si="27"/>
        <v>46113</v>
      </c>
      <c r="AE588" s="19" t="e">
        <f t="shared" si="28"/>
        <v>#VALUE!</v>
      </c>
    </row>
    <row r="589" spans="1:32" x14ac:dyDescent="0.3">
      <c r="A589">
        <v>11</v>
      </c>
      <c r="B589" t="s">
        <v>31</v>
      </c>
      <c r="C589" t="s">
        <v>33</v>
      </c>
      <c r="D589">
        <v>67586</v>
      </c>
      <c r="E589">
        <v>84.75</v>
      </c>
      <c r="F589">
        <v>223.08</v>
      </c>
      <c r="G589">
        <v>84.758475000000004</v>
      </c>
      <c r="H589">
        <v>223.057692</v>
      </c>
      <c r="I589">
        <v>-5.1744691205433204</v>
      </c>
      <c r="J589">
        <v>1.094621650123591</v>
      </c>
      <c r="K589">
        <v>0.11799410029498519</v>
      </c>
      <c r="L589">
        <v>-4.9068569576994417E-2</v>
      </c>
      <c r="M589" t="s">
        <v>29</v>
      </c>
      <c r="N589">
        <v>23</v>
      </c>
      <c r="O589" t="s">
        <v>28</v>
      </c>
      <c r="P589">
        <v>67609</v>
      </c>
      <c r="Q589">
        <v>82.51</v>
      </c>
      <c r="R589">
        <v>219.81</v>
      </c>
      <c r="S589">
        <v>-0.45251943280231749</v>
      </c>
      <c r="T589">
        <v>-0.1038525621439941</v>
      </c>
      <c r="U589">
        <v>-0.1079993293435252</v>
      </c>
      <c r="V589">
        <v>4.1892243759171586E-3</v>
      </c>
      <c r="W589">
        <v>-0.11218855371944229</v>
      </c>
      <c r="Y589" s="19">
        <f t="shared" si="27"/>
        <v>46113</v>
      </c>
      <c r="AE589" s="19" t="e">
        <f t="shared" si="28"/>
        <v>#VALUE!</v>
      </c>
    </row>
    <row r="590" spans="1:32" x14ac:dyDescent="0.3">
      <c r="A590">
        <v>11</v>
      </c>
      <c r="B590" t="s">
        <v>31</v>
      </c>
      <c r="C590" t="s">
        <v>33</v>
      </c>
      <c r="D590">
        <v>67643</v>
      </c>
      <c r="E590">
        <v>80.834999999999994</v>
      </c>
      <c r="F590">
        <v>220.035</v>
      </c>
      <c r="G590">
        <v>80.843083499999992</v>
      </c>
      <c r="H590">
        <v>220.01299650000001</v>
      </c>
      <c r="I590">
        <v>-4.4230449794340299</v>
      </c>
      <c r="J590">
        <v>1.094621650123591</v>
      </c>
      <c r="K590">
        <v>0.1237087895094947</v>
      </c>
      <c r="L590">
        <v>-4.9747615157751793E-2</v>
      </c>
      <c r="M590" t="s">
        <v>29</v>
      </c>
      <c r="N590">
        <v>13</v>
      </c>
      <c r="O590" t="s">
        <v>28</v>
      </c>
      <c r="P590">
        <v>67656</v>
      </c>
      <c r="Q590">
        <v>81.709999999999994</v>
      </c>
      <c r="R590">
        <v>220.01</v>
      </c>
      <c r="S590">
        <v>1.157125885733723E-2</v>
      </c>
      <c r="T590">
        <v>0.10948888119975191</v>
      </c>
      <c r="U590">
        <v>0.1052889377494603</v>
      </c>
      <c r="V590">
        <v>4.1892243759171577E-3</v>
      </c>
      <c r="W590">
        <v>0.10109971337354309</v>
      </c>
      <c r="Y590" s="19">
        <f t="shared" si="27"/>
        <v>46113</v>
      </c>
      <c r="AE590" s="19" t="e">
        <f t="shared" si="28"/>
        <v>#VALUE!</v>
      </c>
    </row>
    <row r="591" spans="1:32" x14ac:dyDescent="0.3">
      <c r="A591">
        <v>11</v>
      </c>
      <c r="B591" t="s">
        <v>31</v>
      </c>
      <c r="C591" t="s">
        <v>33</v>
      </c>
      <c r="D591">
        <v>67988</v>
      </c>
      <c r="E591">
        <v>81.400000000000006</v>
      </c>
      <c r="F591">
        <v>224.095</v>
      </c>
      <c r="G591">
        <v>81.408140000000003</v>
      </c>
      <c r="H591">
        <v>224.07259049999999</v>
      </c>
      <c r="I591">
        <v>-4.5397686978595004</v>
      </c>
      <c r="J591">
        <v>1.094621650123591</v>
      </c>
      <c r="K591">
        <v>0.1228501228501228</v>
      </c>
      <c r="L591">
        <v>-4.884632187793532E-2</v>
      </c>
      <c r="M591" t="s">
        <v>29</v>
      </c>
      <c r="N591">
        <v>16</v>
      </c>
      <c r="O591" t="s">
        <v>28</v>
      </c>
      <c r="P591">
        <v>68004</v>
      </c>
      <c r="Q591">
        <v>80.61</v>
      </c>
      <c r="R591">
        <v>221.11</v>
      </c>
      <c r="S591">
        <v>-0.3527040959245949</v>
      </c>
      <c r="T591">
        <v>4.87546737540384E-2</v>
      </c>
      <c r="U591">
        <v>4.4589716240577303E-2</v>
      </c>
      <c r="V591">
        <v>4.1892243759171577E-3</v>
      </c>
      <c r="W591">
        <v>4.0400491864660139E-2</v>
      </c>
      <c r="Y591" s="19">
        <f t="shared" si="27"/>
        <v>46114</v>
      </c>
      <c r="AE591" s="19" t="e">
        <f t="shared" si="28"/>
        <v>#VALUE!</v>
      </c>
      <c r="AF591" s="19"/>
    </row>
    <row r="592" spans="1:32" x14ac:dyDescent="0.3">
      <c r="A592">
        <v>11</v>
      </c>
      <c r="B592" t="s">
        <v>31</v>
      </c>
      <c r="C592" t="s">
        <v>33</v>
      </c>
      <c r="D592">
        <v>68770</v>
      </c>
      <c r="E592">
        <v>81.81</v>
      </c>
      <c r="F592">
        <v>220</v>
      </c>
      <c r="G592">
        <v>81.801819000000009</v>
      </c>
      <c r="H592">
        <v>220.02199999999999</v>
      </c>
      <c r="I592">
        <v>4.6408854836061106</v>
      </c>
      <c r="J592">
        <v>1.094621650123591</v>
      </c>
      <c r="K592">
        <v>-0.1222344456667889</v>
      </c>
      <c r="L592">
        <v>4.975552955107234E-2</v>
      </c>
      <c r="M592" t="s">
        <v>27</v>
      </c>
      <c r="N592">
        <v>5</v>
      </c>
      <c r="O592" t="s">
        <v>28</v>
      </c>
      <c r="P592">
        <v>68775</v>
      </c>
      <c r="Q592">
        <v>82.56</v>
      </c>
      <c r="R592">
        <v>223.19</v>
      </c>
      <c r="S592">
        <v>0.42183447017596659</v>
      </c>
      <c r="T592">
        <v>6.7044305017828959E-2</v>
      </c>
      <c r="U592">
        <v>6.283002212023038E-2</v>
      </c>
      <c r="V592">
        <v>4.1892622245772084E-3</v>
      </c>
      <c r="W592">
        <v>5.864075989565317E-2</v>
      </c>
      <c r="Y592" s="19">
        <f t="shared" si="27"/>
        <v>46118</v>
      </c>
      <c r="AE592" s="19" t="e">
        <f t="shared" si="28"/>
        <v>#VALUE!</v>
      </c>
      <c r="AF592" s="19"/>
    </row>
    <row r="593" spans="1:32" x14ac:dyDescent="0.3">
      <c r="A593">
        <v>11</v>
      </c>
      <c r="B593" t="s">
        <v>31</v>
      </c>
      <c r="C593" t="s">
        <v>33</v>
      </c>
      <c r="D593">
        <v>68862</v>
      </c>
      <c r="E593">
        <v>81.489999999999995</v>
      </c>
      <c r="F593">
        <v>223.86</v>
      </c>
      <c r="G593">
        <v>81.498148999999998</v>
      </c>
      <c r="H593">
        <v>223.837614</v>
      </c>
      <c r="I593">
        <v>-3.8754861293067839</v>
      </c>
      <c r="J593">
        <v>1.094621650123591</v>
      </c>
      <c r="K593">
        <v>0.1227144434899988</v>
      </c>
      <c r="L593">
        <v>-4.8897598951290602E-2</v>
      </c>
      <c r="M593" t="s">
        <v>29</v>
      </c>
      <c r="N593">
        <v>13</v>
      </c>
      <c r="O593" t="s">
        <v>28</v>
      </c>
      <c r="P593">
        <v>68875</v>
      </c>
      <c r="Q593">
        <v>81.510000000000005</v>
      </c>
      <c r="R593">
        <v>223.37</v>
      </c>
      <c r="S593">
        <v>-0.34390414114359669</v>
      </c>
      <c r="T593">
        <v>2.641411235593407E-2</v>
      </c>
      <c r="U593">
        <v>2.222701960914816E-2</v>
      </c>
      <c r="V593">
        <v>4.1892243759171586E-3</v>
      </c>
      <c r="W593">
        <v>1.8037795233230999E-2</v>
      </c>
      <c r="Y593" s="19">
        <f t="shared" si="27"/>
        <v>46118</v>
      </c>
      <c r="AE593" s="19" t="e">
        <f t="shared" si="28"/>
        <v>#VALUE!</v>
      </c>
      <c r="AF593" s="19"/>
    </row>
    <row r="594" spans="1:32" x14ac:dyDescent="0.3">
      <c r="A594">
        <v>11</v>
      </c>
      <c r="B594" t="s">
        <v>31</v>
      </c>
      <c r="C594" t="s">
        <v>33</v>
      </c>
      <c r="D594">
        <v>69946</v>
      </c>
      <c r="E594">
        <v>81.364999999999995</v>
      </c>
      <c r="F594">
        <v>228.51</v>
      </c>
      <c r="G594">
        <v>81.373136500000001</v>
      </c>
      <c r="H594">
        <v>228.48714899999999</v>
      </c>
      <c r="I594">
        <v>-3.7545758336645769</v>
      </c>
      <c r="J594">
        <v>1.094621650123591</v>
      </c>
      <c r="K594">
        <v>0.12290296810667981</v>
      </c>
      <c r="L594">
        <v>-4.790257100886576E-2</v>
      </c>
      <c r="M594" t="s">
        <v>29</v>
      </c>
      <c r="N594">
        <v>11</v>
      </c>
      <c r="O594" t="s">
        <v>28</v>
      </c>
      <c r="P594">
        <v>69957</v>
      </c>
      <c r="Q594">
        <v>81.45</v>
      </c>
      <c r="R594">
        <v>228.01</v>
      </c>
      <c r="S594">
        <v>0.29399738740451109</v>
      </c>
      <c r="T594">
        <v>3.4398037793501639E-2</v>
      </c>
      <c r="U594">
        <v>3.021014494657585E-2</v>
      </c>
      <c r="V594">
        <v>4.1892243759171577E-3</v>
      </c>
      <c r="W594">
        <v>2.602092057065869E-2</v>
      </c>
      <c r="Y594" s="19">
        <f t="shared" si="27"/>
        <v>46121</v>
      </c>
      <c r="AE594" s="19" t="e">
        <f t="shared" si="28"/>
        <v>#VALUE!</v>
      </c>
      <c r="AF594" s="19"/>
    </row>
    <row r="595" spans="1:32" x14ac:dyDescent="0.3">
      <c r="A595">
        <v>11</v>
      </c>
      <c r="B595" t="s">
        <v>31</v>
      </c>
      <c r="C595" t="s">
        <v>33</v>
      </c>
      <c r="D595">
        <v>70545</v>
      </c>
      <c r="E595">
        <v>80.88</v>
      </c>
      <c r="F595">
        <v>225.82499999999999</v>
      </c>
      <c r="G595">
        <v>80.888087999999996</v>
      </c>
      <c r="H595">
        <v>225.80241749999999</v>
      </c>
      <c r="I595">
        <v>-3.7345803120637369</v>
      </c>
      <c r="J595">
        <v>1.094621650123591</v>
      </c>
      <c r="K595">
        <v>0.12363996043521271</v>
      </c>
      <c r="L595">
        <v>-4.8472120009901087E-2</v>
      </c>
      <c r="M595" t="s">
        <v>29</v>
      </c>
      <c r="N595">
        <v>1</v>
      </c>
      <c r="O595" t="s">
        <v>28</v>
      </c>
      <c r="P595">
        <v>70546</v>
      </c>
      <c r="Q595">
        <v>80.86</v>
      </c>
      <c r="R595">
        <v>225.29499999999999</v>
      </c>
      <c r="S595">
        <v>-0.35229400896065538</v>
      </c>
      <c r="T595">
        <v>2.3217424396543871E-2</v>
      </c>
      <c r="U595">
        <v>1.9030997398577811E-2</v>
      </c>
      <c r="V595">
        <v>4.1892243759171577E-3</v>
      </c>
      <c r="W595">
        <v>1.484177302266065E-2</v>
      </c>
      <c r="Y595" s="19">
        <f t="shared" si="27"/>
        <v>46122</v>
      </c>
      <c r="AE595" s="19" t="e">
        <f t="shared" si="28"/>
        <v>#VALUE!</v>
      </c>
      <c r="AF595" s="19"/>
    </row>
    <row r="596" spans="1:32" x14ac:dyDescent="0.3">
      <c r="A596">
        <v>11</v>
      </c>
      <c r="B596" t="s">
        <v>30</v>
      </c>
      <c r="C596" t="s">
        <v>32</v>
      </c>
      <c r="D596">
        <v>66901</v>
      </c>
      <c r="E596">
        <v>52.575000000000003</v>
      </c>
      <c r="F596">
        <v>55.965000000000003</v>
      </c>
      <c r="G596">
        <v>52.569742499999997</v>
      </c>
      <c r="H596">
        <v>55.970596500000013</v>
      </c>
      <c r="I596">
        <v>5.2946400002211726</v>
      </c>
      <c r="J596">
        <v>0.94349291816960135</v>
      </c>
      <c r="K596">
        <v>-0.19020446980504041</v>
      </c>
      <c r="L596">
        <v>0.16858624464747629</v>
      </c>
      <c r="M596" t="s">
        <v>27</v>
      </c>
      <c r="N596">
        <v>23</v>
      </c>
      <c r="O596" t="s">
        <v>28</v>
      </c>
      <c r="P596">
        <v>66924</v>
      </c>
      <c r="Q596">
        <v>52.465000000000003</v>
      </c>
      <c r="R596">
        <v>55.935000000000002</v>
      </c>
      <c r="S596">
        <v>0.49017128128917031</v>
      </c>
      <c r="T596">
        <v>1.5864904339129859E-2</v>
      </c>
      <c r="U596">
        <v>1.198051651069309E-2</v>
      </c>
      <c r="V596">
        <v>3.886974534922837E-3</v>
      </c>
      <c r="W596">
        <v>8.093541975770252E-3</v>
      </c>
      <c r="Y596" s="19">
        <f t="shared" si="27"/>
        <v>46111</v>
      </c>
      <c r="AE596" s="19" t="e">
        <f t="shared" si="28"/>
        <v>#VALUE!</v>
      </c>
      <c r="AF596" s="19"/>
    </row>
    <row r="597" spans="1:32" x14ac:dyDescent="0.3">
      <c r="A597">
        <v>11</v>
      </c>
      <c r="B597" t="s">
        <v>30</v>
      </c>
      <c r="C597" t="s">
        <v>32</v>
      </c>
      <c r="D597">
        <v>67118</v>
      </c>
      <c r="E597">
        <v>52.715000000000003</v>
      </c>
      <c r="F597">
        <v>55.935000000000002</v>
      </c>
      <c r="G597">
        <v>52.720271500000003</v>
      </c>
      <c r="H597">
        <v>55.929406500000013</v>
      </c>
      <c r="I597">
        <v>-3.989711822504201</v>
      </c>
      <c r="J597">
        <v>0.94349291816960135</v>
      </c>
      <c r="K597">
        <v>0.18969932656739069</v>
      </c>
      <c r="L597">
        <v>-0.16867666365774581</v>
      </c>
      <c r="M597" t="s">
        <v>29</v>
      </c>
      <c r="N597">
        <v>35</v>
      </c>
      <c r="O597" t="s">
        <v>28</v>
      </c>
      <c r="P597">
        <v>67153</v>
      </c>
      <c r="Q597">
        <v>52.695</v>
      </c>
      <c r="R597">
        <v>56.005000000000003</v>
      </c>
      <c r="S597">
        <v>-0.49327448763628828</v>
      </c>
      <c r="T597">
        <v>-1.5601352987390659E-2</v>
      </c>
      <c r="U597">
        <v>-1.9489140161720989E-2</v>
      </c>
      <c r="V597">
        <v>3.8869971377555692E-3</v>
      </c>
      <c r="W597">
        <v>-2.337613729947656E-2</v>
      </c>
      <c r="Y597" s="19">
        <f t="shared" si="27"/>
        <v>46112</v>
      </c>
      <c r="AE597" s="19" t="e">
        <f t="shared" si="28"/>
        <v>#VALUE!</v>
      </c>
      <c r="AF597" s="19"/>
    </row>
    <row r="598" spans="1:32" x14ac:dyDescent="0.3">
      <c r="A598">
        <v>11</v>
      </c>
      <c r="B598" t="s">
        <v>30</v>
      </c>
      <c r="C598" t="s">
        <v>32</v>
      </c>
      <c r="D598">
        <v>67163</v>
      </c>
      <c r="E598">
        <v>52.674999999999997</v>
      </c>
      <c r="F598">
        <v>55.9</v>
      </c>
      <c r="G598">
        <v>52.669732499999988</v>
      </c>
      <c r="H598">
        <v>55.905589999999997</v>
      </c>
      <c r="I598">
        <v>3.7032933430166581</v>
      </c>
      <c r="J598">
        <v>0.94349291816960135</v>
      </c>
      <c r="K598">
        <v>-0.18984337921215</v>
      </c>
      <c r="L598">
        <v>0.16878227516450831</v>
      </c>
      <c r="M598" t="s">
        <v>27</v>
      </c>
      <c r="N598">
        <v>10</v>
      </c>
      <c r="O598" t="s">
        <v>28</v>
      </c>
      <c r="P598">
        <v>67173</v>
      </c>
      <c r="Q598">
        <v>52.59</v>
      </c>
      <c r="R598">
        <v>55.85</v>
      </c>
      <c r="S598">
        <v>0.16151624172834211</v>
      </c>
      <c r="T598">
        <v>7.697573474806629E-3</v>
      </c>
      <c r="U598">
        <v>3.8130452185666359E-3</v>
      </c>
      <c r="V598">
        <v>3.886974534922837E-3</v>
      </c>
      <c r="W598">
        <v>-7.3929316356200706E-5</v>
      </c>
      <c r="Y598" s="19">
        <f t="shared" si="27"/>
        <v>46112</v>
      </c>
      <c r="AE598" s="19" t="e">
        <f t="shared" si="28"/>
        <v>#VALUE!</v>
      </c>
      <c r="AF598" s="19"/>
    </row>
    <row r="599" spans="1:32" x14ac:dyDescent="0.3">
      <c r="A599">
        <v>11</v>
      </c>
      <c r="B599" t="s">
        <v>30</v>
      </c>
      <c r="C599" t="s">
        <v>32</v>
      </c>
      <c r="D599">
        <v>67189</v>
      </c>
      <c r="E599">
        <v>51.78</v>
      </c>
      <c r="F599">
        <v>55.67</v>
      </c>
      <c r="G599">
        <v>51.785178000000002</v>
      </c>
      <c r="H599">
        <v>55.664433000000002</v>
      </c>
      <c r="I599">
        <v>-4.9243302470324446</v>
      </c>
      <c r="J599">
        <v>0.94349291816960135</v>
      </c>
      <c r="K599">
        <v>0.19312475859405179</v>
      </c>
      <c r="L599">
        <v>-0.16947959730008999</v>
      </c>
      <c r="M599" t="s">
        <v>29</v>
      </c>
      <c r="N599">
        <v>5</v>
      </c>
      <c r="O599" t="s">
        <v>28</v>
      </c>
      <c r="P599">
        <v>67194</v>
      </c>
      <c r="Q599">
        <v>52.12</v>
      </c>
      <c r="R599">
        <v>55.26</v>
      </c>
      <c r="S599">
        <v>0.42677422122130421</v>
      </c>
      <c r="T599">
        <v>0.13514905281501441</v>
      </c>
      <c r="U599">
        <v>0.1312624494003729</v>
      </c>
      <c r="V599">
        <v>3.8869971377555692E-3</v>
      </c>
      <c r="W599">
        <v>0.12737545226261729</v>
      </c>
      <c r="Y599" s="19">
        <f t="shared" si="27"/>
        <v>46112</v>
      </c>
      <c r="AE599" s="19" t="e">
        <f t="shared" si="28"/>
        <v>#VALUE!</v>
      </c>
    </row>
    <row r="600" spans="1:32" x14ac:dyDescent="0.3">
      <c r="A600">
        <v>11</v>
      </c>
      <c r="B600" t="s">
        <v>30</v>
      </c>
      <c r="C600" t="s">
        <v>32</v>
      </c>
      <c r="D600">
        <v>67575</v>
      </c>
      <c r="E600">
        <v>53.29</v>
      </c>
      <c r="F600">
        <v>56.424999999999997</v>
      </c>
      <c r="G600">
        <v>53.295329000000002</v>
      </c>
      <c r="H600">
        <v>56.419357499999997</v>
      </c>
      <c r="I600">
        <v>-3.8110266032716331</v>
      </c>
      <c r="J600">
        <v>0.94349291816960135</v>
      </c>
      <c r="K600">
        <v>0.1876524676299493</v>
      </c>
      <c r="L600">
        <v>-0.16721185966674371</v>
      </c>
      <c r="M600" t="s">
        <v>29</v>
      </c>
      <c r="N600">
        <v>47</v>
      </c>
      <c r="O600" t="s">
        <v>28</v>
      </c>
      <c r="P600">
        <v>67622</v>
      </c>
      <c r="Q600">
        <v>53.244999999999997</v>
      </c>
      <c r="R600">
        <v>55.475000000000001</v>
      </c>
      <c r="S600">
        <v>0.32657831103544133</v>
      </c>
      <c r="T600">
        <v>0.15040690564005779</v>
      </c>
      <c r="U600">
        <v>0.14653664936649199</v>
      </c>
      <c r="V600">
        <v>3.8869971377555692E-3</v>
      </c>
      <c r="W600">
        <v>0.14264965222873649</v>
      </c>
      <c r="Y600" s="19">
        <f t="shared" si="27"/>
        <v>46113</v>
      </c>
      <c r="AE600" s="19" t="e">
        <f t="shared" si="28"/>
        <v>#VALUE!</v>
      </c>
    </row>
    <row r="601" spans="1:32" x14ac:dyDescent="0.3">
      <c r="A601">
        <v>11</v>
      </c>
      <c r="B601" t="s">
        <v>30</v>
      </c>
      <c r="C601" t="s">
        <v>32</v>
      </c>
      <c r="D601">
        <v>67985</v>
      </c>
      <c r="E601">
        <v>53.85</v>
      </c>
      <c r="F601">
        <v>56.08</v>
      </c>
      <c r="G601">
        <v>53.844614999999997</v>
      </c>
      <c r="H601">
        <v>56.085608000000001</v>
      </c>
      <c r="I601">
        <v>4.8335668498072337</v>
      </c>
      <c r="J601">
        <v>0.94349291816960135</v>
      </c>
      <c r="K601">
        <v>-0.18570102135561739</v>
      </c>
      <c r="L601">
        <v>0.16824053462368069</v>
      </c>
      <c r="M601" t="s">
        <v>27</v>
      </c>
      <c r="N601">
        <v>15</v>
      </c>
      <c r="O601" t="s">
        <v>28</v>
      </c>
      <c r="P601">
        <v>68000</v>
      </c>
      <c r="Q601">
        <v>54.32</v>
      </c>
      <c r="R601">
        <v>56.255000000000003</v>
      </c>
      <c r="S601">
        <v>0.49796533352189232</v>
      </c>
      <c r="T601">
        <v>-5.7837386477995148E-2</v>
      </c>
      <c r="U601">
        <v>-6.1736044471693723E-2</v>
      </c>
      <c r="V601">
        <v>3.886974534922837E-3</v>
      </c>
      <c r="W601">
        <v>-6.5623019006616559E-2</v>
      </c>
      <c r="Y601" s="19">
        <f t="shared" si="27"/>
        <v>46114</v>
      </c>
      <c r="AE601" s="19" t="e">
        <f t="shared" si="28"/>
        <v>#VALUE!</v>
      </c>
    </row>
    <row r="602" spans="1:32" x14ac:dyDescent="0.3">
      <c r="A602">
        <v>11</v>
      </c>
      <c r="B602" t="s">
        <v>30</v>
      </c>
      <c r="C602" t="s">
        <v>32</v>
      </c>
      <c r="D602">
        <v>68380</v>
      </c>
      <c r="E602">
        <v>54.26</v>
      </c>
      <c r="F602">
        <v>55.82</v>
      </c>
      <c r="G602">
        <v>54.254573999999998</v>
      </c>
      <c r="H602">
        <v>55.825581999999997</v>
      </c>
      <c r="I602">
        <v>4.5561758584931313</v>
      </c>
      <c r="J602">
        <v>0.94349291816960135</v>
      </c>
      <c r="K602">
        <v>-0.1842978252856616</v>
      </c>
      <c r="L602">
        <v>0.16902417022027971</v>
      </c>
      <c r="M602" t="s">
        <v>27</v>
      </c>
      <c r="N602">
        <v>11</v>
      </c>
      <c r="O602" t="s">
        <v>28</v>
      </c>
      <c r="P602">
        <v>68391</v>
      </c>
      <c r="Q602">
        <v>54.34</v>
      </c>
      <c r="R602">
        <v>56.16</v>
      </c>
      <c r="S602">
        <v>6.6790634507485916E-2</v>
      </c>
      <c r="T602">
        <v>4.272439185204055E-2</v>
      </c>
      <c r="U602">
        <v>3.8830184811312549E-2</v>
      </c>
      <c r="V602">
        <v>3.886974534922837E-3</v>
      </c>
      <c r="W602">
        <v>3.4943210276389712E-2</v>
      </c>
      <c r="Y602" s="19">
        <f t="shared" si="27"/>
        <v>46115</v>
      </c>
      <c r="AE602" s="19" t="e">
        <f t="shared" si="28"/>
        <v>#VALUE!</v>
      </c>
    </row>
    <row r="603" spans="1:32" x14ac:dyDescent="0.3">
      <c r="A603">
        <v>11</v>
      </c>
      <c r="B603" t="s">
        <v>30</v>
      </c>
      <c r="C603" t="s">
        <v>32</v>
      </c>
      <c r="D603">
        <v>69160</v>
      </c>
      <c r="E603">
        <v>53.6</v>
      </c>
      <c r="F603">
        <v>56.9</v>
      </c>
      <c r="G603">
        <v>53.605359999999997</v>
      </c>
      <c r="H603">
        <v>56.894309999999997</v>
      </c>
      <c r="I603">
        <v>-4.7103034396698451</v>
      </c>
      <c r="J603">
        <v>0.94349291816960135</v>
      </c>
      <c r="K603">
        <v>0.18656716417910449</v>
      </c>
      <c r="L603">
        <v>-0.16581597858868211</v>
      </c>
      <c r="M603" t="s">
        <v>29</v>
      </c>
      <c r="N603">
        <v>37</v>
      </c>
      <c r="O603" t="s">
        <v>28</v>
      </c>
      <c r="P603">
        <v>69197</v>
      </c>
      <c r="Q603">
        <v>53.664999999999999</v>
      </c>
      <c r="R603">
        <v>57.33</v>
      </c>
      <c r="S603">
        <v>-0.43452100354902867</v>
      </c>
      <c r="T603">
        <v>-5.9174005121491902E-2</v>
      </c>
      <c r="U603">
        <v>-6.306933373147712E-2</v>
      </c>
      <c r="V603">
        <v>3.8869971377555692E-3</v>
      </c>
      <c r="W603">
        <v>-6.6956330869232694E-2</v>
      </c>
      <c r="Y603" s="19">
        <f t="shared" si="27"/>
        <v>46119</v>
      </c>
      <c r="AE603" s="19" t="e">
        <f t="shared" si="28"/>
        <v>#VALUE!</v>
      </c>
    </row>
    <row r="604" spans="1:32" x14ac:dyDescent="0.3">
      <c r="A604">
        <v>11</v>
      </c>
      <c r="B604" t="s">
        <v>30</v>
      </c>
      <c r="C604" t="s">
        <v>32</v>
      </c>
      <c r="D604">
        <v>69550</v>
      </c>
      <c r="E604">
        <v>53.884999999999998</v>
      </c>
      <c r="F604">
        <v>57.03</v>
      </c>
      <c r="G604">
        <v>53.879611500000003</v>
      </c>
      <c r="H604">
        <v>57.035702999999998</v>
      </c>
      <c r="I604">
        <v>3.6416194759711411</v>
      </c>
      <c r="J604">
        <v>0.94349291816960135</v>
      </c>
      <c r="K604">
        <v>-0.1855804027094739</v>
      </c>
      <c r="L604">
        <v>0.16543800073112419</v>
      </c>
      <c r="M604" t="s">
        <v>27</v>
      </c>
      <c r="N604">
        <v>4</v>
      </c>
      <c r="O604" t="s">
        <v>28</v>
      </c>
      <c r="P604">
        <v>69554</v>
      </c>
      <c r="Q604">
        <v>54.27</v>
      </c>
      <c r="R604">
        <v>57.54</v>
      </c>
      <c r="S604">
        <v>0.4491740383801634</v>
      </c>
      <c r="T604">
        <v>1.2924925329724611E-2</v>
      </c>
      <c r="U604">
        <v>9.0223573098450471E-3</v>
      </c>
      <c r="V604">
        <v>3.8869745349228361E-3</v>
      </c>
      <c r="W604">
        <v>5.1353827749222106E-3</v>
      </c>
      <c r="Y604" s="19">
        <f t="shared" si="27"/>
        <v>46120</v>
      </c>
      <c r="AE604" s="19" t="e">
        <f t="shared" si="28"/>
        <v>#VALUE!</v>
      </c>
    </row>
    <row r="605" spans="1:32" x14ac:dyDescent="0.3">
      <c r="A605">
        <v>11</v>
      </c>
      <c r="B605" t="s">
        <v>30</v>
      </c>
      <c r="C605" t="s">
        <v>32</v>
      </c>
      <c r="D605">
        <v>70334</v>
      </c>
      <c r="E605">
        <v>53.02</v>
      </c>
      <c r="F605">
        <v>56.72</v>
      </c>
      <c r="G605">
        <v>53.025302000000003</v>
      </c>
      <c r="H605">
        <v>56.714328000000002</v>
      </c>
      <c r="I605">
        <v>-3.996774894917511</v>
      </c>
      <c r="J605">
        <v>0.94349291816960135</v>
      </c>
      <c r="K605">
        <v>0.18860807242549979</v>
      </c>
      <c r="L605">
        <v>-0.16634219290719349</v>
      </c>
      <c r="M605" t="s">
        <v>29</v>
      </c>
      <c r="N605">
        <v>6</v>
      </c>
      <c r="O605" t="s">
        <v>28</v>
      </c>
      <c r="P605">
        <v>70340</v>
      </c>
      <c r="Q605">
        <v>53.134999999999998</v>
      </c>
      <c r="R605">
        <v>56.66</v>
      </c>
      <c r="S605">
        <v>0.2300185671364289</v>
      </c>
      <c r="T605">
        <v>3.1670459903363493E-2</v>
      </c>
      <c r="U605">
        <v>2.778230312734966E-2</v>
      </c>
      <c r="V605">
        <v>3.8869971377555692E-3</v>
      </c>
      <c r="W605">
        <v>2.3895305989594089E-2</v>
      </c>
      <c r="Y605" s="19">
        <f t="shared" si="27"/>
        <v>46122</v>
      </c>
      <c r="AE605" s="19" t="e">
        <f t="shared" si="28"/>
        <v>#VALUE!</v>
      </c>
    </row>
    <row r="606" spans="1:32" x14ac:dyDescent="0.3">
      <c r="A606">
        <v>12</v>
      </c>
      <c r="B606" t="s">
        <v>32</v>
      </c>
      <c r="C606" t="s">
        <v>33</v>
      </c>
      <c r="D606">
        <v>70801</v>
      </c>
      <c r="E606">
        <v>56.1</v>
      </c>
      <c r="F606">
        <v>221.56</v>
      </c>
      <c r="G606">
        <v>56.105609999999999</v>
      </c>
      <c r="H606">
        <v>221.53784400000001</v>
      </c>
      <c r="I606">
        <v>-5.294615524336435</v>
      </c>
      <c r="J606">
        <v>0.94405449064772462</v>
      </c>
      <c r="K606">
        <v>0.17825311942958999</v>
      </c>
      <c r="L606">
        <v>-4.2609428175109432E-2</v>
      </c>
      <c r="M606" t="s">
        <v>29</v>
      </c>
      <c r="N606">
        <v>23</v>
      </c>
      <c r="O606" t="s">
        <v>28</v>
      </c>
      <c r="P606">
        <v>70824</v>
      </c>
      <c r="Q606">
        <v>56.01</v>
      </c>
      <c r="R606">
        <v>221.38</v>
      </c>
      <c r="S606">
        <v>-0.49018427557874722</v>
      </c>
      <c r="T606">
        <v>-8.373083677143723E-3</v>
      </c>
      <c r="U606">
        <v>-1.225882141065554E-2</v>
      </c>
      <c r="V606">
        <v>3.8881201703973201E-3</v>
      </c>
      <c r="W606">
        <v>-1.614694158105286E-2</v>
      </c>
      <c r="Y606" s="19">
        <f t="shared" si="27"/>
        <v>46125</v>
      </c>
      <c r="AE606" s="19" t="e">
        <f t="shared" si="28"/>
        <v>#VALUE!</v>
      </c>
    </row>
    <row r="607" spans="1:32" x14ac:dyDescent="0.3">
      <c r="A607">
        <v>12</v>
      </c>
      <c r="B607" t="s">
        <v>32</v>
      </c>
      <c r="C607" t="s">
        <v>33</v>
      </c>
      <c r="D607">
        <v>71114</v>
      </c>
      <c r="E607">
        <v>55.95</v>
      </c>
      <c r="F607">
        <v>220.35</v>
      </c>
      <c r="G607">
        <v>55.944405000000003</v>
      </c>
      <c r="H607">
        <v>220.37203500000001</v>
      </c>
      <c r="I607">
        <v>3.8584047850779659</v>
      </c>
      <c r="J607">
        <v>0.94405449064772462</v>
      </c>
      <c r="K607">
        <v>-0.17873100983020551</v>
      </c>
      <c r="L607">
        <v>4.2843407789776473E-2</v>
      </c>
      <c r="M607" t="s">
        <v>27</v>
      </c>
      <c r="N607">
        <v>7</v>
      </c>
      <c r="O607" t="s">
        <v>28</v>
      </c>
      <c r="P607">
        <v>71121</v>
      </c>
      <c r="Q607">
        <v>56.1</v>
      </c>
      <c r="R607">
        <v>221.92</v>
      </c>
      <c r="S607">
        <v>-0.20461089945307109</v>
      </c>
      <c r="T607">
        <v>4.0454498755418199E-2</v>
      </c>
      <c r="U607">
        <v>3.6556982393953823E-2</v>
      </c>
      <c r="V607">
        <v>3.888097792193579E-3</v>
      </c>
      <c r="W607">
        <v>3.2668884601760227E-2</v>
      </c>
      <c r="Y607" s="19">
        <f t="shared" si="27"/>
        <v>46126</v>
      </c>
      <c r="AE607" s="19" t="e">
        <f t="shared" si="28"/>
        <v>#VALUE!</v>
      </c>
    </row>
    <row r="608" spans="1:32" x14ac:dyDescent="0.3">
      <c r="A608">
        <v>12</v>
      </c>
      <c r="B608" t="s">
        <v>32</v>
      </c>
      <c r="C608" t="s">
        <v>33</v>
      </c>
      <c r="D608">
        <v>71504</v>
      </c>
      <c r="E608">
        <v>56.55</v>
      </c>
      <c r="F608">
        <v>223.04</v>
      </c>
      <c r="G608">
        <v>56.544345</v>
      </c>
      <c r="H608">
        <v>223.06230400000001</v>
      </c>
      <c r="I608">
        <v>3.7118362261002611</v>
      </c>
      <c r="J608">
        <v>0.94405449064772462</v>
      </c>
      <c r="K608">
        <v>-0.17683465959328029</v>
      </c>
      <c r="L608">
        <v>4.2326689860461113E-2</v>
      </c>
      <c r="M608" t="s">
        <v>27</v>
      </c>
      <c r="N608">
        <v>12</v>
      </c>
      <c r="O608" t="s">
        <v>28</v>
      </c>
      <c r="P608">
        <v>71516</v>
      </c>
      <c r="Q608">
        <v>56.58</v>
      </c>
      <c r="R608">
        <v>223.35499999999999</v>
      </c>
      <c r="S608">
        <v>0.28678400683238942</v>
      </c>
      <c r="T608">
        <v>8.0278675182465439E-3</v>
      </c>
      <c r="U608">
        <v>4.1378947422432491E-3</v>
      </c>
      <c r="V608">
        <v>3.888097792193579E-3</v>
      </c>
      <c r="W608">
        <v>2.4979695004967011E-4</v>
      </c>
      <c r="Y608" s="19">
        <f t="shared" si="27"/>
        <v>46127</v>
      </c>
      <c r="AE608" s="19" t="e">
        <f t="shared" si="28"/>
        <v>#VALUE!</v>
      </c>
    </row>
    <row r="609" spans="1:32" x14ac:dyDescent="0.3">
      <c r="A609">
        <v>12</v>
      </c>
      <c r="B609" t="s">
        <v>32</v>
      </c>
      <c r="C609" t="s">
        <v>33</v>
      </c>
      <c r="D609">
        <v>71896</v>
      </c>
      <c r="E609">
        <v>56.18</v>
      </c>
      <c r="F609">
        <v>221.73</v>
      </c>
      <c r="G609">
        <v>56.185617999999998</v>
      </c>
      <c r="H609">
        <v>221.70782700000001</v>
      </c>
      <c r="I609">
        <v>-3.7173685191356829</v>
      </c>
      <c r="J609">
        <v>0.94405449064772462</v>
      </c>
      <c r="K609">
        <v>0.17799928800284801</v>
      </c>
      <c r="L609">
        <v>-4.25767596016653E-2</v>
      </c>
      <c r="M609" t="s">
        <v>29</v>
      </c>
      <c r="N609">
        <v>1</v>
      </c>
      <c r="O609" t="s">
        <v>28</v>
      </c>
      <c r="P609">
        <v>71897</v>
      </c>
      <c r="Q609">
        <v>56.42</v>
      </c>
      <c r="R609">
        <v>221.73</v>
      </c>
      <c r="S609">
        <v>0.30732377143313272</v>
      </c>
      <c r="T609">
        <v>4.2719829120683873E-2</v>
      </c>
      <c r="U609">
        <v>3.8827448156475548E-2</v>
      </c>
      <c r="V609">
        <v>3.8881201703973201E-3</v>
      </c>
      <c r="W609">
        <v>3.4939327986078232E-2</v>
      </c>
      <c r="Y609" s="19">
        <f t="shared" si="27"/>
        <v>46128</v>
      </c>
      <c r="AE609" s="19" t="e">
        <f t="shared" si="28"/>
        <v>#VALUE!</v>
      </c>
    </row>
    <row r="610" spans="1:32" x14ac:dyDescent="0.3">
      <c r="A610">
        <v>12</v>
      </c>
      <c r="B610" t="s">
        <v>32</v>
      </c>
      <c r="C610" t="s">
        <v>33</v>
      </c>
      <c r="D610">
        <v>72054</v>
      </c>
      <c r="E610">
        <v>55.57</v>
      </c>
      <c r="F610">
        <v>218.78</v>
      </c>
      <c r="G610">
        <v>55.575557000000003</v>
      </c>
      <c r="H610">
        <v>218.75812199999999</v>
      </c>
      <c r="I610">
        <v>-3.5022308892687222</v>
      </c>
      <c r="J610">
        <v>0.94405449064772462</v>
      </c>
      <c r="K610">
        <v>0.17995321216483709</v>
      </c>
      <c r="L610">
        <v>-4.3150858883249127E-2</v>
      </c>
      <c r="M610" t="s">
        <v>29</v>
      </c>
      <c r="N610">
        <v>6</v>
      </c>
      <c r="O610" t="s">
        <v>28</v>
      </c>
      <c r="P610">
        <v>72060</v>
      </c>
      <c r="Q610">
        <v>55.695</v>
      </c>
      <c r="R610">
        <v>218.73500000000001</v>
      </c>
      <c r="S610">
        <v>0.29640827913932299</v>
      </c>
      <c r="T610">
        <v>2.443594017035031E-2</v>
      </c>
      <c r="U610">
        <v>2.0545775952769151E-2</v>
      </c>
      <c r="V610">
        <v>3.8881201703973201E-3</v>
      </c>
      <c r="W610">
        <v>1.6657655782371831E-2</v>
      </c>
      <c r="Y610" s="19">
        <f t="shared" si="27"/>
        <v>46128</v>
      </c>
      <c r="AE610" s="19" t="e">
        <f t="shared" si="28"/>
        <v>#VALUE!</v>
      </c>
    </row>
    <row r="611" spans="1:32" x14ac:dyDescent="0.3">
      <c r="A611">
        <v>12</v>
      </c>
      <c r="B611" t="s">
        <v>32</v>
      </c>
      <c r="C611" t="s">
        <v>33</v>
      </c>
      <c r="D611">
        <v>72284</v>
      </c>
      <c r="E611">
        <v>55.78</v>
      </c>
      <c r="F611">
        <v>218.74</v>
      </c>
      <c r="G611">
        <v>55.785578000000001</v>
      </c>
      <c r="H611">
        <v>218.71812600000001</v>
      </c>
      <c r="I611">
        <v>-4.5146704251436152</v>
      </c>
      <c r="J611">
        <v>0.94405449064772462</v>
      </c>
      <c r="K611">
        <v>0.17927572606669059</v>
      </c>
      <c r="L611">
        <v>-4.3158749686738801E-2</v>
      </c>
      <c r="M611" t="s">
        <v>29</v>
      </c>
      <c r="N611">
        <v>8</v>
      </c>
      <c r="O611" t="s">
        <v>28</v>
      </c>
      <c r="P611">
        <v>72292</v>
      </c>
      <c r="Q611">
        <v>56.21</v>
      </c>
      <c r="R611">
        <v>219.35</v>
      </c>
      <c r="S611">
        <v>-0.22136105130708919</v>
      </c>
      <c r="T611">
        <v>5.0761724899766873E-2</v>
      </c>
      <c r="U611">
        <v>4.6863274378520843E-2</v>
      </c>
      <c r="V611">
        <v>3.8881201703973192E-3</v>
      </c>
      <c r="W611">
        <v>4.2975154208123527E-2</v>
      </c>
      <c r="Y611" s="19">
        <f t="shared" si="27"/>
        <v>46129</v>
      </c>
      <c r="AE611" s="19" t="e">
        <f t="shared" si="28"/>
        <v>#VALUE!</v>
      </c>
      <c r="AF611" s="19"/>
    </row>
    <row r="612" spans="1:32" x14ac:dyDescent="0.3">
      <c r="A612">
        <v>12</v>
      </c>
      <c r="B612" t="s">
        <v>32</v>
      </c>
      <c r="C612" t="s">
        <v>33</v>
      </c>
      <c r="D612">
        <v>72560</v>
      </c>
      <c r="E612">
        <v>56.64</v>
      </c>
      <c r="F612">
        <v>222.57</v>
      </c>
      <c r="G612">
        <v>56.634335999999998</v>
      </c>
      <c r="H612">
        <v>222.59225699999999</v>
      </c>
      <c r="I612">
        <v>3.700470940687608</v>
      </c>
      <c r="J612">
        <v>0.94405449064772462</v>
      </c>
      <c r="K612">
        <v>-0.17655367231638419</v>
      </c>
      <c r="L612">
        <v>4.2416070928145061E-2</v>
      </c>
      <c r="M612" t="s">
        <v>27</v>
      </c>
      <c r="N612">
        <v>18</v>
      </c>
      <c r="O612" t="s">
        <v>28</v>
      </c>
      <c r="P612">
        <v>72578</v>
      </c>
      <c r="Q612">
        <v>56.715000000000003</v>
      </c>
      <c r="R612">
        <v>222.95</v>
      </c>
      <c r="S612">
        <v>-1.71753934551769E-4</v>
      </c>
      <c r="T612">
        <v>2.8765815289656139E-3</v>
      </c>
      <c r="U612">
        <v>-1.0144634155656721E-3</v>
      </c>
      <c r="V612">
        <v>3.888097792193579E-3</v>
      </c>
      <c r="W612">
        <v>-4.9025612077592514E-3</v>
      </c>
      <c r="Y612" s="19">
        <f t="shared" si="27"/>
        <v>46132</v>
      </c>
      <c r="AE612" s="19" t="e">
        <f t="shared" si="28"/>
        <v>#VALUE!</v>
      </c>
      <c r="AF612" s="19"/>
    </row>
    <row r="613" spans="1:32" x14ac:dyDescent="0.3">
      <c r="A613">
        <v>12</v>
      </c>
      <c r="B613" t="s">
        <v>32</v>
      </c>
      <c r="C613" t="s">
        <v>33</v>
      </c>
      <c r="D613">
        <v>72675</v>
      </c>
      <c r="E613">
        <v>56.42</v>
      </c>
      <c r="F613">
        <v>223.06</v>
      </c>
      <c r="G613">
        <v>56.425642000000003</v>
      </c>
      <c r="H613">
        <v>223.03769399999999</v>
      </c>
      <c r="I613">
        <v>-4.3198245695592616</v>
      </c>
      <c r="J613">
        <v>0.94405449064772462</v>
      </c>
      <c r="K613">
        <v>0.1772421127259837</v>
      </c>
      <c r="L613">
        <v>-4.2322894765880241E-2</v>
      </c>
      <c r="M613" t="s">
        <v>29</v>
      </c>
      <c r="N613">
        <v>5</v>
      </c>
      <c r="O613" t="s">
        <v>28</v>
      </c>
      <c r="P613">
        <v>72680</v>
      </c>
      <c r="Q613">
        <v>56.53</v>
      </c>
      <c r="R613">
        <v>222.435</v>
      </c>
      <c r="S613">
        <v>0.37175208715218239</v>
      </c>
      <c r="T613">
        <v>4.594844162853326E-2</v>
      </c>
      <c r="U613">
        <v>4.206102816492048E-2</v>
      </c>
      <c r="V613">
        <v>3.8881201703973209E-3</v>
      </c>
      <c r="W613">
        <v>3.8172907994523157E-2</v>
      </c>
      <c r="Y613" s="19">
        <f t="shared" si="27"/>
        <v>46132</v>
      </c>
      <c r="AE613" s="19" t="e">
        <f t="shared" si="28"/>
        <v>#VALUE!</v>
      </c>
      <c r="AF613" s="19"/>
    </row>
    <row r="614" spans="1:32" x14ac:dyDescent="0.3">
      <c r="A614">
        <v>12</v>
      </c>
      <c r="B614" t="s">
        <v>32</v>
      </c>
      <c r="C614" t="s">
        <v>33</v>
      </c>
      <c r="D614">
        <v>73065</v>
      </c>
      <c r="E614">
        <v>55.67</v>
      </c>
      <c r="F614">
        <v>219.065</v>
      </c>
      <c r="G614">
        <v>55.675567000000001</v>
      </c>
      <c r="H614">
        <v>219.0430935</v>
      </c>
      <c r="I614">
        <v>-4.4109964921465226</v>
      </c>
      <c r="J614">
        <v>0.94405449064772462</v>
      </c>
      <c r="K614">
        <v>0.17962996227770789</v>
      </c>
      <c r="L614">
        <v>-4.3094720318066541E-2</v>
      </c>
      <c r="M614" t="s">
        <v>29</v>
      </c>
      <c r="N614">
        <v>23</v>
      </c>
      <c r="O614" t="s">
        <v>28</v>
      </c>
      <c r="P614">
        <v>73088</v>
      </c>
      <c r="Q614">
        <v>55.87</v>
      </c>
      <c r="R614">
        <v>219.69499999999999</v>
      </c>
      <c r="S614">
        <v>-0.41828776250499489</v>
      </c>
      <c r="T614">
        <v>8.7763186551590919E-3</v>
      </c>
      <c r="U614">
        <v>4.8819021072379759E-3</v>
      </c>
      <c r="V614">
        <v>3.8881201703973201E-3</v>
      </c>
      <c r="W614">
        <v>9.9378193684065584E-4</v>
      </c>
      <c r="Y614" s="19">
        <f t="shared" si="27"/>
        <v>46133</v>
      </c>
      <c r="AE614" s="19" t="e">
        <f t="shared" si="28"/>
        <v>#VALUE!</v>
      </c>
      <c r="AF614" s="19"/>
    </row>
    <row r="615" spans="1:32" x14ac:dyDescent="0.3">
      <c r="A615">
        <v>12</v>
      </c>
      <c r="B615" t="s">
        <v>32</v>
      </c>
      <c r="C615" t="s">
        <v>33</v>
      </c>
      <c r="D615">
        <v>73749</v>
      </c>
      <c r="E615">
        <v>55.615000000000002</v>
      </c>
      <c r="F615">
        <v>221.15</v>
      </c>
      <c r="G615">
        <v>55.609438500000003</v>
      </c>
      <c r="H615">
        <v>221.17211499999999</v>
      </c>
      <c r="I615">
        <v>3.613041336473191</v>
      </c>
      <c r="J615">
        <v>0.94405449064772462</v>
      </c>
      <c r="K615">
        <v>-0.17980760586172789</v>
      </c>
      <c r="L615">
        <v>4.2688423723614047E-2</v>
      </c>
      <c r="M615" t="s">
        <v>27</v>
      </c>
      <c r="N615">
        <v>17</v>
      </c>
      <c r="O615" t="s">
        <v>28</v>
      </c>
      <c r="P615">
        <v>73766</v>
      </c>
      <c r="Q615">
        <v>55.625</v>
      </c>
      <c r="R615">
        <v>221.55</v>
      </c>
      <c r="S615">
        <v>-0.1384319637405409</v>
      </c>
      <c r="T615">
        <v>1.5277293430828939E-2</v>
      </c>
      <c r="U615">
        <v>1.138729710498026E-2</v>
      </c>
      <c r="V615">
        <v>3.888097792193579E-3</v>
      </c>
      <c r="W615">
        <v>7.4991993127866774E-3</v>
      </c>
      <c r="Y615" s="19">
        <f t="shared" si="27"/>
        <v>46135</v>
      </c>
      <c r="AE615" s="19" t="e">
        <f t="shared" si="28"/>
        <v>#VALUE!</v>
      </c>
      <c r="AF615" s="19"/>
    </row>
    <row r="616" spans="1:32" x14ac:dyDescent="0.3">
      <c r="A616">
        <v>12</v>
      </c>
      <c r="B616" t="s">
        <v>32</v>
      </c>
      <c r="C616" t="s">
        <v>33</v>
      </c>
      <c r="D616">
        <v>73845</v>
      </c>
      <c r="E616">
        <v>56.5</v>
      </c>
      <c r="F616">
        <v>221.69</v>
      </c>
      <c r="G616">
        <v>56.494349999999997</v>
      </c>
      <c r="H616">
        <v>221.71216899999999</v>
      </c>
      <c r="I616">
        <v>5.2325717931209716</v>
      </c>
      <c r="J616">
        <v>0.94405449064772462</v>
      </c>
      <c r="K616">
        <v>-0.1769911504424779</v>
      </c>
      <c r="L616">
        <v>4.2584441817300041E-2</v>
      </c>
      <c r="M616" t="s">
        <v>27</v>
      </c>
      <c r="N616">
        <v>13</v>
      </c>
      <c r="O616" t="s">
        <v>28</v>
      </c>
      <c r="P616">
        <v>73858</v>
      </c>
      <c r="Q616">
        <v>56.78</v>
      </c>
      <c r="R616">
        <v>225.88499999999999</v>
      </c>
      <c r="S616">
        <v>0.37455789632458791</v>
      </c>
      <c r="T616">
        <v>0.1290842112996794</v>
      </c>
      <c r="U616">
        <v>0.12517328239283049</v>
      </c>
      <c r="V616">
        <v>3.8880977921935782E-3</v>
      </c>
      <c r="W616">
        <v>0.12128518460063691</v>
      </c>
      <c r="Y616" s="19">
        <f t="shared" si="27"/>
        <v>46135</v>
      </c>
      <c r="AE616" s="19" t="e">
        <f t="shared" si="28"/>
        <v>#VALUE!</v>
      </c>
      <c r="AF616" s="19"/>
    </row>
    <row r="617" spans="1:32" x14ac:dyDescent="0.3">
      <c r="A617">
        <v>12</v>
      </c>
      <c r="B617" t="s">
        <v>25</v>
      </c>
      <c r="C617" t="s">
        <v>30</v>
      </c>
      <c r="D617">
        <v>70801</v>
      </c>
      <c r="E617">
        <v>309.245</v>
      </c>
      <c r="F617">
        <v>52.33</v>
      </c>
      <c r="G617">
        <v>309.21407549999998</v>
      </c>
      <c r="H617">
        <v>52.335233000000002</v>
      </c>
      <c r="I617">
        <v>5.2946442183301494</v>
      </c>
      <c r="J617">
        <v>0.64254462380957211</v>
      </c>
      <c r="K617">
        <v>-3.2336820320457892E-2</v>
      </c>
      <c r="L617">
        <v>0.12278704831063871</v>
      </c>
      <c r="M617" t="s">
        <v>27</v>
      </c>
      <c r="N617">
        <v>23</v>
      </c>
      <c r="O617" t="s">
        <v>28</v>
      </c>
      <c r="P617">
        <v>70824</v>
      </c>
      <c r="Q617">
        <v>309.375</v>
      </c>
      <c r="R617">
        <v>52.19</v>
      </c>
      <c r="S617">
        <v>0.49233308804750531</v>
      </c>
      <c r="T617">
        <v>-2.1393973405148859E-2</v>
      </c>
      <c r="U617">
        <v>-2.4677764012753831E-2</v>
      </c>
      <c r="V617">
        <v>3.2850177565439068E-3</v>
      </c>
      <c r="W617">
        <v>-2.7962781769297739E-2</v>
      </c>
      <c r="Y617" s="19">
        <f t="shared" si="27"/>
        <v>46125</v>
      </c>
      <c r="AE617" s="19" t="e">
        <f t="shared" si="28"/>
        <v>#VALUE!</v>
      </c>
      <c r="AF617" s="19"/>
    </row>
    <row r="618" spans="1:32" x14ac:dyDescent="0.3">
      <c r="A618">
        <v>12</v>
      </c>
      <c r="B618" t="s">
        <v>25</v>
      </c>
      <c r="C618" t="s">
        <v>30</v>
      </c>
      <c r="D618">
        <v>71087</v>
      </c>
      <c r="E618">
        <v>308.74</v>
      </c>
      <c r="F618">
        <v>52.015000000000001</v>
      </c>
      <c r="G618">
        <v>308.70912600000003</v>
      </c>
      <c r="H618">
        <v>52.020201499999999</v>
      </c>
      <c r="I618">
        <v>3.5430010666433591</v>
      </c>
      <c r="J618">
        <v>0.64254462380957211</v>
      </c>
      <c r="K618">
        <v>-3.238971302714258E-2</v>
      </c>
      <c r="L618">
        <v>0.12353063997107989</v>
      </c>
      <c r="M618" t="s">
        <v>27</v>
      </c>
      <c r="N618">
        <v>8</v>
      </c>
      <c r="O618" t="s">
        <v>28</v>
      </c>
      <c r="P618">
        <v>71095</v>
      </c>
      <c r="Q618">
        <v>308.375</v>
      </c>
      <c r="R618">
        <v>52.024999999999999</v>
      </c>
      <c r="S618">
        <v>-0.15437525009477349</v>
      </c>
      <c r="T618">
        <v>1.305755165461789E-2</v>
      </c>
      <c r="U618">
        <v>9.7735211008840774E-3</v>
      </c>
      <c r="V618">
        <v>3.285017756543906E-3</v>
      </c>
      <c r="W618">
        <v>6.4885033443401706E-3</v>
      </c>
      <c r="Y618" s="19">
        <f t="shared" si="27"/>
        <v>46126</v>
      </c>
      <c r="AE618" s="19" t="e">
        <f t="shared" si="28"/>
        <v>#VALUE!</v>
      </c>
      <c r="AF618" s="19"/>
    </row>
    <row r="619" spans="1:32" x14ac:dyDescent="0.3">
      <c r="A619">
        <v>12</v>
      </c>
      <c r="B619" t="s">
        <v>25</v>
      </c>
      <c r="C619" t="s">
        <v>30</v>
      </c>
      <c r="D619">
        <v>71504</v>
      </c>
      <c r="E619">
        <v>315.19499999999999</v>
      </c>
      <c r="F619">
        <v>53.3</v>
      </c>
      <c r="G619">
        <v>315.16348049999999</v>
      </c>
      <c r="H619">
        <v>53.305329999999998</v>
      </c>
      <c r="I619">
        <v>4.6002220495309114</v>
      </c>
      <c r="J619">
        <v>0.64254462380957211</v>
      </c>
      <c r="K619">
        <v>-3.1726391598851503E-2</v>
      </c>
      <c r="L619">
        <v>0.120552462253203</v>
      </c>
      <c r="M619" t="s">
        <v>27</v>
      </c>
      <c r="N619">
        <v>2</v>
      </c>
      <c r="O619" t="s">
        <v>28</v>
      </c>
      <c r="P619">
        <v>71506</v>
      </c>
      <c r="Q619">
        <v>313.57</v>
      </c>
      <c r="R619">
        <v>53.08</v>
      </c>
      <c r="S619">
        <v>0.35631172430742769</v>
      </c>
      <c r="T619">
        <v>2.5033844652429159E-2</v>
      </c>
      <c r="U619">
        <v>2.1756563097613889E-2</v>
      </c>
      <c r="V619">
        <v>3.285017756543906E-3</v>
      </c>
      <c r="W619">
        <v>1.847154534106998E-2</v>
      </c>
      <c r="Y619" s="19">
        <f t="shared" si="27"/>
        <v>46127</v>
      </c>
      <c r="AE619" s="19" t="e">
        <f t="shared" si="28"/>
        <v>#VALUE!</v>
      </c>
      <c r="AF619" s="19"/>
    </row>
    <row r="620" spans="1:32" x14ac:dyDescent="0.3">
      <c r="A620">
        <v>12</v>
      </c>
      <c r="B620" t="s">
        <v>25</v>
      </c>
      <c r="C620" t="s">
        <v>30</v>
      </c>
      <c r="D620">
        <v>71797</v>
      </c>
      <c r="E620">
        <v>311.70999999999998</v>
      </c>
      <c r="F620">
        <v>52.78</v>
      </c>
      <c r="G620">
        <v>311.74117100000001</v>
      </c>
      <c r="H620">
        <v>52.774721999999997</v>
      </c>
      <c r="I620">
        <v>-3.596740423349742</v>
      </c>
      <c r="J620">
        <v>0.64254462380957211</v>
      </c>
      <c r="K620">
        <v>3.2081101023387133E-2</v>
      </c>
      <c r="L620">
        <v>-0.12174017124091931</v>
      </c>
      <c r="M620" t="s">
        <v>29</v>
      </c>
      <c r="N620">
        <v>11</v>
      </c>
      <c r="O620" t="s">
        <v>28</v>
      </c>
      <c r="P620">
        <v>71808</v>
      </c>
      <c r="Q620">
        <v>311.67</v>
      </c>
      <c r="R620">
        <v>52.7</v>
      </c>
      <c r="S620">
        <v>0.2040272560889495</v>
      </c>
      <c r="T620">
        <v>8.4559696583390194E-3</v>
      </c>
      <c r="U620">
        <v>5.1719826564962266E-3</v>
      </c>
      <c r="V620">
        <v>3.2851607386943831E-3</v>
      </c>
      <c r="W620">
        <v>1.8868219178018451E-3</v>
      </c>
      <c r="Y620" s="19">
        <f t="shared" si="27"/>
        <v>46128</v>
      </c>
      <c r="AE620" s="19" t="e">
        <f t="shared" si="28"/>
        <v>#VALUE!</v>
      </c>
      <c r="AF620" s="19"/>
    </row>
    <row r="621" spans="1:32" x14ac:dyDescent="0.3">
      <c r="A621">
        <v>12</v>
      </c>
      <c r="B621" t="s">
        <v>25</v>
      </c>
      <c r="C621" t="s">
        <v>30</v>
      </c>
      <c r="D621">
        <v>71895</v>
      </c>
      <c r="E621">
        <v>309.51</v>
      </c>
      <c r="F621">
        <v>52.35</v>
      </c>
      <c r="G621">
        <v>309.54095100000001</v>
      </c>
      <c r="H621">
        <v>52.344765000000002</v>
      </c>
      <c r="I621">
        <v>-4.7230689894822833</v>
      </c>
      <c r="J621">
        <v>0.64254462380957211</v>
      </c>
      <c r="K621">
        <v>3.2309133792123038E-2</v>
      </c>
      <c r="L621">
        <v>-0.1227401382635286</v>
      </c>
      <c r="M621" t="s">
        <v>29</v>
      </c>
      <c r="N621">
        <v>2</v>
      </c>
      <c r="O621" t="s">
        <v>28</v>
      </c>
      <c r="P621">
        <v>71897</v>
      </c>
      <c r="Q621">
        <v>310.76</v>
      </c>
      <c r="R621">
        <v>52.45</v>
      </c>
      <c r="S621">
        <v>6.3692853130770929E-2</v>
      </c>
      <c r="T621">
        <v>2.8112403413800759E-2</v>
      </c>
      <c r="U621">
        <v>2.482204812307481E-2</v>
      </c>
      <c r="V621">
        <v>3.2851607386943831E-3</v>
      </c>
      <c r="W621">
        <v>2.1536887384380431E-2</v>
      </c>
      <c r="Y621" s="19">
        <f t="shared" si="27"/>
        <v>46128</v>
      </c>
      <c r="AE621" s="19" t="e">
        <f t="shared" si="28"/>
        <v>#VALUE!</v>
      </c>
    </row>
    <row r="622" spans="1:32" x14ac:dyDescent="0.3">
      <c r="A622">
        <v>12</v>
      </c>
      <c r="B622" t="s">
        <v>25</v>
      </c>
      <c r="C622" t="s">
        <v>30</v>
      </c>
      <c r="D622">
        <v>72284</v>
      </c>
      <c r="E622">
        <v>307.5</v>
      </c>
      <c r="F622">
        <v>52.25</v>
      </c>
      <c r="G622">
        <v>307.46924999999999</v>
      </c>
      <c r="H622">
        <v>52.255225000000003</v>
      </c>
      <c r="I622">
        <v>3.957125667617472</v>
      </c>
      <c r="J622">
        <v>0.64254462380957211</v>
      </c>
      <c r="K622">
        <v>-3.2520325203252043E-2</v>
      </c>
      <c r="L622">
        <v>0.12297504761905689</v>
      </c>
      <c r="M622" t="s">
        <v>27</v>
      </c>
      <c r="N622">
        <v>17</v>
      </c>
      <c r="O622" t="s">
        <v>28</v>
      </c>
      <c r="P622">
        <v>72301</v>
      </c>
      <c r="Q622">
        <v>310.47500000000002</v>
      </c>
      <c r="R622">
        <v>52.99</v>
      </c>
      <c r="S622">
        <v>0.2454937309520579</v>
      </c>
      <c r="T622">
        <v>-5.7464322415732164E-3</v>
      </c>
      <c r="U622">
        <v>-9.0502964394649776E-3</v>
      </c>
      <c r="V622">
        <v>3.285017756543906E-3</v>
      </c>
      <c r="W622">
        <v>-1.2335314196008879E-2</v>
      </c>
      <c r="Y622" s="19">
        <f t="shared" si="27"/>
        <v>46129</v>
      </c>
      <c r="AE622" s="19" t="e">
        <f t="shared" si="28"/>
        <v>#VALUE!</v>
      </c>
    </row>
    <row r="623" spans="1:32" x14ac:dyDescent="0.3">
      <c r="A623">
        <v>12</v>
      </c>
      <c r="B623" t="s">
        <v>25</v>
      </c>
      <c r="C623" t="s">
        <v>30</v>
      </c>
      <c r="D623">
        <v>73065</v>
      </c>
      <c r="E623">
        <v>309.61</v>
      </c>
      <c r="F623">
        <v>52.81</v>
      </c>
      <c r="G623">
        <v>309.640961</v>
      </c>
      <c r="H623">
        <v>52.804719000000013</v>
      </c>
      <c r="I623">
        <v>-3.9387152238282011</v>
      </c>
      <c r="J623">
        <v>0.64254462380957211</v>
      </c>
      <c r="K623">
        <v>3.229869836245599E-2</v>
      </c>
      <c r="L623">
        <v>-0.12167101378708051</v>
      </c>
      <c r="M623" t="s">
        <v>29</v>
      </c>
      <c r="N623">
        <v>25</v>
      </c>
      <c r="O623" t="s">
        <v>28</v>
      </c>
      <c r="P623">
        <v>73090</v>
      </c>
      <c r="Q623">
        <v>309.67</v>
      </c>
      <c r="R623">
        <v>52.84</v>
      </c>
      <c r="S623">
        <v>-0.3970465415016925</v>
      </c>
      <c r="T623">
        <v>-1.71220851186512E-3</v>
      </c>
      <c r="U623">
        <v>-4.9978565647138097E-3</v>
      </c>
      <c r="V623">
        <v>3.2851607386943831E-3</v>
      </c>
      <c r="W623">
        <v>-8.2830173034081928E-3</v>
      </c>
      <c r="Y623" s="19">
        <f t="shared" si="27"/>
        <v>46133</v>
      </c>
      <c r="AE623" s="19" t="e">
        <f t="shared" si="28"/>
        <v>#VALUE!</v>
      </c>
    </row>
    <row r="624" spans="1:32" x14ac:dyDescent="0.3">
      <c r="A624">
        <v>12</v>
      </c>
      <c r="B624" t="s">
        <v>25</v>
      </c>
      <c r="C624" t="s">
        <v>30</v>
      </c>
      <c r="D624">
        <v>73332</v>
      </c>
      <c r="E624">
        <v>307.93</v>
      </c>
      <c r="F624">
        <v>52.354999999999997</v>
      </c>
      <c r="G624">
        <v>307.96079300000002</v>
      </c>
      <c r="H624">
        <v>52.349764499999999</v>
      </c>
      <c r="I624">
        <v>-3.534553671923693</v>
      </c>
      <c r="J624">
        <v>0.64254462380957211</v>
      </c>
      <c r="K624">
        <v>3.2474913129607368E-2</v>
      </c>
      <c r="L624">
        <v>-0.1227284163517471</v>
      </c>
      <c r="M624" t="s">
        <v>29</v>
      </c>
      <c r="N624">
        <v>7</v>
      </c>
      <c r="O624" t="s">
        <v>28</v>
      </c>
      <c r="P624">
        <v>73339</v>
      </c>
      <c r="Q624">
        <v>308.52999999999997</v>
      </c>
      <c r="R624">
        <v>52.44</v>
      </c>
      <c r="S624">
        <v>0.14909367844301649</v>
      </c>
      <c r="T624">
        <v>9.0530324878647043E-3</v>
      </c>
      <c r="U624">
        <v>5.7649515539194979E-3</v>
      </c>
      <c r="V624">
        <v>3.2851607386943831E-3</v>
      </c>
      <c r="W624">
        <v>2.4797908152251148E-3</v>
      </c>
      <c r="Y624" s="19">
        <f t="shared" si="27"/>
        <v>46134</v>
      </c>
      <c r="AE624" s="19" t="e">
        <f t="shared" si="28"/>
        <v>#VALUE!</v>
      </c>
    </row>
    <row r="625" spans="1:32" x14ac:dyDescent="0.3">
      <c r="A625">
        <v>12</v>
      </c>
      <c r="B625" t="s">
        <v>25</v>
      </c>
      <c r="C625" t="s">
        <v>30</v>
      </c>
      <c r="D625">
        <v>73456</v>
      </c>
      <c r="E625">
        <v>307.94</v>
      </c>
      <c r="F625">
        <v>52.63</v>
      </c>
      <c r="G625">
        <v>307.97079400000001</v>
      </c>
      <c r="H625">
        <v>52.624737000000003</v>
      </c>
      <c r="I625">
        <v>-3.6284035323823631</v>
      </c>
      <c r="J625">
        <v>0.64254462380957211</v>
      </c>
      <c r="K625">
        <v>3.2473858543872178E-2</v>
      </c>
      <c r="L625">
        <v>-0.1220871411380528</v>
      </c>
      <c r="M625" t="s">
        <v>29</v>
      </c>
      <c r="N625">
        <v>22</v>
      </c>
      <c r="O625" t="s">
        <v>28</v>
      </c>
      <c r="P625">
        <v>73478</v>
      </c>
      <c r="Q625">
        <v>308.36</v>
      </c>
      <c r="R625">
        <v>52.8</v>
      </c>
      <c r="S625">
        <v>-0.41686411226624231</v>
      </c>
      <c r="T625">
        <v>-7.1157934050414869E-3</v>
      </c>
      <c r="U625">
        <v>-1.0404322036119811E-2</v>
      </c>
      <c r="V625">
        <v>3.2851607386943831E-3</v>
      </c>
      <c r="W625">
        <v>-1.368948277481419E-2</v>
      </c>
      <c r="Y625" s="19">
        <f t="shared" si="27"/>
        <v>46134</v>
      </c>
      <c r="AE625" s="19" t="e">
        <f t="shared" si="28"/>
        <v>#VALUE!</v>
      </c>
    </row>
    <row r="626" spans="1:32" x14ac:dyDescent="0.3">
      <c r="A626">
        <v>12</v>
      </c>
      <c r="B626" t="s">
        <v>25</v>
      </c>
      <c r="C626" t="s">
        <v>30</v>
      </c>
      <c r="D626">
        <v>73846</v>
      </c>
      <c r="E626">
        <v>313.60000000000002</v>
      </c>
      <c r="F626">
        <v>53.89</v>
      </c>
      <c r="G626">
        <v>313.56864000000002</v>
      </c>
      <c r="H626">
        <v>53.895389000000002</v>
      </c>
      <c r="I626">
        <v>3.5639974427940171</v>
      </c>
      <c r="J626">
        <v>0.64254462380957211</v>
      </c>
      <c r="K626">
        <v>-3.1887755102040817E-2</v>
      </c>
      <c r="L626">
        <v>0.1192326264259737</v>
      </c>
      <c r="M626" t="s">
        <v>27</v>
      </c>
      <c r="N626">
        <v>14</v>
      </c>
      <c r="O626" t="s">
        <v>28</v>
      </c>
      <c r="P626">
        <v>73860</v>
      </c>
      <c r="Q626">
        <v>313.26499999999999</v>
      </c>
      <c r="R626">
        <v>54.02</v>
      </c>
      <c r="S626">
        <v>-0.1032512609739446</v>
      </c>
      <c r="T626">
        <v>2.6182639394561721E-2</v>
      </c>
      <c r="U626">
        <v>2.2897068362595759E-2</v>
      </c>
      <c r="V626">
        <v>3.285017756543906E-3</v>
      </c>
      <c r="W626">
        <v>1.961205060605185E-2</v>
      </c>
      <c r="Y626" s="19">
        <f t="shared" si="27"/>
        <v>46135</v>
      </c>
      <c r="AE626" s="19" t="e">
        <f t="shared" si="28"/>
        <v>#VALUE!</v>
      </c>
    </row>
    <row r="627" spans="1:32" x14ac:dyDescent="0.3">
      <c r="A627">
        <v>12</v>
      </c>
      <c r="B627" t="s">
        <v>25</v>
      </c>
      <c r="C627" t="s">
        <v>30</v>
      </c>
      <c r="D627">
        <v>74238</v>
      </c>
      <c r="E627">
        <v>314.41000000000003</v>
      </c>
      <c r="F627">
        <v>53.73</v>
      </c>
      <c r="G627">
        <v>314.441441</v>
      </c>
      <c r="H627">
        <v>53.724626999999998</v>
      </c>
      <c r="I627">
        <v>-3.6679358866883209</v>
      </c>
      <c r="J627">
        <v>0.64254462380957211</v>
      </c>
      <c r="K627">
        <v>3.1805604147450782E-2</v>
      </c>
      <c r="L627">
        <v>-0.1195876835677596</v>
      </c>
      <c r="M627" t="s">
        <v>29</v>
      </c>
      <c r="N627">
        <v>23</v>
      </c>
      <c r="O627" t="s">
        <v>28</v>
      </c>
      <c r="P627">
        <v>74261</v>
      </c>
      <c r="Q627">
        <v>312.27</v>
      </c>
      <c r="R627">
        <v>53.56</v>
      </c>
      <c r="S627">
        <v>-0.49209464463398322</v>
      </c>
      <c r="T627">
        <v>-4.7734086669027551E-2</v>
      </c>
      <c r="U627">
        <v>-5.1010336526737379E-2</v>
      </c>
      <c r="V627">
        <v>3.2851607386943822E-3</v>
      </c>
      <c r="W627">
        <v>-5.4295497265431758E-2</v>
      </c>
      <c r="Y627" s="19">
        <f t="shared" si="27"/>
        <v>46136</v>
      </c>
      <c r="AE627" s="19" t="e">
        <f t="shared" si="28"/>
        <v>#VALUE!</v>
      </c>
    </row>
    <row r="628" spans="1:32" x14ac:dyDescent="0.3">
      <c r="A628">
        <v>12</v>
      </c>
      <c r="B628" t="s">
        <v>32</v>
      </c>
      <c r="C628" t="s">
        <v>34</v>
      </c>
      <c r="D628">
        <v>70801</v>
      </c>
      <c r="E628">
        <v>56.1</v>
      </c>
      <c r="F628">
        <v>50.89</v>
      </c>
      <c r="G628">
        <v>56.105609999999999</v>
      </c>
      <c r="H628">
        <v>50.884911000000002</v>
      </c>
      <c r="I628">
        <v>-5.2946355103149871</v>
      </c>
      <c r="J628">
        <v>0.74857427477368232</v>
      </c>
      <c r="K628">
        <v>0.17825311942958999</v>
      </c>
      <c r="L628">
        <v>-0.14709653660319949</v>
      </c>
      <c r="M628" t="s">
        <v>29</v>
      </c>
      <c r="N628">
        <v>23</v>
      </c>
      <c r="O628" t="s">
        <v>28</v>
      </c>
      <c r="P628">
        <v>70824</v>
      </c>
      <c r="Q628">
        <v>56.01</v>
      </c>
      <c r="R628">
        <v>50.854999999999997</v>
      </c>
      <c r="S628">
        <v>-0.49226934197572719</v>
      </c>
      <c r="T628">
        <v>-1.089440196755118E-2</v>
      </c>
      <c r="U628">
        <v>-1.4389431401144541E-2</v>
      </c>
      <c r="V628">
        <v>3.4971988346924102E-3</v>
      </c>
      <c r="W628">
        <v>-1.7886630235836941E-2</v>
      </c>
      <c r="Y628" s="19">
        <f t="shared" si="27"/>
        <v>46125</v>
      </c>
      <c r="AE628" s="19" t="e">
        <f t="shared" si="28"/>
        <v>#VALUE!</v>
      </c>
    </row>
    <row r="629" spans="1:32" x14ac:dyDescent="0.3">
      <c r="A629">
        <v>12</v>
      </c>
      <c r="B629" t="s">
        <v>32</v>
      </c>
      <c r="C629" t="s">
        <v>34</v>
      </c>
      <c r="D629">
        <v>72109</v>
      </c>
      <c r="E629">
        <v>55.795000000000002</v>
      </c>
      <c r="F629">
        <v>50.674999999999997</v>
      </c>
      <c r="G629">
        <v>55.789420500000013</v>
      </c>
      <c r="H629">
        <v>50.6800675</v>
      </c>
      <c r="I629">
        <v>3.6106804904138339</v>
      </c>
      <c r="J629">
        <v>0.74857427477368232</v>
      </c>
      <c r="K629">
        <v>-0.17922752934850791</v>
      </c>
      <c r="L629">
        <v>0.14772062649702661</v>
      </c>
      <c r="M629" t="s">
        <v>27</v>
      </c>
      <c r="N629">
        <v>20</v>
      </c>
      <c r="O629" t="s">
        <v>28</v>
      </c>
      <c r="P629">
        <v>72129</v>
      </c>
      <c r="Q629">
        <v>55.8</v>
      </c>
      <c r="R629">
        <v>50.66</v>
      </c>
      <c r="S629">
        <v>0.4518173137347708</v>
      </c>
      <c r="T629">
        <v>-3.1119470441972078E-3</v>
      </c>
      <c r="U629">
        <v>-6.6089636265694394E-3</v>
      </c>
      <c r="V629">
        <v>3.4970982644023201E-3</v>
      </c>
      <c r="W629">
        <v>-1.0106061890971759E-2</v>
      </c>
      <c r="Y629" s="19">
        <f t="shared" si="27"/>
        <v>46128</v>
      </c>
      <c r="AE629" s="19" t="e">
        <f t="shared" si="28"/>
        <v>#VALUE!</v>
      </c>
    </row>
    <row r="630" spans="1:32" x14ac:dyDescent="0.3">
      <c r="A630">
        <v>12</v>
      </c>
      <c r="B630" t="s">
        <v>32</v>
      </c>
      <c r="C630" t="s">
        <v>34</v>
      </c>
      <c r="D630">
        <v>72288</v>
      </c>
      <c r="E630">
        <v>55.76</v>
      </c>
      <c r="F630">
        <v>50.76</v>
      </c>
      <c r="G630">
        <v>55.765576000000003</v>
      </c>
      <c r="H630">
        <v>50.754924000000003</v>
      </c>
      <c r="I630">
        <v>-3.510256551469066</v>
      </c>
      <c r="J630">
        <v>0.74857427477368232</v>
      </c>
      <c r="K630">
        <v>0.1793400286944046</v>
      </c>
      <c r="L630">
        <v>-0.14747326138173411</v>
      </c>
      <c r="M630" t="s">
        <v>29</v>
      </c>
      <c r="N630">
        <v>3</v>
      </c>
      <c r="O630" t="s">
        <v>28</v>
      </c>
      <c r="P630">
        <v>72291</v>
      </c>
      <c r="Q630">
        <v>56.15</v>
      </c>
      <c r="R630">
        <v>50.74</v>
      </c>
      <c r="S630">
        <v>-8.0909388905023319E-2</v>
      </c>
      <c r="T630">
        <v>7.2892076418451981E-2</v>
      </c>
      <c r="U630">
        <v>6.938822855430847E-2</v>
      </c>
      <c r="V630">
        <v>3.4971988346924102E-3</v>
      </c>
      <c r="W630">
        <v>6.5891029719616065E-2</v>
      </c>
      <c r="Y630" s="19">
        <f t="shared" si="27"/>
        <v>46129</v>
      </c>
      <c r="AE630" s="19" t="e">
        <f t="shared" si="28"/>
        <v>#VALUE!</v>
      </c>
    </row>
    <row r="631" spans="1:32" x14ac:dyDescent="0.3">
      <c r="A631">
        <v>12</v>
      </c>
      <c r="B631" t="s">
        <v>32</v>
      </c>
      <c r="C631" t="s">
        <v>34</v>
      </c>
      <c r="D631">
        <v>72613</v>
      </c>
      <c r="E631">
        <v>56.725000000000001</v>
      </c>
      <c r="F631">
        <v>51.475000000000001</v>
      </c>
      <c r="G631">
        <v>56.730672499999997</v>
      </c>
      <c r="H631">
        <v>51.469852500000002</v>
      </c>
      <c r="I631">
        <v>-3.5059414057093372</v>
      </c>
      <c r="J631">
        <v>0.74857427477368232</v>
      </c>
      <c r="K631">
        <v>0.17628911414720139</v>
      </c>
      <c r="L631">
        <v>-0.14542482268551379</v>
      </c>
      <c r="M631" t="s">
        <v>29</v>
      </c>
      <c r="N631">
        <v>6</v>
      </c>
      <c r="O631" t="s">
        <v>28</v>
      </c>
      <c r="P631">
        <v>72619</v>
      </c>
      <c r="Q631">
        <v>56.825000000000003</v>
      </c>
      <c r="R631">
        <v>51.524999999999999</v>
      </c>
      <c r="S631">
        <v>-0.3822139601142997</v>
      </c>
      <c r="T631">
        <v>1.0357670280445109E-2</v>
      </c>
      <c r="U631">
        <v>6.8580317156424087E-3</v>
      </c>
      <c r="V631">
        <v>3.4971988346924111E-3</v>
      </c>
      <c r="W631">
        <v>3.3608328809499981E-3</v>
      </c>
      <c r="Y631" s="19">
        <f t="shared" si="27"/>
        <v>46132</v>
      </c>
      <c r="AE631" s="19" t="e">
        <f t="shared" si="28"/>
        <v>#VALUE!</v>
      </c>
    </row>
    <row r="632" spans="1:32" x14ac:dyDescent="0.3">
      <c r="A632">
        <v>12</v>
      </c>
      <c r="B632" t="s">
        <v>32</v>
      </c>
      <c r="C632" t="s">
        <v>34</v>
      </c>
      <c r="D632">
        <v>73065</v>
      </c>
      <c r="E632">
        <v>55.67</v>
      </c>
      <c r="F632">
        <v>50.42</v>
      </c>
      <c r="G632">
        <v>55.675567000000001</v>
      </c>
      <c r="H632">
        <v>50.414958000000013</v>
      </c>
      <c r="I632">
        <v>-4.5101374541785137</v>
      </c>
      <c r="J632">
        <v>0.74857427477368232</v>
      </c>
      <c r="K632">
        <v>0.17962996227770789</v>
      </c>
      <c r="L632">
        <v>-0.14846772605586719</v>
      </c>
      <c r="M632" t="s">
        <v>29</v>
      </c>
      <c r="N632">
        <v>1</v>
      </c>
      <c r="O632" t="s">
        <v>28</v>
      </c>
      <c r="P632">
        <v>73066</v>
      </c>
      <c r="Q632">
        <v>56.024999999999999</v>
      </c>
      <c r="R632">
        <v>50.52</v>
      </c>
      <c r="S632">
        <v>-0.26234451532029268</v>
      </c>
      <c r="T632">
        <v>4.8921864002998833E-2</v>
      </c>
      <c r="U632">
        <v>4.5416853912530537E-2</v>
      </c>
      <c r="V632">
        <v>3.4971988346924102E-3</v>
      </c>
      <c r="W632">
        <v>4.1919655077838132E-2</v>
      </c>
      <c r="Y632" s="19">
        <f t="shared" si="27"/>
        <v>46133</v>
      </c>
      <c r="AE632" s="19" t="e">
        <f t="shared" si="28"/>
        <v>#VALUE!</v>
      </c>
    </row>
    <row r="633" spans="1:32" x14ac:dyDescent="0.3">
      <c r="A633">
        <v>12</v>
      </c>
      <c r="B633" t="s">
        <v>32</v>
      </c>
      <c r="C633" t="s">
        <v>34</v>
      </c>
      <c r="D633">
        <v>73845</v>
      </c>
      <c r="E633">
        <v>56.5</v>
      </c>
      <c r="F633">
        <v>50.72</v>
      </c>
      <c r="G633">
        <v>56.494349999999997</v>
      </c>
      <c r="H633">
        <v>50.725071999999997</v>
      </c>
      <c r="I633">
        <v>4.9826043081265041</v>
      </c>
      <c r="J633">
        <v>0.74857427477368232</v>
      </c>
      <c r="K633">
        <v>-0.1769911504424779</v>
      </c>
      <c r="L633">
        <v>0.14758956521563141</v>
      </c>
      <c r="M633" t="s">
        <v>27</v>
      </c>
      <c r="N633">
        <v>22</v>
      </c>
      <c r="O633" t="s">
        <v>28</v>
      </c>
      <c r="P633">
        <v>73867</v>
      </c>
      <c r="Q633">
        <v>56.594999999999999</v>
      </c>
      <c r="R633">
        <v>50.79</v>
      </c>
      <c r="S633">
        <v>0.30221586057821492</v>
      </c>
      <c r="T633">
        <v>-6.4828897269409566E-3</v>
      </c>
      <c r="U633">
        <v>-9.9827528193746316E-3</v>
      </c>
      <c r="V633">
        <v>3.4970982644023201E-3</v>
      </c>
      <c r="W633">
        <v>-1.347985108377695E-2</v>
      </c>
      <c r="Y633" s="19">
        <f t="shared" si="27"/>
        <v>46135</v>
      </c>
      <c r="AE633" s="19" t="e">
        <f t="shared" si="28"/>
        <v>#VALUE!</v>
      </c>
      <c r="AF633" s="19"/>
    </row>
    <row r="634" spans="1:32" x14ac:dyDescent="0.3">
      <c r="A634">
        <v>12</v>
      </c>
      <c r="B634" t="s">
        <v>32</v>
      </c>
      <c r="C634" t="s">
        <v>34</v>
      </c>
      <c r="D634">
        <v>74507</v>
      </c>
      <c r="E634">
        <v>55.164999999999999</v>
      </c>
      <c r="F634">
        <v>49.79</v>
      </c>
      <c r="G634">
        <v>55.170516499999998</v>
      </c>
      <c r="H634">
        <v>49.785021</v>
      </c>
      <c r="I634">
        <v>-3.5484335971717971</v>
      </c>
      <c r="J634">
        <v>0.74857427477368232</v>
      </c>
      <c r="K634">
        <v>0.18127435874195599</v>
      </c>
      <c r="L634">
        <v>-0.15034630945444519</v>
      </c>
      <c r="M634" t="s">
        <v>29</v>
      </c>
      <c r="N634">
        <v>1</v>
      </c>
      <c r="O634" t="s">
        <v>28</v>
      </c>
      <c r="P634">
        <v>74508</v>
      </c>
      <c r="Q634">
        <v>55.204999999999998</v>
      </c>
      <c r="R634">
        <v>49.725000000000001</v>
      </c>
      <c r="S634">
        <v>0.38383503276192049</v>
      </c>
      <c r="T634">
        <v>1.7023484464216681E-2</v>
      </c>
      <c r="U634">
        <v>1.352658806824553E-2</v>
      </c>
      <c r="V634">
        <v>3.4971988346924111E-3</v>
      </c>
      <c r="W634">
        <v>1.0029389233553119E-2</v>
      </c>
      <c r="Y634" s="19">
        <f t="shared" si="27"/>
        <v>46139</v>
      </c>
      <c r="AE634" s="19" t="e">
        <f t="shared" si="28"/>
        <v>#VALUE!</v>
      </c>
      <c r="AF634" s="19"/>
    </row>
    <row r="635" spans="1:32" x14ac:dyDescent="0.3">
      <c r="A635">
        <v>12</v>
      </c>
      <c r="B635" t="s">
        <v>32</v>
      </c>
      <c r="C635" t="s">
        <v>34</v>
      </c>
      <c r="D635">
        <v>74564</v>
      </c>
      <c r="E635">
        <v>55.31</v>
      </c>
      <c r="F635">
        <v>49.74</v>
      </c>
      <c r="G635">
        <v>55.304468999999997</v>
      </c>
      <c r="H635">
        <v>49.744973999999999</v>
      </c>
      <c r="I635">
        <v>4.0454391603247037</v>
      </c>
      <c r="J635">
        <v>0.74857427477368232</v>
      </c>
      <c r="K635">
        <v>-0.1807991321641656</v>
      </c>
      <c r="L635">
        <v>0.15049744165132331</v>
      </c>
      <c r="M635" t="s">
        <v>27</v>
      </c>
      <c r="N635">
        <v>3</v>
      </c>
      <c r="O635" t="s">
        <v>28</v>
      </c>
      <c r="P635">
        <v>74567</v>
      </c>
      <c r="Q635">
        <v>55.27</v>
      </c>
      <c r="R635">
        <v>49.81</v>
      </c>
      <c r="S635">
        <v>-0.41609453644725131</v>
      </c>
      <c r="T635">
        <v>1.776678620215915E-2</v>
      </c>
      <c r="U635">
        <v>1.4269307367049471E-2</v>
      </c>
      <c r="V635">
        <v>3.4970982644023201E-3</v>
      </c>
      <c r="W635">
        <v>1.0772209102647151E-2</v>
      </c>
      <c r="Y635" s="19">
        <f t="shared" si="27"/>
        <v>46139</v>
      </c>
      <c r="AE635" s="19" t="e">
        <f t="shared" si="28"/>
        <v>#VALUE!</v>
      </c>
      <c r="AF635" s="19"/>
    </row>
    <row r="636" spans="1:32" x14ac:dyDescent="0.3">
      <c r="A636">
        <v>12</v>
      </c>
      <c r="B636" t="s">
        <v>32</v>
      </c>
      <c r="C636" t="s">
        <v>34</v>
      </c>
      <c r="D636">
        <v>74626</v>
      </c>
      <c r="E636">
        <v>55.54</v>
      </c>
      <c r="F636">
        <v>49.44</v>
      </c>
      <c r="G636">
        <v>55.534446000000003</v>
      </c>
      <c r="H636">
        <v>49.444944</v>
      </c>
      <c r="I636">
        <v>4.5548907660837834</v>
      </c>
      <c r="J636">
        <v>0.74857427477368232</v>
      </c>
      <c r="K636">
        <v>-0.18005041411595249</v>
      </c>
      <c r="L636">
        <v>0.15141065428270281</v>
      </c>
      <c r="M636" t="s">
        <v>27</v>
      </c>
      <c r="N636">
        <v>20</v>
      </c>
      <c r="O636" t="s">
        <v>28</v>
      </c>
      <c r="P636">
        <v>74646</v>
      </c>
      <c r="Q636">
        <v>55.395000000000003</v>
      </c>
      <c r="R636">
        <v>49.335000000000001</v>
      </c>
      <c r="S636">
        <v>0.47041930621882388</v>
      </c>
      <c r="T636">
        <v>1.020919134712907E-2</v>
      </c>
      <c r="U636">
        <v>6.7162433404571557E-3</v>
      </c>
      <c r="V636">
        <v>3.4970982644023201E-3</v>
      </c>
      <c r="W636">
        <v>3.2191450760548361E-3</v>
      </c>
      <c r="Y636" s="19">
        <f t="shared" si="27"/>
        <v>46139</v>
      </c>
      <c r="AE636" s="19" t="e">
        <f t="shared" si="28"/>
        <v>#VALUE!</v>
      </c>
      <c r="AF636" s="19"/>
    </row>
    <row r="637" spans="1:32" x14ac:dyDescent="0.3">
      <c r="A637">
        <v>12</v>
      </c>
      <c r="B637" t="s">
        <v>32</v>
      </c>
      <c r="C637" t="s">
        <v>34</v>
      </c>
      <c r="D637">
        <v>74694</v>
      </c>
      <c r="E637">
        <v>55.32</v>
      </c>
      <c r="F637">
        <v>49.29</v>
      </c>
      <c r="G637">
        <v>55.314467999999998</v>
      </c>
      <c r="H637">
        <v>49.294929000000003</v>
      </c>
      <c r="I637">
        <v>3.5168655944535829</v>
      </c>
      <c r="J637">
        <v>0.74857427477368232</v>
      </c>
      <c r="K637">
        <v>-0.18076644974692699</v>
      </c>
      <c r="L637">
        <v>0.1518714292500877</v>
      </c>
      <c r="M637" t="s">
        <v>27</v>
      </c>
      <c r="N637">
        <v>1</v>
      </c>
      <c r="O637" t="s">
        <v>28</v>
      </c>
      <c r="P637">
        <v>74695</v>
      </c>
      <c r="Q637">
        <v>55.28</v>
      </c>
      <c r="R637">
        <v>49.38</v>
      </c>
      <c r="S637">
        <v>0.41823279948418002</v>
      </c>
      <c r="T637">
        <v>2.0899086622385338E-2</v>
      </c>
      <c r="U637">
        <v>1.7401294295773639E-2</v>
      </c>
      <c r="V637">
        <v>3.4970982644023201E-3</v>
      </c>
      <c r="W637">
        <v>1.3904196031371319E-2</v>
      </c>
      <c r="Y637" s="19">
        <f t="shared" si="27"/>
        <v>46139</v>
      </c>
      <c r="AE637" s="19" t="e">
        <f t="shared" si="28"/>
        <v>#VALUE!</v>
      </c>
      <c r="AF637" s="19"/>
    </row>
    <row r="638" spans="1:32" x14ac:dyDescent="0.3">
      <c r="A638">
        <v>12</v>
      </c>
      <c r="B638" t="s">
        <v>25</v>
      </c>
      <c r="C638" t="s">
        <v>33</v>
      </c>
      <c r="D638">
        <v>70801</v>
      </c>
      <c r="E638">
        <v>309.245</v>
      </c>
      <c r="F638">
        <v>221.56</v>
      </c>
      <c r="G638">
        <v>309.21407549999998</v>
      </c>
      <c r="H638">
        <v>221.582156</v>
      </c>
      <c r="I638">
        <v>5.2946316255440724</v>
      </c>
      <c r="J638">
        <v>0.61672327119074122</v>
      </c>
      <c r="K638">
        <v>-3.2336820320457892E-2</v>
      </c>
      <c r="L638">
        <v>2.783549698459746E-2</v>
      </c>
      <c r="M638" t="s">
        <v>27</v>
      </c>
      <c r="N638">
        <v>23</v>
      </c>
      <c r="O638" t="s">
        <v>28</v>
      </c>
      <c r="P638">
        <v>70824</v>
      </c>
      <c r="Q638">
        <v>309.375</v>
      </c>
      <c r="R638">
        <v>221.38</v>
      </c>
      <c r="S638">
        <v>0.49416483564921432</v>
      </c>
      <c r="T638">
        <v>-9.2141760988871113E-3</v>
      </c>
      <c r="U638">
        <v>-1.2447541980985251E-2</v>
      </c>
      <c r="V638">
        <v>3.2333698870357212E-3</v>
      </c>
      <c r="W638">
        <v>-1.568091186802097E-2</v>
      </c>
      <c r="Y638" s="19">
        <f t="shared" si="27"/>
        <v>46125</v>
      </c>
      <c r="AE638" s="19" t="e">
        <f t="shared" si="28"/>
        <v>#VALUE!</v>
      </c>
      <c r="AF638" s="19"/>
    </row>
    <row r="639" spans="1:32" x14ac:dyDescent="0.3">
      <c r="A639">
        <v>12</v>
      </c>
      <c r="B639" t="s">
        <v>25</v>
      </c>
      <c r="C639" t="s">
        <v>33</v>
      </c>
      <c r="D639">
        <v>70859</v>
      </c>
      <c r="E639">
        <v>310.14999999999998</v>
      </c>
      <c r="F639">
        <v>221.64500000000001</v>
      </c>
      <c r="G639">
        <v>310.11898500000001</v>
      </c>
      <c r="H639">
        <v>221.66716450000001</v>
      </c>
      <c r="I639">
        <v>4.0213759172552601</v>
      </c>
      <c r="J639">
        <v>0.61672327119074122</v>
      </c>
      <c r="K639">
        <v>-3.2242463324197973E-2</v>
      </c>
      <c r="L639">
        <v>2.7824822179193812E-2</v>
      </c>
      <c r="M639" t="s">
        <v>27</v>
      </c>
      <c r="N639">
        <v>6</v>
      </c>
      <c r="O639" t="s">
        <v>28</v>
      </c>
      <c r="P639">
        <v>70865</v>
      </c>
      <c r="Q639">
        <v>310.04000000000002</v>
      </c>
      <c r="R639">
        <v>222.13499999999999</v>
      </c>
      <c r="S639">
        <v>0.32471865782775072</v>
      </c>
      <c r="T639">
        <v>1.7180833833464811E-2</v>
      </c>
      <c r="U639">
        <v>1.3946378541892601E-2</v>
      </c>
      <c r="V639">
        <v>3.2333698870357212E-3</v>
      </c>
      <c r="W639">
        <v>1.071300865485687E-2</v>
      </c>
      <c r="Y639" s="19">
        <f t="shared" si="27"/>
        <v>46125</v>
      </c>
      <c r="AE639" s="19" t="e">
        <f t="shared" si="28"/>
        <v>#VALUE!</v>
      </c>
      <c r="AF639" s="19"/>
    </row>
    <row r="640" spans="1:32" x14ac:dyDescent="0.3">
      <c r="A640">
        <v>12</v>
      </c>
      <c r="B640" t="s">
        <v>25</v>
      </c>
      <c r="C640" t="s">
        <v>33</v>
      </c>
      <c r="D640">
        <v>71504</v>
      </c>
      <c r="E640">
        <v>315.19499999999999</v>
      </c>
      <c r="F640">
        <v>223.04</v>
      </c>
      <c r="G640">
        <v>315.16348049999999</v>
      </c>
      <c r="H640">
        <v>223.06230400000001</v>
      </c>
      <c r="I640">
        <v>4.8349963219517011</v>
      </c>
      <c r="J640">
        <v>0.61672327119074122</v>
      </c>
      <c r="K640">
        <v>-3.1726391598851503E-2</v>
      </c>
      <c r="L640">
        <v>2.765079228796365E-2</v>
      </c>
      <c r="M640" t="s">
        <v>27</v>
      </c>
      <c r="N640">
        <v>4</v>
      </c>
      <c r="O640" t="s">
        <v>28</v>
      </c>
      <c r="P640">
        <v>71508</v>
      </c>
      <c r="Q640">
        <v>313.75</v>
      </c>
      <c r="R640">
        <v>223.7</v>
      </c>
      <c r="S640">
        <v>0.22276117214185279</v>
      </c>
      <c r="T640">
        <v>6.409415877039612E-2</v>
      </c>
      <c r="U640">
        <v>6.0863471739310983E-2</v>
      </c>
      <c r="V640">
        <v>3.2333698870357199E-3</v>
      </c>
      <c r="W640">
        <v>5.763010185227526E-2</v>
      </c>
      <c r="Y640" s="19">
        <f t="shared" si="27"/>
        <v>46127</v>
      </c>
      <c r="AE640" s="19" t="e">
        <f t="shared" si="28"/>
        <v>#VALUE!</v>
      </c>
    </row>
    <row r="641" spans="1:32" x14ac:dyDescent="0.3">
      <c r="A641">
        <v>12</v>
      </c>
      <c r="B641" t="s">
        <v>25</v>
      </c>
      <c r="C641" t="s">
        <v>33</v>
      </c>
      <c r="D641">
        <v>71895</v>
      </c>
      <c r="E641">
        <v>309.51</v>
      </c>
      <c r="F641">
        <v>221.755</v>
      </c>
      <c r="G641">
        <v>309.54095100000001</v>
      </c>
      <c r="H641">
        <v>221.73282449999999</v>
      </c>
      <c r="I641">
        <v>-4.9283426427563697</v>
      </c>
      <c r="J641">
        <v>0.61672327119074122</v>
      </c>
      <c r="K641">
        <v>3.2309133792123038E-2</v>
      </c>
      <c r="L641">
        <v>-2.781101987286606E-2</v>
      </c>
      <c r="M641" t="s">
        <v>29</v>
      </c>
      <c r="N641">
        <v>21</v>
      </c>
      <c r="O641" t="s">
        <v>28</v>
      </c>
      <c r="P641">
        <v>71916</v>
      </c>
      <c r="Q641">
        <v>308.02999999999997</v>
      </c>
      <c r="R641">
        <v>219.41499999999999</v>
      </c>
      <c r="S641">
        <v>-0.38920313866367062</v>
      </c>
      <c r="T641">
        <v>1.7260268490163991E-2</v>
      </c>
      <c r="U641">
        <v>1.403811147823374E-2</v>
      </c>
      <c r="V641">
        <v>3.233523197727245E-3</v>
      </c>
      <c r="W641">
        <v>1.080458828050649E-2</v>
      </c>
      <c r="Y641" s="19">
        <f t="shared" si="27"/>
        <v>46128</v>
      </c>
      <c r="AE641" s="19" t="e">
        <f t="shared" si="28"/>
        <v>#VALUE!</v>
      </c>
    </row>
    <row r="642" spans="1:32" x14ac:dyDescent="0.3">
      <c r="A642">
        <v>12</v>
      </c>
      <c r="B642" t="s">
        <v>25</v>
      </c>
      <c r="C642" t="s">
        <v>33</v>
      </c>
      <c r="D642">
        <v>72284</v>
      </c>
      <c r="E642">
        <v>307.5</v>
      </c>
      <c r="F642">
        <v>218.74</v>
      </c>
      <c r="G642">
        <v>307.53075000000001</v>
      </c>
      <c r="H642">
        <v>218.71812600000001</v>
      </c>
      <c r="I642">
        <v>-4.4875548382293813</v>
      </c>
      <c r="J642">
        <v>0.61672327119074122</v>
      </c>
      <c r="K642">
        <v>3.2520325203252043E-2</v>
      </c>
      <c r="L642">
        <v>-2.8194352710557799E-2</v>
      </c>
      <c r="M642" t="s">
        <v>29</v>
      </c>
      <c r="N642">
        <v>8</v>
      </c>
      <c r="O642" t="s">
        <v>28</v>
      </c>
      <c r="P642">
        <v>72292</v>
      </c>
      <c r="Q642">
        <v>310</v>
      </c>
      <c r="R642">
        <v>219.35</v>
      </c>
      <c r="S642">
        <v>0.25913285710286649</v>
      </c>
      <c r="T642">
        <v>6.4102257854690259E-2</v>
      </c>
      <c r="U642">
        <v>6.085896137549255E-2</v>
      </c>
      <c r="V642">
        <v>3.233523197727245E-3</v>
      </c>
      <c r="W642">
        <v>5.7625438177765297E-2</v>
      </c>
      <c r="Y642" s="19">
        <f t="shared" ref="Y642:Y705" si="29">WORKDAY(DATE(2025,8,2),INT(P642/390))</f>
        <v>46129</v>
      </c>
      <c r="AE642" s="19" t="e">
        <f t="shared" ref="AE642:AE705" si="30">IF(ISNUMBER(AF642),DATE(YEAR(AF642),DAY(AF642),MONTH(AF642)),DATE(RIGHT(AF642,4),LEFT(AF642,2),MID(AF642,4,2)))</f>
        <v>#VALUE!</v>
      </c>
    </row>
    <row r="643" spans="1:32" x14ac:dyDescent="0.3">
      <c r="A643">
        <v>12</v>
      </c>
      <c r="B643" t="s">
        <v>25</v>
      </c>
      <c r="C643" t="s">
        <v>33</v>
      </c>
      <c r="D643">
        <v>72678</v>
      </c>
      <c r="E643">
        <v>313.34500000000003</v>
      </c>
      <c r="F643">
        <v>221.755</v>
      </c>
      <c r="G643">
        <v>313.31366550000001</v>
      </c>
      <c r="H643">
        <v>221.7771755</v>
      </c>
      <c r="I643">
        <v>4.1506776649235348</v>
      </c>
      <c r="J643">
        <v>0.61672327119074122</v>
      </c>
      <c r="K643">
        <v>-3.1913705340758589E-2</v>
      </c>
      <c r="L643">
        <v>2.781101987286606E-2</v>
      </c>
      <c r="M643" t="s">
        <v>27</v>
      </c>
      <c r="N643">
        <v>6</v>
      </c>
      <c r="O643" t="s">
        <v>28</v>
      </c>
      <c r="P643">
        <v>72684</v>
      </c>
      <c r="Q643">
        <v>312.76</v>
      </c>
      <c r="R643">
        <v>222.435</v>
      </c>
      <c r="S643">
        <v>0.19481896058018641</v>
      </c>
      <c r="T643">
        <v>3.7581011137894041E-2</v>
      </c>
      <c r="U643">
        <v>3.4347540397923343E-2</v>
      </c>
      <c r="V643">
        <v>3.2333698870357212E-3</v>
      </c>
      <c r="W643">
        <v>3.111417051088761E-2</v>
      </c>
      <c r="Y643" s="19">
        <f t="shared" si="29"/>
        <v>46132</v>
      </c>
      <c r="AE643" s="19" t="e">
        <f t="shared" si="30"/>
        <v>#VALUE!</v>
      </c>
    </row>
    <row r="644" spans="1:32" x14ac:dyDescent="0.3">
      <c r="A644">
        <v>12</v>
      </c>
      <c r="B644" t="s">
        <v>25</v>
      </c>
      <c r="C644" t="s">
        <v>33</v>
      </c>
      <c r="D644">
        <v>72815</v>
      </c>
      <c r="E644">
        <v>313.64</v>
      </c>
      <c r="F644">
        <v>222.05</v>
      </c>
      <c r="G644">
        <v>313.67136399999998</v>
      </c>
      <c r="H644">
        <v>222.027795</v>
      </c>
      <c r="I644">
        <v>-3.6026472802731231</v>
      </c>
      <c r="J644">
        <v>0.61672327119074122</v>
      </c>
      <c r="K644">
        <v>3.1883688305063128E-2</v>
      </c>
      <c r="L644">
        <v>-2.7774072109468188E-2</v>
      </c>
      <c r="M644" t="s">
        <v>29</v>
      </c>
      <c r="N644">
        <v>25</v>
      </c>
      <c r="O644" t="s">
        <v>28</v>
      </c>
      <c r="P644">
        <v>72840</v>
      </c>
      <c r="Q644">
        <v>313.7</v>
      </c>
      <c r="R644">
        <v>221.93</v>
      </c>
      <c r="S644">
        <v>-0.22095120219477071</v>
      </c>
      <c r="T644">
        <v>5.2459099514401697E-3</v>
      </c>
      <c r="U644">
        <v>2.0126053957956439E-3</v>
      </c>
      <c r="V644">
        <v>3.233523197727245E-3</v>
      </c>
      <c r="W644">
        <v>-1.220917801931601E-3</v>
      </c>
      <c r="Y644" s="19">
        <f t="shared" si="29"/>
        <v>46132</v>
      </c>
      <c r="AE644" s="19" t="e">
        <f t="shared" si="30"/>
        <v>#VALUE!</v>
      </c>
    </row>
    <row r="645" spans="1:32" x14ac:dyDescent="0.3">
      <c r="A645">
        <v>12</v>
      </c>
      <c r="B645" t="s">
        <v>25</v>
      </c>
      <c r="C645" t="s">
        <v>33</v>
      </c>
      <c r="D645">
        <v>72850</v>
      </c>
      <c r="E645">
        <v>312.76499999999999</v>
      </c>
      <c r="F645">
        <v>221.64</v>
      </c>
      <c r="G645">
        <v>312.79627649999998</v>
      </c>
      <c r="H645">
        <v>221.61783600000001</v>
      </c>
      <c r="I645">
        <v>-3.6779994021386351</v>
      </c>
      <c r="J645">
        <v>0.61672327119074122</v>
      </c>
      <c r="K645">
        <v>3.1972886991830929E-2</v>
      </c>
      <c r="L645">
        <v>-2.7825449882274918E-2</v>
      </c>
      <c r="M645" t="s">
        <v>29</v>
      </c>
      <c r="N645">
        <v>7</v>
      </c>
      <c r="O645" t="s">
        <v>28</v>
      </c>
      <c r="P645">
        <v>72857</v>
      </c>
      <c r="Q645">
        <v>312.70999999999998</v>
      </c>
      <c r="R645">
        <v>221.12</v>
      </c>
      <c r="S645">
        <v>-0.29858266057809379</v>
      </c>
      <c r="T645">
        <v>1.2710725154231529E-2</v>
      </c>
      <c r="U645">
        <v>9.4789013861226821E-3</v>
      </c>
      <c r="V645">
        <v>3.233523197727245E-3</v>
      </c>
      <c r="W645">
        <v>6.2453781883954366E-3</v>
      </c>
      <c r="Y645" s="19">
        <f t="shared" si="29"/>
        <v>46132</v>
      </c>
      <c r="AE645" s="19" t="e">
        <f t="shared" si="30"/>
        <v>#VALUE!</v>
      </c>
    </row>
    <row r="646" spans="1:32" x14ac:dyDescent="0.3">
      <c r="A646">
        <v>12</v>
      </c>
      <c r="B646" t="s">
        <v>25</v>
      </c>
      <c r="C646" t="s">
        <v>33</v>
      </c>
      <c r="D646">
        <v>73065</v>
      </c>
      <c r="E646">
        <v>309.61</v>
      </c>
      <c r="F646">
        <v>219.065</v>
      </c>
      <c r="G646">
        <v>309.640961</v>
      </c>
      <c r="H646">
        <v>219.0430935</v>
      </c>
      <c r="I646">
        <v>-3.9019500080515268</v>
      </c>
      <c r="J646">
        <v>0.61672327119074122</v>
      </c>
      <c r="K646">
        <v>3.229869836245599E-2</v>
      </c>
      <c r="L646">
        <v>-2.815252419102738E-2</v>
      </c>
      <c r="M646" t="s">
        <v>29</v>
      </c>
      <c r="N646">
        <v>28</v>
      </c>
      <c r="O646" t="s">
        <v>28</v>
      </c>
      <c r="P646">
        <v>73093</v>
      </c>
      <c r="Q646">
        <v>309.57</v>
      </c>
      <c r="R646">
        <v>219.87</v>
      </c>
      <c r="S646">
        <v>-0.42572019030902869</v>
      </c>
      <c r="T646">
        <v>-2.3954729908276129E-2</v>
      </c>
      <c r="U646">
        <v>-2.719031353406115E-2</v>
      </c>
      <c r="V646">
        <v>3.233523197727245E-3</v>
      </c>
      <c r="W646">
        <v>-3.042383673178839E-2</v>
      </c>
      <c r="Y646" s="19">
        <f t="shared" si="29"/>
        <v>46133</v>
      </c>
      <c r="AE646" s="19" t="e">
        <f t="shared" si="30"/>
        <v>#VALUE!</v>
      </c>
    </row>
    <row r="647" spans="1:32" x14ac:dyDescent="0.3">
      <c r="A647">
        <v>12</v>
      </c>
      <c r="B647" t="s">
        <v>25</v>
      </c>
      <c r="C647" t="s">
        <v>33</v>
      </c>
      <c r="D647">
        <v>73845</v>
      </c>
      <c r="E647">
        <v>313.38</v>
      </c>
      <c r="F647">
        <v>221.69</v>
      </c>
      <c r="G647">
        <v>313.34866199999999</v>
      </c>
      <c r="H647">
        <v>221.71216899999999</v>
      </c>
      <c r="I647">
        <v>5.0517187207871999</v>
      </c>
      <c r="J647">
        <v>0.61672327119074122</v>
      </c>
      <c r="K647">
        <v>-3.1910141042823408E-2</v>
      </c>
      <c r="L647">
        <v>2.7819174125614202E-2</v>
      </c>
      <c r="M647" t="s">
        <v>27</v>
      </c>
      <c r="N647">
        <v>10</v>
      </c>
      <c r="O647" t="s">
        <v>28</v>
      </c>
      <c r="P647">
        <v>73855</v>
      </c>
      <c r="Q647">
        <v>313.97000000000003</v>
      </c>
      <c r="R647">
        <v>225.9</v>
      </c>
      <c r="S647">
        <v>0.1565451796786298</v>
      </c>
      <c r="T647">
        <v>9.8291739853569191E-2</v>
      </c>
      <c r="U647">
        <v>9.504469874056011E-2</v>
      </c>
      <c r="V647">
        <v>3.2333698870357199E-3</v>
      </c>
      <c r="W647">
        <v>9.1811328853524388E-2</v>
      </c>
      <c r="Y647" s="19">
        <f t="shared" si="29"/>
        <v>46135</v>
      </c>
      <c r="AE647" s="19" t="e">
        <f t="shared" si="30"/>
        <v>#VALUE!</v>
      </c>
    </row>
    <row r="648" spans="1:32" x14ac:dyDescent="0.3">
      <c r="A648">
        <v>12</v>
      </c>
      <c r="B648" t="s">
        <v>25</v>
      </c>
      <c r="C648" t="s">
        <v>33</v>
      </c>
      <c r="D648">
        <v>74621</v>
      </c>
      <c r="E648">
        <v>306.51499999999999</v>
      </c>
      <c r="F648">
        <v>219.21</v>
      </c>
      <c r="G648">
        <v>306.54565150000002</v>
      </c>
      <c r="H648">
        <v>219.18807899999999</v>
      </c>
      <c r="I648">
        <v>-3.6440828443259998</v>
      </c>
      <c r="J648">
        <v>0.61672327119074122</v>
      </c>
      <c r="K648">
        <v>3.2624830758690437E-2</v>
      </c>
      <c r="L648">
        <v>-2.8133902248562621E-2</v>
      </c>
      <c r="M648" t="s">
        <v>29</v>
      </c>
      <c r="N648">
        <v>7</v>
      </c>
      <c r="O648" t="s">
        <v>28</v>
      </c>
      <c r="P648">
        <v>74628</v>
      </c>
      <c r="Q648">
        <v>307.63</v>
      </c>
      <c r="R648">
        <v>219.98</v>
      </c>
      <c r="S648">
        <v>-0.19447577455547449</v>
      </c>
      <c r="T648">
        <v>1.471358156454743E-2</v>
      </c>
      <c r="U648">
        <v>1.1474331043065E-2</v>
      </c>
      <c r="V648">
        <v>3.233523197727245E-3</v>
      </c>
      <c r="W648">
        <v>8.2408078453377557E-3</v>
      </c>
      <c r="Y648" s="19">
        <f t="shared" si="29"/>
        <v>46139</v>
      </c>
      <c r="AE648" s="19" t="e">
        <f t="shared" si="30"/>
        <v>#VALUE!</v>
      </c>
    </row>
    <row r="649" spans="1:32" x14ac:dyDescent="0.3">
      <c r="A649">
        <v>13</v>
      </c>
      <c r="B649" t="s">
        <v>32</v>
      </c>
      <c r="C649" t="s">
        <v>33</v>
      </c>
      <c r="D649">
        <v>74701</v>
      </c>
      <c r="E649">
        <v>55.24</v>
      </c>
      <c r="F649">
        <v>219.67500000000001</v>
      </c>
      <c r="G649">
        <v>55.245524000000003</v>
      </c>
      <c r="H649">
        <v>219.65303249999999</v>
      </c>
      <c r="I649">
        <v>-5.2946400761862167</v>
      </c>
      <c r="J649">
        <v>0.96501910880198527</v>
      </c>
      <c r="K649">
        <v>0.18102824040550319</v>
      </c>
      <c r="L649">
        <v>-4.3929400651052018E-2</v>
      </c>
      <c r="M649" t="s">
        <v>29</v>
      </c>
      <c r="N649">
        <v>23</v>
      </c>
      <c r="O649" t="s">
        <v>28</v>
      </c>
      <c r="P649">
        <v>74724</v>
      </c>
      <c r="Q649">
        <v>55.16</v>
      </c>
      <c r="R649">
        <v>219.05</v>
      </c>
      <c r="S649">
        <v>-0.49151030114516342</v>
      </c>
      <c r="T649">
        <v>1.297361617446628E-2</v>
      </c>
      <c r="U649">
        <v>9.0477717703263578E-3</v>
      </c>
      <c r="V649">
        <v>3.9300452137822108E-3</v>
      </c>
      <c r="W649">
        <v>5.1177265565441471E-3</v>
      </c>
      <c r="Y649" s="19">
        <f t="shared" si="29"/>
        <v>46139</v>
      </c>
      <c r="AE649" s="19" t="e">
        <f t="shared" si="30"/>
        <v>#VALUE!</v>
      </c>
    </row>
    <row r="650" spans="1:32" x14ac:dyDescent="0.3">
      <c r="A650">
        <v>13</v>
      </c>
      <c r="B650" t="s">
        <v>32</v>
      </c>
      <c r="C650" t="s">
        <v>33</v>
      </c>
      <c r="D650">
        <v>75608</v>
      </c>
      <c r="E650">
        <v>54.45</v>
      </c>
      <c r="F650">
        <v>214.715</v>
      </c>
      <c r="G650">
        <v>54.444555000000001</v>
      </c>
      <c r="H650">
        <v>214.73647149999999</v>
      </c>
      <c r="I650">
        <v>3.6354004325012448</v>
      </c>
      <c r="J650">
        <v>0.96501910880198527</v>
      </c>
      <c r="K650">
        <v>-0.18365472910927461</v>
      </c>
      <c r="L650">
        <v>4.4944186889690298E-2</v>
      </c>
      <c r="M650" t="s">
        <v>27</v>
      </c>
      <c r="N650">
        <v>20</v>
      </c>
      <c r="O650" t="s">
        <v>28</v>
      </c>
      <c r="P650">
        <v>75628</v>
      </c>
      <c r="Q650">
        <v>54.62</v>
      </c>
      <c r="R650">
        <v>215.41</v>
      </c>
      <c r="S650">
        <v>0.44565455766834738</v>
      </c>
      <c r="T650">
        <v>1.4905939758769891E-5</v>
      </c>
      <c r="U650">
        <v>-3.9213780292283312E-3</v>
      </c>
      <c r="V650">
        <v>3.9300312214257307E-3</v>
      </c>
      <c r="W650">
        <v>-7.8514092506540619E-3</v>
      </c>
      <c r="Y650" s="19">
        <f t="shared" si="29"/>
        <v>46141</v>
      </c>
      <c r="AE650" s="19" t="e">
        <f t="shared" si="30"/>
        <v>#VALUE!</v>
      </c>
    </row>
    <row r="651" spans="1:32" x14ac:dyDescent="0.3">
      <c r="A651">
        <v>13</v>
      </c>
      <c r="B651" t="s">
        <v>32</v>
      </c>
      <c r="C651" t="s">
        <v>33</v>
      </c>
      <c r="D651">
        <v>75803</v>
      </c>
      <c r="E651">
        <v>53.965000000000003</v>
      </c>
      <c r="F651">
        <v>214.3</v>
      </c>
      <c r="G651">
        <v>53.9703965</v>
      </c>
      <c r="H651">
        <v>214.27857</v>
      </c>
      <c r="I651">
        <v>-3.894545598021919</v>
      </c>
      <c r="J651">
        <v>0.96501910880198527</v>
      </c>
      <c r="K651">
        <v>0.1853052904660428</v>
      </c>
      <c r="L651">
        <v>-4.5031222995892912E-2</v>
      </c>
      <c r="M651" t="s">
        <v>29</v>
      </c>
      <c r="N651">
        <v>20</v>
      </c>
      <c r="O651" t="s">
        <v>28</v>
      </c>
      <c r="P651">
        <v>75823</v>
      </c>
      <c r="Q651">
        <v>53.84</v>
      </c>
      <c r="R651">
        <v>213.845</v>
      </c>
      <c r="S651">
        <v>-0.47533808501658281</v>
      </c>
      <c r="T651">
        <v>-2.6739548451235121E-3</v>
      </c>
      <c r="U651">
        <v>-6.5996278259504368E-3</v>
      </c>
      <c r="V651">
        <v>3.9300452137822099E-3</v>
      </c>
      <c r="W651">
        <v>-1.0529673039732649E-2</v>
      </c>
      <c r="Y651" s="19">
        <f t="shared" si="29"/>
        <v>46142</v>
      </c>
      <c r="AE651" s="19" t="e">
        <f t="shared" si="30"/>
        <v>#VALUE!</v>
      </c>
    </row>
    <row r="652" spans="1:32" x14ac:dyDescent="0.3">
      <c r="A652">
        <v>13</v>
      </c>
      <c r="B652" t="s">
        <v>32</v>
      </c>
      <c r="C652" t="s">
        <v>33</v>
      </c>
      <c r="D652">
        <v>76191</v>
      </c>
      <c r="E652">
        <v>53.505000000000003</v>
      </c>
      <c r="F652">
        <v>209.91</v>
      </c>
      <c r="G652">
        <v>53.499649499999997</v>
      </c>
      <c r="H652">
        <v>209.93099100000001</v>
      </c>
      <c r="I652">
        <v>5.2150281813887016</v>
      </c>
      <c r="J652">
        <v>0.96501910880198527</v>
      </c>
      <c r="K652">
        <v>-0.186898420708345</v>
      </c>
      <c r="L652">
        <v>4.5972993606878433E-2</v>
      </c>
      <c r="M652" t="s">
        <v>27</v>
      </c>
      <c r="N652">
        <v>20</v>
      </c>
      <c r="O652" t="s">
        <v>28</v>
      </c>
      <c r="P652">
        <v>76211</v>
      </c>
      <c r="Q652">
        <v>53.51</v>
      </c>
      <c r="R652">
        <v>212.30500000000001</v>
      </c>
      <c r="S652">
        <v>-0.48522066756618032</v>
      </c>
      <c r="T652">
        <v>0.10917082758493341</v>
      </c>
      <c r="U652">
        <v>0.1052296853861505</v>
      </c>
      <c r="V652">
        <v>3.9300312214257324E-3</v>
      </c>
      <c r="W652">
        <v>0.10129965416472481</v>
      </c>
      <c r="Y652" s="19">
        <f t="shared" si="29"/>
        <v>46143</v>
      </c>
      <c r="AE652" s="19" t="e">
        <f t="shared" si="30"/>
        <v>#VALUE!</v>
      </c>
    </row>
    <row r="653" spans="1:32" x14ac:dyDescent="0.3">
      <c r="A653">
        <v>13</v>
      </c>
      <c r="B653" t="s">
        <v>32</v>
      </c>
      <c r="C653" t="s">
        <v>33</v>
      </c>
      <c r="D653">
        <v>76583</v>
      </c>
      <c r="E653">
        <v>53.03</v>
      </c>
      <c r="F653">
        <v>213.58</v>
      </c>
      <c r="G653">
        <v>53.035302999999999</v>
      </c>
      <c r="H653">
        <v>213.55864199999999</v>
      </c>
      <c r="I653">
        <v>-4.1596963848877166</v>
      </c>
      <c r="J653">
        <v>0.96501910880198527</v>
      </c>
      <c r="K653">
        <v>0.1885725061286064</v>
      </c>
      <c r="L653">
        <v>-4.5183027849142493E-2</v>
      </c>
      <c r="M653" t="s">
        <v>29</v>
      </c>
      <c r="N653">
        <v>5</v>
      </c>
      <c r="O653" t="s">
        <v>28</v>
      </c>
      <c r="P653">
        <v>76588</v>
      </c>
      <c r="Q653">
        <v>53.18</v>
      </c>
      <c r="R653">
        <v>212.95</v>
      </c>
      <c r="S653">
        <v>-0.15759450154934621</v>
      </c>
      <c r="T653">
        <v>5.6751183464251537E-2</v>
      </c>
      <c r="U653">
        <v>5.2821163189809991E-2</v>
      </c>
      <c r="V653">
        <v>3.9300452137822108E-3</v>
      </c>
      <c r="W653">
        <v>4.8891117976027777E-2</v>
      </c>
      <c r="Y653" s="19">
        <f t="shared" si="29"/>
        <v>46146</v>
      </c>
      <c r="AE653" s="19" t="e">
        <f t="shared" si="30"/>
        <v>#VALUE!</v>
      </c>
    </row>
    <row r="654" spans="1:32" x14ac:dyDescent="0.3">
      <c r="A654">
        <v>13</v>
      </c>
      <c r="B654" t="s">
        <v>32</v>
      </c>
      <c r="C654" t="s">
        <v>33</v>
      </c>
      <c r="D654">
        <v>77305</v>
      </c>
      <c r="E654">
        <v>53.68</v>
      </c>
      <c r="F654">
        <v>213.76</v>
      </c>
      <c r="G654">
        <v>53.674632000000003</v>
      </c>
      <c r="H654">
        <v>213.78137599999999</v>
      </c>
      <c r="I654">
        <v>3.740328380464673</v>
      </c>
      <c r="J654">
        <v>0.96501910880198527</v>
      </c>
      <c r="K654">
        <v>-0.1862891207153502</v>
      </c>
      <c r="L654">
        <v>4.5144980763565927E-2</v>
      </c>
      <c r="M654" t="s">
        <v>27</v>
      </c>
      <c r="N654">
        <v>2</v>
      </c>
      <c r="O654" t="s">
        <v>28</v>
      </c>
      <c r="P654">
        <v>77307</v>
      </c>
      <c r="Q654">
        <v>53.66</v>
      </c>
      <c r="R654">
        <v>214.45</v>
      </c>
      <c r="S654">
        <v>-5.5096645983412733E-2</v>
      </c>
      <c r="T654">
        <v>3.4875819141167982E-2</v>
      </c>
      <c r="U654">
        <v>3.0943038498132711E-2</v>
      </c>
      <c r="V654">
        <v>3.9300312214257324E-3</v>
      </c>
      <c r="W654">
        <v>2.7013007276706979E-2</v>
      </c>
      <c r="Y654" s="19">
        <f t="shared" si="29"/>
        <v>46148</v>
      </c>
      <c r="AE654" s="19" t="e">
        <f t="shared" si="30"/>
        <v>#VALUE!</v>
      </c>
    </row>
    <row r="655" spans="1:32" x14ac:dyDescent="0.3">
      <c r="A655">
        <v>13</v>
      </c>
      <c r="B655" t="s">
        <v>32</v>
      </c>
      <c r="C655" t="s">
        <v>33</v>
      </c>
      <c r="D655">
        <v>77363</v>
      </c>
      <c r="E655">
        <v>53.01</v>
      </c>
      <c r="F655">
        <v>213.81</v>
      </c>
      <c r="G655">
        <v>53.015301000000001</v>
      </c>
      <c r="H655">
        <v>213.78861900000001</v>
      </c>
      <c r="I655">
        <v>-4.6222573982750603</v>
      </c>
      <c r="J655">
        <v>0.96501910880198527</v>
      </c>
      <c r="K655">
        <v>0.18864365214110551</v>
      </c>
      <c r="L655">
        <v>-4.5134423497590628E-2</v>
      </c>
      <c r="M655" t="s">
        <v>29</v>
      </c>
      <c r="N655">
        <v>7</v>
      </c>
      <c r="O655" t="s">
        <v>28</v>
      </c>
      <c r="P655">
        <v>77370</v>
      </c>
      <c r="Q655">
        <v>52.765000000000001</v>
      </c>
      <c r="R655">
        <v>211.79</v>
      </c>
      <c r="S655">
        <v>-0.44007995022552482</v>
      </c>
      <c r="T655">
        <v>4.4953840690563171E-2</v>
      </c>
      <c r="U655">
        <v>4.1037541395983361E-2</v>
      </c>
      <c r="V655">
        <v>3.9300452137822108E-3</v>
      </c>
      <c r="W655">
        <v>3.7107496182201147E-2</v>
      </c>
      <c r="Y655" s="19">
        <f t="shared" si="29"/>
        <v>46148</v>
      </c>
      <c r="AE655" s="19" t="e">
        <f t="shared" si="30"/>
        <v>#VALUE!</v>
      </c>
      <c r="AF655" s="19"/>
    </row>
    <row r="656" spans="1:32" x14ac:dyDescent="0.3">
      <c r="A656">
        <v>13</v>
      </c>
      <c r="B656" t="s">
        <v>32</v>
      </c>
      <c r="C656" t="s">
        <v>33</v>
      </c>
      <c r="D656">
        <v>77753</v>
      </c>
      <c r="E656">
        <v>53.47</v>
      </c>
      <c r="F656">
        <v>213.35</v>
      </c>
      <c r="G656">
        <v>53.464652999999998</v>
      </c>
      <c r="H656">
        <v>213.37133499999999</v>
      </c>
      <c r="I656">
        <v>4.0842757255555622</v>
      </c>
      <c r="J656">
        <v>0.96501910880198527</v>
      </c>
      <c r="K656">
        <v>-0.1870207593042828</v>
      </c>
      <c r="L656">
        <v>4.5231736995640273E-2</v>
      </c>
      <c r="M656" t="s">
        <v>27</v>
      </c>
      <c r="N656">
        <v>10</v>
      </c>
      <c r="O656" t="s">
        <v>28</v>
      </c>
      <c r="P656">
        <v>77763</v>
      </c>
      <c r="Q656">
        <v>53.46</v>
      </c>
      <c r="R656">
        <v>213.875</v>
      </c>
      <c r="S656">
        <v>-0.27669785825482962</v>
      </c>
      <c r="T656">
        <v>2.561686951575385E-2</v>
      </c>
      <c r="U656">
        <v>2.168464365271644E-2</v>
      </c>
      <c r="V656">
        <v>3.9300312214257307E-3</v>
      </c>
      <c r="W656">
        <v>1.7754612431290711E-2</v>
      </c>
      <c r="Y656" s="19">
        <f t="shared" si="29"/>
        <v>46149</v>
      </c>
      <c r="AE656" s="19" t="e">
        <f t="shared" si="30"/>
        <v>#VALUE!</v>
      </c>
      <c r="AF656" s="19"/>
    </row>
    <row r="657" spans="1:32" x14ac:dyDescent="0.3">
      <c r="A657">
        <v>13</v>
      </c>
      <c r="B657" t="s">
        <v>32</v>
      </c>
      <c r="C657" t="s">
        <v>33</v>
      </c>
      <c r="D657">
        <v>78143</v>
      </c>
      <c r="E657">
        <v>54.48</v>
      </c>
      <c r="F657">
        <v>216.23</v>
      </c>
      <c r="G657">
        <v>54.474552000000003</v>
      </c>
      <c r="H657">
        <v>216.251623</v>
      </c>
      <c r="I657">
        <v>4.2960134960350116</v>
      </c>
      <c r="J657">
        <v>0.96501910880198527</v>
      </c>
      <c r="K657">
        <v>-0.18355359765051399</v>
      </c>
      <c r="L657">
        <v>4.4629288664939433E-2</v>
      </c>
      <c r="M657" t="s">
        <v>27</v>
      </c>
      <c r="N657">
        <v>3</v>
      </c>
      <c r="O657" t="s">
        <v>28</v>
      </c>
      <c r="P657">
        <v>78146</v>
      </c>
      <c r="Q657">
        <v>54.09</v>
      </c>
      <c r="R657">
        <v>215.41</v>
      </c>
      <c r="S657">
        <v>-0.25577907223841179</v>
      </c>
      <c r="T657">
        <v>3.4989886378449221E-2</v>
      </c>
      <c r="U657">
        <v>3.1070666352824319E-2</v>
      </c>
      <c r="V657">
        <v>3.9300312214257324E-3</v>
      </c>
      <c r="W657">
        <v>2.7140635131398579E-2</v>
      </c>
      <c r="Y657" s="19">
        <f t="shared" si="29"/>
        <v>46150</v>
      </c>
      <c r="AE657" s="19" t="e">
        <f t="shared" si="30"/>
        <v>#VALUE!</v>
      </c>
      <c r="AF657" s="19"/>
    </row>
    <row r="658" spans="1:32" x14ac:dyDescent="0.3">
      <c r="A658">
        <v>13</v>
      </c>
      <c r="B658" t="s">
        <v>25</v>
      </c>
      <c r="C658" t="s">
        <v>30</v>
      </c>
      <c r="D658">
        <v>74701</v>
      </c>
      <c r="E658">
        <v>304.7</v>
      </c>
      <c r="F658">
        <v>52.24</v>
      </c>
      <c r="G658">
        <v>304.66953000000001</v>
      </c>
      <c r="H658">
        <v>52.245224</v>
      </c>
      <c r="I658">
        <v>5.2946460637436434</v>
      </c>
      <c r="J658">
        <v>0.68331082867186255</v>
      </c>
      <c r="K658">
        <v>-3.2819166393173622E-2</v>
      </c>
      <c r="L658">
        <v>0.130802226009162</v>
      </c>
      <c r="M658" t="s">
        <v>27</v>
      </c>
      <c r="N658">
        <v>23</v>
      </c>
      <c r="O658" t="s">
        <v>28</v>
      </c>
      <c r="P658">
        <v>74724</v>
      </c>
      <c r="Q658">
        <v>302.90499999999997</v>
      </c>
      <c r="R658">
        <v>51.914999999999999</v>
      </c>
      <c r="S658">
        <v>0.49132678477678671</v>
      </c>
      <c r="T658">
        <v>1.6399680222769129E-2</v>
      </c>
      <c r="U658">
        <v>1.3043200678139581E-2</v>
      </c>
      <c r="V658">
        <v>3.3665583195094588E-3</v>
      </c>
      <c r="W658">
        <v>9.6766423586301248E-3</v>
      </c>
      <c r="Y658" s="19">
        <f t="shared" si="29"/>
        <v>46139</v>
      </c>
      <c r="AE658" s="19" t="e">
        <f t="shared" si="30"/>
        <v>#VALUE!</v>
      </c>
      <c r="AF658" s="19"/>
    </row>
    <row r="659" spans="1:32" x14ac:dyDescent="0.3">
      <c r="A659">
        <v>13</v>
      </c>
      <c r="B659" t="s">
        <v>25</v>
      </c>
      <c r="C659" t="s">
        <v>30</v>
      </c>
      <c r="D659">
        <v>75016</v>
      </c>
      <c r="E659">
        <v>302.45999999999998</v>
      </c>
      <c r="F659">
        <v>51.125</v>
      </c>
      <c r="G659">
        <v>302.429754</v>
      </c>
      <c r="H659">
        <v>51.130112500000003</v>
      </c>
      <c r="I659">
        <v>4.6136771034114554</v>
      </c>
      <c r="J659">
        <v>0.68331082867186255</v>
      </c>
      <c r="K659">
        <v>-3.3062223103881509E-2</v>
      </c>
      <c r="L659">
        <v>0.13365492981356719</v>
      </c>
      <c r="M659" t="s">
        <v>27</v>
      </c>
      <c r="N659">
        <v>21</v>
      </c>
      <c r="O659" t="s">
        <v>28</v>
      </c>
      <c r="P659">
        <v>75037</v>
      </c>
      <c r="Q659">
        <v>302.73500000000001</v>
      </c>
      <c r="R659">
        <v>51.11</v>
      </c>
      <c r="S659">
        <v>0.48281534358675282</v>
      </c>
      <c r="T659">
        <v>-1.109693530077213E-2</v>
      </c>
      <c r="U659">
        <v>-1.4464265686856711E-2</v>
      </c>
      <c r="V659">
        <v>3.3665583195094601E-3</v>
      </c>
      <c r="W659">
        <v>-1.783082400636617E-2</v>
      </c>
      <c r="Y659" s="19">
        <f t="shared" si="29"/>
        <v>46140</v>
      </c>
      <c r="AE659" s="19" t="e">
        <f t="shared" si="30"/>
        <v>#VALUE!</v>
      </c>
      <c r="AF659" s="19"/>
    </row>
    <row r="660" spans="1:32" x14ac:dyDescent="0.3">
      <c r="A660">
        <v>13</v>
      </c>
      <c r="B660" t="s">
        <v>25</v>
      </c>
      <c r="C660" t="s">
        <v>30</v>
      </c>
      <c r="D660">
        <v>75575</v>
      </c>
      <c r="E660">
        <v>302.46499999999997</v>
      </c>
      <c r="F660">
        <v>50.56</v>
      </c>
      <c r="G660">
        <v>302.4347535</v>
      </c>
      <c r="H660">
        <v>50.565055999999998</v>
      </c>
      <c r="I660">
        <v>3.6313271781396792</v>
      </c>
      <c r="J660">
        <v>0.68331082867186255</v>
      </c>
      <c r="K660">
        <v>-3.3061676557618241E-2</v>
      </c>
      <c r="L660">
        <v>0.13514850250630189</v>
      </c>
      <c r="M660" t="s">
        <v>27</v>
      </c>
      <c r="N660">
        <v>23</v>
      </c>
      <c r="O660" t="s">
        <v>28</v>
      </c>
      <c r="P660">
        <v>75598</v>
      </c>
      <c r="Q660">
        <v>302.89499999999998</v>
      </c>
      <c r="R660">
        <v>50.645000000000003</v>
      </c>
      <c r="S660">
        <v>0.27060618953778059</v>
      </c>
      <c r="T660">
        <v>-2.7288982067402898E-3</v>
      </c>
      <c r="U660">
        <v>-6.0980902784448024E-3</v>
      </c>
      <c r="V660">
        <v>3.3665583195094601E-3</v>
      </c>
      <c r="W660">
        <v>-9.4646485979542616E-3</v>
      </c>
      <c r="Y660" s="19">
        <f t="shared" si="29"/>
        <v>46141</v>
      </c>
      <c r="AE660" s="19" t="e">
        <f t="shared" si="30"/>
        <v>#VALUE!</v>
      </c>
      <c r="AF660" s="19"/>
    </row>
    <row r="661" spans="1:32" x14ac:dyDescent="0.3">
      <c r="A661">
        <v>13</v>
      </c>
      <c r="B661" t="s">
        <v>25</v>
      </c>
      <c r="C661" t="s">
        <v>30</v>
      </c>
      <c r="D661">
        <v>75798</v>
      </c>
      <c r="E661">
        <v>302.87</v>
      </c>
      <c r="F661">
        <v>50.81</v>
      </c>
      <c r="G661">
        <v>302.90028699999999</v>
      </c>
      <c r="H661">
        <v>50.804919000000012</v>
      </c>
      <c r="I661">
        <v>-4.7100331191534233</v>
      </c>
      <c r="J661">
        <v>0.68331082867186255</v>
      </c>
      <c r="K661">
        <v>3.3017466239640768E-2</v>
      </c>
      <c r="L661">
        <v>-0.134483532507747</v>
      </c>
      <c r="M661" t="s">
        <v>29</v>
      </c>
      <c r="N661">
        <v>22</v>
      </c>
      <c r="O661" t="s">
        <v>28</v>
      </c>
      <c r="P661">
        <v>75820</v>
      </c>
      <c r="Q661">
        <v>302.55</v>
      </c>
      <c r="R661">
        <v>50.615000000000002</v>
      </c>
      <c r="S661">
        <v>-0.25992999402286182</v>
      </c>
      <c r="T661">
        <v>1.5658699642325889E-2</v>
      </c>
      <c r="U661">
        <v>1.229575697278666E-2</v>
      </c>
      <c r="V661">
        <v>3.3666849951779908E-3</v>
      </c>
      <c r="W661">
        <v>8.9290719776086713E-3</v>
      </c>
      <c r="Y661" s="19">
        <f t="shared" si="29"/>
        <v>46142</v>
      </c>
      <c r="AE661" s="19" t="e">
        <f t="shared" si="30"/>
        <v>#VALUE!</v>
      </c>
      <c r="AF661" s="19"/>
    </row>
    <row r="662" spans="1:32" x14ac:dyDescent="0.3">
      <c r="A662">
        <v>13</v>
      </c>
      <c r="B662" t="s">
        <v>25</v>
      </c>
      <c r="C662" t="s">
        <v>30</v>
      </c>
      <c r="D662">
        <v>76398</v>
      </c>
      <c r="E662">
        <v>298.92</v>
      </c>
      <c r="F662">
        <v>49.695</v>
      </c>
      <c r="G662">
        <v>298.94989199999998</v>
      </c>
      <c r="H662">
        <v>49.690030499999999</v>
      </c>
      <c r="I662">
        <v>-3.7408205461648181</v>
      </c>
      <c r="J662">
        <v>0.68331082867186255</v>
      </c>
      <c r="K662">
        <v>3.3453766894152283E-2</v>
      </c>
      <c r="L662">
        <v>-0.13750092135463579</v>
      </c>
      <c r="M662" t="s">
        <v>29</v>
      </c>
      <c r="N662">
        <v>28</v>
      </c>
      <c r="O662" t="s">
        <v>28</v>
      </c>
      <c r="P662">
        <v>76426</v>
      </c>
      <c r="Q662">
        <v>300.61</v>
      </c>
      <c r="R662">
        <v>50.045000000000002</v>
      </c>
      <c r="S662">
        <v>0.29036242119141281</v>
      </c>
      <c r="T662">
        <v>8.4115435769945568E-3</v>
      </c>
      <c r="U662">
        <v>5.0344557007981142E-3</v>
      </c>
      <c r="V662">
        <v>3.3666849951779908E-3</v>
      </c>
      <c r="W662">
        <v>1.6677707056201229E-3</v>
      </c>
      <c r="Y662" s="19">
        <f t="shared" si="29"/>
        <v>46143</v>
      </c>
      <c r="AE662" s="19" t="e">
        <f t="shared" si="30"/>
        <v>#VALUE!</v>
      </c>
      <c r="AF662" s="19"/>
    </row>
    <row r="663" spans="1:32" x14ac:dyDescent="0.3">
      <c r="A663">
        <v>13</v>
      </c>
      <c r="B663" t="s">
        <v>25</v>
      </c>
      <c r="C663" t="s">
        <v>30</v>
      </c>
      <c r="D663">
        <v>76582</v>
      </c>
      <c r="E663">
        <v>300.32499999999999</v>
      </c>
      <c r="F663">
        <v>49.825000000000003</v>
      </c>
      <c r="G663">
        <v>300.29496749999998</v>
      </c>
      <c r="H663">
        <v>49.8299825</v>
      </c>
      <c r="I663">
        <v>3.7835049877002538</v>
      </c>
      <c r="J663">
        <v>0.68331082867186255</v>
      </c>
      <c r="K663">
        <v>-3.3297261300258063E-2</v>
      </c>
      <c r="L663">
        <v>0.13714216330594331</v>
      </c>
      <c r="M663" t="s">
        <v>27</v>
      </c>
      <c r="N663">
        <v>13</v>
      </c>
      <c r="O663" t="s">
        <v>28</v>
      </c>
      <c r="P663">
        <v>76595</v>
      </c>
      <c r="Q663">
        <v>299.33</v>
      </c>
      <c r="R663">
        <v>49.67</v>
      </c>
      <c r="S663">
        <v>0.31683419080479541</v>
      </c>
      <c r="T663">
        <v>1.187373968133556E-2</v>
      </c>
      <c r="U663">
        <v>8.51255680502358E-3</v>
      </c>
      <c r="V663">
        <v>3.3665583195094588E-3</v>
      </c>
      <c r="W663">
        <v>5.1459984855141208E-3</v>
      </c>
      <c r="Y663" s="19">
        <f t="shared" si="29"/>
        <v>46146</v>
      </c>
      <c r="AE663" s="19" t="e">
        <f t="shared" si="30"/>
        <v>#VALUE!</v>
      </c>
    </row>
    <row r="664" spans="1:32" x14ac:dyDescent="0.3">
      <c r="A664">
        <v>13</v>
      </c>
      <c r="B664" t="s">
        <v>25</v>
      </c>
      <c r="C664" t="s">
        <v>30</v>
      </c>
      <c r="D664">
        <v>77071</v>
      </c>
      <c r="E664">
        <v>299.08</v>
      </c>
      <c r="F664">
        <v>50.534999999999997</v>
      </c>
      <c r="G664">
        <v>299.10990800000002</v>
      </c>
      <c r="H664">
        <v>50.529946499999987</v>
      </c>
      <c r="I664">
        <v>-3.5730445815567089</v>
      </c>
      <c r="J664">
        <v>0.68331082867186255</v>
      </c>
      <c r="K664">
        <v>3.3435870001337437E-2</v>
      </c>
      <c r="L664">
        <v>-0.13521536136773771</v>
      </c>
      <c r="M664" t="s">
        <v>29</v>
      </c>
      <c r="N664">
        <v>2</v>
      </c>
      <c r="O664" t="s">
        <v>28</v>
      </c>
      <c r="P664">
        <v>77073</v>
      </c>
      <c r="Q664">
        <v>299.35000000000002</v>
      </c>
      <c r="R664">
        <v>50.454999999999998</v>
      </c>
      <c r="S664">
        <v>-0.32374409385531211</v>
      </c>
      <c r="T664">
        <v>1.9844913809781189E-2</v>
      </c>
      <c r="U664">
        <v>1.6478471106837821E-2</v>
      </c>
      <c r="V664">
        <v>3.3666849951779899E-3</v>
      </c>
      <c r="W664">
        <v>1.3111786111659829E-2</v>
      </c>
      <c r="Y664" s="19">
        <f t="shared" si="29"/>
        <v>46147</v>
      </c>
      <c r="AE664" s="19" t="e">
        <f t="shared" si="30"/>
        <v>#VALUE!</v>
      </c>
    </row>
    <row r="665" spans="1:32" x14ac:dyDescent="0.3">
      <c r="A665">
        <v>13</v>
      </c>
      <c r="B665" t="s">
        <v>25</v>
      </c>
      <c r="C665" t="s">
        <v>30</v>
      </c>
      <c r="D665">
        <v>77396</v>
      </c>
      <c r="E665">
        <v>299.04000000000002</v>
      </c>
      <c r="F665">
        <v>50.795000000000002</v>
      </c>
      <c r="G665">
        <v>299.06990400000001</v>
      </c>
      <c r="H665">
        <v>50.789920500000001</v>
      </c>
      <c r="I665">
        <v>-3.5322796763452469</v>
      </c>
      <c r="J665">
        <v>0.68331082867186255</v>
      </c>
      <c r="K665">
        <v>3.344034242910647E-2</v>
      </c>
      <c r="L665">
        <v>-0.1345232461210478</v>
      </c>
      <c r="M665" t="s">
        <v>29</v>
      </c>
      <c r="N665">
        <v>27</v>
      </c>
      <c r="O665" t="s">
        <v>28</v>
      </c>
      <c r="P665">
        <v>77423</v>
      </c>
      <c r="Q665">
        <v>300.02999999999997</v>
      </c>
      <c r="R665">
        <v>51.12</v>
      </c>
      <c r="S665">
        <v>-0.37770131629168657</v>
      </c>
      <c r="T665">
        <v>-1.0614115984526161E-2</v>
      </c>
      <c r="U665">
        <v>-1.398842024126931E-2</v>
      </c>
      <c r="V665">
        <v>3.3666849951779899E-3</v>
      </c>
      <c r="W665">
        <v>-1.7355105236447309E-2</v>
      </c>
      <c r="Y665" s="19">
        <f t="shared" si="29"/>
        <v>46148</v>
      </c>
      <c r="AE665" s="19" t="e">
        <f t="shared" si="30"/>
        <v>#VALUE!</v>
      </c>
    </row>
    <row r="666" spans="1:32" x14ac:dyDescent="0.3">
      <c r="A666">
        <v>13</v>
      </c>
      <c r="B666" t="s">
        <v>25</v>
      </c>
      <c r="C666" t="s">
        <v>30</v>
      </c>
      <c r="D666">
        <v>77477</v>
      </c>
      <c r="E666">
        <v>297.95499999999998</v>
      </c>
      <c r="F666">
        <v>50.865000000000002</v>
      </c>
      <c r="G666">
        <v>297.98479550000002</v>
      </c>
      <c r="H666">
        <v>50.859913499999998</v>
      </c>
      <c r="I666">
        <v>-3.5006725191897141</v>
      </c>
      <c r="J666">
        <v>0.68331082867186255</v>
      </c>
      <c r="K666">
        <v>3.3562115084492618E-2</v>
      </c>
      <c r="L666">
        <v>-0.13433811632200179</v>
      </c>
      <c r="M666" t="s">
        <v>29</v>
      </c>
      <c r="N666">
        <v>16</v>
      </c>
      <c r="O666" t="s">
        <v>28</v>
      </c>
      <c r="P666">
        <v>77493</v>
      </c>
      <c r="Q666">
        <v>298.32499999999999</v>
      </c>
      <c r="R666">
        <v>50.924999999999997</v>
      </c>
      <c r="S666">
        <v>-0.46839238039949788</v>
      </c>
      <c r="T666">
        <v>4.3576956019429616E-3</v>
      </c>
      <c r="U666">
        <v>9.8902611764485615E-4</v>
      </c>
      <c r="V666">
        <v>3.3666849951779899E-3</v>
      </c>
      <c r="W666">
        <v>-2.3776588775331342E-3</v>
      </c>
      <c r="Y666" s="19">
        <f t="shared" si="29"/>
        <v>46148</v>
      </c>
      <c r="AE666" s="19" t="e">
        <f t="shared" si="30"/>
        <v>#VALUE!</v>
      </c>
    </row>
    <row r="667" spans="1:32" x14ac:dyDescent="0.3">
      <c r="A667">
        <v>13</v>
      </c>
      <c r="B667" t="s">
        <v>25</v>
      </c>
      <c r="C667" t="s">
        <v>30</v>
      </c>
      <c r="D667">
        <v>77753</v>
      </c>
      <c r="E667">
        <v>295.66000000000003</v>
      </c>
      <c r="F667">
        <v>50.78</v>
      </c>
      <c r="G667">
        <v>295.68956600000001</v>
      </c>
      <c r="H667">
        <v>50.774921999999997</v>
      </c>
      <c r="I667">
        <v>-3.6526793419073802</v>
      </c>
      <c r="J667">
        <v>0.68331082867186255</v>
      </c>
      <c r="K667">
        <v>3.3822634106744229E-2</v>
      </c>
      <c r="L667">
        <v>-0.134562983196507</v>
      </c>
      <c r="M667" t="s">
        <v>29</v>
      </c>
      <c r="N667">
        <v>24</v>
      </c>
      <c r="O667" t="s">
        <v>28</v>
      </c>
      <c r="P667">
        <v>77777</v>
      </c>
      <c r="Q667">
        <v>295.39499999999998</v>
      </c>
      <c r="R667">
        <v>50.94</v>
      </c>
      <c r="S667">
        <v>-0.1591251044669299</v>
      </c>
      <c r="T667">
        <v>-3.0493075349729341E-2</v>
      </c>
      <c r="U667">
        <v>-3.3860953714999559E-2</v>
      </c>
      <c r="V667">
        <v>3.3666849951779908E-3</v>
      </c>
      <c r="W667">
        <v>-3.7227638710177549E-2</v>
      </c>
      <c r="Y667" s="19">
        <f t="shared" si="29"/>
        <v>46149</v>
      </c>
      <c r="AE667" s="19" t="e">
        <f t="shared" si="30"/>
        <v>#VALUE!</v>
      </c>
    </row>
    <row r="668" spans="1:32" x14ac:dyDescent="0.3">
      <c r="A668">
        <v>13</v>
      </c>
      <c r="B668" t="s">
        <v>25</v>
      </c>
      <c r="C668" t="s">
        <v>30</v>
      </c>
      <c r="D668">
        <v>78152</v>
      </c>
      <c r="E668">
        <v>302.31</v>
      </c>
      <c r="F668">
        <v>50.89</v>
      </c>
      <c r="G668">
        <v>302.27976899999999</v>
      </c>
      <c r="H668">
        <v>50.895088999999999</v>
      </c>
      <c r="I668">
        <v>3.676815355607375</v>
      </c>
      <c r="J668">
        <v>0.68331082867186255</v>
      </c>
      <c r="K668">
        <v>-3.3078627898514769E-2</v>
      </c>
      <c r="L668">
        <v>0.13427212196342361</v>
      </c>
      <c r="M668" t="s">
        <v>27</v>
      </c>
      <c r="N668">
        <v>7</v>
      </c>
      <c r="O668" t="s">
        <v>28</v>
      </c>
      <c r="P668">
        <v>78159</v>
      </c>
      <c r="Q668">
        <v>301.83</v>
      </c>
      <c r="R668">
        <v>51.01</v>
      </c>
      <c r="S668">
        <v>0.39687049696861132</v>
      </c>
      <c r="T668">
        <v>3.1990396026898182E-2</v>
      </c>
      <c r="U668">
        <v>2.8623750878229551E-2</v>
      </c>
      <c r="V668">
        <v>3.3665583195094588E-3</v>
      </c>
      <c r="W668">
        <v>2.5257192558720089E-2</v>
      </c>
      <c r="Y668" s="19">
        <f t="shared" si="29"/>
        <v>46150</v>
      </c>
      <c r="AE668" s="19" t="e">
        <f t="shared" si="30"/>
        <v>#VALUE!</v>
      </c>
    </row>
    <row r="669" spans="1:32" x14ac:dyDescent="0.3">
      <c r="A669">
        <v>13</v>
      </c>
      <c r="B669" t="s">
        <v>30</v>
      </c>
      <c r="C669" t="s">
        <v>26</v>
      </c>
      <c r="D669">
        <v>74701</v>
      </c>
      <c r="E669">
        <v>52.24</v>
      </c>
      <c r="F669">
        <v>936.64</v>
      </c>
      <c r="G669">
        <v>52.245224</v>
      </c>
      <c r="H669">
        <v>936.546336</v>
      </c>
      <c r="I669">
        <v>-5.294648934807701</v>
      </c>
      <c r="J669">
        <v>0.85171748172910733</v>
      </c>
      <c r="K669">
        <v>0.19142419601837671</v>
      </c>
      <c r="L669">
        <v>-9.0933280847402126E-3</v>
      </c>
      <c r="M669" t="s">
        <v>29</v>
      </c>
      <c r="N669">
        <v>23</v>
      </c>
      <c r="O669" t="s">
        <v>28</v>
      </c>
      <c r="P669">
        <v>74724</v>
      </c>
      <c r="Q669">
        <v>51.914999999999999</v>
      </c>
      <c r="R669">
        <v>935.73</v>
      </c>
      <c r="S669">
        <v>-0.49324630476911369</v>
      </c>
      <c r="T669">
        <v>-5.3937935148859667E-2</v>
      </c>
      <c r="U669">
        <v>-5.7634321333091522E-2</v>
      </c>
      <c r="V669">
        <v>3.7034646199618688E-3</v>
      </c>
      <c r="W669">
        <v>-6.1337785953053392E-2</v>
      </c>
      <c r="Y669" s="19">
        <f t="shared" si="29"/>
        <v>46139</v>
      </c>
      <c r="AE669" s="19" t="e">
        <f t="shared" si="30"/>
        <v>#VALUE!</v>
      </c>
    </row>
    <row r="670" spans="1:32" x14ac:dyDescent="0.3">
      <c r="A670">
        <v>13</v>
      </c>
      <c r="B670" t="s">
        <v>30</v>
      </c>
      <c r="C670" t="s">
        <v>26</v>
      </c>
      <c r="D670">
        <v>74781</v>
      </c>
      <c r="E670">
        <v>51.82</v>
      </c>
      <c r="F670">
        <v>935.56</v>
      </c>
      <c r="G670">
        <v>51.814818000000002</v>
      </c>
      <c r="H670">
        <v>935.65355599999998</v>
      </c>
      <c r="I670">
        <v>3.7947655942088141</v>
      </c>
      <c r="J670">
        <v>0.85171748172910733</v>
      </c>
      <c r="K670">
        <v>-0.19297568506368201</v>
      </c>
      <c r="L670">
        <v>9.103825320974682E-3</v>
      </c>
      <c r="M670" t="s">
        <v>27</v>
      </c>
      <c r="N670">
        <v>19</v>
      </c>
      <c r="O670" t="s">
        <v>28</v>
      </c>
      <c r="P670">
        <v>74800</v>
      </c>
      <c r="Q670">
        <v>51.765000000000001</v>
      </c>
      <c r="R670">
        <v>934.33</v>
      </c>
      <c r="S670">
        <v>0.27356420618899963</v>
      </c>
      <c r="T670">
        <v>-5.8404246629553506E-4</v>
      </c>
      <c r="U670">
        <v>-4.2852962929708673E-3</v>
      </c>
      <c r="V670">
        <v>3.7034053069545611E-3</v>
      </c>
      <c r="W670">
        <v>-7.9887015999254279E-3</v>
      </c>
      <c r="Y670" s="19">
        <f t="shared" si="29"/>
        <v>46139</v>
      </c>
      <c r="AE670" s="19" t="e">
        <f t="shared" si="30"/>
        <v>#VALUE!</v>
      </c>
    </row>
    <row r="671" spans="1:32" x14ac:dyDescent="0.3">
      <c r="A671">
        <v>13</v>
      </c>
      <c r="B671" t="s">
        <v>30</v>
      </c>
      <c r="C671" t="s">
        <v>26</v>
      </c>
      <c r="D671">
        <v>75408</v>
      </c>
      <c r="E671">
        <v>50.77</v>
      </c>
      <c r="F671">
        <v>942.96</v>
      </c>
      <c r="G671">
        <v>50.764923000000003</v>
      </c>
      <c r="H671">
        <v>943.05429600000002</v>
      </c>
      <c r="I671">
        <v>4.5045078849669693</v>
      </c>
      <c r="J671">
        <v>0.85171748172910733</v>
      </c>
      <c r="K671">
        <v>-0.19696671262556631</v>
      </c>
      <c r="L671">
        <v>9.0323818797097138E-3</v>
      </c>
      <c r="M671" t="s">
        <v>27</v>
      </c>
      <c r="N671">
        <v>12</v>
      </c>
      <c r="O671" t="s">
        <v>28</v>
      </c>
      <c r="P671">
        <v>75420</v>
      </c>
      <c r="Q671">
        <v>49.98</v>
      </c>
      <c r="R671">
        <v>926.04499999999996</v>
      </c>
      <c r="S671">
        <v>0.43172802080430528</v>
      </c>
      <c r="T671">
        <v>2.8209634789080622E-3</v>
      </c>
      <c r="U671">
        <v>-8.5163284030312369E-4</v>
      </c>
      <c r="V671">
        <v>3.7034053069545602E-3</v>
      </c>
      <c r="W671">
        <v>-4.5550381472576843E-3</v>
      </c>
      <c r="Y671" s="19">
        <f t="shared" si="29"/>
        <v>46141</v>
      </c>
      <c r="AE671" s="19" t="e">
        <f t="shared" si="30"/>
        <v>#VALUE!</v>
      </c>
    </row>
    <row r="672" spans="1:32" x14ac:dyDescent="0.3">
      <c r="A672">
        <v>13</v>
      </c>
      <c r="B672" t="s">
        <v>30</v>
      </c>
      <c r="C672" t="s">
        <v>26</v>
      </c>
      <c r="D672">
        <v>75799</v>
      </c>
      <c r="E672">
        <v>50.15</v>
      </c>
      <c r="F672">
        <v>939.58</v>
      </c>
      <c r="G672">
        <v>50.155014999999999</v>
      </c>
      <c r="H672">
        <v>939.486042</v>
      </c>
      <c r="I672">
        <v>-4.6248438965208933</v>
      </c>
      <c r="J672">
        <v>0.85171748172910733</v>
      </c>
      <c r="K672">
        <v>0.19940179461615151</v>
      </c>
      <c r="L672">
        <v>-9.0648745368048199E-3</v>
      </c>
      <c r="M672" t="s">
        <v>29</v>
      </c>
      <c r="N672">
        <v>1</v>
      </c>
      <c r="O672" t="s">
        <v>28</v>
      </c>
      <c r="P672">
        <v>75800</v>
      </c>
      <c r="Q672">
        <v>50.405000000000001</v>
      </c>
      <c r="R672">
        <v>937.06500000000005</v>
      </c>
      <c r="S672">
        <v>7.0955325307362579E-2</v>
      </c>
      <c r="T672">
        <v>7.3645617087183146E-2</v>
      </c>
      <c r="U672">
        <v>6.9939377193908386E-2</v>
      </c>
      <c r="V672">
        <v>3.7034646199618688E-3</v>
      </c>
      <c r="W672">
        <v>6.6235912573946523E-2</v>
      </c>
      <c r="Y672" s="19">
        <f t="shared" si="29"/>
        <v>46142</v>
      </c>
      <c r="AE672" s="19" t="e">
        <f t="shared" si="30"/>
        <v>#VALUE!</v>
      </c>
    </row>
    <row r="673" spans="1:32" x14ac:dyDescent="0.3">
      <c r="A673">
        <v>13</v>
      </c>
      <c r="B673" t="s">
        <v>30</v>
      </c>
      <c r="C673" t="s">
        <v>26</v>
      </c>
      <c r="D673">
        <v>76191</v>
      </c>
      <c r="E673">
        <v>50.185000000000002</v>
      </c>
      <c r="F673">
        <v>968.83</v>
      </c>
      <c r="G673">
        <v>50.190018500000001</v>
      </c>
      <c r="H673">
        <v>968.73311700000011</v>
      </c>
      <c r="I673">
        <v>-3.8825932741402762</v>
      </c>
      <c r="J673">
        <v>0.85171748172910733</v>
      </c>
      <c r="K673">
        <v>0.19926272790674501</v>
      </c>
      <c r="L673">
        <v>-8.7911964093711718E-3</v>
      </c>
      <c r="M673" t="s">
        <v>29</v>
      </c>
      <c r="N673">
        <v>7</v>
      </c>
      <c r="O673" t="s">
        <v>28</v>
      </c>
      <c r="P673">
        <v>76198</v>
      </c>
      <c r="Q673">
        <v>50.25</v>
      </c>
      <c r="R673">
        <v>963.97</v>
      </c>
      <c r="S673">
        <v>0.20474559949833621</v>
      </c>
      <c r="T673">
        <v>5.5677291863481977E-2</v>
      </c>
      <c r="U673">
        <v>5.197683421374874E-2</v>
      </c>
      <c r="V673">
        <v>3.7034646199618688E-3</v>
      </c>
      <c r="W673">
        <v>4.827336959378687E-2</v>
      </c>
      <c r="Y673" s="19">
        <f t="shared" si="29"/>
        <v>46143</v>
      </c>
      <c r="AE673" s="19" t="e">
        <f t="shared" si="30"/>
        <v>#VALUE!</v>
      </c>
    </row>
    <row r="674" spans="1:32" x14ac:dyDescent="0.3">
      <c r="A674">
        <v>13</v>
      </c>
      <c r="B674" t="s">
        <v>30</v>
      </c>
      <c r="C674" t="s">
        <v>26</v>
      </c>
      <c r="D674">
        <v>76364</v>
      </c>
      <c r="E674">
        <v>50.185000000000002</v>
      </c>
      <c r="F674">
        <v>975.24</v>
      </c>
      <c r="G674">
        <v>50.190018500000001</v>
      </c>
      <c r="H674">
        <v>975.14247599999999</v>
      </c>
      <c r="I674">
        <v>-3.5529458434344501</v>
      </c>
      <c r="J674">
        <v>0.85171748172910733</v>
      </c>
      <c r="K674">
        <v>0.19926272790674501</v>
      </c>
      <c r="L674">
        <v>-8.7334141516868385E-3</v>
      </c>
      <c r="M674" t="s">
        <v>29</v>
      </c>
      <c r="N674">
        <v>14</v>
      </c>
      <c r="O674" t="s">
        <v>28</v>
      </c>
      <c r="P674">
        <v>76378</v>
      </c>
      <c r="Q674">
        <v>50.06</v>
      </c>
      <c r="R674">
        <v>971.29</v>
      </c>
      <c r="S674">
        <v>-0.47692231186799711</v>
      </c>
      <c r="T674">
        <v>9.5891449108202811E-3</v>
      </c>
      <c r="U674">
        <v>5.8916504300506461E-3</v>
      </c>
      <c r="V674">
        <v>3.7034646199618688E-3</v>
      </c>
      <c r="W674">
        <v>2.1881858100887769E-3</v>
      </c>
      <c r="Y674" s="19">
        <f t="shared" si="29"/>
        <v>46143</v>
      </c>
      <c r="AE674" s="19" t="e">
        <f t="shared" si="30"/>
        <v>#VALUE!</v>
      </c>
    </row>
    <row r="675" spans="1:32" x14ac:dyDescent="0.3">
      <c r="A675">
        <v>13</v>
      </c>
      <c r="B675" t="s">
        <v>30</v>
      </c>
      <c r="C675" t="s">
        <v>26</v>
      </c>
      <c r="D675">
        <v>76393</v>
      </c>
      <c r="E675">
        <v>49.8</v>
      </c>
      <c r="F675">
        <v>970.53</v>
      </c>
      <c r="G675">
        <v>49.804979999999993</v>
      </c>
      <c r="H675">
        <v>970.43294700000001</v>
      </c>
      <c r="I675">
        <v>-3.7141331737431611</v>
      </c>
      <c r="J675">
        <v>0.85171748172910733</v>
      </c>
      <c r="K675">
        <v>0.20080321285140559</v>
      </c>
      <c r="L675">
        <v>-8.7757975717299552E-3</v>
      </c>
      <c r="M675" t="s">
        <v>29</v>
      </c>
      <c r="N675">
        <v>5</v>
      </c>
      <c r="O675" t="s">
        <v>28</v>
      </c>
      <c r="P675">
        <v>76398</v>
      </c>
      <c r="Q675">
        <v>49.695</v>
      </c>
      <c r="R675">
        <v>965.24</v>
      </c>
      <c r="S675">
        <v>-0.33245461903535761</v>
      </c>
      <c r="T675">
        <v>2.5339631805054181E-2</v>
      </c>
      <c r="U675">
        <v>2.1642947672246789E-2</v>
      </c>
      <c r="V675">
        <v>3.7034646199618688E-3</v>
      </c>
      <c r="W675">
        <v>1.7939483052284919E-2</v>
      </c>
      <c r="Y675" s="19">
        <f t="shared" si="29"/>
        <v>46143</v>
      </c>
      <c r="AE675" s="19" t="e">
        <f t="shared" si="30"/>
        <v>#VALUE!</v>
      </c>
    </row>
    <row r="676" spans="1:32" x14ac:dyDescent="0.3">
      <c r="A676">
        <v>13</v>
      </c>
      <c r="B676" t="s">
        <v>30</v>
      </c>
      <c r="C676" t="s">
        <v>26</v>
      </c>
      <c r="D676">
        <v>76581</v>
      </c>
      <c r="E676">
        <v>49.84</v>
      </c>
      <c r="F676">
        <v>957.40499999999997</v>
      </c>
      <c r="G676">
        <v>49.835016000000003</v>
      </c>
      <c r="H676">
        <v>957.50074050000001</v>
      </c>
      <c r="I676">
        <v>5.1174963186478291</v>
      </c>
      <c r="J676">
        <v>0.85171748172910733</v>
      </c>
      <c r="K676">
        <v>-0.2006420545746388</v>
      </c>
      <c r="L676">
        <v>8.896104383506534E-3</v>
      </c>
      <c r="M676" t="s">
        <v>27</v>
      </c>
      <c r="N676">
        <v>21</v>
      </c>
      <c r="O676" t="s">
        <v>28</v>
      </c>
      <c r="P676">
        <v>76602</v>
      </c>
      <c r="Q676">
        <v>49.63</v>
      </c>
      <c r="R676">
        <v>946.2</v>
      </c>
      <c r="S676">
        <v>0.4570739881249824</v>
      </c>
      <c r="T676">
        <v>-5.7546018156515742E-2</v>
      </c>
      <c r="U676">
        <v>-6.1235271551865512E-2</v>
      </c>
      <c r="V676">
        <v>3.7034053069545611E-3</v>
      </c>
      <c r="W676">
        <v>-6.4938676858820071E-2</v>
      </c>
      <c r="Y676" s="19">
        <f t="shared" si="29"/>
        <v>46146</v>
      </c>
      <c r="AE676" s="19" t="e">
        <f t="shared" si="30"/>
        <v>#VALUE!</v>
      </c>
      <c r="AF676" s="19"/>
    </row>
    <row r="677" spans="1:32" x14ac:dyDescent="0.3">
      <c r="A677">
        <v>13</v>
      </c>
      <c r="B677" t="s">
        <v>30</v>
      </c>
      <c r="C677" t="s">
        <v>26</v>
      </c>
      <c r="D677">
        <v>77363</v>
      </c>
      <c r="E677">
        <v>50.695</v>
      </c>
      <c r="F677">
        <v>929.1</v>
      </c>
      <c r="G677">
        <v>50.689930500000003</v>
      </c>
      <c r="H677">
        <v>929.19290999999998</v>
      </c>
      <c r="I677">
        <v>5.0072304212347891</v>
      </c>
      <c r="J677">
        <v>0.85171748172910733</v>
      </c>
      <c r="K677">
        <v>-0.19725811223986589</v>
      </c>
      <c r="L677">
        <v>9.1671239019385127E-3</v>
      </c>
      <c r="M677" t="s">
        <v>27</v>
      </c>
      <c r="N677">
        <v>20</v>
      </c>
      <c r="O677" t="s">
        <v>28</v>
      </c>
      <c r="P677">
        <v>77383</v>
      </c>
      <c r="Q677">
        <v>50.515000000000001</v>
      </c>
      <c r="R677">
        <v>928.1</v>
      </c>
      <c r="S677">
        <v>0.41252062533747402</v>
      </c>
      <c r="T677">
        <v>2.633933630123729E-2</v>
      </c>
      <c r="U677">
        <v>2.264036869619046E-2</v>
      </c>
      <c r="V677">
        <v>3.7034053069545611E-3</v>
      </c>
      <c r="W677">
        <v>1.8936963389235902E-2</v>
      </c>
      <c r="Y677" s="19">
        <f t="shared" si="29"/>
        <v>46148</v>
      </c>
      <c r="AE677" s="19" t="e">
        <f t="shared" si="30"/>
        <v>#VALUE!</v>
      </c>
      <c r="AF677" s="19"/>
    </row>
    <row r="678" spans="1:32" x14ac:dyDescent="0.3">
      <c r="A678">
        <v>13</v>
      </c>
      <c r="B678" t="s">
        <v>30</v>
      </c>
      <c r="C678" t="s">
        <v>26</v>
      </c>
      <c r="D678">
        <v>77753</v>
      </c>
      <c r="E678">
        <v>50.78</v>
      </c>
      <c r="F678">
        <v>944.19</v>
      </c>
      <c r="G678">
        <v>50.785077999999999</v>
      </c>
      <c r="H678">
        <v>944.09558100000004</v>
      </c>
      <c r="I678">
        <v>-4.8873631503955446</v>
      </c>
      <c r="J678">
        <v>0.85171748172910733</v>
      </c>
      <c r="K678">
        <v>0.19692792437967699</v>
      </c>
      <c r="L678">
        <v>-9.0206153605641576E-3</v>
      </c>
      <c r="M678" t="s">
        <v>29</v>
      </c>
      <c r="N678">
        <v>19</v>
      </c>
      <c r="O678" t="s">
        <v>28</v>
      </c>
      <c r="P678">
        <v>77772</v>
      </c>
      <c r="Q678">
        <v>50.875</v>
      </c>
      <c r="R678">
        <v>945.06</v>
      </c>
      <c r="S678">
        <v>-0.35034457026550198</v>
      </c>
      <c r="T678">
        <v>1.0860217452379259E-2</v>
      </c>
      <c r="U678">
        <v>7.1541268801028294E-3</v>
      </c>
      <c r="V678">
        <v>3.7034646199618688E-3</v>
      </c>
      <c r="W678">
        <v>3.450662260140961E-3</v>
      </c>
      <c r="Y678" s="19">
        <f t="shared" si="29"/>
        <v>46149</v>
      </c>
      <c r="AE678" s="19" t="e">
        <f t="shared" si="30"/>
        <v>#VALUE!</v>
      </c>
      <c r="AF678" s="19"/>
    </row>
    <row r="679" spans="1:32" x14ac:dyDescent="0.3">
      <c r="A679">
        <v>13</v>
      </c>
      <c r="B679" t="s">
        <v>30</v>
      </c>
      <c r="C679" t="s">
        <v>26</v>
      </c>
      <c r="D679">
        <v>78107</v>
      </c>
      <c r="E679">
        <v>51.255000000000003</v>
      </c>
      <c r="F679">
        <v>979.7</v>
      </c>
      <c r="G679">
        <v>51.260125500000001</v>
      </c>
      <c r="H679">
        <v>979.60203000000001</v>
      </c>
      <c r="I679">
        <v>-3.5807912899384871</v>
      </c>
      <c r="J679">
        <v>0.85171748172910733</v>
      </c>
      <c r="K679">
        <v>0.195102916788606</v>
      </c>
      <c r="L679">
        <v>-8.693656034797461E-3</v>
      </c>
      <c r="M679" t="s">
        <v>29</v>
      </c>
      <c r="N679">
        <v>6</v>
      </c>
      <c r="O679" t="s">
        <v>28</v>
      </c>
      <c r="P679">
        <v>78113</v>
      </c>
      <c r="Q679">
        <v>51.305</v>
      </c>
      <c r="R679">
        <v>979.33500000000004</v>
      </c>
      <c r="S679">
        <v>-0.39371162461877052</v>
      </c>
      <c r="T679">
        <v>1.2928330292130899E-2</v>
      </c>
      <c r="U679">
        <v>9.224237132534471E-3</v>
      </c>
      <c r="V679">
        <v>3.7034646199618688E-3</v>
      </c>
      <c r="W679">
        <v>5.5207725125726026E-3</v>
      </c>
      <c r="Y679" s="19">
        <f t="shared" si="29"/>
        <v>46150</v>
      </c>
      <c r="AE679" s="19" t="e">
        <f t="shared" si="30"/>
        <v>#VALUE!</v>
      </c>
      <c r="AF679" s="19"/>
    </row>
    <row r="680" spans="1:32" x14ac:dyDescent="0.3">
      <c r="A680">
        <v>13</v>
      </c>
      <c r="B680" t="s">
        <v>30</v>
      </c>
      <c r="C680" t="s">
        <v>26</v>
      </c>
      <c r="D680">
        <v>78143</v>
      </c>
      <c r="E680">
        <v>50.96</v>
      </c>
      <c r="F680">
        <v>985.99</v>
      </c>
      <c r="G680">
        <v>50.965096000000003</v>
      </c>
      <c r="H680">
        <v>985.89140099999997</v>
      </c>
      <c r="I680">
        <v>-4.458348931078568</v>
      </c>
      <c r="J680">
        <v>0.85171748172910733</v>
      </c>
      <c r="K680">
        <v>0.19623233908948201</v>
      </c>
      <c r="L680">
        <v>-8.6381959424447225E-3</v>
      </c>
      <c r="M680" t="s">
        <v>29</v>
      </c>
      <c r="N680">
        <v>16</v>
      </c>
      <c r="O680" t="s">
        <v>28</v>
      </c>
      <c r="P680">
        <v>78159</v>
      </c>
      <c r="Q680">
        <v>51.01</v>
      </c>
      <c r="R680">
        <v>986.5</v>
      </c>
      <c r="S680">
        <v>-0.49217821554813279</v>
      </c>
      <c r="T680">
        <v>5.4061370238268104E-3</v>
      </c>
      <c r="U680">
        <v>1.701280350679988E-3</v>
      </c>
      <c r="V680">
        <v>3.7034646199618688E-3</v>
      </c>
      <c r="W680">
        <v>-2.0021842692818808E-3</v>
      </c>
      <c r="Y680" s="19">
        <f t="shared" si="29"/>
        <v>46150</v>
      </c>
      <c r="AE680" s="19" t="e">
        <f t="shared" si="30"/>
        <v>#VALUE!</v>
      </c>
      <c r="AF680" s="19"/>
    </row>
    <row r="681" spans="1:32" x14ac:dyDescent="0.3">
      <c r="A681">
        <v>13</v>
      </c>
      <c r="B681" t="s">
        <v>30</v>
      </c>
      <c r="C681" t="s">
        <v>26</v>
      </c>
      <c r="D681">
        <v>78533</v>
      </c>
      <c r="E681">
        <v>51.465000000000003</v>
      </c>
      <c r="F681">
        <v>996.79</v>
      </c>
      <c r="G681">
        <v>51.470146500000013</v>
      </c>
      <c r="H681">
        <v>996.69032099999993</v>
      </c>
      <c r="I681">
        <v>-4.2586220314802814</v>
      </c>
      <c r="J681">
        <v>0.85171748172910733</v>
      </c>
      <c r="K681">
        <v>0.1943068104537064</v>
      </c>
      <c r="L681">
        <v>-8.5446029928982759E-3</v>
      </c>
      <c r="M681" t="s">
        <v>29</v>
      </c>
      <c r="N681">
        <v>5</v>
      </c>
      <c r="O681" t="s">
        <v>28</v>
      </c>
      <c r="P681">
        <v>78538</v>
      </c>
      <c r="Q681">
        <v>51.895000000000003</v>
      </c>
      <c r="R681">
        <v>999.255</v>
      </c>
      <c r="S681">
        <v>0.35657897111687781</v>
      </c>
      <c r="T681">
        <v>6.2489482117599179E-2</v>
      </c>
      <c r="U681">
        <v>5.877558571665259E-2</v>
      </c>
      <c r="V681">
        <v>3.7034646199618688E-3</v>
      </c>
      <c r="W681">
        <v>5.507212109669072E-2</v>
      </c>
      <c r="Y681" s="19">
        <f t="shared" si="29"/>
        <v>46153</v>
      </c>
      <c r="AE681" s="19" t="e">
        <f t="shared" si="30"/>
        <v>#VALUE!</v>
      </c>
      <c r="AF681" s="19"/>
    </row>
    <row r="682" spans="1:32" x14ac:dyDescent="0.3">
      <c r="A682">
        <v>13</v>
      </c>
      <c r="B682" t="s">
        <v>32</v>
      </c>
      <c r="C682" t="s">
        <v>34</v>
      </c>
      <c r="D682">
        <v>74701</v>
      </c>
      <c r="E682">
        <v>55.24</v>
      </c>
      <c r="F682">
        <v>49.33</v>
      </c>
      <c r="G682">
        <v>55.234476000000001</v>
      </c>
      <c r="H682">
        <v>49.334932999999999</v>
      </c>
      <c r="I682">
        <v>5.2946459906786592</v>
      </c>
      <c r="J682">
        <v>0.75628208658027485</v>
      </c>
      <c r="K682">
        <v>-0.18102824040550319</v>
      </c>
      <c r="L682">
        <v>0.1533107817920687</v>
      </c>
      <c r="M682" t="s">
        <v>27</v>
      </c>
      <c r="N682">
        <v>23</v>
      </c>
      <c r="O682" t="s">
        <v>28</v>
      </c>
      <c r="P682">
        <v>74724</v>
      </c>
      <c r="Q682">
        <v>55.16</v>
      </c>
      <c r="R682">
        <v>49.24</v>
      </c>
      <c r="S682">
        <v>0.49125811858488472</v>
      </c>
      <c r="T682">
        <v>6.8428887115562151E-4</v>
      </c>
      <c r="U682">
        <v>-2.8254472790463659E-3</v>
      </c>
      <c r="V682">
        <v>3.5125154295778658E-3</v>
      </c>
      <c r="W682">
        <v>-6.3379627086242313E-3</v>
      </c>
      <c r="Y682" s="19">
        <f t="shared" si="29"/>
        <v>46139</v>
      </c>
      <c r="AE682" s="19" t="e">
        <f t="shared" si="30"/>
        <v>#VALUE!</v>
      </c>
      <c r="AF682" s="19"/>
    </row>
    <row r="683" spans="1:32" x14ac:dyDescent="0.3">
      <c r="A683">
        <v>13</v>
      </c>
      <c r="B683" t="s">
        <v>32</v>
      </c>
      <c r="C683" t="s">
        <v>34</v>
      </c>
      <c r="D683">
        <v>75112</v>
      </c>
      <c r="E683">
        <v>54.83</v>
      </c>
      <c r="F683">
        <v>48.305</v>
      </c>
      <c r="G683">
        <v>54.835483000000004</v>
      </c>
      <c r="H683">
        <v>48.300169500000003</v>
      </c>
      <c r="I683">
        <v>-4.2326527406706296</v>
      </c>
      <c r="J683">
        <v>0.75628208658027485</v>
      </c>
      <c r="K683">
        <v>0.18238190771475471</v>
      </c>
      <c r="L683">
        <v>-0.15656393470246871</v>
      </c>
      <c r="M683" t="s">
        <v>29</v>
      </c>
      <c r="N683">
        <v>11</v>
      </c>
      <c r="O683" t="s">
        <v>28</v>
      </c>
      <c r="P683">
        <v>75123</v>
      </c>
      <c r="Q683">
        <v>54.7</v>
      </c>
      <c r="R683">
        <v>48.08</v>
      </c>
      <c r="S683">
        <v>-0.41116092561751189</v>
      </c>
      <c r="T683">
        <v>1.151723730513839E-2</v>
      </c>
      <c r="U683">
        <v>8.0105667853097341E-3</v>
      </c>
      <c r="V683">
        <v>3.5126129167432339E-3</v>
      </c>
      <c r="W683">
        <v>4.4979538685665007E-3</v>
      </c>
      <c r="Y683" s="19">
        <f t="shared" si="29"/>
        <v>46140</v>
      </c>
      <c r="AE683" s="19" t="e">
        <f t="shared" si="30"/>
        <v>#VALUE!</v>
      </c>
      <c r="AF683" s="19"/>
    </row>
    <row r="684" spans="1:32" x14ac:dyDescent="0.3">
      <c r="A684">
        <v>13</v>
      </c>
      <c r="B684" t="s">
        <v>32</v>
      </c>
      <c r="C684" t="s">
        <v>34</v>
      </c>
      <c r="D684">
        <v>75799</v>
      </c>
      <c r="E684">
        <v>54.104999999999997</v>
      </c>
      <c r="F684">
        <v>47.54</v>
      </c>
      <c r="G684">
        <v>54.110410499999993</v>
      </c>
      <c r="H684">
        <v>47.535246000000001</v>
      </c>
      <c r="I684">
        <v>-4.4241039890920906</v>
      </c>
      <c r="J684">
        <v>0.75628208658027485</v>
      </c>
      <c r="K684">
        <v>0.18482580168191479</v>
      </c>
      <c r="L684">
        <v>-0.15908331648722651</v>
      </c>
      <c r="M684" t="s">
        <v>29</v>
      </c>
      <c r="N684">
        <v>19</v>
      </c>
      <c r="O684" t="s">
        <v>28</v>
      </c>
      <c r="P684">
        <v>75818</v>
      </c>
      <c r="Q684">
        <v>54.04</v>
      </c>
      <c r="R684">
        <v>47.63</v>
      </c>
      <c r="S684">
        <v>-0.44937441914921422</v>
      </c>
      <c r="T684">
        <v>-2.6331175593174969E-2</v>
      </c>
      <c r="U684">
        <v>-2.9843970148471319E-2</v>
      </c>
      <c r="V684">
        <v>3.5126129167432339E-3</v>
      </c>
      <c r="W684">
        <v>-3.3356583065214558E-2</v>
      </c>
      <c r="Y684" s="19">
        <f t="shared" si="29"/>
        <v>46142</v>
      </c>
      <c r="AE684" s="19" t="e">
        <f t="shared" si="30"/>
        <v>#VALUE!</v>
      </c>
    </row>
    <row r="685" spans="1:32" x14ac:dyDescent="0.3">
      <c r="A685">
        <v>13</v>
      </c>
      <c r="B685" t="s">
        <v>32</v>
      </c>
      <c r="C685" t="s">
        <v>34</v>
      </c>
      <c r="D685">
        <v>76191</v>
      </c>
      <c r="E685">
        <v>53.505000000000003</v>
      </c>
      <c r="F685">
        <v>47.075000000000003</v>
      </c>
      <c r="G685">
        <v>53.499649499999997</v>
      </c>
      <c r="H685">
        <v>47.079707499999998</v>
      </c>
      <c r="I685">
        <v>3.903678485200869</v>
      </c>
      <c r="J685">
        <v>0.75628208658027485</v>
      </c>
      <c r="K685">
        <v>-0.186898420708345</v>
      </c>
      <c r="L685">
        <v>0.1606547183388794</v>
      </c>
      <c r="M685" t="s">
        <v>27</v>
      </c>
      <c r="N685">
        <v>14</v>
      </c>
      <c r="O685" t="s">
        <v>28</v>
      </c>
      <c r="P685">
        <v>76205</v>
      </c>
      <c r="Q685">
        <v>53.5</v>
      </c>
      <c r="R685">
        <v>47.21</v>
      </c>
      <c r="S685">
        <v>0.30928897296406299</v>
      </c>
      <c r="T685">
        <v>2.2622879079290611E-2</v>
      </c>
      <c r="U685">
        <v>1.9108239516643321E-2</v>
      </c>
      <c r="V685">
        <v>3.5125154295778658E-3</v>
      </c>
      <c r="W685">
        <v>1.5595724087065461E-2</v>
      </c>
      <c r="Y685" s="19">
        <f t="shared" si="29"/>
        <v>46143</v>
      </c>
      <c r="AE685" s="19" t="e">
        <f t="shared" si="30"/>
        <v>#VALUE!</v>
      </c>
    </row>
    <row r="686" spans="1:32" x14ac:dyDescent="0.3">
      <c r="A686">
        <v>13</v>
      </c>
      <c r="B686" t="s">
        <v>32</v>
      </c>
      <c r="C686" t="s">
        <v>34</v>
      </c>
      <c r="D686">
        <v>76891</v>
      </c>
      <c r="E686">
        <v>52.625</v>
      </c>
      <c r="F686">
        <v>46.674999999999997</v>
      </c>
      <c r="G686">
        <v>52.630262500000001</v>
      </c>
      <c r="H686">
        <v>46.670332500000001</v>
      </c>
      <c r="I686">
        <v>-3.598958082073755</v>
      </c>
      <c r="J686">
        <v>0.75628208658027485</v>
      </c>
      <c r="K686">
        <v>0.19002375296912111</v>
      </c>
      <c r="L686">
        <v>-0.16203151292560791</v>
      </c>
      <c r="M686" t="s">
        <v>29</v>
      </c>
      <c r="N686">
        <v>3</v>
      </c>
      <c r="O686" t="s">
        <v>28</v>
      </c>
      <c r="P686">
        <v>76894</v>
      </c>
      <c r="Q686">
        <v>52.73</v>
      </c>
      <c r="R686">
        <v>46.7</v>
      </c>
      <c r="S686">
        <v>-0.2238989227159576</v>
      </c>
      <c r="T686">
        <v>1.590170623861601E-2</v>
      </c>
      <c r="U686">
        <v>1.2386741737267381E-2</v>
      </c>
      <c r="V686">
        <v>3.5126129167432339E-3</v>
      </c>
      <c r="W686">
        <v>8.8741288205241436E-3</v>
      </c>
      <c r="Y686" s="19">
        <f t="shared" si="29"/>
        <v>46147</v>
      </c>
      <c r="AE686" s="19" t="e">
        <f t="shared" si="30"/>
        <v>#VALUE!</v>
      </c>
    </row>
    <row r="687" spans="1:32" x14ac:dyDescent="0.3">
      <c r="A687">
        <v>13</v>
      </c>
      <c r="B687" t="s">
        <v>32</v>
      </c>
      <c r="C687" t="s">
        <v>34</v>
      </c>
      <c r="D687">
        <v>76953</v>
      </c>
      <c r="E687">
        <v>53.005000000000003</v>
      </c>
      <c r="F687">
        <v>46.83</v>
      </c>
      <c r="G687">
        <v>52.999699500000013</v>
      </c>
      <c r="H687">
        <v>46.834682999999998</v>
      </c>
      <c r="I687">
        <v>3.7649217934140591</v>
      </c>
      <c r="J687">
        <v>0.75628208658027485</v>
      </c>
      <c r="K687">
        <v>-0.18866144703329871</v>
      </c>
      <c r="L687">
        <v>0.16149521387577939</v>
      </c>
      <c r="M687" t="s">
        <v>27</v>
      </c>
      <c r="N687">
        <v>44</v>
      </c>
      <c r="O687" t="s">
        <v>28</v>
      </c>
      <c r="P687">
        <v>76997</v>
      </c>
      <c r="Q687">
        <v>53.53</v>
      </c>
      <c r="R687">
        <v>47.17</v>
      </c>
      <c r="S687">
        <v>0.45557734407734618</v>
      </c>
      <c r="T687">
        <v>-4.4138886974716032E-2</v>
      </c>
      <c r="U687">
        <v>-4.7666846711116852E-2</v>
      </c>
      <c r="V687">
        <v>3.5125154295778658E-3</v>
      </c>
      <c r="W687">
        <v>-5.1179362140694719E-2</v>
      </c>
      <c r="Y687" s="19">
        <f t="shared" si="29"/>
        <v>46147</v>
      </c>
      <c r="AE687" s="19" t="e">
        <f t="shared" si="30"/>
        <v>#VALUE!</v>
      </c>
    </row>
    <row r="688" spans="1:32" x14ac:dyDescent="0.3">
      <c r="A688">
        <v>13</v>
      </c>
      <c r="B688" t="s">
        <v>32</v>
      </c>
      <c r="C688" t="s">
        <v>34</v>
      </c>
      <c r="D688">
        <v>77363</v>
      </c>
      <c r="E688">
        <v>53.01</v>
      </c>
      <c r="F688">
        <v>46.68</v>
      </c>
      <c r="G688">
        <v>53.015301000000001</v>
      </c>
      <c r="H688">
        <v>46.675331999999997</v>
      </c>
      <c r="I688">
        <v>-4.2406251071585581</v>
      </c>
      <c r="J688">
        <v>0.75628208658027485</v>
      </c>
      <c r="K688">
        <v>0.18864365214110551</v>
      </c>
      <c r="L688">
        <v>-0.16201415736509739</v>
      </c>
      <c r="M688" t="s">
        <v>29</v>
      </c>
      <c r="N688">
        <v>26</v>
      </c>
      <c r="O688" t="s">
        <v>28</v>
      </c>
      <c r="P688">
        <v>77389</v>
      </c>
      <c r="Q688">
        <v>53</v>
      </c>
      <c r="R688">
        <v>46.774999999999999</v>
      </c>
      <c r="S688">
        <v>-5.8494005526315708E-2</v>
      </c>
      <c r="T688">
        <v>-1.7277781471094749E-2</v>
      </c>
      <c r="U688">
        <v>-2.0791696135098681E-2</v>
      </c>
      <c r="V688">
        <v>3.5126129167432339E-3</v>
      </c>
      <c r="W688">
        <v>-2.4304309051841919E-2</v>
      </c>
      <c r="Y688" s="19">
        <f t="shared" si="29"/>
        <v>46148</v>
      </c>
      <c r="AE688" s="19" t="e">
        <f t="shared" si="30"/>
        <v>#VALUE!</v>
      </c>
    </row>
    <row r="689" spans="1:32" x14ac:dyDescent="0.3">
      <c r="A689">
        <v>13</v>
      </c>
      <c r="B689" t="s">
        <v>32</v>
      </c>
      <c r="C689" t="s">
        <v>34</v>
      </c>
      <c r="D689">
        <v>77753</v>
      </c>
      <c r="E689">
        <v>53.47</v>
      </c>
      <c r="F689">
        <v>46.85</v>
      </c>
      <c r="G689">
        <v>53.464652999999998</v>
      </c>
      <c r="H689">
        <v>46.854685000000003</v>
      </c>
      <c r="I689">
        <v>3.837355777337359</v>
      </c>
      <c r="J689">
        <v>0.75628208658027485</v>
      </c>
      <c r="K689">
        <v>-0.1870207593042828</v>
      </c>
      <c r="L689">
        <v>0.16142627248244931</v>
      </c>
      <c r="M689" t="s">
        <v>27</v>
      </c>
      <c r="N689">
        <v>10</v>
      </c>
      <c r="O689" t="s">
        <v>28</v>
      </c>
      <c r="P689">
        <v>77763</v>
      </c>
      <c r="Q689">
        <v>53.46</v>
      </c>
      <c r="R689">
        <v>46.99</v>
      </c>
      <c r="S689">
        <v>-0.3730240513195916</v>
      </c>
      <c r="T689">
        <v>2.4469885740585451E-2</v>
      </c>
      <c r="U689">
        <v>2.0955248620368121E-2</v>
      </c>
      <c r="V689">
        <v>3.5125154295778658E-3</v>
      </c>
      <c r="W689">
        <v>1.744273319079025E-2</v>
      </c>
      <c r="Y689" s="19">
        <f t="shared" si="29"/>
        <v>46149</v>
      </c>
      <c r="AE689" s="19" t="e">
        <f t="shared" si="30"/>
        <v>#VALUE!</v>
      </c>
    </row>
    <row r="690" spans="1:32" x14ac:dyDescent="0.3">
      <c r="A690">
        <v>13</v>
      </c>
      <c r="B690" t="s">
        <v>32</v>
      </c>
      <c r="C690" t="s">
        <v>34</v>
      </c>
      <c r="D690">
        <v>78028</v>
      </c>
      <c r="E690">
        <v>54.33</v>
      </c>
      <c r="F690">
        <v>47.84</v>
      </c>
      <c r="G690">
        <v>54.335432999999988</v>
      </c>
      <c r="H690">
        <v>47.835216000000003</v>
      </c>
      <c r="I690">
        <v>-3.6385029926823642</v>
      </c>
      <c r="J690">
        <v>0.75628208658027485</v>
      </c>
      <c r="K690">
        <v>0.18406037180195101</v>
      </c>
      <c r="L690">
        <v>-0.15808572043902069</v>
      </c>
      <c r="M690" t="s">
        <v>29</v>
      </c>
      <c r="N690">
        <v>10</v>
      </c>
      <c r="O690" t="s">
        <v>28</v>
      </c>
      <c r="P690">
        <v>78038</v>
      </c>
      <c r="Q690">
        <v>54.354999999999997</v>
      </c>
      <c r="R690">
        <v>47.805</v>
      </c>
      <c r="S690">
        <v>-0.47387753420614609</v>
      </c>
      <c r="T690">
        <v>1.013450951041482E-2</v>
      </c>
      <c r="U690">
        <v>6.6220384863469352E-3</v>
      </c>
      <c r="V690">
        <v>3.5126129167432339E-3</v>
      </c>
      <c r="W690">
        <v>3.1094255696037009E-3</v>
      </c>
      <c r="Y690" s="19">
        <f t="shared" si="29"/>
        <v>46150</v>
      </c>
      <c r="AE690" s="19" t="e">
        <f t="shared" si="30"/>
        <v>#VALUE!</v>
      </c>
    </row>
    <row r="691" spans="1:32" x14ac:dyDescent="0.3">
      <c r="A691">
        <v>13</v>
      </c>
      <c r="B691" t="s">
        <v>32</v>
      </c>
      <c r="C691" t="s">
        <v>34</v>
      </c>
      <c r="D691">
        <v>78143</v>
      </c>
      <c r="E691">
        <v>54.48</v>
      </c>
      <c r="F691">
        <v>47.65</v>
      </c>
      <c r="G691">
        <v>54.474552000000003</v>
      </c>
      <c r="H691">
        <v>47.654764999999998</v>
      </c>
      <c r="I691">
        <v>4.431014418121074</v>
      </c>
      <c r="J691">
        <v>0.75628208658027485</v>
      </c>
      <c r="K691">
        <v>-0.18355359765051399</v>
      </c>
      <c r="L691">
        <v>0.15871607273458019</v>
      </c>
      <c r="M691" t="s">
        <v>27</v>
      </c>
      <c r="N691">
        <v>16</v>
      </c>
      <c r="O691" t="s">
        <v>28</v>
      </c>
      <c r="P691">
        <v>78159</v>
      </c>
      <c r="Q691">
        <v>54.15</v>
      </c>
      <c r="R691">
        <v>47.65</v>
      </c>
      <c r="S691">
        <v>-0.49356045756245942</v>
      </c>
      <c r="T691">
        <v>6.0572687224669297E-2</v>
      </c>
      <c r="U691">
        <v>5.7066180320231433E-2</v>
      </c>
      <c r="V691">
        <v>3.5125154295778658E-3</v>
      </c>
      <c r="W691">
        <v>5.3553664890653573E-2</v>
      </c>
      <c r="Y691" s="19">
        <f t="shared" si="29"/>
        <v>46150</v>
      </c>
      <c r="AE691" s="19" t="e">
        <f t="shared" si="30"/>
        <v>#VALUE!</v>
      </c>
    </row>
    <row r="692" spans="1:32" x14ac:dyDescent="0.3">
      <c r="A692">
        <v>13</v>
      </c>
      <c r="B692" t="s">
        <v>25</v>
      </c>
      <c r="C692" t="s">
        <v>26</v>
      </c>
      <c r="D692">
        <v>74701</v>
      </c>
      <c r="E692">
        <v>304.7</v>
      </c>
      <c r="F692">
        <v>936.64</v>
      </c>
      <c r="G692">
        <v>304.66953000000001</v>
      </c>
      <c r="H692">
        <v>936.73366399999998</v>
      </c>
      <c r="I692">
        <v>5.2944871416017083</v>
      </c>
      <c r="J692">
        <v>0.6000348342895766</v>
      </c>
      <c r="K692">
        <v>-3.2819166393173622E-2</v>
      </c>
      <c r="L692">
        <v>6.4062482307992033E-3</v>
      </c>
      <c r="M692" t="s">
        <v>27</v>
      </c>
      <c r="N692">
        <v>23</v>
      </c>
      <c r="O692" t="s">
        <v>28</v>
      </c>
      <c r="P692">
        <v>74724</v>
      </c>
      <c r="Q692">
        <v>302.90499999999997</v>
      </c>
      <c r="R692">
        <v>935.73</v>
      </c>
      <c r="S692">
        <v>0.47920765088712752</v>
      </c>
      <c r="T692">
        <v>5.3080717785720093E-2</v>
      </c>
      <c r="U692">
        <v>4.9887122126099012E-2</v>
      </c>
      <c r="V692">
        <v>3.1999896755460109E-3</v>
      </c>
      <c r="W692">
        <v>4.6687132450552997E-2</v>
      </c>
      <c r="Y692" s="19">
        <f t="shared" si="29"/>
        <v>46139</v>
      </c>
      <c r="AE692" s="19" t="e">
        <f t="shared" si="30"/>
        <v>#VALUE!</v>
      </c>
    </row>
    <row r="693" spans="1:32" x14ac:dyDescent="0.3">
      <c r="A693">
        <v>13</v>
      </c>
      <c r="B693" t="s">
        <v>25</v>
      </c>
      <c r="C693" t="s">
        <v>26</v>
      </c>
      <c r="D693">
        <v>74746</v>
      </c>
      <c r="E693">
        <v>301.08</v>
      </c>
      <c r="F693">
        <v>932.79</v>
      </c>
      <c r="G693">
        <v>301.11010800000003</v>
      </c>
      <c r="H693">
        <v>932.69672100000003</v>
      </c>
      <c r="I693">
        <v>-3.5009916800761531</v>
      </c>
      <c r="J693">
        <v>0.6000348342895766</v>
      </c>
      <c r="K693">
        <v>3.3213763783711971E-2</v>
      </c>
      <c r="L693">
        <v>-6.4326893972874557E-3</v>
      </c>
      <c r="M693" t="s">
        <v>29</v>
      </c>
      <c r="N693">
        <v>5</v>
      </c>
      <c r="O693" t="s">
        <v>28</v>
      </c>
      <c r="P693">
        <v>74751</v>
      </c>
      <c r="Q693">
        <v>302.37</v>
      </c>
      <c r="R693">
        <v>934.89</v>
      </c>
      <c r="S693">
        <v>-0.42043717760050808</v>
      </c>
      <c r="T693">
        <v>2.933710754668532E-2</v>
      </c>
      <c r="U693">
        <v>2.613140243780571E-2</v>
      </c>
      <c r="V693">
        <v>3.2001496616122951E-3</v>
      </c>
      <c r="W693">
        <v>2.2931252776193421E-2</v>
      </c>
      <c r="Y693" s="19">
        <f t="shared" si="29"/>
        <v>46139</v>
      </c>
      <c r="AE693" s="19" t="e">
        <f t="shared" si="30"/>
        <v>#VALUE!</v>
      </c>
    </row>
    <row r="694" spans="1:32" x14ac:dyDescent="0.3">
      <c r="A694">
        <v>13</v>
      </c>
      <c r="B694" t="s">
        <v>25</v>
      </c>
      <c r="C694" t="s">
        <v>26</v>
      </c>
      <c r="D694">
        <v>75798</v>
      </c>
      <c r="E694">
        <v>302.87</v>
      </c>
      <c r="F694">
        <v>946.27</v>
      </c>
      <c r="G694">
        <v>302.90028699999999</v>
      </c>
      <c r="H694">
        <v>946.17537300000004</v>
      </c>
      <c r="I694">
        <v>-4.4803795345241602</v>
      </c>
      <c r="J694">
        <v>0.6000348342895766</v>
      </c>
      <c r="K694">
        <v>3.3017466239640768E-2</v>
      </c>
      <c r="L694">
        <v>-6.341053127432726E-3</v>
      </c>
      <c r="M694" t="s">
        <v>29</v>
      </c>
      <c r="N694">
        <v>15</v>
      </c>
      <c r="O694" t="s">
        <v>28</v>
      </c>
      <c r="P694">
        <v>75813</v>
      </c>
      <c r="Q694">
        <v>302</v>
      </c>
      <c r="R694">
        <v>935.26</v>
      </c>
      <c r="S694">
        <v>7.4706360519138995E-2</v>
      </c>
      <c r="T694">
        <v>4.1089799304546627E-2</v>
      </c>
      <c r="U694">
        <v>3.7899583655025097E-2</v>
      </c>
      <c r="V694">
        <v>3.2001496616122951E-3</v>
      </c>
      <c r="W694">
        <v>3.4699433993412812E-2</v>
      </c>
      <c r="Y694" s="19">
        <f t="shared" si="29"/>
        <v>46142</v>
      </c>
      <c r="AE694" s="19" t="e">
        <f t="shared" si="30"/>
        <v>#VALUE!</v>
      </c>
    </row>
    <row r="695" spans="1:32" x14ac:dyDescent="0.3">
      <c r="A695">
        <v>13</v>
      </c>
      <c r="B695" t="s">
        <v>25</v>
      </c>
      <c r="C695" t="s">
        <v>26</v>
      </c>
      <c r="D695">
        <v>76188</v>
      </c>
      <c r="E695">
        <v>300.32</v>
      </c>
      <c r="F695">
        <v>955.67</v>
      </c>
      <c r="G695">
        <v>300.350032</v>
      </c>
      <c r="H695">
        <v>955.574433</v>
      </c>
      <c r="I695">
        <v>-3.5925084928505222</v>
      </c>
      <c r="J695">
        <v>0.6000348342895766</v>
      </c>
      <c r="K695">
        <v>3.3297815663292492E-2</v>
      </c>
      <c r="L695">
        <v>-6.2786823306117869E-3</v>
      </c>
      <c r="M695" t="s">
        <v>29</v>
      </c>
      <c r="N695">
        <v>7</v>
      </c>
      <c r="O695" t="s">
        <v>28</v>
      </c>
      <c r="P695">
        <v>76195</v>
      </c>
      <c r="Q695">
        <v>302.77</v>
      </c>
      <c r="R695">
        <v>965.79</v>
      </c>
      <c r="S695">
        <v>-0.26353146003385941</v>
      </c>
      <c r="T695">
        <v>1.8039383189274921E-2</v>
      </c>
      <c r="U695">
        <v>1.482480152933921E-2</v>
      </c>
      <c r="V695">
        <v>3.200149661612296E-3</v>
      </c>
      <c r="W695">
        <v>1.1624651867726909E-2</v>
      </c>
      <c r="Y695" s="19">
        <f t="shared" si="29"/>
        <v>46143</v>
      </c>
      <c r="AE695" s="19" t="e">
        <f t="shared" si="30"/>
        <v>#VALUE!</v>
      </c>
    </row>
    <row r="696" spans="1:32" x14ac:dyDescent="0.3">
      <c r="A696">
        <v>13</v>
      </c>
      <c r="B696" t="s">
        <v>25</v>
      </c>
      <c r="C696" t="s">
        <v>26</v>
      </c>
      <c r="D696">
        <v>76581</v>
      </c>
      <c r="E696">
        <v>299.70999999999998</v>
      </c>
      <c r="F696">
        <v>957.40499999999997</v>
      </c>
      <c r="G696">
        <v>299.68002899999999</v>
      </c>
      <c r="H696">
        <v>957.50074050000001</v>
      </c>
      <c r="I696">
        <v>4.9093041097447667</v>
      </c>
      <c r="J696">
        <v>0.6000348342895766</v>
      </c>
      <c r="K696">
        <v>-3.3365586733842718E-2</v>
      </c>
      <c r="L696">
        <v>6.2673041637507278E-3</v>
      </c>
      <c r="M696" t="s">
        <v>27</v>
      </c>
      <c r="N696">
        <v>20</v>
      </c>
      <c r="O696" t="s">
        <v>28</v>
      </c>
      <c r="P696">
        <v>76601</v>
      </c>
      <c r="Q696">
        <v>299.05</v>
      </c>
      <c r="R696">
        <v>946.2</v>
      </c>
      <c r="S696">
        <v>0.48270822941209518</v>
      </c>
      <c r="T696">
        <v>-4.8203855910491311E-2</v>
      </c>
      <c r="U696">
        <v>-5.1394700936029693E-2</v>
      </c>
      <c r="V696">
        <v>3.1999896755460109E-3</v>
      </c>
      <c r="W696">
        <v>-5.4594690611575687E-2</v>
      </c>
      <c r="Y696" s="19">
        <f t="shared" si="29"/>
        <v>46146</v>
      </c>
      <c r="AE696" s="19" t="e">
        <f t="shared" si="30"/>
        <v>#VALUE!</v>
      </c>
    </row>
    <row r="697" spans="1:32" x14ac:dyDescent="0.3">
      <c r="A697">
        <v>13</v>
      </c>
      <c r="B697" t="s">
        <v>25</v>
      </c>
      <c r="C697" t="s">
        <v>26</v>
      </c>
      <c r="D697">
        <v>77363</v>
      </c>
      <c r="E697">
        <v>301.02999999999997</v>
      </c>
      <c r="F697">
        <v>929.1</v>
      </c>
      <c r="G697">
        <v>300.99989699999998</v>
      </c>
      <c r="H697">
        <v>929.19290999999998</v>
      </c>
      <c r="I697">
        <v>4.9755937589155268</v>
      </c>
      <c r="J697">
        <v>0.6000348342895766</v>
      </c>
      <c r="K697">
        <v>-3.3219280470385013E-2</v>
      </c>
      <c r="L697">
        <v>6.4582373726141057E-3</v>
      </c>
      <c r="M697" t="s">
        <v>27</v>
      </c>
      <c r="N697">
        <v>19</v>
      </c>
      <c r="O697" t="s">
        <v>28</v>
      </c>
      <c r="P697">
        <v>77382</v>
      </c>
      <c r="Q697">
        <v>299.33</v>
      </c>
      <c r="R697">
        <v>928.1</v>
      </c>
      <c r="S697">
        <v>0.39977172770267638</v>
      </c>
      <c r="T697">
        <v>5.0014539427040039E-2</v>
      </c>
      <c r="U697">
        <v>4.682076285987951E-2</v>
      </c>
      <c r="V697">
        <v>3.1999896755460109E-3</v>
      </c>
      <c r="W697">
        <v>4.3620773184333501E-2</v>
      </c>
      <c r="Y697" s="19">
        <f t="shared" si="29"/>
        <v>46148</v>
      </c>
      <c r="AE697" s="19" t="e">
        <f t="shared" si="30"/>
        <v>#VALUE!</v>
      </c>
      <c r="AF697" s="19"/>
    </row>
    <row r="698" spans="1:32" x14ac:dyDescent="0.3">
      <c r="A698">
        <v>13</v>
      </c>
      <c r="B698" t="s">
        <v>25</v>
      </c>
      <c r="C698" t="s">
        <v>26</v>
      </c>
      <c r="D698">
        <v>77753</v>
      </c>
      <c r="E698">
        <v>295.66000000000003</v>
      </c>
      <c r="F698">
        <v>944.19</v>
      </c>
      <c r="G698">
        <v>295.68956600000001</v>
      </c>
      <c r="H698">
        <v>944.09558100000004</v>
      </c>
      <c r="I698">
        <v>-5.1295110434062297</v>
      </c>
      <c r="J698">
        <v>0.6000348342895766</v>
      </c>
      <c r="K698">
        <v>3.3822634106744229E-2</v>
      </c>
      <c r="L698">
        <v>-6.3550221278511378E-3</v>
      </c>
      <c r="M698" t="s">
        <v>29</v>
      </c>
      <c r="N698">
        <v>21</v>
      </c>
      <c r="O698" t="s">
        <v>28</v>
      </c>
      <c r="P698">
        <v>77774</v>
      </c>
      <c r="Q698">
        <v>294.99</v>
      </c>
      <c r="R698">
        <v>944.5</v>
      </c>
      <c r="S698">
        <v>-0.34924681371660488</v>
      </c>
      <c r="T698">
        <v>-2.463122171115268E-2</v>
      </c>
      <c r="U698">
        <v>-2.782922226893152E-2</v>
      </c>
      <c r="V698">
        <v>3.2001496616122951E-3</v>
      </c>
      <c r="W698">
        <v>-3.1029371930543819E-2</v>
      </c>
      <c r="Y698" s="19">
        <f t="shared" si="29"/>
        <v>46149</v>
      </c>
      <c r="AE698" s="19" t="e">
        <f t="shared" si="30"/>
        <v>#VALUE!</v>
      </c>
      <c r="AF698" s="19"/>
    </row>
    <row r="699" spans="1:32" x14ac:dyDescent="0.3">
      <c r="A699">
        <v>13</v>
      </c>
      <c r="B699" t="s">
        <v>25</v>
      </c>
      <c r="C699" t="s">
        <v>26</v>
      </c>
      <c r="D699">
        <v>78143</v>
      </c>
      <c r="E699">
        <v>301.03500000000003</v>
      </c>
      <c r="F699">
        <v>985.99</v>
      </c>
      <c r="G699">
        <v>301.06510350000002</v>
      </c>
      <c r="H699">
        <v>985.89140099999997</v>
      </c>
      <c r="I699">
        <v>-4.1078614387880528</v>
      </c>
      <c r="J699">
        <v>0.6000348342895766</v>
      </c>
      <c r="K699">
        <v>3.3218728719251911E-2</v>
      </c>
      <c r="L699">
        <v>-6.0856077068690007E-3</v>
      </c>
      <c r="M699" t="s">
        <v>29</v>
      </c>
      <c r="N699">
        <v>16</v>
      </c>
      <c r="O699" t="s">
        <v>28</v>
      </c>
      <c r="P699">
        <v>78159</v>
      </c>
      <c r="Q699">
        <v>301.83</v>
      </c>
      <c r="R699">
        <v>986.5</v>
      </c>
      <c r="S699">
        <v>-0.40724562014161753</v>
      </c>
      <c r="T699">
        <v>2.3305229401300771E-2</v>
      </c>
      <c r="U699">
        <v>2.010220847779445E-2</v>
      </c>
      <c r="V699">
        <v>3.2001496616122951E-3</v>
      </c>
      <c r="W699">
        <v>1.6902058816182161E-2</v>
      </c>
      <c r="Y699" s="19">
        <f t="shared" si="29"/>
        <v>46150</v>
      </c>
      <c r="AE699" s="19" t="e">
        <f t="shared" si="30"/>
        <v>#VALUE!</v>
      </c>
      <c r="AF699" s="19"/>
    </row>
    <row r="700" spans="1:32" x14ac:dyDescent="0.3">
      <c r="A700">
        <v>13</v>
      </c>
      <c r="B700" t="s">
        <v>25</v>
      </c>
      <c r="C700" t="s">
        <v>26</v>
      </c>
      <c r="D700">
        <v>78533</v>
      </c>
      <c r="E700">
        <v>302.99</v>
      </c>
      <c r="F700">
        <v>996.79</v>
      </c>
      <c r="G700">
        <v>303.02029900000002</v>
      </c>
      <c r="H700">
        <v>996.69032099999993</v>
      </c>
      <c r="I700">
        <v>-4.8234290259185748</v>
      </c>
      <c r="J700">
        <v>0.6000348342895766</v>
      </c>
      <c r="K700">
        <v>3.3004389583814638E-2</v>
      </c>
      <c r="L700">
        <v>-6.0196714883734449E-3</v>
      </c>
      <c r="M700" t="s">
        <v>29</v>
      </c>
      <c r="N700">
        <v>20</v>
      </c>
      <c r="O700" t="s">
        <v>28</v>
      </c>
      <c r="P700">
        <v>78553</v>
      </c>
      <c r="Q700">
        <v>305.745</v>
      </c>
      <c r="R700">
        <v>995.48</v>
      </c>
      <c r="S700">
        <v>0.34846403259387138</v>
      </c>
      <c r="T700">
        <v>9.8812862953178079E-2</v>
      </c>
      <c r="U700">
        <v>9.5604489152232713E-2</v>
      </c>
      <c r="V700">
        <v>3.2001496616122951E-3</v>
      </c>
      <c r="W700">
        <v>9.2404339490620421E-2</v>
      </c>
      <c r="Y700" s="19">
        <f t="shared" si="29"/>
        <v>46153</v>
      </c>
      <c r="AE700" s="19" t="e">
        <f t="shared" si="30"/>
        <v>#VALUE!</v>
      </c>
      <c r="AF700" s="19"/>
    </row>
    <row r="701" spans="1:32" x14ac:dyDescent="0.3">
      <c r="A701">
        <v>14</v>
      </c>
      <c r="B701" t="s">
        <v>30</v>
      </c>
      <c r="C701" t="s">
        <v>33</v>
      </c>
      <c r="D701">
        <v>78601</v>
      </c>
      <c r="E701">
        <v>51.835000000000001</v>
      </c>
      <c r="F701">
        <v>219.88</v>
      </c>
      <c r="G701">
        <v>51.840183500000002</v>
      </c>
      <c r="H701">
        <v>219.858012</v>
      </c>
      <c r="I701">
        <v>-5.2946475329002718</v>
      </c>
      <c r="J701">
        <v>1.197461461745291</v>
      </c>
      <c r="K701">
        <v>0.19291984180572971</v>
      </c>
      <c r="L701">
        <v>-5.4459771773025807E-2</v>
      </c>
      <c r="M701" t="s">
        <v>29</v>
      </c>
      <c r="N701">
        <v>23</v>
      </c>
      <c r="O701" t="s">
        <v>28</v>
      </c>
      <c r="P701">
        <v>78624</v>
      </c>
      <c r="Q701">
        <v>52.034999999999997</v>
      </c>
      <c r="R701">
        <v>219.72</v>
      </c>
      <c r="S701">
        <v>-0.49113047758147449</v>
      </c>
      <c r="T701">
        <v>4.7297531844829058E-2</v>
      </c>
      <c r="U701">
        <v>4.2899621880850537E-2</v>
      </c>
      <c r="V701">
        <v>4.3948834311982338E-3</v>
      </c>
      <c r="W701">
        <v>3.8504738449652312E-2</v>
      </c>
      <c r="Y701" s="19">
        <f t="shared" si="29"/>
        <v>46153</v>
      </c>
      <c r="AE701" s="19" t="e">
        <f t="shared" si="30"/>
        <v>#VALUE!</v>
      </c>
      <c r="AF701" s="19"/>
    </row>
    <row r="702" spans="1:32" x14ac:dyDescent="0.3">
      <c r="A702">
        <v>14</v>
      </c>
      <c r="B702" t="s">
        <v>30</v>
      </c>
      <c r="C702" t="s">
        <v>33</v>
      </c>
      <c r="D702">
        <v>78872</v>
      </c>
      <c r="E702">
        <v>51.865000000000002</v>
      </c>
      <c r="F702">
        <v>219.91499999999999</v>
      </c>
      <c r="G702">
        <v>51.859813500000001</v>
      </c>
      <c r="H702">
        <v>219.9369915</v>
      </c>
      <c r="I702">
        <v>3.6861175662481371</v>
      </c>
      <c r="J702">
        <v>1.197461461745291</v>
      </c>
      <c r="K702">
        <v>-0.19280825219319389</v>
      </c>
      <c r="L702">
        <v>5.445110436965607E-2</v>
      </c>
      <c r="M702" t="s">
        <v>27</v>
      </c>
      <c r="N702">
        <v>7</v>
      </c>
      <c r="O702" t="s">
        <v>28</v>
      </c>
      <c r="P702">
        <v>78879</v>
      </c>
      <c r="Q702">
        <v>51.86</v>
      </c>
      <c r="R702">
        <v>220.09</v>
      </c>
      <c r="S702">
        <v>9.3534192080980141E-2</v>
      </c>
      <c r="T702">
        <v>1.049298452565689E-2</v>
      </c>
      <c r="U702">
        <v>6.0972051119664548E-3</v>
      </c>
      <c r="V702">
        <v>4.394962415782932E-3</v>
      </c>
      <c r="W702">
        <v>1.702242696183523E-3</v>
      </c>
      <c r="Y702" s="19">
        <f t="shared" si="29"/>
        <v>46154</v>
      </c>
      <c r="AE702" s="19" t="e">
        <f t="shared" si="30"/>
        <v>#VALUE!</v>
      </c>
      <c r="AF702" s="19"/>
    </row>
    <row r="703" spans="1:32" x14ac:dyDescent="0.3">
      <c r="A703">
        <v>14</v>
      </c>
      <c r="B703" t="s">
        <v>30</v>
      </c>
      <c r="C703" t="s">
        <v>33</v>
      </c>
      <c r="D703">
        <v>78925</v>
      </c>
      <c r="E703">
        <v>52.27</v>
      </c>
      <c r="F703">
        <v>219.61500000000001</v>
      </c>
      <c r="G703">
        <v>52.264773000000012</v>
      </c>
      <c r="H703">
        <v>219.63696150000001</v>
      </c>
      <c r="I703">
        <v>4.5385376666382484</v>
      </c>
      <c r="J703">
        <v>1.197461461745291</v>
      </c>
      <c r="K703">
        <v>-0.19131432944327531</v>
      </c>
      <c r="L703">
        <v>5.4525486043543993E-2</v>
      </c>
      <c r="M703" t="s">
        <v>27</v>
      </c>
      <c r="N703">
        <v>2</v>
      </c>
      <c r="O703" t="s">
        <v>28</v>
      </c>
      <c r="P703">
        <v>78927</v>
      </c>
      <c r="Q703">
        <v>52.34</v>
      </c>
      <c r="R703">
        <v>221.55</v>
      </c>
      <c r="S703">
        <v>0.1760002778080153</v>
      </c>
      <c r="T703">
        <v>9.211481243322843E-2</v>
      </c>
      <c r="U703">
        <v>8.7707999627882366E-2</v>
      </c>
      <c r="V703">
        <v>4.394962415782932E-3</v>
      </c>
      <c r="W703">
        <v>8.3313037212099428E-2</v>
      </c>
      <c r="Y703" s="19">
        <f t="shared" si="29"/>
        <v>46154</v>
      </c>
      <c r="AE703" s="19" t="e">
        <f t="shared" si="30"/>
        <v>#VALUE!</v>
      </c>
      <c r="AF703" s="19"/>
    </row>
    <row r="704" spans="1:32" x14ac:dyDescent="0.3">
      <c r="A704">
        <v>14</v>
      </c>
      <c r="B704" t="s">
        <v>30</v>
      </c>
      <c r="C704" t="s">
        <v>33</v>
      </c>
      <c r="D704">
        <v>79315</v>
      </c>
      <c r="E704">
        <v>52.454999999999998</v>
      </c>
      <c r="F704">
        <v>221.05</v>
      </c>
      <c r="G704">
        <v>52.449754499999997</v>
      </c>
      <c r="H704">
        <v>221.07210499999999</v>
      </c>
      <c r="I704">
        <v>4.1200468198661779</v>
      </c>
      <c r="J704">
        <v>1.197461461745291</v>
      </c>
      <c r="K704">
        <v>-0.19063959584405679</v>
      </c>
      <c r="L704">
        <v>5.4171520549436393E-2</v>
      </c>
      <c r="M704" t="s">
        <v>27</v>
      </c>
      <c r="N704">
        <v>5</v>
      </c>
      <c r="O704" t="s">
        <v>28</v>
      </c>
      <c r="P704">
        <v>79320</v>
      </c>
      <c r="Q704">
        <v>52.234999999999999</v>
      </c>
      <c r="R704">
        <v>221.05</v>
      </c>
      <c r="S704">
        <v>0.31115307469975961</v>
      </c>
      <c r="T704">
        <v>4.1940711085692292E-2</v>
      </c>
      <c r="U704">
        <v>3.7549982233309027E-2</v>
      </c>
      <c r="V704">
        <v>4.394962415782932E-3</v>
      </c>
      <c r="W704">
        <v>3.3155019817526103E-2</v>
      </c>
      <c r="Y704" s="19">
        <f t="shared" si="29"/>
        <v>46155</v>
      </c>
      <c r="AE704" s="19" t="e">
        <f t="shared" si="30"/>
        <v>#VALUE!</v>
      </c>
      <c r="AF704" s="19"/>
    </row>
    <row r="705" spans="1:32" x14ac:dyDescent="0.3">
      <c r="A705">
        <v>14</v>
      </c>
      <c r="B705" t="s">
        <v>30</v>
      </c>
      <c r="C705" t="s">
        <v>33</v>
      </c>
      <c r="D705">
        <v>79575</v>
      </c>
      <c r="E705">
        <v>51.34</v>
      </c>
      <c r="F705">
        <v>221.11</v>
      </c>
      <c r="G705">
        <v>51.334866000000012</v>
      </c>
      <c r="H705">
        <v>221.13211100000001</v>
      </c>
      <c r="I705">
        <v>4.2066279512531546</v>
      </c>
      <c r="J705">
        <v>1.197461461745291</v>
      </c>
      <c r="K705">
        <v>-0.19477989871445259</v>
      </c>
      <c r="L705">
        <v>5.41568206659713E-2</v>
      </c>
      <c r="M705" t="s">
        <v>27</v>
      </c>
      <c r="N705">
        <v>12</v>
      </c>
      <c r="O705" t="s">
        <v>28</v>
      </c>
      <c r="P705">
        <v>79587</v>
      </c>
      <c r="Q705">
        <v>51.26</v>
      </c>
      <c r="R705">
        <v>221.21</v>
      </c>
      <c r="S705">
        <v>0.42371126691732602</v>
      </c>
      <c r="T705">
        <v>2.0998073963754089E-2</v>
      </c>
      <c r="U705">
        <v>1.660416771124781E-2</v>
      </c>
      <c r="V705">
        <v>4.394962415782932E-3</v>
      </c>
      <c r="W705">
        <v>1.2209205295464881E-2</v>
      </c>
      <c r="Y705" s="19">
        <f t="shared" si="29"/>
        <v>46156</v>
      </c>
      <c r="AE705" s="19" t="e">
        <f t="shared" si="30"/>
        <v>#VALUE!</v>
      </c>
    </row>
    <row r="706" spans="1:32" x14ac:dyDescent="0.3">
      <c r="A706">
        <v>14</v>
      </c>
      <c r="B706" t="s">
        <v>30</v>
      </c>
      <c r="C706" t="s">
        <v>33</v>
      </c>
      <c r="D706">
        <v>80489</v>
      </c>
      <c r="E706">
        <v>51.09</v>
      </c>
      <c r="F706">
        <v>221.23</v>
      </c>
      <c r="G706">
        <v>51.095109000000001</v>
      </c>
      <c r="H706">
        <v>221.207877</v>
      </c>
      <c r="I706">
        <v>-4.2160400372208668</v>
      </c>
      <c r="J706">
        <v>1.197461461745291</v>
      </c>
      <c r="K706">
        <v>0.19573302016050109</v>
      </c>
      <c r="L706">
        <v>-5.4127444819657887E-2</v>
      </c>
      <c r="M706" t="s">
        <v>29</v>
      </c>
      <c r="N706">
        <v>21</v>
      </c>
      <c r="O706" t="s">
        <v>28</v>
      </c>
      <c r="P706">
        <v>80510</v>
      </c>
      <c r="Q706">
        <v>51.35</v>
      </c>
      <c r="R706">
        <v>218.6</v>
      </c>
      <c r="S706">
        <v>0.42468985945719789</v>
      </c>
      <c r="T706">
        <v>0.19324576511742991</v>
      </c>
      <c r="U706">
        <v>0.18885998865340281</v>
      </c>
      <c r="V706">
        <v>4.3948834311982338E-3</v>
      </c>
      <c r="W706">
        <v>0.18446510522220461</v>
      </c>
      <c r="Y706" s="19">
        <f t="shared" ref="Y706:Y769" si="31">WORKDAY(DATE(2025,8,2),INT(P706/390))</f>
        <v>46160</v>
      </c>
      <c r="AE706" s="19" t="e">
        <f t="shared" ref="AE706:AE769" si="32">IF(ISNUMBER(AF706),DATE(YEAR(AF706),DAY(AF706),MONTH(AF706)),DATE(RIGHT(AF706,4),LEFT(AF706,2),MID(AF706,4,2)))</f>
        <v>#VALUE!</v>
      </c>
    </row>
    <row r="707" spans="1:32" x14ac:dyDescent="0.3">
      <c r="A707">
        <v>14</v>
      </c>
      <c r="B707" t="s">
        <v>30</v>
      </c>
      <c r="C707" t="s">
        <v>33</v>
      </c>
      <c r="D707">
        <v>80653</v>
      </c>
      <c r="E707">
        <v>51.414999999999999</v>
      </c>
      <c r="F707">
        <v>216.9</v>
      </c>
      <c r="G707">
        <v>51.409858499999999</v>
      </c>
      <c r="H707">
        <v>216.92169000000001</v>
      </c>
      <c r="I707">
        <v>3.8863324827740389</v>
      </c>
      <c r="J707">
        <v>1.197461461745291</v>
      </c>
      <c r="K707">
        <v>-0.19449576971700869</v>
      </c>
      <c r="L707">
        <v>5.5207997314213518E-2</v>
      </c>
      <c r="M707" t="s">
        <v>27</v>
      </c>
      <c r="N707">
        <v>27</v>
      </c>
      <c r="O707" t="s">
        <v>28</v>
      </c>
      <c r="P707">
        <v>80680</v>
      </c>
      <c r="Q707">
        <v>51.484999999999999</v>
      </c>
      <c r="R707">
        <v>217.04</v>
      </c>
      <c r="S707">
        <v>-0.34813488587850999</v>
      </c>
      <c r="T707">
        <v>-5.8855842562015219E-3</v>
      </c>
      <c r="U707">
        <v>-1.028264156204243E-2</v>
      </c>
      <c r="V707">
        <v>4.394962415782932E-3</v>
      </c>
      <c r="W707">
        <v>-1.467760397782536E-2</v>
      </c>
      <c r="Y707" s="19">
        <f t="shared" si="31"/>
        <v>46160</v>
      </c>
      <c r="AE707" s="19" t="e">
        <f t="shared" si="32"/>
        <v>#VALUE!</v>
      </c>
    </row>
    <row r="708" spans="1:32" x14ac:dyDescent="0.3">
      <c r="A708">
        <v>14</v>
      </c>
      <c r="B708" t="s">
        <v>30</v>
      </c>
      <c r="C708" t="s">
        <v>33</v>
      </c>
      <c r="D708">
        <v>80883</v>
      </c>
      <c r="E708">
        <v>51.805</v>
      </c>
      <c r="F708">
        <v>216.11</v>
      </c>
      <c r="G708">
        <v>51.799819499999998</v>
      </c>
      <c r="H708">
        <v>216.13161099999999</v>
      </c>
      <c r="I708">
        <v>3.7915613871716238</v>
      </c>
      <c r="J708">
        <v>1.197461461745291</v>
      </c>
      <c r="K708">
        <v>-0.19303156066016791</v>
      </c>
      <c r="L708">
        <v>5.5409812676196907E-2</v>
      </c>
      <c r="M708" t="s">
        <v>27</v>
      </c>
      <c r="N708">
        <v>4</v>
      </c>
      <c r="O708" t="s">
        <v>28</v>
      </c>
      <c r="P708">
        <v>80887</v>
      </c>
      <c r="Q708">
        <v>52.26</v>
      </c>
      <c r="R708">
        <v>218.47499999999999</v>
      </c>
      <c r="S708">
        <v>-1.48663322506259E-2</v>
      </c>
      <c r="T708">
        <v>4.3214846878828532E-2</v>
      </c>
      <c r="U708">
        <v>3.8798036598628842E-2</v>
      </c>
      <c r="V708">
        <v>4.394962415782932E-3</v>
      </c>
      <c r="W708">
        <v>3.4403074182845897E-2</v>
      </c>
      <c r="Y708" s="19">
        <f t="shared" si="31"/>
        <v>46161</v>
      </c>
      <c r="AE708" s="19" t="e">
        <f t="shared" si="32"/>
        <v>#VALUE!</v>
      </c>
    </row>
    <row r="709" spans="1:32" x14ac:dyDescent="0.3">
      <c r="A709">
        <v>14</v>
      </c>
      <c r="B709" t="s">
        <v>30</v>
      </c>
      <c r="C709" t="s">
        <v>33</v>
      </c>
      <c r="D709">
        <v>81521</v>
      </c>
      <c r="E709">
        <v>52.344999999999999</v>
      </c>
      <c r="F709">
        <v>220.09</v>
      </c>
      <c r="G709">
        <v>52.350234499999999</v>
      </c>
      <c r="H709">
        <v>220.06799100000001</v>
      </c>
      <c r="I709">
        <v>-3.7912998160572431</v>
      </c>
      <c r="J709">
        <v>1.197461461745291</v>
      </c>
      <c r="K709">
        <v>0.19104021396503959</v>
      </c>
      <c r="L709">
        <v>-5.440780870304382E-2</v>
      </c>
      <c r="M709" t="s">
        <v>29</v>
      </c>
      <c r="N709">
        <v>9</v>
      </c>
      <c r="O709" t="s">
        <v>28</v>
      </c>
      <c r="P709">
        <v>81530</v>
      </c>
      <c r="Q709">
        <v>52.365000000000002</v>
      </c>
      <c r="R709">
        <v>219.87</v>
      </c>
      <c r="S709">
        <v>-0.30403709470153922</v>
      </c>
      <c r="T709">
        <v>1.5790522193970969E-2</v>
      </c>
      <c r="U709">
        <v>1.139641416184382E-2</v>
      </c>
      <c r="V709">
        <v>4.3948834311982338E-3</v>
      </c>
      <c r="W709">
        <v>7.0015307306455898E-3</v>
      </c>
      <c r="Y709" s="19">
        <f t="shared" si="31"/>
        <v>46163</v>
      </c>
      <c r="AE709" s="19" t="e">
        <f t="shared" si="32"/>
        <v>#VALUE!</v>
      </c>
    </row>
    <row r="710" spans="1:32" x14ac:dyDescent="0.3">
      <c r="A710">
        <v>14</v>
      </c>
      <c r="B710" t="s">
        <v>30</v>
      </c>
      <c r="C710" t="s">
        <v>33</v>
      </c>
      <c r="D710">
        <v>81660</v>
      </c>
      <c r="E710">
        <v>53.11</v>
      </c>
      <c r="F710">
        <v>218.25</v>
      </c>
      <c r="G710">
        <v>53.104689</v>
      </c>
      <c r="H710">
        <v>218.27182500000001</v>
      </c>
      <c r="I710">
        <v>4.5806310444023826</v>
      </c>
      <c r="J710">
        <v>1.197461461745291</v>
      </c>
      <c r="K710">
        <v>-0.18828845791752971</v>
      </c>
      <c r="L710">
        <v>5.4866504547321483E-2</v>
      </c>
      <c r="M710" t="s">
        <v>27</v>
      </c>
      <c r="N710">
        <v>23</v>
      </c>
      <c r="O710" t="s">
        <v>28</v>
      </c>
      <c r="P710">
        <v>81683</v>
      </c>
      <c r="Q710">
        <v>53.585000000000001</v>
      </c>
      <c r="R710">
        <v>223.49</v>
      </c>
      <c r="S710">
        <v>-0.34270721233774071</v>
      </c>
      <c r="T710">
        <v>0.1980634663171382</v>
      </c>
      <c r="U710">
        <v>0.1936308496435141</v>
      </c>
      <c r="V710">
        <v>4.394962415782932E-3</v>
      </c>
      <c r="W710">
        <v>0.1892358872277311</v>
      </c>
      <c r="Y710" s="19">
        <f t="shared" si="31"/>
        <v>46163</v>
      </c>
      <c r="AE710" s="19" t="e">
        <f t="shared" si="32"/>
        <v>#VALUE!</v>
      </c>
    </row>
    <row r="711" spans="1:32" x14ac:dyDescent="0.3">
      <c r="A711">
        <v>14</v>
      </c>
      <c r="B711" t="s">
        <v>30</v>
      </c>
      <c r="C711" t="s">
        <v>33</v>
      </c>
      <c r="D711">
        <v>81873</v>
      </c>
      <c r="E711">
        <v>54.14</v>
      </c>
      <c r="F711">
        <v>226.96</v>
      </c>
      <c r="G711">
        <v>54.145414000000002</v>
      </c>
      <c r="H711">
        <v>226.93730400000001</v>
      </c>
      <c r="I711">
        <v>-3.6832274550521218</v>
      </c>
      <c r="J711">
        <v>1.197461461745291</v>
      </c>
      <c r="K711">
        <v>0.1847063169560399</v>
      </c>
      <c r="L711">
        <v>-5.2760903319760813E-2</v>
      </c>
      <c r="M711" t="s">
        <v>29</v>
      </c>
      <c r="N711">
        <v>11</v>
      </c>
      <c r="O711" t="s">
        <v>28</v>
      </c>
      <c r="P711">
        <v>81884</v>
      </c>
      <c r="Q711">
        <v>54</v>
      </c>
      <c r="R711">
        <v>226.05</v>
      </c>
      <c r="S711">
        <v>0.28060027423049327</v>
      </c>
      <c r="T711">
        <v>2.215353764713647E-2</v>
      </c>
      <c r="U711">
        <v>1.7766001854285E-2</v>
      </c>
      <c r="V711">
        <v>4.3948834311982338E-3</v>
      </c>
      <c r="W711">
        <v>1.337111842308677E-2</v>
      </c>
      <c r="Y711" s="19">
        <f t="shared" si="31"/>
        <v>46163</v>
      </c>
      <c r="AE711" s="19" t="e">
        <f t="shared" si="32"/>
        <v>#VALUE!</v>
      </c>
    </row>
    <row r="712" spans="1:32" x14ac:dyDescent="0.3">
      <c r="A712">
        <v>14</v>
      </c>
      <c r="B712" t="s">
        <v>30</v>
      </c>
      <c r="C712" t="s">
        <v>33</v>
      </c>
      <c r="D712">
        <v>82056</v>
      </c>
      <c r="E712">
        <v>53.615000000000002</v>
      </c>
      <c r="F712">
        <v>227.08</v>
      </c>
      <c r="G712">
        <v>53.620361500000001</v>
      </c>
      <c r="H712">
        <v>227.05729199999999</v>
      </c>
      <c r="I712">
        <v>-3.8081068650486332</v>
      </c>
      <c r="J712">
        <v>1.197461461745291</v>
      </c>
      <c r="K712">
        <v>0.18651496782616811</v>
      </c>
      <c r="L712">
        <v>-5.2733021919380459E-2</v>
      </c>
      <c r="M712" t="s">
        <v>29</v>
      </c>
      <c r="N712">
        <v>6</v>
      </c>
      <c r="O712" t="s">
        <v>28</v>
      </c>
      <c r="P712">
        <v>82062</v>
      </c>
      <c r="Q712">
        <v>53.865000000000002</v>
      </c>
      <c r="R712">
        <v>226.58</v>
      </c>
      <c r="S712">
        <v>8.7392483368646853E-3</v>
      </c>
      <c r="T712">
        <v>7.2995252916232239E-2</v>
      </c>
      <c r="U712">
        <v>6.8598303769641988E-2</v>
      </c>
      <c r="V712">
        <v>4.3948834311982338E-3</v>
      </c>
      <c r="W712">
        <v>6.4203420338443756E-2</v>
      </c>
      <c r="Y712" s="19">
        <f t="shared" si="31"/>
        <v>46164</v>
      </c>
      <c r="AE712" s="19" t="e">
        <f t="shared" si="32"/>
        <v>#VALUE!</v>
      </c>
    </row>
    <row r="713" spans="1:32" x14ac:dyDescent="0.3">
      <c r="A713">
        <v>14</v>
      </c>
      <c r="B713" t="s">
        <v>30</v>
      </c>
      <c r="C713" t="s">
        <v>33</v>
      </c>
      <c r="D713">
        <v>82445</v>
      </c>
      <c r="E713">
        <v>54.07</v>
      </c>
      <c r="F713">
        <v>228.31</v>
      </c>
      <c r="G713">
        <v>54.064593000000002</v>
      </c>
      <c r="H713">
        <v>228.332831</v>
      </c>
      <c r="I713">
        <v>4.0865359858786992</v>
      </c>
      <c r="J713">
        <v>1.197461461745291</v>
      </c>
      <c r="K713">
        <v>-0.18494544109487701</v>
      </c>
      <c r="L713">
        <v>5.2448927412084068E-2</v>
      </c>
      <c r="M713" t="s">
        <v>27</v>
      </c>
      <c r="N713">
        <v>8</v>
      </c>
      <c r="O713" t="s">
        <v>28</v>
      </c>
      <c r="P713">
        <v>82453</v>
      </c>
      <c r="Q713">
        <v>53.95</v>
      </c>
      <c r="R713">
        <v>228.75</v>
      </c>
      <c r="S713">
        <v>-3.1056065384057321E-2</v>
      </c>
      <c r="T713">
        <v>4.5270980992701652E-2</v>
      </c>
      <c r="U713">
        <v>4.0875969661698631E-2</v>
      </c>
      <c r="V713">
        <v>4.394962415782932E-3</v>
      </c>
      <c r="W713">
        <v>3.64810072459157E-2</v>
      </c>
      <c r="Y713" s="19">
        <f t="shared" si="31"/>
        <v>46167</v>
      </c>
      <c r="AE713" s="19" t="e">
        <f t="shared" si="32"/>
        <v>#VALUE!</v>
      </c>
    </row>
    <row r="714" spans="1:32" x14ac:dyDescent="0.3">
      <c r="A714">
        <v>14</v>
      </c>
      <c r="B714" t="s">
        <v>25</v>
      </c>
      <c r="C714" t="s">
        <v>33</v>
      </c>
      <c r="D714">
        <v>78601</v>
      </c>
      <c r="E714">
        <v>305.10000000000002</v>
      </c>
      <c r="F714">
        <v>219.88</v>
      </c>
      <c r="G714">
        <v>305.06948999999997</v>
      </c>
      <c r="H714">
        <v>219.90198799999999</v>
      </c>
      <c r="I714">
        <v>5.2946451450039804</v>
      </c>
      <c r="J714">
        <v>0.84652838247865447</v>
      </c>
      <c r="K714">
        <v>-3.2776138970829233E-2</v>
      </c>
      <c r="L714">
        <v>3.8499562601357763E-2</v>
      </c>
      <c r="M714" t="s">
        <v>27</v>
      </c>
      <c r="N714">
        <v>23</v>
      </c>
      <c r="O714" t="s">
        <v>28</v>
      </c>
      <c r="P714">
        <v>78624</v>
      </c>
      <c r="Q714">
        <v>305.64999999999998</v>
      </c>
      <c r="R714">
        <v>219.72</v>
      </c>
      <c r="S714">
        <v>0.49211836616816618</v>
      </c>
      <c r="T714">
        <v>-2.41868064501717E-2</v>
      </c>
      <c r="U714">
        <v>-2.788104990977126E-2</v>
      </c>
      <c r="V714">
        <v>3.6930260706338051E-3</v>
      </c>
      <c r="W714">
        <v>-3.157407598040507E-2</v>
      </c>
      <c r="Y714" s="19">
        <f t="shared" si="31"/>
        <v>46153</v>
      </c>
      <c r="AE714" s="19" t="e">
        <f t="shared" si="32"/>
        <v>#VALUE!</v>
      </c>
    </row>
    <row r="715" spans="1:32" x14ac:dyDescent="0.3">
      <c r="A715">
        <v>14</v>
      </c>
      <c r="B715" t="s">
        <v>25</v>
      </c>
      <c r="C715" t="s">
        <v>33</v>
      </c>
      <c r="D715">
        <v>78924</v>
      </c>
      <c r="E715">
        <v>307.83999999999997</v>
      </c>
      <c r="F715">
        <v>219.26499999999999</v>
      </c>
      <c r="G715">
        <v>307.80921599999999</v>
      </c>
      <c r="H715">
        <v>219.28692649999999</v>
      </c>
      <c r="I715">
        <v>4.7082387492591131</v>
      </c>
      <c r="J715">
        <v>0.84652838247865447</v>
      </c>
      <c r="K715">
        <v>-3.2484407484407493E-2</v>
      </c>
      <c r="L715">
        <v>3.8607547145173851E-2</v>
      </c>
      <c r="M715" t="s">
        <v>27</v>
      </c>
      <c r="N715">
        <v>3</v>
      </c>
      <c r="O715" t="s">
        <v>28</v>
      </c>
      <c r="P715">
        <v>78927</v>
      </c>
      <c r="Q715">
        <v>308.47000000000003</v>
      </c>
      <c r="R715">
        <v>221.55</v>
      </c>
      <c r="S715">
        <v>-0.2847117337988187</v>
      </c>
      <c r="T715">
        <v>6.7753068511544792E-2</v>
      </c>
      <c r="U715">
        <v>6.4049143404393868E-2</v>
      </c>
      <c r="V715">
        <v>3.6930260706338051E-3</v>
      </c>
      <c r="W715">
        <v>6.0356117333760062E-2</v>
      </c>
      <c r="Y715" s="19">
        <f t="shared" si="31"/>
        <v>46154</v>
      </c>
      <c r="AE715" s="19" t="e">
        <f t="shared" si="32"/>
        <v>#VALUE!</v>
      </c>
    </row>
    <row r="716" spans="1:32" x14ac:dyDescent="0.3">
      <c r="A716">
        <v>14</v>
      </c>
      <c r="B716" t="s">
        <v>25</v>
      </c>
      <c r="C716" t="s">
        <v>33</v>
      </c>
      <c r="D716">
        <v>79235</v>
      </c>
      <c r="E716">
        <v>305.61</v>
      </c>
      <c r="F716">
        <v>220.72</v>
      </c>
      <c r="G716">
        <v>305.64056099999999</v>
      </c>
      <c r="H716">
        <v>220.69792799999999</v>
      </c>
      <c r="I716">
        <v>-3.825631648843598</v>
      </c>
      <c r="J716">
        <v>0.84652838247865447</v>
      </c>
      <c r="K716">
        <v>3.2721442361179277E-2</v>
      </c>
      <c r="L716">
        <v>-3.8353043787543242E-2</v>
      </c>
      <c r="M716" t="s">
        <v>29</v>
      </c>
      <c r="N716">
        <v>14</v>
      </c>
      <c r="O716" t="s">
        <v>28</v>
      </c>
      <c r="P716">
        <v>79249</v>
      </c>
      <c r="Q716">
        <v>305.92500000000001</v>
      </c>
      <c r="R716">
        <v>220.73</v>
      </c>
      <c r="S716">
        <v>-0.47272000296923239</v>
      </c>
      <c r="T716">
        <v>9.9237239058963152E-3</v>
      </c>
      <c r="U716">
        <v>6.2295980624606437E-3</v>
      </c>
      <c r="V716">
        <v>3.6930874592808129E-3</v>
      </c>
      <c r="W716">
        <v>2.5365106031798299E-3</v>
      </c>
      <c r="Y716" s="19">
        <f t="shared" si="31"/>
        <v>46155</v>
      </c>
      <c r="AE716" s="19" t="e">
        <f t="shared" si="32"/>
        <v>#VALUE!</v>
      </c>
    </row>
    <row r="717" spans="1:32" x14ac:dyDescent="0.3">
      <c r="A717">
        <v>14</v>
      </c>
      <c r="B717" t="s">
        <v>25</v>
      </c>
      <c r="C717" t="s">
        <v>33</v>
      </c>
      <c r="D717">
        <v>79316</v>
      </c>
      <c r="E717">
        <v>304</v>
      </c>
      <c r="F717">
        <v>221.05</v>
      </c>
      <c r="G717">
        <v>304.03039999999999</v>
      </c>
      <c r="H717">
        <v>221.027895</v>
      </c>
      <c r="I717">
        <v>-4.6937601984822486</v>
      </c>
      <c r="J717">
        <v>0.84652838247865447</v>
      </c>
      <c r="K717">
        <v>3.2894736842105261E-2</v>
      </c>
      <c r="L717">
        <v>-3.8295787490552111E-2</v>
      </c>
      <c r="M717" t="s">
        <v>29</v>
      </c>
      <c r="N717">
        <v>34</v>
      </c>
      <c r="O717" t="s">
        <v>28</v>
      </c>
      <c r="P717">
        <v>79350</v>
      </c>
      <c r="Q717">
        <v>298.21499999999997</v>
      </c>
      <c r="R717">
        <v>220.75</v>
      </c>
      <c r="S717">
        <v>-0.4155258276435142</v>
      </c>
      <c r="T717">
        <v>-0.17880731638441369</v>
      </c>
      <c r="U717">
        <v>-0.1824801946704821</v>
      </c>
      <c r="V717">
        <v>3.6930874592808129E-3</v>
      </c>
      <c r="W717">
        <v>-0.18617328212976289</v>
      </c>
      <c r="Y717" s="19">
        <f t="shared" si="31"/>
        <v>46155</v>
      </c>
      <c r="AE717" s="19" t="e">
        <f t="shared" si="32"/>
        <v>#VALUE!</v>
      </c>
    </row>
    <row r="718" spans="1:32" x14ac:dyDescent="0.3">
      <c r="A718">
        <v>14</v>
      </c>
      <c r="B718" t="s">
        <v>25</v>
      </c>
      <c r="C718" t="s">
        <v>33</v>
      </c>
      <c r="D718">
        <v>79417</v>
      </c>
      <c r="E718">
        <v>299.02999999999997</v>
      </c>
      <c r="F718">
        <v>222.15</v>
      </c>
      <c r="G718">
        <v>299.05990300000002</v>
      </c>
      <c r="H718">
        <v>222.12778499999999</v>
      </c>
      <c r="I718">
        <v>-3.652510232069893</v>
      </c>
      <c r="J718">
        <v>0.84652838247865447</v>
      </c>
      <c r="K718">
        <v>3.3441460723004378E-2</v>
      </c>
      <c r="L718">
        <v>-3.8106161714096531E-2</v>
      </c>
      <c r="M718" t="s">
        <v>29</v>
      </c>
      <c r="N718">
        <v>35</v>
      </c>
      <c r="O718" t="s">
        <v>28</v>
      </c>
      <c r="P718">
        <v>79452</v>
      </c>
      <c r="Q718">
        <v>296.85000000000002</v>
      </c>
      <c r="R718">
        <v>221.57</v>
      </c>
      <c r="S718">
        <v>-0.15278631148225891</v>
      </c>
      <c r="T718">
        <v>-5.0800810581971431E-2</v>
      </c>
      <c r="U718">
        <v>-5.4484366951109739E-2</v>
      </c>
      <c r="V718">
        <v>3.6930874592808129E-3</v>
      </c>
      <c r="W718">
        <v>-5.8177454410390551E-2</v>
      </c>
      <c r="Y718" s="19">
        <f t="shared" si="31"/>
        <v>46155</v>
      </c>
      <c r="AE718" s="19" t="e">
        <f t="shared" si="32"/>
        <v>#VALUE!</v>
      </c>
    </row>
    <row r="719" spans="1:32" x14ac:dyDescent="0.3">
      <c r="A719">
        <v>14</v>
      </c>
      <c r="B719" t="s">
        <v>25</v>
      </c>
      <c r="C719" t="s">
        <v>33</v>
      </c>
      <c r="D719">
        <v>79841</v>
      </c>
      <c r="E719">
        <v>298.51</v>
      </c>
      <c r="F719">
        <v>220.26</v>
      </c>
      <c r="G719">
        <v>298.48014899999998</v>
      </c>
      <c r="H719">
        <v>220.282026</v>
      </c>
      <c r="I719">
        <v>3.7821595514857469</v>
      </c>
      <c r="J719">
        <v>0.84652838247865447</v>
      </c>
      <c r="K719">
        <v>-3.3499715252420348E-2</v>
      </c>
      <c r="L719">
        <v>3.8433141854111251E-2</v>
      </c>
      <c r="M719" t="s">
        <v>27</v>
      </c>
      <c r="N719">
        <v>13</v>
      </c>
      <c r="O719" t="s">
        <v>28</v>
      </c>
      <c r="P719">
        <v>79854</v>
      </c>
      <c r="Q719">
        <v>297.69</v>
      </c>
      <c r="R719">
        <v>219.97</v>
      </c>
      <c r="S719">
        <v>0.3489678740026177</v>
      </c>
      <c r="T719">
        <v>1.632415536929251E-2</v>
      </c>
      <c r="U719">
        <v>1.263496014209944E-2</v>
      </c>
      <c r="V719">
        <v>3.6930260706338051E-3</v>
      </c>
      <c r="W719">
        <v>8.9419340714656358E-3</v>
      </c>
      <c r="Y719" s="19">
        <f t="shared" si="31"/>
        <v>46156</v>
      </c>
      <c r="AE719" s="19" t="e">
        <f t="shared" si="32"/>
        <v>#VALUE!</v>
      </c>
      <c r="AF719" s="19"/>
    </row>
    <row r="720" spans="1:32" x14ac:dyDescent="0.3">
      <c r="A720">
        <v>14</v>
      </c>
      <c r="B720" t="s">
        <v>25</v>
      </c>
      <c r="C720" t="s">
        <v>33</v>
      </c>
      <c r="D720">
        <v>80085</v>
      </c>
      <c r="E720">
        <v>296.31</v>
      </c>
      <c r="F720">
        <v>220.01</v>
      </c>
      <c r="G720">
        <v>296.28036900000001</v>
      </c>
      <c r="H720">
        <v>220.03200100000001</v>
      </c>
      <c r="I720">
        <v>3.609643625467716</v>
      </c>
      <c r="J720">
        <v>0.84652838247865447</v>
      </c>
      <c r="K720">
        <v>-3.3748439134690021E-2</v>
      </c>
      <c r="L720">
        <v>3.8476813893852747E-2</v>
      </c>
      <c r="M720" t="s">
        <v>27</v>
      </c>
      <c r="N720">
        <v>14</v>
      </c>
      <c r="O720" t="s">
        <v>28</v>
      </c>
      <c r="P720">
        <v>80099</v>
      </c>
      <c r="Q720">
        <v>296.32</v>
      </c>
      <c r="R720">
        <v>220.02</v>
      </c>
      <c r="S720">
        <v>0.31314877450171341</v>
      </c>
      <c r="T720">
        <v>4.7283747592677882E-5</v>
      </c>
      <c r="U720">
        <v>-3.6458452426162708E-3</v>
      </c>
      <c r="V720">
        <v>3.6930260706338051E-3</v>
      </c>
      <c r="W720">
        <v>-7.3388713132500746E-3</v>
      </c>
      <c r="Y720" s="19">
        <f t="shared" si="31"/>
        <v>46157</v>
      </c>
      <c r="AE720" s="19" t="e">
        <f t="shared" si="32"/>
        <v>#VALUE!</v>
      </c>
      <c r="AF720" s="19"/>
    </row>
    <row r="721" spans="1:32" x14ac:dyDescent="0.3">
      <c r="A721">
        <v>14</v>
      </c>
      <c r="B721" t="s">
        <v>25</v>
      </c>
      <c r="C721" t="s">
        <v>33</v>
      </c>
      <c r="D721">
        <v>80489</v>
      </c>
      <c r="E721">
        <v>296.26</v>
      </c>
      <c r="F721">
        <v>221.23</v>
      </c>
      <c r="G721">
        <v>296.289626</v>
      </c>
      <c r="H721">
        <v>221.207877</v>
      </c>
      <c r="I721">
        <v>-4.5945259344428857</v>
      </c>
      <c r="J721">
        <v>0.84652838247865447</v>
      </c>
      <c r="K721">
        <v>3.3754134881522978E-2</v>
      </c>
      <c r="L721">
        <v>-3.8264628779037857E-2</v>
      </c>
      <c r="M721" t="s">
        <v>29</v>
      </c>
      <c r="N721">
        <v>6</v>
      </c>
      <c r="O721" t="s">
        <v>28</v>
      </c>
      <c r="P721">
        <v>80495</v>
      </c>
      <c r="Q721">
        <v>297.02999999999997</v>
      </c>
      <c r="R721">
        <v>218.91</v>
      </c>
      <c r="S721">
        <v>0.44471239200694601</v>
      </c>
      <c r="T721">
        <v>0.11476462262613971</v>
      </c>
      <c r="U721">
        <v>0.11107784418667339</v>
      </c>
      <c r="V721">
        <v>3.6930874592808129E-3</v>
      </c>
      <c r="W721">
        <v>0.10738475672739251</v>
      </c>
      <c r="Y721" s="19">
        <f t="shared" si="31"/>
        <v>46160</v>
      </c>
      <c r="AE721" s="19" t="e">
        <f t="shared" si="32"/>
        <v>#VALUE!</v>
      </c>
      <c r="AF721" s="19"/>
    </row>
    <row r="722" spans="1:32" x14ac:dyDescent="0.3">
      <c r="A722">
        <v>14</v>
      </c>
      <c r="B722" t="s">
        <v>25</v>
      </c>
      <c r="C722" t="s">
        <v>33</v>
      </c>
      <c r="D722">
        <v>80653</v>
      </c>
      <c r="E722">
        <v>296.22000000000003</v>
      </c>
      <c r="F722">
        <v>216.9</v>
      </c>
      <c r="G722">
        <v>296.19037800000001</v>
      </c>
      <c r="H722">
        <v>216.92169000000001</v>
      </c>
      <c r="I722">
        <v>3.5390571784769369</v>
      </c>
      <c r="J722">
        <v>0.84652838247865447</v>
      </c>
      <c r="K722">
        <v>-3.3758692863412328E-2</v>
      </c>
      <c r="L722">
        <v>3.9028510026678398E-2</v>
      </c>
      <c r="M722" t="s">
        <v>27</v>
      </c>
      <c r="N722">
        <v>10</v>
      </c>
      <c r="O722" t="s">
        <v>28</v>
      </c>
      <c r="P722">
        <v>80663</v>
      </c>
      <c r="Q722">
        <v>296.16000000000003</v>
      </c>
      <c r="R722">
        <v>217.1</v>
      </c>
      <c r="S722">
        <v>8.1575158676853221E-2</v>
      </c>
      <c r="T722">
        <v>9.8312235771400528E-3</v>
      </c>
      <c r="U722">
        <v>6.1375887941399537E-3</v>
      </c>
      <c r="V722">
        <v>3.6930260706338051E-3</v>
      </c>
      <c r="W722">
        <v>2.444562723506149E-3</v>
      </c>
      <c r="Y722" s="19">
        <f t="shared" si="31"/>
        <v>46160</v>
      </c>
      <c r="AE722" s="19" t="e">
        <f t="shared" si="32"/>
        <v>#VALUE!</v>
      </c>
      <c r="AF722" s="19"/>
    </row>
    <row r="723" spans="1:32" x14ac:dyDescent="0.3">
      <c r="A723">
        <v>14</v>
      </c>
      <c r="B723" t="s">
        <v>25</v>
      </c>
      <c r="C723" t="s">
        <v>33</v>
      </c>
      <c r="D723">
        <v>80884</v>
      </c>
      <c r="E723">
        <v>298.27</v>
      </c>
      <c r="F723">
        <v>216.11</v>
      </c>
      <c r="G723">
        <v>298.24017300000003</v>
      </c>
      <c r="H723">
        <v>216.13161099999999</v>
      </c>
      <c r="I723">
        <v>3.8697646697960719</v>
      </c>
      <c r="J723">
        <v>0.84652838247865447</v>
      </c>
      <c r="K723">
        <v>-3.352667046635599E-2</v>
      </c>
      <c r="L723">
        <v>3.9171180532074149E-2</v>
      </c>
      <c r="M723" t="s">
        <v>27</v>
      </c>
      <c r="N723">
        <v>6</v>
      </c>
      <c r="O723" t="s">
        <v>28</v>
      </c>
      <c r="P723">
        <v>80890</v>
      </c>
      <c r="Q723">
        <v>300.38</v>
      </c>
      <c r="R723">
        <v>218.7</v>
      </c>
      <c r="S723">
        <v>0.43637767145774642</v>
      </c>
      <c r="T723">
        <v>3.0712082894059481E-2</v>
      </c>
      <c r="U723">
        <v>2.700180666587533E-2</v>
      </c>
      <c r="V723">
        <v>3.6930260706338051E-3</v>
      </c>
      <c r="W723">
        <v>2.330878059524152E-2</v>
      </c>
      <c r="Y723" s="19">
        <f t="shared" si="31"/>
        <v>46161</v>
      </c>
      <c r="AE723" s="19" t="e">
        <f t="shared" si="32"/>
        <v>#VALUE!</v>
      </c>
      <c r="AF723" s="19"/>
    </row>
    <row r="724" spans="1:32" x14ac:dyDescent="0.3">
      <c r="A724">
        <v>14</v>
      </c>
      <c r="B724" t="s">
        <v>25</v>
      </c>
      <c r="C724" t="s">
        <v>33</v>
      </c>
      <c r="D724">
        <v>81270</v>
      </c>
      <c r="E724">
        <v>299.14499999999998</v>
      </c>
      <c r="F724">
        <v>218.6</v>
      </c>
      <c r="G724">
        <v>299.11508550000002</v>
      </c>
      <c r="H724">
        <v>218.62186</v>
      </c>
      <c r="I724">
        <v>3.7897098920920431</v>
      </c>
      <c r="J724">
        <v>0.84652838247865447</v>
      </c>
      <c r="K724">
        <v>-3.3428604857176289E-2</v>
      </c>
      <c r="L724">
        <v>3.8724994623909173E-2</v>
      </c>
      <c r="M724" t="s">
        <v>27</v>
      </c>
      <c r="N724">
        <v>7</v>
      </c>
      <c r="O724" t="s">
        <v>28</v>
      </c>
      <c r="P724">
        <v>81277</v>
      </c>
      <c r="Q724">
        <v>298.67</v>
      </c>
      <c r="R724">
        <v>218.79499999999999</v>
      </c>
      <c r="S724">
        <v>-0.33695350295845922</v>
      </c>
      <c r="T724">
        <v>2.3429961258819621E-2</v>
      </c>
      <c r="U724">
        <v>1.9737737215195859E-2</v>
      </c>
      <c r="V724">
        <v>3.6930260706338051E-3</v>
      </c>
      <c r="W724">
        <v>1.604471114456205E-2</v>
      </c>
      <c r="Y724" s="19">
        <f t="shared" si="31"/>
        <v>46162</v>
      </c>
      <c r="AE724" s="19" t="e">
        <f t="shared" si="32"/>
        <v>#VALUE!</v>
      </c>
      <c r="AF724" s="19"/>
    </row>
    <row r="725" spans="1:32" x14ac:dyDescent="0.3">
      <c r="A725">
        <v>14</v>
      </c>
      <c r="B725" t="s">
        <v>25</v>
      </c>
      <c r="C725" t="s">
        <v>33</v>
      </c>
      <c r="D725">
        <v>81660</v>
      </c>
      <c r="E725">
        <v>305.63</v>
      </c>
      <c r="F725">
        <v>218.25</v>
      </c>
      <c r="G725">
        <v>305.59943700000002</v>
      </c>
      <c r="H725">
        <v>218.27182500000001</v>
      </c>
      <c r="I725">
        <v>5.0815120608536146</v>
      </c>
      <c r="J725">
        <v>0.84652838247865447</v>
      </c>
      <c r="K725">
        <v>-3.2719301115728169E-2</v>
      </c>
      <c r="L725">
        <v>3.8787096562595852E-2</v>
      </c>
      <c r="M725" t="s">
        <v>27</v>
      </c>
      <c r="N725">
        <v>3</v>
      </c>
      <c r="O725" t="s">
        <v>28</v>
      </c>
      <c r="P725">
        <v>81663</v>
      </c>
      <c r="Q725">
        <v>305.86</v>
      </c>
      <c r="R725">
        <v>221.86</v>
      </c>
      <c r="S725">
        <v>0.40834239383739601</v>
      </c>
      <c r="T725">
        <v>0.1324959793343535</v>
      </c>
      <c r="U725">
        <v>0.1287881678836128</v>
      </c>
      <c r="V725">
        <v>3.6930260706338051E-3</v>
      </c>
      <c r="W725">
        <v>0.12509514181297901</v>
      </c>
      <c r="Y725" s="19">
        <f t="shared" si="31"/>
        <v>46163</v>
      </c>
      <c r="AE725" s="19" t="e">
        <f t="shared" si="32"/>
        <v>#VALUE!</v>
      </c>
      <c r="AF725" s="19"/>
    </row>
    <row r="726" spans="1:32" x14ac:dyDescent="0.3">
      <c r="A726">
        <v>14</v>
      </c>
      <c r="B726" t="s">
        <v>25</v>
      </c>
      <c r="C726" t="s">
        <v>33</v>
      </c>
      <c r="D726">
        <v>81752</v>
      </c>
      <c r="E726">
        <v>308.54500000000002</v>
      </c>
      <c r="F726">
        <v>225.67500000000001</v>
      </c>
      <c r="G726">
        <v>308.51414549999998</v>
      </c>
      <c r="H726">
        <v>225.69756749999999</v>
      </c>
      <c r="I726">
        <v>3.5279137560374521</v>
      </c>
      <c r="J726">
        <v>0.84652838247865447</v>
      </c>
      <c r="K726">
        <v>-3.2410183279586453E-2</v>
      </c>
      <c r="L726">
        <v>3.7510950813278141E-2</v>
      </c>
      <c r="M726" t="s">
        <v>27</v>
      </c>
      <c r="N726">
        <v>34</v>
      </c>
      <c r="O726" t="s">
        <v>28</v>
      </c>
      <c r="P726">
        <v>81786</v>
      </c>
      <c r="Q726">
        <v>309.96499999999997</v>
      </c>
      <c r="R726">
        <v>225.99</v>
      </c>
      <c r="S726">
        <v>0.23272127973703749</v>
      </c>
      <c r="T726">
        <v>-3.4206510750828888E-2</v>
      </c>
      <c r="U726">
        <v>-3.7905351356761957E-2</v>
      </c>
      <c r="V726">
        <v>3.6930260706338051E-3</v>
      </c>
      <c r="W726">
        <v>-4.1598377427395757E-2</v>
      </c>
      <c r="Y726" s="19">
        <f t="shared" si="31"/>
        <v>46163</v>
      </c>
      <c r="AE726" s="19" t="e">
        <f t="shared" si="32"/>
        <v>#VALUE!</v>
      </c>
      <c r="AF726" s="19"/>
    </row>
    <row r="727" spans="1:32" x14ac:dyDescent="0.3">
      <c r="A727">
        <v>14</v>
      </c>
      <c r="B727" t="s">
        <v>25</v>
      </c>
      <c r="C727" t="s">
        <v>33</v>
      </c>
      <c r="D727">
        <v>82054</v>
      </c>
      <c r="E727">
        <v>313.70999999999998</v>
      </c>
      <c r="F727">
        <v>227.08</v>
      </c>
      <c r="G727">
        <v>313.678629</v>
      </c>
      <c r="H727">
        <v>227.10270800000001</v>
      </c>
      <c r="I727">
        <v>3.913813190690052</v>
      </c>
      <c r="J727">
        <v>0.84652838247865447</v>
      </c>
      <c r="K727">
        <v>-3.1876573905836612E-2</v>
      </c>
      <c r="L727">
        <v>3.7278861303446112E-2</v>
      </c>
      <c r="M727" t="s">
        <v>27</v>
      </c>
      <c r="N727">
        <v>7</v>
      </c>
      <c r="O727" t="s">
        <v>28</v>
      </c>
      <c r="P727">
        <v>82061</v>
      </c>
      <c r="Q727">
        <v>311.66500000000002</v>
      </c>
      <c r="R727">
        <v>227.18</v>
      </c>
      <c r="S727">
        <v>-8.3956878935523463E-2</v>
      </c>
      <c r="T727">
        <v>6.8915479767778953E-2</v>
      </c>
      <c r="U727">
        <v>6.5228568973573861E-2</v>
      </c>
      <c r="V727">
        <v>3.6930260706338051E-3</v>
      </c>
      <c r="W727">
        <v>6.1535542902940048E-2</v>
      </c>
      <c r="Y727" s="19">
        <f t="shared" si="31"/>
        <v>46164</v>
      </c>
      <c r="AE727" s="19" t="e">
        <f t="shared" si="32"/>
        <v>#VALUE!</v>
      </c>
      <c r="AF727" s="19"/>
    </row>
    <row r="728" spans="1:32" x14ac:dyDescent="0.3">
      <c r="A728">
        <v>14</v>
      </c>
      <c r="B728" t="s">
        <v>25</v>
      </c>
      <c r="C728" t="s">
        <v>33</v>
      </c>
      <c r="D728">
        <v>82302</v>
      </c>
      <c r="E728">
        <v>313.24</v>
      </c>
      <c r="F728">
        <v>228.56</v>
      </c>
      <c r="G728">
        <v>313.20867600000003</v>
      </c>
      <c r="H728">
        <v>228.58285599999999</v>
      </c>
      <c r="I728">
        <v>4.3295014889684458</v>
      </c>
      <c r="J728">
        <v>0.84652838247865447</v>
      </c>
      <c r="K728">
        <v>-3.1924403013663637E-2</v>
      </c>
      <c r="L728">
        <v>3.7037468606871467E-2</v>
      </c>
      <c r="M728" t="s">
        <v>27</v>
      </c>
      <c r="N728">
        <v>7</v>
      </c>
      <c r="O728" t="s">
        <v>28</v>
      </c>
      <c r="P728">
        <v>82309</v>
      </c>
      <c r="Q728">
        <v>312.77999999999997</v>
      </c>
      <c r="R728">
        <v>228.77</v>
      </c>
      <c r="S728">
        <v>-0.176019276148038</v>
      </c>
      <c r="T728">
        <v>2.2463093793729742E-2</v>
      </c>
      <c r="U728">
        <v>1.8770727764471858E-2</v>
      </c>
      <c r="V728">
        <v>3.6930260706338051E-3</v>
      </c>
      <c r="W728">
        <v>1.5077701693838061E-2</v>
      </c>
      <c r="Y728" s="19">
        <f t="shared" si="31"/>
        <v>46167</v>
      </c>
      <c r="AE728" s="19" t="e">
        <f t="shared" si="32"/>
        <v>#VALUE!</v>
      </c>
    </row>
    <row r="729" spans="1:32" x14ac:dyDescent="0.3">
      <c r="A729">
        <v>14</v>
      </c>
      <c r="B729" t="s">
        <v>25</v>
      </c>
      <c r="C729" t="s">
        <v>33</v>
      </c>
      <c r="D729">
        <v>82444</v>
      </c>
      <c r="E729">
        <v>314.29000000000002</v>
      </c>
      <c r="F729">
        <v>228.31</v>
      </c>
      <c r="G729">
        <v>314.25857100000002</v>
      </c>
      <c r="H729">
        <v>228.332831</v>
      </c>
      <c r="I729">
        <v>4.4278949089239621</v>
      </c>
      <c r="J729">
        <v>0.84652838247865447</v>
      </c>
      <c r="K729">
        <v>-3.1817747939800821E-2</v>
      </c>
      <c r="L729">
        <v>3.7078024724219463E-2</v>
      </c>
      <c r="M729" t="s">
        <v>27</v>
      </c>
      <c r="N729">
        <v>8</v>
      </c>
      <c r="O729" t="s">
        <v>28</v>
      </c>
      <c r="P729">
        <v>82452</v>
      </c>
      <c r="Q729">
        <v>313.38</v>
      </c>
      <c r="R729">
        <v>228.31</v>
      </c>
      <c r="S729">
        <v>0.41811418774632853</v>
      </c>
      <c r="T729">
        <v>2.8954150625219541E-2</v>
      </c>
      <c r="U729">
        <v>2.526398927532476E-2</v>
      </c>
      <c r="V729">
        <v>3.6930260706338051E-3</v>
      </c>
      <c r="W729">
        <v>2.1570963204690961E-2</v>
      </c>
      <c r="Y729" s="19">
        <f t="shared" si="31"/>
        <v>46167</v>
      </c>
      <c r="AE729" s="19" t="e">
        <f t="shared" si="32"/>
        <v>#VALUE!</v>
      </c>
    </row>
    <row r="730" spans="1:32" x14ac:dyDescent="0.3">
      <c r="A730">
        <v>14</v>
      </c>
      <c r="B730" t="s">
        <v>25</v>
      </c>
      <c r="C730" t="s">
        <v>32</v>
      </c>
      <c r="D730">
        <v>78601</v>
      </c>
      <c r="E730">
        <v>305.10000000000002</v>
      </c>
      <c r="F730">
        <v>54.924999999999997</v>
      </c>
      <c r="G730">
        <v>305.06948999999997</v>
      </c>
      <c r="H730">
        <v>54.9304925</v>
      </c>
      <c r="I730">
        <v>5.2945351241632892</v>
      </c>
      <c r="J730">
        <v>0.83393110353335465</v>
      </c>
      <c r="K730">
        <v>-3.2776138970829233E-2</v>
      </c>
      <c r="L730">
        <v>0.1518308791139471</v>
      </c>
      <c r="M730" t="s">
        <v>27</v>
      </c>
      <c r="N730">
        <v>23</v>
      </c>
      <c r="O730" t="s">
        <v>28</v>
      </c>
      <c r="P730">
        <v>78624</v>
      </c>
      <c r="Q730">
        <v>305.64999999999998</v>
      </c>
      <c r="R730">
        <v>54.914999999999999</v>
      </c>
      <c r="S730">
        <v>0.494204135774585</v>
      </c>
      <c r="T730">
        <v>-1.9545185225093759E-2</v>
      </c>
      <c r="U730">
        <v>-2.3214698288925379E-2</v>
      </c>
      <c r="V730">
        <v>3.6678289932874169E-3</v>
      </c>
      <c r="W730">
        <v>-2.6882527282212791E-2</v>
      </c>
      <c r="Y730" s="19">
        <f t="shared" si="31"/>
        <v>46153</v>
      </c>
      <c r="AE730" s="19" t="e">
        <f t="shared" si="32"/>
        <v>#VALUE!</v>
      </c>
    </row>
    <row r="731" spans="1:32" x14ac:dyDescent="0.3">
      <c r="A731">
        <v>14</v>
      </c>
      <c r="B731" t="s">
        <v>25</v>
      </c>
      <c r="C731" t="s">
        <v>32</v>
      </c>
      <c r="D731">
        <v>78924</v>
      </c>
      <c r="E731">
        <v>307.83999999999997</v>
      </c>
      <c r="F731">
        <v>54.82</v>
      </c>
      <c r="G731">
        <v>307.80921599999999</v>
      </c>
      <c r="H731">
        <v>54.825482000000001</v>
      </c>
      <c r="I731">
        <v>4.649092413692328</v>
      </c>
      <c r="J731">
        <v>0.83393110353335465</v>
      </c>
      <c r="K731">
        <v>-3.2484407484407493E-2</v>
      </c>
      <c r="L731">
        <v>0.15212168980907601</v>
      </c>
      <c r="M731" t="s">
        <v>27</v>
      </c>
      <c r="N731">
        <v>3</v>
      </c>
      <c r="O731" t="s">
        <v>28</v>
      </c>
      <c r="P731">
        <v>78927</v>
      </c>
      <c r="Q731">
        <v>308.47000000000003</v>
      </c>
      <c r="R731">
        <v>55.22</v>
      </c>
      <c r="S731">
        <v>0.44634293787323259</v>
      </c>
      <c r="T731">
        <v>4.0383499208451773E-2</v>
      </c>
      <c r="U731">
        <v>3.670750561612196E-2</v>
      </c>
      <c r="V731">
        <v>3.6678289932874169E-3</v>
      </c>
      <c r="W731">
        <v>3.3039676622834538E-2</v>
      </c>
      <c r="Y731" s="19">
        <f t="shared" si="31"/>
        <v>46154</v>
      </c>
      <c r="AE731" s="19" t="e">
        <f t="shared" si="32"/>
        <v>#VALUE!</v>
      </c>
    </row>
    <row r="732" spans="1:32" x14ac:dyDescent="0.3">
      <c r="A732">
        <v>14</v>
      </c>
      <c r="B732" t="s">
        <v>25</v>
      </c>
      <c r="C732" t="s">
        <v>32</v>
      </c>
      <c r="D732">
        <v>79138</v>
      </c>
      <c r="E732">
        <v>306.8</v>
      </c>
      <c r="F732">
        <v>54.895000000000003</v>
      </c>
      <c r="G732">
        <v>306.76931999999999</v>
      </c>
      <c r="H732">
        <v>54.900489499999999</v>
      </c>
      <c r="I732">
        <v>3.5004291447441811</v>
      </c>
      <c r="J732">
        <v>0.83393110353335465</v>
      </c>
      <c r="K732">
        <v>-3.259452411994785E-2</v>
      </c>
      <c r="L732">
        <v>0.1519138543643965</v>
      </c>
      <c r="M732" t="s">
        <v>27</v>
      </c>
      <c r="N732">
        <v>20</v>
      </c>
      <c r="O732" t="s">
        <v>28</v>
      </c>
      <c r="P732">
        <v>79158</v>
      </c>
      <c r="Q732">
        <v>306.44</v>
      </c>
      <c r="R732">
        <v>54.83</v>
      </c>
      <c r="S732">
        <v>5.071146330960475E-2</v>
      </c>
      <c r="T732">
        <v>1.8596281494951651E-3</v>
      </c>
      <c r="U732">
        <v>-1.806073214649389E-3</v>
      </c>
      <c r="V732">
        <v>3.667828993287416E-3</v>
      </c>
      <c r="W732">
        <v>-5.4739022079368042E-3</v>
      </c>
      <c r="Y732" s="19">
        <f t="shared" si="31"/>
        <v>46154</v>
      </c>
      <c r="AE732" s="19" t="e">
        <f t="shared" si="32"/>
        <v>#VALUE!</v>
      </c>
    </row>
    <row r="733" spans="1:32" x14ac:dyDescent="0.3">
      <c r="A733">
        <v>14</v>
      </c>
      <c r="B733" t="s">
        <v>25</v>
      </c>
      <c r="C733" t="s">
        <v>32</v>
      </c>
      <c r="D733">
        <v>79315</v>
      </c>
      <c r="E733">
        <v>305.67</v>
      </c>
      <c r="F733">
        <v>55.38</v>
      </c>
      <c r="G733">
        <v>305.70056699999998</v>
      </c>
      <c r="H733">
        <v>55.374462000000001</v>
      </c>
      <c r="I733">
        <v>-5.0780496422157704</v>
      </c>
      <c r="J733">
        <v>0.83393110353335465</v>
      </c>
      <c r="K733">
        <v>3.2715019465436583E-2</v>
      </c>
      <c r="L733">
        <v>-0.1505834423137152</v>
      </c>
      <c r="M733" t="s">
        <v>29</v>
      </c>
      <c r="N733">
        <v>28</v>
      </c>
      <c r="O733" t="s">
        <v>28</v>
      </c>
      <c r="P733">
        <v>79343</v>
      </c>
      <c r="Q733">
        <v>298.39</v>
      </c>
      <c r="R733">
        <v>54.86</v>
      </c>
      <c r="S733">
        <v>-0.4181215358007575</v>
      </c>
      <c r="T733">
        <v>-0.15986195170524689</v>
      </c>
      <c r="U733">
        <v>-0.16349816703914241</v>
      </c>
      <c r="V733">
        <v>3.667895420846003E-3</v>
      </c>
      <c r="W733">
        <v>-0.16716606245998841</v>
      </c>
      <c r="Y733" s="19">
        <f t="shared" si="31"/>
        <v>46155</v>
      </c>
      <c r="AE733" s="19" t="e">
        <f t="shared" si="32"/>
        <v>#VALUE!</v>
      </c>
    </row>
    <row r="734" spans="1:32" x14ac:dyDescent="0.3">
      <c r="A734">
        <v>14</v>
      </c>
      <c r="B734" t="s">
        <v>25</v>
      </c>
      <c r="C734" t="s">
        <v>32</v>
      </c>
      <c r="D734">
        <v>79417</v>
      </c>
      <c r="E734">
        <v>299.02999999999997</v>
      </c>
      <c r="F734">
        <v>54.95</v>
      </c>
      <c r="G734">
        <v>299.05990300000002</v>
      </c>
      <c r="H734">
        <v>54.944505000000007</v>
      </c>
      <c r="I734">
        <v>-3.836939432605313</v>
      </c>
      <c r="J734">
        <v>0.83393110353335465</v>
      </c>
      <c r="K734">
        <v>3.3441460723004378E-2</v>
      </c>
      <c r="L734">
        <v>-0.15176180228086519</v>
      </c>
      <c r="M734" t="s">
        <v>29</v>
      </c>
      <c r="N734">
        <v>35</v>
      </c>
      <c r="O734" t="s">
        <v>28</v>
      </c>
      <c r="P734">
        <v>79452</v>
      </c>
      <c r="Q734">
        <v>296.85000000000002</v>
      </c>
      <c r="R734">
        <v>54.73</v>
      </c>
      <c r="S734">
        <v>0.11068875651903801</v>
      </c>
      <c r="T734">
        <v>-3.9514787874356631E-2</v>
      </c>
      <c r="U734">
        <v>-4.3172021083334032E-2</v>
      </c>
      <c r="V734">
        <v>3.667895420846003E-3</v>
      </c>
      <c r="W734">
        <v>-4.6839916504180033E-2</v>
      </c>
      <c r="Y734" s="19">
        <f t="shared" si="31"/>
        <v>46155</v>
      </c>
      <c r="AE734" s="19" t="e">
        <f t="shared" si="32"/>
        <v>#VALUE!</v>
      </c>
    </row>
    <row r="735" spans="1:32" x14ac:dyDescent="0.3">
      <c r="A735">
        <v>14</v>
      </c>
      <c r="B735" t="s">
        <v>25</v>
      </c>
      <c r="C735" t="s">
        <v>32</v>
      </c>
      <c r="D735">
        <v>79841</v>
      </c>
      <c r="E735">
        <v>298.51</v>
      </c>
      <c r="F735">
        <v>54.46</v>
      </c>
      <c r="G735">
        <v>298.48014899999998</v>
      </c>
      <c r="H735">
        <v>54.465446</v>
      </c>
      <c r="I735">
        <v>4.4044256618888511</v>
      </c>
      <c r="J735">
        <v>0.83393110353335465</v>
      </c>
      <c r="K735">
        <v>-3.3499715252420348E-2</v>
      </c>
      <c r="L735">
        <v>0.15312726836822521</v>
      </c>
      <c r="M735" t="s">
        <v>27</v>
      </c>
      <c r="N735">
        <v>24</v>
      </c>
      <c r="O735" t="s">
        <v>28</v>
      </c>
      <c r="P735">
        <v>79865</v>
      </c>
      <c r="Q735">
        <v>297.63</v>
      </c>
      <c r="R735">
        <v>54.24</v>
      </c>
      <c r="S735">
        <v>0.40613429941503848</v>
      </c>
      <c r="T735">
        <v>-4.2082496188796184E-3</v>
      </c>
      <c r="U735">
        <v>-7.8697950510999114E-3</v>
      </c>
      <c r="V735">
        <v>3.667828993287416E-3</v>
      </c>
      <c r="W735">
        <v>-1.153762404438733E-2</v>
      </c>
      <c r="Y735" s="19">
        <f t="shared" si="31"/>
        <v>46156</v>
      </c>
      <c r="AE735" s="19" t="e">
        <f t="shared" si="32"/>
        <v>#VALUE!</v>
      </c>
    </row>
    <row r="736" spans="1:32" x14ac:dyDescent="0.3">
      <c r="A736">
        <v>14</v>
      </c>
      <c r="B736" t="s">
        <v>25</v>
      </c>
      <c r="C736" t="s">
        <v>32</v>
      </c>
      <c r="D736">
        <v>81256</v>
      </c>
      <c r="E736">
        <v>301.75</v>
      </c>
      <c r="F736">
        <v>54.664999999999999</v>
      </c>
      <c r="G736">
        <v>301.71982500000001</v>
      </c>
      <c r="H736">
        <v>54.670466500000003</v>
      </c>
      <c r="I736">
        <v>3.7799847467451189</v>
      </c>
      <c r="J736">
        <v>0.83393110353335465</v>
      </c>
      <c r="K736">
        <v>-3.3140016570008278E-2</v>
      </c>
      <c r="L736">
        <v>0.15255302360438211</v>
      </c>
      <c r="M736" t="s">
        <v>27</v>
      </c>
      <c r="N736">
        <v>4</v>
      </c>
      <c r="O736" t="s">
        <v>28</v>
      </c>
      <c r="P736">
        <v>81260</v>
      </c>
      <c r="Q736">
        <v>301.61</v>
      </c>
      <c r="R736">
        <v>54.71</v>
      </c>
      <c r="S736">
        <v>6.6804528957072659E-2</v>
      </c>
      <c r="T736">
        <v>1.1504488381998161E-2</v>
      </c>
      <c r="U736">
        <v>7.8364036465574279E-3</v>
      </c>
      <c r="V736">
        <v>3.6678289932874169E-3</v>
      </c>
      <c r="W736">
        <v>4.1685746532700114E-3</v>
      </c>
      <c r="Y736" s="19">
        <f t="shared" si="31"/>
        <v>46162</v>
      </c>
      <c r="AE736" s="19" t="e">
        <f t="shared" si="32"/>
        <v>#VALUE!</v>
      </c>
    </row>
    <row r="737" spans="1:32" x14ac:dyDescent="0.3">
      <c r="A737">
        <v>14</v>
      </c>
      <c r="B737" t="s">
        <v>25</v>
      </c>
      <c r="C737" t="s">
        <v>32</v>
      </c>
      <c r="D737">
        <v>81273</v>
      </c>
      <c r="E737">
        <v>300.01</v>
      </c>
      <c r="F737">
        <v>54.145000000000003</v>
      </c>
      <c r="G737">
        <v>299.97999900000002</v>
      </c>
      <c r="H737">
        <v>54.150414499999997</v>
      </c>
      <c r="I737">
        <v>3.8462478117456649</v>
      </c>
      <c r="J737">
        <v>0.83393110353335465</v>
      </c>
      <c r="K737">
        <v>-3.3332222259258033E-2</v>
      </c>
      <c r="L737">
        <v>0.15401811866901</v>
      </c>
      <c r="M737" t="s">
        <v>27</v>
      </c>
      <c r="N737">
        <v>12</v>
      </c>
      <c r="O737" t="s">
        <v>28</v>
      </c>
      <c r="P737">
        <v>81285</v>
      </c>
      <c r="Q737">
        <v>299.2</v>
      </c>
      <c r="R737">
        <v>54.045000000000002</v>
      </c>
      <c r="S737">
        <v>0.2878328184526589</v>
      </c>
      <c r="T737">
        <v>1.1597288163097861E-2</v>
      </c>
      <c r="U737">
        <v>7.9336660472220134E-3</v>
      </c>
      <c r="V737">
        <v>3.6678289932874169E-3</v>
      </c>
      <c r="W737">
        <v>4.2658370539345961E-3</v>
      </c>
      <c r="Y737" s="19">
        <f t="shared" si="31"/>
        <v>46162</v>
      </c>
      <c r="AE737" s="19" t="e">
        <f t="shared" si="32"/>
        <v>#VALUE!</v>
      </c>
    </row>
    <row r="738" spans="1:32" x14ac:dyDescent="0.3">
      <c r="A738">
        <v>14</v>
      </c>
      <c r="B738" t="s">
        <v>25</v>
      </c>
      <c r="C738" t="s">
        <v>32</v>
      </c>
      <c r="D738">
        <v>81660</v>
      </c>
      <c r="E738">
        <v>305.63</v>
      </c>
      <c r="F738">
        <v>53.86</v>
      </c>
      <c r="G738">
        <v>305.59943700000002</v>
      </c>
      <c r="H738">
        <v>53.865386000000001</v>
      </c>
      <c r="I738">
        <v>4.251640778709965</v>
      </c>
      <c r="J738">
        <v>0.83393110353335465</v>
      </c>
      <c r="K738">
        <v>-3.2719301115728169E-2</v>
      </c>
      <c r="L738">
        <v>0.15483310500062281</v>
      </c>
      <c r="M738" t="s">
        <v>27</v>
      </c>
      <c r="N738">
        <v>8</v>
      </c>
      <c r="O738" t="s">
        <v>28</v>
      </c>
      <c r="P738">
        <v>81668</v>
      </c>
      <c r="Q738">
        <v>305.39999999999998</v>
      </c>
      <c r="R738">
        <v>54.19</v>
      </c>
      <c r="S738">
        <v>-0.2525980049805957</v>
      </c>
      <c r="T738">
        <v>5.8620363906823347E-2</v>
      </c>
      <c r="U738">
        <v>5.4948144751219397E-2</v>
      </c>
      <c r="V738">
        <v>3.6678289932874169E-3</v>
      </c>
      <c r="W738">
        <v>5.1280315757931981E-2</v>
      </c>
      <c r="Y738" s="19">
        <f t="shared" si="31"/>
        <v>46163</v>
      </c>
      <c r="AE738" s="19" t="e">
        <f t="shared" si="32"/>
        <v>#VALUE!</v>
      </c>
    </row>
    <row r="739" spans="1:32" x14ac:dyDescent="0.3">
      <c r="A739">
        <v>14</v>
      </c>
      <c r="B739" t="s">
        <v>25</v>
      </c>
      <c r="C739" t="s">
        <v>32</v>
      </c>
      <c r="D739">
        <v>82054</v>
      </c>
      <c r="E739">
        <v>313.70999999999998</v>
      </c>
      <c r="F739">
        <v>55.52</v>
      </c>
      <c r="G739">
        <v>313.678629</v>
      </c>
      <c r="H739">
        <v>55.525551999999998</v>
      </c>
      <c r="I739">
        <v>3.5201568235003911</v>
      </c>
      <c r="J739">
        <v>0.83393110353335465</v>
      </c>
      <c r="K739">
        <v>-3.1876573905836612E-2</v>
      </c>
      <c r="L739">
        <v>0.15020372902257831</v>
      </c>
      <c r="M739" t="s">
        <v>27</v>
      </c>
      <c r="N739">
        <v>5</v>
      </c>
      <c r="O739" t="s">
        <v>28</v>
      </c>
      <c r="P739">
        <v>82059</v>
      </c>
      <c r="Q739">
        <v>312.17</v>
      </c>
      <c r="R739">
        <v>55.51</v>
      </c>
      <c r="S739">
        <v>0.37208797032805607</v>
      </c>
      <c r="T739">
        <v>4.7587886524760661E-2</v>
      </c>
      <c r="U739">
        <v>4.3925083513806328E-2</v>
      </c>
      <c r="V739">
        <v>3.6678289932874169E-3</v>
      </c>
      <c r="W739">
        <v>4.0257254520518919E-2</v>
      </c>
      <c r="Y739" s="19">
        <f t="shared" si="31"/>
        <v>46164</v>
      </c>
      <c r="AE739" s="19" t="e">
        <f t="shared" si="32"/>
        <v>#VALUE!</v>
      </c>
      <c r="AF739" s="19"/>
    </row>
    <row r="740" spans="1:32" x14ac:dyDescent="0.3">
      <c r="A740">
        <v>14</v>
      </c>
      <c r="B740" t="s">
        <v>25</v>
      </c>
      <c r="C740" t="s">
        <v>32</v>
      </c>
      <c r="D740">
        <v>82444</v>
      </c>
      <c r="E740">
        <v>314.29000000000002</v>
      </c>
      <c r="F740">
        <v>55.685000000000002</v>
      </c>
      <c r="G740">
        <v>314.25857100000002</v>
      </c>
      <c r="H740">
        <v>55.690568499999998</v>
      </c>
      <c r="I740">
        <v>4.1856957755404753</v>
      </c>
      <c r="J740">
        <v>0.83393110353335465</v>
      </c>
      <c r="K740">
        <v>-3.1817747939800821E-2</v>
      </c>
      <c r="L740">
        <v>0.1497586609559764</v>
      </c>
      <c r="M740" t="s">
        <v>27</v>
      </c>
      <c r="N740">
        <v>9</v>
      </c>
      <c r="O740" t="s">
        <v>28</v>
      </c>
      <c r="P740">
        <v>82453</v>
      </c>
      <c r="Q740">
        <v>312.87</v>
      </c>
      <c r="R740">
        <v>55.72</v>
      </c>
      <c r="S740">
        <v>-0.29711485686835187</v>
      </c>
      <c r="T740">
        <v>5.0422755207976337E-2</v>
      </c>
      <c r="U740">
        <v>4.6758886965802493E-2</v>
      </c>
      <c r="V740">
        <v>3.6678289932874169E-3</v>
      </c>
      <c r="W740">
        <v>4.3091057972515077E-2</v>
      </c>
      <c r="Y740" s="19">
        <f t="shared" si="31"/>
        <v>46167</v>
      </c>
      <c r="AE740" s="19" t="e">
        <f t="shared" si="32"/>
        <v>#VALUE!</v>
      </c>
      <c r="AF740" s="19"/>
    </row>
    <row r="741" spans="1:32" x14ac:dyDescent="0.3">
      <c r="A741">
        <v>14</v>
      </c>
      <c r="B741" t="s">
        <v>25</v>
      </c>
      <c r="C741" t="s">
        <v>30</v>
      </c>
      <c r="D741">
        <v>78601</v>
      </c>
      <c r="E741">
        <v>305.10000000000002</v>
      </c>
      <c r="F741">
        <v>51.835000000000001</v>
      </c>
      <c r="G741">
        <v>305.06948999999997</v>
      </c>
      <c r="H741">
        <v>51.840183500000002</v>
      </c>
      <c r="I741">
        <v>5.2940400530198959</v>
      </c>
      <c r="J741">
        <v>0.69393344791452305</v>
      </c>
      <c r="K741">
        <v>-3.2776138970829233E-2</v>
      </c>
      <c r="L741">
        <v>0.13387353099537441</v>
      </c>
      <c r="M741" t="s">
        <v>27</v>
      </c>
      <c r="N741">
        <v>23</v>
      </c>
      <c r="O741" t="s">
        <v>28</v>
      </c>
      <c r="P741">
        <v>78624</v>
      </c>
      <c r="Q741">
        <v>305.64999999999998</v>
      </c>
      <c r="R741">
        <v>52.034999999999997</v>
      </c>
      <c r="S741">
        <v>0.49260917092900569</v>
      </c>
      <c r="T741">
        <v>8.7478297651197162E-3</v>
      </c>
      <c r="U741">
        <v>5.3554827110266282E-3</v>
      </c>
      <c r="V741">
        <v>3.38780568251863E-3</v>
      </c>
      <c r="W741">
        <v>1.9676770285079991E-3</v>
      </c>
      <c r="Y741" s="19">
        <f t="shared" si="31"/>
        <v>46153</v>
      </c>
      <c r="AE741" s="19" t="e">
        <f t="shared" si="32"/>
        <v>#VALUE!</v>
      </c>
      <c r="AF741" s="19"/>
    </row>
    <row r="742" spans="1:32" x14ac:dyDescent="0.3">
      <c r="A742">
        <v>14</v>
      </c>
      <c r="B742" t="s">
        <v>25</v>
      </c>
      <c r="C742" t="s">
        <v>30</v>
      </c>
      <c r="D742">
        <v>78924</v>
      </c>
      <c r="E742">
        <v>307.83999999999997</v>
      </c>
      <c r="F742">
        <v>51.79</v>
      </c>
      <c r="G742">
        <v>307.80921599999999</v>
      </c>
      <c r="H742">
        <v>51.795178999999997</v>
      </c>
      <c r="I742">
        <v>4.8575155067542157</v>
      </c>
      <c r="J742">
        <v>0.69393344791452305</v>
      </c>
      <c r="K742">
        <v>-3.2484407484407493E-2</v>
      </c>
      <c r="L742">
        <v>0.13398985285084439</v>
      </c>
      <c r="M742" t="s">
        <v>27</v>
      </c>
      <c r="N742">
        <v>1</v>
      </c>
      <c r="O742" t="s">
        <v>28</v>
      </c>
      <c r="P742">
        <v>78925</v>
      </c>
      <c r="Q742">
        <v>308.56</v>
      </c>
      <c r="R742">
        <v>52.27</v>
      </c>
      <c r="S742">
        <v>0.42395667240886109</v>
      </c>
      <c r="T742">
        <v>4.0926355979631547E-2</v>
      </c>
      <c r="U742">
        <v>3.7529718693528807E-2</v>
      </c>
      <c r="V742">
        <v>3.38780568251863E-3</v>
      </c>
      <c r="W742">
        <v>3.4141913011010168E-2</v>
      </c>
      <c r="Y742" s="19">
        <f t="shared" si="31"/>
        <v>46154</v>
      </c>
      <c r="AE742" s="19" t="e">
        <f t="shared" si="32"/>
        <v>#VALUE!</v>
      </c>
      <c r="AF742" s="19"/>
    </row>
    <row r="743" spans="1:32" x14ac:dyDescent="0.3">
      <c r="A743">
        <v>14</v>
      </c>
      <c r="B743" t="s">
        <v>25</v>
      </c>
      <c r="C743" t="s">
        <v>30</v>
      </c>
      <c r="D743">
        <v>79315</v>
      </c>
      <c r="E743">
        <v>305.67</v>
      </c>
      <c r="F743">
        <v>52.454999999999998</v>
      </c>
      <c r="G743">
        <v>305.70056699999998</v>
      </c>
      <c r="H743">
        <v>52.449754499999997</v>
      </c>
      <c r="I743">
        <v>-5.1425018687470523</v>
      </c>
      <c r="J743">
        <v>0.69393344791452305</v>
      </c>
      <c r="K743">
        <v>3.2715019465436583E-2</v>
      </c>
      <c r="L743">
        <v>-0.1322911920530975</v>
      </c>
      <c r="M743" t="s">
        <v>29</v>
      </c>
      <c r="N743">
        <v>31</v>
      </c>
      <c r="O743" t="s">
        <v>28</v>
      </c>
      <c r="P743">
        <v>79346</v>
      </c>
      <c r="Q743">
        <v>297.995</v>
      </c>
      <c r="R743">
        <v>51.56</v>
      </c>
      <c r="S743">
        <v>-0.38285876256342288</v>
      </c>
      <c r="T743">
        <v>-0.13268715750970439</v>
      </c>
      <c r="U743">
        <v>-0.13603807556640651</v>
      </c>
      <c r="V743">
        <v>3.3879281091394632E-3</v>
      </c>
      <c r="W743">
        <v>-0.13942600367554589</v>
      </c>
      <c r="Y743" s="19">
        <f t="shared" si="31"/>
        <v>46155</v>
      </c>
      <c r="AE743" s="19" t="e">
        <f t="shared" si="32"/>
        <v>#VALUE!</v>
      </c>
      <c r="AF743" s="19"/>
    </row>
    <row r="744" spans="1:32" x14ac:dyDescent="0.3">
      <c r="A744">
        <v>14</v>
      </c>
      <c r="B744" t="s">
        <v>25</v>
      </c>
      <c r="C744" t="s">
        <v>30</v>
      </c>
      <c r="D744">
        <v>79417</v>
      </c>
      <c r="E744">
        <v>299.02999999999997</v>
      </c>
      <c r="F744">
        <v>51.65</v>
      </c>
      <c r="G744">
        <v>299.05990300000002</v>
      </c>
      <c r="H744">
        <v>51.644835</v>
      </c>
      <c r="I744">
        <v>-3.9114719060984808</v>
      </c>
      <c r="J744">
        <v>0.69393344791452305</v>
      </c>
      <c r="K744">
        <v>3.3441460723004378E-2</v>
      </c>
      <c r="L744">
        <v>-0.1343530392864517</v>
      </c>
      <c r="M744" t="s">
        <v>29</v>
      </c>
      <c r="N744">
        <v>10</v>
      </c>
      <c r="O744" t="s">
        <v>28</v>
      </c>
      <c r="P744">
        <v>79427</v>
      </c>
      <c r="Q744">
        <v>297.89999999999998</v>
      </c>
      <c r="R744">
        <v>51.085000000000001</v>
      </c>
      <c r="S744">
        <v>-0.1051644650168832</v>
      </c>
      <c r="T744">
        <v>3.8120616579850108E-2</v>
      </c>
      <c r="U744">
        <v>3.4744119515803508E-2</v>
      </c>
      <c r="V744">
        <v>3.3879281091394632E-3</v>
      </c>
      <c r="W744">
        <v>3.1356191406664041E-2</v>
      </c>
      <c r="Y744" s="19">
        <f t="shared" si="31"/>
        <v>46155</v>
      </c>
      <c r="AE744" s="19" t="e">
        <f t="shared" si="32"/>
        <v>#VALUE!</v>
      </c>
      <c r="AF744" s="19"/>
    </row>
    <row r="745" spans="1:32" x14ac:dyDescent="0.3">
      <c r="A745">
        <v>14</v>
      </c>
      <c r="B745" t="s">
        <v>25</v>
      </c>
      <c r="C745" t="s">
        <v>30</v>
      </c>
      <c r="D745">
        <v>79575</v>
      </c>
      <c r="E745">
        <v>297.55</v>
      </c>
      <c r="F745">
        <v>51.34</v>
      </c>
      <c r="G745">
        <v>297.57975499999998</v>
      </c>
      <c r="H745">
        <v>51.334866000000012</v>
      </c>
      <c r="I745">
        <v>-3.99736122142285</v>
      </c>
      <c r="J745">
        <v>0.69393344791452305</v>
      </c>
      <c r="K745">
        <v>3.3607797008906072E-2</v>
      </c>
      <c r="L745">
        <v>-0.1351642866993617</v>
      </c>
      <c r="M745" t="s">
        <v>29</v>
      </c>
      <c r="N745">
        <v>7</v>
      </c>
      <c r="O745" t="s">
        <v>28</v>
      </c>
      <c r="P745">
        <v>79582</v>
      </c>
      <c r="Q745">
        <v>298.2</v>
      </c>
      <c r="R745">
        <v>51.31</v>
      </c>
      <c r="S745">
        <v>0.12528208724461701</v>
      </c>
      <c r="T745">
        <v>2.5899996656769179E-2</v>
      </c>
      <c r="U745">
        <v>2.2510350746995238E-2</v>
      </c>
      <c r="V745">
        <v>3.3879281091394632E-3</v>
      </c>
      <c r="W745">
        <v>1.9122422637855779E-2</v>
      </c>
      <c r="Y745" s="19">
        <f t="shared" si="31"/>
        <v>46156</v>
      </c>
      <c r="AE745" s="19" t="e">
        <f t="shared" si="32"/>
        <v>#VALUE!</v>
      </c>
      <c r="AF745" s="19"/>
    </row>
    <row r="746" spans="1:32" x14ac:dyDescent="0.3">
      <c r="A746">
        <v>14</v>
      </c>
      <c r="B746" t="s">
        <v>25</v>
      </c>
      <c r="C746" t="s">
        <v>30</v>
      </c>
      <c r="D746">
        <v>79658</v>
      </c>
      <c r="E746">
        <v>299.53500000000003</v>
      </c>
      <c r="F746">
        <v>51.27</v>
      </c>
      <c r="G746">
        <v>299.50504649999999</v>
      </c>
      <c r="H746">
        <v>51.275126999999998</v>
      </c>
      <c r="I746">
        <v>3.8543286770871048</v>
      </c>
      <c r="J746">
        <v>0.69393344791452305</v>
      </c>
      <c r="K746">
        <v>-3.3385080207655203E-2</v>
      </c>
      <c r="L746">
        <v>0.13534882931822181</v>
      </c>
      <c r="M746" t="s">
        <v>27</v>
      </c>
      <c r="N746">
        <v>23</v>
      </c>
      <c r="O746" t="s">
        <v>28</v>
      </c>
      <c r="P746">
        <v>79681</v>
      </c>
      <c r="Q746">
        <v>299.02</v>
      </c>
      <c r="R746">
        <v>51.155000000000001</v>
      </c>
      <c r="S746">
        <v>0.3090259088290121</v>
      </c>
      <c r="T746">
        <v>1.6282009353480961E-3</v>
      </c>
      <c r="U746">
        <v>-1.7563901173126011E-3</v>
      </c>
      <c r="V746">
        <v>3.38780568251863E-3</v>
      </c>
      <c r="W746">
        <v>-5.1441957998312297E-3</v>
      </c>
      <c r="Y746" s="19">
        <f t="shared" si="31"/>
        <v>46156</v>
      </c>
      <c r="AE746" s="19" t="e">
        <f t="shared" si="32"/>
        <v>#VALUE!</v>
      </c>
      <c r="AF746" s="19"/>
    </row>
    <row r="747" spans="1:32" x14ac:dyDescent="0.3">
      <c r="A747">
        <v>14</v>
      </c>
      <c r="B747" t="s">
        <v>25</v>
      </c>
      <c r="C747" t="s">
        <v>30</v>
      </c>
      <c r="D747">
        <v>79841</v>
      </c>
      <c r="E747">
        <v>298.51</v>
      </c>
      <c r="F747">
        <v>51.024999999999999</v>
      </c>
      <c r="G747">
        <v>298.48014899999998</v>
      </c>
      <c r="H747">
        <v>51.030102499999998</v>
      </c>
      <c r="I747">
        <v>4.0432748048250344</v>
      </c>
      <c r="J747">
        <v>0.69393344791452305</v>
      </c>
      <c r="K747">
        <v>-3.3499715252420348E-2</v>
      </c>
      <c r="L747">
        <v>0.13599871590681489</v>
      </c>
      <c r="M747" t="s">
        <v>27</v>
      </c>
      <c r="N747">
        <v>19</v>
      </c>
      <c r="O747" t="s">
        <v>28</v>
      </c>
      <c r="P747">
        <v>79860</v>
      </c>
      <c r="Q747">
        <v>297.85000000000002</v>
      </c>
      <c r="R747">
        <v>50.935000000000002</v>
      </c>
      <c r="S747">
        <v>0.45804782373571701</v>
      </c>
      <c r="T747">
        <v>9.8699276349835264E-3</v>
      </c>
      <c r="U747">
        <v>6.4854957088038342E-3</v>
      </c>
      <c r="V747">
        <v>3.38780568251863E-3</v>
      </c>
      <c r="W747">
        <v>3.0976900262852051E-3</v>
      </c>
      <c r="Y747" s="19">
        <f t="shared" si="31"/>
        <v>46156</v>
      </c>
      <c r="AE747" s="19" t="e">
        <f t="shared" si="32"/>
        <v>#VALUE!</v>
      </c>
      <c r="AF747" s="19"/>
    </row>
    <row r="748" spans="1:32" x14ac:dyDescent="0.3">
      <c r="A748">
        <v>14</v>
      </c>
      <c r="B748" t="s">
        <v>25</v>
      </c>
      <c r="C748" t="s">
        <v>30</v>
      </c>
      <c r="D748">
        <v>80324</v>
      </c>
      <c r="E748">
        <v>298.10000000000002</v>
      </c>
      <c r="F748">
        <v>51.2</v>
      </c>
      <c r="G748">
        <v>298.07019000000003</v>
      </c>
      <c r="H748">
        <v>51.205120000000001</v>
      </c>
      <c r="I748">
        <v>3.58451863223867</v>
      </c>
      <c r="J748">
        <v>0.69393344791452305</v>
      </c>
      <c r="K748">
        <v>-3.3545790003354579E-2</v>
      </c>
      <c r="L748">
        <v>0.13553387654580529</v>
      </c>
      <c r="M748" t="s">
        <v>27</v>
      </c>
      <c r="N748">
        <v>14</v>
      </c>
      <c r="O748" t="s">
        <v>28</v>
      </c>
      <c r="P748">
        <v>80338</v>
      </c>
      <c r="Q748">
        <v>298.59500000000003</v>
      </c>
      <c r="R748">
        <v>51.31</v>
      </c>
      <c r="S748">
        <v>0.47029040078736939</v>
      </c>
      <c r="T748">
        <v>-1.6964396316221651E-3</v>
      </c>
      <c r="U748">
        <v>-5.0874579166973952E-3</v>
      </c>
      <c r="V748">
        <v>3.38780568251863E-3</v>
      </c>
      <c r="W748">
        <v>-8.4752635992160243E-3</v>
      </c>
      <c r="Y748" s="19">
        <f t="shared" si="31"/>
        <v>46157</v>
      </c>
      <c r="AE748" s="19" t="e">
        <f t="shared" si="32"/>
        <v>#VALUE!</v>
      </c>
    </row>
    <row r="749" spans="1:32" x14ac:dyDescent="0.3">
      <c r="A749">
        <v>14</v>
      </c>
      <c r="B749" t="s">
        <v>25</v>
      </c>
      <c r="C749" t="s">
        <v>30</v>
      </c>
      <c r="D749">
        <v>80414</v>
      </c>
      <c r="E749">
        <v>297.48500000000001</v>
      </c>
      <c r="F749">
        <v>51.35</v>
      </c>
      <c r="G749">
        <v>297.5147485</v>
      </c>
      <c r="H749">
        <v>51.344864999999999</v>
      </c>
      <c r="I749">
        <v>-3.7896709471679908</v>
      </c>
      <c r="J749">
        <v>0.69393344791452305</v>
      </c>
      <c r="K749">
        <v>3.3615140259172727E-2</v>
      </c>
      <c r="L749">
        <v>-0.1351379645403161</v>
      </c>
      <c r="M749" t="s">
        <v>29</v>
      </c>
      <c r="N749">
        <v>29</v>
      </c>
      <c r="O749" t="s">
        <v>28</v>
      </c>
      <c r="P749">
        <v>80443</v>
      </c>
      <c r="Q749">
        <v>297.45</v>
      </c>
      <c r="R749">
        <v>51.42</v>
      </c>
      <c r="S749">
        <v>-0.35424223439572089</v>
      </c>
      <c r="T749">
        <v>-1.063618742689405E-2</v>
      </c>
      <c r="U749">
        <v>-1.402488263548337E-2</v>
      </c>
      <c r="V749">
        <v>3.3879281091394632E-3</v>
      </c>
      <c r="W749">
        <v>-1.7412810744622829E-2</v>
      </c>
      <c r="Y749" s="19">
        <f t="shared" si="31"/>
        <v>46160</v>
      </c>
      <c r="AE749" s="19" t="e">
        <f t="shared" si="32"/>
        <v>#VALUE!</v>
      </c>
    </row>
    <row r="750" spans="1:32" x14ac:dyDescent="0.3">
      <c r="A750">
        <v>14</v>
      </c>
      <c r="B750" t="s">
        <v>25</v>
      </c>
      <c r="C750" t="s">
        <v>30</v>
      </c>
      <c r="D750">
        <v>80458</v>
      </c>
      <c r="E750">
        <v>298.26</v>
      </c>
      <c r="F750">
        <v>51.515000000000001</v>
      </c>
      <c r="G750">
        <v>298.23017399999998</v>
      </c>
      <c r="H750">
        <v>51.520151499999997</v>
      </c>
      <c r="I750">
        <v>3.5408205814482638</v>
      </c>
      <c r="J750">
        <v>0.69393344791452305</v>
      </c>
      <c r="K750">
        <v>-3.3527794541675052E-2</v>
      </c>
      <c r="L750">
        <v>0.134705124316126</v>
      </c>
      <c r="M750" t="s">
        <v>27</v>
      </c>
      <c r="N750">
        <v>19</v>
      </c>
      <c r="O750" t="s">
        <v>28</v>
      </c>
      <c r="P750">
        <v>80477</v>
      </c>
      <c r="Q750">
        <v>298.745</v>
      </c>
      <c r="R750">
        <v>51.62</v>
      </c>
      <c r="S750">
        <v>-0.18818667830716529</v>
      </c>
      <c r="T750">
        <v>-2.1169422995200482E-3</v>
      </c>
      <c r="U750">
        <v>-5.5078496971896944E-3</v>
      </c>
      <c r="V750">
        <v>3.38780568251863E-3</v>
      </c>
      <c r="W750">
        <v>-8.8956553797083227E-3</v>
      </c>
      <c r="Y750" s="19">
        <f t="shared" si="31"/>
        <v>46160</v>
      </c>
      <c r="AE750" s="19" t="e">
        <f t="shared" si="32"/>
        <v>#VALUE!</v>
      </c>
    </row>
    <row r="751" spans="1:32" x14ac:dyDescent="0.3">
      <c r="A751">
        <v>14</v>
      </c>
      <c r="B751" t="s">
        <v>25</v>
      </c>
      <c r="C751" t="s">
        <v>30</v>
      </c>
      <c r="D751">
        <v>80490</v>
      </c>
      <c r="E751">
        <v>296.18</v>
      </c>
      <c r="F751">
        <v>51.21</v>
      </c>
      <c r="G751">
        <v>296.20961799999998</v>
      </c>
      <c r="H751">
        <v>51.204878999999998</v>
      </c>
      <c r="I751">
        <v>-3.5523178013281811</v>
      </c>
      <c r="J751">
        <v>0.69393344791452305</v>
      </c>
      <c r="K751">
        <v>3.3763252076440001E-2</v>
      </c>
      <c r="L751">
        <v>-0.13550741025473989</v>
      </c>
      <c r="M751" t="s">
        <v>29</v>
      </c>
      <c r="N751">
        <v>4</v>
      </c>
      <c r="O751" t="s">
        <v>28</v>
      </c>
      <c r="P751">
        <v>80494</v>
      </c>
      <c r="Q751">
        <v>297.37</v>
      </c>
      <c r="R751">
        <v>51.23</v>
      </c>
      <c r="S751">
        <v>-0.1156641745405424</v>
      </c>
      <c r="T751">
        <v>3.7468121765869271E-2</v>
      </c>
      <c r="U751">
        <v>3.4075966028223187E-2</v>
      </c>
      <c r="V751">
        <v>3.3879281091394632E-3</v>
      </c>
      <c r="W751">
        <v>3.068803791908372E-2</v>
      </c>
      <c r="Y751" s="19">
        <f t="shared" si="31"/>
        <v>46160</v>
      </c>
      <c r="AE751" s="19" t="e">
        <f t="shared" si="32"/>
        <v>#VALUE!</v>
      </c>
    </row>
    <row r="752" spans="1:32" x14ac:dyDescent="0.3">
      <c r="A752">
        <v>14</v>
      </c>
      <c r="B752" t="s">
        <v>25</v>
      </c>
      <c r="C752" t="s">
        <v>30</v>
      </c>
      <c r="D752">
        <v>80853</v>
      </c>
      <c r="E752">
        <v>296.64999999999998</v>
      </c>
      <c r="F752">
        <v>51.515000000000001</v>
      </c>
      <c r="G752">
        <v>296.62033500000001</v>
      </c>
      <c r="H752">
        <v>51.520151499999997</v>
      </c>
      <c r="I752">
        <v>3.516579361464689</v>
      </c>
      <c r="J752">
        <v>0.69393344791452305</v>
      </c>
      <c r="K752">
        <v>-3.3709758975223332E-2</v>
      </c>
      <c r="L752">
        <v>0.134705124316126</v>
      </c>
      <c r="M752" t="s">
        <v>27</v>
      </c>
      <c r="N752">
        <v>14</v>
      </c>
      <c r="O752" t="s">
        <v>28</v>
      </c>
      <c r="P752">
        <v>80867</v>
      </c>
      <c r="Q752">
        <v>296.68</v>
      </c>
      <c r="R752">
        <v>51.56</v>
      </c>
      <c r="S752">
        <v>-9.0463965878057502E-3</v>
      </c>
      <c r="T752">
        <v>5.0504378249682036E-3</v>
      </c>
      <c r="U752">
        <v>1.661863626802054E-3</v>
      </c>
      <c r="V752">
        <v>3.38780568251863E-3</v>
      </c>
      <c r="W752">
        <v>-1.7259420557165759E-3</v>
      </c>
      <c r="Y752" s="19">
        <f t="shared" si="31"/>
        <v>46161</v>
      </c>
      <c r="AE752" s="19" t="e">
        <f t="shared" si="32"/>
        <v>#VALUE!</v>
      </c>
    </row>
    <row r="753" spans="1:32" x14ac:dyDescent="0.3">
      <c r="A753">
        <v>14</v>
      </c>
      <c r="B753" t="s">
        <v>25</v>
      </c>
      <c r="C753" t="s">
        <v>30</v>
      </c>
      <c r="D753">
        <v>81660</v>
      </c>
      <c r="E753">
        <v>305.63</v>
      </c>
      <c r="F753">
        <v>53.11</v>
      </c>
      <c r="G753">
        <v>305.59943700000002</v>
      </c>
      <c r="H753">
        <v>53.115310999999998</v>
      </c>
      <c r="I753">
        <v>4.7400982752923184</v>
      </c>
      <c r="J753">
        <v>0.69393344791452305</v>
      </c>
      <c r="K753">
        <v>-3.2719301115728169E-2</v>
      </c>
      <c r="L753">
        <v>0.1306596588052199</v>
      </c>
      <c r="M753" t="s">
        <v>27</v>
      </c>
      <c r="N753">
        <v>13</v>
      </c>
      <c r="O753" t="s">
        <v>28</v>
      </c>
      <c r="P753">
        <v>81673</v>
      </c>
      <c r="Q753">
        <v>305.76499999999999</v>
      </c>
      <c r="R753">
        <v>53.34</v>
      </c>
      <c r="S753">
        <v>0.46864533584190049</v>
      </c>
      <c r="T753">
        <v>2.56346158745781E-2</v>
      </c>
      <c r="U753">
        <v>2.2243302096032969E-2</v>
      </c>
      <c r="V753">
        <v>3.38780568251863E-3</v>
      </c>
      <c r="W753">
        <v>1.885549641351434E-2</v>
      </c>
      <c r="Y753" s="19">
        <f t="shared" si="31"/>
        <v>46163</v>
      </c>
      <c r="AE753" s="19" t="e">
        <f t="shared" si="32"/>
        <v>#VALUE!</v>
      </c>
    </row>
    <row r="754" spans="1:32" x14ac:dyDescent="0.3">
      <c r="A754">
        <v>14</v>
      </c>
      <c r="B754" t="s">
        <v>25</v>
      </c>
      <c r="C754" t="s">
        <v>30</v>
      </c>
      <c r="D754">
        <v>82054</v>
      </c>
      <c r="E754">
        <v>313.70999999999998</v>
      </c>
      <c r="F754">
        <v>53.9</v>
      </c>
      <c r="G754">
        <v>313.678629</v>
      </c>
      <c r="H754">
        <v>53.905389999999997</v>
      </c>
      <c r="I754">
        <v>4.0924323315519811</v>
      </c>
      <c r="J754">
        <v>0.69393344791452305</v>
      </c>
      <c r="K754">
        <v>-3.1876573905836612E-2</v>
      </c>
      <c r="L754">
        <v>0.12874461000269441</v>
      </c>
      <c r="M754" t="s">
        <v>27</v>
      </c>
      <c r="N754">
        <v>7</v>
      </c>
      <c r="O754" t="s">
        <v>28</v>
      </c>
      <c r="P754">
        <v>82061</v>
      </c>
      <c r="Q754">
        <v>311.66500000000002</v>
      </c>
      <c r="R754">
        <v>53.95</v>
      </c>
      <c r="S754">
        <v>0.25965384294146993</v>
      </c>
      <c r="T754">
        <v>7.162482413756982E-2</v>
      </c>
      <c r="U754">
        <v>6.8242832278055915E-2</v>
      </c>
      <c r="V754">
        <v>3.38780568251863E-3</v>
      </c>
      <c r="W754">
        <v>6.4855026595537282E-2</v>
      </c>
      <c r="Y754" s="19">
        <f t="shared" si="31"/>
        <v>46164</v>
      </c>
      <c r="AE754" s="19" t="e">
        <f t="shared" si="32"/>
        <v>#VALUE!</v>
      </c>
    </row>
    <row r="755" spans="1:32" x14ac:dyDescent="0.3">
      <c r="A755">
        <v>14</v>
      </c>
      <c r="B755" t="s">
        <v>25</v>
      </c>
      <c r="C755" t="s">
        <v>30</v>
      </c>
      <c r="D755">
        <v>82444</v>
      </c>
      <c r="E755">
        <v>314.29000000000002</v>
      </c>
      <c r="F755">
        <v>53.83</v>
      </c>
      <c r="G755">
        <v>314.25857100000002</v>
      </c>
      <c r="H755">
        <v>53.835383</v>
      </c>
      <c r="I755">
        <v>4.6151570043928292</v>
      </c>
      <c r="J755">
        <v>0.69393344791452305</v>
      </c>
      <c r="K755">
        <v>-3.1817747939800821E-2</v>
      </c>
      <c r="L755">
        <v>0.12891202822116349</v>
      </c>
      <c r="M755" t="s">
        <v>27</v>
      </c>
      <c r="N755">
        <v>6</v>
      </c>
      <c r="O755" t="s">
        <v>28</v>
      </c>
      <c r="P755">
        <v>82450</v>
      </c>
      <c r="Q755">
        <v>314.05</v>
      </c>
      <c r="R755">
        <v>54.07</v>
      </c>
      <c r="S755">
        <v>0.42660299078796571</v>
      </c>
      <c r="T755">
        <v>3.8575146278631983E-2</v>
      </c>
      <c r="U755">
        <v>3.5184949120075873E-2</v>
      </c>
      <c r="V755">
        <v>3.38780568251863E-3</v>
      </c>
      <c r="W755">
        <v>3.179714343755724E-2</v>
      </c>
      <c r="Y755" s="19">
        <f t="shared" si="31"/>
        <v>46167</v>
      </c>
      <c r="AE755" s="19" t="e">
        <f t="shared" si="32"/>
        <v>#VALUE!</v>
      </c>
    </row>
    <row r="756" spans="1:32" x14ac:dyDescent="0.3">
      <c r="A756">
        <v>14</v>
      </c>
      <c r="B756" t="s">
        <v>32</v>
      </c>
      <c r="C756" t="s">
        <v>33</v>
      </c>
      <c r="D756">
        <v>78601</v>
      </c>
      <c r="E756">
        <v>54.924999999999997</v>
      </c>
      <c r="F756">
        <v>219.88</v>
      </c>
      <c r="G756">
        <v>54.9304925</v>
      </c>
      <c r="H756">
        <v>219.858012</v>
      </c>
      <c r="I756">
        <v>-5.2946445087402507</v>
      </c>
      <c r="J756">
        <v>0.98325718974251342</v>
      </c>
      <c r="K756">
        <v>0.18206645425580339</v>
      </c>
      <c r="L756">
        <v>-4.4717900206590569E-2</v>
      </c>
      <c r="M756" t="s">
        <v>29</v>
      </c>
      <c r="N756">
        <v>23</v>
      </c>
      <c r="O756" t="s">
        <v>28</v>
      </c>
      <c r="P756">
        <v>78624</v>
      </c>
      <c r="Q756">
        <v>54.914999999999999</v>
      </c>
      <c r="R756">
        <v>219.72</v>
      </c>
      <c r="S756">
        <v>-0.49196574096400553</v>
      </c>
      <c r="T756">
        <v>5.3341994904966671E-3</v>
      </c>
      <c r="U756">
        <v>1.3685826638691709E-3</v>
      </c>
      <c r="V756">
        <v>3.9665177280470776E-3</v>
      </c>
      <c r="W756">
        <v>-2.5979350641779069E-3</v>
      </c>
      <c r="Y756" s="19">
        <f t="shared" si="31"/>
        <v>46153</v>
      </c>
      <c r="AE756" s="19" t="e">
        <f t="shared" si="32"/>
        <v>#VALUE!</v>
      </c>
    </row>
    <row r="757" spans="1:32" x14ac:dyDescent="0.3">
      <c r="A757">
        <v>14</v>
      </c>
      <c r="B757" t="s">
        <v>32</v>
      </c>
      <c r="C757" t="s">
        <v>33</v>
      </c>
      <c r="D757">
        <v>78925</v>
      </c>
      <c r="E757">
        <v>55.19</v>
      </c>
      <c r="F757">
        <v>219.61500000000001</v>
      </c>
      <c r="G757">
        <v>55.184480999999998</v>
      </c>
      <c r="H757">
        <v>219.63696150000001</v>
      </c>
      <c r="I757">
        <v>4.3505656785406286</v>
      </c>
      <c r="J757">
        <v>0.98325718974251342</v>
      </c>
      <c r="K757">
        <v>-0.18119224497191519</v>
      </c>
      <c r="L757">
        <v>4.4771859378572212E-2</v>
      </c>
      <c r="M757" t="s">
        <v>27</v>
      </c>
      <c r="N757">
        <v>2</v>
      </c>
      <c r="O757" t="s">
        <v>28</v>
      </c>
      <c r="P757">
        <v>78927</v>
      </c>
      <c r="Q757">
        <v>55.22</v>
      </c>
      <c r="R757">
        <v>221.55</v>
      </c>
      <c r="S757">
        <v>-0.48167809617385199</v>
      </c>
      <c r="T757">
        <v>8.1197780548379644E-2</v>
      </c>
      <c r="U757">
        <v>7.7222059237370133E-2</v>
      </c>
      <c r="V757">
        <v>3.9665110309229758E-3</v>
      </c>
      <c r="W757">
        <v>7.3255548206447155E-2</v>
      </c>
      <c r="Y757" s="19">
        <f t="shared" si="31"/>
        <v>46154</v>
      </c>
      <c r="AE757" s="19" t="e">
        <f t="shared" si="32"/>
        <v>#VALUE!</v>
      </c>
    </row>
    <row r="758" spans="1:32" x14ac:dyDescent="0.3">
      <c r="A758">
        <v>14</v>
      </c>
      <c r="B758" t="s">
        <v>32</v>
      </c>
      <c r="C758" t="s">
        <v>33</v>
      </c>
      <c r="D758">
        <v>79315</v>
      </c>
      <c r="E758">
        <v>55.38</v>
      </c>
      <c r="F758">
        <v>221.05</v>
      </c>
      <c r="G758">
        <v>55.374462000000001</v>
      </c>
      <c r="H758">
        <v>221.07210499999999</v>
      </c>
      <c r="I758">
        <v>4.0847078409820554</v>
      </c>
      <c r="J758">
        <v>0.98325718974251342</v>
      </c>
      <c r="K758">
        <v>-0.18057060310581441</v>
      </c>
      <c r="L758">
        <v>4.4481211931350982E-2</v>
      </c>
      <c r="M758" t="s">
        <v>27</v>
      </c>
      <c r="N758">
        <v>6</v>
      </c>
      <c r="O758" t="s">
        <v>28</v>
      </c>
      <c r="P758">
        <v>79321</v>
      </c>
      <c r="Q758">
        <v>55.21</v>
      </c>
      <c r="R758">
        <v>221.05</v>
      </c>
      <c r="S758">
        <v>0.36452729952486668</v>
      </c>
      <c r="T758">
        <v>3.0697002527988751E-2</v>
      </c>
      <c r="U758">
        <v>2.673355784875504E-2</v>
      </c>
      <c r="V758">
        <v>3.9665110309229758E-3</v>
      </c>
      <c r="W758">
        <v>2.2767046817832069E-2</v>
      </c>
      <c r="Y758" s="19">
        <f t="shared" si="31"/>
        <v>46155</v>
      </c>
      <c r="AE758" s="19" t="e">
        <f t="shared" si="32"/>
        <v>#VALUE!</v>
      </c>
    </row>
    <row r="759" spans="1:32" x14ac:dyDescent="0.3">
      <c r="A759">
        <v>14</v>
      </c>
      <c r="B759" t="s">
        <v>32</v>
      </c>
      <c r="C759" t="s">
        <v>33</v>
      </c>
      <c r="D759">
        <v>79671</v>
      </c>
      <c r="E759">
        <v>54.655000000000001</v>
      </c>
      <c r="F759">
        <v>220.59</v>
      </c>
      <c r="G759">
        <v>54.660465500000001</v>
      </c>
      <c r="H759">
        <v>220.56794099999999</v>
      </c>
      <c r="I759">
        <v>-3.546703690253675</v>
      </c>
      <c r="J759">
        <v>0.98325718974251342</v>
      </c>
      <c r="K759">
        <v>0.1829658768639649</v>
      </c>
      <c r="L759">
        <v>-4.4573969343239199E-2</v>
      </c>
      <c r="M759" t="s">
        <v>29</v>
      </c>
      <c r="N759">
        <v>9</v>
      </c>
      <c r="O759" t="s">
        <v>28</v>
      </c>
      <c r="P759">
        <v>79680</v>
      </c>
      <c r="Q759">
        <v>54.734999999999999</v>
      </c>
      <c r="R759">
        <v>220.61</v>
      </c>
      <c r="S759">
        <v>-0.1125305510698298</v>
      </c>
      <c r="T759">
        <v>1.3745790762251639E-2</v>
      </c>
      <c r="U759">
        <v>9.7777235078132657E-3</v>
      </c>
      <c r="V759">
        <v>3.9665177280470776E-3</v>
      </c>
      <c r="W759">
        <v>5.8112057797661872E-3</v>
      </c>
      <c r="Y759" s="19">
        <f t="shared" si="31"/>
        <v>46156</v>
      </c>
      <c r="AE759" s="19" t="e">
        <f t="shared" si="32"/>
        <v>#VALUE!</v>
      </c>
    </row>
    <row r="760" spans="1:32" x14ac:dyDescent="0.3">
      <c r="A760">
        <v>14</v>
      </c>
      <c r="B760" t="s">
        <v>32</v>
      </c>
      <c r="C760" t="s">
        <v>33</v>
      </c>
      <c r="D760">
        <v>80085</v>
      </c>
      <c r="E760">
        <v>54.505000000000003</v>
      </c>
      <c r="F760">
        <v>220.01</v>
      </c>
      <c r="G760">
        <v>54.499549500000001</v>
      </c>
      <c r="H760">
        <v>220.03200100000001</v>
      </c>
      <c r="I760">
        <v>3.803645536516358</v>
      </c>
      <c r="J760">
        <v>0.98325718974251342</v>
      </c>
      <c r="K760">
        <v>-0.18346940647647</v>
      </c>
      <c r="L760">
        <v>4.4691477193878157E-2</v>
      </c>
      <c r="M760" t="s">
        <v>27</v>
      </c>
      <c r="N760">
        <v>28</v>
      </c>
      <c r="O760" t="s">
        <v>28</v>
      </c>
      <c r="P760">
        <v>80113</v>
      </c>
      <c r="Q760">
        <v>54.46</v>
      </c>
      <c r="R760">
        <v>219.83</v>
      </c>
      <c r="S760">
        <v>0.34310790310208888</v>
      </c>
      <c r="T760">
        <v>2.116573965443586E-4</v>
      </c>
      <c r="U760">
        <v>-3.753226924022014E-3</v>
      </c>
      <c r="V760">
        <v>3.9665110309229749E-3</v>
      </c>
      <c r="W760">
        <v>-7.7197379549449894E-3</v>
      </c>
      <c r="Y760" s="19">
        <f t="shared" si="31"/>
        <v>46157</v>
      </c>
      <c r="AE760" s="19" t="e">
        <f t="shared" si="32"/>
        <v>#VALUE!</v>
      </c>
    </row>
    <row r="761" spans="1:32" x14ac:dyDescent="0.3">
      <c r="A761">
        <v>14</v>
      </c>
      <c r="B761" t="s">
        <v>32</v>
      </c>
      <c r="C761" t="s">
        <v>33</v>
      </c>
      <c r="D761">
        <v>80489</v>
      </c>
      <c r="E761">
        <v>54.01</v>
      </c>
      <c r="F761">
        <v>221.23</v>
      </c>
      <c r="G761">
        <v>54.015400999999997</v>
      </c>
      <c r="H761">
        <v>221.207877</v>
      </c>
      <c r="I761">
        <v>-5.1599561220203842</v>
      </c>
      <c r="J761">
        <v>0.98325718974251342</v>
      </c>
      <c r="K761">
        <v>0.18515089798185519</v>
      </c>
      <c r="L761">
        <v>-4.444502055519204E-2</v>
      </c>
      <c r="M761" t="s">
        <v>29</v>
      </c>
      <c r="N761">
        <v>1</v>
      </c>
      <c r="O761" t="s">
        <v>28</v>
      </c>
      <c r="P761">
        <v>80490</v>
      </c>
      <c r="Q761">
        <v>53.99</v>
      </c>
      <c r="R761">
        <v>217.995</v>
      </c>
      <c r="S761">
        <v>-8.9186258548039674E-2</v>
      </c>
      <c r="T761">
        <v>0.14007662353640921</v>
      </c>
      <c r="U761">
        <v>0.13612485742287139</v>
      </c>
      <c r="V761">
        <v>3.9665177280470776E-3</v>
      </c>
      <c r="W761">
        <v>0.13215833969482429</v>
      </c>
      <c r="Y761" s="19">
        <f t="shared" si="31"/>
        <v>46160</v>
      </c>
      <c r="AE761" s="19" t="e">
        <f t="shared" si="32"/>
        <v>#VALUE!</v>
      </c>
      <c r="AF761" s="19"/>
    </row>
    <row r="762" spans="1:32" x14ac:dyDescent="0.3">
      <c r="A762">
        <v>14</v>
      </c>
      <c r="B762" t="s">
        <v>32</v>
      </c>
      <c r="C762" t="s">
        <v>33</v>
      </c>
      <c r="D762">
        <v>81270</v>
      </c>
      <c r="E762">
        <v>54.22</v>
      </c>
      <c r="F762">
        <v>218.6</v>
      </c>
      <c r="G762">
        <v>54.214578000000003</v>
      </c>
      <c r="H762">
        <v>218.62186</v>
      </c>
      <c r="I762">
        <v>4.1876319731760443</v>
      </c>
      <c r="J762">
        <v>0.98325718974251342</v>
      </c>
      <c r="K762">
        <v>-0.18443378827001111</v>
      </c>
      <c r="L762">
        <v>4.4979743355101257E-2</v>
      </c>
      <c r="M762" t="s">
        <v>27</v>
      </c>
      <c r="N762">
        <v>10</v>
      </c>
      <c r="O762" t="s">
        <v>28</v>
      </c>
      <c r="P762">
        <v>81280</v>
      </c>
      <c r="Q762">
        <v>53.91</v>
      </c>
      <c r="R762">
        <v>218.32</v>
      </c>
      <c r="S762">
        <v>-0.42062306388679288</v>
      </c>
      <c r="T762">
        <v>4.4580146224275453E-2</v>
      </c>
      <c r="U762">
        <v>4.0620608725041259E-2</v>
      </c>
      <c r="V762">
        <v>3.9665110309229758E-3</v>
      </c>
      <c r="W762">
        <v>3.665409769411828E-2</v>
      </c>
      <c r="Y762" s="19">
        <f t="shared" si="31"/>
        <v>46162</v>
      </c>
      <c r="AE762" s="19" t="e">
        <f t="shared" si="32"/>
        <v>#VALUE!</v>
      </c>
      <c r="AF762" s="19"/>
    </row>
    <row r="763" spans="1:32" x14ac:dyDescent="0.3">
      <c r="A763">
        <v>14</v>
      </c>
      <c r="B763" t="s">
        <v>32</v>
      </c>
      <c r="C763" t="s">
        <v>33</v>
      </c>
      <c r="D763">
        <v>81427</v>
      </c>
      <c r="E763">
        <v>53.39</v>
      </c>
      <c r="F763">
        <v>218.51</v>
      </c>
      <c r="G763">
        <v>53.395339</v>
      </c>
      <c r="H763">
        <v>218.48814899999999</v>
      </c>
      <c r="I763">
        <v>-4.3337169448103214</v>
      </c>
      <c r="J763">
        <v>0.98325718974251342</v>
      </c>
      <c r="K763">
        <v>0.18730099269526129</v>
      </c>
      <c r="L763">
        <v>-4.4998269632626132E-2</v>
      </c>
      <c r="M763" t="s">
        <v>29</v>
      </c>
      <c r="N763">
        <v>6</v>
      </c>
      <c r="O763" t="s">
        <v>28</v>
      </c>
      <c r="P763">
        <v>81433</v>
      </c>
      <c r="Q763">
        <v>53.424999999999997</v>
      </c>
      <c r="R763">
        <v>218.11</v>
      </c>
      <c r="S763">
        <v>0.15007989150364229</v>
      </c>
      <c r="T763">
        <v>2.4554842597382932E-2</v>
      </c>
      <c r="U763">
        <v>2.0589472595210101E-2</v>
      </c>
      <c r="V763">
        <v>3.9665177280470776E-3</v>
      </c>
      <c r="W763">
        <v>1.6622954867163021E-2</v>
      </c>
      <c r="Y763" s="19">
        <f t="shared" si="31"/>
        <v>46162</v>
      </c>
      <c r="AE763" s="19" t="e">
        <f t="shared" si="32"/>
        <v>#VALUE!</v>
      </c>
      <c r="AF763" s="19"/>
    </row>
    <row r="764" spans="1:32" x14ac:dyDescent="0.3">
      <c r="A764">
        <v>14</v>
      </c>
      <c r="B764" t="s">
        <v>32</v>
      </c>
      <c r="C764" t="s">
        <v>33</v>
      </c>
      <c r="D764">
        <v>81660</v>
      </c>
      <c r="E764">
        <v>53.86</v>
      </c>
      <c r="F764">
        <v>218.25</v>
      </c>
      <c r="G764">
        <v>53.854613999999998</v>
      </c>
      <c r="H764">
        <v>218.27182500000001</v>
      </c>
      <c r="I764">
        <v>4.7132087829337701</v>
      </c>
      <c r="J764">
        <v>0.98325718974251342</v>
      </c>
      <c r="K764">
        <v>-0.18566654288897139</v>
      </c>
      <c r="L764">
        <v>4.5051875818671858E-2</v>
      </c>
      <c r="M764" t="s">
        <v>27</v>
      </c>
      <c r="N764">
        <v>3</v>
      </c>
      <c r="O764" t="s">
        <v>28</v>
      </c>
      <c r="P764">
        <v>81663</v>
      </c>
      <c r="Q764">
        <v>54.07</v>
      </c>
      <c r="R764">
        <v>221.86</v>
      </c>
      <c r="S764">
        <v>-0.16441479308253129</v>
      </c>
      <c r="T764">
        <v>0.1236472976987219</v>
      </c>
      <c r="U764">
        <v>0.1196606205946652</v>
      </c>
      <c r="V764">
        <v>3.9665110309229758E-3</v>
      </c>
      <c r="W764">
        <v>0.1156941095637422</v>
      </c>
      <c r="Y764" s="19">
        <f t="shared" si="31"/>
        <v>46163</v>
      </c>
      <c r="AE764" s="19" t="e">
        <f t="shared" si="32"/>
        <v>#VALUE!</v>
      </c>
      <c r="AF764" s="19"/>
    </row>
    <row r="765" spans="1:32" x14ac:dyDescent="0.3">
      <c r="A765">
        <v>14</v>
      </c>
      <c r="B765" t="s">
        <v>32</v>
      </c>
      <c r="C765" t="s">
        <v>33</v>
      </c>
      <c r="D765">
        <v>82445</v>
      </c>
      <c r="E765">
        <v>55.99</v>
      </c>
      <c r="F765">
        <v>228.31</v>
      </c>
      <c r="G765">
        <v>55.984401000000013</v>
      </c>
      <c r="H765">
        <v>228.332831</v>
      </c>
      <c r="I765">
        <v>4.4188733455300788</v>
      </c>
      <c r="J765">
        <v>0.98325718974251342</v>
      </c>
      <c r="K765">
        <v>-0.17860332202178961</v>
      </c>
      <c r="L765">
        <v>4.3066759657593337E-2</v>
      </c>
      <c r="M765" t="s">
        <v>27</v>
      </c>
      <c r="N765">
        <v>7</v>
      </c>
      <c r="O765" t="s">
        <v>28</v>
      </c>
      <c r="P765">
        <v>82452</v>
      </c>
      <c r="Q765">
        <v>55.71</v>
      </c>
      <c r="R765">
        <v>228.31</v>
      </c>
      <c r="S765">
        <v>0.25563224746374058</v>
      </c>
      <c r="T765">
        <v>5.0008930166101292E-2</v>
      </c>
      <c r="U765">
        <v>4.6047416679634467E-2</v>
      </c>
      <c r="V765">
        <v>3.9665110309229758E-3</v>
      </c>
      <c r="W765">
        <v>4.2080905648711489E-2</v>
      </c>
      <c r="Y765" s="19">
        <f t="shared" si="31"/>
        <v>46167</v>
      </c>
      <c r="AE765" s="19" t="e">
        <f t="shared" si="32"/>
        <v>#VALUE!</v>
      </c>
      <c r="AF765" s="19"/>
    </row>
    <row r="766" spans="1:32" x14ac:dyDescent="0.3">
      <c r="A766">
        <v>14</v>
      </c>
      <c r="B766" t="s">
        <v>30</v>
      </c>
      <c r="C766" t="s">
        <v>32</v>
      </c>
      <c r="D766">
        <v>78601</v>
      </c>
      <c r="E766">
        <v>51.835000000000001</v>
      </c>
      <c r="F766">
        <v>54.924999999999997</v>
      </c>
      <c r="G766">
        <v>51.8298165</v>
      </c>
      <c r="H766">
        <v>54.9304925</v>
      </c>
      <c r="I766">
        <v>5.2944605893209804</v>
      </c>
      <c r="J766">
        <v>1.176533237523377</v>
      </c>
      <c r="K766">
        <v>-0.19291984180572971</v>
      </c>
      <c r="L766">
        <v>0.21420723486998219</v>
      </c>
      <c r="M766" t="s">
        <v>27</v>
      </c>
      <c r="N766">
        <v>23</v>
      </c>
      <c r="O766" t="s">
        <v>28</v>
      </c>
      <c r="P766">
        <v>78624</v>
      </c>
      <c r="Q766">
        <v>52.034999999999997</v>
      </c>
      <c r="R766">
        <v>54.914999999999999</v>
      </c>
      <c r="S766">
        <v>0.49822385222871302</v>
      </c>
      <c r="T766">
        <v>-4.0726040709844508E-2</v>
      </c>
      <c r="U766">
        <v>-4.5082751374492913E-2</v>
      </c>
      <c r="V766">
        <v>4.3531017816942586E-3</v>
      </c>
      <c r="W766">
        <v>-4.9435853156187169E-2</v>
      </c>
      <c r="Y766" s="19">
        <f t="shared" si="31"/>
        <v>46153</v>
      </c>
      <c r="AE766" s="19" t="e">
        <f t="shared" si="32"/>
        <v>#VALUE!</v>
      </c>
      <c r="AF766" s="19"/>
    </row>
    <row r="767" spans="1:32" x14ac:dyDescent="0.3">
      <c r="A767">
        <v>14</v>
      </c>
      <c r="B767" t="s">
        <v>30</v>
      </c>
      <c r="C767" t="s">
        <v>32</v>
      </c>
      <c r="D767">
        <v>79006</v>
      </c>
      <c r="E767">
        <v>52.305</v>
      </c>
      <c r="F767">
        <v>55.09</v>
      </c>
      <c r="G767">
        <v>52.299769499999996</v>
      </c>
      <c r="H767">
        <v>55.095509</v>
      </c>
      <c r="I767">
        <v>3.677320545818179</v>
      </c>
      <c r="J767">
        <v>1.176533237523377</v>
      </c>
      <c r="K767">
        <v>-0.19118631106012809</v>
      </c>
      <c r="L767">
        <v>0.21356566301023361</v>
      </c>
      <c r="M767" t="s">
        <v>27</v>
      </c>
      <c r="N767">
        <v>24</v>
      </c>
      <c r="O767" t="s">
        <v>28</v>
      </c>
      <c r="P767">
        <v>79030</v>
      </c>
      <c r="Q767">
        <v>52.155000000000001</v>
      </c>
      <c r="R767">
        <v>54.9</v>
      </c>
      <c r="S767">
        <v>0.28327812381797052</v>
      </c>
      <c r="T767">
        <v>-1.189952931292647E-2</v>
      </c>
      <c r="U767">
        <v>-1.6245670245708721E-2</v>
      </c>
      <c r="V767">
        <v>4.3531017816942586E-3</v>
      </c>
      <c r="W767">
        <v>-2.059877202740298E-2</v>
      </c>
      <c r="Y767" s="19">
        <f t="shared" si="31"/>
        <v>46154</v>
      </c>
      <c r="AE767" s="19" t="e">
        <f t="shared" si="32"/>
        <v>#VALUE!</v>
      </c>
      <c r="AF767" s="19"/>
    </row>
    <row r="768" spans="1:32" x14ac:dyDescent="0.3">
      <c r="A768">
        <v>14</v>
      </c>
      <c r="B768" t="s">
        <v>30</v>
      </c>
      <c r="C768" t="s">
        <v>32</v>
      </c>
      <c r="D768">
        <v>79316</v>
      </c>
      <c r="E768">
        <v>52.344999999999999</v>
      </c>
      <c r="F768">
        <v>55.41</v>
      </c>
      <c r="G768">
        <v>52.350234499999999</v>
      </c>
      <c r="H768">
        <v>55.404459000000003</v>
      </c>
      <c r="I768">
        <v>-3.7533104490117259</v>
      </c>
      <c r="J768">
        <v>1.176533237523377</v>
      </c>
      <c r="K768">
        <v>0.19104021396503959</v>
      </c>
      <c r="L768">
        <v>-0.21233229336281839</v>
      </c>
      <c r="M768" t="s">
        <v>29</v>
      </c>
      <c r="N768">
        <v>20</v>
      </c>
      <c r="O768" t="s">
        <v>28</v>
      </c>
      <c r="P768">
        <v>79336</v>
      </c>
      <c r="Q768">
        <v>51.805</v>
      </c>
      <c r="R768">
        <v>54.99</v>
      </c>
      <c r="S768">
        <v>-0.20333550299643879</v>
      </c>
      <c r="T768">
        <v>-1.398215232873865E-2</v>
      </c>
      <c r="U768">
        <v>-1.8315984675910672E-2</v>
      </c>
      <c r="V768">
        <v>4.3530311683992497E-3</v>
      </c>
      <c r="W768">
        <v>-2.2669015844309921E-2</v>
      </c>
      <c r="Y768" s="19">
        <f t="shared" si="31"/>
        <v>46155</v>
      </c>
      <c r="AE768" s="19" t="e">
        <f t="shared" si="32"/>
        <v>#VALUE!</v>
      </c>
    </row>
    <row r="769" spans="1:32" x14ac:dyDescent="0.3">
      <c r="A769">
        <v>14</v>
      </c>
      <c r="B769" t="s">
        <v>30</v>
      </c>
      <c r="C769" t="s">
        <v>32</v>
      </c>
      <c r="D769">
        <v>79575</v>
      </c>
      <c r="E769">
        <v>51.34</v>
      </c>
      <c r="F769">
        <v>54.734999999999999</v>
      </c>
      <c r="G769">
        <v>51.334866000000012</v>
      </c>
      <c r="H769">
        <v>54.7404735</v>
      </c>
      <c r="I769">
        <v>4.2500117811655889</v>
      </c>
      <c r="J769">
        <v>1.176533237523377</v>
      </c>
      <c r="K769">
        <v>-0.19477989871445259</v>
      </c>
      <c r="L769">
        <v>0.2149508061612089</v>
      </c>
      <c r="M769" t="s">
        <v>27</v>
      </c>
      <c r="N769">
        <v>15</v>
      </c>
      <c r="O769" t="s">
        <v>28</v>
      </c>
      <c r="P769">
        <v>79590</v>
      </c>
      <c r="Q769">
        <v>51.204999999999998</v>
      </c>
      <c r="R769">
        <v>54.655000000000001</v>
      </c>
      <c r="S769">
        <v>0.45913672952631052</v>
      </c>
      <c r="T769">
        <v>9.0992218335557533E-3</v>
      </c>
      <c r="U769">
        <v>4.7505044935918159E-3</v>
      </c>
      <c r="V769">
        <v>4.3531017816942604E-3</v>
      </c>
      <c r="W769">
        <v>3.9740271189755641E-4</v>
      </c>
      <c r="Y769" s="19">
        <f t="shared" si="31"/>
        <v>46156</v>
      </c>
      <c r="AE769" s="19" t="e">
        <f t="shared" si="32"/>
        <v>#VALUE!</v>
      </c>
    </row>
    <row r="770" spans="1:32" x14ac:dyDescent="0.3">
      <c r="A770">
        <v>14</v>
      </c>
      <c r="B770" t="s">
        <v>30</v>
      </c>
      <c r="C770" t="s">
        <v>32</v>
      </c>
      <c r="D770">
        <v>79658</v>
      </c>
      <c r="E770">
        <v>51.27</v>
      </c>
      <c r="F770">
        <v>54.825000000000003</v>
      </c>
      <c r="G770">
        <v>51.275126999999998</v>
      </c>
      <c r="H770">
        <v>54.819517500000003</v>
      </c>
      <c r="I770">
        <v>-3.529717629700249</v>
      </c>
      <c r="J770">
        <v>1.176533237523377</v>
      </c>
      <c r="K770">
        <v>0.1950458357714063</v>
      </c>
      <c r="L770">
        <v>-0.21459794574069799</v>
      </c>
      <c r="M770" t="s">
        <v>29</v>
      </c>
      <c r="N770">
        <v>12</v>
      </c>
      <c r="O770" t="s">
        <v>28</v>
      </c>
      <c r="P770">
        <v>79670</v>
      </c>
      <c r="Q770">
        <v>51.174999999999997</v>
      </c>
      <c r="R770">
        <v>54.7</v>
      </c>
      <c r="S770">
        <v>-0.19670927977550801</v>
      </c>
      <c r="T770">
        <v>8.2953888193024947E-3</v>
      </c>
      <c r="U770">
        <v>3.946857754017135E-3</v>
      </c>
      <c r="V770">
        <v>4.3530311683992497E-3</v>
      </c>
      <c r="W770">
        <v>-4.0617341438211468E-4</v>
      </c>
      <c r="Y770" s="19">
        <f t="shared" ref="Y770:Y833" si="33">WORKDAY(DATE(2025,8,2),INT(P770/390))</f>
        <v>46156</v>
      </c>
      <c r="AE770" s="19" t="e">
        <f t="shared" ref="AE770:AE833" si="34">IF(ISNUMBER(AF770),DATE(YEAR(AF770),DAY(AF770),MONTH(AF770)),DATE(RIGHT(AF770,4),LEFT(AF770,2),MID(AF770,4,2)))</f>
        <v>#VALUE!</v>
      </c>
    </row>
    <row r="771" spans="1:32" x14ac:dyDescent="0.3">
      <c r="A771">
        <v>14</v>
      </c>
      <c r="B771" t="s">
        <v>30</v>
      </c>
      <c r="C771" t="s">
        <v>32</v>
      </c>
      <c r="D771">
        <v>79848</v>
      </c>
      <c r="E771">
        <v>50.975000000000001</v>
      </c>
      <c r="F771">
        <v>54.314999999999998</v>
      </c>
      <c r="G771">
        <v>50.969902500000003</v>
      </c>
      <c r="H771">
        <v>54.320431499999998</v>
      </c>
      <c r="I771">
        <v>4.0437185488593954</v>
      </c>
      <c r="J771">
        <v>1.176533237523377</v>
      </c>
      <c r="K771">
        <v>-0.19617459538989701</v>
      </c>
      <c r="L771">
        <v>0.2166129499260567</v>
      </c>
      <c r="M771" t="s">
        <v>27</v>
      </c>
      <c r="N771">
        <v>17</v>
      </c>
      <c r="O771" t="s">
        <v>28</v>
      </c>
      <c r="P771">
        <v>79865</v>
      </c>
      <c r="Q771">
        <v>50.875</v>
      </c>
      <c r="R771">
        <v>54.24</v>
      </c>
      <c r="S771">
        <v>0.3327272864857716</v>
      </c>
      <c r="T771">
        <v>3.3714882945366509E-3</v>
      </c>
      <c r="U771">
        <v>-9.7799183743133358E-4</v>
      </c>
      <c r="V771">
        <v>4.3531017816942604E-3</v>
      </c>
      <c r="W771">
        <v>-5.3310936191255931E-3</v>
      </c>
      <c r="Y771" s="19">
        <f t="shared" si="33"/>
        <v>46156</v>
      </c>
      <c r="AE771" s="19" t="e">
        <f t="shared" si="34"/>
        <v>#VALUE!</v>
      </c>
    </row>
    <row r="772" spans="1:32" x14ac:dyDescent="0.3">
      <c r="A772">
        <v>14</v>
      </c>
      <c r="B772" t="s">
        <v>30</v>
      </c>
      <c r="C772" t="s">
        <v>32</v>
      </c>
      <c r="D772">
        <v>80489</v>
      </c>
      <c r="E772">
        <v>51.09</v>
      </c>
      <c r="F772">
        <v>54.01</v>
      </c>
      <c r="G772">
        <v>51.084891000000013</v>
      </c>
      <c r="H772">
        <v>54.015400999999997</v>
      </c>
      <c r="I772">
        <v>3.7070383975445078</v>
      </c>
      <c r="J772">
        <v>1.176533237523377</v>
      </c>
      <c r="K772">
        <v>-0.19573302016050109</v>
      </c>
      <c r="L772">
        <v>0.21783618543295261</v>
      </c>
      <c r="M772" t="s">
        <v>27</v>
      </c>
      <c r="N772">
        <v>25</v>
      </c>
      <c r="O772" t="s">
        <v>28</v>
      </c>
      <c r="P772">
        <v>80514</v>
      </c>
      <c r="Q772">
        <v>51.54</v>
      </c>
      <c r="R772">
        <v>54.19</v>
      </c>
      <c r="S772">
        <v>0.48912305698417918</v>
      </c>
      <c r="T772">
        <v>-4.8869345694293242E-2</v>
      </c>
      <c r="U772">
        <v>-5.323514120658298E-2</v>
      </c>
      <c r="V772">
        <v>4.3531017816942586E-3</v>
      </c>
      <c r="W772">
        <v>-5.7588242988277243E-2</v>
      </c>
      <c r="Y772" s="19">
        <f t="shared" si="33"/>
        <v>46160</v>
      </c>
      <c r="AE772" s="19" t="e">
        <f t="shared" si="34"/>
        <v>#VALUE!</v>
      </c>
    </row>
    <row r="773" spans="1:32" x14ac:dyDescent="0.3">
      <c r="A773">
        <v>14</v>
      </c>
      <c r="B773" t="s">
        <v>30</v>
      </c>
      <c r="C773" t="s">
        <v>32</v>
      </c>
      <c r="D773">
        <v>80655</v>
      </c>
      <c r="E773">
        <v>51.494999999999997</v>
      </c>
      <c r="F773">
        <v>53.664999999999999</v>
      </c>
      <c r="G773">
        <v>51.489850500000003</v>
      </c>
      <c r="H773">
        <v>53.6703665</v>
      </c>
      <c r="I773">
        <v>3.723969982427918</v>
      </c>
      <c r="J773">
        <v>1.176533237523377</v>
      </c>
      <c r="K773">
        <v>-0.19419361103019711</v>
      </c>
      <c r="L773">
        <v>0.21923660440200821</v>
      </c>
      <c r="M773" t="s">
        <v>27</v>
      </c>
      <c r="N773">
        <v>24</v>
      </c>
      <c r="O773" t="s">
        <v>28</v>
      </c>
      <c r="P773">
        <v>80679</v>
      </c>
      <c r="Q773">
        <v>51.454999999999998</v>
      </c>
      <c r="R773">
        <v>53.575000000000003</v>
      </c>
      <c r="S773">
        <v>0.45765784739509979</v>
      </c>
      <c r="T773">
        <v>-1.1963549954972209E-2</v>
      </c>
      <c r="U773">
        <v>-1.6313866526135801E-2</v>
      </c>
      <c r="V773">
        <v>4.3531017816942586E-3</v>
      </c>
      <c r="W773">
        <v>-2.0666968307830061E-2</v>
      </c>
      <c r="Y773" s="19">
        <f t="shared" si="33"/>
        <v>46160</v>
      </c>
      <c r="AE773" s="19" t="e">
        <f t="shared" si="34"/>
        <v>#VALUE!</v>
      </c>
    </row>
    <row r="774" spans="1:32" x14ac:dyDescent="0.3">
      <c r="A774">
        <v>14</v>
      </c>
      <c r="B774" t="s">
        <v>30</v>
      </c>
      <c r="C774" t="s">
        <v>32</v>
      </c>
      <c r="D774">
        <v>81873</v>
      </c>
      <c r="E774">
        <v>54.14</v>
      </c>
      <c r="F774">
        <v>55.484999999999999</v>
      </c>
      <c r="G774">
        <v>54.145414000000002</v>
      </c>
      <c r="H774">
        <v>55.479451500000003</v>
      </c>
      <c r="I774">
        <v>-3.5251602687889059</v>
      </c>
      <c r="J774">
        <v>1.176533237523377</v>
      </c>
      <c r="K774">
        <v>0.1847063169560399</v>
      </c>
      <c r="L774">
        <v>-0.21204528026013819</v>
      </c>
      <c r="M774" t="s">
        <v>29</v>
      </c>
      <c r="N774">
        <v>12</v>
      </c>
      <c r="O774" t="s">
        <v>28</v>
      </c>
      <c r="P774">
        <v>81885</v>
      </c>
      <c r="Q774">
        <v>53.954999999999998</v>
      </c>
      <c r="R774">
        <v>55.284999999999997</v>
      </c>
      <c r="S774">
        <v>-0.37823593448380172</v>
      </c>
      <c r="T774">
        <v>8.2383874151604475E-3</v>
      </c>
      <c r="U774">
        <v>3.8929789125839369E-3</v>
      </c>
      <c r="V774">
        <v>4.3530311683992497E-3</v>
      </c>
      <c r="W774">
        <v>-4.6005225581531242E-4</v>
      </c>
      <c r="Y774" s="19">
        <f t="shared" si="33"/>
        <v>46163</v>
      </c>
      <c r="AE774" s="19" t="e">
        <f t="shared" si="34"/>
        <v>#VALUE!</v>
      </c>
    </row>
    <row r="775" spans="1:32" x14ac:dyDescent="0.3">
      <c r="A775">
        <v>14</v>
      </c>
      <c r="B775" t="s">
        <v>30</v>
      </c>
      <c r="C775" t="s">
        <v>32</v>
      </c>
      <c r="D775">
        <v>82054</v>
      </c>
      <c r="E775">
        <v>53.9</v>
      </c>
      <c r="F775">
        <v>55.52</v>
      </c>
      <c r="G775">
        <v>53.905389999999997</v>
      </c>
      <c r="H775">
        <v>55.514448000000002</v>
      </c>
      <c r="I775">
        <v>-4.0815421400934007</v>
      </c>
      <c r="J775">
        <v>1.176533237523377</v>
      </c>
      <c r="K775">
        <v>0.1855287569573284</v>
      </c>
      <c r="L775">
        <v>-0.2119116061821644</v>
      </c>
      <c r="M775" t="s">
        <v>29</v>
      </c>
      <c r="N775">
        <v>26</v>
      </c>
      <c r="O775" t="s">
        <v>28</v>
      </c>
      <c r="P775">
        <v>82080</v>
      </c>
      <c r="Q775">
        <v>53.79</v>
      </c>
      <c r="R775">
        <v>55.49</v>
      </c>
      <c r="S775">
        <v>-0.38661265433128778</v>
      </c>
      <c r="T775">
        <v>-1.405081507984085E-2</v>
      </c>
      <c r="U775">
        <v>-1.840120500374259E-2</v>
      </c>
      <c r="V775">
        <v>4.3530311683992497E-3</v>
      </c>
      <c r="W775">
        <v>-2.275423617214184E-2</v>
      </c>
      <c r="Y775" s="19">
        <f t="shared" si="33"/>
        <v>46164</v>
      </c>
      <c r="AE775" s="19" t="e">
        <f t="shared" si="34"/>
        <v>#VALUE!</v>
      </c>
    </row>
    <row r="776" spans="1:32" x14ac:dyDescent="0.3">
      <c r="A776">
        <v>14</v>
      </c>
      <c r="B776" t="s">
        <v>30</v>
      </c>
      <c r="C776" t="s">
        <v>32</v>
      </c>
      <c r="D776">
        <v>82379</v>
      </c>
      <c r="E776">
        <v>53.78</v>
      </c>
      <c r="F776">
        <v>55.765000000000001</v>
      </c>
      <c r="G776">
        <v>53.774622000000001</v>
      </c>
      <c r="H776">
        <v>55.770576499999997</v>
      </c>
      <c r="I776">
        <v>4.4618343823619844</v>
      </c>
      <c r="J776">
        <v>1.176533237523377</v>
      </c>
      <c r="K776">
        <v>-0.18594272963927111</v>
      </c>
      <c r="L776">
        <v>0.2109805859451945</v>
      </c>
      <c r="M776" t="s">
        <v>27</v>
      </c>
      <c r="N776">
        <v>19</v>
      </c>
      <c r="O776" t="s">
        <v>28</v>
      </c>
      <c r="P776">
        <v>82398</v>
      </c>
      <c r="Q776">
        <v>53.69</v>
      </c>
      <c r="R776">
        <v>55.66</v>
      </c>
      <c r="S776">
        <v>0.41227669440911408</v>
      </c>
      <c r="T776">
        <v>-5.4181158567112274E-3</v>
      </c>
      <c r="U776">
        <v>-9.767293551038822E-3</v>
      </c>
      <c r="V776">
        <v>4.3531017816942586E-3</v>
      </c>
      <c r="W776">
        <v>-1.412039533273308E-2</v>
      </c>
      <c r="Y776" s="19">
        <f t="shared" si="33"/>
        <v>46167</v>
      </c>
      <c r="AE776" s="19" t="e">
        <f t="shared" si="34"/>
        <v>#VALUE!</v>
      </c>
    </row>
    <row r="777" spans="1:32" x14ac:dyDescent="0.3">
      <c r="A777">
        <v>14</v>
      </c>
      <c r="B777" t="s">
        <v>26</v>
      </c>
      <c r="C777" t="s">
        <v>76</v>
      </c>
      <c r="D777">
        <v>78601</v>
      </c>
      <c r="E777">
        <v>998.36500000000001</v>
      </c>
      <c r="F777">
        <v>202.15</v>
      </c>
      <c r="G777">
        <v>998.26516349999997</v>
      </c>
      <c r="H777">
        <v>202.17021500000001</v>
      </c>
      <c r="I777">
        <v>5.2946456003940821</v>
      </c>
      <c r="J777">
        <v>0.7373295539710587</v>
      </c>
      <c r="K777">
        <v>-1.0016376776028809E-2</v>
      </c>
      <c r="L777">
        <v>3.6474378133616557E-2</v>
      </c>
      <c r="M777" t="s">
        <v>27</v>
      </c>
      <c r="N777">
        <v>23</v>
      </c>
      <c r="O777" t="s">
        <v>28</v>
      </c>
      <c r="P777">
        <v>78624</v>
      </c>
      <c r="Q777">
        <v>996.66</v>
      </c>
      <c r="R777">
        <v>201.91499999999999</v>
      </c>
      <c r="S777">
        <v>0.49093550934773272</v>
      </c>
      <c r="T777">
        <v>8.5064435417291397E-3</v>
      </c>
      <c r="U777">
        <v>5.0343493739129011E-3</v>
      </c>
      <c r="V777">
        <v>3.4746065738529121E-3</v>
      </c>
      <c r="W777">
        <v>1.559742800059989E-3</v>
      </c>
      <c r="Y777" s="19">
        <f t="shared" si="33"/>
        <v>46153</v>
      </c>
    </row>
    <row r="778" spans="1:32" x14ac:dyDescent="0.3">
      <c r="A778">
        <v>14</v>
      </c>
      <c r="B778" t="s">
        <v>26</v>
      </c>
      <c r="C778" t="s">
        <v>76</v>
      </c>
      <c r="D778">
        <v>78717</v>
      </c>
      <c r="E778">
        <v>1001.495</v>
      </c>
      <c r="F778">
        <v>202.60499999999999</v>
      </c>
      <c r="G778">
        <v>1001.3948505</v>
      </c>
      <c r="H778">
        <v>202.6252605</v>
      </c>
      <c r="I778">
        <v>4.0342713886907644</v>
      </c>
      <c r="J778">
        <v>0.7373295539710587</v>
      </c>
      <c r="K778">
        <v>-9.9850723168862544E-3</v>
      </c>
      <c r="L778">
        <v>3.6392465831102817E-2</v>
      </c>
      <c r="M778" t="s">
        <v>27</v>
      </c>
      <c r="N778">
        <v>24</v>
      </c>
      <c r="O778" t="s">
        <v>28</v>
      </c>
      <c r="P778">
        <v>78741</v>
      </c>
      <c r="Q778">
        <v>1001.25</v>
      </c>
      <c r="R778">
        <v>202.5</v>
      </c>
      <c r="S778">
        <v>0.48507227622066679</v>
      </c>
      <c r="T778">
        <v>-1.374866194628246E-3</v>
      </c>
      <c r="U778">
        <v>-4.848898547407535E-3</v>
      </c>
      <c r="V778">
        <v>3.4746065738529108E-3</v>
      </c>
      <c r="W778">
        <v>-8.3235051212604463E-3</v>
      </c>
      <c r="Y778" s="19">
        <f t="shared" si="33"/>
        <v>46153</v>
      </c>
    </row>
    <row r="779" spans="1:32" x14ac:dyDescent="0.3">
      <c r="A779">
        <v>14</v>
      </c>
      <c r="B779" t="s">
        <v>26</v>
      </c>
      <c r="C779" t="s">
        <v>76</v>
      </c>
      <c r="D779">
        <v>78770</v>
      </c>
      <c r="E779">
        <v>1001.59</v>
      </c>
      <c r="F779">
        <v>202.28</v>
      </c>
      <c r="G779">
        <v>1001.489841</v>
      </c>
      <c r="H779">
        <v>202.300228</v>
      </c>
      <c r="I779">
        <v>3.57242504798967</v>
      </c>
      <c r="J779">
        <v>0.7373295539710587</v>
      </c>
      <c r="K779">
        <v>-9.9841252408670207E-3</v>
      </c>
      <c r="L779">
        <v>3.6450937016564107E-2</v>
      </c>
      <c r="M779" t="s">
        <v>27</v>
      </c>
      <c r="N779">
        <v>16</v>
      </c>
      <c r="O779" t="s">
        <v>28</v>
      </c>
      <c r="P779">
        <v>78786</v>
      </c>
      <c r="Q779">
        <v>1003.07</v>
      </c>
      <c r="R779">
        <v>202.62</v>
      </c>
      <c r="S779">
        <v>0.45910145379581552</v>
      </c>
      <c r="T779">
        <v>-2.3831867708514528E-3</v>
      </c>
      <c r="U779">
        <v>-5.860562861188039E-3</v>
      </c>
      <c r="V779">
        <v>3.4746065738529121E-3</v>
      </c>
      <c r="W779">
        <v>-9.335169435040952E-3</v>
      </c>
      <c r="Y779" s="19">
        <f t="shared" si="33"/>
        <v>46154</v>
      </c>
    </row>
    <row r="780" spans="1:32" x14ac:dyDescent="0.3">
      <c r="A780">
        <v>14</v>
      </c>
      <c r="B780" t="s">
        <v>26</v>
      </c>
      <c r="C780" t="s">
        <v>76</v>
      </c>
      <c r="D780">
        <v>78925</v>
      </c>
      <c r="E780">
        <v>1011.86</v>
      </c>
      <c r="F780">
        <v>203.92</v>
      </c>
      <c r="G780">
        <v>1011.758814</v>
      </c>
      <c r="H780">
        <v>203.940392</v>
      </c>
      <c r="I780">
        <v>4.5342235578689074</v>
      </c>
      <c r="J780">
        <v>0.7373295539710587</v>
      </c>
      <c r="K780">
        <v>-9.8827901093036588E-3</v>
      </c>
      <c r="L780">
        <v>3.6157785110389307E-2</v>
      </c>
      <c r="M780" t="s">
        <v>27</v>
      </c>
      <c r="N780">
        <v>14</v>
      </c>
      <c r="O780" t="s">
        <v>28</v>
      </c>
      <c r="P780">
        <v>78939</v>
      </c>
      <c r="Q780">
        <v>1010.84</v>
      </c>
      <c r="R780">
        <v>203.47</v>
      </c>
      <c r="S780">
        <v>0.36836173704709568</v>
      </c>
      <c r="T780">
        <v>-6.1905573881852246E-3</v>
      </c>
      <c r="U780">
        <v>-9.6625813512052575E-3</v>
      </c>
      <c r="V780">
        <v>3.4746065738529121E-3</v>
      </c>
      <c r="W780">
        <v>-1.3137187925058171E-2</v>
      </c>
      <c r="Y780" s="19">
        <f t="shared" si="33"/>
        <v>46154</v>
      </c>
    </row>
    <row r="781" spans="1:32" x14ac:dyDescent="0.3">
      <c r="A781">
        <v>14</v>
      </c>
      <c r="B781" t="s">
        <v>26</v>
      </c>
      <c r="C781" t="s">
        <v>76</v>
      </c>
      <c r="D781">
        <v>79315</v>
      </c>
      <c r="E781">
        <v>997.92</v>
      </c>
      <c r="F781">
        <v>201.75</v>
      </c>
      <c r="G781">
        <v>997.82020799999998</v>
      </c>
      <c r="H781">
        <v>201.77017499999999</v>
      </c>
      <c r="I781">
        <v>4.1421369650147328</v>
      </c>
      <c r="J781">
        <v>0.7373295539710587</v>
      </c>
      <c r="K781">
        <v>-1.0020843354176689E-2</v>
      </c>
      <c r="L781">
        <v>3.654669412495954E-2</v>
      </c>
      <c r="M781" t="s">
        <v>27</v>
      </c>
      <c r="N781">
        <v>10</v>
      </c>
      <c r="O781" t="s">
        <v>28</v>
      </c>
      <c r="P781">
        <v>79325</v>
      </c>
      <c r="Q781">
        <v>988.41</v>
      </c>
      <c r="R781">
        <v>199.43</v>
      </c>
      <c r="S781">
        <v>0.32143046309664219</v>
      </c>
      <c r="T781">
        <v>1.050988992831434E-2</v>
      </c>
      <c r="U781">
        <v>7.053239475440079E-3</v>
      </c>
      <c r="V781">
        <v>3.4746065738529121E-3</v>
      </c>
      <c r="W781">
        <v>3.5786329015871669E-3</v>
      </c>
      <c r="Y781" s="19">
        <f t="shared" si="33"/>
        <v>46155</v>
      </c>
      <c r="AF781" s="19"/>
    </row>
    <row r="782" spans="1:32" x14ac:dyDescent="0.3">
      <c r="A782">
        <v>14</v>
      </c>
      <c r="B782" t="s">
        <v>26</v>
      </c>
      <c r="C782" t="s">
        <v>76</v>
      </c>
      <c r="D782">
        <v>79694</v>
      </c>
      <c r="E782">
        <v>992.88</v>
      </c>
      <c r="F782">
        <v>201.39</v>
      </c>
      <c r="G782">
        <v>992.979288</v>
      </c>
      <c r="H782">
        <v>201.36986099999999</v>
      </c>
      <c r="I782">
        <v>-4.0345208645289237</v>
      </c>
      <c r="J782">
        <v>0.7373295539710587</v>
      </c>
      <c r="K782">
        <v>1.0071710579324791E-2</v>
      </c>
      <c r="L782">
        <v>-3.6612024130843572E-2</v>
      </c>
      <c r="M782" t="s">
        <v>29</v>
      </c>
      <c r="N782">
        <v>9</v>
      </c>
      <c r="O782" t="s">
        <v>28</v>
      </c>
      <c r="P782">
        <v>79703</v>
      </c>
      <c r="Q782">
        <v>995.13</v>
      </c>
      <c r="R782">
        <v>201.64</v>
      </c>
      <c r="S782">
        <v>7.330273034079883E-2</v>
      </c>
      <c r="T782">
        <v>1.350834277076989E-2</v>
      </c>
      <c r="U782">
        <v>1.0030502227344329E-2</v>
      </c>
      <c r="V782">
        <v>3.4747116420313241E-3</v>
      </c>
      <c r="W782">
        <v>6.5557905853130018E-3</v>
      </c>
      <c r="Y782" s="19">
        <f t="shared" si="33"/>
        <v>46156</v>
      </c>
      <c r="AF782" s="19"/>
    </row>
    <row r="783" spans="1:32" x14ac:dyDescent="0.3">
      <c r="A783">
        <v>14</v>
      </c>
      <c r="B783" t="s">
        <v>26</v>
      </c>
      <c r="C783" t="s">
        <v>76</v>
      </c>
      <c r="D783">
        <v>79705</v>
      </c>
      <c r="E783">
        <v>988.35</v>
      </c>
      <c r="F783">
        <v>201.60499999999999</v>
      </c>
      <c r="G783">
        <v>988.44883500000003</v>
      </c>
      <c r="H783">
        <v>201.58483949999999</v>
      </c>
      <c r="I783">
        <v>-4.7495487205370504</v>
      </c>
      <c r="J783">
        <v>0.7373295539710587</v>
      </c>
      <c r="K783">
        <v>1.011787322304851E-2</v>
      </c>
      <c r="L783">
        <v>-3.6572979537762403E-2</v>
      </c>
      <c r="M783" t="s">
        <v>29</v>
      </c>
      <c r="N783">
        <v>4</v>
      </c>
      <c r="O783" t="s">
        <v>28</v>
      </c>
      <c r="P783">
        <v>79709</v>
      </c>
      <c r="Q783">
        <v>991.45</v>
      </c>
      <c r="R783">
        <v>201.3</v>
      </c>
      <c r="S783">
        <v>-0.48135373477491639</v>
      </c>
      <c r="T783">
        <v>4.2520165750467367E-2</v>
      </c>
      <c r="U783">
        <v>3.9043485577701792E-2</v>
      </c>
      <c r="V783">
        <v>3.4747116420313241E-3</v>
      </c>
      <c r="W783">
        <v>3.556877393567047E-2</v>
      </c>
      <c r="Y783" s="19">
        <f t="shared" si="33"/>
        <v>46156</v>
      </c>
      <c r="AF783" s="19"/>
    </row>
    <row r="784" spans="1:32" x14ac:dyDescent="0.3">
      <c r="A784">
        <v>14</v>
      </c>
      <c r="B784" t="s">
        <v>26</v>
      </c>
      <c r="C784" t="s">
        <v>76</v>
      </c>
      <c r="D784">
        <v>80180</v>
      </c>
      <c r="E784">
        <v>1015.53</v>
      </c>
      <c r="F784">
        <v>206.065</v>
      </c>
      <c r="G784">
        <v>1015.428447</v>
      </c>
      <c r="H784">
        <v>206.08560650000001</v>
      </c>
      <c r="I784">
        <v>3.6929435158164901</v>
      </c>
      <c r="J784">
        <v>0.7373295539710587</v>
      </c>
      <c r="K784">
        <v>-9.8470749263931158E-3</v>
      </c>
      <c r="L784">
        <v>3.5781406545073578E-2</v>
      </c>
      <c r="M784" t="s">
        <v>27</v>
      </c>
      <c r="N784">
        <v>14</v>
      </c>
      <c r="O784" t="s">
        <v>28</v>
      </c>
      <c r="P784">
        <v>80194</v>
      </c>
      <c r="Q784">
        <v>1019.74</v>
      </c>
      <c r="R784">
        <v>207.26</v>
      </c>
      <c r="S784">
        <v>0.36435110316767189</v>
      </c>
      <c r="T784">
        <v>1.302595381247308E-3</v>
      </c>
      <c r="U784">
        <v>-2.1804852233203859E-3</v>
      </c>
      <c r="V784">
        <v>3.4746065738529108E-3</v>
      </c>
      <c r="W784">
        <v>-5.6550917971732971E-3</v>
      </c>
      <c r="Y784" s="19">
        <f t="shared" si="33"/>
        <v>46157</v>
      </c>
      <c r="AF784" s="19"/>
    </row>
    <row r="785" spans="1:32" x14ac:dyDescent="0.3">
      <c r="A785">
        <v>14</v>
      </c>
      <c r="B785" t="s">
        <v>26</v>
      </c>
      <c r="C785" t="s">
        <v>76</v>
      </c>
      <c r="D785">
        <v>80414</v>
      </c>
      <c r="E785">
        <v>1019.02</v>
      </c>
      <c r="F785">
        <v>206.98</v>
      </c>
      <c r="G785">
        <v>1019.121902</v>
      </c>
      <c r="H785">
        <v>206.95930200000001</v>
      </c>
      <c r="I785">
        <v>-3.6445918022845749</v>
      </c>
      <c r="J785">
        <v>0.7373295539710587</v>
      </c>
      <c r="K785">
        <v>9.8133500814508064E-3</v>
      </c>
      <c r="L785">
        <v>-3.5623227073681457E-2</v>
      </c>
      <c r="M785" t="s">
        <v>29</v>
      </c>
      <c r="N785">
        <v>18</v>
      </c>
      <c r="O785" t="s">
        <v>28</v>
      </c>
      <c r="P785">
        <v>80432</v>
      </c>
      <c r="Q785">
        <v>1020.84</v>
      </c>
      <c r="R785">
        <v>207.10499999999999</v>
      </c>
      <c r="S785">
        <v>-0.43382350070518538</v>
      </c>
      <c r="T785">
        <v>1.340739376403078E-2</v>
      </c>
      <c r="U785">
        <v>9.9305033360349432E-3</v>
      </c>
      <c r="V785">
        <v>3.4747116420313241E-3</v>
      </c>
      <c r="W785">
        <v>6.4557916940036191E-3</v>
      </c>
      <c r="Y785" s="19">
        <f t="shared" si="33"/>
        <v>46160</v>
      </c>
      <c r="AF785" s="19"/>
    </row>
    <row r="786" spans="1:32" x14ac:dyDescent="0.3">
      <c r="A786">
        <v>14</v>
      </c>
      <c r="B786" t="s">
        <v>26</v>
      </c>
      <c r="C786" t="s">
        <v>76</v>
      </c>
      <c r="D786">
        <v>80489</v>
      </c>
      <c r="E786">
        <v>1016.475</v>
      </c>
      <c r="F786">
        <v>208.04499999999999</v>
      </c>
      <c r="G786">
        <v>1016.5766475</v>
      </c>
      <c r="H786">
        <v>208.02419549999999</v>
      </c>
      <c r="I786">
        <v>-5.0379960055307142</v>
      </c>
      <c r="J786">
        <v>0.7373295539710587</v>
      </c>
      <c r="K786">
        <v>9.8379202636562635E-3</v>
      </c>
      <c r="L786">
        <v>-3.544086875296492E-2</v>
      </c>
      <c r="M786" t="s">
        <v>29</v>
      </c>
      <c r="N786">
        <v>11</v>
      </c>
      <c r="O786" t="s">
        <v>28</v>
      </c>
      <c r="P786">
        <v>80500</v>
      </c>
      <c r="Q786">
        <v>1025.04</v>
      </c>
      <c r="R786">
        <v>208.63</v>
      </c>
      <c r="S786">
        <v>-0.14742102131091669</v>
      </c>
      <c r="T786">
        <v>6.3528878837730549E-2</v>
      </c>
      <c r="U786">
        <v>6.0043720260261307E-2</v>
      </c>
      <c r="V786">
        <v>3.4747116420313241E-3</v>
      </c>
      <c r="W786">
        <v>5.6569008618229992E-2</v>
      </c>
      <c r="Y786" s="19">
        <f t="shared" si="33"/>
        <v>46160</v>
      </c>
      <c r="AF786" s="19"/>
    </row>
    <row r="787" spans="1:32" x14ac:dyDescent="0.3">
      <c r="A787">
        <v>14</v>
      </c>
      <c r="B787" t="s">
        <v>26</v>
      </c>
      <c r="C787" t="s">
        <v>76</v>
      </c>
      <c r="D787">
        <v>80880</v>
      </c>
      <c r="E787">
        <v>1053.0999999999999</v>
      </c>
      <c r="F787">
        <v>210.98</v>
      </c>
      <c r="G787">
        <v>1052.99469</v>
      </c>
      <c r="H787">
        <v>211.00109800000001</v>
      </c>
      <c r="I787">
        <v>4.0558995908966651</v>
      </c>
      <c r="J787">
        <v>0.7373295539710587</v>
      </c>
      <c r="K787">
        <v>-9.4957743804007233E-3</v>
      </c>
      <c r="L787">
        <v>3.4947841215805228E-2</v>
      </c>
      <c r="M787" t="s">
        <v>27</v>
      </c>
      <c r="N787">
        <v>2</v>
      </c>
      <c r="O787" t="s">
        <v>28</v>
      </c>
      <c r="P787">
        <v>80882</v>
      </c>
      <c r="Q787">
        <v>1054.1400000000001</v>
      </c>
      <c r="R787">
        <v>212.62</v>
      </c>
      <c r="S787">
        <v>0.47803485424729802</v>
      </c>
      <c r="T787">
        <v>4.7438854238302533E-2</v>
      </c>
      <c r="U787">
        <v>4.395747612386728E-2</v>
      </c>
      <c r="V787">
        <v>3.4746065738529121E-3</v>
      </c>
      <c r="W787">
        <v>4.0482869550014372E-2</v>
      </c>
      <c r="Y787" s="19">
        <f t="shared" si="33"/>
        <v>46161</v>
      </c>
      <c r="AF787" s="19"/>
    </row>
    <row r="788" spans="1:32" x14ac:dyDescent="0.3">
      <c r="A788">
        <v>14</v>
      </c>
      <c r="B788" t="s">
        <v>26</v>
      </c>
      <c r="C788" t="s">
        <v>76</v>
      </c>
      <c r="D788">
        <v>81081</v>
      </c>
      <c r="E788">
        <v>1072.24</v>
      </c>
      <c r="F788">
        <v>216.10499999999999</v>
      </c>
      <c r="G788">
        <v>1072.1327759999999</v>
      </c>
      <c r="H788">
        <v>216.1266105</v>
      </c>
      <c r="I788">
        <v>3.71356746578858</v>
      </c>
      <c r="J788">
        <v>0.7373295539710587</v>
      </c>
      <c r="K788">
        <v>-9.326270238006416E-3</v>
      </c>
      <c r="L788">
        <v>3.4119041853314769E-2</v>
      </c>
      <c r="M788" t="s">
        <v>27</v>
      </c>
      <c r="N788">
        <v>11</v>
      </c>
      <c r="O788" t="s">
        <v>28</v>
      </c>
      <c r="P788">
        <v>81092</v>
      </c>
      <c r="Q788">
        <v>1072.54</v>
      </c>
      <c r="R788">
        <v>216.565</v>
      </c>
      <c r="S788">
        <v>0.2289247401287853</v>
      </c>
      <c r="T788">
        <v>1.2896878181123559E-2</v>
      </c>
      <c r="U788">
        <v>9.4203698091476391E-3</v>
      </c>
      <c r="V788">
        <v>3.4746065738529108E-3</v>
      </c>
      <c r="W788">
        <v>5.9457632352947279E-3</v>
      </c>
      <c r="Y788" s="19">
        <f t="shared" si="33"/>
        <v>46161</v>
      </c>
      <c r="AF788" s="19"/>
    </row>
    <row r="789" spans="1:32" x14ac:dyDescent="0.3">
      <c r="A789">
        <v>14</v>
      </c>
      <c r="B789" t="s">
        <v>26</v>
      </c>
      <c r="C789" t="s">
        <v>76</v>
      </c>
      <c r="D789">
        <v>81270</v>
      </c>
      <c r="E789">
        <v>1049.96</v>
      </c>
      <c r="F789">
        <v>212.6</v>
      </c>
      <c r="G789">
        <v>1050.0649960000001</v>
      </c>
      <c r="H789">
        <v>212.57874000000001</v>
      </c>
      <c r="I789">
        <v>-4.0954348528909694</v>
      </c>
      <c r="J789">
        <v>0.7373295539710587</v>
      </c>
      <c r="K789">
        <v>9.5241723494228353E-3</v>
      </c>
      <c r="L789">
        <v>-3.4681540638337657E-2</v>
      </c>
      <c r="M789" t="s">
        <v>29</v>
      </c>
      <c r="N789">
        <v>8</v>
      </c>
      <c r="O789" t="s">
        <v>28</v>
      </c>
      <c r="P789">
        <v>81278</v>
      </c>
      <c r="Q789">
        <v>1047.05</v>
      </c>
      <c r="R789">
        <v>210.59</v>
      </c>
      <c r="S789">
        <v>0.21785386260432771</v>
      </c>
      <c r="T789">
        <v>4.1994555146237157E-2</v>
      </c>
      <c r="U789">
        <v>3.8529638562117351E-2</v>
      </c>
      <c r="V789">
        <v>3.4747116420313241E-3</v>
      </c>
      <c r="W789">
        <v>3.5054926920086028E-2</v>
      </c>
      <c r="Y789" s="19">
        <f t="shared" si="33"/>
        <v>46162</v>
      </c>
      <c r="AF789" s="19"/>
    </row>
    <row r="790" spans="1:32" x14ac:dyDescent="0.3">
      <c r="A790">
        <v>14</v>
      </c>
      <c r="B790" t="s">
        <v>26</v>
      </c>
      <c r="C790" t="s">
        <v>76</v>
      </c>
      <c r="D790">
        <v>81660</v>
      </c>
      <c r="E790">
        <v>1054.5</v>
      </c>
      <c r="F790">
        <v>210.2</v>
      </c>
      <c r="G790">
        <v>1054.39455</v>
      </c>
      <c r="H790">
        <v>210.22102000000001</v>
      </c>
      <c r="I790">
        <v>4.7414984955574404</v>
      </c>
      <c r="J790">
        <v>0.7373295539710587</v>
      </c>
      <c r="K790">
        <v>-9.4831673779042207E-3</v>
      </c>
      <c r="L790">
        <v>3.5077523975787762E-2</v>
      </c>
      <c r="M790" t="s">
        <v>27</v>
      </c>
      <c r="N790">
        <v>1</v>
      </c>
      <c r="O790" t="s">
        <v>28</v>
      </c>
      <c r="P790">
        <v>81661</v>
      </c>
      <c r="Q790">
        <v>1053.395</v>
      </c>
      <c r="R790">
        <v>212.31</v>
      </c>
      <c r="S790">
        <v>0.30269535295560351</v>
      </c>
      <c r="T790">
        <v>8.4492475541496984E-2</v>
      </c>
      <c r="U790">
        <v>8.1011462965992251E-2</v>
      </c>
      <c r="V790">
        <v>3.4746065738529121E-3</v>
      </c>
      <c r="W790">
        <v>7.7536856392139336E-2</v>
      </c>
      <c r="Y790" s="19">
        <f t="shared" si="33"/>
        <v>46163</v>
      </c>
      <c r="AF790" s="19"/>
    </row>
    <row r="791" spans="1:32" x14ac:dyDescent="0.3">
      <c r="A791">
        <v>14</v>
      </c>
      <c r="B791" t="s">
        <v>26</v>
      </c>
      <c r="C791" t="s">
        <v>76</v>
      </c>
      <c r="D791">
        <v>81879</v>
      </c>
      <c r="E791">
        <v>1089.585</v>
      </c>
      <c r="F791">
        <v>218.28</v>
      </c>
      <c r="G791">
        <v>1089.6939585</v>
      </c>
      <c r="H791">
        <v>218.258172</v>
      </c>
      <c r="I791">
        <v>-3.7159105805377122</v>
      </c>
      <c r="J791">
        <v>0.7373295539710587</v>
      </c>
      <c r="K791">
        <v>9.1778062289770874E-3</v>
      </c>
      <c r="L791">
        <v>-3.3779070641884679E-2</v>
      </c>
      <c r="M791" t="s">
        <v>29</v>
      </c>
      <c r="N791">
        <v>9</v>
      </c>
      <c r="O791" t="s">
        <v>28</v>
      </c>
      <c r="P791">
        <v>81888</v>
      </c>
      <c r="Q791">
        <v>1088.48</v>
      </c>
      <c r="R791">
        <v>217.53</v>
      </c>
      <c r="S791">
        <v>-0.20640016531249519</v>
      </c>
      <c r="T791">
        <v>1.519282709839366E-2</v>
      </c>
      <c r="U791">
        <v>1.1721715568337881E-2</v>
      </c>
      <c r="V791">
        <v>3.4747116420313241E-3</v>
      </c>
      <c r="W791">
        <v>8.2470039263065602E-3</v>
      </c>
      <c r="Y791" s="19">
        <f t="shared" si="33"/>
        <v>46163</v>
      </c>
    </row>
    <row r="792" spans="1:32" x14ac:dyDescent="0.3">
      <c r="A792">
        <v>14</v>
      </c>
      <c r="B792" t="s">
        <v>26</v>
      </c>
      <c r="C792" t="s">
        <v>76</v>
      </c>
      <c r="D792">
        <v>82054</v>
      </c>
      <c r="E792">
        <v>1086.105</v>
      </c>
      <c r="F792">
        <v>218.2</v>
      </c>
      <c r="G792">
        <v>1086.2136105</v>
      </c>
      <c r="H792">
        <v>218.17818</v>
      </c>
      <c r="I792">
        <v>-4.9435782341643977</v>
      </c>
      <c r="J792">
        <v>0.7373295539710587</v>
      </c>
      <c r="K792">
        <v>9.2072129306098403E-3</v>
      </c>
      <c r="L792">
        <v>-3.3791455269067773E-2</v>
      </c>
      <c r="M792" t="s">
        <v>29</v>
      </c>
      <c r="N792">
        <v>6</v>
      </c>
      <c r="O792" t="s">
        <v>28</v>
      </c>
      <c r="P792">
        <v>82060</v>
      </c>
      <c r="Q792">
        <v>1081.02</v>
      </c>
      <c r="R792">
        <v>214.87</v>
      </c>
      <c r="S792">
        <v>0.3800311427134429</v>
      </c>
      <c r="T792">
        <v>6.570686829384377E-2</v>
      </c>
      <c r="U792">
        <v>6.2248143608282819E-2</v>
      </c>
      <c r="V792">
        <v>3.4747116420313241E-3</v>
      </c>
      <c r="W792">
        <v>5.8773431966251503E-2</v>
      </c>
      <c r="Y792" s="19">
        <f t="shared" si="33"/>
        <v>46164</v>
      </c>
    </row>
    <row r="793" spans="1:32" x14ac:dyDescent="0.3">
      <c r="A793">
        <v>14</v>
      </c>
      <c r="B793" t="s">
        <v>26</v>
      </c>
      <c r="C793" t="s">
        <v>76</v>
      </c>
      <c r="D793">
        <v>82444</v>
      </c>
      <c r="E793">
        <v>1057.1500000000001</v>
      </c>
      <c r="F793">
        <v>212.02</v>
      </c>
      <c r="G793">
        <v>1057.0442849999999</v>
      </c>
      <c r="H793">
        <v>212.041202</v>
      </c>
      <c r="I793">
        <v>4.9600660679820052</v>
      </c>
      <c r="J793">
        <v>0.7373295539710587</v>
      </c>
      <c r="K793">
        <v>-9.4593955446246984E-3</v>
      </c>
      <c r="L793">
        <v>3.4776415148149172E-2</v>
      </c>
      <c r="M793" t="s">
        <v>27</v>
      </c>
      <c r="N793">
        <v>5</v>
      </c>
      <c r="O793" t="s">
        <v>28</v>
      </c>
      <c r="P793">
        <v>82449</v>
      </c>
      <c r="Q793">
        <v>1052.99</v>
      </c>
      <c r="R793">
        <v>214.36</v>
      </c>
      <c r="S793">
        <v>0.29696518726153059</v>
      </c>
      <c r="T793">
        <v>0.1207278969123087</v>
      </c>
      <c r="U793">
        <v>0.1172490352317693</v>
      </c>
      <c r="V793">
        <v>3.474606573852913E-3</v>
      </c>
      <c r="W793">
        <v>0.1137744286579164</v>
      </c>
      <c r="Y793" s="19">
        <f t="shared" si="33"/>
        <v>46167</v>
      </c>
    </row>
    <row r="794" spans="1:32" x14ac:dyDescent="0.3">
      <c r="A794">
        <v>15</v>
      </c>
      <c r="B794" t="s">
        <v>32</v>
      </c>
      <c r="C794" t="s">
        <v>34</v>
      </c>
      <c r="D794">
        <v>82501</v>
      </c>
      <c r="E794">
        <v>55.4</v>
      </c>
      <c r="F794">
        <v>49.02</v>
      </c>
      <c r="G794">
        <v>55.405539999999988</v>
      </c>
      <c r="H794">
        <v>49.015098000000002</v>
      </c>
      <c r="I794">
        <v>-5.2946273021160346</v>
      </c>
      <c r="J794">
        <v>0.71674203224516841</v>
      </c>
      <c r="K794">
        <v>0.18050541516245491</v>
      </c>
      <c r="L794">
        <v>-0.14621420486437539</v>
      </c>
      <c r="M794" t="s">
        <v>29</v>
      </c>
      <c r="N794">
        <v>23</v>
      </c>
      <c r="O794" t="s">
        <v>28</v>
      </c>
      <c r="P794">
        <v>82524</v>
      </c>
      <c r="Q794">
        <v>55.46</v>
      </c>
      <c r="R794">
        <v>48.924999999999997</v>
      </c>
      <c r="S794">
        <v>-0.49124262977625999</v>
      </c>
      <c r="T794">
        <v>2.4720674371864239E-2</v>
      </c>
      <c r="U794">
        <v>2.128749630982962E-2</v>
      </c>
      <c r="V794">
        <v>3.433540716083888E-3</v>
      </c>
      <c r="W794">
        <v>1.7853955593745731E-2</v>
      </c>
      <c r="Y794" s="19">
        <f t="shared" si="33"/>
        <v>46167</v>
      </c>
    </row>
    <row r="795" spans="1:32" x14ac:dyDescent="0.3">
      <c r="A795">
        <v>15</v>
      </c>
      <c r="B795" t="s">
        <v>32</v>
      </c>
      <c r="C795" t="s">
        <v>34</v>
      </c>
      <c r="D795">
        <v>82775</v>
      </c>
      <c r="E795">
        <v>55.454999999999998</v>
      </c>
      <c r="F795">
        <v>49.034999999999997</v>
      </c>
      <c r="G795">
        <v>55.460545499999988</v>
      </c>
      <c r="H795">
        <v>49.030096499999999</v>
      </c>
      <c r="I795">
        <v>-3.618709709195238</v>
      </c>
      <c r="J795">
        <v>0.71674203224516841</v>
      </c>
      <c r="K795">
        <v>0.18032639076728879</v>
      </c>
      <c r="L795">
        <v>-0.14616947736212271</v>
      </c>
      <c r="M795" t="s">
        <v>29</v>
      </c>
      <c r="N795">
        <v>17</v>
      </c>
      <c r="O795" t="s">
        <v>28</v>
      </c>
      <c r="P795">
        <v>82792</v>
      </c>
      <c r="Q795">
        <v>55.475000000000001</v>
      </c>
      <c r="R795">
        <v>49.04</v>
      </c>
      <c r="S795">
        <v>-0.32664993217280558</v>
      </c>
      <c r="T795">
        <v>2.875680428535352E-3</v>
      </c>
      <c r="U795">
        <v>-5.5823737347344971E-4</v>
      </c>
      <c r="V795">
        <v>3.433540716083888E-3</v>
      </c>
      <c r="W795">
        <v>-3.9917780895573369E-3</v>
      </c>
      <c r="Y795" s="19">
        <f t="shared" si="33"/>
        <v>46168</v>
      </c>
    </row>
    <row r="796" spans="1:32" x14ac:dyDescent="0.3">
      <c r="A796">
        <v>15</v>
      </c>
      <c r="B796" t="s">
        <v>32</v>
      </c>
      <c r="C796" t="s">
        <v>34</v>
      </c>
      <c r="D796">
        <v>82834</v>
      </c>
      <c r="E796">
        <v>55.9</v>
      </c>
      <c r="F796">
        <v>49.39</v>
      </c>
      <c r="G796">
        <v>55.894410000000001</v>
      </c>
      <c r="H796">
        <v>49.394939000000001</v>
      </c>
      <c r="I796">
        <v>3.616000328049747</v>
      </c>
      <c r="J796">
        <v>0.71674203224516841</v>
      </c>
      <c r="K796">
        <v>-0.1788908765652952</v>
      </c>
      <c r="L796">
        <v>0.1451188564983131</v>
      </c>
      <c r="M796" t="s">
        <v>27</v>
      </c>
      <c r="N796">
        <v>5</v>
      </c>
      <c r="O796" t="s">
        <v>28</v>
      </c>
      <c r="P796">
        <v>82839</v>
      </c>
      <c r="Q796">
        <v>56</v>
      </c>
      <c r="R796">
        <v>49.72</v>
      </c>
      <c r="S796">
        <v>-0.28239712615868451</v>
      </c>
      <c r="T796">
        <v>3.0000134987913301E-2</v>
      </c>
      <c r="U796">
        <v>2.656007309239267E-2</v>
      </c>
      <c r="V796">
        <v>3.433427412896786E-3</v>
      </c>
      <c r="W796">
        <v>2.3126645679495881E-2</v>
      </c>
      <c r="Y796" s="19">
        <f t="shared" si="33"/>
        <v>46168</v>
      </c>
    </row>
    <row r="797" spans="1:32" x14ac:dyDescent="0.3">
      <c r="A797">
        <v>15</v>
      </c>
      <c r="B797" t="s">
        <v>32</v>
      </c>
      <c r="C797" t="s">
        <v>34</v>
      </c>
      <c r="D797">
        <v>83127</v>
      </c>
      <c r="E797">
        <v>55.734999999999999</v>
      </c>
      <c r="F797">
        <v>49.335000000000001</v>
      </c>
      <c r="G797">
        <v>55.740573500000004</v>
      </c>
      <c r="H797">
        <v>49.330066500000001</v>
      </c>
      <c r="I797">
        <v>-3.9384352450546358</v>
      </c>
      <c r="J797">
        <v>0.71674203224516841</v>
      </c>
      <c r="K797">
        <v>0.17942047187584101</v>
      </c>
      <c r="L797">
        <v>-0.14528063894702919</v>
      </c>
      <c r="M797" t="s">
        <v>29</v>
      </c>
      <c r="N797">
        <v>15</v>
      </c>
      <c r="O797" t="s">
        <v>28</v>
      </c>
      <c r="P797">
        <v>83142</v>
      </c>
      <c r="Q797">
        <v>55.84</v>
      </c>
      <c r="R797">
        <v>49.354999999999997</v>
      </c>
      <c r="S797">
        <v>-0.28138329554464592</v>
      </c>
      <c r="T797">
        <v>1.5933536768024021E-2</v>
      </c>
      <c r="U797">
        <v>1.2497878227301539E-2</v>
      </c>
      <c r="V797">
        <v>3.433540716083888E-3</v>
      </c>
      <c r="W797">
        <v>9.0643375112176554E-3</v>
      </c>
      <c r="Y797" s="19">
        <f t="shared" si="33"/>
        <v>46169</v>
      </c>
    </row>
    <row r="798" spans="1:32" x14ac:dyDescent="0.3">
      <c r="A798">
        <v>15</v>
      </c>
      <c r="B798" t="s">
        <v>32</v>
      </c>
      <c r="C798" t="s">
        <v>34</v>
      </c>
      <c r="D798">
        <v>83635</v>
      </c>
      <c r="E798">
        <v>56.774999999999999</v>
      </c>
      <c r="F798">
        <v>50.005000000000003</v>
      </c>
      <c r="G798">
        <v>56.780677500000003</v>
      </c>
      <c r="H798">
        <v>49.999999500000001</v>
      </c>
      <c r="I798">
        <v>-3.732359997184135</v>
      </c>
      <c r="J798">
        <v>0.71674203224516841</v>
      </c>
      <c r="K798">
        <v>0.17613386173491849</v>
      </c>
      <c r="L798">
        <v>-0.14333407304172949</v>
      </c>
      <c r="M798" t="s">
        <v>29</v>
      </c>
      <c r="N798">
        <v>41</v>
      </c>
      <c r="O798" t="s">
        <v>28</v>
      </c>
      <c r="P798">
        <v>83676</v>
      </c>
      <c r="Q798">
        <v>56.64</v>
      </c>
      <c r="R798">
        <v>50.015000000000001</v>
      </c>
      <c r="S798">
        <v>-0.36151531318020619</v>
      </c>
      <c r="T798">
        <v>-2.5211412064630661E-2</v>
      </c>
      <c r="U798">
        <v>-2.8642661656059439E-2</v>
      </c>
      <c r="V798">
        <v>3.433540716083888E-3</v>
      </c>
      <c r="W798">
        <v>-3.2076202372143321E-2</v>
      </c>
      <c r="Y798" s="19">
        <f t="shared" si="33"/>
        <v>46170</v>
      </c>
    </row>
    <row r="799" spans="1:32" x14ac:dyDescent="0.3">
      <c r="A799">
        <v>15</v>
      </c>
      <c r="B799" t="s">
        <v>32</v>
      </c>
      <c r="C799" t="s">
        <v>34</v>
      </c>
      <c r="D799">
        <v>84005</v>
      </c>
      <c r="E799">
        <v>58.26</v>
      </c>
      <c r="F799">
        <v>51.09</v>
      </c>
      <c r="G799">
        <v>58.254173999999999</v>
      </c>
      <c r="H799">
        <v>51.095109000000001</v>
      </c>
      <c r="I799">
        <v>4.7237316780747456</v>
      </c>
      <c r="J799">
        <v>0.71674203224516841</v>
      </c>
      <c r="K799">
        <v>-0.17164435290078961</v>
      </c>
      <c r="L799">
        <v>0.14029008264732201</v>
      </c>
      <c r="M799" t="s">
        <v>27</v>
      </c>
      <c r="N799">
        <v>17</v>
      </c>
      <c r="O799" t="s">
        <v>28</v>
      </c>
      <c r="P799">
        <v>84022</v>
      </c>
      <c r="Q799">
        <v>58.52</v>
      </c>
      <c r="R799">
        <v>51.27</v>
      </c>
      <c r="S799">
        <v>0.47374405302859091</v>
      </c>
      <c r="T799">
        <v>-1.9375316877688242E-2</v>
      </c>
      <c r="U799">
        <v>-2.2815788916840881E-2</v>
      </c>
      <c r="V799">
        <v>3.433427412896786E-3</v>
      </c>
      <c r="W799">
        <v>-2.624921632973766E-2</v>
      </c>
      <c r="Y799" s="19">
        <f t="shared" si="33"/>
        <v>46171</v>
      </c>
    </row>
    <row r="800" spans="1:32" x14ac:dyDescent="0.3">
      <c r="A800">
        <v>15</v>
      </c>
      <c r="B800" t="s">
        <v>32</v>
      </c>
      <c r="C800" t="s">
        <v>34</v>
      </c>
      <c r="D800">
        <v>84213</v>
      </c>
      <c r="E800">
        <v>58.645000000000003</v>
      </c>
      <c r="F800">
        <v>51.414999999999999</v>
      </c>
      <c r="G800">
        <v>58.650864499999997</v>
      </c>
      <c r="H800">
        <v>51.409858499999999</v>
      </c>
      <c r="I800">
        <v>-3.6589472426244378</v>
      </c>
      <c r="J800">
        <v>0.71674203224516841</v>
      </c>
      <c r="K800">
        <v>0.17051752067524939</v>
      </c>
      <c r="L800">
        <v>-0.1394032932500571</v>
      </c>
      <c r="M800" t="s">
        <v>29</v>
      </c>
      <c r="N800">
        <v>16</v>
      </c>
      <c r="O800" t="s">
        <v>28</v>
      </c>
      <c r="P800">
        <v>84229</v>
      </c>
      <c r="Q800">
        <v>58.67</v>
      </c>
      <c r="R800">
        <v>51.414999999999999</v>
      </c>
      <c r="S800">
        <v>-0.23370122353748371</v>
      </c>
      <c r="T800">
        <v>4.2629380168809914E-3</v>
      </c>
      <c r="U800">
        <v>8.2902765858823752E-4</v>
      </c>
      <c r="V800">
        <v>3.433540716083888E-3</v>
      </c>
      <c r="W800">
        <v>-2.6045130574956499E-3</v>
      </c>
      <c r="Y800" s="19">
        <f t="shared" si="33"/>
        <v>46171</v>
      </c>
      <c r="AF800" s="19"/>
    </row>
    <row r="801" spans="1:32" x14ac:dyDescent="0.3">
      <c r="A801">
        <v>15</v>
      </c>
      <c r="B801" t="s">
        <v>32</v>
      </c>
      <c r="C801" t="s">
        <v>34</v>
      </c>
      <c r="D801">
        <v>84760</v>
      </c>
      <c r="E801">
        <v>57.96</v>
      </c>
      <c r="F801">
        <v>48.82</v>
      </c>
      <c r="G801">
        <v>57.954203999999997</v>
      </c>
      <c r="H801">
        <v>48.824882000000002</v>
      </c>
      <c r="I801">
        <v>3.558018281985321</v>
      </c>
      <c r="J801">
        <v>0.71674203224516841</v>
      </c>
      <c r="K801">
        <v>-0.17253278122843341</v>
      </c>
      <c r="L801">
        <v>0.1468131979199444</v>
      </c>
      <c r="M801" t="s">
        <v>27</v>
      </c>
      <c r="N801">
        <v>28</v>
      </c>
      <c r="O801" t="s">
        <v>28</v>
      </c>
      <c r="P801">
        <v>84788</v>
      </c>
      <c r="Q801">
        <v>57.8</v>
      </c>
      <c r="R801">
        <v>48.49</v>
      </c>
      <c r="S801">
        <v>0.44409772618093141</v>
      </c>
      <c r="T801">
        <v>-2.084311031703141E-2</v>
      </c>
      <c r="U801">
        <v>-2.426898902149071E-2</v>
      </c>
      <c r="V801">
        <v>3.433427412896786E-3</v>
      </c>
      <c r="W801">
        <v>-2.7702416434387499E-2</v>
      </c>
      <c r="Y801" s="19">
        <f t="shared" si="33"/>
        <v>46175</v>
      </c>
      <c r="AF801" s="19"/>
    </row>
    <row r="802" spans="1:32" x14ac:dyDescent="0.3">
      <c r="A802">
        <v>15</v>
      </c>
      <c r="B802" t="s">
        <v>32</v>
      </c>
      <c r="C802" t="s">
        <v>34</v>
      </c>
      <c r="D802">
        <v>85173</v>
      </c>
      <c r="E802">
        <v>58.79</v>
      </c>
      <c r="F802">
        <v>49.08</v>
      </c>
      <c r="G802">
        <v>58.784120999999999</v>
      </c>
      <c r="H802">
        <v>49.084907999999999</v>
      </c>
      <c r="I802">
        <v>3.9061094348266341</v>
      </c>
      <c r="J802">
        <v>0.71674203224516841</v>
      </c>
      <c r="K802">
        <v>-0.1700969552645008</v>
      </c>
      <c r="L802">
        <v>0.14603545889265859</v>
      </c>
      <c r="M802" t="s">
        <v>27</v>
      </c>
      <c r="N802">
        <v>21</v>
      </c>
      <c r="O802" t="s">
        <v>28</v>
      </c>
      <c r="P802">
        <v>85194</v>
      </c>
      <c r="Q802">
        <v>59.16</v>
      </c>
      <c r="R802">
        <v>49.454999999999998</v>
      </c>
      <c r="S802">
        <v>0.2423977271380959</v>
      </c>
      <c r="T802">
        <v>-8.1725763631178699E-3</v>
      </c>
      <c r="U802">
        <v>-1.161783034466113E-2</v>
      </c>
      <c r="V802">
        <v>3.433427412896786E-3</v>
      </c>
      <c r="W802">
        <v>-1.5051257757557911E-2</v>
      </c>
      <c r="Y802" s="19">
        <f t="shared" si="33"/>
        <v>46176</v>
      </c>
      <c r="AF802" s="19"/>
    </row>
    <row r="803" spans="1:32" x14ac:dyDescent="0.3">
      <c r="A803">
        <v>15</v>
      </c>
      <c r="B803" t="s">
        <v>32</v>
      </c>
      <c r="C803" t="s">
        <v>34</v>
      </c>
      <c r="D803">
        <v>85875</v>
      </c>
      <c r="E803">
        <v>57.854999999999997</v>
      </c>
      <c r="F803">
        <v>48.295000000000002</v>
      </c>
      <c r="G803">
        <v>57.849214500000002</v>
      </c>
      <c r="H803">
        <v>48.299829500000001</v>
      </c>
      <c r="I803">
        <v>3.595451202139242</v>
      </c>
      <c r="J803">
        <v>0.71674203224516841</v>
      </c>
      <c r="K803">
        <v>-0.17284590787313109</v>
      </c>
      <c r="L803">
        <v>0.14840915876284669</v>
      </c>
      <c r="M803" t="s">
        <v>27</v>
      </c>
      <c r="N803">
        <v>21</v>
      </c>
      <c r="O803" t="s">
        <v>28</v>
      </c>
      <c r="P803">
        <v>85896</v>
      </c>
      <c r="Q803">
        <v>57.965000000000003</v>
      </c>
      <c r="R803">
        <v>48.335000000000001</v>
      </c>
      <c r="S803">
        <v>0.4200184629734931</v>
      </c>
      <c r="T803">
        <v>-1.307668351553181E-2</v>
      </c>
      <c r="U803">
        <v>-1.6512662521643968E-2</v>
      </c>
      <c r="V803">
        <v>3.433427412896786E-3</v>
      </c>
      <c r="W803">
        <v>-1.9946089934540751E-2</v>
      </c>
      <c r="Y803" s="19">
        <f t="shared" si="33"/>
        <v>46178</v>
      </c>
      <c r="AF803" s="19"/>
    </row>
    <row r="804" spans="1:32" x14ac:dyDescent="0.3">
      <c r="A804">
        <v>15</v>
      </c>
      <c r="B804" t="s">
        <v>32</v>
      </c>
      <c r="C804" t="s">
        <v>34</v>
      </c>
      <c r="D804">
        <v>86343</v>
      </c>
      <c r="E804">
        <v>58.64</v>
      </c>
      <c r="F804">
        <v>48.585000000000001</v>
      </c>
      <c r="G804">
        <v>58.634135999999998</v>
      </c>
      <c r="H804">
        <v>48.589858499999998</v>
      </c>
      <c r="I804">
        <v>4.1714586811520622</v>
      </c>
      <c r="J804">
        <v>0.71674203224516841</v>
      </c>
      <c r="K804">
        <v>-0.1705320600272851</v>
      </c>
      <c r="L804">
        <v>0.14752331630033311</v>
      </c>
      <c r="M804" t="s">
        <v>27</v>
      </c>
      <c r="N804">
        <v>5</v>
      </c>
      <c r="O804" t="s">
        <v>28</v>
      </c>
      <c r="P804">
        <v>86348</v>
      </c>
      <c r="Q804">
        <v>58.58</v>
      </c>
      <c r="R804">
        <v>48.62</v>
      </c>
      <c r="S804">
        <v>0.36700134310946292</v>
      </c>
      <c r="T804">
        <v>1.5395239672148651E-2</v>
      </c>
      <c r="U804">
        <v>1.196226246841158E-2</v>
      </c>
      <c r="V804">
        <v>3.433427412896786E-3</v>
      </c>
      <c r="W804">
        <v>8.5288350555147927E-3</v>
      </c>
      <c r="Y804" s="19">
        <f t="shared" si="33"/>
        <v>46181</v>
      </c>
      <c r="AF804" s="19"/>
    </row>
    <row r="805" spans="1:32" x14ac:dyDescent="0.3">
      <c r="A805">
        <v>15</v>
      </c>
      <c r="B805" t="s">
        <v>25</v>
      </c>
      <c r="C805" t="s">
        <v>34</v>
      </c>
      <c r="D805">
        <v>82501</v>
      </c>
      <c r="E805">
        <v>312</v>
      </c>
      <c r="F805">
        <v>49.02</v>
      </c>
      <c r="G805">
        <v>311.96879999999999</v>
      </c>
      <c r="H805">
        <v>49.024901999999997</v>
      </c>
      <c r="I805">
        <v>5.2945608818580352</v>
      </c>
      <c r="J805">
        <v>0.6279472123330162</v>
      </c>
      <c r="K805">
        <v>-3.2051282051282048E-2</v>
      </c>
      <c r="L805">
        <v>0.12810020651428319</v>
      </c>
      <c r="M805" t="s">
        <v>27</v>
      </c>
      <c r="N805">
        <v>23</v>
      </c>
      <c r="O805" t="s">
        <v>28</v>
      </c>
      <c r="P805">
        <v>82524</v>
      </c>
      <c r="Q805">
        <v>311.995</v>
      </c>
      <c r="R805">
        <v>48.924999999999997</v>
      </c>
      <c r="S805">
        <v>0.49233324178435162</v>
      </c>
      <c r="T805">
        <v>-1.2009263208601399E-2</v>
      </c>
      <c r="U805">
        <v>-1.526392465566513E-2</v>
      </c>
      <c r="V805">
        <v>3.2558200141084991E-3</v>
      </c>
      <c r="W805">
        <v>-1.851974466977363E-2</v>
      </c>
      <c r="Y805" s="19">
        <f t="shared" si="33"/>
        <v>46167</v>
      </c>
      <c r="AF805" s="19"/>
    </row>
    <row r="806" spans="1:32" x14ac:dyDescent="0.3">
      <c r="A806">
        <v>15</v>
      </c>
      <c r="B806" t="s">
        <v>25</v>
      </c>
      <c r="C806" t="s">
        <v>34</v>
      </c>
      <c r="D806">
        <v>82834</v>
      </c>
      <c r="E806">
        <v>314.35000000000002</v>
      </c>
      <c r="F806">
        <v>49.39</v>
      </c>
      <c r="G806">
        <v>314.31856499999998</v>
      </c>
      <c r="H806">
        <v>49.394939000000001</v>
      </c>
      <c r="I806">
        <v>4.3637604779778716</v>
      </c>
      <c r="J806">
        <v>0.6279472123330162</v>
      </c>
      <c r="K806">
        <v>-3.1811674884682679E-2</v>
      </c>
      <c r="L806">
        <v>0.12714055726523921</v>
      </c>
      <c r="M806" t="s">
        <v>27</v>
      </c>
      <c r="N806">
        <v>9</v>
      </c>
      <c r="O806" t="s">
        <v>28</v>
      </c>
      <c r="P806">
        <v>82843</v>
      </c>
      <c r="Q806">
        <v>315.065</v>
      </c>
      <c r="R806">
        <v>49.88</v>
      </c>
      <c r="S806">
        <v>-0.43829650237729989</v>
      </c>
      <c r="T806">
        <v>3.955352551742012E-2</v>
      </c>
      <c r="U806">
        <v>3.628912667069524E-2</v>
      </c>
      <c r="V806">
        <v>3.2558200141084991E-3</v>
      </c>
      <c r="W806">
        <v>3.3033306656586742E-2</v>
      </c>
      <c r="Y806" s="19">
        <f t="shared" si="33"/>
        <v>46168</v>
      </c>
      <c r="AF806" s="19"/>
    </row>
    <row r="807" spans="1:32" x14ac:dyDescent="0.3">
      <c r="A807">
        <v>15</v>
      </c>
      <c r="B807" t="s">
        <v>25</v>
      </c>
      <c r="C807" t="s">
        <v>34</v>
      </c>
      <c r="D807">
        <v>83224</v>
      </c>
      <c r="E807">
        <v>311.5</v>
      </c>
      <c r="F807">
        <v>49.34</v>
      </c>
      <c r="G807">
        <v>311.53115000000003</v>
      </c>
      <c r="H807">
        <v>49.335065999999998</v>
      </c>
      <c r="I807">
        <v>-3.528758330780994</v>
      </c>
      <c r="J807">
        <v>0.6279472123330162</v>
      </c>
      <c r="K807">
        <v>3.2102728731942212E-2</v>
      </c>
      <c r="L807">
        <v>-0.12726939852716179</v>
      </c>
      <c r="M807" t="s">
        <v>29</v>
      </c>
      <c r="N807">
        <v>3</v>
      </c>
      <c r="O807" t="s">
        <v>28</v>
      </c>
      <c r="P807">
        <v>83227</v>
      </c>
      <c r="Q807">
        <v>312.37</v>
      </c>
      <c r="R807">
        <v>49.31</v>
      </c>
      <c r="S807">
        <v>0.48593045136970242</v>
      </c>
      <c r="T807">
        <v>3.1747455952604857E-2</v>
      </c>
      <c r="U807">
        <v>2.8489150398736809E-2</v>
      </c>
      <c r="V807">
        <v>3.2559688352235649E-3</v>
      </c>
      <c r="W807">
        <v>2.523318156351324E-2</v>
      </c>
      <c r="Y807" s="19">
        <f t="shared" si="33"/>
        <v>46169</v>
      </c>
      <c r="AF807" s="19"/>
    </row>
    <row r="808" spans="1:32" x14ac:dyDescent="0.3">
      <c r="A808">
        <v>15</v>
      </c>
      <c r="B808" t="s">
        <v>25</v>
      </c>
      <c r="C808" t="s">
        <v>34</v>
      </c>
      <c r="D808">
        <v>84005</v>
      </c>
      <c r="E808">
        <v>316.89</v>
      </c>
      <c r="F808">
        <v>51.09</v>
      </c>
      <c r="G808">
        <v>316.85831100000001</v>
      </c>
      <c r="H808">
        <v>51.095109000000001</v>
      </c>
      <c r="I808">
        <v>3.824627700235105</v>
      </c>
      <c r="J808">
        <v>0.6279472123330162</v>
      </c>
      <c r="K808">
        <v>-3.1556691596453031E-2</v>
      </c>
      <c r="L808">
        <v>0.1229100043713087</v>
      </c>
      <c r="M808" t="s">
        <v>27</v>
      </c>
      <c r="N808">
        <v>10</v>
      </c>
      <c r="O808" t="s">
        <v>28</v>
      </c>
      <c r="P808">
        <v>84015</v>
      </c>
      <c r="Q808">
        <v>315.8</v>
      </c>
      <c r="R808">
        <v>51.08</v>
      </c>
      <c r="S808">
        <v>-6.797001161082214E-2</v>
      </c>
      <c r="T808">
        <v>3.3167693796419297E-2</v>
      </c>
      <c r="U808">
        <v>2.9915361961142261E-2</v>
      </c>
      <c r="V808">
        <v>3.2558200141084999E-3</v>
      </c>
      <c r="W808">
        <v>2.6659541947033769E-2</v>
      </c>
      <c r="Y808" s="19">
        <f t="shared" si="33"/>
        <v>46171</v>
      </c>
      <c r="AF808" s="19"/>
    </row>
    <row r="809" spans="1:32" x14ac:dyDescent="0.3">
      <c r="A809">
        <v>15</v>
      </c>
      <c r="B809" t="s">
        <v>25</v>
      </c>
      <c r="C809" t="s">
        <v>34</v>
      </c>
      <c r="D809">
        <v>84345</v>
      </c>
      <c r="E809">
        <v>320.47000000000003</v>
      </c>
      <c r="F809">
        <v>51.58</v>
      </c>
      <c r="G809">
        <v>320.502047</v>
      </c>
      <c r="H809">
        <v>51.574841999999997</v>
      </c>
      <c r="I809">
        <v>-3.563576332611087</v>
      </c>
      <c r="J809">
        <v>0.6279472123330162</v>
      </c>
      <c r="K809">
        <v>3.1204168876961959E-2</v>
      </c>
      <c r="L809">
        <v>-0.12174238315878561</v>
      </c>
      <c r="M809" t="s">
        <v>29</v>
      </c>
      <c r="N809">
        <v>15</v>
      </c>
      <c r="O809" t="s">
        <v>28</v>
      </c>
      <c r="P809">
        <v>84360</v>
      </c>
      <c r="Q809">
        <v>320.51</v>
      </c>
      <c r="R809">
        <v>51.545000000000002</v>
      </c>
      <c r="S809">
        <v>-8.6200604849215309E-2</v>
      </c>
      <c r="T809">
        <v>5.5091501656344254E-3</v>
      </c>
      <c r="U809">
        <v>2.253557022634176E-3</v>
      </c>
      <c r="V809">
        <v>3.2559688352235649E-3</v>
      </c>
      <c r="W809">
        <v>-1.0024118125893889E-3</v>
      </c>
      <c r="Y809" s="19">
        <f t="shared" si="33"/>
        <v>46174</v>
      </c>
      <c r="AF809" s="19"/>
    </row>
    <row r="810" spans="1:32" x14ac:dyDescent="0.3">
      <c r="A810">
        <v>15</v>
      </c>
      <c r="B810" t="s">
        <v>25</v>
      </c>
      <c r="C810" t="s">
        <v>34</v>
      </c>
      <c r="D810">
        <v>84399</v>
      </c>
      <c r="E810">
        <v>324.34500000000003</v>
      </c>
      <c r="F810">
        <v>52.01</v>
      </c>
      <c r="G810">
        <v>324.31256550000001</v>
      </c>
      <c r="H810">
        <v>52.015200999999998</v>
      </c>
      <c r="I810">
        <v>5.0421463869453431</v>
      </c>
      <c r="J810">
        <v>0.6279472123330162</v>
      </c>
      <c r="K810">
        <v>-3.0831367833633942E-2</v>
      </c>
      <c r="L810">
        <v>0.12073586086003001</v>
      </c>
      <c r="M810" t="s">
        <v>27</v>
      </c>
      <c r="N810">
        <v>10</v>
      </c>
      <c r="O810" t="s">
        <v>28</v>
      </c>
      <c r="P810">
        <v>84409</v>
      </c>
      <c r="Q810">
        <v>321.83</v>
      </c>
      <c r="R810">
        <v>51.484999999999999</v>
      </c>
      <c r="S810">
        <v>0.40488685543589947</v>
      </c>
      <c r="T810">
        <v>1.4154563150075071E-2</v>
      </c>
      <c r="U810">
        <v>1.091276144711485E-2</v>
      </c>
      <c r="V810">
        <v>3.2558200141084999E-3</v>
      </c>
      <c r="W810">
        <v>7.6569414330063526E-3</v>
      </c>
      <c r="Y810" s="19">
        <f t="shared" si="33"/>
        <v>46174</v>
      </c>
    </row>
    <row r="811" spans="1:32" x14ac:dyDescent="0.3">
      <c r="A811">
        <v>15</v>
      </c>
      <c r="B811" t="s">
        <v>25</v>
      </c>
      <c r="C811" t="s">
        <v>34</v>
      </c>
      <c r="D811">
        <v>84792</v>
      </c>
      <c r="E811">
        <v>322.75</v>
      </c>
      <c r="F811">
        <v>48.49</v>
      </c>
      <c r="G811">
        <v>322.71772499999997</v>
      </c>
      <c r="H811">
        <v>48.494849000000002</v>
      </c>
      <c r="I811">
        <v>4.7838085755323849</v>
      </c>
      <c r="J811">
        <v>0.6279472123330162</v>
      </c>
      <c r="K811">
        <v>-3.0983733539891561E-2</v>
      </c>
      <c r="L811">
        <v>0.1295003531311644</v>
      </c>
      <c r="M811" t="s">
        <v>27</v>
      </c>
      <c r="N811">
        <v>29</v>
      </c>
      <c r="O811" t="s">
        <v>28</v>
      </c>
      <c r="P811">
        <v>84821</v>
      </c>
      <c r="Q811">
        <v>325.45</v>
      </c>
      <c r="R811">
        <v>48.83</v>
      </c>
      <c r="S811">
        <v>0.21879999188849611</v>
      </c>
      <c r="T811">
        <v>-3.9625960493111442E-2</v>
      </c>
      <c r="U811">
        <v>-4.2894623537837823E-2</v>
      </c>
      <c r="V811">
        <v>3.2558200141084991E-3</v>
      </c>
      <c r="W811">
        <v>-4.6150443551946307E-2</v>
      </c>
      <c r="Y811" s="19">
        <f t="shared" si="33"/>
        <v>46175</v>
      </c>
    </row>
    <row r="812" spans="1:32" x14ac:dyDescent="0.3">
      <c r="A812">
        <v>15</v>
      </c>
      <c r="B812" t="s">
        <v>25</v>
      </c>
      <c r="C812" t="s">
        <v>34</v>
      </c>
      <c r="D812">
        <v>85172</v>
      </c>
      <c r="E812">
        <v>330.86500000000001</v>
      </c>
      <c r="F812">
        <v>49.094999999999999</v>
      </c>
      <c r="G812">
        <v>330.83191349999998</v>
      </c>
      <c r="H812">
        <v>49.099909500000003</v>
      </c>
      <c r="I812">
        <v>3.5539138363635052</v>
      </c>
      <c r="J812">
        <v>0.6279472123330162</v>
      </c>
      <c r="K812">
        <v>-3.0223807293004699E-2</v>
      </c>
      <c r="L812">
        <v>0.127904514173137</v>
      </c>
      <c r="M812" t="s">
        <v>27</v>
      </c>
      <c r="N812">
        <v>30</v>
      </c>
      <c r="O812" t="s">
        <v>28</v>
      </c>
      <c r="P812">
        <v>85202</v>
      </c>
      <c r="Q812">
        <v>334.84</v>
      </c>
      <c r="R812">
        <v>49.575000000000003</v>
      </c>
      <c r="S812">
        <v>0.28108093975325649</v>
      </c>
      <c r="T812">
        <v>-5.874546718658636E-2</v>
      </c>
      <c r="U812">
        <v>-6.2019514991331098E-2</v>
      </c>
      <c r="V812">
        <v>3.2558200141084991E-3</v>
      </c>
      <c r="W812">
        <v>-6.5275335005439597E-2</v>
      </c>
      <c r="Y812" s="19">
        <f t="shared" si="33"/>
        <v>46176</v>
      </c>
    </row>
    <row r="813" spans="1:32" x14ac:dyDescent="0.3">
      <c r="A813">
        <v>15</v>
      </c>
      <c r="B813" t="s">
        <v>25</v>
      </c>
      <c r="C813" t="s">
        <v>34</v>
      </c>
      <c r="D813">
        <v>85455</v>
      </c>
      <c r="E813">
        <v>336.07</v>
      </c>
      <c r="F813">
        <v>49.24</v>
      </c>
      <c r="G813">
        <v>336.03639299999998</v>
      </c>
      <c r="H813">
        <v>49.244923999999997</v>
      </c>
      <c r="I813">
        <v>4.126240313878963</v>
      </c>
      <c r="J813">
        <v>0.6279472123330162</v>
      </c>
      <c r="K813">
        <v>-2.9755705656559651E-2</v>
      </c>
      <c r="L813">
        <v>0.12752786603026331</v>
      </c>
      <c r="M813" t="s">
        <v>27</v>
      </c>
      <c r="N813">
        <v>4</v>
      </c>
      <c r="O813" t="s">
        <v>28</v>
      </c>
      <c r="P813">
        <v>85459</v>
      </c>
      <c r="Q813">
        <v>335.52</v>
      </c>
      <c r="R813">
        <v>49.23</v>
      </c>
      <c r="S813">
        <v>0.23455340599865021</v>
      </c>
      <c r="T813">
        <v>1.509035945080486E-2</v>
      </c>
      <c r="U813">
        <v>1.183622911781578E-2</v>
      </c>
      <c r="V813">
        <v>3.2558200141084999E-3</v>
      </c>
      <c r="W813">
        <v>8.5804091037072795E-3</v>
      </c>
      <c r="Y813" s="19">
        <f t="shared" si="33"/>
        <v>46177</v>
      </c>
    </row>
    <row r="814" spans="1:32" x14ac:dyDescent="0.3">
      <c r="A814">
        <v>15</v>
      </c>
      <c r="B814" t="s">
        <v>25</v>
      </c>
      <c r="C814" t="s">
        <v>34</v>
      </c>
      <c r="D814">
        <v>86355</v>
      </c>
      <c r="E814">
        <v>328.44499999999999</v>
      </c>
      <c r="F814">
        <v>48.76</v>
      </c>
      <c r="G814">
        <v>328.4778445</v>
      </c>
      <c r="H814">
        <v>48.755124000000002</v>
      </c>
      <c r="I814">
        <v>-4.7643167758776501</v>
      </c>
      <c r="J814">
        <v>0.6279472123330162</v>
      </c>
      <c r="K814">
        <v>3.0446497891580021E-2</v>
      </c>
      <c r="L814">
        <v>-0.12878326750061861</v>
      </c>
      <c r="M814" t="s">
        <v>29</v>
      </c>
      <c r="N814">
        <v>16</v>
      </c>
      <c r="O814" t="s">
        <v>28</v>
      </c>
      <c r="P814">
        <v>86371</v>
      </c>
      <c r="Q814">
        <v>330.6</v>
      </c>
      <c r="R814">
        <v>48.975000000000001</v>
      </c>
      <c r="S814">
        <v>-0.39155735361129862</v>
      </c>
      <c r="T814">
        <v>3.7923800443722407E-2</v>
      </c>
      <c r="U814">
        <v>3.4658575958509658E-2</v>
      </c>
      <c r="V814">
        <v>3.2559688352235649E-3</v>
      </c>
      <c r="W814">
        <v>3.1402607123286103E-2</v>
      </c>
      <c r="Y814" s="19">
        <f t="shared" si="33"/>
        <v>46181</v>
      </c>
    </row>
    <row r="815" spans="1:32" x14ac:dyDescent="0.3">
      <c r="A815">
        <v>15</v>
      </c>
      <c r="B815" t="s">
        <v>30</v>
      </c>
      <c r="C815" t="s">
        <v>33</v>
      </c>
      <c r="D815">
        <v>82501</v>
      </c>
      <c r="E815">
        <v>54.07</v>
      </c>
      <c r="F815">
        <v>228.65</v>
      </c>
      <c r="G815">
        <v>54.075406999999998</v>
      </c>
      <c r="H815">
        <v>228.62713500000001</v>
      </c>
      <c r="I815">
        <v>-5.2946400610808668</v>
      </c>
      <c r="J815">
        <v>1.1831404680056781</v>
      </c>
      <c r="K815">
        <v>0.18494544109487701</v>
      </c>
      <c r="L815">
        <v>-5.1744608266156913E-2</v>
      </c>
      <c r="M815" t="s">
        <v>29</v>
      </c>
      <c r="N815">
        <v>23</v>
      </c>
      <c r="O815" t="s">
        <v>28</v>
      </c>
      <c r="P815">
        <v>82524</v>
      </c>
      <c r="Q815">
        <v>54.024999999999999</v>
      </c>
      <c r="R815">
        <v>228.27</v>
      </c>
      <c r="S815">
        <v>-0.49176915173046482</v>
      </c>
      <c r="T815">
        <v>1.1340406291869609E-2</v>
      </c>
      <c r="U815">
        <v>6.976923905457056E-3</v>
      </c>
      <c r="V815">
        <v>4.3662443079177547E-3</v>
      </c>
      <c r="W815">
        <v>2.6106795975393009E-3</v>
      </c>
      <c r="Y815" s="19">
        <f t="shared" si="33"/>
        <v>46167</v>
      </c>
    </row>
    <row r="816" spans="1:32" x14ac:dyDescent="0.3">
      <c r="A816">
        <v>15</v>
      </c>
      <c r="B816" t="s">
        <v>30</v>
      </c>
      <c r="C816" t="s">
        <v>33</v>
      </c>
      <c r="D816">
        <v>82834</v>
      </c>
      <c r="E816">
        <v>54.034999999999997</v>
      </c>
      <c r="F816">
        <v>227.095</v>
      </c>
      <c r="G816">
        <v>54.029596499999997</v>
      </c>
      <c r="H816">
        <v>227.11770949999999</v>
      </c>
      <c r="I816">
        <v>4.0539703722124836</v>
      </c>
      <c r="J816">
        <v>1.1831404680056781</v>
      </c>
      <c r="K816">
        <v>-0.18506523549551221</v>
      </c>
      <c r="L816">
        <v>5.2098921949214103E-2</v>
      </c>
      <c r="M816" t="s">
        <v>27</v>
      </c>
      <c r="N816">
        <v>18</v>
      </c>
      <c r="O816" t="s">
        <v>28</v>
      </c>
      <c r="P816">
        <v>82852</v>
      </c>
      <c r="Q816">
        <v>54.52</v>
      </c>
      <c r="R816">
        <v>231.1</v>
      </c>
      <c r="S816">
        <v>-0.41248599416278797</v>
      </c>
      <c r="T816">
        <v>0.1188995431912776</v>
      </c>
      <c r="U816">
        <v>0.1145034209731048</v>
      </c>
      <c r="V816">
        <v>4.3663175641049561E-3</v>
      </c>
      <c r="W816">
        <v>0.11013710340899981</v>
      </c>
      <c r="Y816" s="19">
        <f t="shared" si="33"/>
        <v>46168</v>
      </c>
    </row>
    <row r="817" spans="1:32" x14ac:dyDescent="0.3">
      <c r="A817">
        <v>15</v>
      </c>
      <c r="B817" t="s">
        <v>30</v>
      </c>
      <c r="C817" t="s">
        <v>33</v>
      </c>
      <c r="D817">
        <v>83154</v>
      </c>
      <c r="E817">
        <v>54.25</v>
      </c>
      <c r="F817">
        <v>231.43</v>
      </c>
      <c r="G817">
        <v>54.255425000000002</v>
      </c>
      <c r="H817">
        <v>231.406857</v>
      </c>
      <c r="I817">
        <v>-3.668900418131757</v>
      </c>
      <c r="J817">
        <v>1.1831404680056781</v>
      </c>
      <c r="K817">
        <v>0.18433179723502299</v>
      </c>
      <c r="L817">
        <v>-5.1123037981492363E-2</v>
      </c>
      <c r="M817" t="s">
        <v>29</v>
      </c>
      <c r="N817">
        <v>21</v>
      </c>
      <c r="O817" t="s">
        <v>28</v>
      </c>
      <c r="P817">
        <v>83175</v>
      </c>
      <c r="Q817">
        <v>54.335000000000001</v>
      </c>
      <c r="R817">
        <v>231.9</v>
      </c>
      <c r="S817">
        <v>-0.46646523905555709</v>
      </c>
      <c r="T817">
        <v>-8.359625086324235E-3</v>
      </c>
      <c r="U817">
        <v>-1.2729875625398309E-2</v>
      </c>
      <c r="V817">
        <v>4.3662443079177547E-3</v>
      </c>
      <c r="W817">
        <v>-1.709611993331606E-2</v>
      </c>
      <c r="Y817" s="19">
        <f t="shared" si="33"/>
        <v>46169</v>
      </c>
    </row>
    <row r="818" spans="1:32" x14ac:dyDescent="0.3">
      <c r="A818">
        <v>15</v>
      </c>
      <c r="B818" t="s">
        <v>30</v>
      </c>
      <c r="C818" t="s">
        <v>33</v>
      </c>
      <c r="D818">
        <v>83612</v>
      </c>
      <c r="E818">
        <v>54.58</v>
      </c>
      <c r="F818">
        <v>232.83</v>
      </c>
      <c r="G818">
        <v>54.585458000000003</v>
      </c>
      <c r="H818">
        <v>232.80671699999999</v>
      </c>
      <c r="I818">
        <v>-3.7252227013110311</v>
      </c>
      <c r="J818">
        <v>1.1831404680056781</v>
      </c>
      <c r="K818">
        <v>0.18321729571271531</v>
      </c>
      <c r="L818">
        <v>-5.0815636645006122E-2</v>
      </c>
      <c r="M818" t="s">
        <v>29</v>
      </c>
      <c r="N818">
        <v>17</v>
      </c>
      <c r="O818" t="s">
        <v>28</v>
      </c>
      <c r="P818">
        <v>83629</v>
      </c>
      <c r="Q818">
        <v>54.81</v>
      </c>
      <c r="R818">
        <v>234.45</v>
      </c>
      <c r="S818">
        <v>-0.48354946856563541</v>
      </c>
      <c r="T818">
        <v>-4.0181353350983447E-2</v>
      </c>
      <c r="U818">
        <v>-4.4560080417931573E-2</v>
      </c>
      <c r="V818">
        <v>4.3662443079177538E-3</v>
      </c>
      <c r="W818">
        <v>-4.8926324725849318E-2</v>
      </c>
      <c r="Y818" s="19">
        <f t="shared" si="33"/>
        <v>46170</v>
      </c>
    </row>
    <row r="819" spans="1:32" x14ac:dyDescent="0.3">
      <c r="A819">
        <v>15</v>
      </c>
      <c r="B819" t="s">
        <v>30</v>
      </c>
      <c r="C819" t="s">
        <v>33</v>
      </c>
      <c r="D819">
        <v>84005</v>
      </c>
      <c r="E819">
        <v>55.43</v>
      </c>
      <c r="F819">
        <v>233.82</v>
      </c>
      <c r="G819">
        <v>55.424456999999997</v>
      </c>
      <c r="H819">
        <v>233.84338199999999</v>
      </c>
      <c r="I819">
        <v>3.705113124889456</v>
      </c>
      <c r="J819">
        <v>1.1831404680056781</v>
      </c>
      <c r="K819">
        <v>-0.18040772145047809</v>
      </c>
      <c r="L819">
        <v>5.0600481909403708E-2</v>
      </c>
      <c r="M819" t="s">
        <v>27</v>
      </c>
      <c r="N819">
        <v>3</v>
      </c>
      <c r="O819" t="s">
        <v>28</v>
      </c>
      <c r="P819">
        <v>84008</v>
      </c>
      <c r="Q819">
        <v>55.69</v>
      </c>
      <c r="R819">
        <v>236.47</v>
      </c>
      <c r="S819">
        <v>-4.0615353154806223E-2</v>
      </c>
      <c r="T819">
        <v>8.7185269482796188E-2</v>
      </c>
      <c r="U819">
        <v>8.2800888818321206E-2</v>
      </c>
      <c r="V819">
        <v>4.3663175641049561E-3</v>
      </c>
      <c r="W819">
        <v>7.8434571254216254E-2</v>
      </c>
      <c r="Y819" s="19">
        <f t="shared" si="33"/>
        <v>46171</v>
      </c>
    </row>
    <row r="820" spans="1:32" x14ac:dyDescent="0.3">
      <c r="A820">
        <v>15</v>
      </c>
      <c r="B820" t="s">
        <v>30</v>
      </c>
      <c r="C820" t="s">
        <v>33</v>
      </c>
      <c r="D820">
        <v>84395</v>
      </c>
      <c r="E820">
        <v>56.45</v>
      </c>
      <c r="F820">
        <v>237.71</v>
      </c>
      <c r="G820">
        <v>56.444355000000002</v>
      </c>
      <c r="H820">
        <v>237.73377099999999</v>
      </c>
      <c r="I820">
        <v>4.4822494542771478</v>
      </c>
      <c r="J820">
        <v>1.1831404680056781</v>
      </c>
      <c r="K820">
        <v>-0.17714791851195749</v>
      </c>
      <c r="L820">
        <v>4.9772431450325082E-2</v>
      </c>
      <c r="M820" t="s">
        <v>27</v>
      </c>
      <c r="N820">
        <v>7</v>
      </c>
      <c r="O820" t="s">
        <v>28</v>
      </c>
      <c r="P820">
        <v>84402</v>
      </c>
      <c r="Q820">
        <v>56.51</v>
      </c>
      <c r="R820">
        <v>239.04499999999999</v>
      </c>
      <c r="S820">
        <v>0.15113066085306989</v>
      </c>
      <c r="T820">
        <v>5.5817320875466377E-2</v>
      </c>
      <c r="U820">
        <v>5.1443332432345223E-2</v>
      </c>
      <c r="V820">
        <v>4.3663175641049561E-3</v>
      </c>
      <c r="W820">
        <v>4.7077014868240258E-2</v>
      </c>
      <c r="Y820" s="19">
        <f t="shared" si="33"/>
        <v>46174</v>
      </c>
    </row>
    <row r="821" spans="1:32" x14ac:dyDescent="0.3">
      <c r="A821">
        <v>15</v>
      </c>
      <c r="B821" t="s">
        <v>30</v>
      </c>
      <c r="C821" t="s">
        <v>33</v>
      </c>
      <c r="D821">
        <v>84726</v>
      </c>
      <c r="E821">
        <v>56.02</v>
      </c>
      <c r="F821">
        <v>230.74</v>
      </c>
      <c r="G821">
        <v>56.014398000000007</v>
      </c>
      <c r="H821">
        <v>230.76307399999999</v>
      </c>
      <c r="I821">
        <v>3.5415943119004889</v>
      </c>
      <c r="J821">
        <v>1.1831404680056781</v>
      </c>
      <c r="K821">
        <v>-0.17850767583006069</v>
      </c>
      <c r="L821">
        <v>5.1275915229508431E-2</v>
      </c>
      <c r="M821" t="s">
        <v>27</v>
      </c>
      <c r="N821">
        <v>12</v>
      </c>
      <c r="O821" t="s">
        <v>28</v>
      </c>
      <c r="P821">
        <v>84738</v>
      </c>
      <c r="Q821">
        <v>56.024999999999999</v>
      </c>
      <c r="R821">
        <v>230.92</v>
      </c>
      <c r="S821">
        <v>0.49081894304179557</v>
      </c>
      <c r="T821">
        <v>8.3371263621609196E-3</v>
      </c>
      <c r="U821">
        <v>3.9698332058378891E-3</v>
      </c>
      <c r="V821">
        <v>4.3663175641049561E-3</v>
      </c>
      <c r="W821">
        <v>-3.9648435826706701E-4</v>
      </c>
      <c r="Y821" s="19">
        <f t="shared" si="33"/>
        <v>46175</v>
      </c>
    </row>
    <row r="822" spans="1:32" x14ac:dyDescent="0.3">
      <c r="A822">
        <v>15</v>
      </c>
      <c r="B822" t="s">
        <v>30</v>
      </c>
      <c r="C822" t="s">
        <v>33</v>
      </c>
      <c r="D822">
        <v>84793</v>
      </c>
      <c r="E822">
        <v>56.28</v>
      </c>
      <c r="F822">
        <v>232.83</v>
      </c>
      <c r="G822">
        <v>56.285628000000003</v>
      </c>
      <c r="H822">
        <v>232.80671699999999</v>
      </c>
      <c r="I822">
        <v>-4.1020350269867869</v>
      </c>
      <c r="J822">
        <v>1.1831404680056781</v>
      </c>
      <c r="K822">
        <v>0.177683013503909</v>
      </c>
      <c r="L822">
        <v>-5.0815636645006122E-2</v>
      </c>
      <c r="M822" t="s">
        <v>29</v>
      </c>
      <c r="N822">
        <v>15</v>
      </c>
      <c r="O822" t="s">
        <v>28</v>
      </c>
      <c r="P822">
        <v>84808</v>
      </c>
      <c r="Q822">
        <v>56.59</v>
      </c>
      <c r="R822">
        <v>233.61500000000001</v>
      </c>
      <c r="S822">
        <v>-1.9424342696377429E-2</v>
      </c>
      <c r="T822">
        <v>1.5191459419882571E-2</v>
      </c>
      <c r="U822">
        <v>1.08156812829762E-2</v>
      </c>
      <c r="V822">
        <v>4.3662443079177547E-3</v>
      </c>
      <c r="W822">
        <v>6.4494369750584439E-3</v>
      </c>
      <c r="Y822" s="19">
        <f t="shared" si="33"/>
        <v>46175</v>
      </c>
    </row>
    <row r="823" spans="1:32" x14ac:dyDescent="0.3">
      <c r="A823">
        <v>15</v>
      </c>
      <c r="B823" t="s">
        <v>30</v>
      </c>
      <c r="C823" t="s">
        <v>33</v>
      </c>
      <c r="D823">
        <v>85183</v>
      </c>
      <c r="E823">
        <v>57.28</v>
      </c>
      <c r="F823">
        <v>234.685</v>
      </c>
      <c r="G823">
        <v>57.274272000000003</v>
      </c>
      <c r="H823">
        <v>234.70846850000001</v>
      </c>
      <c r="I823">
        <v>4.0246857911083076</v>
      </c>
      <c r="J823">
        <v>1.1831404680056781</v>
      </c>
      <c r="K823">
        <v>-0.1745810055865922</v>
      </c>
      <c r="L823">
        <v>5.0413979078580973E-2</v>
      </c>
      <c r="M823" t="s">
        <v>27</v>
      </c>
      <c r="N823">
        <v>21</v>
      </c>
      <c r="O823" t="s">
        <v>28</v>
      </c>
      <c r="P823">
        <v>85204</v>
      </c>
      <c r="Q823">
        <v>57.75</v>
      </c>
      <c r="R823">
        <v>235.91499999999999</v>
      </c>
      <c r="S823">
        <v>0.36993926296049362</v>
      </c>
      <c r="T823">
        <v>-2.0043878359044049E-2</v>
      </c>
      <c r="U823">
        <v>-2.4424565521745021E-2</v>
      </c>
      <c r="V823">
        <v>4.3663175641049561E-3</v>
      </c>
      <c r="W823">
        <v>-2.8790883085849969E-2</v>
      </c>
      <c r="Y823" s="19">
        <f t="shared" si="33"/>
        <v>46176</v>
      </c>
      <c r="AF823" s="19"/>
    </row>
    <row r="824" spans="1:32" x14ac:dyDescent="0.3">
      <c r="A824">
        <v>15</v>
      </c>
      <c r="B824" t="s">
        <v>30</v>
      </c>
      <c r="C824" t="s">
        <v>33</v>
      </c>
      <c r="D824">
        <v>85574</v>
      </c>
      <c r="E824">
        <v>56.97</v>
      </c>
      <c r="F824">
        <v>235.45500000000001</v>
      </c>
      <c r="G824">
        <v>56.975696999999997</v>
      </c>
      <c r="H824">
        <v>235.4314545</v>
      </c>
      <c r="I824">
        <v>-3.959072932458358</v>
      </c>
      <c r="J824">
        <v>1.1831404680056781</v>
      </c>
      <c r="K824">
        <v>0.175530981218185</v>
      </c>
      <c r="L824">
        <v>-5.0249112059870357E-2</v>
      </c>
      <c r="M824" t="s">
        <v>29</v>
      </c>
      <c r="N824">
        <v>5</v>
      </c>
      <c r="O824" t="s">
        <v>28</v>
      </c>
      <c r="P824">
        <v>85579</v>
      </c>
      <c r="Q824">
        <v>57.15</v>
      </c>
      <c r="R824">
        <v>234.73</v>
      </c>
      <c r="S824">
        <v>0.31734201301938469</v>
      </c>
      <c r="T824">
        <v>6.8026182862680404E-2</v>
      </c>
      <c r="U824">
        <v>6.3660385429631108E-2</v>
      </c>
      <c r="V824">
        <v>4.3662443079177538E-3</v>
      </c>
      <c r="W824">
        <v>5.9294141121713363E-2</v>
      </c>
      <c r="Y824" s="19">
        <f t="shared" si="33"/>
        <v>46177</v>
      </c>
      <c r="AF824" s="19"/>
    </row>
    <row r="825" spans="1:32" x14ac:dyDescent="0.3">
      <c r="A825">
        <v>15</v>
      </c>
      <c r="B825" t="s">
        <v>30</v>
      </c>
      <c r="C825" t="s">
        <v>33</v>
      </c>
      <c r="D825">
        <v>85965</v>
      </c>
      <c r="E825">
        <v>56.884999999999998</v>
      </c>
      <c r="F825">
        <v>233.41</v>
      </c>
      <c r="G825">
        <v>56.8793115</v>
      </c>
      <c r="H825">
        <v>233.43334100000001</v>
      </c>
      <c r="I825">
        <v>4.4213544378863654</v>
      </c>
      <c r="J825">
        <v>1.1831404680056781</v>
      </c>
      <c r="K825">
        <v>-0.17579326711786941</v>
      </c>
      <c r="L825">
        <v>5.0689364980321221E-2</v>
      </c>
      <c r="M825" t="s">
        <v>27</v>
      </c>
      <c r="N825">
        <v>26</v>
      </c>
      <c r="O825" t="s">
        <v>28</v>
      </c>
      <c r="P825">
        <v>85991</v>
      </c>
      <c r="Q825">
        <v>57.384999999999998</v>
      </c>
      <c r="R825">
        <v>234.59</v>
      </c>
      <c r="S825">
        <v>0.34882078390761417</v>
      </c>
      <c r="T825">
        <v>-2.8083182882155309E-2</v>
      </c>
      <c r="U825">
        <v>-3.2464234826589333E-2</v>
      </c>
      <c r="V825">
        <v>4.3663175641049561E-3</v>
      </c>
      <c r="W825">
        <v>-3.6830552390694292E-2</v>
      </c>
      <c r="Y825" s="19">
        <f t="shared" si="33"/>
        <v>46178</v>
      </c>
      <c r="AF825" s="19"/>
    </row>
    <row r="826" spans="1:32" x14ac:dyDescent="0.3">
      <c r="A826">
        <v>15</v>
      </c>
      <c r="B826" t="s">
        <v>30</v>
      </c>
      <c r="C826" t="s">
        <v>33</v>
      </c>
      <c r="D826">
        <v>86355</v>
      </c>
      <c r="E826">
        <v>57.25</v>
      </c>
      <c r="F826">
        <v>234.58</v>
      </c>
      <c r="G826">
        <v>57.255724999999998</v>
      </c>
      <c r="H826">
        <v>234.55654200000001</v>
      </c>
      <c r="I826">
        <v>-3.629856188777187</v>
      </c>
      <c r="J826">
        <v>1.1831404680056781</v>
      </c>
      <c r="K826">
        <v>0.1746724890829694</v>
      </c>
      <c r="L826">
        <v>-5.043654480372059E-2</v>
      </c>
      <c r="M826" t="s">
        <v>29</v>
      </c>
      <c r="N826">
        <v>2</v>
      </c>
      <c r="O826" t="s">
        <v>28</v>
      </c>
      <c r="P826">
        <v>86357</v>
      </c>
      <c r="Q826">
        <v>57.53</v>
      </c>
      <c r="R826">
        <v>234.58</v>
      </c>
      <c r="S826">
        <v>0.35206865959834199</v>
      </c>
      <c r="T826">
        <v>4.8908296943231643E-2</v>
      </c>
      <c r="U826">
        <v>4.4537125177525998E-2</v>
      </c>
      <c r="V826">
        <v>4.3662443079177538E-3</v>
      </c>
      <c r="W826">
        <v>4.0170880869608253E-2</v>
      </c>
      <c r="Y826" s="19">
        <f t="shared" si="33"/>
        <v>46181</v>
      </c>
      <c r="AF826" s="19"/>
    </row>
    <row r="827" spans="1:32" x14ac:dyDescent="0.3">
      <c r="A827">
        <v>15</v>
      </c>
      <c r="B827" t="s">
        <v>25</v>
      </c>
      <c r="C827" t="s">
        <v>32</v>
      </c>
      <c r="D827">
        <v>82501</v>
      </c>
      <c r="E827">
        <v>312</v>
      </c>
      <c r="F827">
        <v>55.4</v>
      </c>
      <c r="G827">
        <v>311.96879999999999</v>
      </c>
      <c r="H827">
        <v>55.405539999999988</v>
      </c>
      <c r="I827">
        <v>5.2946250437406146</v>
      </c>
      <c r="J827">
        <v>0.86028003159358557</v>
      </c>
      <c r="K827">
        <v>-3.2051282051282048E-2</v>
      </c>
      <c r="L827">
        <v>0.15528520425876999</v>
      </c>
      <c r="M827" t="s">
        <v>27</v>
      </c>
      <c r="N827">
        <v>23</v>
      </c>
      <c r="O827" t="s">
        <v>28</v>
      </c>
      <c r="P827">
        <v>82524</v>
      </c>
      <c r="Q827">
        <v>311.995</v>
      </c>
      <c r="R827">
        <v>55.46</v>
      </c>
      <c r="S827">
        <v>0.49179114049596723</v>
      </c>
      <c r="T827">
        <v>9.4773686657828142E-3</v>
      </c>
      <c r="U827">
        <v>5.7558929170104557E-3</v>
      </c>
      <c r="V827">
        <v>3.7205321191934901E-3</v>
      </c>
      <c r="W827">
        <v>2.0353607978169661E-3</v>
      </c>
      <c r="Y827" s="19">
        <f t="shared" si="33"/>
        <v>46167</v>
      </c>
      <c r="AF827" s="19"/>
    </row>
    <row r="828" spans="1:32" x14ac:dyDescent="0.3">
      <c r="A828">
        <v>15</v>
      </c>
      <c r="B828" t="s">
        <v>25</v>
      </c>
      <c r="C828" t="s">
        <v>32</v>
      </c>
      <c r="D828">
        <v>83127</v>
      </c>
      <c r="E828">
        <v>312.5</v>
      </c>
      <c r="F828">
        <v>55.734999999999999</v>
      </c>
      <c r="G828">
        <v>312.46875</v>
      </c>
      <c r="H828">
        <v>55.740573500000004</v>
      </c>
      <c r="I828">
        <v>3.7265325734317609</v>
      </c>
      <c r="J828">
        <v>0.86028003159358557</v>
      </c>
      <c r="K828">
        <v>-3.2000000000000001E-2</v>
      </c>
      <c r="L828">
        <v>0.15435184921388459</v>
      </c>
      <c r="M828" t="s">
        <v>27</v>
      </c>
      <c r="N828">
        <v>18</v>
      </c>
      <c r="O828" t="s">
        <v>28</v>
      </c>
      <c r="P828">
        <v>83145</v>
      </c>
      <c r="Q828">
        <v>312.80500000000001</v>
      </c>
      <c r="R828">
        <v>55.82</v>
      </c>
      <c r="S828">
        <v>0.46360876736001239</v>
      </c>
      <c r="T828">
        <v>3.3599071831801018E-3</v>
      </c>
      <c r="U828">
        <v>-3.6294087072379771E-4</v>
      </c>
      <c r="V828">
        <v>3.7205321191934901E-3</v>
      </c>
      <c r="W828">
        <v>-4.0834729899172882E-3</v>
      </c>
      <c r="Y828" s="19">
        <f t="shared" si="33"/>
        <v>46169</v>
      </c>
      <c r="AF828" s="19"/>
    </row>
    <row r="829" spans="1:32" x14ac:dyDescent="0.3">
      <c r="A829">
        <v>15</v>
      </c>
      <c r="B829" t="s">
        <v>25</v>
      </c>
      <c r="C829" t="s">
        <v>32</v>
      </c>
      <c r="D829">
        <v>83224</v>
      </c>
      <c r="E829">
        <v>311.5</v>
      </c>
      <c r="F829">
        <v>55.92</v>
      </c>
      <c r="G829">
        <v>311.53115000000003</v>
      </c>
      <c r="H829">
        <v>55.914408000000002</v>
      </c>
      <c r="I829">
        <v>-3.844357745635449</v>
      </c>
      <c r="J829">
        <v>0.86028003159358557</v>
      </c>
      <c r="K829">
        <v>3.2102728731942212E-2</v>
      </c>
      <c r="L829">
        <v>-0.15384120736652099</v>
      </c>
      <c r="M829" t="s">
        <v>29</v>
      </c>
      <c r="N829">
        <v>42</v>
      </c>
      <c r="O829" t="s">
        <v>28</v>
      </c>
      <c r="P829">
        <v>83266</v>
      </c>
      <c r="Q829">
        <v>314.01499999999999</v>
      </c>
      <c r="R829">
        <v>57.27</v>
      </c>
      <c r="S829">
        <v>-0.1399096471076966</v>
      </c>
      <c r="T829">
        <v>-0.1269472671839694</v>
      </c>
      <c r="U829">
        <v>-0.13069666964642659</v>
      </c>
      <c r="V829">
        <v>3.7205880071808522E-3</v>
      </c>
      <c r="W829">
        <v>-0.13441725765360751</v>
      </c>
      <c r="Y829" s="19">
        <f t="shared" si="33"/>
        <v>46169</v>
      </c>
      <c r="AF829" s="19"/>
    </row>
    <row r="830" spans="1:32" x14ac:dyDescent="0.3">
      <c r="A830">
        <v>15</v>
      </c>
      <c r="B830" t="s">
        <v>25</v>
      </c>
      <c r="C830" t="s">
        <v>32</v>
      </c>
      <c r="D830">
        <v>83601</v>
      </c>
      <c r="E830">
        <v>310.48</v>
      </c>
      <c r="F830">
        <v>56.704999999999998</v>
      </c>
      <c r="G830">
        <v>310.51104800000002</v>
      </c>
      <c r="H830">
        <v>56.699329499999997</v>
      </c>
      <c r="I830">
        <v>-3.542764639206462</v>
      </c>
      <c r="J830">
        <v>0.86028003159358557</v>
      </c>
      <c r="K830">
        <v>3.2208193764493687E-2</v>
      </c>
      <c r="L830">
        <v>-0.15171149485822871</v>
      </c>
      <c r="M830" t="s">
        <v>29</v>
      </c>
      <c r="N830">
        <v>18</v>
      </c>
      <c r="O830" t="s">
        <v>28</v>
      </c>
      <c r="P830">
        <v>83619</v>
      </c>
      <c r="Q830">
        <v>311.61</v>
      </c>
      <c r="R830">
        <v>57.12</v>
      </c>
      <c r="S830">
        <v>-0.29121897615252401</v>
      </c>
      <c r="T830">
        <v>-2.6565011412287041E-2</v>
      </c>
      <c r="U830">
        <v>-3.0295507028406599E-2</v>
      </c>
      <c r="V830">
        <v>3.7205880071808522E-3</v>
      </c>
      <c r="W830">
        <v>-3.4016095035587453E-2</v>
      </c>
      <c r="Y830" s="19">
        <f t="shared" si="33"/>
        <v>46170</v>
      </c>
    </row>
    <row r="831" spans="1:32" x14ac:dyDescent="0.3">
      <c r="A831">
        <v>15</v>
      </c>
      <c r="B831" t="s">
        <v>25</v>
      </c>
      <c r="C831" t="s">
        <v>32</v>
      </c>
      <c r="D831">
        <v>84390</v>
      </c>
      <c r="E831">
        <v>320.35000000000002</v>
      </c>
      <c r="F831">
        <v>58.9</v>
      </c>
      <c r="G831">
        <v>320.38203499999997</v>
      </c>
      <c r="H831">
        <v>58.894109999999998</v>
      </c>
      <c r="I831">
        <v>-3.50442700398568</v>
      </c>
      <c r="J831">
        <v>0.86028003159358557</v>
      </c>
      <c r="K831">
        <v>3.1215857655689089E-2</v>
      </c>
      <c r="L831">
        <v>-0.14605773032149161</v>
      </c>
      <c r="M831" t="s">
        <v>29</v>
      </c>
      <c r="N831">
        <v>19</v>
      </c>
      <c r="O831" t="s">
        <v>28</v>
      </c>
      <c r="P831">
        <v>84409</v>
      </c>
      <c r="Q831">
        <v>321.83</v>
      </c>
      <c r="R831">
        <v>58.91</v>
      </c>
      <c r="S831">
        <v>0.28092639791961649</v>
      </c>
      <c r="T831">
        <v>4.4738892027204019E-2</v>
      </c>
      <c r="U831">
        <v>4.1013565959354147E-2</v>
      </c>
      <c r="V831">
        <v>3.7205880071808522E-3</v>
      </c>
      <c r="W831">
        <v>3.7292977952173303E-2</v>
      </c>
      <c r="Y831" s="19">
        <f t="shared" si="33"/>
        <v>46174</v>
      </c>
    </row>
    <row r="832" spans="1:32" x14ac:dyDescent="0.3">
      <c r="A832">
        <v>15</v>
      </c>
      <c r="B832" t="s">
        <v>25</v>
      </c>
      <c r="C832" t="s">
        <v>32</v>
      </c>
      <c r="D832">
        <v>84754</v>
      </c>
      <c r="E832">
        <v>321.16000000000003</v>
      </c>
      <c r="F832">
        <v>57.965000000000003</v>
      </c>
      <c r="G832">
        <v>321.12788400000011</v>
      </c>
      <c r="H832">
        <v>57.970796500000013</v>
      </c>
      <c r="I832">
        <v>3.7586640351616398</v>
      </c>
      <c r="J832">
        <v>0.86028003159358557</v>
      </c>
      <c r="K832">
        <v>-3.113712791132146E-2</v>
      </c>
      <c r="L832">
        <v>0.1484137033716183</v>
      </c>
      <c r="M832" t="s">
        <v>27</v>
      </c>
      <c r="N832">
        <v>11</v>
      </c>
      <c r="O832" t="s">
        <v>28</v>
      </c>
      <c r="P832">
        <v>84765</v>
      </c>
      <c r="Q832">
        <v>320.67</v>
      </c>
      <c r="R832">
        <v>57.965000000000003</v>
      </c>
      <c r="S832">
        <v>0.22355281934993471</v>
      </c>
      <c r="T832">
        <v>1.52571926765478E-2</v>
      </c>
      <c r="U832">
        <v>1.1538158332628889E-2</v>
      </c>
      <c r="V832">
        <v>3.7205321191934901E-3</v>
      </c>
      <c r="W832">
        <v>7.8176262134354024E-3</v>
      </c>
      <c r="Y832" s="19">
        <f t="shared" si="33"/>
        <v>46175</v>
      </c>
    </row>
    <row r="833" spans="1:32" x14ac:dyDescent="0.3">
      <c r="A833">
        <v>15</v>
      </c>
      <c r="B833" t="s">
        <v>25</v>
      </c>
      <c r="C833" t="s">
        <v>32</v>
      </c>
      <c r="D833">
        <v>84792</v>
      </c>
      <c r="E833">
        <v>322.75</v>
      </c>
      <c r="F833">
        <v>57.8</v>
      </c>
      <c r="G833">
        <v>322.71772499999997</v>
      </c>
      <c r="H833">
        <v>57.805779999999999</v>
      </c>
      <c r="I833">
        <v>4.6972551831656846</v>
      </c>
      <c r="J833">
        <v>0.86028003159358557</v>
      </c>
      <c r="K833">
        <v>-3.0983733539891561E-2</v>
      </c>
      <c r="L833">
        <v>0.1488373757082328</v>
      </c>
      <c r="M833" t="s">
        <v>27</v>
      </c>
      <c r="N833">
        <v>33</v>
      </c>
      <c r="O833" t="s">
        <v>28</v>
      </c>
      <c r="P833">
        <v>84825</v>
      </c>
      <c r="Q833">
        <v>325.935</v>
      </c>
      <c r="R833">
        <v>58.32</v>
      </c>
      <c r="S833">
        <v>0.27951528703913198</v>
      </c>
      <c r="T833">
        <v>-2.128775595627316E-2</v>
      </c>
      <c r="U833">
        <v>-2.5025923882129191E-2</v>
      </c>
      <c r="V833">
        <v>3.7205321191934901E-3</v>
      </c>
      <c r="W833">
        <v>-2.8746456001322689E-2</v>
      </c>
      <c r="Y833" s="19">
        <f t="shared" si="33"/>
        <v>46175</v>
      </c>
    </row>
    <row r="834" spans="1:32" x14ac:dyDescent="0.3">
      <c r="A834">
        <v>15</v>
      </c>
      <c r="B834" t="s">
        <v>25</v>
      </c>
      <c r="C834" t="s">
        <v>32</v>
      </c>
      <c r="D834">
        <v>85184</v>
      </c>
      <c r="E834">
        <v>334.11</v>
      </c>
      <c r="F834">
        <v>59.23</v>
      </c>
      <c r="G834">
        <v>334.07658900000001</v>
      </c>
      <c r="H834">
        <v>59.235923</v>
      </c>
      <c r="I834">
        <v>4.4685635635684449</v>
      </c>
      <c r="J834">
        <v>0.86028003159358557</v>
      </c>
      <c r="K834">
        <v>-2.9930262488402019E-2</v>
      </c>
      <c r="L834">
        <v>0.14524396954137861</v>
      </c>
      <c r="M834" t="s">
        <v>27</v>
      </c>
      <c r="N834">
        <v>23</v>
      </c>
      <c r="O834" t="s">
        <v>28</v>
      </c>
      <c r="P834">
        <v>85207</v>
      </c>
      <c r="Q834">
        <v>335.31</v>
      </c>
      <c r="R834">
        <v>59.24</v>
      </c>
      <c r="S834">
        <v>0.49404785802562129</v>
      </c>
      <c r="T834">
        <v>-3.4463875290667557E-2</v>
      </c>
      <c r="U834">
        <v>-3.8188172229322817E-2</v>
      </c>
      <c r="V834">
        <v>3.7205321191934901E-3</v>
      </c>
      <c r="W834">
        <v>-4.1908704348516297E-2</v>
      </c>
      <c r="Y834" s="19">
        <f t="shared" ref="Y834:Y902" si="35">WORKDAY(DATE(2025,8,2),INT(P834/390))</f>
        <v>46176</v>
      </c>
    </row>
    <row r="835" spans="1:32" x14ac:dyDescent="0.3">
      <c r="A835">
        <v>15</v>
      </c>
      <c r="B835" t="s">
        <v>25</v>
      </c>
      <c r="C835" t="s">
        <v>32</v>
      </c>
      <c r="D835">
        <v>85455</v>
      </c>
      <c r="E835">
        <v>336.07</v>
      </c>
      <c r="F835">
        <v>58.8</v>
      </c>
      <c r="G835">
        <v>336.03639299999998</v>
      </c>
      <c r="H835">
        <v>58.805879999999988</v>
      </c>
      <c r="I835">
        <v>3.7681281663943591</v>
      </c>
      <c r="J835">
        <v>0.86028003159358557</v>
      </c>
      <c r="K835">
        <v>-2.9755705656559651E-2</v>
      </c>
      <c r="L835">
        <v>0.14630612782203839</v>
      </c>
      <c r="M835" t="s">
        <v>27</v>
      </c>
      <c r="N835">
        <v>35</v>
      </c>
      <c r="O835" t="s">
        <v>28</v>
      </c>
      <c r="P835">
        <v>85490</v>
      </c>
      <c r="Q835">
        <v>335.87</v>
      </c>
      <c r="R835">
        <v>58.604999999999997</v>
      </c>
      <c r="S835">
        <v>0.19382991667595079</v>
      </c>
      <c r="T835">
        <v>-2.257855379398593E-2</v>
      </c>
      <c r="U835">
        <v>-2.629566577356755E-2</v>
      </c>
      <c r="V835">
        <v>3.7205321191934901E-3</v>
      </c>
      <c r="W835">
        <v>-3.001619789276104E-2</v>
      </c>
      <c r="Y835" s="19">
        <f t="shared" si="35"/>
        <v>46177</v>
      </c>
    </row>
    <row r="836" spans="1:32" x14ac:dyDescent="0.3">
      <c r="A836">
        <v>15</v>
      </c>
      <c r="B836" t="s">
        <v>25</v>
      </c>
      <c r="C836" t="s">
        <v>32</v>
      </c>
      <c r="D836">
        <v>85678</v>
      </c>
      <c r="E836">
        <v>330.72</v>
      </c>
      <c r="F836">
        <v>58.015000000000001</v>
      </c>
      <c r="G836">
        <v>330.75307199999997</v>
      </c>
      <c r="H836">
        <v>58.009198499999997</v>
      </c>
      <c r="I836">
        <v>-3.773001109280302</v>
      </c>
      <c r="J836">
        <v>0.86028003159358557</v>
      </c>
      <c r="K836">
        <v>3.023705853894533E-2</v>
      </c>
      <c r="L836">
        <v>-0.14828579360399649</v>
      </c>
      <c r="M836" t="s">
        <v>29</v>
      </c>
      <c r="N836">
        <v>13</v>
      </c>
      <c r="O836" t="s">
        <v>28</v>
      </c>
      <c r="P836">
        <v>85691</v>
      </c>
      <c r="Q836">
        <v>330.995</v>
      </c>
      <c r="R836">
        <v>57.97</v>
      </c>
      <c r="S836">
        <v>-5.7220699393985892E-2</v>
      </c>
      <c r="T836">
        <v>1.4988051810389371E-2</v>
      </c>
      <c r="U836">
        <v>1.1267327514164011E-2</v>
      </c>
      <c r="V836">
        <v>3.7205880071808522E-3</v>
      </c>
      <c r="W836">
        <v>7.5467395069831588E-3</v>
      </c>
      <c r="Y836" s="19">
        <f t="shared" si="35"/>
        <v>46177</v>
      </c>
    </row>
    <row r="837" spans="1:32" x14ac:dyDescent="0.3">
      <c r="A837">
        <v>15</v>
      </c>
      <c r="B837" t="s">
        <v>25</v>
      </c>
      <c r="C837" t="s">
        <v>32</v>
      </c>
      <c r="D837">
        <v>86355</v>
      </c>
      <c r="E837">
        <v>328.44499999999999</v>
      </c>
      <c r="F837">
        <v>58.615000000000002</v>
      </c>
      <c r="G837">
        <v>328.4778445</v>
      </c>
      <c r="H837">
        <v>58.6091385</v>
      </c>
      <c r="I837">
        <v>-4.8999666894898839</v>
      </c>
      <c r="J837">
        <v>0.86028003159358557</v>
      </c>
      <c r="K837">
        <v>3.0446497891580021E-2</v>
      </c>
      <c r="L837">
        <v>-0.14676789756778741</v>
      </c>
      <c r="M837" t="s">
        <v>29</v>
      </c>
      <c r="N837">
        <v>20</v>
      </c>
      <c r="O837" t="s">
        <v>28</v>
      </c>
      <c r="P837">
        <v>86375</v>
      </c>
      <c r="Q837">
        <v>331.70499999999998</v>
      </c>
      <c r="R837">
        <v>59.064999999999998</v>
      </c>
      <c r="S837">
        <v>-0.17824576959959751</v>
      </c>
      <c r="T837">
        <v>3.3210029221046919E-2</v>
      </c>
      <c r="U837">
        <v>2.947293904415622E-2</v>
      </c>
      <c r="V837">
        <v>3.7205880071808522E-3</v>
      </c>
      <c r="W837">
        <v>2.575235103697537E-2</v>
      </c>
      <c r="Y837" s="19">
        <f t="shared" si="35"/>
        <v>46181</v>
      </c>
    </row>
    <row r="838" spans="1:32" x14ac:dyDescent="0.3">
      <c r="A838">
        <v>15</v>
      </c>
      <c r="B838" t="s">
        <v>25</v>
      </c>
      <c r="C838" t="s">
        <v>30</v>
      </c>
      <c r="D838">
        <v>82501</v>
      </c>
      <c r="E838">
        <v>312</v>
      </c>
      <c r="F838">
        <v>54.07</v>
      </c>
      <c r="G838">
        <v>311.96879999999999</v>
      </c>
      <c r="H838">
        <v>54.075406999999998</v>
      </c>
      <c r="I838">
        <v>5.2944919668856354</v>
      </c>
      <c r="J838">
        <v>0.66530767043132732</v>
      </c>
      <c r="K838">
        <v>-3.2051282051282048E-2</v>
      </c>
      <c r="L838">
        <v>0.1230456205717269</v>
      </c>
      <c r="M838" t="s">
        <v>27</v>
      </c>
      <c r="N838">
        <v>23</v>
      </c>
      <c r="O838" t="s">
        <v>28</v>
      </c>
      <c r="P838">
        <v>82524</v>
      </c>
      <c r="Q838">
        <v>311.995</v>
      </c>
      <c r="R838">
        <v>54.024999999999999</v>
      </c>
      <c r="S838">
        <v>0.49278431514667959</v>
      </c>
      <c r="T838">
        <v>-5.3767965154716546E-3</v>
      </c>
      <c r="U838">
        <v>-8.7068421254016277E-3</v>
      </c>
      <c r="V838">
        <v>3.3305484023967409E-3</v>
      </c>
      <c r="W838">
        <v>-1.2037390527798369E-2</v>
      </c>
      <c r="Y838" s="19">
        <f t="shared" si="35"/>
        <v>46167</v>
      </c>
    </row>
    <row r="839" spans="1:32" x14ac:dyDescent="0.3">
      <c r="A839">
        <v>15</v>
      </c>
      <c r="B839" t="s">
        <v>25</v>
      </c>
      <c r="C839" t="s">
        <v>30</v>
      </c>
      <c r="D839">
        <v>82834</v>
      </c>
      <c r="E839">
        <v>314.35000000000002</v>
      </c>
      <c r="F839">
        <v>54.034999999999997</v>
      </c>
      <c r="G839">
        <v>314.31856499999998</v>
      </c>
      <c r="H839">
        <v>54.040403499999996</v>
      </c>
      <c r="I839">
        <v>4.6366345039730694</v>
      </c>
      <c r="J839">
        <v>0.66530767043132732</v>
      </c>
      <c r="K839">
        <v>-3.1811674884682679E-2</v>
      </c>
      <c r="L839">
        <v>0.1231253207053442</v>
      </c>
      <c r="M839" t="s">
        <v>27</v>
      </c>
      <c r="N839">
        <v>17</v>
      </c>
      <c r="O839" t="s">
        <v>28</v>
      </c>
      <c r="P839">
        <v>82851</v>
      </c>
      <c r="Q839">
        <v>315.75</v>
      </c>
      <c r="R839">
        <v>54.534999999999997</v>
      </c>
      <c r="S839">
        <v>0.42583763655510981</v>
      </c>
      <c r="T839">
        <v>1.7026315514117069E-2</v>
      </c>
      <c r="U839">
        <v>1.3685090272736291E-2</v>
      </c>
      <c r="V839">
        <v>3.3305484023967409E-3</v>
      </c>
      <c r="W839">
        <v>1.0354541870339551E-2</v>
      </c>
      <c r="Y839" s="19">
        <f t="shared" si="35"/>
        <v>46168</v>
      </c>
    </row>
    <row r="840" spans="1:32" x14ac:dyDescent="0.3">
      <c r="A840">
        <v>15</v>
      </c>
      <c r="B840" t="s">
        <v>25</v>
      </c>
      <c r="C840" t="s">
        <v>30</v>
      </c>
      <c r="D840">
        <v>83224</v>
      </c>
      <c r="E840">
        <v>311.5</v>
      </c>
      <c r="F840">
        <v>54.414999999999999</v>
      </c>
      <c r="G840">
        <v>311.53115000000003</v>
      </c>
      <c r="H840">
        <v>54.409558500000003</v>
      </c>
      <c r="I840">
        <v>-3.8874417040669371</v>
      </c>
      <c r="J840">
        <v>0.66530767043132732</v>
      </c>
      <c r="K840">
        <v>3.2102728731942212E-2</v>
      </c>
      <c r="L840">
        <v>-0.12226549121222589</v>
      </c>
      <c r="M840" t="s">
        <v>29</v>
      </c>
      <c r="N840">
        <v>2</v>
      </c>
      <c r="O840" t="s">
        <v>28</v>
      </c>
      <c r="P840">
        <v>83226</v>
      </c>
      <c r="Q840">
        <v>313.09500000000003</v>
      </c>
      <c r="R840">
        <v>54.564999999999998</v>
      </c>
      <c r="S840">
        <v>-0.25517486335900103</v>
      </c>
      <c r="T840">
        <v>3.2864028645614982E-2</v>
      </c>
      <c r="U840">
        <v>2.9526458937152091E-2</v>
      </c>
      <c r="V840">
        <v>3.3306822793285678E-3</v>
      </c>
      <c r="W840">
        <v>2.6195776657823529E-2</v>
      </c>
      <c r="Y840" s="19">
        <f t="shared" si="35"/>
        <v>46169</v>
      </c>
    </row>
    <row r="841" spans="1:32" x14ac:dyDescent="0.3">
      <c r="A841">
        <v>15</v>
      </c>
      <c r="B841" t="s">
        <v>25</v>
      </c>
      <c r="C841" t="s">
        <v>30</v>
      </c>
      <c r="D841">
        <v>83852</v>
      </c>
      <c r="E841">
        <v>312.61</v>
      </c>
      <c r="F841">
        <v>54.85</v>
      </c>
      <c r="G841">
        <v>312.57873899999998</v>
      </c>
      <c r="H841">
        <v>54.855485000000002</v>
      </c>
      <c r="I841">
        <v>3.94349380032157</v>
      </c>
      <c r="J841">
        <v>0.66530767043132732</v>
      </c>
      <c r="K841">
        <v>-3.1988739963532832E-2</v>
      </c>
      <c r="L841">
        <v>0.12129583781792661</v>
      </c>
      <c r="M841" t="s">
        <v>27</v>
      </c>
      <c r="N841">
        <v>23</v>
      </c>
      <c r="O841" t="s">
        <v>28</v>
      </c>
      <c r="P841">
        <v>83875</v>
      </c>
      <c r="Q841">
        <v>314.07</v>
      </c>
      <c r="R841">
        <v>55.24</v>
      </c>
      <c r="S841">
        <v>0.4692079500483588</v>
      </c>
      <c r="T841">
        <v>6.0181640223415378E-4</v>
      </c>
      <c r="U841">
        <v>-2.738199832337404E-3</v>
      </c>
      <c r="V841">
        <v>3.3305484023967409E-3</v>
      </c>
      <c r="W841">
        <v>-6.068748234734145E-3</v>
      </c>
      <c r="Y841" s="19">
        <f t="shared" si="35"/>
        <v>46171</v>
      </c>
    </row>
    <row r="842" spans="1:32" x14ac:dyDescent="0.3">
      <c r="A842">
        <v>15</v>
      </c>
      <c r="B842" t="s">
        <v>25</v>
      </c>
      <c r="C842" t="s">
        <v>30</v>
      </c>
      <c r="D842">
        <v>84005</v>
      </c>
      <c r="E842">
        <v>316.89</v>
      </c>
      <c r="F842">
        <v>55.43</v>
      </c>
      <c r="G842">
        <v>316.85831100000001</v>
      </c>
      <c r="H842">
        <v>55.435543000000003</v>
      </c>
      <c r="I842">
        <v>4.4353185107359003</v>
      </c>
      <c r="J842">
        <v>0.66530767043132732</v>
      </c>
      <c r="K842">
        <v>-3.1556691596453031E-2</v>
      </c>
      <c r="L842">
        <v>0.1200266408860414</v>
      </c>
      <c r="M842" t="s">
        <v>27</v>
      </c>
      <c r="N842">
        <v>10</v>
      </c>
      <c r="O842" t="s">
        <v>28</v>
      </c>
      <c r="P842">
        <v>84015</v>
      </c>
      <c r="Q842">
        <v>315.8</v>
      </c>
      <c r="R842">
        <v>55.46</v>
      </c>
      <c r="S842">
        <v>0.1094724506046221</v>
      </c>
      <c r="T842">
        <v>3.7997593066714387E-2</v>
      </c>
      <c r="U842">
        <v>3.4670057325313558E-2</v>
      </c>
      <c r="V842">
        <v>3.3305484023967409E-3</v>
      </c>
      <c r="W842">
        <v>3.1339508922916821E-2</v>
      </c>
      <c r="Y842" s="19">
        <f t="shared" si="35"/>
        <v>46171</v>
      </c>
    </row>
    <row r="843" spans="1:32" x14ac:dyDescent="0.3">
      <c r="A843">
        <v>15</v>
      </c>
      <c r="B843" t="s">
        <v>25</v>
      </c>
      <c r="C843" t="s">
        <v>30</v>
      </c>
      <c r="D843">
        <v>84395</v>
      </c>
      <c r="E843">
        <v>320.70999999999998</v>
      </c>
      <c r="F843">
        <v>56.45</v>
      </c>
      <c r="G843">
        <v>320.74207100000001</v>
      </c>
      <c r="H843">
        <v>56.444355000000002</v>
      </c>
      <c r="I843">
        <v>-5.0601862722717028</v>
      </c>
      <c r="J843">
        <v>0.66530767043132732</v>
      </c>
      <c r="K843">
        <v>3.1180817561036449E-2</v>
      </c>
      <c r="L843">
        <v>-0.117857868986949</v>
      </c>
      <c r="M843" t="s">
        <v>29</v>
      </c>
      <c r="N843">
        <v>14</v>
      </c>
      <c r="O843" t="s">
        <v>28</v>
      </c>
      <c r="P843">
        <v>84409</v>
      </c>
      <c r="Q843">
        <v>321.83</v>
      </c>
      <c r="R843">
        <v>56.13</v>
      </c>
      <c r="S843">
        <v>0.20465771336599509</v>
      </c>
      <c r="T843">
        <v>7.2637033744184704E-2</v>
      </c>
      <c r="U843">
        <v>6.9306697603564615E-2</v>
      </c>
      <c r="V843">
        <v>3.3306822793285678E-3</v>
      </c>
      <c r="W843">
        <v>6.5976015324236054E-2</v>
      </c>
      <c r="Y843" s="19">
        <f t="shared" si="35"/>
        <v>46174</v>
      </c>
    </row>
    <row r="844" spans="1:32" x14ac:dyDescent="0.3">
      <c r="A844">
        <v>15</v>
      </c>
      <c r="B844" t="s">
        <v>25</v>
      </c>
      <c r="C844" t="s">
        <v>30</v>
      </c>
      <c r="D844">
        <v>84792</v>
      </c>
      <c r="E844">
        <v>322.75</v>
      </c>
      <c r="F844">
        <v>55.9</v>
      </c>
      <c r="G844">
        <v>322.71772499999997</v>
      </c>
      <c r="H844">
        <v>55.905589999999997</v>
      </c>
      <c r="I844">
        <v>4.7366407491229552</v>
      </c>
      <c r="J844">
        <v>0.66530767043132732</v>
      </c>
      <c r="K844">
        <v>-3.0983733539891561E-2</v>
      </c>
      <c r="L844">
        <v>0.1190174723490747</v>
      </c>
      <c r="M844" t="s">
        <v>27</v>
      </c>
      <c r="N844">
        <v>29</v>
      </c>
      <c r="O844" t="s">
        <v>28</v>
      </c>
      <c r="P844">
        <v>84821</v>
      </c>
      <c r="Q844">
        <v>325.45</v>
      </c>
      <c r="R844">
        <v>56.36</v>
      </c>
      <c r="S844">
        <v>0.408138622382828</v>
      </c>
      <c r="T844">
        <v>-2.8908043277132419E-2</v>
      </c>
      <c r="U844">
        <v>-3.2252499029777129E-2</v>
      </c>
      <c r="V844">
        <v>3.3305484023967409E-3</v>
      </c>
      <c r="W844">
        <v>-3.5583047432173873E-2</v>
      </c>
      <c r="Y844" s="19">
        <f t="shared" si="35"/>
        <v>46175</v>
      </c>
      <c r="AF844" s="19"/>
    </row>
    <row r="845" spans="1:32" x14ac:dyDescent="0.3">
      <c r="A845">
        <v>15</v>
      </c>
      <c r="B845" t="s">
        <v>25</v>
      </c>
      <c r="C845" t="s">
        <v>30</v>
      </c>
      <c r="D845">
        <v>84935</v>
      </c>
      <c r="E845">
        <v>330.935</v>
      </c>
      <c r="F845">
        <v>56.89</v>
      </c>
      <c r="G845">
        <v>330.9019065</v>
      </c>
      <c r="H845">
        <v>56.895688999999997</v>
      </c>
      <c r="I845">
        <v>3.797333880765545</v>
      </c>
      <c r="J845">
        <v>0.66530767043132732</v>
      </c>
      <c r="K845">
        <v>-3.02174142958587E-2</v>
      </c>
      <c r="L845">
        <v>0.11694632983500219</v>
      </c>
      <c r="M845" t="s">
        <v>27</v>
      </c>
      <c r="N845">
        <v>4</v>
      </c>
      <c r="O845" t="s">
        <v>28</v>
      </c>
      <c r="P845">
        <v>84939</v>
      </c>
      <c r="Q845">
        <v>329.83</v>
      </c>
      <c r="R845">
        <v>56.825000000000003</v>
      </c>
      <c r="S845">
        <v>1.6816475054473229E-2</v>
      </c>
      <c r="T845">
        <v>2.5788731357649541E-2</v>
      </c>
      <c r="U845">
        <v>2.2462215192210769E-2</v>
      </c>
      <c r="V845">
        <v>3.3305484023967409E-3</v>
      </c>
      <c r="W845">
        <v>1.9131666789814029E-2</v>
      </c>
      <c r="Y845" s="19">
        <f t="shared" si="35"/>
        <v>46175</v>
      </c>
      <c r="AF845" s="19"/>
    </row>
    <row r="846" spans="1:32" x14ac:dyDescent="0.3">
      <c r="A846">
        <v>15</v>
      </c>
      <c r="B846" t="s">
        <v>25</v>
      </c>
      <c r="C846" t="s">
        <v>30</v>
      </c>
      <c r="D846">
        <v>85139</v>
      </c>
      <c r="E846">
        <v>329.24</v>
      </c>
      <c r="F846">
        <v>56.71</v>
      </c>
      <c r="G846">
        <v>329.27292399999999</v>
      </c>
      <c r="H846">
        <v>56.704329000000001</v>
      </c>
      <c r="I846">
        <v>-3.758538064068556</v>
      </c>
      <c r="J846">
        <v>0.66530767043132732</v>
      </c>
      <c r="K846">
        <v>3.0372980196816911E-2</v>
      </c>
      <c r="L846">
        <v>-0.1173175225588657</v>
      </c>
      <c r="M846" t="s">
        <v>29</v>
      </c>
      <c r="N846">
        <v>5</v>
      </c>
      <c r="O846" t="s">
        <v>28</v>
      </c>
      <c r="P846">
        <v>85144</v>
      </c>
      <c r="Q846">
        <v>329.68</v>
      </c>
      <c r="R846">
        <v>56.68</v>
      </c>
      <c r="S846">
        <v>-0.35347044272245692</v>
      </c>
      <c r="T846">
        <v>1.6883636963365482E-2</v>
      </c>
      <c r="U846">
        <v>1.355203716394303E-2</v>
      </c>
      <c r="V846">
        <v>3.3306822793285678E-3</v>
      </c>
      <c r="W846">
        <v>1.022135488461446E-2</v>
      </c>
      <c r="Y846" s="19">
        <f t="shared" si="35"/>
        <v>46176</v>
      </c>
      <c r="AF846" s="19"/>
    </row>
    <row r="847" spans="1:32" x14ac:dyDescent="0.3">
      <c r="A847">
        <v>15</v>
      </c>
      <c r="B847" t="s">
        <v>25</v>
      </c>
      <c r="C847" t="s">
        <v>30</v>
      </c>
      <c r="D847">
        <v>85574</v>
      </c>
      <c r="E847">
        <v>336.79</v>
      </c>
      <c r="F847">
        <v>56.97</v>
      </c>
      <c r="G847">
        <v>336.75632100000001</v>
      </c>
      <c r="H847">
        <v>56.975696999999997</v>
      </c>
      <c r="I847">
        <v>3.95850819992725</v>
      </c>
      <c r="J847">
        <v>0.66530767043132732</v>
      </c>
      <c r="K847">
        <v>-2.9692092995635262E-2</v>
      </c>
      <c r="L847">
        <v>0.11678210820279571</v>
      </c>
      <c r="M847" t="s">
        <v>27</v>
      </c>
      <c r="N847">
        <v>6</v>
      </c>
      <c r="O847" t="s">
        <v>28</v>
      </c>
      <c r="P847">
        <v>85580</v>
      </c>
      <c r="Q847">
        <v>335.66500000000002</v>
      </c>
      <c r="R847">
        <v>57.15</v>
      </c>
      <c r="S847">
        <v>-0.2729733407512106</v>
      </c>
      <c r="T847">
        <v>5.4424384096592858E-2</v>
      </c>
      <c r="U847">
        <v>5.1095007038244197E-2</v>
      </c>
      <c r="V847">
        <v>3.3305484023967409E-3</v>
      </c>
      <c r="W847">
        <v>4.7764458635847447E-2</v>
      </c>
      <c r="Y847" s="19">
        <f t="shared" si="35"/>
        <v>46177</v>
      </c>
      <c r="AF847" s="19"/>
    </row>
    <row r="848" spans="1:32" x14ac:dyDescent="0.3">
      <c r="A848">
        <v>15</v>
      </c>
      <c r="B848" t="s">
        <v>25</v>
      </c>
      <c r="C848" t="s">
        <v>30</v>
      </c>
      <c r="D848">
        <v>85726</v>
      </c>
      <c r="E848">
        <v>329.9</v>
      </c>
      <c r="F848">
        <v>56.51</v>
      </c>
      <c r="G848">
        <v>329.93299000000002</v>
      </c>
      <c r="H848">
        <v>56.504348999999998</v>
      </c>
      <c r="I848">
        <v>-3.524230652557367</v>
      </c>
      <c r="J848">
        <v>0.66530767043132732</v>
      </c>
      <c r="K848">
        <v>3.0312215822976659E-2</v>
      </c>
      <c r="L848">
        <v>-0.1177327323361046</v>
      </c>
      <c r="M848" t="s">
        <v>29</v>
      </c>
      <c r="N848">
        <v>17</v>
      </c>
      <c r="O848" t="s">
        <v>28</v>
      </c>
      <c r="P848">
        <v>85743</v>
      </c>
      <c r="Q848">
        <v>329.38</v>
      </c>
      <c r="R848">
        <v>56.354999999999997</v>
      </c>
      <c r="S848">
        <v>-0.13754427448252141</v>
      </c>
      <c r="T848">
        <v>2.4862212841490379E-3</v>
      </c>
      <c r="U848">
        <v>-8.4099296413882307E-4</v>
      </c>
      <c r="V848">
        <v>3.3306822793285678E-3</v>
      </c>
      <c r="W848">
        <v>-4.1716752434673918E-3</v>
      </c>
      <c r="Y848" s="19">
        <f t="shared" si="35"/>
        <v>46177</v>
      </c>
      <c r="AF848" s="19"/>
    </row>
    <row r="849" spans="1:32" x14ac:dyDescent="0.3">
      <c r="A849">
        <v>15</v>
      </c>
      <c r="B849" t="s">
        <v>25</v>
      </c>
      <c r="C849" t="s">
        <v>30</v>
      </c>
      <c r="D849">
        <v>85817</v>
      </c>
      <c r="E849">
        <v>328.91</v>
      </c>
      <c r="F849">
        <v>56.354999999999997</v>
      </c>
      <c r="G849">
        <v>328.94289099999997</v>
      </c>
      <c r="H849">
        <v>56.3493645</v>
      </c>
      <c r="I849">
        <v>-3.6226635902985178</v>
      </c>
      <c r="J849">
        <v>0.66530767043132732</v>
      </c>
      <c r="K849">
        <v>3.0403453832355352E-2</v>
      </c>
      <c r="L849">
        <v>-0.1180565469667869</v>
      </c>
      <c r="M849" t="s">
        <v>29</v>
      </c>
      <c r="N849">
        <v>19</v>
      </c>
      <c r="O849" t="s">
        <v>28</v>
      </c>
      <c r="P849">
        <v>85836</v>
      </c>
      <c r="Q849">
        <v>328.84500000000003</v>
      </c>
      <c r="R849">
        <v>56.3</v>
      </c>
      <c r="S849">
        <v>-0.4728887663260144</v>
      </c>
      <c r="T849">
        <v>4.5168855840702141E-3</v>
      </c>
      <c r="U849">
        <v>1.187117176665692E-3</v>
      </c>
      <c r="V849">
        <v>3.3306822793285678E-3</v>
      </c>
      <c r="W849">
        <v>-2.1435651026628761E-3</v>
      </c>
      <c r="Y849" s="19">
        <f t="shared" si="35"/>
        <v>46178</v>
      </c>
      <c r="AF849" s="19"/>
    </row>
    <row r="850" spans="1:32" x14ac:dyDescent="0.3">
      <c r="A850">
        <v>15</v>
      </c>
      <c r="B850" t="s">
        <v>25</v>
      </c>
      <c r="C850" t="s">
        <v>30</v>
      </c>
      <c r="D850">
        <v>86355</v>
      </c>
      <c r="E850">
        <v>328.44499999999999</v>
      </c>
      <c r="F850">
        <v>57.25</v>
      </c>
      <c r="G850">
        <v>328.4778445</v>
      </c>
      <c r="H850">
        <v>57.244275000000002</v>
      </c>
      <c r="I850">
        <v>-4.953792711114021</v>
      </c>
      <c r="J850">
        <v>0.66530767043132732</v>
      </c>
      <c r="K850">
        <v>3.0446497891580021E-2</v>
      </c>
      <c r="L850">
        <v>-0.11621094680023181</v>
      </c>
      <c r="M850" t="s">
        <v>29</v>
      </c>
      <c r="N850">
        <v>16</v>
      </c>
      <c r="O850" t="s">
        <v>28</v>
      </c>
      <c r="P850">
        <v>86371</v>
      </c>
      <c r="Q850">
        <v>330.6</v>
      </c>
      <c r="R850">
        <v>57.645000000000003</v>
      </c>
      <c r="S850">
        <v>-0.33629025702410259</v>
      </c>
      <c r="T850">
        <v>1.970887897026391E-2</v>
      </c>
      <c r="U850">
        <v>1.636711207670782E-2</v>
      </c>
      <c r="V850">
        <v>3.3306822793285678E-3</v>
      </c>
      <c r="W850">
        <v>1.303642979737925E-2</v>
      </c>
      <c r="Y850" s="19">
        <f t="shared" si="35"/>
        <v>46181</v>
      </c>
      <c r="AF850" s="19"/>
    </row>
    <row r="851" spans="1:32" x14ac:dyDescent="0.3">
      <c r="A851">
        <v>15</v>
      </c>
      <c r="B851" t="s">
        <v>87</v>
      </c>
      <c r="C851" t="s">
        <v>33</v>
      </c>
      <c r="D851">
        <v>82501</v>
      </c>
      <c r="E851">
        <v>133.44</v>
      </c>
      <c r="F851">
        <v>228.65</v>
      </c>
      <c r="G851">
        <v>133.45334399999999</v>
      </c>
      <c r="H851">
        <v>228.62713500000001</v>
      </c>
      <c r="I851">
        <v>-5.2946479938624069</v>
      </c>
      <c r="J851">
        <v>1.777085365981516</v>
      </c>
      <c r="K851">
        <v>7.4940047961630701E-2</v>
      </c>
      <c r="L851">
        <v>-7.7720768247606223E-2</v>
      </c>
      <c r="M851" t="s">
        <v>29</v>
      </c>
      <c r="N851">
        <v>23</v>
      </c>
      <c r="O851" t="s">
        <v>28</v>
      </c>
      <c r="P851">
        <v>82524</v>
      </c>
      <c r="Q851">
        <v>133.88</v>
      </c>
      <c r="R851">
        <v>228.27</v>
      </c>
      <c r="S851">
        <v>-0.4912506193778125</v>
      </c>
      <c r="T851">
        <v>6.2507513037207349E-2</v>
      </c>
      <c r="U851">
        <v>5.6952998332328607E-2</v>
      </c>
      <c r="V851">
        <v>5.5540153148898371E-3</v>
      </c>
      <c r="W851">
        <v>5.1398983017438768E-2</v>
      </c>
      <c r="Y851" s="19">
        <f t="shared" si="35"/>
        <v>46167</v>
      </c>
      <c r="AF851" s="19"/>
    </row>
    <row r="852" spans="1:32" x14ac:dyDescent="0.3">
      <c r="A852">
        <v>15</v>
      </c>
      <c r="B852" t="s">
        <v>87</v>
      </c>
      <c r="C852" t="s">
        <v>33</v>
      </c>
      <c r="D852">
        <v>82835</v>
      </c>
      <c r="E852">
        <v>135.13999999999999</v>
      </c>
      <c r="F852">
        <v>227.095</v>
      </c>
      <c r="G852">
        <v>135.126486</v>
      </c>
      <c r="H852">
        <v>227.11770949999999</v>
      </c>
      <c r="I852">
        <v>4.5809987841918316</v>
      </c>
      <c r="J852">
        <v>1.777085365981516</v>
      </c>
      <c r="K852">
        <v>-7.3997336095900548E-2</v>
      </c>
      <c r="L852">
        <v>7.8252949910016356E-2</v>
      </c>
      <c r="M852" t="s">
        <v>27</v>
      </c>
      <c r="N852">
        <v>24</v>
      </c>
      <c r="O852" t="s">
        <v>28</v>
      </c>
      <c r="P852">
        <v>82859</v>
      </c>
      <c r="Q852">
        <v>134.94</v>
      </c>
      <c r="R852">
        <v>230.745</v>
      </c>
      <c r="S852">
        <v>-0.44044823435320329</v>
      </c>
      <c r="T852">
        <v>0.30042273439073941</v>
      </c>
      <c r="U852">
        <v>0.29484148127878168</v>
      </c>
      <c r="V852">
        <v>5.5543261490362296E-3</v>
      </c>
      <c r="W852">
        <v>0.28928715512974551</v>
      </c>
      <c r="Y852" s="19">
        <f t="shared" si="35"/>
        <v>46168</v>
      </c>
    </row>
    <row r="853" spans="1:32" x14ac:dyDescent="0.3">
      <c r="A853">
        <v>15</v>
      </c>
      <c r="B853" t="s">
        <v>87</v>
      </c>
      <c r="C853" t="s">
        <v>33</v>
      </c>
      <c r="D853">
        <v>83854</v>
      </c>
      <c r="E853">
        <v>136.5</v>
      </c>
      <c r="F853">
        <v>234.8</v>
      </c>
      <c r="G853">
        <v>136.51365000000001</v>
      </c>
      <c r="H853">
        <v>234.77652</v>
      </c>
      <c r="I853">
        <v>-4.2035221987098206</v>
      </c>
      <c r="J853">
        <v>1.777085365981516</v>
      </c>
      <c r="K853">
        <v>7.3260073260073263E-2</v>
      </c>
      <c r="L853">
        <v>-7.5685066694272413E-2</v>
      </c>
      <c r="M853" t="s">
        <v>29</v>
      </c>
      <c r="N853">
        <v>2</v>
      </c>
      <c r="O853" t="s">
        <v>28</v>
      </c>
      <c r="P853">
        <v>83856</v>
      </c>
      <c r="Q853">
        <v>136.43</v>
      </c>
      <c r="R853">
        <v>233.92</v>
      </c>
      <c r="S853">
        <v>-0.15036645934072779</v>
      </c>
      <c r="T853">
        <v>6.1474653562756887E-2</v>
      </c>
      <c r="U853">
        <v>5.5927655937174157E-2</v>
      </c>
      <c r="V853">
        <v>5.5540153148898362E-3</v>
      </c>
      <c r="W853">
        <v>5.0373640622284319E-2</v>
      </c>
      <c r="Y853" s="19">
        <f t="shared" si="35"/>
        <v>46171</v>
      </c>
    </row>
    <row r="854" spans="1:32" x14ac:dyDescent="0.3">
      <c r="A854">
        <v>15</v>
      </c>
      <c r="B854" t="s">
        <v>87</v>
      </c>
      <c r="C854" t="s">
        <v>33</v>
      </c>
      <c r="D854">
        <v>84370</v>
      </c>
      <c r="E854">
        <v>140.36000000000001</v>
      </c>
      <c r="F854">
        <v>237.54</v>
      </c>
      <c r="G854">
        <v>140.34596400000001</v>
      </c>
      <c r="H854">
        <v>237.56375399999999</v>
      </c>
      <c r="I854">
        <v>3.7778908332022381</v>
      </c>
      <c r="J854">
        <v>1.777085365981516</v>
      </c>
      <c r="K854">
        <v>-7.1245369051011684E-2</v>
      </c>
      <c r="L854">
        <v>7.4812047064979223E-2</v>
      </c>
      <c r="M854" t="s">
        <v>27</v>
      </c>
      <c r="N854">
        <v>14</v>
      </c>
      <c r="O854" t="s">
        <v>28</v>
      </c>
      <c r="P854">
        <v>84384</v>
      </c>
      <c r="Q854">
        <v>140.12</v>
      </c>
      <c r="R854">
        <v>237.48500000000001</v>
      </c>
      <c r="S854">
        <v>0.21944536555258989</v>
      </c>
      <c r="T854">
        <v>1.2984225983671211E-2</v>
      </c>
      <c r="U854">
        <v>7.4321766068228198E-3</v>
      </c>
      <c r="V854">
        <v>5.5543261490362296E-3</v>
      </c>
      <c r="W854">
        <v>1.8778504577865889E-3</v>
      </c>
      <c r="Y854" s="19">
        <f t="shared" si="35"/>
        <v>46174</v>
      </c>
    </row>
    <row r="855" spans="1:32" x14ac:dyDescent="0.3">
      <c r="A855">
        <v>15</v>
      </c>
      <c r="B855" t="s">
        <v>87</v>
      </c>
      <c r="C855" t="s">
        <v>33</v>
      </c>
      <c r="D855">
        <v>84399</v>
      </c>
      <c r="E855">
        <v>143.035</v>
      </c>
      <c r="F855">
        <v>237.71</v>
      </c>
      <c r="G855">
        <v>143.02069650000001</v>
      </c>
      <c r="H855">
        <v>237.73377099999999</v>
      </c>
      <c r="I855">
        <v>4.2399384849527593</v>
      </c>
      <c r="J855">
        <v>1.777085365981516</v>
      </c>
      <c r="K855">
        <v>-6.9912958366833297E-2</v>
      </c>
      <c r="L855">
        <v>7.4758544696542695E-2</v>
      </c>
      <c r="M855" t="s">
        <v>27</v>
      </c>
      <c r="N855">
        <v>11</v>
      </c>
      <c r="O855" t="s">
        <v>28</v>
      </c>
      <c r="P855">
        <v>84410</v>
      </c>
      <c r="Q855">
        <v>141.49</v>
      </c>
      <c r="R855">
        <v>237.88</v>
      </c>
      <c r="S855">
        <v>0.48942108438517778</v>
      </c>
      <c r="T855">
        <v>0.1207244732751679</v>
      </c>
      <c r="U855">
        <v>0.1151798332000112</v>
      </c>
      <c r="V855">
        <v>5.5543261490362296E-3</v>
      </c>
      <c r="W855">
        <v>0.1096255070509749</v>
      </c>
      <c r="Y855" s="19">
        <f t="shared" si="35"/>
        <v>46174</v>
      </c>
    </row>
    <row r="856" spans="1:32" x14ac:dyDescent="0.3">
      <c r="A856">
        <v>15</v>
      </c>
      <c r="B856" t="s">
        <v>87</v>
      </c>
      <c r="C856" t="s">
        <v>33</v>
      </c>
      <c r="D856">
        <v>84793</v>
      </c>
      <c r="E856">
        <v>141.91999999999999</v>
      </c>
      <c r="F856">
        <v>232.83</v>
      </c>
      <c r="G856">
        <v>141.934192</v>
      </c>
      <c r="H856">
        <v>232.80671699999999</v>
      </c>
      <c r="I856">
        <v>-4.1952043273332231</v>
      </c>
      <c r="J856">
        <v>1.777085365981516</v>
      </c>
      <c r="K856">
        <v>7.0462232243517484E-2</v>
      </c>
      <c r="L856">
        <v>-7.6325446290491608E-2</v>
      </c>
      <c r="M856" t="s">
        <v>29</v>
      </c>
      <c r="N856">
        <v>17</v>
      </c>
      <c r="O856" t="s">
        <v>28</v>
      </c>
      <c r="P856">
        <v>84810</v>
      </c>
      <c r="Q856">
        <v>142.75</v>
      </c>
      <c r="R856">
        <v>233.61500000000001</v>
      </c>
      <c r="S856">
        <v>-0.43294284954932782</v>
      </c>
      <c r="T856">
        <v>-1.431822575915259E-3</v>
      </c>
      <c r="U856">
        <v>-6.997833220687609E-3</v>
      </c>
      <c r="V856">
        <v>5.5540153148898362E-3</v>
      </c>
      <c r="W856">
        <v>-1.2551848535577439E-2</v>
      </c>
      <c r="Y856" s="19">
        <f t="shared" si="35"/>
        <v>46175</v>
      </c>
    </row>
    <row r="857" spans="1:32" x14ac:dyDescent="0.3">
      <c r="A857">
        <v>15</v>
      </c>
      <c r="B857" t="s">
        <v>87</v>
      </c>
      <c r="C857" t="s">
        <v>33</v>
      </c>
      <c r="D857">
        <v>85184</v>
      </c>
      <c r="E857">
        <v>144.785</v>
      </c>
      <c r="F857">
        <v>234.685</v>
      </c>
      <c r="G857">
        <v>144.7705215</v>
      </c>
      <c r="H857">
        <v>234.70846850000001</v>
      </c>
      <c r="I857">
        <v>4.1737248213912697</v>
      </c>
      <c r="J857">
        <v>1.777085365981516</v>
      </c>
      <c r="K857">
        <v>-6.9067928307490423E-2</v>
      </c>
      <c r="L857">
        <v>7.5722153779811938E-2</v>
      </c>
      <c r="M857" t="s">
        <v>27</v>
      </c>
      <c r="N857">
        <v>9</v>
      </c>
      <c r="O857" t="s">
        <v>28</v>
      </c>
      <c r="P857">
        <v>85193</v>
      </c>
      <c r="Q857">
        <v>145.05000000000001</v>
      </c>
      <c r="R857">
        <v>235.69</v>
      </c>
      <c r="S857">
        <v>0.46667840124815602</v>
      </c>
      <c r="T857">
        <v>5.7797763547224663E-2</v>
      </c>
      <c r="U857">
        <v>5.2234152438706702E-2</v>
      </c>
      <c r="V857">
        <v>5.5543261490362296E-3</v>
      </c>
      <c r="W857">
        <v>4.6679826289670469E-2</v>
      </c>
      <c r="Y857" s="19">
        <f t="shared" si="35"/>
        <v>46176</v>
      </c>
    </row>
    <row r="858" spans="1:32" x14ac:dyDescent="0.3">
      <c r="A858">
        <v>15</v>
      </c>
      <c r="B858" t="s">
        <v>87</v>
      </c>
      <c r="C858" t="s">
        <v>33</v>
      </c>
      <c r="D858">
        <v>85456</v>
      </c>
      <c r="E858">
        <v>145.95500000000001</v>
      </c>
      <c r="F858">
        <v>236.17</v>
      </c>
      <c r="G858">
        <v>145.9404045</v>
      </c>
      <c r="H858">
        <v>236.19361699999999</v>
      </c>
      <c r="I858">
        <v>4.3066698511884063</v>
      </c>
      <c r="J858">
        <v>1.777085365981516</v>
      </c>
      <c r="K858">
        <v>-6.8514268096331057E-2</v>
      </c>
      <c r="L858">
        <v>7.5246024727167571E-2</v>
      </c>
      <c r="M858" t="s">
        <v>27</v>
      </c>
      <c r="N858">
        <v>24</v>
      </c>
      <c r="O858" t="s">
        <v>28</v>
      </c>
      <c r="P858">
        <v>85480</v>
      </c>
      <c r="Q858">
        <v>145.69</v>
      </c>
      <c r="R858">
        <v>235.77</v>
      </c>
      <c r="S858">
        <v>0.39867851780775659</v>
      </c>
      <c r="T858">
        <v>-1.194212884533657E-2</v>
      </c>
      <c r="U858">
        <v>-1.74914741082038E-2</v>
      </c>
      <c r="V858">
        <v>5.5543261490362296E-3</v>
      </c>
      <c r="W858">
        <v>-2.304580025724003E-2</v>
      </c>
      <c r="Y858" s="19">
        <f t="shared" si="35"/>
        <v>46177</v>
      </c>
    </row>
    <row r="859" spans="1:32" x14ac:dyDescent="0.3">
      <c r="A859">
        <v>15</v>
      </c>
      <c r="B859" t="s">
        <v>87</v>
      </c>
      <c r="C859" t="s">
        <v>33</v>
      </c>
      <c r="D859">
        <v>85965</v>
      </c>
      <c r="E859">
        <v>143.08000000000001</v>
      </c>
      <c r="F859">
        <v>233.41</v>
      </c>
      <c r="G859">
        <v>143.09430800000001</v>
      </c>
      <c r="H859">
        <v>233.38665900000001</v>
      </c>
      <c r="I859">
        <v>-4.5739066415376683</v>
      </c>
      <c r="J859">
        <v>1.777085365981516</v>
      </c>
      <c r="K859">
        <v>6.9890970086664797E-2</v>
      </c>
      <c r="L859">
        <v>-7.6135785355448196E-2</v>
      </c>
      <c r="M859" t="s">
        <v>29</v>
      </c>
      <c r="N859">
        <v>4</v>
      </c>
      <c r="O859" t="s">
        <v>28</v>
      </c>
      <c r="P859">
        <v>85969</v>
      </c>
      <c r="Q859">
        <v>145.05000000000001</v>
      </c>
      <c r="R859">
        <v>233.98500000000001</v>
      </c>
      <c r="S859">
        <v>-3.5388829724421852E-2</v>
      </c>
      <c r="T859">
        <v>9.3907134491345551E-2</v>
      </c>
      <c r="U859">
        <v>8.8334817430620619E-2</v>
      </c>
      <c r="V859">
        <v>5.5540153148898371E-3</v>
      </c>
      <c r="W859">
        <v>8.2780802115730787E-2</v>
      </c>
      <c r="Y859" s="19">
        <f t="shared" si="35"/>
        <v>46178</v>
      </c>
    </row>
    <row r="860" spans="1:32" x14ac:dyDescent="0.3">
      <c r="A860">
        <v>15</v>
      </c>
      <c r="B860" t="s">
        <v>87</v>
      </c>
      <c r="C860" t="s">
        <v>33</v>
      </c>
      <c r="D860">
        <v>86355</v>
      </c>
      <c r="E860">
        <v>143.4</v>
      </c>
      <c r="F860">
        <v>234.58</v>
      </c>
      <c r="G860">
        <v>143.41434000000001</v>
      </c>
      <c r="H860">
        <v>234.55654200000001</v>
      </c>
      <c r="I860">
        <v>-5.0044124180412677</v>
      </c>
      <c r="J860">
        <v>1.777085365981516</v>
      </c>
      <c r="K860">
        <v>6.9735006973500699E-2</v>
      </c>
      <c r="L860">
        <v>-7.5756047658859071E-2</v>
      </c>
      <c r="M860" t="s">
        <v>29</v>
      </c>
      <c r="N860">
        <v>19</v>
      </c>
      <c r="O860" t="s">
        <v>28</v>
      </c>
      <c r="P860">
        <v>86374</v>
      </c>
      <c r="Q860">
        <v>144.655</v>
      </c>
      <c r="R860">
        <v>235.23</v>
      </c>
      <c r="S860">
        <v>-0.41191457002001758</v>
      </c>
      <c r="T860">
        <v>3.8276002773486389E-2</v>
      </c>
      <c r="U860">
        <v>3.2708156155048802E-2</v>
      </c>
      <c r="V860">
        <v>5.5540153148898362E-3</v>
      </c>
      <c r="W860">
        <v>2.715414084015896E-2</v>
      </c>
      <c r="Y860" s="19">
        <f t="shared" si="35"/>
        <v>46181</v>
      </c>
    </row>
    <row r="861" spans="1:32" x14ac:dyDescent="0.3">
      <c r="A861">
        <v>16</v>
      </c>
      <c r="B861" t="s">
        <v>30</v>
      </c>
      <c r="C861" t="s">
        <v>32</v>
      </c>
      <c r="D861">
        <v>86401</v>
      </c>
      <c r="E861">
        <v>57.59</v>
      </c>
      <c r="F861">
        <v>59.265000000000001</v>
      </c>
      <c r="G861">
        <v>57.584241000000013</v>
      </c>
      <c r="H861">
        <v>59.270926500000002</v>
      </c>
      <c r="I861">
        <v>5.2945405140843764</v>
      </c>
      <c r="J861">
        <v>1.201911734394435</v>
      </c>
      <c r="K861">
        <v>-0.17364125716270179</v>
      </c>
      <c r="L861">
        <v>0.2028029586424423</v>
      </c>
      <c r="M861" t="s">
        <v>27</v>
      </c>
      <c r="N861">
        <v>23</v>
      </c>
      <c r="O861" t="s">
        <v>28</v>
      </c>
      <c r="P861">
        <v>86424</v>
      </c>
      <c r="Q861">
        <v>57.64</v>
      </c>
      <c r="R861">
        <v>59.41</v>
      </c>
      <c r="S861">
        <v>0.49110668772804339</v>
      </c>
      <c r="T861">
        <v>2.0724366145018731E-2</v>
      </c>
      <c r="U861">
        <v>1.6316733827044069E-2</v>
      </c>
      <c r="V861">
        <v>4.4038638511357479E-3</v>
      </c>
      <c r="W861">
        <v>1.1912869975908321E-2</v>
      </c>
      <c r="Y861" s="19">
        <f t="shared" si="35"/>
        <v>46181</v>
      </c>
    </row>
    <row r="862" spans="1:32" x14ac:dyDescent="0.3">
      <c r="A862">
        <v>16</v>
      </c>
      <c r="B862" t="s">
        <v>30</v>
      </c>
      <c r="C862" t="s">
        <v>32</v>
      </c>
      <c r="D862">
        <v>86746</v>
      </c>
      <c r="E862">
        <v>58.25</v>
      </c>
      <c r="F862">
        <v>59.91</v>
      </c>
      <c r="G862">
        <v>58.244174999999998</v>
      </c>
      <c r="H862">
        <v>59.915990999999998</v>
      </c>
      <c r="I862">
        <v>4.3389704654171926</v>
      </c>
      <c r="J862">
        <v>1.201911734394435</v>
      </c>
      <c r="K862">
        <v>-0.1716738197424893</v>
      </c>
      <c r="L862">
        <v>0.2006195517266624</v>
      </c>
      <c r="M862" t="s">
        <v>27</v>
      </c>
      <c r="N862">
        <v>5</v>
      </c>
      <c r="O862" t="s">
        <v>28</v>
      </c>
      <c r="P862">
        <v>86751</v>
      </c>
      <c r="Q862">
        <v>57.93</v>
      </c>
      <c r="R862">
        <v>59.93</v>
      </c>
      <c r="S862">
        <v>0.20509554850200451</v>
      </c>
      <c r="T862">
        <v>5.8948013352130478E-2</v>
      </c>
      <c r="U862">
        <v>5.4549282206470533E-2</v>
      </c>
      <c r="V862">
        <v>4.4038638511357479E-3</v>
      </c>
      <c r="W862">
        <v>5.014541835533478E-2</v>
      </c>
      <c r="Y862" s="19">
        <f t="shared" si="35"/>
        <v>46182</v>
      </c>
    </row>
    <row r="863" spans="1:32" x14ac:dyDescent="0.3">
      <c r="A863">
        <v>16</v>
      </c>
      <c r="B863" t="s">
        <v>30</v>
      </c>
      <c r="C863" t="s">
        <v>32</v>
      </c>
      <c r="D863">
        <v>87138</v>
      </c>
      <c r="E863">
        <v>58.13</v>
      </c>
      <c r="F863">
        <v>60.67</v>
      </c>
      <c r="G863">
        <v>58.135812999999999</v>
      </c>
      <c r="H863">
        <v>60.663933</v>
      </c>
      <c r="I863">
        <v>-3.522880514364541</v>
      </c>
      <c r="J863">
        <v>1.201911734394435</v>
      </c>
      <c r="K863">
        <v>0.17202821262687079</v>
      </c>
      <c r="L863">
        <v>-0.19810643388733051</v>
      </c>
      <c r="M863" t="s">
        <v>29</v>
      </c>
      <c r="N863">
        <v>39</v>
      </c>
      <c r="O863" t="s">
        <v>28</v>
      </c>
      <c r="P863">
        <v>87177</v>
      </c>
      <c r="Q863">
        <v>58.62</v>
      </c>
      <c r="R863">
        <v>61.48</v>
      </c>
      <c r="S863">
        <v>-0.43782017639025422</v>
      </c>
      <c r="T863">
        <v>-7.6172387261570954E-2</v>
      </c>
      <c r="U863">
        <v>-8.0600686733922428E-2</v>
      </c>
      <c r="V863">
        <v>4.4037830864419904E-3</v>
      </c>
      <c r="W863">
        <v>-8.5004469820364414E-2</v>
      </c>
      <c r="Y863" s="19">
        <f t="shared" si="35"/>
        <v>46183</v>
      </c>
    </row>
    <row r="864" spans="1:32" x14ac:dyDescent="0.3">
      <c r="A864">
        <v>16</v>
      </c>
      <c r="B864" t="s">
        <v>30</v>
      </c>
      <c r="C864" t="s">
        <v>32</v>
      </c>
      <c r="D864">
        <v>87522</v>
      </c>
      <c r="E864">
        <v>58.16</v>
      </c>
      <c r="F864">
        <v>61.145000000000003</v>
      </c>
      <c r="G864">
        <v>58.165815999999992</v>
      </c>
      <c r="H864">
        <v>61.138885500000001</v>
      </c>
      <c r="I864">
        <v>-3.5860799766382758</v>
      </c>
      <c r="J864">
        <v>1.201911734394435</v>
      </c>
      <c r="K864">
        <v>0.17193947730398901</v>
      </c>
      <c r="L864">
        <v>-0.1965674600367053</v>
      </c>
      <c r="M864" t="s">
        <v>29</v>
      </c>
      <c r="N864">
        <v>28</v>
      </c>
      <c r="O864" t="s">
        <v>28</v>
      </c>
      <c r="P864">
        <v>87550</v>
      </c>
      <c r="Q864">
        <v>57.67</v>
      </c>
      <c r="R864">
        <v>60.92</v>
      </c>
      <c r="S864">
        <v>-0.35084928073749111</v>
      </c>
      <c r="T864">
        <v>-4.0022665370694772E-2</v>
      </c>
      <c r="U864">
        <v>-4.441364103724494E-2</v>
      </c>
      <c r="V864">
        <v>4.4037830864419904E-3</v>
      </c>
      <c r="W864">
        <v>-4.8817424123686927E-2</v>
      </c>
      <c r="Y864" s="19">
        <f t="shared" si="35"/>
        <v>46184</v>
      </c>
      <c r="AF864" s="19"/>
    </row>
    <row r="865" spans="1:32" x14ac:dyDescent="0.3">
      <c r="A865">
        <v>16</v>
      </c>
      <c r="B865" t="s">
        <v>30</v>
      </c>
      <c r="C865" t="s">
        <v>32</v>
      </c>
      <c r="D865">
        <v>87882</v>
      </c>
      <c r="E865">
        <v>57.93</v>
      </c>
      <c r="F865">
        <v>60.75</v>
      </c>
      <c r="G865">
        <v>57.924207000000003</v>
      </c>
      <c r="H865">
        <v>60.756075000000003</v>
      </c>
      <c r="I865">
        <v>3.54188539804279</v>
      </c>
      <c r="J865">
        <v>1.201911734394435</v>
      </c>
      <c r="K865">
        <v>-0.17262213015708611</v>
      </c>
      <c r="L865">
        <v>0.1978455529867382</v>
      </c>
      <c r="M865" t="s">
        <v>27</v>
      </c>
      <c r="N865">
        <v>5</v>
      </c>
      <c r="O865" t="s">
        <v>28</v>
      </c>
      <c r="P865">
        <v>87887</v>
      </c>
      <c r="Q865">
        <v>57.85</v>
      </c>
      <c r="R865">
        <v>60.744999999999997</v>
      </c>
      <c r="S865">
        <v>0.30870253405584758</v>
      </c>
      <c r="T865">
        <v>1.28205426476324E-2</v>
      </c>
      <c r="U865">
        <v>8.4181990786625725E-3</v>
      </c>
      <c r="V865">
        <v>4.4038638511357479E-3</v>
      </c>
      <c r="W865">
        <v>4.0143352275268246E-3</v>
      </c>
      <c r="Y865" s="19">
        <f t="shared" si="35"/>
        <v>46185</v>
      </c>
      <c r="AF865" s="19"/>
    </row>
    <row r="866" spans="1:32" x14ac:dyDescent="0.3">
      <c r="A866">
        <v>16</v>
      </c>
      <c r="B866" t="s">
        <v>30</v>
      </c>
      <c r="C866" t="s">
        <v>32</v>
      </c>
      <c r="D866">
        <v>88309</v>
      </c>
      <c r="E866">
        <v>57.524999999999999</v>
      </c>
      <c r="F866">
        <v>60.56</v>
      </c>
      <c r="G866">
        <v>57.519247499999999</v>
      </c>
      <c r="H866">
        <v>60.566056000000003</v>
      </c>
      <c r="I866">
        <v>4.4308710802388962</v>
      </c>
      <c r="J866">
        <v>1.201911734394435</v>
      </c>
      <c r="K866">
        <v>-0.17383746197305519</v>
      </c>
      <c r="L866">
        <v>0.1984662705406926</v>
      </c>
      <c r="M866" t="s">
        <v>27</v>
      </c>
      <c r="N866">
        <v>7</v>
      </c>
      <c r="O866" t="s">
        <v>28</v>
      </c>
      <c r="P866">
        <v>88316</v>
      </c>
      <c r="Q866">
        <v>56.94</v>
      </c>
      <c r="R866">
        <v>60.365000000000002</v>
      </c>
      <c r="S866">
        <v>-0.14683431632167659</v>
      </c>
      <c r="T866">
        <v>6.2993992498802318E-2</v>
      </c>
      <c r="U866">
        <v>5.8604208613814469E-2</v>
      </c>
      <c r="V866">
        <v>4.4038638511357479E-3</v>
      </c>
      <c r="W866">
        <v>5.4200344762678723E-2</v>
      </c>
      <c r="Y866" s="19">
        <f t="shared" si="35"/>
        <v>46188</v>
      </c>
      <c r="AF866" s="19"/>
    </row>
    <row r="867" spans="1:32" x14ac:dyDescent="0.3">
      <c r="A867">
        <v>16</v>
      </c>
      <c r="B867" t="s">
        <v>30</v>
      </c>
      <c r="C867" t="s">
        <v>32</v>
      </c>
      <c r="D867">
        <v>88699</v>
      </c>
      <c r="E867">
        <v>57.08</v>
      </c>
      <c r="F867">
        <v>60.37</v>
      </c>
      <c r="G867">
        <v>57.074292</v>
      </c>
      <c r="H867">
        <v>60.376036999999997</v>
      </c>
      <c r="I867">
        <v>3.6100370481743691</v>
      </c>
      <c r="J867">
        <v>1.201911734394435</v>
      </c>
      <c r="K867">
        <v>-0.17519271198318151</v>
      </c>
      <c r="L867">
        <v>0.19909089521193221</v>
      </c>
      <c r="M867" t="s">
        <v>27</v>
      </c>
      <c r="N867">
        <v>8</v>
      </c>
      <c r="O867" t="s">
        <v>28</v>
      </c>
      <c r="P867">
        <v>88707</v>
      </c>
      <c r="Q867">
        <v>57.06</v>
      </c>
      <c r="R867">
        <v>60.59</v>
      </c>
      <c r="S867">
        <v>-0.34701371399519709</v>
      </c>
      <c r="T867">
        <v>4.7303851186289207E-2</v>
      </c>
      <c r="U867">
        <v>4.2895998103230602E-2</v>
      </c>
      <c r="V867">
        <v>4.4038638511357479E-3</v>
      </c>
      <c r="W867">
        <v>3.8492134252094849E-2</v>
      </c>
      <c r="Y867" s="19">
        <f t="shared" si="35"/>
        <v>46189</v>
      </c>
      <c r="AF867" s="19"/>
    </row>
    <row r="868" spans="1:32" x14ac:dyDescent="0.3">
      <c r="A868">
        <v>16</v>
      </c>
      <c r="B868" t="s">
        <v>30</v>
      </c>
      <c r="C868" t="s">
        <v>32</v>
      </c>
      <c r="D868">
        <v>89479</v>
      </c>
      <c r="E868">
        <v>59.33</v>
      </c>
      <c r="F868">
        <v>62.664999999999999</v>
      </c>
      <c r="G868">
        <v>59.335932999999997</v>
      </c>
      <c r="H868">
        <v>62.658733499999997</v>
      </c>
      <c r="I868">
        <v>-4.5666412551678306</v>
      </c>
      <c r="J868">
        <v>1.201911734394435</v>
      </c>
      <c r="K868">
        <v>0.16854879487611671</v>
      </c>
      <c r="L868">
        <v>-0.19179952675248299</v>
      </c>
      <c r="M868" t="s">
        <v>29</v>
      </c>
      <c r="N868">
        <v>9</v>
      </c>
      <c r="O868" t="s">
        <v>28</v>
      </c>
      <c r="P868">
        <v>89488</v>
      </c>
      <c r="Q868">
        <v>59.68</v>
      </c>
      <c r="R868">
        <v>62.66</v>
      </c>
      <c r="S868">
        <v>-0.46461982834872612</v>
      </c>
      <c r="T868">
        <v>5.9951075840403982E-2</v>
      </c>
      <c r="U868">
        <v>5.5541449063557728E-2</v>
      </c>
      <c r="V868">
        <v>4.4037830864419904E-3</v>
      </c>
      <c r="W868">
        <v>5.1137665977115727E-2</v>
      </c>
      <c r="Y868" s="19">
        <f t="shared" si="35"/>
        <v>46191</v>
      </c>
      <c r="AF868" s="19"/>
    </row>
    <row r="869" spans="1:32" x14ac:dyDescent="0.3">
      <c r="A869">
        <v>16</v>
      </c>
      <c r="B869" t="s">
        <v>30</v>
      </c>
      <c r="C869" t="s">
        <v>32</v>
      </c>
      <c r="D869">
        <v>89870</v>
      </c>
      <c r="E869">
        <v>60.52</v>
      </c>
      <c r="F869">
        <v>63.24</v>
      </c>
      <c r="G869">
        <v>60.513948000000013</v>
      </c>
      <c r="H869">
        <v>63.246324000000001</v>
      </c>
      <c r="I869">
        <v>3.8878682652601979</v>
      </c>
      <c r="J869">
        <v>1.201911734394435</v>
      </c>
      <c r="K869">
        <v>-0.1652346331791143</v>
      </c>
      <c r="L869">
        <v>0.190055618974452</v>
      </c>
      <c r="M869" t="s">
        <v>27</v>
      </c>
      <c r="N869">
        <v>26</v>
      </c>
      <c r="O869" t="s">
        <v>28</v>
      </c>
      <c r="P869">
        <v>89896</v>
      </c>
      <c r="Q869">
        <v>60.62</v>
      </c>
      <c r="R869">
        <v>63.26</v>
      </c>
      <c r="S869">
        <v>0.46160954296843731</v>
      </c>
      <c r="T869">
        <v>-1.272235093842221E-2</v>
      </c>
      <c r="U869">
        <v>-1.7128206864780431E-2</v>
      </c>
      <c r="V869">
        <v>4.4038638511357479E-3</v>
      </c>
      <c r="W869">
        <v>-2.1532070715916181E-2</v>
      </c>
      <c r="Y869" s="19">
        <f t="shared" si="35"/>
        <v>46192</v>
      </c>
      <c r="AF869" s="19"/>
    </row>
    <row r="870" spans="1:32" x14ac:dyDescent="0.3">
      <c r="A870">
        <v>16</v>
      </c>
      <c r="B870" t="s">
        <v>30</v>
      </c>
      <c r="C870" t="s">
        <v>32</v>
      </c>
      <c r="D870">
        <v>90259</v>
      </c>
      <c r="E870">
        <v>59.24</v>
      </c>
      <c r="F870">
        <v>62.225000000000001</v>
      </c>
      <c r="G870">
        <v>59.234076000000002</v>
      </c>
      <c r="H870">
        <v>62.231222500000001</v>
      </c>
      <c r="I870">
        <v>3.9383759778718939</v>
      </c>
      <c r="J870">
        <v>1.201911734394435</v>
      </c>
      <c r="K870">
        <v>-0.16880486158001351</v>
      </c>
      <c r="L870">
        <v>0.19315576285969219</v>
      </c>
      <c r="M870" t="s">
        <v>27</v>
      </c>
      <c r="N870">
        <v>31</v>
      </c>
      <c r="O870" t="s">
        <v>28</v>
      </c>
      <c r="P870">
        <v>90290</v>
      </c>
      <c r="Q870">
        <v>59.23</v>
      </c>
      <c r="R870">
        <v>61.88</v>
      </c>
      <c r="S870">
        <v>0.1933589485578765</v>
      </c>
      <c r="T870">
        <v>-6.4950689570792572E-2</v>
      </c>
      <c r="U870">
        <v>-6.9347680360901998E-2</v>
      </c>
      <c r="V870">
        <v>4.4038638511357479E-3</v>
      </c>
      <c r="W870">
        <v>-7.3751544212037751E-2</v>
      </c>
      <c r="Y870" s="19">
        <f t="shared" si="35"/>
        <v>46195</v>
      </c>
      <c r="AF870" s="19"/>
    </row>
    <row r="871" spans="1:32" x14ac:dyDescent="0.3">
      <c r="A871">
        <v>16</v>
      </c>
      <c r="B871" t="s">
        <v>30</v>
      </c>
      <c r="C871" t="s">
        <v>33</v>
      </c>
      <c r="D871">
        <v>86401</v>
      </c>
      <c r="E871">
        <v>57.59</v>
      </c>
      <c r="F871">
        <v>235.83</v>
      </c>
      <c r="G871">
        <v>57.595759000000001</v>
      </c>
      <c r="H871">
        <v>235.80641700000001</v>
      </c>
      <c r="I871">
        <v>-5.2946149326772298</v>
      </c>
      <c r="J871">
        <v>1.141842836328566</v>
      </c>
      <c r="K871">
        <v>0.17364125716270179</v>
      </c>
      <c r="L871">
        <v>-4.8418048438645063E-2</v>
      </c>
      <c r="M871" t="s">
        <v>29</v>
      </c>
      <c r="N871">
        <v>23</v>
      </c>
      <c r="O871" t="s">
        <v>28</v>
      </c>
      <c r="P871">
        <v>86424</v>
      </c>
      <c r="Q871">
        <v>57.64</v>
      </c>
      <c r="R871">
        <v>236.56</v>
      </c>
      <c r="S871">
        <v>-0.49513022702546872</v>
      </c>
      <c r="T871">
        <v>-2.66631125020758E-2</v>
      </c>
      <c r="U871">
        <v>-3.0951200898553761E-2</v>
      </c>
      <c r="V871">
        <v>4.2836573040898676E-3</v>
      </c>
      <c r="W871">
        <v>-3.5234858202643618E-2</v>
      </c>
      <c r="Y871" s="19">
        <f t="shared" si="35"/>
        <v>46181</v>
      </c>
      <c r="AF871" s="19"/>
    </row>
    <row r="872" spans="1:32" x14ac:dyDescent="0.3">
      <c r="A872">
        <v>16</v>
      </c>
      <c r="B872" t="s">
        <v>30</v>
      </c>
      <c r="C872" t="s">
        <v>33</v>
      </c>
      <c r="D872">
        <v>87137</v>
      </c>
      <c r="E872">
        <v>58.195</v>
      </c>
      <c r="F872">
        <v>242.245</v>
      </c>
      <c r="G872">
        <v>58.200819500000001</v>
      </c>
      <c r="H872">
        <v>242.2207755</v>
      </c>
      <c r="I872">
        <v>-3.7901850002629058</v>
      </c>
      <c r="J872">
        <v>1.141842836328566</v>
      </c>
      <c r="K872">
        <v>0.17183606839075519</v>
      </c>
      <c r="L872">
        <v>-4.7135868081015761E-2</v>
      </c>
      <c r="M872" t="s">
        <v>29</v>
      </c>
      <c r="N872">
        <v>28</v>
      </c>
      <c r="O872" t="s">
        <v>28</v>
      </c>
      <c r="P872">
        <v>87165</v>
      </c>
      <c r="Q872">
        <v>58.454999999999998</v>
      </c>
      <c r="R872">
        <v>245.92</v>
      </c>
      <c r="S872">
        <v>-0.47266974014515512</v>
      </c>
      <c r="T872">
        <v>-0.1285469374161361</v>
      </c>
      <c r="U872">
        <v>-0.13285241325809069</v>
      </c>
      <c r="V872">
        <v>4.2836573040898676E-3</v>
      </c>
      <c r="W872">
        <v>-0.1371360705621805</v>
      </c>
      <c r="Y872" s="19">
        <f t="shared" si="35"/>
        <v>46183</v>
      </c>
      <c r="AF872" s="19"/>
    </row>
    <row r="873" spans="1:32" x14ac:dyDescent="0.3">
      <c r="A873">
        <v>16</v>
      </c>
      <c r="B873" t="s">
        <v>30</v>
      </c>
      <c r="C873" t="s">
        <v>33</v>
      </c>
      <c r="D873">
        <v>87189</v>
      </c>
      <c r="E873">
        <v>58.805</v>
      </c>
      <c r="F873">
        <v>248.56</v>
      </c>
      <c r="G873">
        <v>58.810880500000003</v>
      </c>
      <c r="H873">
        <v>248.535144</v>
      </c>
      <c r="I873">
        <v>-3.5524075849862968</v>
      </c>
      <c r="J873">
        <v>1.141842836328566</v>
      </c>
      <c r="K873">
        <v>0.17005356687356521</v>
      </c>
      <c r="L873">
        <v>-4.5938318165777529E-2</v>
      </c>
      <c r="M873" t="s">
        <v>29</v>
      </c>
      <c r="N873">
        <v>7</v>
      </c>
      <c r="O873" t="s">
        <v>28</v>
      </c>
      <c r="P873">
        <v>87196</v>
      </c>
      <c r="Q873">
        <v>58.924999999999997</v>
      </c>
      <c r="R873">
        <v>248.27500000000001</v>
      </c>
      <c r="S873">
        <v>-0.48886569971038363</v>
      </c>
      <c r="T873">
        <v>3.3498848702073827E-2</v>
      </c>
      <c r="U873">
        <v>2.92144316286829E-2</v>
      </c>
      <c r="V873">
        <v>4.2836573040898676E-3</v>
      </c>
      <c r="W873">
        <v>2.4930774324593039E-2</v>
      </c>
      <c r="Y873" s="19">
        <f t="shared" si="35"/>
        <v>46183</v>
      </c>
    </row>
    <row r="874" spans="1:32" x14ac:dyDescent="0.3">
      <c r="A874">
        <v>16</v>
      </c>
      <c r="B874" t="s">
        <v>30</v>
      </c>
      <c r="C874" t="s">
        <v>33</v>
      </c>
      <c r="D874">
        <v>88309</v>
      </c>
      <c r="E874">
        <v>57.524999999999999</v>
      </c>
      <c r="F874">
        <v>246.88</v>
      </c>
      <c r="G874">
        <v>57.530752499999998</v>
      </c>
      <c r="H874">
        <v>246.855312</v>
      </c>
      <c r="I874">
        <v>-4.2499332134677523</v>
      </c>
      <c r="J874">
        <v>1.141842836328566</v>
      </c>
      <c r="K874">
        <v>0.17383746197305519</v>
      </c>
      <c r="L874">
        <v>-4.6250924997106542E-2</v>
      </c>
      <c r="M874" t="s">
        <v>29</v>
      </c>
      <c r="N874">
        <v>8</v>
      </c>
      <c r="O874" t="s">
        <v>28</v>
      </c>
      <c r="P874">
        <v>88317</v>
      </c>
      <c r="Q874">
        <v>57.16</v>
      </c>
      <c r="R874">
        <v>244.73</v>
      </c>
      <c r="S874">
        <v>-0.17571716181100511</v>
      </c>
      <c r="T874">
        <v>3.5988815123613828E-2</v>
      </c>
      <c r="U874">
        <v>3.1721418467193292E-2</v>
      </c>
      <c r="V874">
        <v>4.2836573040898676E-3</v>
      </c>
      <c r="W874">
        <v>2.7437761163103421E-2</v>
      </c>
      <c r="Y874" s="19">
        <f t="shared" si="35"/>
        <v>46188</v>
      </c>
    </row>
    <row r="875" spans="1:32" x14ac:dyDescent="0.3">
      <c r="A875">
        <v>16</v>
      </c>
      <c r="B875" t="s">
        <v>30</v>
      </c>
      <c r="C875" t="s">
        <v>33</v>
      </c>
      <c r="D875">
        <v>89089</v>
      </c>
      <c r="E875">
        <v>58.77</v>
      </c>
      <c r="F875">
        <v>251.715</v>
      </c>
      <c r="G875">
        <v>58.764122999999998</v>
      </c>
      <c r="H875">
        <v>251.7401715</v>
      </c>
      <c r="I875">
        <v>4.7307734608135004</v>
      </c>
      <c r="J875">
        <v>1.141842836328566</v>
      </c>
      <c r="K875">
        <v>-0.1701548409052237</v>
      </c>
      <c r="L875">
        <v>4.5362526521207168E-2</v>
      </c>
      <c r="M875" t="s">
        <v>27</v>
      </c>
      <c r="N875">
        <v>6</v>
      </c>
      <c r="O875" t="s">
        <v>28</v>
      </c>
      <c r="P875">
        <v>89095</v>
      </c>
      <c r="Q875">
        <v>58.38</v>
      </c>
      <c r="R875">
        <v>251.715</v>
      </c>
      <c r="S875">
        <v>-3.8191148370233602E-2</v>
      </c>
      <c r="T875">
        <v>6.636038795303735E-2</v>
      </c>
      <c r="U875">
        <v>6.2083338319176423E-2</v>
      </c>
      <c r="V875">
        <v>4.2837140412243981E-3</v>
      </c>
      <c r="W875">
        <v>5.7799624277952023E-2</v>
      </c>
      <c r="Y875" s="19">
        <f t="shared" si="35"/>
        <v>46190</v>
      </c>
    </row>
    <row r="876" spans="1:32" x14ac:dyDescent="0.3">
      <c r="A876">
        <v>16</v>
      </c>
      <c r="B876" t="s">
        <v>30</v>
      </c>
      <c r="C876" t="s">
        <v>33</v>
      </c>
      <c r="D876">
        <v>89304</v>
      </c>
      <c r="E876">
        <v>58.56</v>
      </c>
      <c r="F876">
        <v>248.98</v>
      </c>
      <c r="G876">
        <v>58.565855999999997</v>
      </c>
      <c r="H876">
        <v>248.95510200000001</v>
      </c>
      <c r="I876">
        <v>-3.5233595807865048</v>
      </c>
      <c r="J876">
        <v>1.141842836328566</v>
      </c>
      <c r="K876">
        <v>0.17076502732240439</v>
      </c>
      <c r="L876">
        <v>-4.5860825621679098E-2</v>
      </c>
      <c r="M876" t="s">
        <v>29</v>
      </c>
      <c r="N876">
        <v>9</v>
      </c>
      <c r="O876" t="s">
        <v>28</v>
      </c>
      <c r="P876">
        <v>89313</v>
      </c>
      <c r="Q876">
        <v>58.5</v>
      </c>
      <c r="R876">
        <v>248.47</v>
      </c>
      <c r="S876">
        <v>-0.36514423912552108</v>
      </c>
      <c r="T876">
        <v>1.314311942771128E-2</v>
      </c>
      <c r="U876">
        <v>8.8627972473240713E-3</v>
      </c>
      <c r="V876">
        <v>4.2836573040898676E-3</v>
      </c>
      <c r="W876">
        <v>4.5791399432342037E-3</v>
      </c>
      <c r="Y876" s="19">
        <f t="shared" si="35"/>
        <v>46191</v>
      </c>
    </row>
    <row r="877" spans="1:32" x14ac:dyDescent="0.3">
      <c r="A877">
        <v>16</v>
      </c>
      <c r="B877" t="s">
        <v>30</v>
      </c>
      <c r="C877" t="s">
        <v>33</v>
      </c>
      <c r="D877">
        <v>89469</v>
      </c>
      <c r="E877">
        <v>58.615000000000002</v>
      </c>
      <c r="F877">
        <v>248.2</v>
      </c>
      <c r="G877">
        <v>58.6091385</v>
      </c>
      <c r="H877">
        <v>248.22481999999999</v>
      </c>
      <c r="I877">
        <v>4.0062539346985329</v>
      </c>
      <c r="J877">
        <v>1.141842836328566</v>
      </c>
      <c r="K877">
        <v>-0.17060479399471121</v>
      </c>
      <c r="L877">
        <v>4.6004949086565931E-2</v>
      </c>
      <c r="M877" t="s">
        <v>27</v>
      </c>
      <c r="N877">
        <v>7</v>
      </c>
      <c r="O877" t="s">
        <v>28</v>
      </c>
      <c r="P877">
        <v>89476</v>
      </c>
      <c r="Q877">
        <v>58.68</v>
      </c>
      <c r="R877">
        <v>248.91499999999999</v>
      </c>
      <c r="S877">
        <v>-0.25416130445232549</v>
      </c>
      <c r="T877">
        <v>2.180422698723895E-2</v>
      </c>
      <c r="U877">
        <v>1.7516143029560911E-2</v>
      </c>
      <c r="V877">
        <v>4.2837140412243981E-3</v>
      </c>
      <c r="W877">
        <v>1.3232428988336519E-2</v>
      </c>
      <c r="Y877" s="19">
        <f t="shared" si="35"/>
        <v>46191</v>
      </c>
    </row>
    <row r="878" spans="1:32" x14ac:dyDescent="0.3">
      <c r="A878">
        <v>16</v>
      </c>
      <c r="B878" t="s">
        <v>30</v>
      </c>
      <c r="C878" t="s">
        <v>33</v>
      </c>
      <c r="D878">
        <v>89479</v>
      </c>
      <c r="E878">
        <v>59.33</v>
      </c>
      <c r="F878">
        <v>249.52</v>
      </c>
      <c r="G878">
        <v>59.324066999999999</v>
      </c>
      <c r="H878">
        <v>249.54495199999999</v>
      </c>
      <c r="I878">
        <v>4.5055200722435931</v>
      </c>
      <c r="J878">
        <v>1.141842836328566</v>
      </c>
      <c r="K878">
        <v>-0.16854879487611671</v>
      </c>
      <c r="L878">
        <v>4.5761575678445257E-2</v>
      </c>
      <c r="M878" t="s">
        <v>27</v>
      </c>
      <c r="N878">
        <v>12</v>
      </c>
      <c r="O878" t="s">
        <v>28</v>
      </c>
      <c r="P878">
        <v>89491</v>
      </c>
      <c r="Q878">
        <v>59.734999999999999</v>
      </c>
      <c r="R878">
        <v>252.2</v>
      </c>
      <c r="S878">
        <v>-0.1816041554619568</v>
      </c>
      <c r="T878">
        <v>5.4378760893404883E-2</v>
      </c>
      <c r="U878">
        <v>5.0075984892275438E-2</v>
      </c>
      <c r="V878">
        <v>4.2837140412243981E-3</v>
      </c>
      <c r="W878">
        <v>4.5792270851051038E-2</v>
      </c>
      <c r="Y878" s="19">
        <f t="shared" si="35"/>
        <v>46191</v>
      </c>
    </row>
    <row r="879" spans="1:32" x14ac:dyDescent="0.3">
      <c r="A879">
        <v>16</v>
      </c>
      <c r="B879" t="s">
        <v>30</v>
      </c>
      <c r="C879" t="s">
        <v>33</v>
      </c>
      <c r="D879">
        <v>89605</v>
      </c>
      <c r="E879">
        <v>59.53</v>
      </c>
      <c r="F879">
        <v>251.26</v>
      </c>
      <c r="G879">
        <v>59.524047000000003</v>
      </c>
      <c r="H879">
        <v>251.28512599999999</v>
      </c>
      <c r="I879">
        <v>3.6732453439602559</v>
      </c>
      <c r="J879">
        <v>1.141842836328566</v>
      </c>
      <c r="K879">
        <v>-0.16798252981689901</v>
      </c>
      <c r="L879">
        <v>4.5444672304726833E-2</v>
      </c>
      <c r="M879" t="s">
        <v>27</v>
      </c>
      <c r="N879">
        <v>6</v>
      </c>
      <c r="O879" t="s">
        <v>28</v>
      </c>
      <c r="P879">
        <v>89611</v>
      </c>
      <c r="Q879">
        <v>59.47</v>
      </c>
      <c r="R879">
        <v>251.6</v>
      </c>
      <c r="S879">
        <v>-4.5348342053859417E-2</v>
      </c>
      <c r="T879">
        <v>2.55301403726216E-2</v>
      </c>
      <c r="U879">
        <v>2.12459174762855E-2</v>
      </c>
      <c r="V879">
        <v>4.2837140412243981E-3</v>
      </c>
      <c r="W879">
        <v>1.69622034350611E-2</v>
      </c>
      <c r="Y879" s="19">
        <f t="shared" si="35"/>
        <v>46191</v>
      </c>
    </row>
    <row r="880" spans="1:32" x14ac:dyDescent="0.3">
      <c r="A880">
        <v>16</v>
      </c>
      <c r="B880" t="s">
        <v>30</v>
      </c>
      <c r="C880" t="s">
        <v>33</v>
      </c>
      <c r="D880">
        <v>90236</v>
      </c>
      <c r="E880">
        <v>59.984999999999999</v>
      </c>
      <c r="F880">
        <v>254.4</v>
      </c>
      <c r="G880">
        <v>59.979001500000003</v>
      </c>
      <c r="H880">
        <v>254.42544000000001</v>
      </c>
      <c r="I880">
        <v>3.7939014963339228</v>
      </c>
      <c r="J880">
        <v>1.141842836328566</v>
      </c>
      <c r="K880">
        <v>-0.16670834375260479</v>
      </c>
      <c r="L880">
        <v>4.4883759289644901E-2</v>
      </c>
      <c r="M880" t="s">
        <v>27</v>
      </c>
      <c r="N880">
        <v>9</v>
      </c>
      <c r="O880" t="s">
        <v>28</v>
      </c>
      <c r="P880">
        <v>90245</v>
      </c>
      <c r="Q880">
        <v>59.935000000000002</v>
      </c>
      <c r="R880">
        <v>254.64</v>
      </c>
      <c r="S880">
        <v>0.1202577208535784</v>
      </c>
      <c r="T880">
        <v>1.9107519417143681E-2</v>
      </c>
      <c r="U880">
        <v>1.482359007598234E-2</v>
      </c>
      <c r="V880">
        <v>4.2837140412243981E-3</v>
      </c>
      <c r="W880">
        <v>1.053987603475794E-2</v>
      </c>
      <c r="Y880" s="19">
        <f t="shared" si="35"/>
        <v>46195</v>
      </c>
    </row>
    <row r="881" spans="1:32" x14ac:dyDescent="0.3">
      <c r="A881">
        <v>16</v>
      </c>
      <c r="B881" t="s">
        <v>30</v>
      </c>
      <c r="C881" t="s">
        <v>33</v>
      </c>
      <c r="D881">
        <v>90260</v>
      </c>
      <c r="E881">
        <v>59.51</v>
      </c>
      <c r="F881">
        <v>251.54499999999999</v>
      </c>
      <c r="G881">
        <v>59.504049000000002</v>
      </c>
      <c r="H881">
        <v>251.5701545</v>
      </c>
      <c r="I881">
        <v>3.604615645459603</v>
      </c>
      <c r="J881">
        <v>1.141842836328566</v>
      </c>
      <c r="K881">
        <v>-0.1680389850445303</v>
      </c>
      <c r="L881">
        <v>4.539318357862674E-2</v>
      </c>
      <c r="M881" t="s">
        <v>27</v>
      </c>
      <c r="N881">
        <v>2</v>
      </c>
      <c r="O881" t="s">
        <v>28</v>
      </c>
      <c r="P881">
        <v>90262</v>
      </c>
      <c r="Q881">
        <v>59.18</v>
      </c>
      <c r="R881">
        <v>251.54499999999999</v>
      </c>
      <c r="S881">
        <v>-8.9346485334458867E-2</v>
      </c>
      <c r="T881">
        <v>5.5452865064694719E-2</v>
      </c>
      <c r="U881">
        <v>5.1174724678545877E-2</v>
      </c>
      <c r="V881">
        <v>4.2837140412243981E-3</v>
      </c>
      <c r="W881">
        <v>4.6891010637321477E-2</v>
      </c>
      <c r="Y881" s="19">
        <f t="shared" si="35"/>
        <v>46195</v>
      </c>
    </row>
    <row r="882" spans="1:32" x14ac:dyDescent="0.3">
      <c r="A882">
        <v>16</v>
      </c>
      <c r="B882" t="s">
        <v>25</v>
      </c>
      <c r="C882" t="s">
        <v>32</v>
      </c>
      <c r="D882">
        <v>86401</v>
      </c>
      <c r="E882">
        <v>331.75</v>
      </c>
      <c r="F882">
        <v>59.265000000000001</v>
      </c>
      <c r="G882">
        <v>331.71682499999997</v>
      </c>
      <c r="H882">
        <v>59.270926500000002</v>
      </c>
      <c r="I882">
        <v>5.2946446372974902</v>
      </c>
      <c r="J882">
        <v>0.89497401238797769</v>
      </c>
      <c r="K882">
        <v>-3.0143180105501131E-2</v>
      </c>
      <c r="L882">
        <v>0.15101223528017849</v>
      </c>
      <c r="M882" t="s">
        <v>27</v>
      </c>
      <c r="N882">
        <v>23</v>
      </c>
      <c r="O882" t="s">
        <v>28</v>
      </c>
      <c r="P882">
        <v>86424</v>
      </c>
      <c r="Q882">
        <v>333.07</v>
      </c>
      <c r="R882">
        <v>59.41</v>
      </c>
      <c r="S882">
        <v>0.49203504576264839</v>
      </c>
      <c r="T882">
        <v>-1.7892223623635999E-2</v>
      </c>
      <c r="U882">
        <v>-2.1688340225596129E-2</v>
      </c>
      <c r="V882">
        <v>3.7899270195784329E-3</v>
      </c>
      <c r="W882">
        <v>-2.547826724517456E-2</v>
      </c>
      <c r="Y882" s="19">
        <f t="shared" si="35"/>
        <v>46181</v>
      </c>
    </row>
    <row r="883" spans="1:32" x14ac:dyDescent="0.3">
      <c r="A883">
        <v>16</v>
      </c>
      <c r="B883" t="s">
        <v>25</v>
      </c>
      <c r="C883" t="s">
        <v>32</v>
      </c>
      <c r="D883">
        <v>87146</v>
      </c>
      <c r="E883">
        <v>337</v>
      </c>
      <c r="F883">
        <v>61.17</v>
      </c>
      <c r="G883">
        <v>337.03370000000001</v>
      </c>
      <c r="H883">
        <v>61.163883000000013</v>
      </c>
      <c r="I883">
        <v>-4.0423462376825503</v>
      </c>
      <c r="J883">
        <v>0.89497401238797769</v>
      </c>
      <c r="K883">
        <v>2.967359050445104E-2</v>
      </c>
      <c r="L883">
        <v>-0.14630930397057021</v>
      </c>
      <c r="M883" t="s">
        <v>29</v>
      </c>
      <c r="N883">
        <v>19</v>
      </c>
      <c r="O883" t="s">
        <v>28</v>
      </c>
      <c r="P883">
        <v>87165</v>
      </c>
      <c r="Q883">
        <v>337.76</v>
      </c>
      <c r="R883">
        <v>61.27</v>
      </c>
      <c r="S883">
        <v>-0.46922920030337772</v>
      </c>
      <c r="T883">
        <v>7.9209983863252949E-3</v>
      </c>
      <c r="U883">
        <v>4.1273320756319808E-3</v>
      </c>
      <c r="V883">
        <v>3.7899690299734788E-3</v>
      </c>
      <c r="W883">
        <v>3.3736304565850202E-4</v>
      </c>
      <c r="Y883" s="19">
        <f t="shared" si="35"/>
        <v>46183</v>
      </c>
    </row>
    <row r="884" spans="1:32" x14ac:dyDescent="0.3">
      <c r="A884">
        <v>16</v>
      </c>
      <c r="B884" t="s">
        <v>25</v>
      </c>
      <c r="C884" t="s">
        <v>32</v>
      </c>
      <c r="D884">
        <v>88068</v>
      </c>
      <c r="E884">
        <v>331.93</v>
      </c>
      <c r="F884">
        <v>61.42</v>
      </c>
      <c r="G884">
        <v>331.89680700000002</v>
      </c>
      <c r="H884">
        <v>61.426141999999999</v>
      </c>
      <c r="I884">
        <v>3.656703764997995</v>
      </c>
      <c r="J884">
        <v>0.89497401238797769</v>
      </c>
      <c r="K884">
        <v>-3.012683397101798E-2</v>
      </c>
      <c r="L884">
        <v>0.1457137760319078</v>
      </c>
      <c r="M884" t="s">
        <v>27</v>
      </c>
      <c r="N884">
        <v>36</v>
      </c>
      <c r="O884" t="s">
        <v>28</v>
      </c>
      <c r="P884">
        <v>88104</v>
      </c>
      <c r="Q884">
        <v>331.79</v>
      </c>
      <c r="R884">
        <v>61.22</v>
      </c>
      <c r="S884">
        <v>0.44970766904690179</v>
      </c>
      <c r="T884">
        <v>-2.492499845043987E-2</v>
      </c>
      <c r="U884">
        <v>-2.871161042401886E-2</v>
      </c>
      <c r="V884">
        <v>3.7899270195784329E-3</v>
      </c>
      <c r="W884">
        <v>-3.2501537443597288E-2</v>
      </c>
      <c r="Y884" s="19">
        <f t="shared" si="35"/>
        <v>46185</v>
      </c>
    </row>
    <row r="885" spans="1:32" x14ac:dyDescent="0.3">
      <c r="A885">
        <v>16</v>
      </c>
      <c r="B885" t="s">
        <v>25</v>
      </c>
      <c r="C885" t="s">
        <v>32</v>
      </c>
      <c r="D885">
        <v>88309</v>
      </c>
      <c r="E885">
        <v>329.59</v>
      </c>
      <c r="F885">
        <v>60.56</v>
      </c>
      <c r="G885">
        <v>329.55704100000003</v>
      </c>
      <c r="H885">
        <v>60.566056000000003</v>
      </c>
      <c r="I885">
        <v>4.6026209402870837</v>
      </c>
      <c r="J885">
        <v>0.89497401238797769</v>
      </c>
      <c r="K885">
        <v>-3.0340726356988989E-2</v>
      </c>
      <c r="L885">
        <v>0.14778302714464631</v>
      </c>
      <c r="M885" t="s">
        <v>27</v>
      </c>
      <c r="N885">
        <v>16</v>
      </c>
      <c r="O885" t="s">
        <v>28</v>
      </c>
      <c r="P885">
        <v>88325</v>
      </c>
      <c r="Q885">
        <v>328.39</v>
      </c>
      <c r="R885">
        <v>60.62</v>
      </c>
      <c r="S885">
        <v>0.30842669376837673</v>
      </c>
      <c r="T885">
        <v>4.5275853257064499E-2</v>
      </c>
      <c r="U885">
        <v>4.1488659421287481E-2</v>
      </c>
      <c r="V885">
        <v>3.7899270195784329E-3</v>
      </c>
      <c r="W885">
        <v>3.7698732401709047E-2</v>
      </c>
      <c r="Y885" s="19">
        <f t="shared" si="35"/>
        <v>46188</v>
      </c>
    </row>
    <row r="886" spans="1:32" x14ac:dyDescent="0.3">
      <c r="A886">
        <v>16</v>
      </c>
      <c r="B886" t="s">
        <v>25</v>
      </c>
      <c r="C886" t="s">
        <v>32</v>
      </c>
      <c r="D886">
        <v>88698</v>
      </c>
      <c r="E886">
        <v>327.24</v>
      </c>
      <c r="F886">
        <v>60.41</v>
      </c>
      <c r="G886">
        <v>327.20727599999998</v>
      </c>
      <c r="H886">
        <v>60.416040999999993</v>
      </c>
      <c r="I886">
        <v>3.7723960917436821</v>
      </c>
      <c r="J886">
        <v>0.89497401238797769</v>
      </c>
      <c r="K886">
        <v>-3.0558611416697221E-2</v>
      </c>
      <c r="L886">
        <v>0.14814997722032411</v>
      </c>
      <c r="M886" t="s">
        <v>27</v>
      </c>
      <c r="N886">
        <v>4</v>
      </c>
      <c r="O886" t="s">
        <v>28</v>
      </c>
      <c r="P886">
        <v>88702</v>
      </c>
      <c r="Q886">
        <v>326.92500000000001</v>
      </c>
      <c r="R886">
        <v>60.435000000000002</v>
      </c>
      <c r="S886">
        <v>0.34762280207199409</v>
      </c>
      <c r="T886">
        <v>1.3329712026768499E-2</v>
      </c>
      <c r="U886">
        <v>9.5403562233110691E-3</v>
      </c>
      <c r="V886">
        <v>3.7899270195784329E-3</v>
      </c>
      <c r="W886">
        <v>5.7504292037326363E-3</v>
      </c>
      <c r="Y886" s="19">
        <f t="shared" si="35"/>
        <v>46189</v>
      </c>
      <c r="AF886" s="19"/>
    </row>
    <row r="887" spans="1:32" x14ac:dyDescent="0.3">
      <c r="A887">
        <v>16</v>
      </c>
      <c r="B887" t="s">
        <v>25</v>
      </c>
      <c r="C887" t="s">
        <v>32</v>
      </c>
      <c r="D887">
        <v>89479</v>
      </c>
      <c r="E887">
        <v>334.71</v>
      </c>
      <c r="F887">
        <v>62.664999999999999</v>
      </c>
      <c r="G887">
        <v>334.743471</v>
      </c>
      <c r="H887">
        <v>62.658733499999997</v>
      </c>
      <c r="I887">
        <v>-4.6913239835658684</v>
      </c>
      <c r="J887">
        <v>0.89497401238797769</v>
      </c>
      <c r="K887">
        <v>2.9876609602342331E-2</v>
      </c>
      <c r="L887">
        <v>-0.1428188003491547</v>
      </c>
      <c r="M887" t="s">
        <v>29</v>
      </c>
      <c r="N887">
        <v>5</v>
      </c>
      <c r="O887" t="s">
        <v>28</v>
      </c>
      <c r="P887">
        <v>89484</v>
      </c>
      <c r="Q887">
        <v>337.96</v>
      </c>
      <c r="R887">
        <v>62.52</v>
      </c>
      <c r="S887">
        <v>-0.1563408838751193</v>
      </c>
      <c r="T887">
        <v>0.1178077072582394</v>
      </c>
      <c r="U887">
        <v>0.1140101202079475</v>
      </c>
      <c r="V887">
        <v>3.7899690299734779E-3</v>
      </c>
      <c r="W887">
        <v>0.110220151177974</v>
      </c>
      <c r="Y887" s="19">
        <f t="shared" si="35"/>
        <v>46191</v>
      </c>
      <c r="AF887" s="19"/>
    </row>
    <row r="888" spans="1:32" x14ac:dyDescent="0.3">
      <c r="A888">
        <v>16</v>
      </c>
      <c r="B888" t="s">
        <v>25</v>
      </c>
      <c r="C888" t="s">
        <v>32</v>
      </c>
      <c r="D888">
        <v>89869</v>
      </c>
      <c r="E888">
        <v>340.71499999999997</v>
      </c>
      <c r="F888">
        <v>63.185000000000002</v>
      </c>
      <c r="G888">
        <v>340.68092849999999</v>
      </c>
      <c r="H888">
        <v>63.191318500000001</v>
      </c>
      <c r="I888">
        <v>4.0952354313363184</v>
      </c>
      <c r="J888">
        <v>0.89497401238797769</v>
      </c>
      <c r="K888">
        <v>-2.9350043291313861E-2</v>
      </c>
      <c r="L888">
        <v>0.14164342998939269</v>
      </c>
      <c r="M888" t="s">
        <v>27</v>
      </c>
      <c r="N888">
        <v>5</v>
      </c>
      <c r="O888" t="s">
        <v>28</v>
      </c>
      <c r="P888">
        <v>89874</v>
      </c>
      <c r="Q888">
        <v>339.96</v>
      </c>
      <c r="R888">
        <v>63.29</v>
      </c>
      <c r="S888">
        <v>0.2389439797754116</v>
      </c>
      <c r="T888">
        <v>3.703184283382762E-2</v>
      </c>
      <c r="U888">
        <v>3.3242623481305758E-2</v>
      </c>
      <c r="V888">
        <v>3.7899270195784329E-3</v>
      </c>
      <c r="W888">
        <v>2.945269646172732E-2</v>
      </c>
      <c r="Y888" s="19">
        <f t="shared" si="35"/>
        <v>46192</v>
      </c>
      <c r="AF888" s="19"/>
    </row>
    <row r="889" spans="1:32" x14ac:dyDescent="0.3">
      <c r="A889">
        <v>16</v>
      </c>
      <c r="B889" t="s">
        <v>25</v>
      </c>
      <c r="C889" t="s">
        <v>32</v>
      </c>
      <c r="D889">
        <v>90197</v>
      </c>
      <c r="E889">
        <v>339.41</v>
      </c>
      <c r="F889">
        <v>63.204999999999998</v>
      </c>
      <c r="G889">
        <v>339.37605900000011</v>
      </c>
      <c r="H889">
        <v>63.211320499999999</v>
      </c>
      <c r="I889">
        <v>3.509823081877705</v>
      </c>
      <c r="J889">
        <v>0.89497401238797769</v>
      </c>
      <c r="K889">
        <v>-2.9462891488170651E-2</v>
      </c>
      <c r="L889">
        <v>0.14159860966505461</v>
      </c>
      <c r="M889" t="s">
        <v>27</v>
      </c>
      <c r="N889">
        <v>13</v>
      </c>
      <c r="O889" t="s">
        <v>28</v>
      </c>
      <c r="P889">
        <v>90210</v>
      </c>
      <c r="Q889">
        <v>338.47</v>
      </c>
      <c r="R889">
        <v>63.08</v>
      </c>
      <c r="S889">
        <v>0.36570527960632732</v>
      </c>
      <c r="T889">
        <v>9.9952917907485117E-3</v>
      </c>
      <c r="U889">
        <v>6.2098832603949793E-3</v>
      </c>
      <c r="V889">
        <v>3.7899270195784329E-3</v>
      </c>
      <c r="W889">
        <v>2.419956240816546E-3</v>
      </c>
      <c r="Y889" s="19">
        <f t="shared" si="35"/>
        <v>46195</v>
      </c>
      <c r="AF889" s="19"/>
    </row>
    <row r="890" spans="1:32" x14ac:dyDescent="0.3">
      <c r="A890">
        <v>16</v>
      </c>
      <c r="B890" t="s">
        <v>25</v>
      </c>
      <c r="C890" t="s">
        <v>32</v>
      </c>
      <c r="D890">
        <v>90257</v>
      </c>
      <c r="E890">
        <v>339.1</v>
      </c>
      <c r="F890">
        <v>62.935000000000002</v>
      </c>
      <c r="G890">
        <v>339.06608999999997</v>
      </c>
      <c r="H890">
        <v>62.9412935</v>
      </c>
      <c r="I890">
        <v>3.6340977872899529</v>
      </c>
      <c r="J890">
        <v>0.89497401238797769</v>
      </c>
      <c r="K890">
        <v>-2.9489826010026539E-2</v>
      </c>
      <c r="L890">
        <v>0.14220608761229489</v>
      </c>
      <c r="M890" t="s">
        <v>27</v>
      </c>
      <c r="N890">
        <v>4</v>
      </c>
      <c r="O890" t="s">
        <v>28</v>
      </c>
      <c r="P890">
        <v>90261</v>
      </c>
      <c r="Q890">
        <v>335.12</v>
      </c>
      <c r="R890">
        <v>62.33</v>
      </c>
      <c r="S890">
        <v>-0.47554141267137778</v>
      </c>
      <c r="T890">
        <v>3.1334824514467202E-2</v>
      </c>
      <c r="U890">
        <v>2.7565216908744829E-2</v>
      </c>
      <c r="V890">
        <v>3.7899270195784329E-3</v>
      </c>
      <c r="W890">
        <v>2.3775289889166398E-2</v>
      </c>
      <c r="Y890" s="19">
        <f t="shared" si="35"/>
        <v>46195</v>
      </c>
      <c r="AF890" s="19"/>
    </row>
    <row r="891" spans="1:32" x14ac:dyDescent="0.3">
      <c r="A891">
        <v>16</v>
      </c>
      <c r="B891" t="s">
        <v>25</v>
      </c>
      <c r="C891" t="s">
        <v>30</v>
      </c>
      <c r="D891">
        <v>86401</v>
      </c>
      <c r="E891">
        <v>331.75</v>
      </c>
      <c r="F891">
        <v>57.59</v>
      </c>
      <c r="G891">
        <v>331.71682499999997</v>
      </c>
      <c r="H891">
        <v>57.595759000000001</v>
      </c>
      <c r="I891">
        <v>5.2944525436678758</v>
      </c>
      <c r="J891">
        <v>0.71315051617845793</v>
      </c>
      <c r="K891">
        <v>-3.0143180105501131E-2</v>
      </c>
      <c r="L891">
        <v>0.1238323521754572</v>
      </c>
      <c r="M891" t="s">
        <v>27</v>
      </c>
      <c r="N891">
        <v>23</v>
      </c>
      <c r="O891" t="s">
        <v>28</v>
      </c>
      <c r="P891">
        <v>86424</v>
      </c>
      <c r="Q891">
        <v>333.07</v>
      </c>
      <c r="R891">
        <v>57.64</v>
      </c>
      <c r="S891">
        <v>0.49590498933600241</v>
      </c>
      <c r="T891">
        <v>-3.3597380130488783E-2</v>
      </c>
      <c r="U891">
        <v>-3.7028279224378617E-2</v>
      </c>
      <c r="V891">
        <v>3.4262436624601521E-3</v>
      </c>
      <c r="W891">
        <v>-4.0454522886838783E-2</v>
      </c>
      <c r="Y891" s="19">
        <f t="shared" si="35"/>
        <v>46181</v>
      </c>
      <c r="AF891" s="19"/>
    </row>
    <row r="892" spans="1:32" x14ac:dyDescent="0.3">
      <c r="A892">
        <v>16</v>
      </c>
      <c r="B892" t="s">
        <v>25</v>
      </c>
      <c r="C892" t="s">
        <v>30</v>
      </c>
      <c r="D892">
        <v>86561</v>
      </c>
      <c r="E892">
        <v>333.86500000000001</v>
      </c>
      <c r="F892">
        <v>57.69</v>
      </c>
      <c r="G892">
        <v>333.89838650000002</v>
      </c>
      <c r="H892">
        <v>57.684230999999997</v>
      </c>
      <c r="I892">
        <v>-3.807962119253427</v>
      </c>
      <c r="J892">
        <v>0.71315051617845793</v>
      </c>
      <c r="K892">
        <v>2.995222619921226E-2</v>
      </c>
      <c r="L892">
        <v>-0.1236177008456332</v>
      </c>
      <c r="M892" t="s">
        <v>29</v>
      </c>
      <c r="N892">
        <v>16</v>
      </c>
      <c r="O892" t="s">
        <v>28</v>
      </c>
      <c r="P892">
        <v>86577</v>
      </c>
      <c r="Q892">
        <v>333.98</v>
      </c>
      <c r="R892">
        <v>57.715000000000003</v>
      </c>
      <c r="S892">
        <v>-0.43548724924048299</v>
      </c>
      <c r="T892">
        <v>3.5406349176814921E-4</v>
      </c>
      <c r="U892">
        <v>-3.072891035441957E-3</v>
      </c>
      <c r="V892">
        <v>3.42635840225368E-3</v>
      </c>
      <c r="W892">
        <v>-6.499249437695637E-3</v>
      </c>
      <c r="Y892" s="19">
        <f t="shared" si="35"/>
        <v>46181</v>
      </c>
      <c r="AF892" s="19"/>
    </row>
    <row r="893" spans="1:32" x14ac:dyDescent="0.3">
      <c r="A893">
        <v>16</v>
      </c>
      <c r="B893" t="s">
        <v>25</v>
      </c>
      <c r="C893" t="s">
        <v>30</v>
      </c>
      <c r="D893">
        <v>86746</v>
      </c>
      <c r="E893">
        <v>332.89</v>
      </c>
      <c r="F893">
        <v>58.25</v>
      </c>
      <c r="G893">
        <v>332.92328900000001</v>
      </c>
      <c r="H893">
        <v>58.244174999999998</v>
      </c>
      <c r="I893">
        <v>-4.9683183272805866</v>
      </c>
      <c r="J893">
        <v>0.71315051617845793</v>
      </c>
      <c r="K893">
        <v>3.003995313767311E-2</v>
      </c>
      <c r="L893">
        <v>-0.12242927316368379</v>
      </c>
      <c r="M893" t="s">
        <v>29</v>
      </c>
      <c r="N893">
        <v>16</v>
      </c>
      <c r="O893" t="s">
        <v>28</v>
      </c>
      <c r="P893">
        <v>86762</v>
      </c>
      <c r="Q893">
        <v>332.08499999999998</v>
      </c>
      <c r="R893">
        <v>57.76</v>
      </c>
      <c r="S893">
        <v>-0.1175233806263179</v>
      </c>
      <c r="T893">
        <v>3.5808181574378227E-2</v>
      </c>
      <c r="U893">
        <v>3.2390297792634998E-2</v>
      </c>
      <c r="V893">
        <v>3.42635840225368E-3</v>
      </c>
      <c r="W893">
        <v>2.8963939390381319E-2</v>
      </c>
      <c r="Y893" s="19">
        <f t="shared" si="35"/>
        <v>46182</v>
      </c>
    </row>
    <row r="894" spans="1:32" x14ac:dyDescent="0.3">
      <c r="A894">
        <v>16</v>
      </c>
      <c r="B894" t="s">
        <v>25</v>
      </c>
      <c r="C894" t="s">
        <v>30</v>
      </c>
      <c r="D894">
        <v>87142</v>
      </c>
      <c r="E894">
        <v>336.72</v>
      </c>
      <c r="F894">
        <v>58.08</v>
      </c>
      <c r="G894">
        <v>336.686328</v>
      </c>
      <c r="H894">
        <v>58.085808</v>
      </c>
      <c r="I894">
        <v>3.8171217018395449</v>
      </c>
      <c r="J894">
        <v>0.71315051617845793</v>
      </c>
      <c r="K894">
        <v>-2.969826562128771E-2</v>
      </c>
      <c r="L894">
        <v>0.1227876233089631</v>
      </c>
      <c r="M894" t="s">
        <v>27</v>
      </c>
      <c r="N894">
        <v>11</v>
      </c>
      <c r="O894" t="s">
        <v>28</v>
      </c>
      <c r="P894">
        <v>87153</v>
      </c>
      <c r="Q894">
        <v>336.43</v>
      </c>
      <c r="R894">
        <v>58.28</v>
      </c>
      <c r="S894">
        <v>0.17102565669034109</v>
      </c>
      <c r="T894">
        <v>3.3170021691967019E-2</v>
      </c>
      <c r="U894">
        <v>2.9742126156846359E-2</v>
      </c>
      <c r="V894">
        <v>3.4262436624601521E-3</v>
      </c>
      <c r="W894">
        <v>2.6315882494386211E-2</v>
      </c>
      <c r="Y894" s="19">
        <f t="shared" si="35"/>
        <v>46183</v>
      </c>
    </row>
    <row r="895" spans="1:32" x14ac:dyDescent="0.3">
      <c r="A895">
        <v>16</v>
      </c>
      <c r="B895" t="s">
        <v>25</v>
      </c>
      <c r="C895" t="s">
        <v>30</v>
      </c>
      <c r="D895">
        <v>87527</v>
      </c>
      <c r="E895">
        <v>335.12</v>
      </c>
      <c r="F895">
        <v>58.38</v>
      </c>
      <c r="G895">
        <v>335.15351199999998</v>
      </c>
      <c r="H895">
        <v>58.374162000000013</v>
      </c>
      <c r="I895">
        <v>-3.7959882169518089</v>
      </c>
      <c r="J895">
        <v>0.71315051617845793</v>
      </c>
      <c r="K895">
        <v>2.9840057292910002E-2</v>
      </c>
      <c r="L895">
        <v>-0.122156648882915</v>
      </c>
      <c r="M895" t="s">
        <v>29</v>
      </c>
      <c r="N895">
        <v>2</v>
      </c>
      <c r="O895" t="s">
        <v>28</v>
      </c>
      <c r="P895">
        <v>87529</v>
      </c>
      <c r="Q895">
        <v>334.77</v>
      </c>
      <c r="R895">
        <v>57.98</v>
      </c>
      <c r="S895">
        <v>-0.3145022881687628</v>
      </c>
      <c r="T895">
        <v>3.8418639500647528E-2</v>
      </c>
      <c r="U895">
        <v>3.4998269136252348E-2</v>
      </c>
      <c r="V895">
        <v>3.42635840225368E-3</v>
      </c>
      <c r="W895">
        <v>3.1571910733998669E-2</v>
      </c>
      <c r="Y895" s="19">
        <f t="shared" si="35"/>
        <v>46184</v>
      </c>
    </row>
    <row r="896" spans="1:32" x14ac:dyDescent="0.3">
      <c r="A896">
        <v>16</v>
      </c>
      <c r="B896" t="s">
        <v>25</v>
      </c>
      <c r="C896" t="s">
        <v>30</v>
      </c>
      <c r="D896">
        <v>87738</v>
      </c>
      <c r="E896">
        <v>330.59</v>
      </c>
      <c r="F896">
        <v>58</v>
      </c>
      <c r="G896">
        <v>330.62305900000001</v>
      </c>
      <c r="H896">
        <v>57.994199999999999</v>
      </c>
      <c r="I896">
        <v>-3.509709384428839</v>
      </c>
      <c r="J896">
        <v>0.71315051617845793</v>
      </c>
      <c r="K896">
        <v>3.0248948849027499E-2</v>
      </c>
      <c r="L896">
        <v>-0.12295698554801</v>
      </c>
      <c r="M896" t="s">
        <v>29</v>
      </c>
      <c r="N896">
        <v>36</v>
      </c>
      <c r="O896" t="s">
        <v>28</v>
      </c>
      <c r="P896">
        <v>87774</v>
      </c>
      <c r="Q896">
        <v>330.61</v>
      </c>
      <c r="R896">
        <v>58.125</v>
      </c>
      <c r="S896">
        <v>-0.36888161464497571</v>
      </c>
      <c r="T896">
        <v>-1.476464421651953E-2</v>
      </c>
      <c r="U896">
        <v>-1.819254270909193E-2</v>
      </c>
      <c r="V896">
        <v>3.42635840225368E-3</v>
      </c>
      <c r="W896">
        <v>-2.1618901111345609E-2</v>
      </c>
      <c r="Y896" s="19">
        <f t="shared" si="35"/>
        <v>46185</v>
      </c>
    </row>
    <row r="897" spans="1:32" x14ac:dyDescent="0.3">
      <c r="A897">
        <v>16</v>
      </c>
      <c r="B897" t="s">
        <v>25</v>
      </c>
      <c r="C897" t="s">
        <v>30</v>
      </c>
      <c r="D897">
        <v>88144</v>
      </c>
      <c r="E897">
        <v>331.11</v>
      </c>
      <c r="F897">
        <v>58.17</v>
      </c>
      <c r="G897">
        <v>331.14311099999998</v>
      </c>
      <c r="H897">
        <v>58.164183000000001</v>
      </c>
      <c r="I897">
        <v>-3.6323853868128722</v>
      </c>
      <c r="J897">
        <v>0.71315051617845793</v>
      </c>
      <c r="K897">
        <v>3.020144362900546E-2</v>
      </c>
      <c r="L897">
        <v>-0.12259764761534429</v>
      </c>
      <c r="M897" t="s">
        <v>29</v>
      </c>
      <c r="N897">
        <v>17</v>
      </c>
      <c r="O897" t="s">
        <v>28</v>
      </c>
      <c r="P897">
        <v>88161</v>
      </c>
      <c r="Q897">
        <v>330.8</v>
      </c>
      <c r="R897">
        <v>58.04</v>
      </c>
      <c r="S897">
        <v>6.634140863250855E-2</v>
      </c>
      <c r="T897">
        <v>6.575246665003311E-3</v>
      </c>
      <c r="U897">
        <v>3.151475646818024E-3</v>
      </c>
      <c r="V897">
        <v>3.42635840225368E-3</v>
      </c>
      <c r="W897">
        <v>-2.748827554356569E-4</v>
      </c>
      <c r="Y897" s="19">
        <f t="shared" si="35"/>
        <v>46188</v>
      </c>
    </row>
    <row r="898" spans="1:32" x14ac:dyDescent="0.3">
      <c r="A898">
        <v>16</v>
      </c>
      <c r="B898" t="s">
        <v>25</v>
      </c>
      <c r="C898" t="s">
        <v>30</v>
      </c>
      <c r="D898">
        <v>88309</v>
      </c>
      <c r="E898">
        <v>329.59</v>
      </c>
      <c r="F898">
        <v>57.524999999999999</v>
      </c>
      <c r="G898">
        <v>329.55704100000003</v>
      </c>
      <c r="H898">
        <v>57.530752499999998</v>
      </c>
      <c r="I898">
        <v>3.520715263570227</v>
      </c>
      <c r="J898">
        <v>0.71315051617845793</v>
      </c>
      <c r="K898">
        <v>-3.0340726356988989E-2</v>
      </c>
      <c r="L898">
        <v>0.1239722757372374</v>
      </c>
      <c r="M898" t="s">
        <v>27</v>
      </c>
      <c r="N898">
        <v>6</v>
      </c>
      <c r="O898" t="s">
        <v>28</v>
      </c>
      <c r="P898">
        <v>88315</v>
      </c>
      <c r="Q898">
        <v>327.55</v>
      </c>
      <c r="R898">
        <v>57.22</v>
      </c>
      <c r="S898">
        <v>0.26682054614848688</v>
      </c>
      <c r="T898">
        <v>2.4083537668399071E-2</v>
      </c>
      <c r="U898">
        <v>2.0667207298628729E-2</v>
      </c>
      <c r="V898">
        <v>3.4262436624601521E-3</v>
      </c>
      <c r="W898">
        <v>1.7240963636168581E-2</v>
      </c>
      <c r="Y898" s="19">
        <f t="shared" si="35"/>
        <v>46188</v>
      </c>
    </row>
    <row r="899" spans="1:32" x14ac:dyDescent="0.3">
      <c r="A899">
        <v>16</v>
      </c>
      <c r="B899" t="s">
        <v>25</v>
      </c>
      <c r="C899" t="s">
        <v>30</v>
      </c>
      <c r="D899">
        <v>88541</v>
      </c>
      <c r="E899">
        <v>328.63</v>
      </c>
      <c r="F899">
        <v>57.17</v>
      </c>
      <c r="G899">
        <v>328.66286300000002</v>
      </c>
      <c r="H899">
        <v>57.164282999999998</v>
      </c>
      <c r="I899">
        <v>-3.7005557930909032</v>
      </c>
      <c r="J899">
        <v>0.71315051617845793</v>
      </c>
      <c r="K899">
        <v>3.0429358244834621E-2</v>
      </c>
      <c r="L899">
        <v>-0.1247420878395064</v>
      </c>
      <c r="M899" t="s">
        <v>29</v>
      </c>
      <c r="N899">
        <v>12</v>
      </c>
      <c r="O899" t="s">
        <v>28</v>
      </c>
      <c r="P899">
        <v>88553</v>
      </c>
      <c r="Q899">
        <v>328.995</v>
      </c>
      <c r="R899">
        <v>57.204999999999998</v>
      </c>
      <c r="S899">
        <v>7.3695728570735211E-3</v>
      </c>
      <c r="T899">
        <v>6.740742684982615E-3</v>
      </c>
      <c r="U899">
        <v>3.312894383742221E-3</v>
      </c>
      <c r="V899">
        <v>3.42635840225368E-3</v>
      </c>
      <c r="W899">
        <v>-1.134640185114599E-4</v>
      </c>
      <c r="Y899" s="19">
        <f t="shared" si="35"/>
        <v>46189</v>
      </c>
    </row>
    <row r="900" spans="1:32" x14ac:dyDescent="0.3">
      <c r="A900">
        <v>16</v>
      </c>
      <c r="B900" t="s">
        <v>25</v>
      </c>
      <c r="C900" t="s">
        <v>30</v>
      </c>
      <c r="D900">
        <v>89479</v>
      </c>
      <c r="E900">
        <v>334.71</v>
      </c>
      <c r="F900">
        <v>59.33</v>
      </c>
      <c r="G900">
        <v>334.743471</v>
      </c>
      <c r="H900">
        <v>59.324066999999999</v>
      </c>
      <c r="I900">
        <v>-4.2086900825431526</v>
      </c>
      <c r="J900">
        <v>0.71315051617845793</v>
      </c>
      <c r="K900">
        <v>2.9876609602342331E-2</v>
      </c>
      <c r="L900">
        <v>-0.1202006600671596</v>
      </c>
      <c r="M900" t="s">
        <v>29</v>
      </c>
      <c r="N900">
        <v>3</v>
      </c>
      <c r="O900" t="s">
        <v>28</v>
      </c>
      <c r="P900">
        <v>89482</v>
      </c>
      <c r="Q900">
        <v>337.15499999999997</v>
      </c>
      <c r="R900">
        <v>59.45</v>
      </c>
      <c r="S900">
        <v>3.9622632291287402E-2</v>
      </c>
      <c r="T900">
        <v>5.8624231269667079E-2</v>
      </c>
      <c r="U900">
        <v>5.5189182998342363E-2</v>
      </c>
      <c r="V900">
        <v>3.42635840225368E-3</v>
      </c>
      <c r="W900">
        <v>5.1762824596088677E-2</v>
      </c>
      <c r="Y900" s="19">
        <f t="shared" si="35"/>
        <v>46191</v>
      </c>
    </row>
    <row r="901" spans="1:32" x14ac:dyDescent="0.3">
      <c r="A901">
        <v>16</v>
      </c>
      <c r="B901" t="s">
        <v>25</v>
      </c>
      <c r="C901" t="s">
        <v>30</v>
      </c>
      <c r="D901">
        <v>89869</v>
      </c>
      <c r="E901">
        <v>340.71499999999997</v>
      </c>
      <c r="F901">
        <v>60.21</v>
      </c>
      <c r="G901">
        <v>340.68092849999999</v>
      </c>
      <c r="H901">
        <v>60.216020999999998</v>
      </c>
      <c r="I901">
        <v>3.8545739054061938</v>
      </c>
      <c r="J901">
        <v>0.71315051617845793</v>
      </c>
      <c r="K901">
        <v>-2.9350043291313861E-2</v>
      </c>
      <c r="L901">
        <v>0.118443865832662</v>
      </c>
      <c r="M901" t="s">
        <v>27</v>
      </c>
      <c r="N901">
        <v>9</v>
      </c>
      <c r="O901" t="s">
        <v>28</v>
      </c>
      <c r="P901">
        <v>89878</v>
      </c>
      <c r="Q901">
        <v>340.34500000000003</v>
      </c>
      <c r="R901">
        <v>60.52</v>
      </c>
      <c r="S901">
        <v>-0.30347231784521772</v>
      </c>
      <c r="T901">
        <v>4.7577114425910082E-2</v>
      </c>
      <c r="U901">
        <v>4.4148227585314857E-2</v>
      </c>
      <c r="V901">
        <v>3.4262436624601521E-3</v>
      </c>
      <c r="W901">
        <v>4.0721983922854713E-2</v>
      </c>
      <c r="Y901" s="19">
        <f t="shared" si="35"/>
        <v>46192</v>
      </c>
    </row>
    <row r="902" spans="1:32" x14ac:dyDescent="0.3">
      <c r="A902">
        <v>16</v>
      </c>
      <c r="B902" t="s">
        <v>25</v>
      </c>
      <c r="C902" t="s">
        <v>30</v>
      </c>
      <c r="D902">
        <v>90260</v>
      </c>
      <c r="E902">
        <v>335.44</v>
      </c>
      <c r="F902">
        <v>59.51</v>
      </c>
      <c r="G902">
        <v>335.473544</v>
      </c>
      <c r="H902">
        <v>59.504049000000002</v>
      </c>
      <c r="I902">
        <v>-4.2757591462778777</v>
      </c>
      <c r="J902">
        <v>0.71315051617845793</v>
      </c>
      <c r="K902">
        <v>2.9811590746482229E-2</v>
      </c>
      <c r="L902">
        <v>-0.119837088922611</v>
      </c>
      <c r="M902" t="s">
        <v>29</v>
      </c>
      <c r="N902">
        <v>13</v>
      </c>
      <c r="O902" t="s">
        <v>28</v>
      </c>
      <c r="P902">
        <v>90273</v>
      </c>
      <c r="Q902">
        <v>335.51</v>
      </c>
      <c r="R902">
        <v>59.305</v>
      </c>
      <c r="S902">
        <v>-0.39271626191201259</v>
      </c>
      <c r="T902">
        <v>2.6653414581388601E-2</v>
      </c>
      <c r="U902">
        <v>2.3229361528220228E-2</v>
      </c>
      <c r="V902">
        <v>3.42635840225368E-3</v>
      </c>
      <c r="W902">
        <v>1.9803003125966549E-2</v>
      </c>
      <c r="Y902" s="19">
        <f t="shared" si="35"/>
        <v>46195</v>
      </c>
    </row>
    <row r="907" spans="1:32" x14ac:dyDescent="0.3">
      <c r="AF907" s="19"/>
    </row>
    <row r="908" spans="1:32" x14ac:dyDescent="0.3">
      <c r="AF908" s="19"/>
    </row>
    <row r="909" spans="1:32" x14ac:dyDescent="0.3">
      <c r="AF909" s="19"/>
    </row>
    <row r="910" spans="1:32" x14ac:dyDescent="0.3">
      <c r="AF910" s="19"/>
    </row>
    <row r="911" spans="1:32" x14ac:dyDescent="0.3">
      <c r="AF911" s="19"/>
    </row>
    <row r="912" spans="1:32" x14ac:dyDescent="0.3">
      <c r="AF912" s="19"/>
    </row>
    <row r="913" spans="32:32" x14ac:dyDescent="0.3">
      <c r="AF913" s="19"/>
    </row>
    <row r="914" spans="32:32" x14ac:dyDescent="0.3">
      <c r="AF914" s="19"/>
    </row>
    <row r="915" spans="32:32" x14ac:dyDescent="0.3">
      <c r="AF915" s="19"/>
    </row>
    <row r="929" spans="32:32" x14ac:dyDescent="0.3">
      <c r="AF929" s="19"/>
    </row>
    <row r="930" spans="32:32" x14ac:dyDescent="0.3">
      <c r="AF930" s="19"/>
    </row>
    <row r="931" spans="32:32" x14ac:dyDescent="0.3">
      <c r="AF931" s="19"/>
    </row>
    <row r="932" spans="32:32" x14ac:dyDescent="0.3">
      <c r="AF932" s="19"/>
    </row>
    <row r="933" spans="32:32" x14ac:dyDescent="0.3">
      <c r="AF933" s="19"/>
    </row>
    <row r="934" spans="32:32" x14ac:dyDescent="0.3">
      <c r="AF934" s="19"/>
    </row>
    <row r="935" spans="32:32" x14ac:dyDescent="0.3">
      <c r="AF935" s="19"/>
    </row>
    <row r="950" spans="32:32" x14ac:dyDescent="0.3">
      <c r="AF950" s="19"/>
    </row>
    <row r="951" spans="32:32" x14ac:dyDescent="0.3">
      <c r="AF951" s="19"/>
    </row>
    <row r="952" spans="32:32" x14ac:dyDescent="0.3">
      <c r="AF952" s="19"/>
    </row>
    <row r="953" spans="32:32" x14ac:dyDescent="0.3">
      <c r="AF953" s="19"/>
    </row>
    <row r="954" spans="32:32" x14ac:dyDescent="0.3">
      <c r="AF954" s="19"/>
    </row>
    <row r="955" spans="32:32" x14ac:dyDescent="0.3">
      <c r="AF955" s="19"/>
    </row>
    <row r="956" spans="32:32" x14ac:dyDescent="0.3">
      <c r="AF956" s="19"/>
    </row>
    <row r="957" spans="32:32" x14ac:dyDescent="0.3">
      <c r="AF957" s="19"/>
    </row>
    <row r="971" spans="32:32" x14ac:dyDescent="0.3">
      <c r="AF971" s="19"/>
    </row>
    <row r="972" spans="32:32" x14ac:dyDescent="0.3">
      <c r="AF972" s="19"/>
    </row>
    <row r="973" spans="32:32" x14ac:dyDescent="0.3">
      <c r="AF973" s="19"/>
    </row>
    <row r="974" spans="32:32" x14ac:dyDescent="0.3">
      <c r="AF974" s="19"/>
    </row>
    <row r="975" spans="32:32" x14ac:dyDescent="0.3">
      <c r="AF975" s="19"/>
    </row>
    <row r="976" spans="32:32" x14ac:dyDescent="0.3">
      <c r="AF976" s="19"/>
    </row>
    <row r="977" spans="32:32" x14ac:dyDescent="0.3">
      <c r="AF977" s="19"/>
    </row>
    <row r="978" spans="32:32" x14ac:dyDescent="0.3">
      <c r="AF978" s="19"/>
    </row>
    <row r="979" spans="32:32" x14ac:dyDescent="0.3">
      <c r="AF979" s="19"/>
    </row>
    <row r="980" spans="32:32" x14ac:dyDescent="0.3">
      <c r="AF980" s="19"/>
    </row>
    <row r="992" spans="32:32" x14ac:dyDescent="0.3">
      <c r="AF992" s="19"/>
    </row>
    <row r="993" spans="32:32" x14ac:dyDescent="0.3">
      <c r="AF993" s="19"/>
    </row>
    <row r="994" spans="32:32" x14ac:dyDescent="0.3">
      <c r="AF994" s="19"/>
    </row>
    <row r="995" spans="32:32" x14ac:dyDescent="0.3">
      <c r="AF995" s="19"/>
    </row>
    <row r="996" spans="32:32" x14ac:dyDescent="0.3">
      <c r="AF996" s="19"/>
    </row>
    <row r="997" spans="32:32" x14ac:dyDescent="0.3">
      <c r="AF997" s="19"/>
    </row>
    <row r="998" spans="32:32" x14ac:dyDescent="0.3">
      <c r="AF998" s="19"/>
    </row>
    <row r="999" spans="32:32" x14ac:dyDescent="0.3">
      <c r="AF999" s="19"/>
    </row>
    <row r="1014" spans="32:32" x14ac:dyDescent="0.3">
      <c r="AF1014" s="19"/>
    </row>
    <row r="1015" spans="32:32" x14ac:dyDescent="0.3">
      <c r="AF1015" s="19"/>
    </row>
    <row r="1016" spans="32:32" x14ac:dyDescent="0.3">
      <c r="AF1016" s="19"/>
    </row>
    <row r="1017" spans="32:32" x14ac:dyDescent="0.3">
      <c r="AF1017" s="19"/>
    </row>
    <row r="1018" spans="32:32" x14ac:dyDescent="0.3">
      <c r="AF1018" s="19"/>
    </row>
    <row r="1019" spans="32:32" x14ac:dyDescent="0.3">
      <c r="AF1019" s="19"/>
    </row>
    <row r="1020" spans="32:32" x14ac:dyDescent="0.3">
      <c r="AF1020" s="19"/>
    </row>
    <row r="1021" spans="32:32" x14ac:dyDescent="0.3">
      <c r="AF1021" s="19"/>
    </row>
    <row r="1035" spans="32:32" x14ac:dyDescent="0.3">
      <c r="AF1035" s="19"/>
    </row>
    <row r="1036" spans="32:32" x14ac:dyDescent="0.3">
      <c r="AF1036" s="19"/>
    </row>
    <row r="1037" spans="32:32" x14ac:dyDescent="0.3">
      <c r="AF1037" s="19"/>
    </row>
    <row r="1038" spans="32:32" x14ac:dyDescent="0.3">
      <c r="AF1038" s="19"/>
    </row>
    <row r="1039" spans="32:32" x14ac:dyDescent="0.3">
      <c r="AF1039" s="19"/>
    </row>
    <row r="1040" spans="32:32" x14ac:dyDescent="0.3">
      <c r="AF1040" s="19"/>
    </row>
    <row r="1041" spans="32:32" x14ac:dyDescent="0.3">
      <c r="AF1041" s="19"/>
    </row>
    <row r="1042" spans="32:32" x14ac:dyDescent="0.3">
      <c r="AF1042" s="19"/>
    </row>
    <row r="1043" spans="32:32" x14ac:dyDescent="0.3">
      <c r="AF1043" s="19"/>
    </row>
    <row r="1054" spans="32:32" x14ac:dyDescent="0.3">
      <c r="AF1054" s="19"/>
    </row>
    <row r="1055" spans="32:32" x14ac:dyDescent="0.3">
      <c r="AF1055" s="19"/>
    </row>
    <row r="1056" spans="32:32" x14ac:dyDescent="0.3">
      <c r="AF1056" s="19"/>
    </row>
    <row r="1057" spans="32:32" x14ac:dyDescent="0.3">
      <c r="AF1057" s="19"/>
    </row>
    <row r="1058" spans="32:32" x14ac:dyDescent="0.3">
      <c r="AF1058" s="19"/>
    </row>
    <row r="1059" spans="32:32" x14ac:dyDescent="0.3">
      <c r="AF1059" s="19"/>
    </row>
    <row r="1060" spans="32:32" x14ac:dyDescent="0.3">
      <c r="AF1060" s="19"/>
    </row>
    <row r="1061" spans="32:32" x14ac:dyDescent="0.3">
      <c r="AF1061" s="19"/>
    </row>
    <row r="1062" spans="32:32" x14ac:dyDescent="0.3">
      <c r="AF1062" s="19"/>
    </row>
    <row r="1077" spans="32:32" x14ac:dyDescent="0.3">
      <c r="AF1077" s="19"/>
    </row>
    <row r="1078" spans="32:32" x14ac:dyDescent="0.3">
      <c r="AF1078" s="19"/>
    </row>
    <row r="1079" spans="32:32" x14ac:dyDescent="0.3">
      <c r="AF1079" s="19"/>
    </row>
    <row r="1080" spans="32:32" x14ac:dyDescent="0.3">
      <c r="AF1080" s="19"/>
    </row>
    <row r="1081" spans="32:32" x14ac:dyDescent="0.3">
      <c r="AF1081" s="19"/>
    </row>
    <row r="1082" spans="32:32" x14ac:dyDescent="0.3">
      <c r="AF1082" s="19"/>
    </row>
    <row r="1083" spans="32:32" x14ac:dyDescent="0.3">
      <c r="AF1083" s="19"/>
    </row>
    <row r="1096" spans="32:32" x14ac:dyDescent="0.3">
      <c r="AF1096" s="19"/>
    </row>
    <row r="1097" spans="32:32" x14ac:dyDescent="0.3">
      <c r="AF1097" s="19"/>
    </row>
    <row r="1098" spans="32:32" x14ac:dyDescent="0.3">
      <c r="AF1098" s="19"/>
    </row>
    <row r="1099" spans="32:32" x14ac:dyDescent="0.3">
      <c r="AF1099" s="19"/>
    </row>
    <row r="1100" spans="32:32" x14ac:dyDescent="0.3">
      <c r="AF1100" s="19"/>
    </row>
    <row r="1101" spans="32:32" x14ac:dyDescent="0.3">
      <c r="AF1101" s="19"/>
    </row>
    <row r="1102" spans="32:32" x14ac:dyDescent="0.3">
      <c r="AF1102" s="19"/>
    </row>
    <row r="1103" spans="32:32" x14ac:dyDescent="0.3">
      <c r="AF1103" s="19"/>
    </row>
    <row r="1104" spans="32:32" x14ac:dyDescent="0.3">
      <c r="AF1104" s="19"/>
    </row>
    <row r="1117" spans="32:32" x14ac:dyDescent="0.3">
      <c r="AF1117" s="19"/>
    </row>
    <row r="1118" spans="32:32" x14ac:dyDescent="0.3">
      <c r="AF1118" s="19"/>
    </row>
    <row r="1119" spans="32:32" x14ac:dyDescent="0.3">
      <c r="AF1119" s="19"/>
    </row>
    <row r="1120" spans="32:32" x14ac:dyDescent="0.3">
      <c r="AF1120" s="19"/>
    </row>
    <row r="1121" spans="32:32" x14ac:dyDescent="0.3">
      <c r="AF1121" s="19"/>
    </row>
    <row r="1122" spans="32:32" x14ac:dyDescent="0.3">
      <c r="AF1122" s="19"/>
    </row>
    <row r="1123" spans="32:32" x14ac:dyDescent="0.3">
      <c r="AF1123" s="19"/>
    </row>
    <row r="1124" spans="32:32" x14ac:dyDescent="0.3">
      <c r="AF1124" s="19"/>
    </row>
    <row r="1139" spans="32:32" x14ac:dyDescent="0.3">
      <c r="AF1139" s="19"/>
    </row>
    <row r="1140" spans="32:32" x14ac:dyDescent="0.3">
      <c r="AF1140" s="19"/>
    </row>
    <row r="1141" spans="32:32" x14ac:dyDescent="0.3">
      <c r="AF1141" s="19"/>
    </row>
    <row r="1142" spans="32:32" x14ac:dyDescent="0.3">
      <c r="AF1142" s="19"/>
    </row>
    <row r="1143" spans="32:32" x14ac:dyDescent="0.3">
      <c r="AF1143" s="19"/>
    </row>
    <row r="1144" spans="32:32" x14ac:dyDescent="0.3">
      <c r="AF1144" s="19"/>
    </row>
    <row r="1145" spans="32:32" x14ac:dyDescent="0.3">
      <c r="AF1145" s="19"/>
    </row>
    <row r="1159" spans="32:32" x14ac:dyDescent="0.3">
      <c r="AF1159" s="19"/>
    </row>
    <row r="1160" spans="32:32" x14ac:dyDescent="0.3">
      <c r="AF1160" s="19"/>
    </row>
    <row r="1161" spans="32:32" x14ac:dyDescent="0.3">
      <c r="AF1161" s="19"/>
    </row>
    <row r="1162" spans="32:32" x14ac:dyDescent="0.3">
      <c r="AF1162" s="19"/>
    </row>
    <row r="1163" spans="32:32" x14ac:dyDescent="0.3">
      <c r="AF1163" s="19"/>
    </row>
    <row r="1164" spans="32:32" x14ac:dyDescent="0.3">
      <c r="AF1164" s="19"/>
    </row>
    <row r="1165" spans="32:32" x14ac:dyDescent="0.3">
      <c r="AF1165" s="19"/>
    </row>
    <row r="1166" spans="32:32" x14ac:dyDescent="0.3">
      <c r="AF1166" s="19"/>
    </row>
    <row r="1167" spans="32:32" x14ac:dyDescent="0.3">
      <c r="AF1167" s="19"/>
    </row>
    <row r="1168" spans="32:32" x14ac:dyDescent="0.3">
      <c r="AF1168" s="19"/>
    </row>
    <row r="1182" spans="32:32" x14ac:dyDescent="0.3">
      <c r="AF1182" s="19"/>
    </row>
    <row r="1183" spans="32:32" x14ac:dyDescent="0.3">
      <c r="AF1183" s="19"/>
    </row>
    <row r="1184" spans="32:32" x14ac:dyDescent="0.3">
      <c r="AF1184" s="19"/>
    </row>
    <row r="1185" spans="32:32" x14ac:dyDescent="0.3">
      <c r="AF1185" s="19"/>
    </row>
    <row r="1186" spans="32:32" x14ac:dyDescent="0.3">
      <c r="AF1186" s="19"/>
    </row>
    <row r="1187" spans="32:32" x14ac:dyDescent="0.3">
      <c r="AF1187" s="19"/>
    </row>
    <row r="1188" spans="32:32" x14ac:dyDescent="0.3">
      <c r="AF1188" s="19"/>
    </row>
    <row r="1203" spans="32:32" x14ac:dyDescent="0.3">
      <c r="AF1203" s="19"/>
    </row>
    <row r="1204" spans="32:32" x14ac:dyDescent="0.3">
      <c r="AF1204" s="19"/>
    </row>
    <row r="1205" spans="32:32" x14ac:dyDescent="0.3">
      <c r="AF1205" s="19"/>
    </row>
    <row r="1206" spans="32:32" x14ac:dyDescent="0.3">
      <c r="AF1206" s="19"/>
    </row>
    <row r="1207" spans="32:32" x14ac:dyDescent="0.3">
      <c r="AF1207" s="19"/>
    </row>
    <row r="1208" spans="32:32" x14ac:dyDescent="0.3">
      <c r="AF1208" s="19"/>
    </row>
    <row r="1209" spans="32:32" x14ac:dyDescent="0.3">
      <c r="AF1209" s="19"/>
    </row>
    <row r="1210" spans="32:32" x14ac:dyDescent="0.3">
      <c r="AF1210" s="19"/>
    </row>
    <row r="1224" spans="32:32" x14ac:dyDescent="0.3">
      <c r="AF1224" s="19"/>
    </row>
    <row r="1225" spans="32:32" x14ac:dyDescent="0.3">
      <c r="AF1225" s="19"/>
    </row>
    <row r="1226" spans="32:32" x14ac:dyDescent="0.3">
      <c r="AF1226" s="19"/>
    </row>
    <row r="1227" spans="32:32" x14ac:dyDescent="0.3">
      <c r="AF1227" s="19"/>
    </row>
    <row r="1228" spans="32:32" x14ac:dyDescent="0.3">
      <c r="AF1228" s="19"/>
    </row>
    <row r="1229" spans="32:32" x14ac:dyDescent="0.3">
      <c r="AF1229" s="19"/>
    </row>
    <row r="1230" spans="32:32" x14ac:dyDescent="0.3">
      <c r="AF1230" s="19"/>
    </row>
    <row r="1231" spans="32:32" x14ac:dyDescent="0.3">
      <c r="AF1231" s="19"/>
    </row>
    <row r="1232" spans="32:32" x14ac:dyDescent="0.3">
      <c r="AF1232" s="19"/>
    </row>
    <row r="1245" spans="32:32" x14ac:dyDescent="0.3">
      <c r="AF1245" s="19"/>
    </row>
    <row r="1246" spans="32:32" x14ac:dyDescent="0.3">
      <c r="AF1246" s="19"/>
    </row>
    <row r="1247" spans="32:32" x14ac:dyDescent="0.3">
      <c r="AF1247" s="19"/>
    </row>
    <row r="1248" spans="32:32" x14ac:dyDescent="0.3">
      <c r="AF1248" s="19"/>
    </row>
    <row r="1249" spans="32:32" x14ac:dyDescent="0.3">
      <c r="AF1249" s="19"/>
    </row>
    <row r="1250" spans="32:32" x14ac:dyDescent="0.3">
      <c r="AF1250" s="19"/>
    </row>
    <row r="1251" spans="32:32" x14ac:dyDescent="0.3">
      <c r="AF1251" s="19"/>
    </row>
    <row r="1252" spans="32:32" x14ac:dyDescent="0.3">
      <c r="AF1252" s="19"/>
    </row>
    <row r="1266" spans="32:32" x14ac:dyDescent="0.3">
      <c r="AF1266" s="19"/>
    </row>
    <row r="1267" spans="32:32" x14ac:dyDescent="0.3">
      <c r="AF1267" s="19"/>
    </row>
    <row r="1268" spans="32:32" x14ac:dyDescent="0.3">
      <c r="AF1268" s="19"/>
    </row>
    <row r="1269" spans="32:32" x14ac:dyDescent="0.3">
      <c r="AF1269" s="19"/>
    </row>
    <row r="1270" spans="32:32" x14ac:dyDescent="0.3">
      <c r="AF1270" s="19"/>
    </row>
    <row r="1271" spans="32:32" x14ac:dyDescent="0.3">
      <c r="AF1271" s="19"/>
    </row>
    <row r="1272" spans="32:32" x14ac:dyDescent="0.3">
      <c r="AF1272" s="19"/>
    </row>
    <row r="1273" spans="32:32" x14ac:dyDescent="0.3">
      <c r="AF1273" s="19"/>
    </row>
    <row r="1287" spans="32:32" x14ac:dyDescent="0.3">
      <c r="AF1287" s="19"/>
    </row>
    <row r="1288" spans="32:32" x14ac:dyDescent="0.3">
      <c r="AF1288" s="19"/>
    </row>
    <row r="1289" spans="32:32" x14ac:dyDescent="0.3">
      <c r="AF1289" s="19"/>
    </row>
    <row r="1290" spans="32:32" x14ac:dyDescent="0.3">
      <c r="AF1290" s="19"/>
    </row>
    <row r="1291" spans="32:32" x14ac:dyDescent="0.3">
      <c r="AF1291" s="19"/>
    </row>
    <row r="1292" spans="32:32" x14ac:dyDescent="0.3">
      <c r="AF1292" s="19"/>
    </row>
    <row r="1293" spans="32:32" x14ac:dyDescent="0.3">
      <c r="AF1293" s="19"/>
    </row>
    <row r="1294" spans="32:32" x14ac:dyDescent="0.3">
      <c r="AF1294" s="19"/>
    </row>
    <row r="1306" spans="32:32" x14ac:dyDescent="0.3">
      <c r="AF1306" s="19"/>
    </row>
    <row r="1307" spans="32:32" x14ac:dyDescent="0.3">
      <c r="AF1307" s="19"/>
    </row>
    <row r="1308" spans="32:32" x14ac:dyDescent="0.3">
      <c r="AF1308" s="19"/>
    </row>
    <row r="1309" spans="32:32" x14ac:dyDescent="0.3">
      <c r="AF1309" s="19"/>
    </row>
    <row r="1310" spans="32:32" x14ac:dyDescent="0.3">
      <c r="AF1310" s="19"/>
    </row>
    <row r="1311" spans="32:32" x14ac:dyDescent="0.3">
      <c r="AF1311" s="19"/>
    </row>
    <row r="1312" spans="32:32" x14ac:dyDescent="0.3">
      <c r="AF1312" s="19"/>
    </row>
    <row r="1313" spans="32:32" x14ac:dyDescent="0.3">
      <c r="AF1313" s="19"/>
    </row>
    <row r="1329" spans="32:32" x14ac:dyDescent="0.3">
      <c r="AF1329" s="19"/>
    </row>
    <row r="1330" spans="32:32" x14ac:dyDescent="0.3">
      <c r="AF1330" s="19"/>
    </row>
    <row r="1331" spans="32:32" x14ac:dyDescent="0.3">
      <c r="AF1331" s="19"/>
    </row>
    <row r="1332" spans="32:32" x14ac:dyDescent="0.3">
      <c r="AF1332" s="19"/>
    </row>
    <row r="1333" spans="32:32" x14ac:dyDescent="0.3">
      <c r="AF1333" s="19"/>
    </row>
    <row r="1334" spans="32:32" x14ac:dyDescent="0.3">
      <c r="AF1334" s="19"/>
    </row>
    <row r="1335" spans="32:32" x14ac:dyDescent="0.3">
      <c r="AF1335" s="19"/>
    </row>
    <row r="1336" spans="32:32" x14ac:dyDescent="0.3">
      <c r="AF1336" s="19"/>
    </row>
    <row r="1348" spans="32:32" x14ac:dyDescent="0.3">
      <c r="AF1348" s="19"/>
    </row>
    <row r="1349" spans="32:32" x14ac:dyDescent="0.3">
      <c r="AF1349" s="19"/>
    </row>
    <row r="1350" spans="32:32" x14ac:dyDescent="0.3">
      <c r="AF1350" s="19"/>
    </row>
    <row r="1351" spans="32:32" x14ac:dyDescent="0.3">
      <c r="AF1351" s="19"/>
    </row>
    <row r="1352" spans="32:32" x14ac:dyDescent="0.3">
      <c r="AF1352" s="19"/>
    </row>
    <row r="1353" spans="32:32" x14ac:dyDescent="0.3">
      <c r="AF1353" s="19"/>
    </row>
    <row r="1354" spans="32:32" x14ac:dyDescent="0.3">
      <c r="AF1354" s="19"/>
    </row>
    <row r="1355" spans="32:32" x14ac:dyDescent="0.3">
      <c r="AF1355" s="19"/>
    </row>
    <row r="1356" spans="32:32" x14ac:dyDescent="0.3">
      <c r="AF1356" s="19"/>
    </row>
    <row r="1357" spans="32:32" x14ac:dyDescent="0.3">
      <c r="AF1357" s="19"/>
    </row>
    <row r="1370" spans="32:32" x14ac:dyDescent="0.3">
      <c r="AF1370" s="19"/>
    </row>
    <row r="1371" spans="32:32" x14ac:dyDescent="0.3">
      <c r="AF1371" s="19"/>
    </row>
    <row r="1372" spans="32:32" x14ac:dyDescent="0.3">
      <c r="AF1372" s="19"/>
    </row>
    <row r="1373" spans="32:32" x14ac:dyDescent="0.3">
      <c r="AF1373" s="19"/>
    </row>
    <row r="1374" spans="32:32" x14ac:dyDescent="0.3">
      <c r="AF1374" s="19"/>
    </row>
    <row r="1375" spans="32:32" x14ac:dyDescent="0.3">
      <c r="AF1375" s="19"/>
    </row>
    <row r="1376" spans="32:32" x14ac:dyDescent="0.3">
      <c r="AF1376" s="19"/>
    </row>
    <row r="1377" spans="32:32" x14ac:dyDescent="0.3">
      <c r="AF1377" s="19"/>
    </row>
    <row r="1392" spans="32:32" x14ac:dyDescent="0.3">
      <c r="AF1392" s="19"/>
    </row>
    <row r="1393" spans="32:32" x14ac:dyDescent="0.3">
      <c r="AF1393" s="19"/>
    </row>
    <row r="1394" spans="32:32" x14ac:dyDescent="0.3">
      <c r="AF1394" s="19"/>
    </row>
    <row r="1395" spans="32:32" x14ac:dyDescent="0.3">
      <c r="AF1395" s="19"/>
    </row>
    <row r="1396" spans="32:32" x14ac:dyDescent="0.3">
      <c r="AF1396" s="19"/>
    </row>
    <row r="1397" spans="32:32" x14ac:dyDescent="0.3">
      <c r="AF1397" s="19"/>
    </row>
    <row r="1398" spans="32:32" x14ac:dyDescent="0.3">
      <c r="AF1398" s="19"/>
    </row>
    <row r="1412" spans="32:32" x14ac:dyDescent="0.3">
      <c r="AF1412" s="19"/>
    </row>
    <row r="1413" spans="32:32" x14ac:dyDescent="0.3">
      <c r="AF1413" s="19"/>
    </row>
    <row r="1414" spans="32:32" x14ac:dyDescent="0.3">
      <c r="AF1414" s="19"/>
    </row>
    <row r="1415" spans="32:32" x14ac:dyDescent="0.3">
      <c r="AF1415" s="19"/>
    </row>
    <row r="1416" spans="32:32" x14ac:dyDescent="0.3">
      <c r="AF1416" s="19"/>
    </row>
    <row r="1417" spans="32:32" x14ac:dyDescent="0.3">
      <c r="AF1417" s="19"/>
    </row>
    <row r="1418" spans="32:32" x14ac:dyDescent="0.3">
      <c r="AF1418" s="19"/>
    </row>
    <row r="1419" spans="32:32" x14ac:dyDescent="0.3">
      <c r="AF1419" s="19"/>
    </row>
    <row r="1420" spans="32:32" x14ac:dyDescent="0.3">
      <c r="AF1420" s="19"/>
    </row>
    <row r="1435" spans="32:32" x14ac:dyDescent="0.3">
      <c r="AF1435" s="19"/>
    </row>
    <row r="1436" spans="32:32" x14ac:dyDescent="0.3">
      <c r="AF1436" s="19"/>
    </row>
    <row r="1437" spans="32:32" x14ac:dyDescent="0.3">
      <c r="AF1437" s="19"/>
    </row>
    <row r="1438" spans="32:32" x14ac:dyDescent="0.3">
      <c r="AF1438" s="19"/>
    </row>
    <row r="1439" spans="32:32" x14ac:dyDescent="0.3">
      <c r="AF1439" s="19"/>
    </row>
    <row r="1440" spans="32:32" x14ac:dyDescent="0.3">
      <c r="AF1440" s="19"/>
    </row>
    <row r="1441" spans="32:32" x14ac:dyDescent="0.3">
      <c r="AF1441" s="19"/>
    </row>
    <row r="1455" spans="32:32" x14ac:dyDescent="0.3">
      <c r="AF1455" s="19"/>
    </row>
    <row r="1456" spans="32:32" x14ac:dyDescent="0.3">
      <c r="AF1456" s="19"/>
    </row>
    <row r="1457" spans="32:32" x14ac:dyDescent="0.3">
      <c r="AF1457" s="19"/>
    </row>
    <row r="1458" spans="32:32" x14ac:dyDescent="0.3">
      <c r="AF1458" s="19"/>
    </row>
    <row r="1459" spans="32:32" x14ac:dyDescent="0.3">
      <c r="AF1459" s="19"/>
    </row>
    <row r="1460" spans="32:32" x14ac:dyDescent="0.3">
      <c r="AF1460" s="19"/>
    </row>
    <row r="1461" spans="32:32" x14ac:dyDescent="0.3">
      <c r="AF1461" s="19"/>
    </row>
    <row r="1462" spans="32:32" x14ac:dyDescent="0.3">
      <c r="AF1462" s="19"/>
    </row>
    <row r="1463" spans="32:32" x14ac:dyDescent="0.3">
      <c r="AF1463" s="19"/>
    </row>
    <row r="1477" spans="32:32" x14ac:dyDescent="0.3">
      <c r="AF1477" s="19"/>
    </row>
    <row r="1478" spans="32:32" x14ac:dyDescent="0.3">
      <c r="AF1478" s="19"/>
    </row>
    <row r="1479" spans="32:32" x14ac:dyDescent="0.3">
      <c r="AF1479" s="19"/>
    </row>
    <row r="1480" spans="32:32" x14ac:dyDescent="0.3">
      <c r="AF1480" s="19"/>
    </row>
    <row r="1481" spans="32:32" x14ac:dyDescent="0.3">
      <c r="AF1481" s="19"/>
    </row>
    <row r="1482" spans="32:32" x14ac:dyDescent="0.3">
      <c r="AF1482" s="19"/>
    </row>
    <row r="1483" spans="32:32" x14ac:dyDescent="0.3">
      <c r="AF1483" s="19"/>
    </row>
    <row r="1484" spans="32:32" x14ac:dyDescent="0.3">
      <c r="AF1484" s="19"/>
    </row>
    <row r="1498" spans="32:32" x14ac:dyDescent="0.3">
      <c r="AF1498" s="19"/>
    </row>
    <row r="1499" spans="32:32" x14ac:dyDescent="0.3">
      <c r="AF1499" s="19"/>
    </row>
    <row r="1500" spans="32:32" x14ac:dyDescent="0.3">
      <c r="AF1500" s="19"/>
    </row>
    <row r="1501" spans="32:32" x14ac:dyDescent="0.3">
      <c r="AF1501" s="19"/>
    </row>
    <row r="1502" spans="32:32" x14ac:dyDescent="0.3">
      <c r="AF1502" s="19"/>
    </row>
    <row r="1503" spans="32:32" x14ac:dyDescent="0.3">
      <c r="AF1503" s="19"/>
    </row>
    <row r="1504" spans="32:32" x14ac:dyDescent="0.3">
      <c r="AF1504" s="19"/>
    </row>
    <row r="1505" spans="32:32" x14ac:dyDescent="0.3">
      <c r="AF1505" s="19"/>
    </row>
    <row r="1518" spans="32:32" x14ac:dyDescent="0.3">
      <c r="AF1518" s="19"/>
    </row>
    <row r="1519" spans="32:32" x14ac:dyDescent="0.3">
      <c r="AF1519" s="19"/>
    </row>
    <row r="1520" spans="32:32" x14ac:dyDescent="0.3">
      <c r="AF1520" s="19"/>
    </row>
    <row r="1521" spans="32:32" x14ac:dyDescent="0.3">
      <c r="AF1521" s="19"/>
    </row>
    <row r="1522" spans="32:32" x14ac:dyDescent="0.3">
      <c r="AF1522" s="19"/>
    </row>
    <row r="1523" spans="32:32" x14ac:dyDescent="0.3">
      <c r="AF1523" s="19"/>
    </row>
    <row r="1524" spans="32:32" x14ac:dyDescent="0.3">
      <c r="AF1524" s="19"/>
    </row>
    <row r="1525" spans="32:32" x14ac:dyDescent="0.3">
      <c r="AF1525" s="19"/>
    </row>
    <row r="1526" spans="32:32" x14ac:dyDescent="0.3">
      <c r="AF1526" s="19"/>
    </row>
    <row r="1540" spans="32:32" x14ac:dyDescent="0.3">
      <c r="AF1540" s="19"/>
    </row>
    <row r="1541" spans="32:32" x14ac:dyDescent="0.3">
      <c r="AF1541" s="19"/>
    </row>
    <row r="1542" spans="32:32" x14ac:dyDescent="0.3">
      <c r="AF1542" s="19"/>
    </row>
    <row r="1543" spans="32:32" x14ac:dyDescent="0.3">
      <c r="AF1543" s="19"/>
    </row>
    <row r="1544" spans="32:32" x14ac:dyDescent="0.3">
      <c r="AF1544" s="19"/>
    </row>
    <row r="1545" spans="32:32" x14ac:dyDescent="0.3">
      <c r="AF1545" s="19"/>
    </row>
    <row r="1546" spans="32:32" x14ac:dyDescent="0.3">
      <c r="AF1546" s="19"/>
    </row>
    <row r="1547" spans="32:32" x14ac:dyDescent="0.3">
      <c r="AF1547" s="19"/>
    </row>
    <row r="1560" spans="32:32" x14ac:dyDescent="0.3">
      <c r="AF1560" s="19"/>
    </row>
    <row r="1561" spans="32:32" x14ac:dyDescent="0.3">
      <c r="AF1561" s="19"/>
    </row>
    <row r="1562" spans="32:32" x14ac:dyDescent="0.3">
      <c r="AF1562" s="19"/>
    </row>
    <row r="1563" spans="32:32" x14ac:dyDescent="0.3">
      <c r="AF1563" s="19"/>
    </row>
    <row r="1564" spans="32:32" x14ac:dyDescent="0.3">
      <c r="AF1564" s="19"/>
    </row>
    <row r="1565" spans="32:32" x14ac:dyDescent="0.3">
      <c r="AF1565" s="19"/>
    </row>
    <row r="1566" spans="32:32" x14ac:dyDescent="0.3">
      <c r="AF1566" s="19"/>
    </row>
    <row r="1567" spans="32:32" x14ac:dyDescent="0.3">
      <c r="AF1567" s="19"/>
    </row>
    <row r="1581" spans="32:32" x14ac:dyDescent="0.3">
      <c r="AF1581" s="19"/>
    </row>
    <row r="1582" spans="32:32" x14ac:dyDescent="0.3">
      <c r="AF1582" s="19"/>
    </row>
    <row r="1583" spans="32:32" x14ac:dyDescent="0.3">
      <c r="AF1583" s="19"/>
    </row>
    <row r="1584" spans="32:32" x14ac:dyDescent="0.3">
      <c r="AF1584" s="19"/>
    </row>
    <row r="1585" spans="32:32" x14ac:dyDescent="0.3">
      <c r="AF1585" s="19"/>
    </row>
    <row r="1586" spans="32:32" x14ac:dyDescent="0.3">
      <c r="AF1586" s="19"/>
    </row>
    <row r="1587" spans="32:32" x14ac:dyDescent="0.3">
      <c r="AF1587" s="19"/>
    </row>
    <row r="1588" spans="32:32" x14ac:dyDescent="0.3">
      <c r="AF1588" s="19"/>
    </row>
    <row r="1589" spans="32:32" x14ac:dyDescent="0.3">
      <c r="AF1589" s="19"/>
    </row>
    <row r="1602" spans="32:32" x14ac:dyDescent="0.3">
      <c r="AF1602" s="19"/>
    </row>
    <row r="1603" spans="32:32" x14ac:dyDescent="0.3">
      <c r="AF1603" s="19"/>
    </row>
    <row r="1604" spans="32:32" x14ac:dyDescent="0.3">
      <c r="AF1604" s="19"/>
    </row>
    <row r="1605" spans="32:32" x14ac:dyDescent="0.3">
      <c r="AF1605" s="19"/>
    </row>
    <row r="1606" spans="32:32" x14ac:dyDescent="0.3">
      <c r="AF1606" s="19"/>
    </row>
    <row r="1607" spans="32:32" x14ac:dyDescent="0.3">
      <c r="AF1607" s="19"/>
    </row>
    <row r="1608" spans="32:32" x14ac:dyDescent="0.3">
      <c r="AF1608" s="19"/>
    </row>
    <row r="1609" spans="32:32" x14ac:dyDescent="0.3">
      <c r="AF1609" s="19"/>
    </row>
    <row r="1624" spans="32:32" x14ac:dyDescent="0.3">
      <c r="AF1624" s="19"/>
    </row>
    <row r="1625" spans="32:32" x14ac:dyDescent="0.3">
      <c r="AF1625" s="19"/>
    </row>
    <row r="1626" spans="32:32" x14ac:dyDescent="0.3">
      <c r="AF1626" s="19"/>
    </row>
    <row r="1627" spans="32:32" x14ac:dyDescent="0.3">
      <c r="AF1627" s="19"/>
    </row>
    <row r="1628" spans="32:32" x14ac:dyDescent="0.3">
      <c r="AF1628" s="19"/>
    </row>
    <row r="1629" spans="32:32" x14ac:dyDescent="0.3">
      <c r="AF1629" s="19"/>
    </row>
    <row r="1630" spans="32:32" x14ac:dyDescent="0.3">
      <c r="AF1630" s="19"/>
    </row>
    <row r="1631" spans="32:32" x14ac:dyDescent="0.3">
      <c r="AF1631" s="19"/>
    </row>
    <row r="1644" spans="32:32" x14ac:dyDescent="0.3">
      <c r="AF1644" s="19"/>
    </row>
    <row r="1645" spans="32:32" x14ac:dyDescent="0.3">
      <c r="AF1645" s="19"/>
    </row>
    <row r="1646" spans="32:32" x14ac:dyDescent="0.3">
      <c r="AF1646" s="19"/>
    </row>
    <row r="1647" spans="32:32" x14ac:dyDescent="0.3">
      <c r="AF1647" s="19"/>
    </row>
    <row r="1648" spans="32:32" x14ac:dyDescent="0.3">
      <c r="AF1648" s="19"/>
    </row>
    <row r="1649" spans="32:32" x14ac:dyDescent="0.3">
      <c r="AF1649" s="19"/>
    </row>
    <row r="1650" spans="32:32" x14ac:dyDescent="0.3">
      <c r="AF1650" s="19"/>
    </row>
    <row r="1651" spans="32:32" x14ac:dyDescent="0.3">
      <c r="AF1651" s="19"/>
    </row>
    <row r="1652" spans="32:32" x14ac:dyDescent="0.3">
      <c r="AF1652" s="19"/>
    </row>
    <row r="1666" spans="32:32" x14ac:dyDescent="0.3">
      <c r="AF1666" s="19"/>
    </row>
    <row r="1667" spans="32:32" x14ac:dyDescent="0.3">
      <c r="AF1667" s="19"/>
    </row>
    <row r="1668" spans="32:32" x14ac:dyDescent="0.3">
      <c r="AF1668" s="19"/>
    </row>
    <row r="1669" spans="32:32" x14ac:dyDescent="0.3">
      <c r="AF1669" s="19"/>
    </row>
    <row r="1670" spans="32:32" x14ac:dyDescent="0.3">
      <c r="AF1670" s="19"/>
    </row>
    <row r="1671" spans="32:32" x14ac:dyDescent="0.3">
      <c r="AF1671" s="19"/>
    </row>
    <row r="1672" spans="32:32" x14ac:dyDescent="0.3">
      <c r="AF1672" s="19"/>
    </row>
    <row r="1673" spans="32:32" x14ac:dyDescent="0.3">
      <c r="AF1673" s="19"/>
    </row>
    <row r="1688" spans="32:32" x14ac:dyDescent="0.3">
      <c r="AF1688" s="19"/>
    </row>
    <row r="1689" spans="32:32" x14ac:dyDescent="0.3">
      <c r="AF1689" s="19"/>
    </row>
    <row r="1690" spans="32:32" x14ac:dyDescent="0.3">
      <c r="AF1690" s="19"/>
    </row>
    <row r="1691" spans="32:32" x14ac:dyDescent="0.3">
      <c r="AF1691" s="19"/>
    </row>
    <row r="1692" spans="32:32" x14ac:dyDescent="0.3">
      <c r="AF1692" s="19"/>
    </row>
    <row r="1693" spans="32:32" x14ac:dyDescent="0.3">
      <c r="AF1693" s="19"/>
    </row>
    <row r="1694" spans="32:32" x14ac:dyDescent="0.3">
      <c r="AF1694" s="19"/>
    </row>
    <row r="1695" spans="32:32" x14ac:dyDescent="0.3">
      <c r="AF1695" s="19"/>
    </row>
    <row r="1708" spans="32:32" x14ac:dyDescent="0.3">
      <c r="AF1708" s="19"/>
    </row>
    <row r="1709" spans="32:32" x14ac:dyDescent="0.3">
      <c r="AF1709" s="19"/>
    </row>
    <row r="1710" spans="32:32" x14ac:dyDescent="0.3">
      <c r="AF1710" s="19"/>
    </row>
    <row r="1711" spans="32:32" x14ac:dyDescent="0.3">
      <c r="AF1711" s="19"/>
    </row>
    <row r="1712" spans="32:32" x14ac:dyDescent="0.3">
      <c r="AF1712" s="19"/>
    </row>
    <row r="1713" spans="32:32" x14ac:dyDescent="0.3">
      <c r="AF1713" s="19"/>
    </row>
    <row r="1714" spans="32:32" x14ac:dyDescent="0.3">
      <c r="AF1714" s="19"/>
    </row>
    <row r="1715" spans="32:32" x14ac:dyDescent="0.3">
      <c r="AF1715" s="19"/>
    </row>
    <row r="1716" spans="32:32" x14ac:dyDescent="0.3">
      <c r="AF1716" s="19"/>
    </row>
    <row r="1731" spans="32:32" x14ac:dyDescent="0.3">
      <c r="AF1731" s="19"/>
    </row>
    <row r="1732" spans="32:32" x14ac:dyDescent="0.3">
      <c r="AF1732" s="19"/>
    </row>
    <row r="1733" spans="32:32" x14ac:dyDescent="0.3">
      <c r="AF1733" s="19"/>
    </row>
    <row r="1734" spans="32:32" x14ac:dyDescent="0.3">
      <c r="AF1734" s="19"/>
    </row>
    <row r="1735" spans="32:32" x14ac:dyDescent="0.3">
      <c r="AF1735" s="19"/>
    </row>
    <row r="1736" spans="32:32" x14ac:dyDescent="0.3">
      <c r="AF1736" s="19"/>
    </row>
    <row r="1737" spans="32:32" x14ac:dyDescent="0.3">
      <c r="AF1737" s="19"/>
    </row>
    <row r="1738" spans="32:32" x14ac:dyDescent="0.3">
      <c r="AF1738" s="19"/>
    </row>
    <row r="1751" spans="32:32" x14ac:dyDescent="0.3">
      <c r="AF1751" s="19"/>
    </row>
    <row r="1752" spans="32:32" x14ac:dyDescent="0.3">
      <c r="AF1752" s="19"/>
    </row>
    <row r="1753" spans="32:32" x14ac:dyDescent="0.3">
      <c r="AF1753" s="19"/>
    </row>
    <row r="1754" spans="32:32" x14ac:dyDescent="0.3">
      <c r="AF1754" s="19"/>
    </row>
    <row r="1755" spans="32:32" x14ac:dyDescent="0.3">
      <c r="AF1755" s="19"/>
    </row>
    <row r="1756" spans="32:32" x14ac:dyDescent="0.3">
      <c r="AF1756" s="19"/>
    </row>
    <row r="1757" spans="32:32" x14ac:dyDescent="0.3">
      <c r="AF1757" s="19"/>
    </row>
    <row r="1758" spans="32:32" x14ac:dyDescent="0.3">
      <c r="AF1758" s="19"/>
    </row>
    <row r="1759" spans="32:32" x14ac:dyDescent="0.3">
      <c r="AF1759" s="19"/>
    </row>
    <row r="1772" spans="32:32" x14ac:dyDescent="0.3">
      <c r="AF1772" s="19"/>
    </row>
    <row r="1773" spans="32:32" x14ac:dyDescent="0.3">
      <c r="AF1773" s="19"/>
    </row>
    <row r="1774" spans="32:32" x14ac:dyDescent="0.3">
      <c r="AF1774" s="19"/>
    </row>
    <row r="1775" spans="32:32" x14ac:dyDescent="0.3">
      <c r="AF1775" s="19"/>
    </row>
    <row r="1776" spans="32:32" x14ac:dyDescent="0.3">
      <c r="AF1776" s="19"/>
    </row>
    <row r="1777" spans="32:32" x14ac:dyDescent="0.3">
      <c r="AF1777" s="19"/>
    </row>
    <row r="1778" spans="32:32" x14ac:dyDescent="0.3">
      <c r="AF1778" s="19"/>
    </row>
    <row r="1793" spans="32:32" x14ac:dyDescent="0.3">
      <c r="AF1793" s="19"/>
    </row>
    <row r="1794" spans="32:32" x14ac:dyDescent="0.3">
      <c r="AF1794" s="19"/>
    </row>
    <row r="1795" spans="32:32" x14ac:dyDescent="0.3">
      <c r="AF1795" s="19"/>
    </row>
    <row r="1796" spans="32:32" x14ac:dyDescent="0.3">
      <c r="AF1796" s="19"/>
    </row>
    <row r="1797" spans="32:32" x14ac:dyDescent="0.3">
      <c r="AF1797" s="19"/>
    </row>
    <row r="1798" spans="32:32" x14ac:dyDescent="0.3">
      <c r="AF1798" s="19"/>
    </row>
    <row r="1799" spans="32:32" x14ac:dyDescent="0.3">
      <c r="AF1799" s="19"/>
    </row>
    <row r="1800" spans="32:32" x14ac:dyDescent="0.3">
      <c r="AF1800" s="19"/>
    </row>
    <row r="1812" spans="32:32" x14ac:dyDescent="0.3">
      <c r="AF1812" s="19"/>
    </row>
    <row r="1813" spans="32:32" x14ac:dyDescent="0.3">
      <c r="AF1813" s="19"/>
    </row>
    <row r="1814" spans="32:32" x14ac:dyDescent="0.3">
      <c r="AF1814" s="19"/>
    </row>
    <row r="1815" spans="32:32" x14ac:dyDescent="0.3">
      <c r="AF1815" s="19"/>
    </row>
    <row r="1816" spans="32:32" x14ac:dyDescent="0.3">
      <c r="AF1816" s="19"/>
    </row>
    <row r="1817" spans="32:32" x14ac:dyDescent="0.3">
      <c r="AF1817" s="19"/>
    </row>
    <row r="1818" spans="32:32" x14ac:dyDescent="0.3">
      <c r="AF1818" s="19"/>
    </row>
    <row r="1819" spans="32:32" x14ac:dyDescent="0.3">
      <c r="AF1819" s="19"/>
    </row>
    <row r="1832" spans="32:32" x14ac:dyDescent="0.3">
      <c r="AF1832" s="19"/>
    </row>
    <row r="1833" spans="32:32" x14ac:dyDescent="0.3">
      <c r="AF1833" s="19"/>
    </row>
    <row r="1834" spans="32:32" x14ac:dyDescent="0.3">
      <c r="AF1834" s="19"/>
    </row>
    <row r="1835" spans="32:32" x14ac:dyDescent="0.3">
      <c r="AF1835" s="19"/>
    </row>
    <row r="1836" spans="32:32" x14ac:dyDescent="0.3">
      <c r="AF1836" s="19"/>
    </row>
    <row r="1837" spans="32:32" x14ac:dyDescent="0.3">
      <c r="AF1837" s="19"/>
    </row>
    <row r="1838" spans="32:32" x14ac:dyDescent="0.3">
      <c r="AF1838" s="19"/>
    </row>
    <row r="1839" spans="32:32" x14ac:dyDescent="0.3">
      <c r="AF1839" s="19"/>
    </row>
    <row r="1840" spans="32:32" x14ac:dyDescent="0.3">
      <c r="AF1840" s="19"/>
    </row>
    <row r="1854" spans="32:32" x14ac:dyDescent="0.3">
      <c r="AF1854" s="19"/>
    </row>
    <row r="1855" spans="32:32" x14ac:dyDescent="0.3">
      <c r="AF1855" s="19"/>
    </row>
    <row r="1856" spans="32:32" x14ac:dyDescent="0.3">
      <c r="AF1856" s="19"/>
    </row>
    <row r="1857" spans="32:32" x14ac:dyDescent="0.3">
      <c r="AF1857" s="19"/>
    </row>
    <row r="1858" spans="32:32" x14ac:dyDescent="0.3">
      <c r="AF1858" s="19"/>
    </row>
    <row r="1859" spans="32:32" x14ac:dyDescent="0.3">
      <c r="AF1859" s="19"/>
    </row>
    <row r="1860" spans="32:32" x14ac:dyDescent="0.3">
      <c r="AF1860" s="19"/>
    </row>
    <row r="1861" spans="32:32" x14ac:dyDescent="0.3">
      <c r="AF1861" s="19"/>
    </row>
    <row r="1875" spans="32:32" x14ac:dyDescent="0.3">
      <c r="AF1875" s="19"/>
    </row>
    <row r="1876" spans="32:32" x14ac:dyDescent="0.3">
      <c r="AF1876" s="19"/>
    </row>
    <row r="1877" spans="32:32" x14ac:dyDescent="0.3">
      <c r="AF1877" s="19"/>
    </row>
    <row r="1878" spans="32:32" x14ac:dyDescent="0.3">
      <c r="AF1878" s="19"/>
    </row>
    <row r="1879" spans="32:32" x14ac:dyDescent="0.3">
      <c r="AF1879" s="19"/>
    </row>
    <row r="1880" spans="32:32" x14ac:dyDescent="0.3">
      <c r="AF1880" s="19"/>
    </row>
    <row r="1881" spans="32:32" x14ac:dyDescent="0.3">
      <c r="AF1881" s="19"/>
    </row>
    <row r="1882" spans="32:32" x14ac:dyDescent="0.3">
      <c r="AF1882" s="19"/>
    </row>
    <row r="1883" spans="32:32" x14ac:dyDescent="0.3">
      <c r="AF1883" s="19"/>
    </row>
    <row r="1896" spans="32:32" x14ac:dyDescent="0.3">
      <c r="AF1896" s="19"/>
    </row>
    <row r="1897" spans="32:32" x14ac:dyDescent="0.3">
      <c r="AF1897" s="19"/>
    </row>
    <row r="1898" spans="32:32" x14ac:dyDescent="0.3">
      <c r="AF1898" s="19"/>
    </row>
    <row r="1899" spans="32:32" x14ac:dyDescent="0.3">
      <c r="AF1899" s="19"/>
    </row>
    <row r="1900" spans="32:32" x14ac:dyDescent="0.3">
      <c r="AF1900" s="19"/>
    </row>
    <row r="1901" spans="32:32" x14ac:dyDescent="0.3">
      <c r="AF1901" s="19"/>
    </row>
    <row r="1902" spans="32:32" x14ac:dyDescent="0.3">
      <c r="AF1902" s="19"/>
    </row>
    <row r="1903" spans="32:32" x14ac:dyDescent="0.3">
      <c r="AF1903" s="19"/>
    </row>
    <row r="1918" spans="32:32" x14ac:dyDescent="0.3">
      <c r="AF1918" s="19"/>
    </row>
    <row r="1919" spans="32:32" x14ac:dyDescent="0.3">
      <c r="AF1919" s="19"/>
    </row>
    <row r="1920" spans="32:32" x14ac:dyDescent="0.3">
      <c r="AF1920" s="19"/>
    </row>
    <row r="1921" spans="32:32" x14ac:dyDescent="0.3">
      <c r="AF1921" s="19"/>
    </row>
    <row r="1922" spans="32:32" x14ac:dyDescent="0.3">
      <c r="AF1922" s="19"/>
    </row>
    <row r="1923" spans="32:32" x14ac:dyDescent="0.3">
      <c r="AF1923" s="19"/>
    </row>
    <row r="1924" spans="32:32" x14ac:dyDescent="0.3">
      <c r="AF1924" s="19"/>
    </row>
    <row r="1925" spans="32:32" x14ac:dyDescent="0.3">
      <c r="AF1925" s="19"/>
    </row>
    <row r="1939" spans="32:32" x14ac:dyDescent="0.3">
      <c r="AF1939" s="19"/>
    </row>
    <row r="1940" spans="32:32" x14ac:dyDescent="0.3">
      <c r="AF1940" s="19"/>
    </row>
    <row r="1941" spans="32:32" x14ac:dyDescent="0.3">
      <c r="AF1941" s="19"/>
    </row>
    <row r="1942" spans="32:32" x14ac:dyDescent="0.3">
      <c r="AF1942" s="19"/>
    </row>
    <row r="1943" spans="32:32" x14ac:dyDescent="0.3">
      <c r="AF1943" s="19"/>
    </row>
    <row r="1944" spans="32:32" x14ac:dyDescent="0.3">
      <c r="AF1944" s="19"/>
    </row>
    <row r="1945" spans="32:32" x14ac:dyDescent="0.3">
      <c r="AF1945" s="19"/>
    </row>
    <row r="1946" spans="32:32" x14ac:dyDescent="0.3">
      <c r="AF1946" s="19"/>
    </row>
    <row r="1947" spans="32:32" x14ac:dyDescent="0.3">
      <c r="AF1947" s="19"/>
    </row>
    <row r="1960" spans="32:32" x14ac:dyDescent="0.3">
      <c r="AF1960" s="19"/>
    </row>
    <row r="1961" spans="32:32" x14ac:dyDescent="0.3">
      <c r="AF1961" s="19"/>
    </row>
    <row r="1962" spans="32:32" x14ac:dyDescent="0.3">
      <c r="AF1962" s="19"/>
    </row>
    <row r="1963" spans="32:32" x14ac:dyDescent="0.3">
      <c r="AF1963" s="19"/>
    </row>
    <row r="1964" spans="32:32" x14ac:dyDescent="0.3">
      <c r="AF1964" s="19"/>
    </row>
    <row r="1965" spans="32:32" x14ac:dyDescent="0.3">
      <c r="AF1965" s="19"/>
    </row>
    <row r="1966" spans="32:32" x14ac:dyDescent="0.3">
      <c r="AF1966" s="19"/>
    </row>
    <row r="1967" spans="32:32" x14ac:dyDescent="0.3">
      <c r="AF1967" s="19"/>
    </row>
    <row r="1983" spans="32:32" x14ac:dyDescent="0.3">
      <c r="AF1983" s="19"/>
    </row>
    <row r="1984" spans="32:32" x14ac:dyDescent="0.3">
      <c r="AF1984" s="19"/>
    </row>
    <row r="1985" spans="32:32" x14ac:dyDescent="0.3">
      <c r="AF1985" s="19"/>
    </row>
    <row r="1986" spans="32:32" x14ac:dyDescent="0.3">
      <c r="AF1986" s="19"/>
    </row>
    <row r="1987" spans="32:32" x14ac:dyDescent="0.3">
      <c r="AF1987" s="19"/>
    </row>
    <row r="1988" spans="32:32" x14ac:dyDescent="0.3">
      <c r="AF1988" s="19"/>
    </row>
    <row r="1989" spans="32:32" x14ac:dyDescent="0.3">
      <c r="AF1989" s="19"/>
    </row>
    <row r="1990" spans="32:32" x14ac:dyDescent="0.3">
      <c r="AF1990" s="19"/>
    </row>
    <row r="2001" spans="32:32" x14ac:dyDescent="0.3">
      <c r="AF2001" s="19"/>
    </row>
    <row r="2002" spans="32:32" x14ac:dyDescent="0.3">
      <c r="AF2002" s="19"/>
    </row>
    <row r="2003" spans="32:32" x14ac:dyDescent="0.3">
      <c r="AF2003" s="19"/>
    </row>
    <row r="2004" spans="32:32" x14ac:dyDescent="0.3">
      <c r="AF2004" s="19"/>
    </row>
    <row r="2005" spans="32:32" x14ac:dyDescent="0.3">
      <c r="AF2005" s="19"/>
    </row>
    <row r="2006" spans="32:32" x14ac:dyDescent="0.3">
      <c r="AF2006" s="19"/>
    </row>
    <row r="2007" spans="32:32" x14ac:dyDescent="0.3">
      <c r="AF2007" s="19"/>
    </row>
    <row r="2008" spans="32:32" x14ac:dyDescent="0.3">
      <c r="AF2008" s="19"/>
    </row>
    <row r="2009" spans="32:32" x14ac:dyDescent="0.3">
      <c r="AF2009" s="19"/>
    </row>
    <row r="2010" spans="32:32" x14ac:dyDescent="0.3">
      <c r="AF2010" s="19"/>
    </row>
    <row r="2023" spans="32:32" x14ac:dyDescent="0.3">
      <c r="AF2023" s="19"/>
    </row>
    <row r="2024" spans="32:32" x14ac:dyDescent="0.3">
      <c r="AF2024" s="19"/>
    </row>
    <row r="2025" spans="32:32" x14ac:dyDescent="0.3">
      <c r="AF2025" s="19"/>
    </row>
    <row r="2026" spans="32:32" x14ac:dyDescent="0.3">
      <c r="AF2026" s="19"/>
    </row>
    <row r="2027" spans="32:32" x14ac:dyDescent="0.3">
      <c r="AF2027" s="19"/>
    </row>
    <row r="2028" spans="32:32" x14ac:dyDescent="0.3">
      <c r="AF2028" s="19"/>
    </row>
    <row r="2029" spans="32:32" x14ac:dyDescent="0.3">
      <c r="AF2029" s="19"/>
    </row>
    <row r="2043" spans="32:32" x14ac:dyDescent="0.3">
      <c r="AF2043" s="19"/>
    </row>
    <row r="2044" spans="32:32" x14ac:dyDescent="0.3">
      <c r="AF2044" s="19"/>
    </row>
    <row r="2045" spans="32:32" x14ac:dyDescent="0.3">
      <c r="AF2045" s="19"/>
    </row>
    <row r="2046" spans="32:32" x14ac:dyDescent="0.3">
      <c r="AF2046" s="19"/>
    </row>
    <row r="2047" spans="32:32" x14ac:dyDescent="0.3">
      <c r="AF2047" s="19"/>
    </row>
    <row r="2048" spans="32:32" x14ac:dyDescent="0.3">
      <c r="AF2048" s="19"/>
    </row>
    <row r="2049" spans="32:32" x14ac:dyDescent="0.3">
      <c r="AF2049" s="19"/>
    </row>
    <row r="2050" spans="32:32" x14ac:dyDescent="0.3">
      <c r="AF2050" s="19"/>
    </row>
    <row r="2051" spans="32:32" x14ac:dyDescent="0.3">
      <c r="AF2051" s="19"/>
    </row>
    <row r="2062" spans="32:32" x14ac:dyDescent="0.3">
      <c r="AF2062" s="19"/>
    </row>
    <row r="2063" spans="32:32" x14ac:dyDescent="0.3">
      <c r="AF2063" s="19"/>
    </row>
    <row r="2064" spans="32:32" x14ac:dyDescent="0.3">
      <c r="AF2064" s="19"/>
    </row>
    <row r="2065" spans="32:32" x14ac:dyDescent="0.3">
      <c r="AF2065" s="19"/>
    </row>
    <row r="2066" spans="32:32" x14ac:dyDescent="0.3">
      <c r="AF2066" s="19"/>
    </row>
    <row r="2067" spans="32:32" x14ac:dyDescent="0.3">
      <c r="AF2067" s="19"/>
    </row>
    <row r="2068" spans="32:32" x14ac:dyDescent="0.3">
      <c r="AF2068" s="19"/>
    </row>
    <row r="2069" spans="32:32" x14ac:dyDescent="0.3">
      <c r="AF2069" s="19"/>
    </row>
    <row r="2070" spans="32:32" x14ac:dyDescent="0.3">
      <c r="AF2070" s="19"/>
    </row>
    <row r="2084" spans="32:32" x14ac:dyDescent="0.3">
      <c r="AF2084" s="19"/>
    </row>
    <row r="2085" spans="32:32" x14ac:dyDescent="0.3">
      <c r="AF2085" s="19"/>
    </row>
    <row r="2086" spans="32:32" x14ac:dyDescent="0.3">
      <c r="AF2086" s="19"/>
    </row>
    <row r="2087" spans="32:32" x14ac:dyDescent="0.3">
      <c r="AF2087" s="19"/>
    </row>
    <row r="2088" spans="32:32" x14ac:dyDescent="0.3">
      <c r="AF2088" s="19"/>
    </row>
    <row r="2089" spans="32:32" x14ac:dyDescent="0.3">
      <c r="AF2089" s="19"/>
    </row>
    <row r="2090" spans="32:32" x14ac:dyDescent="0.3">
      <c r="AF2090" s="19"/>
    </row>
    <row r="2105" spans="32:32" x14ac:dyDescent="0.3">
      <c r="AF2105" s="19"/>
    </row>
    <row r="2106" spans="32:32" x14ac:dyDescent="0.3">
      <c r="AF2106" s="19"/>
    </row>
    <row r="2107" spans="32:32" x14ac:dyDescent="0.3">
      <c r="AF2107" s="19"/>
    </row>
    <row r="2108" spans="32:32" x14ac:dyDescent="0.3">
      <c r="AF2108" s="19"/>
    </row>
    <row r="2109" spans="32:32" x14ac:dyDescent="0.3">
      <c r="AF2109" s="19"/>
    </row>
    <row r="2110" spans="32:32" x14ac:dyDescent="0.3">
      <c r="AF2110" s="19"/>
    </row>
    <row r="2111" spans="32:32" x14ac:dyDescent="0.3">
      <c r="AF2111" s="19"/>
    </row>
    <row r="2112" spans="32:32" x14ac:dyDescent="0.3">
      <c r="AF2112" s="19"/>
    </row>
    <row r="2125" spans="32:32" x14ac:dyDescent="0.3">
      <c r="AF2125" s="19"/>
    </row>
    <row r="2126" spans="32:32" x14ac:dyDescent="0.3">
      <c r="AF2126" s="19"/>
    </row>
    <row r="2127" spans="32:32" x14ac:dyDescent="0.3">
      <c r="AF2127" s="19"/>
    </row>
    <row r="2128" spans="32:32" x14ac:dyDescent="0.3">
      <c r="AF2128" s="19"/>
    </row>
    <row r="2129" spans="32:32" x14ac:dyDescent="0.3">
      <c r="AF2129" s="19"/>
    </row>
    <row r="2130" spans="32:32" x14ac:dyDescent="0.3">
      <c r="AF2130" s="19"/>
    </row>
    <row r="2131" spans="32:32" x14ac:dyDescent="0.3">
      <c r="AF2131" s="19"/>
    </row>
    <row r="2132" spans="32:32" x14ac:dyDescent="0.3">
      <c r="AF2132" s="19"/>
    </row>
    <row r="2133" spans="32:32" x14ac:dyDescent="0.3">
      <c r="AF2133" s="19"/>
    </row>
    <row r="2134" spans="32:32" x14ac:dyDescent="0.3">
      <c r="AF2134" s="19"/>
    </row>
    <row r="2147" spans="32:32" x14ac:dyDescent="0.3">
      <c r="AF2147" s="19"/>
    </row>
    <row r="2148" spans="32:32" x14ac:dyDescent="0.3">
      <c r="AF2148" s="19"/>
    </row>
    <row r="2149" spans="32:32" x14ac:dyDescent="0.3">
      <c r="AF2149" s="19"/>
    </row>
    <row r="2150" spans="32:32" x14ac:dyDescent="0.3">
      <c r="AF2150" s="19"/>
    </row>
    <row r="2151" spans="32:32" x14ac:dyDescent="0.3">
      <c r="AF2151" s="19"/>
    </row>
    <row r="2152" spans="32:32" x14ac:dyDescent="0.3">
      <c r="AF2152" s="19"/>
    </row>
    <row r="2153" spans="32:32" x14ac:dyDescent="0.3">
      <c r="AF2153" s="19"/>
    </row>
    <row r="2169" spans="32:32" x14ac:dyDescent="0.3">
      <c r="AF2169" s="19"/>
    </row>
    <row r="2170" spans="32:32" x14ac:dyDescent="0.3">
      <c r="AF2170" s="19"/>
    </row>
    <row r="2171" spans="32:32" x14ac:dyDescent="0.3">
      <c r="AF2171" s="19"/>
    </row>
    <row r="2172" spans="32:32" x14ac:dyDescent="0.3">
      <c r="AF2172" s="19"/>
    </row>
    <row r="2173" spans="32:32" x14ac:dyDescent="0.3">
      <c r="AF2173" s="19"/>
    </row>
    <row r="2174" spans="32:32" x14ac:dyDescent="0.3">
      <c r="AF2174" s="19"/>
    </row>
    <row r="2175" spans="32:32" x14ac:dyDescent="0.3">
      <c r="AF2175" s="19"/>
    </row>
    <row r="2176" spans="32:32" x14ac:dyDescent="0.3">
      <c r="AF2176" s="19"/>
    </row>
    <row r="2190" spans="32:32" x14ac:dyDescent="0.3">
      <c r="AF2190" s="19"/>
    </row>
    <row r="2191" spans="32:32" x14ac:dyDescent="0.3">
      <c r="AF2191" s="19"/>
    </row>
    <row r="2192" spans="32:32" x14ac:dyDescent="0.3">
      <c r="AF2192" s="19"/>
    </row>
    <row r="2193" spans="32:32" x14ac:dyDescent="0.3">
      <c r="AF2193" s="19"/>
    </row>
    <row r="2194" spans="32:32" x14ac:dyDescent="0.3">
      <c r="AF2194" s="19"/>
    </row>
    <row r="2195" spans="32:32" x14ac:dyDescent="0.3">
      <c r="AF2195" s="19"/>
    </row>
    <row r="2196" spans="32:32" x14ac:dyDescent="0.3">
      <c r="AF2196" s="19"/>
    </row>
    <row r="2197" spans="32:32" x14ac:dyDescent="0.3">
      <c r="AF2197" s="19"/>
    </row>
    <row r="2211" spans="32:32" x14ac:dyDescent="0.3">
      <c r="AF2211" s="19"/>
    </row>
    <row r="2212" spans="32:32" x14ac:dyDescent="0.3">
      <c r="AF2212" s="19"/>
    </row>
    <row r="2213" spans="32:32" x14ac:dyDescent="0.3">
      <c r="AF2213" s="19"/>
    </row>
    <row r="2214" spans="32:32" x14ac:dyDescent="0.3">
      <c r="AF2214" s="19"/>
    </row>
    <row r="2215" spans="32:32" x14ac:dyDescent="0.3">
      <c r="AF2215" s="19"/>
    </row>
    <row r="2216" spans="32:32" x14ac:dyDescent="0.3">
      <c r="AF2216" s="19"/>
    </row>
    <row r="2217" spans="32:32" x14ac:dyDescent="0.3">
      <c r="AF2217" s="19"/>
    </row>
    <row r="2218" spans="32:32" x14ac:dyDescent="0.3">
      <c r="AF2218" s="19"/>
    </row>
    <row r="2233" spans="32:32" x14ac:dyDescent="0.3">
      <c r="AF2233" s="19"/>
    </row>
    <row r="2234" spans="32:32" x14ac:dyDescent="0.3">
      <c r="AF2234" s="19"/>
    </row>
    <row r="2235" spans="32:32" x14ac:dyDescent="0.3">
      <c r="AF2235" s="19"/>
    </row>
    <row r="2236" spans="32:32" x14ac:dyDescent="0.3">
      <c r="AF2236" s="19"/>
    </row>
    <row r="2237" spans="32:32" x14ac:dyDescent="0.3">
      <c r="AF2237" s="19"/>
    </row>
    <row r="2238" spans="32:32" x14ac:dyDescent="0.3">
      <c r="AF2238" s="19"/>
    </row>
    <row r="2239" spans="32:32" x14ac:dyDescent="0.3">
      <c r="AF2239" s="19"/>
    </row>
    <row r="2240" spans="32:32" x14ac:dyDescent="0.3">
      <c r="AF2240" s="19"/>
    </row>
    <row r="2241" spans="32:32" x14ac:dyDescent="0.3">
      <c r="AF2241" s="19"/>
    </row>
    <row r="2253" spans="32:32" x14ac:dyDescent="0.3">
      <c r="AF2253" s="19"/>
    </row>
    <row r="2254" spans="32:32" x14ac:dyDescent="0.3">
      <c r="AF2254" s="19"/>
    </row>
    <row r="2255" spans="32:32" x14ac:dyDescent="0.3">
      <c r="AF2255" s="19"/>
    </row>
    <row r="2256" spans="32:32" x14ac:dyDescent="0.3">
      <c r="AF2256" s="19"/>
    </row>
    <row r="2257" spans="32:32" x14ac:dyDescent="0.3">
      <c r="AF2257" s="19"/>
    </row>
    <row r="2258" spans="32:32" x14ac:dyDescent="0.3">
      <c r="AF2258" s="19"/>
    </row>
    <row r="2259" spans="32:32" x14ac:dyDescent="0.3">
      <c r="AF2259" s="19"/>
    </row>
    <row r="2260" spans="32:32" x14ac:dyDescent="0.3">
      <c r="AF2260" s="19"/>
    </row>
    <row r="2261" spans="32:32" x14ac:dyDescent="0.3">
      <c r="AF2261" s="19"/>
    </row>
    <row r="2275" spans="32:32" x14ac:dyDescent="0.3">
      <c r="AF2275" s="19"/>
    </row>
    <row r="2276" spans="32:32" x14ac:dyDescent="0.3">
      <c r="AF2276" s="19"/>
    </row>
    <row r="2277" spans="32:32" x14ac:dyDescent="0.3">
      <c r="AF2277" s="19"/>
    </row>
    <row r="2278" spans="32:32" x14ac:dyDescent="0.3">
      <c r="AF2278" s="19"/>
    </row>
    <row r="2279" spans="32:32" x14ac:dyDescent="0.3">
      <c r="AF2279" s="19"/>
    </row>
    <row r="2280" spans="32:32" x14ac:dyDescent="0.3">
      <c r="AF2280" s="19"/>
    </row>
    <row r="2281" spans="32:32" x14ac:dyDescent="0.3">
      <c r="AF2281" s="19"/>
    </row>
    <row r="2294" spans="32:32" x14ac:dyDescent="0.3">
      <c r="AF2294" s="19"/>
    </row>
    <row r="2295" spans="32:32" x14ac:dyDescent="0.3">
      <c r="AF2295" s="19"/>
    </row>
    <row r="2296" spans="32:32" x14ac:dyDescent="0.3">
      <c r="AF2296" s="19"/>
    </row>
    <row r="2297" spans="32:32" x14ac:dyDescent="0.3">
      <c r="AF2297" s="19"/>
    </row>
    <row r="2298" spans="32:32" x14ac:dyDescent="0.3">
      <c r="AF2298" s="19"/>
    </row>
    <row r="2299" spans="32:32" x14ac:dyDescent="0.3">
      <c r="AF2299" s="19"/>
    </row>
    <row r="2300" spans="32:32" x14ac:dyDescent="0.3">
      <c r="AF2300" s="19"/>
    </row>
    <row r="2301" spans="32:32" x14ac:dyDescent="0.3">
      <c r="AF2301" s="19"/>
    </row>
    <row r="2302" spans="32:32" x14ac:dyDescent="0.3">
      <c r="AF2302" s="19"/>
    </row>
    <row r="2303" spans="32:32" x14ac:dyDescent="0.3">
      <c r="AF2303" s="19"/>
    </row>
    <row r="2313" spans="32:32" x14ac:dyDescent="0.3">
      <c r="AF2313" s="19"/>
    </row>
    <row r="2314" spans="32:32" x14ac:dyDescent="0.3">
      <c r="AF2314" s="19"/>
    </row>
    <row r="2315" spans="32:32" x14ac:dyDescent="0.3">
      <c r="AF2315" s="19"/>
    </row>
    <row r="2316" spans="32:32" x14ac:dyDescent="0.3">
      <c r="AF2316" s="19"/>
    </row>
    <row r="2317" spans="32:32" x14ac:dyDescent="0.3">
      <c r="AF2317" s="19"/>
    </row>
    <row r="2318" spans="32:32" x14ac:dyDescent="0.3">
      <c r="AF2318" s="19"/>
    </row>
    <row r="2319" spans="32:32" x14ac:dyDescent="0.3">
      <c r="AF2319" s="19"/>
    </row>
    <row r="2320" spans="32:32" x14ac:dyDescent="0.3">
      <c r="AF2320" s="19"/>
    </row>
    <row r="2321" spans="32:32" x14ac:dyDescent="0.3">
      <c r="AF2321" s="19"/>
    </row>
    <row r="2322" spans="32:32" x14ac:dyDescent="0.3">
      <c r="AF2322" s="19"/>
    </row>
    <row r="2336" spans="32:32" x14ac:dyDescent="0.3">
      <c r="AF2336" s="19"/>
    </row>
    <row r="2337" spans="32:32" x14ac:dyDescent="0.3">
      <c r="AF2337" s="19"/>
    </row>
    <row r="2338" spans="32:32" x14ac:dyDescent="0.3">
      <c r="AF2338" s="19"/>
    </row>
    <row r="2339" spans="32:32" x14ac:dyDescent="0.3">
      <c r="AF2339" s="19"/>
    </row>
    <row r="2340" spans="32:32" x14ac:dyDescent="0.3">
      <c r="AF2340" s="19"/>
    </row>
    <row r="2341" spans="32:32" x14ac:dyDescent="0.3">
      <c r="AF2341" s="19"/>
    </row>
    <row r="2342" spans="32:32" x14ac:dyDescent="0.3">
      <c r="AF2342" s="19"/>
    </row>
    <row r="2357" spans="32:32" x14ac:dyDescent="0.3">
      <c r="AF2357" s="19"/>
    </row>
    <row r="2358" spans="32:32" x14ac:dyDescent="0.3">
      <c r="AF2358" s="19"/>
    </row>
    <row r="2359" spans="32:32" x14ac:dyDescent="0.3">
      <c r="AF2359" s="19"/>
    </row>
    <row r="2360" spans="32:32" x14ac:dyDescent="0.3">
      <c r="AF2360" s="19"/>
    </row>
    <row r="2361" spans="32:32" x14ac:dyDescent="0.3">
      <c r="AF2361" s="19"/>
    </row>
    <row r="2362" spans="32:32" x14ac:dyDescent="0.3">
      <c r="AF2362" s="19"/>
    </row>
    <row r="2363" spans="32:32" x14ac:dyDescent="0.3">
      <c r="AF2363" s="19"/>
    </row>
    <row r="2364" spans="32:32" x14ac:dyDescent="0.3">
      <c r="AF2364" s="19"/>
    </row>
    <row r="2377" spans="32:32" x14ac:dyDescent="0.3">
      <c r="AF2377" s="19"/>
    </row>
    <row r="2378" spans="32:32" x14ac:dyDescent="0.3">
      <c r="AF2378" s="19"/>
    </row>
    <row r="2379" spans="32:32" x14ac:dyDescent="0.3">
      <c r="AF2379" s="19"/>
    </row>
    <row r="2380" spans="32:32" x14ac:dyDescent="0.3">
      <c r="AF2380" s="19"/>
    </row>
    <row r="2381" spans="32:32" x14ac:dyDescent="0.3">
      <c r="AF2381" s="19"/>
    </row>
    <row r="2382" spans="32:32" x14ac:dyDescent="0.3">
      <c r="AF2382" s="19"/>
    </row>
    <row r="2383" spans="32:32" x14ac:dyDescent="0.3">
      <c r="AF2383" s="19"/>
    </row>
    <row r="2384" spans="32:32" x14ac:dyDescent="0.3">
      <c r="AF2384" s="19"/>
    </row>
    <row r="2385" spans="32:32" x14ac:dyDescent="0.3">
      <c r="AF2385" s="19"/>
    </row>
    <row r="2399" spans="32:32" x14ac:dyDescent="0.3">
      <c r="AF2399" s="19"/>
    </row>
    <row r="2400" spans="32:32" x14ac:dyDescent="0.3">
      <c r="AF2400" s="19"/>
    </row>
    <row r="2401" spans="32:32" x14ac:dyDescent="0.3">
      <c r="AF2401" s="19"/>
    </row>
    <row r="2402" spans="32:32" x14ac:dyDescent="0.3">
      <c r="AF2402" s="19"/>
    </row>
    <row r="2403" spans="32:32" x14ac:dyDescent="0.3">
      <c r="AF2403" s="19"/>
    </row>
    <row r="2404" spans="32:32" x14ac:dyDescent="0.3">
      <c r="AF2404" s="19"/>
    </row>
    <row r="2405" spans="32:32" x14ac:dyDescent="0.3">
      <c r="AF2405" s="19"/>
    </row>
    <row r="2420" spans="32:32" x14ac:dyDescent="0.3">
      <c r="AF2420" s="19"/>
    </row>
    <row r="2421" spans="32:32" x14ac:dyDescent="0.3">
      <c r="AF2421" s="19"/>
    </row>
    <row r="2422" spans="32:32" x14ac:dyDescent="0.3">
      <c r="AF2422" s="19"/>
    </row>
    <row r="2423" spans="32:32" x14ac:dyDescent="0.3">
      <c r="AF2423" s="19"/>
    </row>
    <row r="2424" spans="32:32" x14ac:dyDescent="0.3">
      <c r="AF2424" s="19"/>
    </row>
    <row r="2425" spans="32:32" x14ac:dyDescent="0.3">
      <c r="AF2425" s="19"/>
    </row>
    <row r="2426" spans="32:32" x14ac:dyDescent="0.3">
      <c r="AF2426" s="19"/>
    </row>
    <row r="2427" spans="32:32" x14ac:dyDescent="0.3">
      <c r="AF2427" s="19"/>
    </row>
    <row r="2428" spans="32:32" x14ac:dyDescent="0.3">
      <c r="AF2428" s="19"/>
    </row>
    <row r="2442" spans="32:32" x14ac:dyDescent="0.3">
      <c r="AF2442" s="19"/>
    </row>
    <row r="2443" spans="32:32" x14ac:dyDescent="0.3">
      <c r="AF2443" s="19"/>
    </row>
    <row r="2444" spans="32:32" x14ac:dyDescent="0.3">
      <c r="AF2444" s="19"/>
    </row>
    <row r="2445" spans="32:32" x14ac:dyDescent="0.3">
      <c r="AF2445" s="19"/>
    </row>
    <row r="2446" spans="32:32" x14ac:dyDescent="0.3">
      <c r="AF2446" s="19"/>
    </row>
    <row r="2447" spans="32:32" x14ac:dyDescent="0.3">
      <c r="AF2447" s="19"/>
    </row>
    <row r="2448" spans="32:32" x14ac:dyDescent="0.3">
      <c r="AF2448" s="19"/>
    </row>
    <row r="2463" spans="32:32" x14ac:dyDescent="0.3">
      <c r="AF2463" s="19"/>
    </row>
    <row r="2464" spans="32:32" x14ac:dyDescent="0.3">
      <c r="AF2464" s="19"/>
    </row>
    <row r="2465" spans="32:32" x14ac:dyDescent="0.3">
      <c r="AF2465" s="19"/>
    </row>
    <row r="2466" spans="32:32" x14ac:dyDescent="0.3">
      <c r="AF2466" s="19"/>
    </row>
    <row r="2467" spans="32:32" x14ac:dyDescent="0.3">
      <c r="AF2467" s="19"/>
    </row>
    <row r="2468" spans="32:32" x14ac:dyDescent="0.3">
      <c r="AF2468" s="19"/>
    </row>
    <row r="2469" spans="32:32" x14ac:dyDescent="0.3">
      <c r="AF2469" s="19"/>
    </row>
    <row r="2470" spans="32:32" x14ac:dyDescent="0.3">
      <c r="AF2470" s="19"/>
    </row>
    <row r="2484" spans="32:32" x14ac:dyDescent="0.3">
      <c r="AF2484" s="19"/>
    </row>
    <row r="2485" spans="32:32" x14ac:dyDescent="0.3">
      <c r="AF2485" s="19"/>
    </row>
    <row r="2486" spans="32:32" x14ac:dyDescent="0.3">
      <c r="AF2486" s="19"/>
    </row>
    <row r="2487" spans="32:32" x14ac:dyDescent="0.3">
      <c r="AF2487" s="19"/>
    </row>
    <row r="2488" spans="32:32" x14ac:dyDescent="0.3">
      <c r="AF2488" s="19"/>
    </row>
    <row r="2489" spans="32:32" x14ac:dyDescent="0.3">
      <c r="AF2489" s="19"/>
    </row>
    <row r="2490" spans="32:32" x14ac:dyDescent="0.3">
      <c r="AF2490" s="19"/>
    </row>
    <row r="2491" spans="32:32" x14ac:dyDescent="0.3">
      <c r="AF2491" s="19"/>
    </row>
    <row r="2492" spans="32:32" x14ac:dyDescent="0.3">
      <c r="AF2492" s="19"/>
    </row>
    <row r="2493" spans="32:32" x14ac:dyDescent="0.3">
      <c r="AF2493" s="19"/>
    </row>
    <row r="2505" spans="32:32" x14ac:dyDescent="0.3">
      <c r="AF2505" s="19"/>
    </row>
    <row r="2506" spans="32:32" x14ac:dyDescent="0.3">
      <c r="AF2506" s="19"/>
    </row>
    <row r="2507" spans="32:32" x14ac:dyDescent="0.3">
      <c r="AF2507" s="19"/>
    </row>
    <row r="2508" spans="32:32" x14ac:dyDescent="0.3">
      <c r="AF2508" s="19"/>
    </row>
    <row r="2509" spans="32:32" x14ac:dyDescent="0.3">
      <c r="AF2509" s="19"/>
    </row>
    <row r="2510" spans="32:32" x14ac:dyDescent="0.3">
      <c r="AF2510" s="19"/>
    </row>
    <row r="2511" spans="32:32" x14ac:dyDescent="0.3">
      <c r="AF2511" s="19"/>
    </row>
    <row r="2512" spans="32:32" x14ac:dyDescent="0.3">
      <c r="AF2512" s="19"/>
    </row>
    <row r="2526" spans="32:32" x14ac:dyDescent="0.3">
      <c r="AF2526" s="19"/>
    </row>
    <row r="2527" spans="32:32" x14ac:dyDescent="0.3">
      <c r="AF2527" s="19"/>
    </row>
    <row r="2528" spans="32:32" x14ac:dyDescent="0.3">
      <c r="AF2528" s="19"/>
    </row>
    <row r="2529" spans="32:32" x14ac:dyDescent="0.3">
      <c r="AF2529" s="19"/>
    </row>
    <row r="2530" spans="32:32" x14ac:dyDescent="0.3">
      <c r="AF2530" s="19"/>
    </row>
    <row r="2531" spans="32:32" x14ac:dyDescent="0.3">
      <c r="AF2531" s="19"/>
    </row>
    <row r="2532" spans="32:32" x14ac:dyDescent="0.3">
      <c r="AF2532" s="19"/>
    </row>
    <row r="2533" spans="32:32" x14ac:dyDescent="0.3">
      <c r="AF2533" s="19"/>
    </row>
    <row r="2546" spans="32:32" x14ac:dyDescent="0.3">
      <c r="AF2546" s="19"/>
    </row>
    <row r="2547" spans="32:32" x14ac:dyDescent="0.3">
      <c r="AF2547" s="19"/>
    </row>
    <row r="2548" spans="32:32" x14ac:dyDescent="0.3">
      <c r="AF2548" s="19"/>
    </row>
    <row r="2549" spans="32:32" x14ac:dyDescent="0.3">
      <c r="AF2549" s="19"/>
    </row>
    <row r="2550" spans="32:32" x14ac:dyDescent="0.3">
      <c r="AF2550" s="19"/>
    </row>
    <row r="2551" spans="32:32" x14ac:dyDescent="0.3">
      <c r="AF2551" s="19"/>
    </row>
    <row r="2552" spans="32:32" x14ac:dyDescent="0.3">
      <c r="AF2552" s="19"/>
    </row>
    <row r="2553" spans="32:32" x14ac:dyDescent="0.3">
      <c r="AF2553" s="19"/>
    </row>
    <row r="2554" spans="32:32" x14ac:dyDescent="0.3">
      <c r="AF2554" s="19"/>
    </row>
    <row r="2566" spans="32:32" x14ac:dyDescent="0.3">
      <c r="AF2566" s="19"/>
    </row>
    <row r="2567" spans="32:32" x14ac:dyDescent="0.3">
      <c r="AF2567" s="19"/>
    </row>
    <row r="2568" spans="32:32" x14ac:dyDescent="0.3">
      <c r="AF2568" s="19"/>
    </row>
    <row r="2569" spans="32:32" x14ac:dyDescent="0.3">
      <c r="AF2569" s="19"/>
    </row>
    <row r="2570" spans="32:32" x14ac:dyDescent="0.3">
      <c r="AF2570" s="19"/>
    </row>
    <row r="2571" spans="32:32" x14ac:dyDescent="0.3">
      <c r="AF2571" s="19"/>
    </row>
    <row r="2572" spans="32:32" x14ac:dyDescent="0.3">
      <c r="AF2572" s="19"/>
    </row>
    <row r="2573" spans="32:32" x14ac:dyDescent="0.3">
      <c r="AF2573" s="19"/>
    </row>
    <row r="2589" spans="32:32" x14ac:dyDescent="0.3">
      <c r="AF2589" s="19"/>
    </row>
    <row r="2590" spans="32:32" x14ac:dyDescent="0.3">
      <c r="AF2590" s="19"/>
    </row>
    <row r="2591" spans="32:32" x14ac:dyDescent="0.3">
      <c r="AF2591" s="19"/>
    </row>
    <row r="2592" spans="32:32" x14ac:dyDescent="0.3">
      <c r="AF2592" s="19"/>
    </row>
    <row r="2593" spans="32:32" x14ac:dyDescent="0.3">
      <c r="AF2593" s="19"/>
    </row>
    <row r="2594" spans="32:32" x14ac:dyDescent="0.3">
      <c r="AF2594" s="19"/>
    </row>
    <row r="2595" spans="32:32" x14ac:dyDescent="0.3">
      <c r="AF2595" s="19"/>
    </row>
    <row r="2596" spans="32:32" x14ac:dyDescent="0.3">
      <c r="AF2596" s="19"/>
    </row>
    <row r="2608" spans="32:32" x14ac:dyDescent="0.3">
      <c r="AF2608" s="19"/>
    </row>
    <row r="2609" spans="32:32" x14ac:dyDescent="0.3">
      <c r="AF2609" s="19"/>
    </row>
    <row r="2610" spans="32:32" x14ac:dyDescent="0.3">
      <c r="AF2610" s="19"/>
    </row>
    <row r="2611" spans="32:32" x14ac:dyDescent="0.3">
      <c r="AF2611" s="19"/>
    </row>
    <row r="2612" spans="32:32" x14ac:dyDescent="0.3">
      <c r="AF2612" s="19"/>
    </row>
    <row r="2613" spans="32:32" x14ac:dyDescent="0.3">
      <c r="AF2613" s="19"/>
    </row>
    <row r="2614" spans="32:32" x14ac:dyDescent="0.3">
      <c r="AF2614" s="19"/>
    </row>
    <row r="2615" spans="32:32" x14ac:dyDescent="0.3">
      <c r="AF2615" s="19"/>
    </row>
    <row r="2616" spans="32:32" x14ac:dyDescent="0.3">
      <c r="AF2616" s="19"/>
    </row>
    <row r="2617" spans="32:32" x14ac:dyDescent="0.3">
      <c r="AF2617" s="19"/>
    </row>
    <row r="2630" spans="32:32" x14ac:dyDescent="0.3">
      <c r="AF2630" s="19"/>
    </row>
    <row r="2631" spans="32:32" x14ac:dyDescent="0.3">
      <c r="AF2631" s="19"/>
    </row>
    <row r="2632" spans="32:32" x14ac:dyDescent="0.3">
      <c r="AF2632" s="19"/>
    </row>
    <row r="2633" spans="32:32" x14ac:dyDescent="0.3">
      <c r="AF2633" s="19"/>
    </row>
    <row r="2634" spans="32:32" x14ac:dyDescent="0.3">
      <c r="AF2634" s="19"/>
    </row>
    <row r="2635" spans="32:32" x14ac:dyDescent="0.3">
      <c r="AF2635" s="19"/>
    </row>
    <row r="2636" spans="32:32" x14ac:dyDescent="0.3">
      <c r="AF2636" s="19"/>
    </row>
    <row r="2637" spans="32:32" x14ac:dyDescent="0.3">
      <c r="AF2637" s="19"/>
    </row>
    <row r="2652" spans="32:32" x14ac:dyDescent="0.3">
      <c r="AF2652" s="19"/>
    </row>
    <row r="2653" spans="32:32" x14ac:dyDescent="0.3">
      <c r="AF2653" s="19"/>
    </row>
    <row r="2654" spans="32:32" x14ac:dyDescent="0.3">
      <c r="AF2654" s="19"/>
    </row>
    <row r="2655" spans="32:32" x14ac:dyDescent="0.3">
      <c r="AF2655" s="19"/>
    </row>
    <row r="2656" spans="32:32" x14ac:dyDescent="0.3">
      <c r="AF2656" s="19"/>
    </row>
    <row r="2657" spans="32:32" x14ac:dyDescent="0.3">
      <c r="AF2657" s="19"/>
    </row>
    <row r="2658" spans="32:32" x14ac:dyDescent="0.3">
      <c r="AF2658" s="19"/>
    </row>
    <row r="2672" spans="32:32" x14ac:dyDescent="0.3">
      <c r="AF2672" s="19"/>
    </row>
    <row r="2673" spans="32:32" x14ac:dyDescent="0.3">
      <c r="AF2673" s="19"/>
    </row>
    <row r="2674" spans="32:32" x14ac:dyDescent="0.3">
      <c r="AF2674" s="19"/>
    </row>
    <row r="2675" spans="32:32" x14ac:dyDescent="0.3">
      <c r="AF2675" s="19"/>
    </row>
    <row r="2676" spans="32:32" x14ac:dyDescent="0.3">
      <c r="AF2676" s="19"/>
    </row>
    <row r="2677" spans="32:32" x14ac:dyDescent="0.3">
      <c r="AF2677" s="19"/>
    </row>
    <row r="2678" spans="32:32" x14ac:dyDescent="0.3">
      <c r="AF2678" s="19"/>
    </row>
    <row r="2679" spans="32:32" x14ac:dyDescent="0.3">
      <c r="AF2679" s="19"/>
    </row>
    <row r="2680" spans="32:32" x14ac:dyDescent="0.3">
      <c r="AF2680" s="19"/>
    </row>
    <row r="2695" spans="32:32" x14ac:dyDescent="0.3">
      <c r="AF2695" s="19"/>
    </row>
    <row r="2696" spans="32:32" x14ac:dyDescent="0.3">
      <c r="AF2696" s="19"/>
    </row>
    <row r="2697" spans="32:32" x14ac:dyDescent="0.3">
      <c r="AF2697" s="19"/>
    </row>
    <row r="2698" spans="32:32" x14ac:dyDescent="0.3">
      <c r="AF2698" s="19"/>
    </row>
    <row r="2699" spans="32:32" x14ac:dyDescent="0.3">
      <c r="AF2699" s="19"/>
    </row>
    <row r="2700" spans="32:32" x14ac:dyDescent="0.3">
      <c r="AF2700" s="19"/>
    </row>
    <row r="2701" spans="32:32" x14ac:dyDescent="0.3">
      <c r="AF2701" s="19"/>
    </row>
    <row r="2715" spans="32:32" x14ac:dyDescent="0.3">
      <c r="AF2715" s="19"/>
    </row>
    <row r="2716" spans="32:32" x14ac:dyDescent="0.3">
      <c r="AF2716" s="19"/>
    </row>
    <row r="2717" spans="32:32" x14ac:dyDescent="0.3">
      <c r="AF2717" s="19"/>
    </row>
    <row r="2718" spans="32:32" x14ac:dyDescent="0.3">
      <c r="AF2718" s="19"/>
    </row>
    <row r="2719" spans="32:32" x14ac:dyDescent="0.3">
      <c r="AF2719" s="19"/>
    </row>
    <row r="2720" spans="32:32" x14ac:dyDescent="0.3">
      <c r="AF2720" s="19"/>
    </row>
    <row r="2721" spans="32:32" x14ac:dyDescent="0.3">
      <c r="AF2721" s="19"/>
    </row>
    <row r="2722" spans="32:32" x14ac:dyDescent="0.3">
      <c r="AF2722" s="19"/>
    </row>
    <row r="2723" spans="32:32" x14ac:dyDescent="0.3">
      <c r="AF2723" s="19"/>
    </row>
    <row r="2737" spans="32:32" x14ac:dyDescent="0.3">
      <c r="AF2737" s="19"/>
    </row>
    <row r="2738" spans="32:32" x14ac:dyDescent="0.3">
      <c r="AF2738" s="19"/>
    </row>
    <row r="2739" spans="32:32" x14ac:dyDescent="0.3">
      <c r="AF2739" s="19"/>
    </row>
    <row r="2740" spans="32:32" x14ac:dyDescent="0.3">
      <c r="AF2740" s="19"/>
    </row>
    <row r="2741" spans="32:32" x14ac:dyDescent="0.3">
      <c r="AF2741" s="19"/>
    </row>
    <row r="2742" spans="32:32" x14ac:dyDescent="0.3">
      <c r="AF2742" s="19"/>
    </row>
    <row r="2743" spans="32:32" x14ac:dyDescent="0.3">
      <c r="AF2743" s="19"/>
    </row>
    <row r="2744" spans="32:32" x14ac:dyDescent="0.3">
      <c r="AF2744" s="19"/>
    </row>
    <row r="2758" spans="32:32" x14ac:dyDescent="0.3">
      <c r="AF2758" s="19"/>
    </row>
    <row r="2759" spans="32:32" x14ac:dyDescent="0.3">
      <c r="AF2759" s="19"/>
    </row>
    <row r="2760" spans="32:32" x14ac:dyDescent="0.3">
      <c r="AF2760" s="19"/>
    </row>
    <row r="2761" spans="32:32" x14ac:dyDescent="0.3">
      <c r="AF2761" s="19"/>
    </row>
    <row r="2762" spans="32:32" x14ac:dyDescent="0.3">
      <c r="AF2762" s="19"/>
    </row>
    <row r="2763" spans="32:32" x14ac:dyDescent="0.3">
      <c r="AF2763" s="19"/>
    </row>
    <row r="2764" spans="32:32" x14ac:dyDescent="0.3">
      <c r="AF2764" s="19"/>
    </row>
    <row r="2765" spans="32:32" x14ac:dyDescent="0.3">
      <c r="AF2765" s="19"/>
    </row>
    <row r="2778" spans="32:32" x14ac:dyDescent="0.3">
      <c r="AF2778" s="19"/>
    </row>
    <row r="2779" spans="32:32" x14ac:dyDescent="0.3">
      <c r="AF2779" s="19"/>
    </row>
    <row r="2780" spans="32:32" x14ac:dyDescent="0.3">
      <c r="AF2780" s="19"/>
    </row>
    <row r="2781" spans="32:32" x14ac:dyDescent="0.3">
      <c r="AF2781" s="19"/>
    </row>
    <row r="2782" spans="32:32" x14ac:dyDescent="0.3">
      <c r="AF2782" s="19"/>
    </row>
    <row r="2783" spans="32:32" x14ac:dyDescent="0.3">
      <c r="AF2783" s="19"/>
    </row>
    <row r="2784" spans="32:32" x14ac:dyDescent="0.3">
      <c r="AF2784" s="19"/>
    </row>
    <row r="2785" spans="32:32" x14ac:dyDescent="0.3">
      <c r="AF2785" s="19"/>
    </row>
    <row r="2786" spans="32:32" x14ac:dyDescent="0.3">
      <c r="AF2786" s="19"/>
    </row>
    <row r="2799" spans="32:32" x14ac:dyDescent="0.3">
      <c r="AF2799" s="19"/>
    </row>
    <row r="2800" spans="32:32" x14ac:dyDescent="0.3">
      <c r="AF2800" s="19"/>
    </row>
    <row r="2801" spans="32:32" x14ac:dyDescent="0.3">
      <c r="AF2801" s="19"/>
    </row>
    <row r="2802" spans="32:32" x14ac:dyDescent="0.3">
      <c r="AF2802" s="19"/>
    </row>
    <row r="2803" spans="32:32" x14ac:dyDescent="0.3">
      <c r="AF2803" s="19"/>
    </row>
    <row r="2804" spans="32:32" x14ac:dyDescent="0.3">
      <c r="AF2804" s="19"/>
    </row>
    <row r="2805" spans="32:32" x14ac:dyDescent="0.3">
      <c r="AF2805" s="19"/>
    </row>
    <row r="2806" spans="32:32" x14ac:dyDescent="0.3">
      <c r="AF2806" s="19"/>
    </row>
    <row r="2818" spans="32:32" x14ac:dyDescent="0.3">
      <c r="AF2818" s="19"/>
    </row>
    <row r="2819" spans="32:32" x14ac:dyDescent="0.3">
      <c r="AF2819" s="19"/>
    </row>
    <row r="2820" spans="32:32" x14ac:dyDescent="0.3">
      <c r="AF2820" s="19"/>
    </row>
    <row r="2821" spans="32:32" x14ac:dyDescent="0.3">
      <c r="AF2821" s="19"/>
    </row>
    <row r="2822" spans="32:32" x14ac:dyDescent="0.3">
      <c r="AF2822" s="19"/>
    </row>
    <row r="2823" spans="32:32" x14ac:dyDescent="0.3">
      <c r="AF2823" s="19"/>
    </row>
    <row r="2824" spans="32:32" x14ac:dyDescent="0.3">
      <c r="AF2824" s="19"/>
    </row>
    <row r="2825" spans="32:32" x14ac:dyDescent="0.3">
      <c r="AF2825" s="19"/>
    </row>
    <row r="2840" spans="32:32" x14ac:dyDescent="0.3">
      <c r="AF2840" s="19"/>
    </row>
    <row r="2841" spans="32:32" x14ac:dyDescent="0.3">
      <c r="AF2841" s="19"/>
    </row>
    <row r="2842" spans="32:32" x14ac:dyDescent="0.3">
      <c r="AF2842" s="19"/>
    </row>
    <row r="2843" spans="32:32" x14ac:dyDescent="0.3">
      <c r="AF2843" s="19"/>
    </row>
    <row r="2844" spans="32:32" x14ac:dyDescent="0.3">
      <c r="AF2844" s="19"/>
    </row>
    <row r="2845" spans="32:32" x14ac:dyDescent="0.3">
      <c r="AF2845" s="19"/>
    </row>
    <row r="2846" spans="32:32" x14ac:dyDescent="0.3">
      <c r="AF2846" s="19"/>
    </row>
    <row r="2847" spans="32:32" x14ac:dyDescent="0.3">
      <c r="AF2847" s="19"/>
    </row>
    <row r="2848" spans="32:32" x14ac:dyDescent="0.3">
      <c r="AF2848" s="19"/>
    </row>
    <row r="2860" spans="32:32" x14ac:dyDescent="0.3">
      <c r="AF2860" s="19"/>
    </row>
    <row r="2861" spans="32:32" x14ac:dyDescent="0.3">
      <c r="AF2861" s="19"/>
    </row>
    <row r="2862" spans="32:32" x14ac:dyDescent="0.3">
      <c r="AF2862" s="19"/>
    </row>
    <row r="2863" spans="32:32" x14ac:dyDescent="0.3">
      <c r="AF2863" s="19"/>
    </row>
    <row r="2864" spans="32:32" x14ac:dyDescent="0.3">
      <c r="AF2864" s="19"/>
    </row>
    <row r="2865" spans="32:32" x14ac:dyDescent="0.3">
      <c r="AF2865" s="19"/>
    </row>
    <row r="2866" spans="32:32" x14ac:dyDescent="0.3">
      <c r="AF2866" s="19"/>
    </row>
    <row r="2867" spans="32:32" x14ac:dyDescent="0.3">
      <c r="AF2867" s="19"/>
    </row>
    <row r="2868" spans="32:32" x14ac:dyDescent="0.3">
      <c r="AF2868" s="19"/>
    </row>
    <row r="2882" spans="32:32" x14ac:dyDescent="0.3">
      <c r="AF2882" s="19"/>
    </row>
    <row r="2883" spans="32:32" x14ac:dyDescent="0.3">
      <c r="AF2883" s="19"/>
    </row>
    <row r="2884" spans="32:32" x14ac:dyDescent="0.3">
      <c r="AF2884" s="19"/>
    </row>
    <row r="2885" spans="32:32" x14ac:dyDescent="0.3">
      <c r="AF2885" s="19"/>
    </row>
    <row r="2886" spans="32:32" x14ac:dyDescent="0.3">
      <c r="AF2886" s="19"/>
    </row>
    <row r="2887" spans="32:32" x14ac:dyDescent="0.3">
      <c r="AF2887" s="19"/>
    </row>
    <row r="2888" spans="32:32" x14ac:dyDescent="0.3">
      <c r="AF2888" s="19"/>
    </row>
    <row r="2889" spans="32:32" x14ac:dyDescent="0.3">
      <c r="AF2889" s="19"/>
    </row>
    <row r="2903" spans="32:32" x14ac:dyDescent="0.3">
      <c r="AF2903" s="19"/>
    </row>
    <row r="2904" spans="32:32" x14ac:dyDescent="0.3">
      <c r="AF2904" s="19"/>
    </row>
    <row r="2905" spans="32:32" x14ac:dyDescent="0.3">
      <c r="AF2905" s="19"/>
    </row>
    <row r="2906" spans="32:32" x14ac:dyDescent="0.3">
      <c r="AF2906" s="19"/>
    </row>
    <row r="2907" spans="32:32" x14ac:dyDescent="0.3">
      <c r="AF2907" s="19"/>
    </row>
    <row r="2908" spans="32:32" x14ac:dyDescent="0.3">
      <c r="AF2908" s="19"/>
    </row>
    <row r="2909" spans="32:32" x14ac:dyDescent="0.3">
      <c r="AF2909" s="19"/>
    </row>
    <row r="2910" spans="32:32" x14ac:dyDescent="0.3">
      <c r="AF2910" s="19"/>
    </row>
    <row r="2924" spans="32:32" x14ac:dyDescent="0.3">
      <c r="AF2924" s="19"/>
    </row>
    <row r="2925" spans="32:32" x14ac:dyDescent="0.3">
      <c r="AF2925" s="19"/>
    </row>
    <row r="2926" spans="32:32" x14ac:dyDescent="0.3">
      <c r="AF2926" s="19"/>
    </row>
    <row r="2927" spans="32:32" x14ac:dyDescent="0.3">
      <c r="AF2927" s="19"/>
    </row>
    <row r="2928" spans="32:32" x14ac:dyDescent="0.3">
      <c r="AF2928" s="19"/>
    </row>
    <row r="2929" spans="32:32" x14ac:dyDescent="0.3">
      <c r="AF2929" s="19"/>
    </row>
    <row r="2930" spans="32:32" x14ac:dyDescent="0.3">
      <c r="AF2930" s="19"/>
    </row>
    <row r="2931" spans="32:32" x14ac:dyDescent="0.3">
      <c r="AF2931" s="19"/>
    </row>
    <row r="2947" spans="32:32" x14ac:dyDescent="0.3">
      <c r="AF2947" s="19"/>
    </row>
    <row r="2948" spans="32:32" x14ac:dyDescent="0.3">
      <c r="AF2948" s="19"/>
    </row>
    <row r="2949" spans="32:32" x14ac:dyDescent="0.3">
      <c r="AF2949" s="19"/>
    </row>
    <row r="2950" spans="32:32" x14ac:dyDescent="0.3">
      <c r="AF2950" s="19"/>
    </row>
    <row r="2951" spans="32:32" x14ac:dyDescent="0.3">
      <c r="AF2951" s="19"/>
    </row>
    <row r="2962" spans="32:32" x14ac:dyDescent="0.3">
      <c r="AF2962" s="19"/>
    </row>
    <row r="2963" spans="32:32" x14ac:dyDescent="0.3">
      <c r="AF2963" s="19"/>
    </row>
    <row r="2964" spans="32:32" x14ac:dyDescent="0.3">
      <c r="AF2964" s="19"/>
    </row>
    <row r="2965" spans="32:32" x14ac:dyDescent="0.3">
      <c r="AF2965" s="19"/>
    </row>
    <row r="2966" spans="32:32" x14ac:dyDescent="0.3">
      <c r="AF2966" s="19"/>
    </row>
    <row r="2967" spans="32:32" x14ac:dyDescent="0.3">
      <c r="AF2967" s="19"/>
    </row>
    <row r="2968" spans="32:32" x14ac:dyDescent="0.3">
      <c r="AF2968" s="19"/>
    </row>
    <row r="2969" spans="32:32" x14ac:dyDescent="0.3">
      <c r="AF2969" s="19"/>
    </row>
    <row r="2970" spans="32:32" x14ac:dyDescent="0.3">
      <c r="AF2970" s="19"/>
    </row>
    <row r="2971" spans="32:32" x14ac:dyDescent="0.3">
      <c r="AF2971" s="19"/>
    </row>
    <row r="2985" spans="32:32" x14ac:dyDescent="0.3">
      <c r="AF2985" s="19"/>
    </row>
    <row r="2986" spans="32:32" x14ac:dyDescent="0.3">
      <c r="AF2986" s="19"/>
    </row>
    <row r="2987" spans="32:32" x14ac:dyDescent="0.3">
      <c r="AF2987" s="19"/>
    </row>
    <row r="2988" spans="32:32" x14ac:dyDescent="0.3">
      <c r="AF2988" s="19"/>
    </row>
    <row r="2989" spans="32:32" x14ac:dyDescent="0.3">
      <c r="AF2989" s="19"/>
    </row>
    <row r="2990" spans="32:32" x14ac:dyDescent="0.3">
      <c r="AF2990" s="19"/>
    </row>
    <row r="2991" spans="32:32" x14ac:dyDescent="0.3">
      <c r="AF2991" s="19"/>
    </row>
    <row r="2992" spans="32:32" x14ac:dyDescent="0.3">
      <c r="AF2992" s="19"/>
    </row>
    <row r="3006" spans="32:32" x14ac:dyDescent="0.3">
      <c r="AF3006" s="19"/>
    </row>
    <row r="3007" spans="32:32" x14ac:dyDescent="0.3">
      <c r="AF3007" s="19"/>
    </row>
    <row r="3008" spans="32:32" x14ac:dyDescent="0.3">
      <c r="AF3008" s="19"/>
    </row>
    <row r="3009" spans="32:32" x14ac:dyDescent="0.3">
      <c r="AF3009" s="19"/>
    </row>
    <row r="3010" spans="32:32" x14ac:dyDescent="0.3">
      <c r="AF3010" s="19"/>
    </row>
    <row r="3011" spans="32:32" x14ac:dyDescent="0.3">
      <c r="AF3011" s="19"/>
    </row>
    <row r="3012" spans="32:32" x14ac:dyDescent="0.3">
      <c r="AF3012" s="19"/>
    </row>
    <row r="3013" spans="32:32" x14ac:dyDescent="0.3">
      <c r="AF3013" s="19"/>
    </row>
    <row r="3026" spans="32:32" x14ac:dyDescent="0.3">
      <c r="AF3026" s="19"/>
    </row>
    <row r="3027" spans="32:32" x14ac:dyDescent="0.3">
      <c r="AF3027" s="19"/>
    </row>
    <row r="3028" spans="32:32" x14ac:dyDescent="0.3">
      <c r="AF3028" s="19"/>
    </row>
    <row r="3029" spans="32:32" x14ac:dyDescent="0.3">
      <c r="AF3029" s="19"/>
    </row>
    <row r="3030" spans="32:32" x14ac:dyDescent="0.3">
      <c r="AF3030" s="19"/>
    </row>
    <row r="3031" spans="32:32" x14ac:dyDescent="0.3">
      <c r="AF3031" s="19"/>
    </row>
    <row r="3032" spans="32:32" x14ac:dyDescent="0.3">
      <c r="AF3032" s="19"/>
    </row>
    <row r="3033" spans="32:32" x14ac:dyDescent="0.3">
      <c r="AF3033" s="19"/>
    </row>
    <row r="3047" spans="32:32" x14ac:dyDescent="0.3">
      <c r="AF3047" s="19"/>
    </row>
    <row r="3048" spans="32:32" x14ac:dyDescent="0.3">
      <c r="AF3048" s="19"/>
    </row>
    <row r="3049" spans="32:32" x14ac:dyDescent="0.3">
      <c r="AF3049" s="19"/>
    </row>
    <row r="3050" spans="32:32" x14ac:dyDescent="0.3">
      <c r="AF3050" s="19"/>
    </row>
    <row r="3051" spans="32:32" x14ac:dyDescent="0.3">
      <c r="AF3051" s="19"/>
    </row>
    <row r="3052" spans="32:32" x14ac:dyDescent="0.3">
      <c r="AF3052" s="19"/>
    </row>
    <row r="3053" spans="32:32" x14ac:dyDescent="0.3">
      <c r="AF3053" s="19"/>
    </row>
    <row r="3054" spans="32:32" x14ac:dyDescent="0.3">
      <c r="AF3054" s="19"/>
    </row>
    <row r="3066" spans="32:32" x14ac:dyDescent="0.3">
      <c r="AF3066" s="19"/>
    </row>
    <row r="3067" spans="32:32" x14ac:dyDescent="0.3">
      <c r="AF3067" s="19"/>
    </row>
    <row r="3068" spans="32:32" x14ac:dyDescent="0.3">
      <c r="AF3068" s="19"/>
    </row>
    <row r="3069" spans="32:32" x14ac:dyDescent="0.3">
      <c r="AF3069" s="19"/>
    </row>
    <row r="3070" spans="32:32" x14ac:dyDescent="0.3">
      <c r="AF3070" s="19"/>
    </row>
    <row r="3071" spans="32:32" x14ac:dyDescent="0.3">
      <c r="AF3071" s="19"/>
    </row>
    <row r="3072" spans="32:32" x14ac:dyDescent="0.3">
      <c r="AF3072" s="19"/>
    </row>
    <row r="3073" spans="32:32" x14ac:dyDescent="0.3">
      <c r="AF3073" s="19"/>
    </row>
    <row r="3086" spans="32:32" x14ac:dyDescent="0.3">
      <c r="AF3086" s="19"/>
    </row>
    <row r="3087" spans="32:32" x14ac:dyDescent="0.3">
      <c r="AF3087" s="19"/>
    </row>
    <row r="3088" spans="32:32" x14ac:dyDescent="0.3">
      <c r="AF3088" s="19"/>
    </row>
    <row r="3089" spans="32:32" x14ac:dyDescent="0.3">
      <c r="AF3089" s="19"/>
    </row>
    <row r="3090" spans="32:32" x14ac:dyDescent="0.3">
      <c r="AF3090" s="19"/>
    </row>
    <row r="3091" spans="32:32" x14ac:dyDescent="0.3">
      <c r="AF3091" s="19"/>
    </row>
    <row r="3092" spans="32:32" x14ac:dyDescent="0.3">
      <c r="AF3092" s="19"/>
    </row>
    <row r="3093" spans="32:32" x14ac:dyDescent="0.3">
      <c r="AF3093" s="19"/>
    </row>
    <row r="3094" spans="32:32" x14ac:dyDescent="0.3">
      <c r="AF3094" s="19"/>
    </row>
    <row r="3095" spans="32:32" x14ac:dyDescent="0.3">
      <c r="AF3095" s="19"/>
    </row>
    <row r="3108" spans="32:32" x14ac:dyDescent="0.3">
      <c r="AF3108" s="19"/>
    </row>
    <row r="3109" spans="32:32" x14ac:dyDescent="0.3">
      <c r="AF3109" s="19"/>
    </row>
    <row r="3110" spans="32:32" x14ac:dyDescent="0.3">
      <c r="AF3110" s="19"/>
    </row>
    <row r="3111" spans="32:32" x14ac:dyDescent="0.3">
      <c r="AF3111" s="19"/>
    </row>
    <row r="3112" spans="32:32" x14ac:dyDescent="0.3">
      <c r="AF3112" s="19"/>
    </row>
    <row r="3113" spans="32:32" x14ac:dyDescent="0.3">
      <c r="AF3113" s="19"/>
    </row>
    <row r="3114" spans="32:32" x14ac:dyDescent="0.3">
      <c r="AF3114" s="19"/>
    </row>
    <row r="3115" spans="32:32" x14ac:dyDescent="0.3">
      <c r="AF3115" s="19"/>
    </row>
    <row r="3130" spans="32:32" x14ac:dyDescent="0.3">
      <c r="AF3130" s="19"/>
    </row>
    <row r="3131" spans="32:32" x14ac:dyDescent="0.3">
      <c r="AF3131" s="19"/>
    </row>
    <row r="3132" spans="32:32" x14ac:dyDescent="0.3">
      <c r="AF3132" s="19"/>
    </row>
    <row r="3133" spans="32:32" x14ac:dyDescent="0.3">
      <c r="AF3133" s="19"/>
    </row>
    <row r="3134" spans="32:32" x14ac:dyDescent="0.3">
      <c r="AF3134" s="19"/>
    </row>
    <row r="3135" spans="32:32" x14ac:dyDescent="0.3">
      <c r="AF3135" s="19"/>
    </row>
    <row r="3136" spans="32:32" x14ac:dyDescent="0.3">
      <c r="AF3136" s="19"/>
    </row>
    <row r="3137" spans="32:32" x14ac:dyDescent="0.3">
      <c r="AF3137" s="19"/>
    </row>
    <row r="3150" spans="32:32" x14ac:dyDescent="0.3">
      <c r="AF3150" s="19"/>
    </row>
    <row r="3151" spans="32:32" x14ac:dyDescent="0.3">
      <c r="AF3151" s="19"/>
    </row>
    <row r="3152" spans="32:32" x14ac:dyDescent="0.3">
      <c r="AF3152" s="19"/>
    </row>
    <row r="3153" spans="32:32" x14ac:dyDescent="0.3">
      <c r="AF3153" s="19"/>
    </row>
    <row r="3154" spans="32:32" x14ac:dyDescent="0.3">
      <c r="AF3154" s="19"/>
    </row>
    <row r="3155" spans="32:32" x14ac:dyDescent="0.3">
      <c r="AF3155" s="19"/>
    </row>
    <row r="3156" spans="32:32" x14ac:dyDescent="0.3">
      <c r="AF3156" s="19"/>
    </row>
    <row r="3157" spans="32:32" x14ac:dyDescent="0.3">
      <c r="AF3157" s="19"/>
    </row>
    <row r="3158" spans="32:32" x14ac:dyDescent="0.3">
      <c r="AF3158" s="19"/>
    </row>
    <row r="3172" spans="32:32" x14ac:dyDescent="0.3">
      <c r="AF3172" s="19"/>
    </row>
    <row r="3173" spans="32:32" x14ac:dyDescent="0.3">
      <c r="AF3173" s="19"/>
    </row>
    <row r="3174" spans="32:32" x14ac:dyDescent="0.3">
      <c r="AF3174" s="19"/>
    </row>
    <row r="3175" spans="32:32" x14ac:dyDescent="0.3">
      <c r="AF3175" s="19"/>
    </row>
    <row r="3176" spans="32:32" x14ac:dyDescent="0.3">
      <c r="AF3176" s="19"/>
    </row>
    <row r="3177" spans="32:32" x14ac:dyDescent="0.3">
      <c r="AF3177" s="19"/>
    </row>
    <row r="3178" spans="32:32" x14ac:dyDescent="0.3">
      <c r="AF3178" s="19"/>
    </row>
    <row r="3179" spans="32:32" x14ac:dyDescent="0.3">
      <c r="AF3179" s="19"/>
    </row>
    <row r="3194" spans="32:32" x14ac:dyDescent="0.3">
      <c r="AF3194" s="19"/>
    </row>
    <row r="3195" spans="32:32" x14ac:dyDescent="0.3">
      <c r="AF3195" s="19"/>
    </row>
    <row r="3196" spans="32:32" x14ac:dyDescent="0.3">
      <c r="AF3196" s="19"/>
    </row>
    <row r="3197" spans="32:32" x14ac:dyDescent="0.3">
      <c r="AF3197" s="19"/>
    </row>
    <row r="3198" spans="32:32" x14ac:dyDescent="0.3">
      <c r="AF3198" s="19"/>
    </row>
    <row r="3199" spans="32:32" x14ac:dyDescent="0.3">
      <c r="AF3199" s="19"/>
    </row>
    <row r="3200" spans="32:32" x14ac:dyDescent="0.3">
      <c r="AF3200" s="19"/>
    </row>
    <row r="3201" spans="32:32" x14ac:dyDescent="0.3">
      <c r="AF3201" s="19"/>
    </row>
    <row r="3214" spans="32:32" x14ac:dyDescent="0.3">
      <c r="AF3214" s="19"/>
    </row>
    <row r="3215" spans="32:32" x14ac:dyDescent="0.3">
      <c r="AF3215" s="19"/>
    </row>
    <row r="3216" spans="32:32" x14ac:dyDescent="0.3">
      <c r="AF3216" s="19"/>
    </row>
    <row r="3217" spans="32:32" x14ac:dyDescent="0.3">
      <c r="AF3217" s="19"/>
    </row>
    <row r="3218" spans="32:32" x14ac:dyDescent="0.3">
      <c r="AF3218" s="19"/>
    </row>
    <row r="3219" spans="32:32" x14ac:dyDescent="0.3">
      <c r="AF3219" s="19"/>
    </row>
    <row r="3220" spans="32:32" x14ac:dyDescent="0.3">
      <c r="AF3220" s="19"/>
    </row>
    <row r="3221" spans="32:32" x14ac:dyDescent="0.3">
      <c r="AF3221" s="19"/>
    </row>
    <row r="3222" spans="32:32" x14ac:dyDescent="0.3">
      <c r="AF3222" s="19"/>
    </row>
    <row r="3237" spans="32:32" x14ac:dyDescent="0.3">
      <c r="AF3237" s="19"/>
    </row>
    <row r="3238" spans="32:32" x14ac:dyDescent="0.3">
      <c r="AF3238" s="19"/>
    </row>
    <row r="3239" spans="32:32" x14ac:dyDescent="0.3">
      <c r="AF3239" s="19"/>
    </row>
    <row r="3240" spans="32:32" x14ac:dyDescent="0.3">
      <c r="AF3240" s="19"/>
    </row>
    <row r="3241" spans="32:32" x14ac:dyDescent="0.3">
      <c r="AF3241" s="19"/>
    </row>
    <row r="3242" spans="32:32" x14ac:dyDescent="0.3">
      <c r="AF3242" s="19"/>
    </row>
    <row r="3243" spans="32:32" x14ac:dyDescent="0.3">
      <c r="AF3243" s="19"/>
    </row>
    <row r="3244" spans="32:32" x14ac:dyDescent="0.3">
      <c r="AF3244" s="19"/>
    </row>
    <row r="3257" spans="32:32" x14ac:dyDescent="0.3">
      <c r="AF3257" s="19"/>
    </row>
    <row r="3258" spans="32:32" x14ac:dyDescent="0.3">
      <c r="AF3258" s="19"/>
    </row>
    <row r="3259" spans="32:32" x14ac:dyDescent="0.3">
      <c r="AF3259" s="19"/>
    </row>
    <row r="3260" spans="32:32" x14ac:dyDescent="0.3">
      <c r="AF3260" s="19"/>
    </row>
    <row r="3261" spans="32:32" x14ac:dyDescent="0.3">
      <c r="AF3261" s="19"/>
    </row>
    <row r="3262" spans="32:32" x14ac:dyDescent="0.3">
      <c r="AF3262" s="19"/>
    </row>
    <row r="3263" spans="32:32" x14ac:dyDescent="0.3">
      <c r="AF3263" s="19"/>
    </row>
    <row r="3264" spans="32:32" x14ac:dyDescent="0.3">
      <c r="AF3264" s="19"/>
    </row>
    <row r="3265" spans="32:32" x14ac:dyDescent="0.3">
      <c r="AF3265" s="19"/>
    </row>
    <row r="3278" spans="32:32" x14ac:dyDescent="0.3">
      <c r="AF3278" s="19"/>
    </row>
    <row r="3279" spans="32:32" x14ac:dyDescent="0.3">
      <c r="AF3279" s="19"/>
    </row>
    <row r="3280" spans="32:32" x14ac:dyDescent="0.3">
      <c r="AF3280" s="19"/>
    </row>
    <row r="3281" spans="32:32" x14ac:dyDescent="0.3">
      <c r="AF3281" s="19"/>
    </row>
    <row r="3282" spans="32:32" x14ac:dyDescent="0.3">
      <c r="AF3282" s="19"/>
    </row>
    <row r="3283" spans="32:32" x14ac:dyDescent="0.3">
      <c r="AF3283" s="19"/>
    </row>
    <row r="3284" spans="32:32" x14ac:dyDescent="0.3">
      <c r="AF3284" s="19"/>
    </row>
    <row r="3299" spans="32:32" x14ac:dyDescent="0.3">
      <c r="AF3299" s="19"/>
    </row>
    <row r="3300" spans="32:32" x14ac:dyDescent="0.3">
      <c r="AF3300" s="19"/>
    </row>
    <row r="3301" spans="32:32" x14ac:dyDescent="0.3">
      <c r="AF3301" s="19"/>
    </row>
    <row r="3302" spans="32:32" x14ac:dyDescent="0.3">
      <c r="AF3302" s="19"/>
    </row>
    <row r="3303" spans="32:32" x14ac:dyDescent="0.3">
      <c r="AF3303" s="19"/>
    </row>
    <row r="3304" spans="32:32" x14ac:dyDescent="0.3">
      <c r="AF3304" s="19"/>
    </row>
    <row r="3305" spans="32:32" x14ac:dyDescent="0.3">
      <c r="AF3305" s="19"/>
    </row>
    <row r="3306" spans="32:32" x14ac:dyDescent="0.3">
      <c r="AF3306" s="19"/>
    </row>
    <row r="3318" spans="32:32" x14ac:dyDescent="0.3">
      <c r="AF3318" s="19"/>
    </row>
    <row r="3319" spans="32:32" x14ac:dyDescent="0.3">
      <c r="AF3319" s="19"/>
    </row>
    <row r="3320" spans="32:32" x14ac:dyDescent="0.3">
      <c r="AF3320" s="19"/>
    </row>
    <row r="3321" spans="32:32" x14ac:dyDescent="0.3">
      <c r="AF3321" s="19"/>
    </row>
    <row r="3322" spans="32:32" x14ac:dyDescent="0.3">
      <c r="AF3322" s="19"/>
    </row>
    <row r="3323" spans="32:32" x14ac:dyDescent="0.3">
      <c r="AF3323" s="19"/>
    </row>
    <row r="3324" spans="32:32" x14ac:dyDescent="0.3">
      <c r="AF3324" s="19"/>
    </row>
    <row r="3325" spans="32:32" x14ac:dyDescent="0.3">
      <c r="AF3325" s="19"/>
    </row>
    <row r="3339" spans="32:32" x14ac:dyDescent="0.3">
      <c r="AF3339" s="19"/>
    </row>
    <row r="3340" spans="32:32" x14ac:dyDescent="0.3">
      <c r="AF3340" s="19"/>
    </row>
    <row r="3341" spans="32:32" x14ac:dyDescent="0.3">
      <c r="AF3341" s="19"/>
    </row>
    <row r="3342" spans="32:32" x14ac:dyDescent="0.3">
      <c r="AF3342" s="19"/>
    </row>
    <row r="3343" spans="32:32" x14ac:dyDescent="0.3">
      <c r="AF3343" s="19"/>
    </row>
    <row r="3344" spans="32:32" x14ac:dyDescent="0.3">
      <c r="AF3344" s="19"/>
    </row>
    <row r="3345" spans="32:32" x14ac:dyDescent="0.3">
      <c r="AF3345" s="19"/>
    </row>
    <row r="3346" spans="32:32" x14ac:dyDescent="0.3">
      <c r="AF3346" s="19"/>
    </row>
    <row r="3347" spans="32:32" x14ac:dyDescent="0.3">
      <c r="AF3347" s="19"/>
    </row>
    <row r="3360" spans="32:32" x14ac:dyDescent="0.3">
      <c r="AF3360" s="19"/>
    </row>
    <row r="3361" spans="32:32" x14ac:dyDescent="0.3">
      <c r="AF3361" s="19"/>
    </row>
    <row r="3362" spans="32:32" x14ac:dyDescent="0.3">
      <c r="AF3362" s="19"/>
    </row>
    <row r="3363" spans="32:32" x14ac:dyDescent="0.3">
      <c r="AF3363" s="19"/>
    </row>
    <row r="3364" spans="32:32" x14ac:dyDescent="0.3">
      <c r="AF3364" s="19"/>
    </row>
    <row r="3365" spans="32:32" x14ac:dyDescent="0.3">
      <c r="AF3365" s="19"/>
    </row>
    <row r="3366" spans="32:32" x14ac:dyDescent="0.3">
      <c r="AF3366" s="19"/>
    </row>
    <row r="3367" spans="32:32" x14ac:dyDescent="0.3">
      <c r="AF3367" s="19"/>
    </row>
    <row r="3381" spans="32:32" x14ac:dyDescent="0.3">
      <c r="AF3381" s="19"/>
    </row>
    <row r="3382" spans="32:32" x14ac:dyDescent="0.3">
      <c r="AF3382" s="19"/>
    </row>
    <row r="3383" spans="32:32" x14ac:dyDescent="0.3">
      <c r="AF3383" s="19"/>
    </row>
    <row r="3384" spans="32:32" x14ac:dyDescent="0.3">
      <c r="AF3384" s="19"/>
    </row>
    <row r="3385" spans="32:32" x14ac:dyDescent="0.3">
      <c r="AF3385" s="19"/>
    </row>
    <row r="3386" spans="32:32" x14ac:dyDescent="0.3">
      <c r="AF3386" s="19"/>
    </row>
    <row r="3387" spans="32:32" x14ac:dyDescent="0.3">
      <c r="AF3387" s="19"/>
    </row>
    <row r="3388" spans="32:32" x14ac:dyDescent="0.3">
      <c r="AF3388" s="19"/>
    </row>
    <row r="3389" spans="32:32" x14ac:dyDescent="0.3">
      <c r="AF3389" s="19"/>
    </row>
    <row r="3402" spans="32:32" x14ac:dyDescent="0.3">
      <c r="AF3402" s="19"/>
    </row>
    <row r="3403" spans="32:32" x14ac:dyDescent="0.3">
      <c r="AF3403" s="19"/>
    </row>
    <row r="3404" spans="32:32" x14ac:dyDescent="0.3">
      <c r="AF3404" s="19"/>
    </row>
    <row r="3405" spans="32:32" x14ac:dyDescent="0.3">
      <c r="AF3405" s="19"/>
    </row>
    <row r="3406" spans="32:32" x14ac:dyDescent="0.3">
      <c r="AF3406" s="19"/>
    </row>
    <row r="3407" spans="32:32" x14ac:dyDescent="0.3">
      <c r="AF3407" s="19"/>
    </row>
    <row r="3408" spans="32:32" x14ac:dyDescent="0.3">
      <c r="AF3408" s="19"/>
    </row>
    <row r="3409" spans="32:32" x14ac:dyDescent="0.3">
      <c r="AF3409" s="19"/>
    </row>
    <row r="3424" spans="32:32" x14ac:dyDescent="0.3">
      <c r="AF3424" s="19"/>
    </row>
    <row r="3425" spans="32:32" x14ac:dyDescent="0.3">
      <c r="AF3425" s="19"/>
    </row>
    <row r="3426" spans="32:32" x14ac:dyDescent="0.3">
      <c r="AF3426" s="19"/>
    </row>
    <row r="3427" spans="32:32" x14ac:dyDescent="0.3">
      <c r="AF3427" s="19"/>
    </row>
    <row r="3428" spans="32:32" x14ac:dyDescent="0.3">
      <c r="AF3428" s="19"/>
    </row>
    <row r="3429" spans="32:32" x14ac:dyDescent="0.3">
      <c r="AF3429" s="19"/>
    </row>
    <row r="3430" spans="32:32" x14ac:dyDescent="0.3">
      <c r="AF3430" s="19"/>
    </row>
    <row r="3431" spans="32:32" x14ac:dyDescent="0.3">
      <c r="AF3431" s="19"/>
    </row>
    <row r="3445" spans="32:32" x14ac:dyDescent="0.3">
      <c r="AF3445" s="19"/>
    </row>
    <row r="3446" spans="32:32" x14ac:dyDescent="0.3">
      <c r="AF3446" s="19"/>
    </row>
    <row r="3447" spans="32:32" x14ac:dyDescent="0.3">
      <c r="AF3447" s="19"/>
    </row>
    <row r="3448" spans="32:32" x14ac:dyDescent="0.3">
      <c r="AF3448" s="19"/>
    </row>
    <row r="3449" spans="32:32" x14ac:dyDescent="0.3">
      <c r="AF3449" s="19"/>
    </row>
    <row r="3450" spans="32:32" x14ac:dyDescent="0.3">
      <c r="AF3450" s="19"/>
    </row>
    <row r="3451" spans="32:32" x14ac:dyDescent="0.3">
      <c r="AF3451" s="19"/>
    </row>
    <row r="3452" spans="32:32" x14ac:dyDescent="0.3">
      <c r="AF3452" s="19"/>
    </row>
    <row r="3453" spans="32:32" x14ac:dyDescent="0.3">
      <c r="AF3453" s="19"/>
    </row>
    <row r="3466" spans="32:32" x14ac:dyDescent="0.3">
      <c r="AF3466" s="19"/>
    </row>
    <row r="3467" spans="32:32" x14ac:dyDescent="0.3">
      <c r="AF3467" s="19"/>
    </row>
    <row r="3468" spans="32:32" x14ac:dyDescent="0.3">
      <c r="AF3468" s="19"/>
    </row>
    <row r="3469" spans="32:32" x14ac:dyDescent="0.3">
      <c r="AF3469" s="19"/>
    </row>
    <row r="3470" spans="32:32" x14ac:dyDescent="0.3">
      <c r="AF3470" s="19"/>
    </row>
    <row r="3471" spans="32:32" x14ac:dyDescent="0.3">
      <c r="AF3471" s="19"/>
    </row>
    <row r="3472" spans="32:32" x14ac:dyDescent="0.3">
      <c r="AF3472" s="19"/>
    </row>
    <row r="3473" spans="32:32" x14ac:dyDescent="0.3">
      <c r="AF3473" s="19"/>
    </row>
    <row r="3489" spans="32:32" x14ac:dyDescent="0.3">
      <c r="AF3489" s="19"/>
    </row>
    <row r="3490" spans="32:32" x14ac:dyDescent="0.3">
      <c r="AF3490" s="19"/>
    </row>
    <row r="3491" spans="32:32" x14ac:dyDescent="0.3">
      <c r="AF3491" s="19"/>
    </row>
    <row r="3492" spans="32:32" x14ac:dyDescent="0.3">
      <c r="AF3492" s="19"/>
    </row>
    <row r="3493" spans="32:32" x14ac:dyDescent="0.3">
      <c r="AF3493" s="19"/>
    </row>
    <row r="3494" spans="32:32" x14ac:dyDescent="0.3">
      <c r="AF3494" s="19"/>
    </row>
    <row r="3495" spans="32:32" x14ac:dyDescent="0.3">
      <c r="AF3495" s="19"/>
    </row>
    <row r="3496" spans="32:32" x14ac:dyDescent="0.3">
      <c r="AF3496" s="19"/>
    </row>
    <row r="3508" spans="32:32" x14ac:dyDescent="0.3">
      <c r="AF3508" s="19"/>
    </row>
    <row r="3509" spans="32:32" x14ac:dyDescent="0.3">
      <c r="AF3509" s="19"/>
    </row>
    <row r="3510" spans="32:32" x14ac:dyDescent="0.3">
      <c r="AF3510" s="19"/>
    </row>
    <row r="3511" spans="32:32" x14ac:dyDescent="0.3">
      <c r="AF3511" s="19"/>
    </row>
    <row r="3512" spans="32:32" x14ac:dyDescent="0.3">
      <c r="AF3512" s="19"/>
    </row>
    <row r="3513" spans="32:32" x14ac:dyDescent="0.3">
      <c r="AF3513" s="19"/>
    </row>
    <row r="3514" spans="32:32" x14ac:dyDescent="0.3">
      <c r="AF3514" s="19"/>
    </row>
    <row r="3515" spans="32:32" x14ac:dyDescent="0.3">
      <c r="AF3515" s="19"/>
    </row>
    <row r="3516" spans="32:32" x14ac:dyDescent="0.3">
      <c r="AF3516" s="19"/>
    </row>
    <row r="3517" spans="32:32" x14ac:dyDescent="0.3">
      <c r="AF3517" s="19"/>
    </row>
    <row r="3530" spans="32:32" x14ac:dyDescent="0.3">
      <c r="AF3530" s="19"/>
    </row>
    <row r="3531" spans="32:32" x14ac:dyDescent="0.3">
      <c r="AF3531" s="19"/>
    </row>
    <row r="3532" spans="32:32" x14ac:dyDescent="0.3">
      <c r="AF3532" s="19"/>
    </row>
    <row r="3533" spans="32:32" x14ac:dyDescent="0.3">
      <c r="AF3533" s="19"/>
    </row>
    <row r="3534" spans="32:32" x14ac:dyDescent="0.3">
      <c r="AF3534" s="19"/>
    </row>
    <row r="3535" spans="32:32" x14ac:dyDescent="0.3">
      <c r="AF3535" s="19"/>
    </row>
    <row r="3536" spans="32:32" x14ac:dyDescent="0.3">
      <c r="AF3536" s="19"/>
    </row>
    <row r="3550" spans="32:32" x14ac:dyDescent="0.3">
      <c r="AF3550" s="19"/>
    </row>
    <row r="3551" spans="32:32" x14ac:dyDescent="0.3">
      <c r="AF3551" s="19"/>
    </row>
    <row r="3552" spans="32:32" x14ac:dyDescent="0.3">
      <c r="AF3552" s="19"/>
    </row>
    <row r="3553" spans="32:32" x14ac:dyDescent="0.3">
      <c r="AF3553" s="19"/>
    </row>
    <row r="3554" spans="32:32" x14ac:dyDescent="0.3">
      <c r="AF3554" s="19"/>
    </row>
    <row r="3555" spans="32:32" x14ac:dyDescent="0.3">
      <c r="AF3555" s="19"/>
    </row>
    <row r="3556" spans="32:32" x14ac:dyDescent="0.3">
      <c r="AF3556" s="19"/>
    </row>
    <row r="3557" spans="32:32" x14ac:dyDescent="0.3">
      <c r="AF3557" s="19"/>
    </row>
    <row r="3558" spans="32:32" x14ac:dyDescent="0.3">
      <c r="AF3558" s="19"/>
    </row>
    <row r="3569" spans="32:32" x14ac:dyDescent="0.3">
      <c r="AF3569" s="19"/>
    </row>
    <row r="3570" spans="32:32" x14ac:dyDescent="0.3">
      <c r="AF3570" s="19"/>
    </row>
    <row r="3571" spans="32:32" x14ac:dyDescent="0.3">
      <c r="AF3571" s="19"/>
    </row>
    <row r="3572" spans="32:32" x14ac:dyDescent="0.3">
      <c r="AF3572" s="19"/>
    </row>
    <row r="3573" spans="32:32" x14ac:dyDescent="0.3">
      <c r="AF3573" s="19"/>
    </row>
    <row r="3574" spans="32:32" x14ac:dyDescent="0.3">
      <c r="AF3574" s="19"/>
    </row>
    <row r="3575" spans="32:32" x14ac:dyDescent="0.3">
      <c r="AF3575" s="19"/>
    </row>
    <row r="3576" spans="32:32" x14ac:dyDescent="0.3">
      <c r="AF3576" s="19"/>
    </row>
    <row r="3577" spans="32:32" x14ac:dyDescent="0.3">
      <c r="AF3577" s="19"/>
    </row>
    <row r="3578" spans="32:32" x14ac:dyDescent="0.3">
      <c r="AF3578" s="19"/>
    </row>
    <row r="3592" spans="32:32" x14ac:dyDescent="0.3">
      <c r="AF3592" s="19"/>
    </row>
    <row r="3593" spans="32:32" x14ac:dyDescent="0.3">
      <c r="AF3593" s="19"/>
    </row>
    <row r="3594" spans="32:32" x14ac:dyDescent="0.3">
      <c r="AF3594" s="19"/>
    </row>
    <row r="3595" spans="32:32" x14ac:dyDescent="0.3">
      <c r="AF3595" s="19"/>
    </row>
    <row r="3596" spans="32:32" x14ac:dyDescent="0.3">
      <c r="AF3596" s="19"/>
    </row>
    <row r="3597" spans="32:32" x14ac:dyDescent="0.3">
      <c r="AF3597" s="19"/>
    </row>
    <row r="3598" spans="32:32" x14ac:dyDescent="0.3">
      <c r="AF3598" s="19"/>
    </row>
    <row r="3613" spans="32:32" x14ac:dyDescent="0.3">
      <c r="AF3613" s="19"/>
    </row>
    <row r="3614" spans="32:32" x14ac:dyDescent="0.3">
      <c r="AF3614" s="19"/>
    </row>
    <row r="3615" spans="32:32" x14ac:dyDescent="0.3">
      <c r="AF3615" s="19"/>
    </row>
    <row r="3616" spans="32:32" x14ac:dyDescent="0.3">
      <c r="AF3616" s="19"/>
    </row>
    <row r="3617" spans="32:32" x14ac:dyDescent="0.3">
      <c r="AF3617" s="19"/>
    </row>
    <row r="3618" spans="32:32" x14ac:dyDescent="0.3">
      <c r="AF3618" s="19"/>
    </row>
    <row r="3619" spans="32:32" x14ac:dyDescent="0.3">
      <c r="AF3619" s="19"/>
    </row>
    <row r="3620" spans="32:32" x14ac:dyDescent="0.3">
      <c r="AF3620" s="19"/>
    </row>
    <row r="3633" spans="32:32" x14ac:dyDescent="0.3">
      <c r="AF3633" s="19"/>
    </row>
    <row r="3634" spans="32:32" x14ac:dyDescent="0.3">
      <c r="AF3634" s="19"/>
    </row>
    <row r="3635" spans="32:32" x14ac:dyDescent="0.3">
      <c r="AF3635" s="19"/>
    </row>
    <row r="3636" spans="32:32" x14ac:dyDescent="0.3">
      <c r="AF3636" s="19"/>
    </row>
    <row r="3637" spans="32:32" x14ac:dyDescent="0.3">
      <c r="AF3637" s="19"/>
    </row>
    <row r="3638" spans="32:32" x14ac:dyDescent="0.3">
      <c r="AF3638" s="19"/>
    </row>
    <row r="3639" spans="32:32" x14ac:dyDescent="0.3">
      <c r="AF3639" s="19"/>
    </row>
    <row r="3640" spans="32:32" x14ac:dyDescent="0.3">
      <c r="AF3640" s="19"/>
    </row>
    <row r="3641" spans="32:32" x14ac:dyDescent="0.3">
      <c r="AF3641" s="19"/>
    </row>
    <row r="3655" spans="32:32" x14ac:dyDescent="0.3">
      <c r="AF3655" s="19"/>
    </row>
    <row r="3656" spans="32:32" x14ac:dyDescent="0.3">
      <c r="AF3656" s="19"/>
    </row>
    <row r="3657" spans="32:32" x14ac:dyDescent="0.3">
      <c r="AF3657" s="19"/>
    </row>
    <row r="3658" spans="32:32" x14ac:dyDescent="0.3">
      <c r="AF3658" s="19"/>
    </row>
    <row r="3659" spans="32:32" x14ac:dyDescent="0.3">
      <c r="AF3659" s="19"/>
    </row>
    <row r="3660" spans="32:32" x14ac:dyDescent="0.3">
      <c r="AF3660" s="19"/>
    </row>
    <row r="3661" spans="32:32" x14ac:dyDescent="0.3">
      <c r="AF3661" s="19"/>
    </row>
    <row r="3676" spans="32:32" x14ac:dyDescent="0.3">
      <c r="AF3676" s="19"/>
    </row>
    <row r="3677" spans="32:32" x14ac:dyDescent="0.3">
      <c r="AF3677" s="19"/>
    </row>
    <row r="3678" spans="32:32" x14ac:dyDescent="0.3">
      <c r="AF3678" s="19"/>
    </row>
    <row r="3679" spans="32:32" x14ac:dyDescent="0.3">
      <c r="AF3679" s="19"/>
    </row>
    <row r="3680" spans="32:32" x14ac:dyDescent="0.3">
      <c r="AF3680" s="19"/>
    </row>
    <row r="3681" spans="32:32" x14ac:dyDescent="0.3">
      <c r="AF3681" s="19"/>
    </row>
    <row r="3682" spans="32:32" x14ac:dyDescent="0.3">
      <c r="AF3682" s="19"/>
    </row>
    <row r="3683" spans="32:32" x14ac:dyDescent="0.3">
      <c r="AF3683" s="19"/>
    </row>
    <row r="3684" spans="32:32" x14ac:dyDescent="0.3">
      <c r="AF3684" s="19"/>
    </row>
    <row r="3698" spans="32:32" x14ac:dyDescent="0.3">
      <c r="AF3698" s="19"/>
    </row>
    <row r="3699" spans="32:32" x14ac:dyDescent="0.3">
      <c r="AF3699" s="19"/>
    </row>
    <row r="3700" spans="32:32" x14ac:dyDescent="0.3">
      <c r="AF3700" s="19"/>
    </row>
    <row r="3701" spans="32:32" x14ac:dyDescent="0.3">
      <c r="AF3701" s="19"/>
    </row>
    <row r="3702" spans="32:32" x14ac:dyDescent="0.3">
      <c r="AF3702" s="19"/>
    </row>
    <row r="3703" spans="32:32" x14ac:dyDescent="0.3">
      <c r="AF3703" s="19"/>
    </row>
    <row r="3704" spans="32:32" x14ac:dyDescent="0.3">
      <c r="AF3704" s="19"/>
    </row>
    <row r="3719" spans="32:32" x14ac:dyDescent="0.3">
      <c r="AF3719" s="19"/>
    </row>
    <row r="3720" spans="32:32" x14ac:dyDescent="0.3">
      <c r="AF3720" s="19"/>
    </row>
    <row r="3721" spans="32:32" x14ac:dyDescent="0.3">
      <c r="AF3721" s="19"/>
    </row>
    <row r="3722" spans="32:32" x14ac:dyDescent="0.3">
      <c r="AF3722" s="19"/>
    </row>
    <row r="3723" spans="32:32" x14ac:dyDescent="0.3">
      <c r="AF3723" s="19"/>
    </row>
    <row r="3724" spans="32:32" x14ac:dyDescent="0.3">
      <c r="AF3724" s="19"/>
    </row>
    <row r="3725" spans="32:32" x14ac:dyDescent="0.3">
      <c r="AF3725" s="19"/>
    </row>
    <row r="3726" spans="32:32" x14ac:dyDescent="0.3">
      <c r="AF3726" s="19"/>
    </row>
    <row r="3740" spans="32:32" x14ac:dyDescent="0.3">
      <c r="AF3740" s="19"/>
    </row>
    <row r="3741" spans="32:32" x14ac:dyDescent="0.3">
      <c r="AF3741" s="19"/>
    </row>
    <row r="3742" spans="32:32" x14ac:dyDescent="0.3">
      <c r="AF3742" s="19"/>
    </row>
    <row r="3743" spans="32:32" x14ac:dyDescent="0.3">
      <c r="AF3743" s="19"/>
    </row>
    <row r="3744" spans="32:32" x14ac:dyDescent="0.3">
      <c r="AF3744" s="19"/>
    </row>
    <row r="3745" spans="32:32" x14ac:dyDescent="0.3">
      <c r="AF3745" s="19"/>
    </row>
    <row r="3746" spans="32:32" x14ac:dyDescent="0.3">
      <c r="AF3746" s="19"/>
    </row>
    <row r="3747" spans="32:32" x14ac:dyDescent="0.3">
      <c r="AF3747" s="19"/>
    </row>
    <row r="3748" spans="32:32" x14ac:dyDescent="0.3">
      <c r="AF3748" s="19"/>
    </row>
    <row r="3749" spans="32:32" x14ac:dyDescent="0.3">
      <c r="AF3749" s="19"/>
    </row>
    <row r="3761" spans="32:32" x14ac:dyDescent="0.3">
      <c r="AF3761" s="19"/>
    </row>
    <row r="3762" spans="32:32" x14ac:dyDescent="0.3">
      <c r="AF3762" s="19"/>
    </row>
    <row r="3763" spans="32:32" x14ac:dyDescent="0.3">
      <c r="AF3763" s="19"/>
    </row>
    <row r="3764" spans="32:32" x14ac:dyDescent="0.3">
      <c r="AF3764" s="19"/>
    </row>
    <row r="3765" spans="32:32" x14ac:dyDescent="0.3">
      <c r="AF3765" s="19"/>
    </row>
    <row r="3766" spans="32:32" x14ac:dyDescent="0.3">
      <c r="AF3766" s="19"/>
    </row>
    <row r="3767" spans="32:32" x14ac:dyDescent="0.3">
      <c r="AF3767" s="19"/>
    </row>
    <row r="3768" spans="32:32" x14ac:dyDescent="0.3">
      <c r="AF3768" s="19"/>
    </row>
    <row r="3783" spans="32:32" x14ac:dyDescent="0.3">
      <c r="AF3783" s="19"/>
    </row>
    <row r="3784" spans="32:32" x14ac:dyDescent="0.3">
      <c r="AF3784" s="19"/>
    </row>
    <row r="3785" spans="32:32" x14ac:dyDescent="0.3">
      <c r="AF3785" s="19"/>
    </row>
    <row r="3786" spans="32:32" x14ac:dyDescent="0.3">
      <c r="AF3786" s="19"/>
    </row>
    <row r="3787" spans="32:32" x14ac:dyDescent="0.3">
      <c r="AF3787" s="19"/>
    </row>
    <row r="3788" spans="32:32" x14ac:dyDescent="0.3">
      <c r="AF3788" s="19"/>
    </row>
    <row r="3789" spans="32:32" x14ac:dyDescent="0.3">
      <c r="AF3789" s="19"/>
    </row>
    <row r="3790" spans="32:32" x14ac:dyDescent="0.3">
      <c r="AF3790" s="19"/>
    </row>
    <row r="3803" spans="32:32" x14ac:dyDescent="0.3">
      <c r="AF3803" s="19"/>
    </row>
    <row r="3804" spans="32:32" x14ac:dyDescent="0.3">
      <c r="AF3804" s="19"/>
    </row>
    <row r="3805" spans="32:32" x14ac:dyDescent="0.3">
      <c r="AF3805" s="19"/>
    </row>
    <row r="3806" spans="32:32" x14ac:dyDescent="0.3">
      <c r="AF3806" s="19"/>
    </row>
    <row r="3807" spans="32:32" x14ac:dyDescent="0.3">
      <c r="AF3807" s="19"/>
    </row>
    <row r="3808" spans="32:32" x14ac:dyDescent="0.3">
      <c r="AF3808" s="19"/>
    </row>
    <row r="3809" spans="32:32" x14ac:dyDescent="0.3">
      <c r="AF3809" s="19"/>
    </row>
    <row r="3810" spans="32:32" x14ac:dyDescent="0.3">
      <c r="AF3810" s="19"/>
    </row>
    <row r="3811" spans="32:32" x14ac:dyDescent="0.3">
      <c r="AF3811" s="19"/>
    </row>
    <row r="3822" spans="32:32" x14ac:dyDescent="0.3">
      <c r="AF3822" s="19"/>
    </row>
    <row r="3823" spans="32:32" x14ac:dyDescent="0.3">
      <c r="AF3823" s="19"/>
    </row>
    <row r="3824" spans="32:32" x14ac:dyDescent="0.3">
      <c r="AF3824" s="19"/>
    </row>
    <row r="3825" spans="32:32" x14ac:dyDescent="0.3">
      <c r="AF3825" s="19"/>
    </row>
    <row r="3826" spans="32:32" x14ac:dyDescent="0.3">
      <c r="AF3826" s="19"/>
    </row>
    <row r="3827" spans="32:32" x14ac:dyDescent="0.3">
      <c r="AF3827" s="19"/>
    </row>
    <row r="3828" spans="32:32" x14ac:dyDescent="0.3">
      <c r="AF3828" s="19"/>
    </row>
    <row r="3829" spans="32:32" x14ac:dyDescent="0.3">
      <c r="AF3829" s="19"/>
    </row>
    <row r="3830" spans="32:32" x14ac:dyDescent="0.3">
      <c r="AF3830" s="19"/>
    </row>
    <row r="3844" spans="32:32" x14ac:dyDescent="0.3">
      <c r="AF3844" s="19"/>
    </row>
    <row r="3845" spans="32:32" x14ac:dyDescent="0.3">
      <c r="AF3845" s="19"/>
    </row>
    <row r="3846" spans="32:32" x14ac:dyDescent="0.3">
      <c r="AF3846" s="19"/>
    </row>
    <row r="3847" spans="32:32" x14ac:dyDescent="0.3">
      <c r="AF3847" s="19"/>
    </row>
    <row r="3848" spans="32:32" x14ac:dyDescent="0.3">
      <c r="AF3848" s="19"/>
    </row>
    <row r="3849" spans="32:32" x14ac:dyDescent="0.3">
      <c r="AF3849" s="19"/>
    </row>
    <row r="3850" spans="32:32" x14ac:dyDescent="0.3">
      <c r="AF3850" s="19"/>
    </row>
    <row r="3851" spans="32:32" x14ac:dyDescent="0.3">
      <c r="AF3851" s="19"/>
    </row>
    <row r="3865" spans="32:32" x14ac:dyDescent="0.3">
      <c r="AF3865" s="19"/>
    </row>
    <row r="3866" spans="32:32" x14ac:dyDescent="0.3">
      <c r="AF3866" s="19"/>
    </row>
    <row r="3867" spans="32:32" x14ac:dyDescent="0.3">
      <c r="AF3867" s="19"/>
    </row>
    <row r="3868" spans="32:32" x14ac:dyDescent="0.3">
      <c r="AF3868" s="19"/>
    </row>
    <row r="3869" spans="32:32" x14ac:dyDescent="0.3">
      <c r="AF3869" s="19"/>
    </row>
    <row r="3870" spans="32:32" x14ac:dyDescent="0.3">
      <c r="AF3870" s="19"/>
    </row>
    <row r="3871" spans="32:32" x14ac:dyDescent="0.3">
      <c r="AF3871" s="19"/>
    </row>
    <row r="3872" spans="32:32" x14ac:dyDescent="0.3">
      <c r="AF3872" s="19"/>
    </row>
    <row r="3873" spans="32:32" x14ac:dyDescent="0.3">
      <c r="AF3873" s="19"/>
    </row>
    <row r="3886" spans="32:32" x14ac:dyDescent="0.3">
      <c r="AF3886" s="19"/>
    </row>
    <row r="3887" spans="32:32" x14ac:dyDescent="0.3">
      <c r="AF3887" s="19"/>
    </row>
    <row r="3888" spans="32:32" x14ac:dyDescent="0.3">
      <c r="AF3888" s="19"/>
    </row>
    <row r="3889" spans="32:32" x14ac:dyDescent="0.3">
      <c r="AF3889" s="19"/>
    </row>
    <row r="3890" spans="32:32" x14ac:dyDescent="0.3">
      <c r="AF3890" s="19"/>
    </row>
    <row r="3891" spans="32:32" x14ac:dyDescent="0.3">
      <c r="AF3891" s="19"/>
    </row>
    <row r="3892" spans="32:32" x14ac:dyDescent="0.3">
      <c r="AF3892" s="19"/>
    </row>
    <row r="3893" spans="32:32" x14ac:dyDescent="0.3">
      <c r="AF3893" s="19"/>
    </row>
    <row r="3908" spans="32:32" x14ac:dyDescent="0.3">
      <c r="AF3908" s="19"/>
    </row>
    <row r="3909" spans="32:32" x14ac:dyDescent="0.3">
      <c r="AF3909" s="19"/>
    </row>
    <row r="3910" spans="32:32" x14ac:dyDescent="0.3">
      <c r="AF3910" s="19"/>
    </row>
    <row r="3911" spans="32:32" x14ac:dyDescent="0.3">
      <c r="AF3911" s="19"/>
    </row>
    <row r="3912" spans="32:32" x14ac:dyDescent="0.3">
      <c r="AF3912" s="19"/>
    </row>
    <row r="3913" spans="32:32" x14ac:dyDescent="0.3">
      <c r="AF3913" s="19"/>
    </row>
    <row r="3914" spans="32:32" x14ac:dyDescent="0.3">
      <c r="AF3914" s="19"/>
    </row>
    <row r="3928" spans="32:32" x14ac:dyDescent="0.3">
      <c r="AF3928" s="19"/>
    </row>
    <row r="3929" spans="32:32" x14ac:dyDescent="0.3">
      <c r="AF3929" s="19"/>
    </row>
    <row r="3930" spans="32:32" x14ac:dyDescent="0.3">
      <c r="AF3930" s="19"/>
    </row>
    <row r="3931" spans="32:32" x14ac:dyDescent="0.3">
      <c r="AF3931" s="19"/>
    </row>
    <row r="3932" spans="32:32" x14ac:dyDescent="0.3">
      <c r="AF3932" s="19"/>
    </row>
    <row r="3933" spans="32:32" x14ac:dyDescent="0.3">
      <c r="AF3933" s="19"/>
    </row>
    <row r="3934" spans="32:32" x14ac:dyDescent="0.3">
      <c r="AF3934" s="19"/>
    </row>
    <row r="3935" spans="32:32" x14ac:dyDescent="0.3">
      <c r="AF3935" s="19"/>
    </row>
    <row r="3936" spans="32:32" x14ac:dyDescent="0.3">
      <c r="AF3936" s="19"/>
    </row>
    <row r="3937" spans="32:32" x14ac:dyDescent="0.3">
      <c r="AF3937" s="19"/>
    </row>
    <row r="3951" spans="32:32" x14ac:dyDescent="0.3">
      <c r="AF3951" s="19"/>
    </row>
    <row r="3952" spans="32:32" x14ac:dyDescent="0.3">
      <c r="AF3952" s="19"/>
    </row>
    <row r="3953" spans="32:32" x14ac:dyDescent="0.3">
      <c r="AF3953" s="19"/>
    </row>
    <row r="3954" spans="32:32" x14ac:dyDescent="0.3">
      <c r="AF3954" s="19"/>
    </row>
    <row r="3955" spans="32:32" x14ac:dyDescent="0.3">
      <c r="AF3955" s="19"/>
    </row>
    <row r="3956" spans="32:32" x14ac:dyDescent="0.3">
      <c r="AF3956" s="19"/>
    </row>
    <row r="3957" spans="32:32" x14ac:dyDescent="0.3">
      <c r="AF3957" s="19"/>
    </row>
    <row r="3972" spans="32:32" x14ac:dyDescent="0.3">
      <c r="AF3972" s="19"/>
    </row>
    <row r="3973" spans="32:32" x14ac:dyDescent="0.3">
      <c r="AF3973" s="19"/>
    </row>
    <row r="3974" spans="32:32" x14ac:dyDescent="0.3">
      <c r="AF3974" s="19"/>
    </row>
    <row r="3975" spans="32:32" x14ac:dyDescent="0.3">
      <c r="AF3975" s="19"/>
    </row>
    <row r="3976" spans="32:32" x14ac:dyDescent="0.3">
      <c r="AF3976" s="19"/>
    </row>
    <row r="3977" spans="32:32" x14ac:dyDescent="0.3">
      <c r="AF3977" s="19"/>
    </row>
    <row r="3978" spans="32:32" x14ac:dyDescent="0.3">
      <c r="AF3978" s="19"/>
    </row>
    <row r="3979" spans="32:32" x14ac:dyDescent="0.3">
      <c r="AF3979" s="19"/>
    </row>
    <row r="3993" spans="32:32" x14ac:dyDescent="0.3">
      <c r="AF3993" s="19"/>
    </row>
    <row r="3994" spans="32:32" x14ac:dyDescent="0.3">
      <c r="AF3994" s="19"/>
    </row>
    <row r="3995" spans="32:32" x14ac:dyDescent="0.3">
      <c r="AF3995" s="19"/>
    </row>
    <row r="3996" spans="32:32" x14ac:dyDescent="0.3">
      <c r="AF3996" s="19"/>
    </row>
    <row r="3997" spans="32:32" x14ac:dyDescent="0.3">
      <c r="AF3997" s="19"/>
    </row>
    <row r="3998" spans="32:32" x14ac:dyDescent="0.3">
      <c r="AF3998" s="19"/>
    </row>
    <row r="3999" spans="32:32" x14ac:dyDescent="0.3">
      <c r="AF3999" s="19"/>
    </row>
    <row r="4000" spans="32:32" x14ac:dyDescent="0.3">
      <c r="AF4000" s="19"/>
    </row>
    <row r="4001" spans="32:32" x14ac:dyDescent="0.3">
      <c r="AF4001" s="19"/>
    </row>
    <row r="4014" spans="32:32" x14ac:dyDescent="0.3">
      <c r="AF4014" s="19"/>
    </row>
    <row r="4015" spans="32:32" x14ac:dyDescent="0.3">
      <c r="AF4015" s="19"/>
    </row>
    <row r="4016" spans="32:32" x14ac:dyDescent="0.3">
      <c r="AF4016" s="19"/>
    </row>
    <row r="4017" spans="32:32" x14ac:dyDescent="0.3">
      <c r="AF4017" s="19"/>
    </row>
    <row r="4018" spans="32:32" x14ac:dyDescent="0.3">
      <c r="AF4018" s="19"/>
    </row>
    <row r="4019" spans="32:32" x14ac:dyDescent="0.3">
      <c r="AF4019" s="19"/>
    </row>
    <row r="4020" spans="32:32" x14ac:dyDescent="0.3">
      <c r="AF4020" s="19"/>
    </row>
    <row r="4021" spans="32:32" x14ac:dyDescent="0.3">
      <c r="AF4021" s="19"/>
    </row>
    <row r="4035" spans="32:32" x14ac:dyDescent="0.3">
      <c r="AF4035" s="19"/>
    </row>
    <row r="4036" spans="32:32" x14ac:dyDescent="0.3">
      <c r="AF4036" s="19"/>
    </row>
    <row r="4037" spans="32:32" x14ac:dyDescent="0.3">
      <c r="AF4037" s="19"/>
    </row>
    <row r="4038" spans="32:32" x14ac:dyDescent="0.3">
      <c r="AF4038" s="19"/>
    </row>
    <row r="4039" spans="32:32" x14ac:dyDescent="0.3">
      <c r="AF4039" s="19"/>
    </row>
    <row r="4040" spans="32:32" x14ac:dyDescent="0.3">
      <c r="AF4040" s="19"/>
    </row>
    <row r="4041" spans="32:32" x14ac:dyDescent="0.3">
      <c r="AF4041" s="19"/>
    </row>
    <row r="4042" spans="32:32" x14ac:dyDescent="0.3">
      <c r="AF4042" s="19"/>
    </row>
    <row r="4055" spans="32:32" x14ac:dyDescent="0.3">
      <c r="AF4055" s="19"/>
    </row>
    <row r="4056" spans="32:32" x14ac:dyDescent="0.3">
      <c r="AF4056" s="19"/>
    </row>
    <row r="4057" spans="32:32" x14ac:dyDescent="0.3">
      <c r="AF4057" s="19"/>
    </row>
    <row r="4058" spans="32:32" x14ac:dyDescent="0.3">
      <c r="AF4058" s="19"/>
    </row>
    <row r="4059" spans="32:32" x14ac:dyDescent="0.3">
      <c r="AF4059" s="19"/>
    </row>
    <row r="4060" spans="32:32" x14ac:dyDescent="0.3">
      <c r="AF4060" s="19"/>
    </row>
    <row r="4061" spans="32:32" x14ac:dyDescent="0.3">
      <c r="AF4061" s="19"/>
    </row>
    <row r="4062" spans="32:32" x14ac:dyDescent="0.3">
      <c r="AF4062" s="19"/>
    </row>
    <row r="4074" spans="32:32" x14ac:dyDescent="0.3">
      <c r="AF4074" s="19"/>
    </row>
    <row r="4075" spans="32:32" x14ac:dyDescent="0.3">
      <c r="AF4075" s="19"/>
    </row>
    <row r="4076" spans="32:32" x14ac:dyDescent="0.3">
      <c r="AF4076" s="19"/>
    </row>
    <row r="4077" spans="32:32" x14ac:dyDescent="0.3">
      <c r="AF4077" s="19"/>
    </row>
    <row r="4078" spans="32:32" x14ac:dyDescent="0.3">
      <c r="AF4078" s="19"/>
    </row>
    <row r="4079" spans="32:32" x14ac:dyDescent="0.3">
      <c r="AF4079" s="19"/>
    </row>
    <row r="4080" spans="32:32" x14ac:dyDescent="0.3">
      <c r="AF4080" s="19"/>
    </row>
    <row r="4081" spans="32:32" x14ac:dyDescent="0.3">
      <c r="AF4081" s="19"/>
    </row>
    <row r="4097" spans="32:32" x14ac:dyDescent="0.3">
      <c r="AF4097" s="19"/>
    </row>
    <row r="4098" spans="32:32" x14ac:dyDescent="0.3">
      <c r="AF4098" s="19"/>
    </row>
    <row r="4099" spans="32:32" x14ac:dyDescent="0.3">
      <c r="AF4099" s="19"/>
    </row>
    <row r="4100" spans="32:32" x14ac:dyDescent="0.3">
      <c r="AF4100" s="19"/>
    </row>
    <row r="4101" spans="32:32" x14ac:dyDescent="0.3">
      <c r="AF4101" s="19"/>
    </row>
    <row r="4102" spans="32:32" x14ac:dyDescent="0.3">
      <c r="AF4102" s="19"/>
    </row>
    <row r="4103" spans="32:32" x14ac:dyDescent="0.3">
      <c r="AF4103" s="19"/>
    </row>
    <row r="4104" spans="32:32" x14ac:dyDescent="0.3">
      <c r="AF4104" s="19"/>
    </row>
    <row r="4116" spans="32:32" x14ac:dyDescent="0.3">
      <c r="AF4116" s="19"/>
    </row>
    <row r="4117" spans="32:32" x14ac:dyDescent="0.3">
      <c r="AF4117" s="19"/>
    </row>
    <row r="4118" spans="32:32" x14ac:dyDescent="0.3">
      <c r="AF4118" s="19"/>
    </row>
    <row r="4119" spans="32:32" x14ac:dyDescent="0.3">
      <c r="AF4119" s="19"/>
    </row>
    <row r="4120" spans="32:32" x14ac:dyDescent="0.3">
      <c r="AF4120" s="19"/>
    </row>
    <row r="4121" spans="32:32" x14ac:dyDescent="0.3">
      <c r="AF4121" s="19"/>
    </row>
    <row r="4122" spans="32:32" x14ac:dyDescent="0.3">
      <c r="AF4122" s="19"/>
    </row>
    <row r="4123" spans="32:32" x14ac:dyDescent="0.3">
      <c r="AF4123" s="19"/>
    </row>
    <row r="4124" spans="32:32" x14ac:dyDescent="0.3">
      <c r="AF4124" s="19"/>
    </row>
    <row r="4125" spans="32:32" x14ac:dyDescent="0.3">
      <c r="AF4125" s="19"/>
    </row>
    <row r="4138" spans="32:32" x14ac:dyDescent="0.3">
      <c r="AF4138" s="19"/>
    </row>
    <row r="4139" spans="32:32" x14ac:dyDescent="0.3">
      <c r="AF4139" s="19"/>
    </row>
    <row r="4140" spans="32:32" x14ac:dyDescent="0.3">
      <c r="AF4140" s="19"/>
    </row>
    <row r="4141" spans="32:32" x14ac:dyDescent="0.3">
      <c r="AF4141" s="19"/>
    </row>
    <row r="4142" spans="32:32" x14ac:dyDescent="0.3">
      <c r="AF4142" s="19"/>
    </row>
    <row r="4143" spans="32:32" x14ac:dyDescent="0.3">
      <c r="AF4143" s="19"/>
    </row>
    <row r="4144" spans="32:32" x14ac:dyDescent="0.3">
      <c r="AF4144" s="19"/>
    </row>
    <row r="4145" spans="32:32" x14ac:dyDescent="0.3">
      <c r="AF4145" s="19"/>
    </row>
    <row r="4160" spans="32:32" x14ac:dyDescent="0.3">
      <c r="AF4160" s="19"/>
    </row>
    <row r="4161" spans="32:32" x14ac:dyDescent="0.3">
      <c r="AF4161" s="19"/>
    </row>
    <row r="4162" spans="32:32" x14ac:dyDescent="0.3">
      <c r="AF4162" s="19"/>
    </row>
    <row r="4163" spans="32:32" x14ac:dyDescent="0.3">
      <c r="AF4163" s="19"/>
    </row>
    <row r="4164" spans="32:32" x14ac:dyDescent="0.3">
      <c r="AF4164" s="19"/>
    </row>
    <row r="4165" spans="32:32" x14ac:dyDescent="0.3">
      <c r="AF4165" s="19"/>
    </row>
    <row r="4166" spans="32:32" x14ac:dyDescent="0.3">
      <c r="AF4166" s="19"/>
    </row>
    <row r="4180" spans="32:32" x14ac:dyDescent="0.3">
      <c r="AF4180" s="19"/>
    </row>
    <row r="4181" spans="32:32" x14ac:dyDescent="0.3">
      <c r="AF4181" s="19"/>
    </row>
    <row r="4182" spans="32:32" x14ac:dyDescent="0.3">
      <c r="AF4182" s="19"/>
    </row>
    <row r="4183" spans="32:32" x14ac:dyDescent="0.3">
      <c r="AF4183" s="19"/>
    </row>
    <row r="4184" spans="32:32" x14ac:dyDescent="0.3">
      <c r="AF4184" s="19"/>
    </row>
    <row r="4185" spans="32:32" x14ac:dyDescent="0.3">
      <c r="AF4185" s="19"/>
    </row>
    <row r="4186" spans="32:32" x14ac:dyDescent="0.3">
      <c r="AF4186" s="19"/>
    </row>
    <row r="4187" spans="32:32" x14ac:dyDescent="0.3">
      <c r="AF4187" s="19"/>
    </row>
    <row r="4188" spans="32:32" x14ac:dyDescent="0.3">
      <c r="AF4188" s="19"/>
    </row>
    <row r="4203" spans="32:32" x14ac:dyDescent="0.3">
      <c r="AF4203" s="19"/>
    </row>
    <row r="4204" spans="32:32" x14ac:dyDescent="0.3">
      <c r="AF4204" s="19"/>
    </row>
    <row r="4205" spans="32:32" x14ac:dyDescent="0.3">
      <c r="AF4205" s="19"/>
    </row>
    <row r="4206" spans="32:32" x14ac:dyDescent="0.3">
      <c r="AF4206" s="19"/>
    </row>
    <row r="4207" spans="32:32" x14ac:dyDescent="0.3">
      <c r="AF4207" s="19"/>
    </row>
    <row r="4208" spans="32:32" x14ac:dyDescent="0.3">
      <c r="AF4208" s="19"/>
    </row>
    <row r="4209" spans="32:32" x14ac:dyDescent="0.3">
      <c r="AF4209" s="19"/>
    </row>
    <row r="4223" spans="32:32" x14ac:dyDescent="0.3">
      <c r="AF4223" s="19"/>
    </row>
    <row r="4224" spans="32:32" x14ac:dyDescent="0.3">
      <c r="AF4224" s="19"/>
    </row>
    <row r="4225" spans="32:32" x14ac:dyDescent="0.3">
      <c r="AF4225" s="19"/>
    </row>
    <row r="4226" spans="32:32" x14ac:dyDescent="0.3">
      <c r="AF4226" s="19"/>
    </row>
    <row r="4227" spans="32:32" x14ac:dyDescent="0.3">
      <c r="AF4227" s="19"/>
    </row>
    <row r="4228" spans="32:32" x14ac:dyDescent="0.3">
      <c r="AF4228" s="19"/>
    </row>
    <row r="4229" spans="32:32" x14ac:dyDescent="0.3">
      <c r="AF4229" s="19"/>
    </row>
    <row r="4230" spans="32:32" x14ac:dyDescent="0.3">
      <c r="AF4230" s="19"/>
    </row>
    <row r="4231" spans="32:32" x14ac:dyDescent="0.3">
      <c r="AF4231" s="19"/>
    </row>
    <row r="4245" spans="32:32" x14ac:dyDescent="0.3">
      <c r="AF4245" s="19"/>
    </row>
    <row r="4246" spans="32:32" x14ac:dyDescent="0.3">
      <c r="AF4246" s="19"/>
    </row>
    <row r="4247" spans="32:32" x14ac:dyDescent="0.3">
      <c r="AF4247" s="19"/>
    </row>
    <row r="4248" spans="32:32" x14ac:dyDescent="0.3">
      <c r="AF4248" s="19"/>
    </row>
    <row r="4249" spans="32:32" x14ac:dyDescent="0.3">
      <c r="AF4249" s="19"/>
    </row>
    <row r="4250" spans="32:32" x14ac:dyDescent="0.3">
      <c r="AF4250" s="19"/>
    </row>
    <row r="4251" spans="32:32" x14ac:dyDescent="0.3">
      <c r="AF4251" s="19"/>
    </row>
    <row r="4252" spans="32:32" x14ac:dyDescent="0.3">
      <c r="AF4252" s="19"/>
    </row>
    <row r="4266" spans="32:32" x14ac:dyDescent="0.3">
      <c r="AF4266" s="19"/>
    </row>
    <row r="4267" spans="32:32" x14ac:dyDescent="0.3">
      <c r="AF4267" s="19"/>
    </row>
    <row r="4268" spans="32:32" x14ac:dyDescent="0.3">
      <c r="AF4268" s="19"/>
    </row>
    <row r="4269" spans="32:32" x14ac:dyDescent="0.3">
      <c r="AF4269" s="19"/>
    </row>
    <row r="4270" spans="32:32" x14ac:dyDescent="0.3">
      <c r="AF4270" s="19"/>
    </row>
    <row r="4271" spans="32:32" x14ac:dyDescent="0.3">
      <c r="AF4271" s="19"/>
    </row>
    <row r="4272" spans="32:32" x14ac:dyDescent="0.3">
      <c r="AF4272" s="19"/>
    </row>
    <row r="4273" spans="32:32" x14ac:dyDescent="0.3">
      <c r="AF4273" s="19"/>
    </row>
    <row r="4286" spans="32:32" x14ac:dyDescent="0.3">
      <c r="AF4286" s="19"/>
    </row>
    <row r="4287" spans="32:32" x14ac:dyDescent="0.3">
      <c r="AF4287" s="19"/>
    </row>
    <row r="4288" spans="32:32" x14ac:dyDescent="0.3">
      <c r="AF4288" s="19"/>
    </row>
    <row r="4289" spans="32:32" x14ac:dyDescent="0.3">
      <c r="AF4289" s="19"/>
    </row>
    <row r="4290" spans="32:32" x14ac:dyDescent="0.3">
      <c r="AF4290" s="19"/>
    </row>
    <row r="4291" spans="32:32" x14ac:dyDescent="0.3">
      <c r="AF4291" s="19"/>
    </row>
    <row r="4292" spans="32:32" x14ac:dyDescent="0.3">
      <c r="AF4292" s="19"/>
    </row>
    <row r="4293" spans="32:32" x14ac:dyDescent="0.3">
      <c r="AF4293" s="19"/>
    </row>
    <row r="4306" spans="32:32" x14ac:dyDescent="0.3">
      <c r="AF4306" s="19"/>
    </row>
    <row r="4307" spans="32:32" x14ac:dyDescent="0.3">
      <c r="AF4307" s="19"/>
    </row>
    <row r="4308" spans="32:32" x14ac:dyDescent="0.3">
      <c r="AF4308" s="19"/>
    </row>
    <row r="4309" spans="32:32" x14ac:dyDescent="0.3">
      <c r="AF4309" s="19"/>
    </row>
    <row r="4310" spans="32:32" x14ac:dyDescent="0.3">
      <c r="AF4310" s="19"/>
    </row>
    <row r="4311" spans="32:32" x14ac:dyDescent="0.3">
      <c r="AF4311" s="19"/>
    </row>
    <row r="4312" spans="32:32" x14ac:dyDescent="0.3">
      <c r="AF4312" s="19"/>
    </row>
    <row r="4313" spans="32:32" x14ac:dyDescent="0.3">
      <c r="AF4313" s="19"/>
    </row>
    <row r="4325" spans="32:32" x14ac:dyDescent="0.3">
      <c r="AF4325" s="19"/>
    </row>
    <row r="4326" spans="32:32" x14ac:dyDescent="0.3">
      <c r="AF4326" s="19"/>
    </row>
    <row r="4327" spans="32:32" x14ac:dyDescent="0.3">
      <c r="AF4327" s="19"/>
    </row>
    <row r="4328" spans="32:32" x14ac:dyDescent="0.3">
      <c r="AF4328" s="19"/>
    </row>
    <row r="4329" spans="32:32" x14ac:dyDescent="0.3">
      <c r="AF4329" s="19"/>
    </row>
    <row r="4330" spans="32:32" x14ac:dyDescent="0.3">
      <c r="AF4330" s="19"/>
    </row>
    <row r="4331" spans="32:32" x14ac:dyDescent="0.3">
      <c r="AF4331" s="19"/>
    </row>
    <row r="4332" spans="32:32" x14ac:dyDescent="0.3">
      <c r="AF4332" s="19"/>
    </row>
    <row r="4347" spans="32:32" x14ac:dyDescent="0.3">
      <c r="AF4347" s="19"/>
    </row>
    <row r="4348" spans="32:32" x14ac:dyDescent="0.3">
      <c r="AF4348" s="19"/>
    </row>
    <row r="4349" spans="32:32" x14ac:dyDescent="0.3">
      <c r="AF4349" s="19"/>
    </row>
    <row r="4350" spans="32:32" x14ac:dyDescent="0.3">
      <c r="AF4350" s="19"/>
    </row>
    <row r="4351" spans="32:32" x14ac:dyDescent="0.3">
      <c r="AF4351" s="19"/>
    </row>
    <row r="4352" spans="32:32" x14ac:dyDescent="0.3">
      <c r="AF4352" s="19"/>
    </row>
    <row r="4353" spans="32:32" x14ac:dyDescent="0.3">
      <c r="AF4353" s="19"/>
    </row>
    <row r="4354" spans="32:32" x14ac:dyDescent="0.3">
      <c r="AF4354" s="19"/>
    </row>
    <row r="4367" spans="32:32" x14ac:dyDescent="0.3">
      <c r="AF4367" s="19"/>
    </row>
    <row r="4368" spans="32:32" x14ac:dyDescent="0.3">
      <c r="AF4368" s="19"/>
    </row>
    <row r="4369" spans="32:32" x14ac:dyDescent="0.3">
      <c r="AF4369" s="19"/>
    </row>
    <row r="4370" spans="32:32" x14ac:dyDescent="0.3">
      <c r="AF4370" s="19"/>
    </row>
    <row r="4371" spans="32:32" x14ac:dyDescent="0.3">
      <c r="AF4371" s="19"/>
    </row>
    <row r="4372" spans="32:32" x14ac:dyDescent="0.3">
      <c r="AF4372" s="19"/>
    </row>
    <row r="4373" spans="32:32" x14ac:dyDescent="0.3">
      <c r="AF4373" s="19"/>
    </row>
    <row r="4374" spans="32:32" x14ac:dyDescent="0.3">
      <c r="AF4374" s="19"/>
    </row>
    <row r="4375" spans="32:32" x14ac:dyDescent="0.3">
      <c r="AF4375" s="19"/>
    </row>
    <row r="4389" spans="32:32" x14ac:dyDescent="0.3">
      <c r="AF4389" s="19"/>
    </row>
    <row r="4390" spans="32:32" x14ac:dyDescent="0.3">
      <c r="AF4390" s="19"/>
    </row>
    <row r="4391" spans="32:32" x14ac:dyDescent="0.3">
      <c r="AF4391" s="19"/>
    </row>
    <row r="4392" spans="32:32" x14ac:dyDescent="0.3">
      <c r="AF4392" s="19"/>
    </row>
    <row r="4393" spans="32:32" x14ac:dyDescent="0.3">
      <c r="AF4393" s="19"/>
    </row>
    <row r="4394" spans="32:32" x14ac:dyDescent="0.3">
      <c r="AF4394" s="19"/>
    </row>
    <row r="4395" spans="32:32" x14ac:dyDescent="0.3">
      <c r="AF4395" s="19"/>
    </row>
    <row r="4396" spans="32:32" x14ac:dyDescent="0.3">
      <c r="AF4396" s="19"/>
    </row>
    <row r="4410" spans="32:32" x14ac:dyDescent="0.3">
      <c r="AF4410" s="19"/>
    </row>
    <row r="4411" spans="32:32" x14ac:dyDescent="0.3">
      <c r="AF4411" s="19"/>
    </row>
    <row r="4412" spans="32:32" x14ac:dyDescent="0.3">
      <c r="AF4412" s="19"/>
    </row>
    <row r="4413" spans="32:32" x14ac:dyDescent="0.3">
      <c r="AF4413" s="19"/>
    </row>
    <row r="4414" spans="32:32" x14ac:dyDescent="0.3">
      <c r="AF4414" s="19"/>
    </row>
    <row r="4415" spans="32:32" x14ac:dyDescent="0.3">
      <c r="AF4415" s="19"/>
    </row>
    <row r="4416" spans="32:32" x14ac:dyDescent="0.3">
      <c r="AF4416" s="19"/>
    </row>
    <row r="4417" spans="32:32" x14ac:dyDescent="0.3">
      <c r="AF4417" s="19"/>
    </row>
    <row r="4431" spans="32:32" x14ac:dyDescent="0.3">
      <c r="AF4431" s="19"/>
    </row>
    <row r="4432" spans="32:32" x14ac:dyDescent="0.3">
      <c r="AF4432" s="19"/>
    </row>
    <row r="4433" spans="32:32" x14ac:dyDescent="0.3">
      <c r="AF4433" s="19"/>
    </row>
    <row r="4434" spans="32:32" x14ac:dyDescent="0.3">
      <c r="AF4434" s="19"/>
    </row>
    <row r="4435" spans="32:32" x14ac:dyDescent="0.3">
      <c r="AF4435" s="19"/>
    </row>
    <row r="4436" spans="32:32" x14ac:dyDescent="0.3">
      <c r="AF4436" s="19"/>
    </row>
    <row r="4437" spans="32:32" x14ac:dyDescent="0.3">
      <c r="AF4437" s="19"/>
    </row>
    <row r="4438" spans="32:32" x14ac:dyDescent="0.3">
      <c r="AF4438" s="19"/>
    </row>
    <row r="4454" spans="32:32" x14ac:dyDescent="0.3">
      <c r="AF4454" s="19"/>
    </row>
    <row r="4455" spans="32:32" x14ac:dyDescent="0.3">
      <c r="AF4455" s="19"/>
    </row>
    <row r="4456" spans="32:32" x14ac:dyDescent="0.3">
      <c r="AF4456" s="19"/>
    </row>
    <row r="4457" spans="32:32" x14ac:dyDescent="0.3">
      <c r="AF4457" s="19"/>
    </row>
    <row r="4458" spans="32:32" x14ac:dyDescent="0.3">
      <c r="AF4458" s="19"/>
    </row>
    <row r="4459" spans="32:32" x14ac:dyDescent="0.3">
      <c r="AF4459" s="19"/>
    </row>
    <row r="4460" spans="32:32" x14ac:dyDescent="0.3">
      <c r="AF4460" s="19"/>
    </row>
    <row r="4473" spans="32:32" x14ac:dyDescent="0.3">
      <c r="AF4473" s="19"/>
    </row>
    <row r="4474" spans="32:32" x14ac:dyDescent="0.3">
      <c r="AF4474" s="19"/>
    </row>
    <row r="4475" spans="32:32" x14ac:dyDescent="0.3">
      <c r="AF4475" s="19"/>
    </row>
    <row r="4476" spans="32:32" x14ac:dyDescent="0.3">
      <c r="AF4476" s="19"/>
    </row>
    <row r="4477" spans="32:32" x14ac:dyDescent="0.3">
      <c r="AF4477" s="19"/>
    </row>
    <row r="4478" spans="32:32" x14ac:dyDescent="0.3">
      <c r="AF4478" s="19"/>
    </row>
    <row r="4479" spans="32:32" x14ac:dyDescent="0.3">
      <c r="AF4479" s="19"/>
    </row>
    <row r="4480" spans="32:32" x14ac:dyDescent="0.3">
      <c r="AF4480" s="19"/>
    </row>
    <row r="4481" spans="32:32" x14ac:dyDescent="0.3">
      <c r="AF4481" s="19"/>
    </row>
    <row r="4482" spans="32:32" x14ac:dyDescent="0.3">
      <c r="AF4482" s="19"/>
    </row>
    <row r="4496" spans="32:32" x14ac:dyDescent="0.3">
      <c r="AF4496" s="19"/>
    </row>
    <row r="4497" spans="32:32" x14ac:dyDescent="0.3">
      <c r="AF4497" s="19"/>
    </row>
    <row r="4498" spans="32:32" x14ac:dyDescent="0.3">
      <c r="AF4498" s="19"/>
    </row>
    <row r="4499" spans="32:32" x14ac:dyDescent="0.3">
      <c r="AF4499" s="19"/>
    </row>
    <row r="4500" spans="32:32" x14ac:dyDescent="0.3">
      <c r="AF4500" s="19"/>
    </row>
    <row r="4501" spans="32:32" x14ac:dyDescent="0.3">
      <c r="AF4501" s="19"/>
    </row>
    <row r="4502" spans="32:32" x14ac:dyDescent="0.3">
      <c r="AF4502" s="19"/>
    </row>
    <row r="4503" spans="32:32" x14ac:dyDescent="0.3">
      <c r="AF4503" s="19"/>
    </row>
    <row r="4517" spans="32:32" x14ac:dyDescent="0.3">
      <c r="AF4517" s="19"/>
    </row>
    <row r="4518" spans="32:32" x14ac:dyDescent="0.3">
      <c r="AF4518" s="19"/>
    </row>
    <row r="4519" spans="32:32" x14ac:dyDescent="0.3">
      <c r="AF4519" s="19"/>
    </row>
    <row r="4520" spans="32:32" x14ac:dyDescent="0.3">
      <c r="AF4520" s="19"/>
    </row>
    <row r="4521" spans="32:32" x14ac:dyDescent="0.3">
      <c r="AF4521" s="19"/>
    </row>
    <row r="4522" spans="32:32" x14ac:dyDescent="0.3">
      <c r="AF4522" s="19"/>
    </row>
    <row r="4523" spans="32:32" x14ac:dyDescent="0.3">
      <c r="AF4523" s="19"/>
    </row>
    <row r="4524" spans="32:32" x14ac:dyDescent="0.3">
      <c r="AF4524" s="19"/>
    </row>
    <row r="4537" spans="32:32" x14ac:dyDescent="0.3">
      <c r="AF4537" s="19"/>
    </row>
    <row r="4538" spans="32:32" x14ac:dyDescent="0.3">
      <c r="AF4538" s="19"/>
    </row>
    <row r="4539" spans="32:32" x14ac:dyDescent="0.3">
      <c r="AF4539" s="19"/>
    </row>
    <row r="4540" spans="32:32" x14ac:dyDescent="0.3">
      <c r="AF4540" s="19"/>
    </row>
    <row r="4541" spans="32:32" x14ac:dyDescent="0.3">
      <c r="AF4541" s="19"/>
    </row>
    <row r="4542" spans="32:32" x14ac:dyDescent="0.3">
      <c r="AF4542" s="19"/>
    </row>
    <row r="4543" spans="32:32" x14ac:dyDescent="0.3">
      <c r="AF4543" s="19"/>
    </row>
    <row r="4544" spans="32:32" x14ac:dyDescent="0.3">
      <c r="AF4544" s="19"/>
    </row>
    <row r="4558" spans="32:32" x14ac:dyDescent="0.3">
      <c r="AF4558" s="19"/>
    </row>
    <row r="4559" spans="32:32" x14ac:dyDescent="0.3">
      <c r="AF4559" s="19"/>
    </row>
    <row r="4560" spans="32:32" x14ac:dyDescent="0.3">
      <c r="AF4560" s="19"/>
    </row>
    <row r="4561" spans="32:32" x14ac:dyDescent="0.3">
      <c r="AF4561" s="19"/>
    </row>
    <row r="4562" spans="32:32" x14ac:dyDescent="0.3">
      <c r="AF4562" s="19"/>
    </row>
    <row r="4563" spans="32:32" x14ac:dyDescent="0.3">
      <c r="AF4563" s="19"/>
    </row>
    <row r="4564" spans="32:32" x14ac:dyDescent="0.3">
      <c r="AF4564" s="19"/>
    </row>
    <row r="4565" spans="32:32" x14ac:dyDescent="0.3">
      <c r="AF4565" s="19"/>
    </row>
    <row r="4578" spans="32:32" x14ac:dyDescent="0.3">
      <c r="AF4578" s="19"/>
    </row>
    <row r="4579" spans="32:32" x14ac:dyDescent="0.3">
      <c r="AF4579" s="19"/>
    </row>
    <row r="4580" spans="32:32" x14ac:dyDescent="0.3">
      <c r="AF4580" s="19"/>
    </row>
    <row r="4581" spans="32:32" x14ac:dyDescent="0.3">
      <c r="AF4581" s="19"/>
    </row>
    <row r="4582" spans="32:32" x14ac:dyDescent="0.3">
      <c r="AF4582" s="19"/>
    </row>
    <row r="4583" spans="32:32" x14ac:dyDescent="0.3">
      <c r="AF4583" s="19"/>
    </row>
    <row r="4584" spans="32:32" x14ac:dyDescent="0.3">
      <c r="AF4584" s="19"/>
    </row>
    <row r="4585" spans="32:32" x14ac:dyDescent="0.3">
      <c r="AF4585" s="19"/>
    </row>
    <row r="4598" spans="32:32" x14ac:dyDescent="0.3">
      <c r="AF4598" s="19"/>
    </row>
    <row r="4599" spans="32:32" x14ac:dyDescent="0.3">
      <c r="AF4599" s="19"/>
    </row>
    <row r="4600" spans="32:32" x14ac:dyDescent="0.3">
      <c r="AF4600" s="19"/>
    </row>
    <row r="4601" spans="32:32" x14ac:dyDescent="0.3">
      <c r="AF4601" s="19"/>
    </row>
    <row r="4602" spans="32:32" x14ac:dyDescent="0.3">
      <c r="AF4602" s="19"/>
    </row>
    <row r="4603" spans="32:32" x14ac:dyDescent="0.3">
      <c r="AF4603" s="19"/>
    </row>
    <row r="4604" spans="32:32" x14ac:dyDescent="0.3">
      <c r="AF4604" s="19"/>
    </row>
    <row r="4605" spans="32:32" x14ac:dyDescent="0.3">
      <c r="AF4605" s="19"/>
    </row>
    <row r="4606" spans="32:32" x14ac:dyDescent="0.3">
      <c r="AF4606" s="19"/>
    </row>
    <row r="4620" spans="32:32" x14ac:dyDescent="0.3">
      <c r="AF4620" s="19"/>
    </row>
    <row r="4621" spans="32:32" x14ac:dyDescent="0.3">
      <c r="AF4621" s="19"/>
    </row>
    <row r="4622" spans="32:32" x14ac:dyDescent="0.3">
      <c r="AF4622" s="19"/>
    </row>
    <row r="4623" spans="32:32" x14ac:dyDescent="0.3">
      <c r="AF4623" s="19"/>
    </row>
    <row r="4624" spans="32:32" x14ac:dyDescent="0.3">
      <c r="AF4624" s="19"/>
    </row>
    <row r="4625" spans="32:32" x14ac:dyDescent="0.3">
      <c r="AF4625" s="19"/>
    </row>
    <row r="4626" spans="32:32" x14ac:dyDescent="0.3">
      <c r="AF4626" s="19"/>
    </row>
    <row r="4627" spans="32:32" x14ac:dyDescent="0.3">
      <c r="AF4627" s="19"/>
    </row>
    <row r="4641" spans="32:32" x14ac:dyDescent="0.3">
      <c r="AF4641" s="19"/>
    </row>
    <row r="4642" spans="32:32" x14ac:dyDescent="0.3">
      <c r="AF4642" s="19"/>
    </row>
    <row r="4643" spans="32:32" x14ac:dyDescent="0.3">
      <c r="AF4643" s="19"/>
    </row>
    <row r="4644" spans="32:32" x14ac:dyDescent="0.3">
      <c r="AF4644" s="19"/>
    </row>
    <row r="4645" spans="32:32" x14ac:dyDescent="0.3">
      <c r="AF4645" s="19"/>
    </row>
    <row r="4646" spans="32:32" x14ac:dyDescent="0.3">
      <c r="AF4646" s="19"/>
    </row>
    <row r="4647" spans="32:32" x14ac:dyDescent="0.3">
      <c r="AF4647" s="19"/>
    </row>
    <row r="4648" spans="32:32" x14ac:dyDescent="0.3">
      <c r="AF4648" s="19"/>
    </row>
    <row r="4649" spans="32:32" x14ac:dyDescent="0.3">
      <c r="AF4649" s="19"/>
    </row>
    <row r="4662" spans="32:32" x14ac:dyDescent="0.3">
      <c r="AF4662" s="19"/>
    </row>
    <row r="4663" spans="32:32" x14ac:dyDescent="0.3">
      <c r="AF4663" s="19"/>
    </row>
    <row r="4664" spans="32:32" x14ac:dyDescent="0.3">
      <c r="AF4664" s="19"/>
    </row>
    <row r="4665" spans="32:32" x14ac:dyDescent="0.3">
      <c r="AF4665" s="19"/>
    </row>
    <row r="4666" spans="32:32" x14ac:dyDescent="0.3">
      <c r="AF4666" s="19"/>
    </row>
    <row r="4667" spans="32:32" x14ac:dyDescent="0.3">
      <c r="AF4667" s="19"/>
    </row>
    <row r="4668" spans="32:32" x14ac:dyDescent="0.3">
      <c r="AF4668" s="19"/>
    </row>
    <row r="4669" spans="32:32" x14ac:dyDescent="0.3">
      <c r="AF4669" s="19"/>
    </row>
    <row r="4684" spans="32:32" x14ac:dyDescent="0.3">
      <c r="AF4684" s="19"/>
    </row>
    <row r="4685" spans="32:32" x14ac:dyDescent="0.3">
      <c r="AF4685" s="19"/>
    </row>
    <row r="4686" spans="32:32" x14ac:dyDescent="0.3">
      <c r="AF4686" s="19"/>
    </row>
    <row r="4687" spans="32:32" x14ac:dyDescent="0.3">
      <c r="AF4687" s="19"/>
    </row>
    <row r="4688" spans="32:32" x14ac:dyDescent="0.3">
      <c r="AF4688" s="19"/>
    </row>
    <row r="4689" spans="32:32" x14ac:dyDescent="0.3">
      <c r="AF4689" s="19"/>
    </row>
    <row r="4690" spans="32:32" x14ac:dyDescent="0.3">
      <c r="AF4690" s="19"/>
    </row>
    <row r="4691" spans="32:32" x14ac:dyDescent="0.3">
      <c r="AF4691" s="19"/>
    </row>
    <row r="4705" spans="32:32" x14ac:dyDescent="0.3">
      <c r="AF4705" s="19"/>
    </row>
    <row r="4706" spans="32:32" x14ac:dyDescent="0.3">
      <c r="AF4706" s="19"/>
    </row>
    <row r="4707" spans="32:32" x14ac:dyDescent="0.3">
      <c r="AF4707" s="19"/>
    </row>
    <row r="4708" spans="32:32" x14ac:dyDescent="0.3">
      <c r="AF4708" s="19"/>
    </row>
    <row r="4709" spans="32:32" x14ac:dyDescent="0.3">
      <c r="AF4709" s="19"/>
    </row>
    <row r="4710" spans="32:32" x14ac:dyDescent="0.3">
      <c r="AF4710" s="19"/>
    </row>
    <row r="4711" spans="32:32" x14ac:dyDescent="0.3">
      <c r="AF4711" s="19"/>
    </row>
    <row r="4712" spans="32:32" x14ac:dyDescent="0.3">
      <c r="AF4712" s="19"/>
    </row>
    <row r="4713" spans="32:32" x14ac:dyDescent="0.3">
      <c r="AF4713" s="19"/>
    </row>
    <row r="4726" spans="32:32" x14ac:dyDescent="0.3">
      <c r="AF4726" s="19"/>
    </row>
    <row r="4727" spans="32:32" x14ac:dyDescent="0.3">
      <c r="AF4727" s="19"/>
    </row>
    <row r="4728" spans="32:32" x14ac:dyDescent="0.3">
      <c r="AF4728" s="19"/>
    </row>
    <row r="4729" spans="32:32" x14ac:dyDescent="0.3">
      <c r="AF4729" s="19"/>
    </row>
    <row r="4730" spans="32:32" x14ac:dyDescent="0.3">
      <c r="AF4730" s="19"/>
    </row>
    <row r="4731" spans="32:32" x14ac:dyDescent="0.3">
      <c r="AF4731" s="19"/>
    </row>
    <row r="4732" spans="32:32" x14ac:dyDescent="0.3">
      <c r="AF4732" s="19"/>
    </row>
    <row r="4733" spans="32:32" x14ac:dyDescent="0.3">
      <c r="AF4733" s="19"/>
    </row>
    <row r="4749" spans="32:32" x14ac:dyDescent="0.3">
      <c r="AF4749" s="19"/>
    </row>
    <row r="4750" spans="32:32" x14ac:dyDescent="0.3">
      <c r="AF4750" s="19"/>
    </row>
    <row r="4751" spans="32:32" x14ac:dyDescent="0.3">
      <c r="AF4751" s="19"/>
    </row>
    <row r="4752" spans="32:32" x14ac:dyDescent="0.3">
      <c r="AF4752" s="19"/>
    </row>
    <row r="4753" spans="32:32" x14ac:dyDescent="0.3">
      <c r="AF4753" s="19"/>
    </row>
    <row r="4754" spans="32:32" x14ac:dyDescent="0.3">
      <c r="AF4754" s="19"/>
    </row>
    <row r="4755" spans="32:32" x14ac:dyDescent="0.3">
      <c r="AF4755" s="19"/>
    </row>
    <row r="4756" spans="32:32" x14ac:dyDescent="0.3">
      <c r="AF4756" s="19"/>
    </row>
    <row r="4768" spans="32:32" x14ac:dyDescent="0.3">
      <c r="AF4768" s="19"/>
    </row>
    <row r="4769" spans="32:32" x14ac:dyDescent="0.3">
      <c r="AF4769" s="19"/>
    </row>
    <row r="4770" spans="32:32" x14ac:dyDescent="0.3">
      <c r="AF4770" s="19"/>
    </row>
    <row r="4771" spans="32:32" x14ac:dyDescent="0.3">
      <c r="AF4771" s="19"/>
    </row>
    <row r="4772" spans="32:32" x14ac:dyDescent="0.3">
      <c r="AF4772" s="19"/>
    </row>
    <row r="4773" spans="32:32" x14ac:dyDescent="0.3">
      <c r="AF4773" s="19"/>
    </row>
    <row r="4774" spans="32:32" x14ac:dyDescent="0.3">
      <c r="AF4774" s="19"/>
    </row>
    <row r="4775" spans="32:32" x14ac:dyDescent="0.3">
      <c r="AF4775" s="19"/>
    </row>
    <row r="4776" spans="32:32" x14ac:dyDescent="0.3">
      <c r="AF4776" s="19"/>
    </row>
    <row r="4777" spans="32:32" x14ac:dyDescent="0.3">
      <c r="AF4777" s="19"/>
    </row>
    <row r="4790" spans="32:32" x14ac:dyDescent="0.3">
      <c r="AF4790" s="19"/>
    </row>
    <row r="4791" spans="32:32" x14ac:dyDescent="0.3">
      <c r="AF4791" s="19"/>
    </row>
    <row r="4792" spans="32:32" x14ac:dyDescent="0.3">
      <c r="AF4792" s="19"/>
    </row>
    <row r="4793" spans="32:32" x14ac:dyDescent="0.3">
      <c r="AF4793" s="19"/>
    </row>
    <row r="4794" spans="32:32" x14ac:dyDescent="0.3">
      <c r="AF4794" s="19"/>
    </row>
    <row r="4795" spans="32:32" x14ac:dyDescent="0.3">
      <c r="AF4795" s="19"/>
    </row>
    <row r="4796" spans="32:32" x14ac:dyDescent="0.3">
      <c r="AF4796" s="19"/>
    </row>
    <row r="4810" spans="32:32" x14ac:dyDescent="0.3">
      <c r="AF4810" s="19"/>
    </row>
    <row r="4811" spans="32:32" x14ac:dyDescent="0.3">
      <c r="AF4811" s="19"/>
    </row>
    <row r="4812" spans="32:32" x14ac:dyDescent="0.3">
      <c r="AF4812" s="19"/>
    </row>
    <row r="4813" spans="32:32" x14ac:dyDescent="0.3">
      <c r="AF4813" s="19"/>
    </row>
    <row r="4814" spans="32:32" x14ac:dyDescent="0.3">
      <c r="AF4814" s="19"/>
    </row>
    <row r="4815" spans="32:32" x14ac:dyDescent="0.3">
      <c r="AF4815" s="19"/>
    </row>
    <row r="4816" spans="32:32" x14ac:dyDescent="0.3">
      <c r="AF4816" s="19"/>
    </row>
    <row r="4817" spans="32:32" x14ac:dyDescent="0.3">
      <c r="AF4817" s="19"/>
    </row>
    <row r="4818" spans="32:32" x14ac:dyDescent="0.3">
      <c r="AF4818" s="19"/>
    </row>
    <row r="4829" spans="32:32" x14ac:dyDescent="0.3">
      <c r="AF4829" s="19"/>
    </row>
    <row r="4830" spans="32:32" x14ac:dyDescent="0.3">
      <c r="AF4830" s="19"/>
    </row>
    <row r="4831" spans="32:32" x14ac:dyDescent="0.3">
      <c r="AF4831" s="19"/>
    </row>
    <row r="4832" spans="32:32" x14ac:dyDescent="0.3">
      <c r="AF4832" s="19"/>
    </row>
    <row r="4833" spans="32:32" x14ac:dyDescent="0.3">
      <c r="AF4833" s="19"/>
    </row>
    <row r="4834" spans="32:32" x14ac:dyDescent="0.3">
      <c r="AF4834" s="19"/>
    </row>
    <row r="4835" spans="32:32" x14ac:dyDescent="0.3">
      <c r="AF4835" s="19"/>
    </row>
    <row r="4836" spans="32:32" x14ac:dyDescent="0.3">
      <c r="AF4836" s="19"/>
    </row>
    <row r="4837" spans="32:32" x14ac:dyDescent="0.3">
      <c r="AF4837" s="19"/>
    </row>
    <row r="4851" spans="32:32" x14ac:dyDescent="0.3">
      <c r="AF4851" s="19"/>
    </row>
    <row r="4852" spans="32:32" x14ac:dyDescent="0.3">
      <c r="AF4852" s="19"/>
    </row>
    <row r="4853" spans="32:32" x14ac:dyDescent="0.3">
      <c r="AF4853" s="19"/>
    </row>
    <row r="4854" spans="32:32" x14ac:dyDescent="0.3">
      <c r="AF4854" s="19"/>
    </row>
    <row r="4855" spans="32:32" x14ac:dyDescent="0.3">
      <c r="AF4855" s="19"/>
    </row>
    <row r="4856" spans="32:32" x14ac:dyDescent="0.3">
      <c r="AF4856" s="19"/>
    </row>
    <row r="4857" spans="32:32" x14ac:dyDescent="0.3">
      <c r="AF4857" s="19"/>
    </row>
    <row r="4872" spans="32:32" x14ac:dyDescent="0.3">
      <c r="AF4872" s="19"/>
    </row>
    <row r="4873" spans="32:32" x14ac:dyDescent="0.3">
      <c r="AF4873" s="19"/>
    </row>
    <row r="4874" spans="32:32" x14ac:dyDescent="0.3">
      <c r="AF4874" s="19"/>
    </row>
    <row r="4875" spans="32:32" x14ac:dyDescent="0.3">
      <c r="AF4875" s="19"/>
    </row>
    <row r="4876" spans="32:32" x14ac:dyDescent="0.3">
      <c r="AF4876" s="19"/>
    </row>
    <row r="4877" spans="32:32" x14ac:dyDescent="0.3">
      <c r="AF4877" s="19"/>
    </row>
    <row r="4878" spans="32:32" x14ac:dyDescent="0.3">
      <c r="AF4878" s="19"/>
    </row>
    <row r="4879" spans="32:32" x14ac:dyDescent="0.3">
      <c r="AF4879" s="19"/>
    </row>
    <row r="4892" spans="32:32" x14ac:dyDescent="0.3">
      <c r="AF4892" s="19"/>
    </row>
    <row r="4893" spans="32:32" x14ac:dyDescent="0.3">
      <c r="AF4893" s="19"/>
    </row>
    <row r="4894" spans="32:32" x14ac:dyDescent="0.3">
      <c r="AF4894" s="19"/>
    </row>
    <row r="4895" spans="32:32" x14ac:dyDescent="0.3">
      <c r="AF4895" s="19"/>
    </row>
    <row r="4896" spans="32:32" x14ac:dyDescent="0.3">
      <c r="AF4896" s="19"/>
    </row>
    <row r="4897" spans="32:32" x14ac:dyDescent="0.3">
      <c r="AF4897" s="19"/>
    </row>
    <row r="4898" spans="32:32" x14ac:dyDescent="0.3">
      <c r="AF4898" s="19"/>
    </row>
    <row r="4899" spans="32:32" x14ac:dyDescent="0.3">
      <c r="AF4899" s="19"/>
    </row>
    <row r="4900" spans="32:32" x14ac:dyDescent="0.3">
      <c r="AF4900" s="19"/>
    </row>
    <row r="4901" spans="32:32" x14ac:dyDescent="0.3">
      <c r="AF4901" s="19"/>
    </row>
    <row r="4914" spans="32:32" x14ac:dyDescent="0.3">
      <c r="AF4914" s="19"/>
    </row>
    <row r="4915" spans="32:32" x14ac:dyDescent="0.3">
      <c r="AF4915" s="19"/>
    </row>
    <row r="4916" spans="32:32" x14ac:dyDescent="0.3">
      <c r="AF4916" s="19"/>
    </row>
    <row r="4917" spans="32:32" x14ac:dyDescent="0.3">
      <c r="AF4917" s="19"/>
    </row>
    <row r="4918" spans="32:32" x14ac:dyDescent="0.3">
      <c r="AF4918" s="19"/>
    </row>
    <row r="4919" spans="32:32" x14ac:dyDescent="0.3">
      <c r="AF4919" s="19"/>
    </row>
    <row r="4920" spans="32:32" x14ac:dyDescent="0.3">
      <c r="AF4920" s="19"/>
    </row>
    <row r="4936" spans="32:32" x14ac:dyDescent="0.3">
      <c r="AF4936" s="19"/>
    </row>
    <row r="4937" spans="32:32" x14ac:dyDescent="0.3">
      <c r="AF4937" s="19"/>
    </row>
    <row r="4938" spans="32:32" x14ac:dyDescent="0.3">
      <c r="AF4938" s="19"/>
    </row>
    <row r="4939" spans="32:32" x14ac:dyDescent="0.3">
      <c r="AF4939" s="19"/>
    </row>
    <row r="4940" spans="32:32" x14ac:dyDescent="0.3">
      <c r="AF4940" s="19"/>
    </row>
    <row r="4941" spans="32:32" x14ac:dyDescent="0.3">
      <c r="AF4941" s="19"/>
    </row>
    <row r="4942" spans="32:32" x14ac:dyDescent="0.3">
      <c r="AF4942" s="19"/>
    </row>
    <row r="4943" spans="32:32" x14ac:dyDescent="0.3">
      <c r="AF4943" s="19"/>
    </row>
    <row r="4957" spans="32:32" x14ac:dyDescent="0.3">
      <c r="AF4957" s="19"/>
    </row>
    <row r="4958" spans="32:32" x14ac:dyDescent="0.3">
      <c r="AF4958" s="19"/>
    </row>
    <row r="4959" spans="32:32" x14ac:dyDescent="0.3">
      <c r="AF4959" s="19"/>
    </row>
    <row r="4960" spans="32:32" x14ac:dyDescent="0.3">
      <c r="AF4960" s="19"/>
    </row>
    <row r="4961" spans="32:32" x14ac:dyDescent="0.3">
      <c r="AF4961" s="19"/>
    </row>
    <row r="4962" spans="32:32" x14ac:dyDescent="0.3">
      <c r="AF4962" s="19"/>
    </row>
    <row r="4963" spans="32:32" x14ac:dyDescent="0.3">
      <c r="AF4963" s="19"/>
    </row>
    <row r="4964" spans="32:32" x14ac:dyDescent="0.3">
      <c r="AF4964" s="19"/>
    </row>
    <row r="4978" spans="32:32" x14ac:dyDescent="0.3">
      <c r="AF4978" s="19"/>
    </row>
    <row r="4979" spans="32:32" x14ac:dyDescent="0.3">
      <c r="AF4979" s="19"/>
    </row>
    <row r="4980" spans="32:32" x14ac:dyDescent="0.3">
      <c r="AF4980" s="19"/>
    </row>
    <row r="4981" spans="32:32" x14ac:dyDescent="0.3">
      <c r="AF4981" s="19"/>
    </row>
    <row r="4982" spans="32:32" x14ac:dyDescent="0.3">
      <c r="AF4982" s="19"/>
    </row>
    <row r="4983" spans="32:32" x14ac:dyDescent="0.3">
      <c r="AF4983" s="19"/>
    </row>
    <row r="4984" spans="32:32" x14ac:dyDescent="0.3">
      <c r="AF4984" s="19"/>
    </row>
    <row r="4985" spans="32:32" x14ac:dyDescent="0.3">
      <c r="AF4985" s="19"/>
    </row>
    <row r="5000" spans="32:32" x14ac:dyDescent="0.3">
      <c r="AF5000" s="19"/>
    </row>
    <row r="5001" spans="32:32" x14ac:dyDescent="0.3">
      <c r="AF5001" s="19"/>
    </row>
    <row r="5002" spans="32:32" x14ac:dyDescent="0.3">
      <c r="AF5002" s="19"/>
    </row>
    <row r="5003" spans="32:32" x14ac:dyDescent="0.3">
      <c r="AF5003" s="19"/>
    </row>
    <row r="5004" spans="32:32" x14ac:dyDescent="0.3">
      <c r="AF5004" s="19"/>
    </row>
    <row r="5005" spans="32:32" x14ac:dyDescent="0.3">
      <c r="AF5005" s="19"/>
    </row>
    <row r="5006" spans="32:32" x14ac:dyDescent="0.3">
      <c r="AF5006" s="19"/>
    </row>
    <row r="5007" spans="32:32" x14ac:dyDescent="0.3">
      <c r="AF5007" s="19"/>
    </row>
    <row r="5008" spans="32:32" x14ac:dyDescent="0.3">
      <c r="AF5008" s="19"/>
    </row>
    <row r="5020" spans="32:32" x14ac:dyDescent="0.3">
      <c r="AF5020" s="19"/>
    </row>
    <row r="5021" spans="32:32" x14ac:dyDescent="0.3">
      <c r="AF5021" s="19"/>
    </row>
    <row r="5022" spans="32:32" x14ac:dyDescent="0.3">
      <c r="AF5022" s="19"/>
    </row>
    <row r="5023" spans="32:32" x14ac:dyDescent="0.3">
      <c r="AF5023" s="19"/>
    </row>
    <row r="5024" spans="32:32" x14ac:dyDescent="0.3">
      <c r="AF5024" s="19"/>
    </row>
    <row r="5025" spans="32:32" x14ac:dyDescent="0.3">
      <c r="AF5025" s="19"/>
    </row>
    <row r="5026" spans="32:32" x14ac:dyDescent="0.3">
      <c r="AF5026" s="19"/>
    </row>
    <row r="5027" spans="32:32" x14ac:dyDescent="0.3">
      <c r="AF5027" s="19"/>
    </row>
    <row r="5028" spans="32:32" x14ac:dyDescent="0.3">
      <c r="AF5028" s="19"/>
    </row>
    <row r="5042" spans="32:32" x14ac:dyDescent="0.3">
      <c r="AF5042" s="19"/>
    </row>
    <row r="5043" spans="32:32" x14ac:dyDescent="0.3">
      <c r="AF5043" s="19"/>
    </row>
    <row r="5044" spans="32:32" x14ac:dyDescent="0.3">
      <c r="AF5044" s="19"/>
    </row>
    <row r="5045" spans="32:32" x14ac:dyDescent="0.3">
      <c r="AF5045" s="19"/>
    </row>
    <row r="5046" spans="32:32" x14ac:dyDescent="0.3">
      <c r="AF5046" s="19"/>
    </row>
    <row r="5047" spans="32:32" x14ac:dyDescent="0.3">
      <c r="AF5047" s="19"/>
    </row>
    <row r="5048" spans="32:32" x14ac:dyDescent="0.3">
      <c r="AF5048" s="19"/>
    </row>
    <row r="5061" spans="32:32" x14ac:dyDescent="0.3">
      <c r="AF5061" s="19"/>
    </row>
    <row r="5062" spans="32:32" x14ac:dyDescent="0.3">
      <c r="AF5062" s="19"/>
    </row>
    <row r="5063" spans="32:32" x14ac:dyDescent="0.3">
      <c r="AF5063" s="19"/>
    </row>
    <row r="5064" spans="32:32" x14ac:dyDescent="0.3">
      <c r="AF5064" s="19"/>
    </row>
    <row r="5065" spans="32:32" x14ac:dyDescent="0.3">
      <c r="AF5065" s="19"/>
    </row>
    <row r="5066" spans="32:32" x14ac:dyDescent="0.3">
      <c r="AF5066" s="19"/>
    </row>
    <row r="5067" spans="32:32" x14ac:dyDescent="0.3">
      <c r="AF5067" s="19"/>
    </row>
    <row r="5068" spans="32:32" x14ac:dyDescent="0.3">
      <c r="AF5068" s="19"/>
    </row>
    <row r="5069" spans="32:32" x14ac:dyDescent="0.3">
      <c r="AF5069" s="19"/>
    </row>
    <row r="5070" spans="32:32" x14ac:dyDescent="0.3">
      <c r="AF5070" s="19"/>
    </row>
    <row r="5080" spans="32:32" x14ac:dyDescent="0.3">
      <c r="AF5080" s="19"/>
    </row>
    <row r="5081" spans="32:32" x14ac:dyDescent="0.3">
      <c r="AF5081" s="19"/>
    </row>
    <row r="5082" spans="32:32" x14ac:dyDescent="0.3">
      <c r="AF5082" s="19"/>
    </row>
    <row r="5083" spans="32:32" x14ac:dyDescent="0.3">
      <c r="AF5083" s="19"/>
    </row>
    <row r="5084" spans="32:32" x14ac:dyDescent="0.3">
      <c r="AF5084" s="19"/>
    </row>
    <row r="5085" spans="32:32" x14ac:dyDescent="0.3">
      <c r="AF5085" s="19"/>
    </row>
    <row r="5086" spans="32:32" x14ac:dyDescent="0.3">
      <c r="AF5086" s="19"/>
    </row>
    <row r="5087" spans="32:32" x14ac:dyDescent="0.3">
      <c r="AF5087" s="19"/>
    </row>
    <row r="5088" spans="32:32" x14ac:dyDescent="0.3">
      <c r="AF5088" s="19"/>
    </row>
    <row r="5089" spans="32:32" x14ac:dyDescent="0.3">
      <c r="AF5089" s="19"/>
    </row>
    <row r="5103" spans="32:32" x14ac:dyDescent="0.3">
      <c r="AF5103" s="19"/>
    </row>
    <row r="5104" spans="32:32" x14ac:dyDescent="0.3">
      <c r="AF5104" s="19"/>
    </row>
    <row r="5105" spans="32:32" x14ac:dyDescent="0.3">
      <c r="AF5105" s="19"/>
    </row>
    <row r="5106" spans="32:32" x14ac:dyDescent="0.3">
      <c r="AF5106" s="19"/>
    </row>
    <row r="5107" spans="32:32" x14ac:dyDescent="0.3">
      <c r="AF5107" s="19"/>
    </row>
    <row r="5108" spans="32:32" x14ac:dyDescent="0.3">
      <c r="AF5108" s="19"/>
    </row>
    <row r="5109" spans="32:32" x14ac:dyDescent="0.3">
      <c r="AF5109" s="19"/>
    </row>
    <row r="5124" spans="32:32" x14ac:dyDescent="0.3">
      <c r="AF5124" s="19"/>
    </row>
    <row r="5125" spans="32:32" x14ac:dyDescent="0.3">
      <c r="AF5125" s="19"/>
    </row>
    <row r="5126" spans="32:32" x14ac:dyDescent="0.3">
      <c r="AF5126" s="19"/>
    </row>
    <row r="5127" spans="32:32" x14ac:dyDescent="0.3">
      <c r="AF5127" s="19"/>
    </row>
    <row r="5128" spans="32:32" x14ac:dyDescent="0.3">
      <c r="AF5128" s="19"/>
    </row>
    <row r="5129" spans="32:32" x14ac:dyDescent="0.3">
      <c r="AF5129" s="19"/>
    </row>
    <row r="5130" spans="32:32" x14ac:dyDescent="0.3">
      <c r="AF5130" s="19"/>
    </row>
    <row r="5131" spans="32:32" x14ac:dyDescent="0.3">
      <c r="AF5131" s="19"/>
    </row>
    <row r="5144" spans="32:32" x14ac:dyDescent="0.3">
      <c r="AF5144" s="19"/>
    </row>
    <row r="5145" spans="32:32" x14ac:dyDescent="0.3">
      <c r="AF5145" s="19"/>
    </row>
    <row r="5146" spans="32:32" x14ac:dyDescent="0.3">
      <c r="AF5146" s="19"/>
    </row>
    <row r="5147" spans="32:32" x14ac:dyDescent="0.3">
      <c r="AF5147" s="19"/>
    </row>
    <row r="5148" spans="32:32" x14ac:dyDescent="0.3">
      <c r="AF5148" s="19"/>
    </row>
    <row r="5149" spans="32:32" x14ac:dyDescent="0.3">
      <c r="AF5149" s="19"/>
    </row>
    <row r="5150" spans="32:32" x14ac:dyDescent="0.3">
      <c r="AF5150" s="19"/>
    </row>
    <row r="5151" spans="32:32" x14ac:dyDescent="0.3">
      <c r="AF5151" s="19"/>
    </row>
    <row r="5152" spans="32:32" x14ac:dyDescent="0.3">
      <c r="AF5152" s="19"/>
    </row>
    <row r="5166" spans="32:32" x14ac:dyDescent="0.3">
      <c r="AF5166" s="19"/>
    </row>
    <row r="5167" spans="32:32" x14ac:dyDescent="0.3">
      <c r="AF5167" s="19"/>
    </row>
    <row r="5168" spans="32:32" x14ac:dyDescent="0.3">
      <c r="AF5168" s="19"/>
    </row>
    <row r="5169" spans="32:32" x14ac:dyDescent="0.3">
      <c r="AF5169" s="19"/>
    </row>
    <row r="5170" spans="32:32" x14ac:dyDescent="0.3">
      <c r="AF5170" s="19"/>
    </row>
    <row r="5171" spans="32:32" x14ac:dyDescent="0.3">
      <c r="AF5171" s="19"/>
    </row>
    <row r="5172" spans="32:32" x14ac:dyDescent="0.3">
      <c r="AF5172" s="19"/>
    </row>
    <row r="5187" spans="32:32" x14ac:dyDescent="0.3">
      <c r="AF5187" s="19"/>
    </row>
    <row r="5188" spans="32:32" x14ac:dyDescent="0.3">
      <c r="AF5188" s="19"/>
    </row>
    <row r="5189" spans="32:32" x14ac:dyDescent="0.3">
      <c r="AF5189" s="19"/>
    </row>
    <row r="5190" spans="32:32" x14ac:dyDescent="0.3">
      <c r="AF5190" s="19"/>
    </row>
    <row r="5191" spans="32:32" x14ac:dyDescent="0.3">
      <c r="AF5191" s="19"/>
    </row>
    <row r="5192" spans="32:32" x14ac:dyDescent="0.3">
      <c r="AF5192" s="19"/>
    </row>
    <row r="5193" spans="32:32" x14ac:dyDescent="0.3">
      <c r="AF5193" s="19"/>
    </row>
    <row r="5194" spans="32:32" x14ac:dyDescent="0.3">
      <c r="AF5194" s="19"/>
    </row>
    <row r="5195" spans="32:32" x14ac:dyDescent="0.3">
      <c r="AF5195" s="19"/>
    </row>
    <row r="5209" spans="32:32" x14ac:dyDescent="0.3">
      <c r="AF5209" s="19"/>
    </row>
    <row r="5210" spans="32:32" x14ac:dyDescent="0.3">
      <c r="AF5210" s="19"/>
    </row>
    <row r="5211" spans="32:32" x14ac:dyDescent="0.3">
      <c r="AF5211" s="19"/>
    </row>
    <row r="5212" spans="32:32" x14ac:dyDescent="0.3">
      <c r="AF5212" s="19"/>
    </row>
    <row r="5213" spans="32:32" x14ac:dyDescent="0.3">
      <c r="AF5213" s="19"/>
    </row>
    <row r="5214" spans="32:32" x14ac:dyDescent="0.3">
      <c r="AF5214" s="19"/>
    </row>
    <row r="5215" spans="32:32" x14ac:dyDescent="0.3">
      <c r="AF5215" s="19"/>
    </row>
    <row r="5230" spans="32:32" x14ac:dyDescent="0.3">
      <c r="AF5230" s="19"/>
    </row>
    <row r="5231" spans="32:32" x14ac:dyDescent="0.3">
      <c r="AF5231" s="19"/>
    </row>
    <row r="5232" spans="32:32" x14ac:dyDescent="0.3">
      <c r="AF5232" s="19"/>
    </row>
    <row r="5233" spans="32:32" x14ac:dyDescent="0.3">
      <c r="AF5233" s="19"/>
    </row>
    <row r="5234" spans="32:32" x14ac:dyDescent="0.3">
      <c r="AF5234" s="19"/>
    </row>
    <row r="5235" spans="32:32" x14ac:dyDescent="0.3">
      <c r="AF5235" s="19"/>
    </row>
    <row r="5236" spans="32:32" x14ac:dyDescent="0.3">
      <c r="AF5236" s="19"/>
    </row>
    <row r="5237" spans="32:32" x14ac:dyDescent="0.3">
      <c r="AF5237" s="19"/>
    </row>
    <row r="5251" spans="32:32" x14ac:dyDescent="0.3">
      <c r="AF5251" s="19"/>
    </row>
    <row r="5252" spans="32:32" x14ac:dyDescent="0.3">
      <c r="AF5252" s="19"/>
    </row>
    <row r="5253" spans="32:32" x14ac:dyDescent="0.3">
      <c r="AF5253" s="19"/>
    </row>
    <row r="5254" spans="32:32" x14ac:dyDescent="0.3">
      <c r="AF5254" s="19"/>
    </row>
    <row r="5255" spans="32:32" x14ac:dyDescent="0.3">
      <c r="AF5255" s="19"/>
    </row>
    <row r="5256" spans="32:32" x14ac:dyDescent="0.3">
      <c r="AF5256" s="19"/>
    </row>
    <row r="5257" spans="32:32" x14ac:dyDescent="0.3">
      <c r="AF5257" s="19"/>
    </row>
    <row r="5258" spans="32:32" x14ac:dyDescent="0.3">
      <c r="AF5258" s="19"/>
    </row>
    <row r="5259" spans="32:32" x14ac:dyDescent="0.3">
      <c r="AF5259" s="19"/>
    </row>
    <row r="5260" spans="32:32" x14ac:dyDescent="0.3">
      <c r="AF5260" s="19"/>
    </row>
    <row r="5272" spans="32:32" x14ac:dyDescent="0.3">
      <c r="AF5272" s="19"/>
    </row>
    <row r="5273" spans="32:32" x14ac:dyDescent="0.3">
      <c r="AF5273" s="19"/>
    </row>
    <row r="5274" spans="32:32" x14ac:dyDescent="0.3">
      <c r="AF5274" s="19"/>
    </row>
    <row r="5275" spans="32:32" x14ac:dyDescent="0.3">
      <c r="AF5275" s="19"/>
    </row>
    <row r="5276" spans="32:32" x14ac:dyDescent="0.3">
      <c r="AF5276" s="19"/>
    </row>
    <row r="5277" spans="32:32" x14ac:dyDescent="0.3">
      <c r="AF5277" s="19"/>
    </row>
    <row r="5278" spans="32:32" x14ac:dyDescent="0.3">
      <c r="AF5278" s="19"/>
    </row>
    <row r="5279" spans="32:32" x14ac:dyDescent="0.3">
      <c r="AF5279" s="19"/>
    </row>
    <row r="5294" spans="32:32" x14ac:dyDescent="0.3">
      <c r="AF5294" s="19"/>
    </row>
    <row r="5295" spans="32:32" x14ac:dyDescent="0.3">
      <c r="AF5295" s="19"/>
    </row>
    <row r="5296" spans="32:32" x14ac:dyDescent="0.3">
      <c r="AF5296" s="19"/>
    </row>
    <row r="5297" spans="32:32" x14ac:dyDescent="0.3">
      <c r="AF5297" s="19"/>
    </row>
    <row r="5298" spans="32:32" x14ac:dyDescent="0.3">
      <c r="AF5298" s="19"/>
    </row>
    <row r="5299" spans="32:32" x14ac:dyDescent="0.3">
      <c r="AF5299" s="19"/>
    </row>
    <row r="5300" spans="32:32" x14ac:dyDescent="0.3">
      <c r="AF5300" s="19"/>
    </row>
    <row r="5301" spans="32:32" x14ac:dyDescent="0.3">
      <c r="AF5301" s="19"/>
    </row>
    <row r="5314" spans="32:32" x14ac:dyDescent="0.3">
      <c r="AF5314" s="19"/>
    </row>
    <row r="5315" spans="32:32" x14ac:dyDescent="0.3">
      <c r="AF5315" s="19"/>
    </row>
    <row r="5316" spans="32:32" x14ac:dyDescent="0.3">
      <c r="AF5316" s="19"/>
    </row>
    <row r="5317" spans="32:32" x14ac:dyDescent="0.3">
      <c r="AF5317" s="19"/>
    </row>
    <row r="5318" spans="32:32" x14ac:dyDescent="0.3">
      <c r="AF5318" s="19"/>
    </row>
    <row r="5319" spans="32:32" x14ac:dyDescent="0.3">
      <c r="AF5319" s="19"/>
    </row>
    <row r="5320" spans="32:32" x14ac:dyDescent="0.3">
      <c r="AF5320" s="19"/>
    </row>
    <row r="5321" spans="32:32" x14ac:dyDescent="0.3">
      <c r="AF5321" s="19"/>
    </row>
    <row r="5322" spans="32:32" x14ac:dyDescent="0.3">
      <c r="AF5322" s="19"/>
    </row>
    <row r="5333" spans="32:32" x14ac:dyDescent="0.3">
      <c r="AF5333" s="19"/>
    </row>
    <row r="5334" spans="32:32" x14ac:dyDescent="0.3">
      <c r="AF5334" s="19"/>
    </row>
    <row r="5335" spans="32:32" x14ac:dyDescent="0.3">
      <c r="AF5335" s="19"/>
    </row>
    <row r="5336" spans="32:32" x14ac:dyDescent="0.3">
      <c r="AF5336" s="19"/>
    </row>
    <row r="5337" spans="32:32" x14ac:dyDescent="0.3">
      <c r="AF5337" s="19"/>
    </row>
    <row r="5338" spans="32:32" x14ac:dyDescent="0.3">
      <c r="AF5338" s="19"/>
    </row>
    <row r="5339" spans="32:32" x14ac:dyDescent="0.3">
      <c r="AF5339" s="19"/>
    </row>
    <row r="5340" spans="32:32" x14ac:dyDescent="0.3">
      <c r="AF5340" s="19"/>
    </row>
    <row r="5341" spans="32:32" x14ac:dyDescent="0.3">
      <c r="AF5341" s="19"/>
    </row>
    <row r="5356" spans="32:32" x14ac:dyDescent="0.3">
      <c r="AF5356" s="19"/>
    </row>
    <row r="5357" spans="32:32" x14ac:dyDescent="0.3">
      <c r="AF5357" s="19"/>
    </row>
    <row r="5358" spans="32:32" x14ac:dyDescent="0.3">
      <c r="AF5358" s="19"/>
    </row>
    <row r="5359" spans="32:32" x14ac:dyDescent="0.3">
      <c r="AF5359" s="19"/>
    </row>
    <row r="5360" spans="32:32" x14ac:dyDescent="0.3">
      <c r="AF5360" s="19"/>
    </row>
    <row r="5361" spans="32:32" x14ac:dyDescent="0.3">
      <c r="AF5361" s="19"/>
    </row>
    <row r="5362" spans="32:32" x14ac:dyDescent="0.3">
      <c r="AF5362" s="19"/>
    </row>
    <row r="5363" spans="32:32" x14ac:dyDescent="0.3">
      <c r="AF5363" s="19"/>
    </row>
    <row r="5376" spans="32:32" x14ac:dyDescent="0.3">
      <c r="AF5376" s="19"/>
    </row>
    <row r="5377" spans="32:32" x14ac:dyDescent="0.3">
      <c r="AF5377" s="19"/>
    </row>
    <row r="5378" spans="32:32" x14ac:dyDescent="0.3">
      <c r="AF5378" s="19"/>
    </row>
    <row r="5379" spans="32:32" x14ac:dyDescent="0.3">
      <c r="AF5379" s="19"/>
    </row>
    <row r="5380" spans="32:32" x14ac:dyDescent="0.3">
      <c r="AF5380" s="19"/>
    </row>
    <row r="5381" spans="32:32" x14ac:dyDescent="0.3">
      <c r="AF5381" s="19"/>
    </row>
    <row r="5382" spans="32:32" x14ac:dyDescent="0.3">
      <c r="AF5382" s="19"/>
    </row>
    <row r="5383" spans="32:32" x14ac:dyDescent="0.3">
      <c r="AF5383" s="19"/>
    </row>
    <row r="5384" spans="32:32" x14ac:dyDescent="0.3">
      <c r="AF5384" s="19"/>
    </row>
    <row r="5397" spans="32:32" x14ac:dyDescent="0.3">
      <c r="AF5397" s="19"/>
    </row>
    <row r="5398" spans="32:32" x14ac:dyDescent="0.3">
      <c r="AF5398" s="19"/>
    </row>
    <row r="5399" spans="32:32" x14ac:dyDescent="0.3">
      <c r="AF5399" s="19"/>
    </row>
    <row r="5400" spans="32:32" x14ac:dyDescent="0.3">
      <c r="AF5400" s="19"/>
    </row>
    <row r="5401" spans="32:32" x14ac:dyDescent="0.3">
      <c r="AF5401" s="19"/>
    </row>
    <row r="5402" spans="32:32" x14ac:dyDescent="0.3">
      <c r="AF5402" s="19"/>
    </row>
    <row r="5403" spans="32:32" x14ac:dyDescent="0.3">
      <c r="AF5403" s="19"/>
    </row>
    <row r="5404" spans="32:32" x14ac:dyDescent="0.3">
      <c r="AF5404" s="19"/>
    </row>
    <row r="5419" spans="32:32" x14ac:dyDescent="0.3">
      <c r="AF5419" s="19"/>
    </row>
    <row r="5420" spans="32:32" x14ac:dyDescent="0.3">
      <c r="AF5420" s="19"/>
    </row>
    <row r="5421" spans="32:32" x14ac:dyDescent="0.3">
      <c r="AF5421" s="19"/>
    </row>
    <row r="5422" spans="32:32" x14ac:dyDescent="0.3">
      <c r="AF5422" s="19"/>
    </row>
    <row r="5423" spans="32:32" x14ac:dyDescent="0.3">
      <c r="AF5423" s="19"/>
    </row>
    <row r="5424" spans="32:32" x14ac:dyDescent="0.3">
      <c r="AF5424" s="19"/>
    </row>
    <row r="5425" spans="32:32" x14ac:dyDescent="0.3">
      <c r="AF5425" s="19"/>
    </row>
    <row r="5439" spans="32:32" x14ac:dyDescent="0.3">
      <c r="AF5439" s="19"/>
    </row>
    <row r="5440" spans="32:32" x14ac:dyDescent="0.3">
      <c r="AF5440" s="19"/>
    </row>
    <row r="5441" spans="32:32" x14ac:dyDescent="0.3">
      <c r="AF5441" s="19"/>
    </row>
    <row r="5442" spans="32:32" x14ac:dyDescent="0.3">
      <c r="AF5442" s="19"/>
    </row>
    <row r="5443" spans="32:32" x14ac:dyDescent="0.3">
      <c r="AF5443" s="19"/>
    </row>
    <row r="5444" spans="32:32" x14ac:dyDescent="0.3">
      <c r="AF5444" s="19"/>
    </row>
    <row r="5445" spans="32:32" x14ac:dyDescent="0.3">
      <c r="AF5445" s="19"/>
    </row>
    <row r="5446" spans="32:32" x14ac:dyDescent="0.3">
      <c r="AF5446" s="19"/>
    </row>
    <row r="5447" spans="32:32" x14ac:dyDescent="0.3">
      <c r="AF5447" s="19"/>
    </row>
    <row r="5448" spans="32:32" x14ac:dyDescent="0.3">
      <c r="AF5448" s="19"/>
    </row>
    <row r="5462" spans="32:32" x14ac:dyDescent="0.3">
      <c r="AF5462" s="19"/>
    </row>
    <row r="5463" spans="32:32" x14ac:dyDescent="0.3">
      <c r="AF5463" s="19"/>
    </row>
    <row r="5464" spans="32:32" x14ac:dyDescent="0.3">
      <c r="AF5464" s="19"/>
    </row>
    <row r="5465" spans="32:32" x14ac:dyDescent="0.3">
      <c r="AF5465" s="19"/>
    </row>
    <row r="5466" spans="32:32" x14ac:dyDescent="0.3">
      <c r="AF5466" s="19"/>
    </row>
    <row r="5467" spans="32:32" x14ac:dyDescent="0.3">
      <c r="AF5467" s="19"/>
    </row>
    <row r="5468" spans="32:32" x14ac:dyDescent="0.3">
      <c r="AF5468" s="19"/>
    </row>
    <row r="5483" spans="32:32" x14ac:dyDescent="0.3">
      <c r="AF5483" s="19"/>
    </row>
    <row r="5484" spans="32:32" x14ac:dyDescent="0.3">
      <c r="AF5484" s="19"/>
    </row>
    <row r="5485" spans="32:32" x14ac:dyDescent="0.3">
      <c r="AF5485" s="19"/>
    </row>
    <row r="5486" spans="32:32" x14ac:dyDescent="0.3">
      <c r="AF5486" s="19"/>
    </row>
    <row r="5487" spans="32:32" x14ac:dyDescent="0.3">
      <c r="AF5487" s="19"/>
    </row>
    <row r="5488" spans="32:32" x14ac:dyDescent="0.3">
      <c r="AF5488" s="19"/>
    </row>
    <row r="5489" spans="32:32" x14ac:dyDescent="0.3">
      <c r="AF5489" s="19"/>
    </row>
    <row r="5490" spans="32:32" x14ac:dyDescent="0.3">
      <c r="AF5490" s="19"/>
    </row>
    <row r="5504" spans="32:32" x14ac:dyDescent="0.3">
      <c r="AF5504" s="19"/>
    </row>
    <row r="5505" spans="32:32" x14ac:dyDescent="0.3">
      <c r="AF5505" s="19"/>
    </row>
    <row r="5506" spans="32:32" x14ac:dyDescent="0.3">
      <c r="AF5506" s="19"/>
    </row>
    <row r="5507" spans="32:32" x14ac:dyDescent="0.3">
      <c r="AF5507" s="19"/>
    </row>
    <row r="5508" spans="32:32" x14ac:dyDescent="0.3">
      <c r="AF5508" s="19"/>
    </row>
    <row r="5509" spans="32:32" x14ac:dyDescent="0.3">
      <c r="AF5509" s="19"/>
    </row>
    <row r="5510" spans="32:32" x14ac:dyDescent="0.3">
      <c r="AF5510" s="19"/>
    </row>
    <row r="5511" spans="32:32" x14ac:dyDescent="0.3">
      <c r="AF5511" s="19"/>
    </row>
    <row r="5512" spans="32:32" x14ac:dyDescent="0.3">
      <c r="AF5512" s="19"/>
    </row>
    <row r="5525" spans="32:32" x14ac:dyDescent="0.3">
      <c r="AF5525" s="19"/>
    </row>
    <row r="5526" spans="32:32" x14ac:dyDescent="0.3">
      <c r="AF5526" s="19"/>
    </row>
    <row r="5527" spans="32:32" x14ac:dyDescent="0.3">
      <c r="AF5527" s="19"/>
    </row>
    <row r="5528" spans="32:32" x14ac:dyDescent="0.3">
      <c r="AF5528" s="19"/>
    </row>
    <row r="5529" spans="32:32" x14ac:dyDescent="0.3">
      <c r="AF5529" s="19"/>
    </row>
    <row r="5530" spans="32:32" x14ac:dyDescent="0.3">
      <c r="AF5530" s="19"/>
    </row>
    <row r="5531" spans="32:32" x14ac:dyDescent="0.3">
      <c r="AF5531" s="19"/>
    </row>
    <row r="5532" spans="32:32" x14ac:dyDescent="0.3">
      <c r="AF5532" s="19"/>
    </row>
    <row r="5546" spans="32:32" x14ac:dyDescent="0.3">
      <c r="AF5546" s="19"/>
    </row>
    <row r="5547" spans="32:32" x14ac:dyDescent="0.3">
      <c r="AF5547" s="19"/>
    </row>
    <row r="5548" spans="32:32" x14ac:dyDescent="0.3">
      <c r="AF5548" s="19"/>
    </row>
    <row r="5549" spans="32:32" x14ac:dyDescent="0.3">
      <c r="AF5549" s="19"/>
    </row>
    <row r="5550" spans="32:32" x14ac:dyDescent="0.3">
      <c r="AF5550" s="19"/>
    </row>
    <row r="5551" spans="32:32" x14ac:dyDescent="0.3">
      <c r="AF5551" s="19"/>
    </row>
    <row r="5552" spans="32:32" x14ac:dyDescent="0.3">
      <c r="AF5552" s="19"/>
    </row>
    <row r="5553" spans="32:32" x14ac:dyDescent="0.3">
      <c r="AF5553" s="19"/>
    </row>
    <row r="5566" spans="32:32" x14ac:dyDescent="0.3">
      <c r="AF5566" s="19"/>
    </row>
    <row r="5567" spans="32:32" x14ac:dyDescent="0.3">
      <c r="AF5567" s="19"/>
    </row>
    <row r="5568" spans="32:32" x14ac:dyDescent="0.3">
      <c r="AF5568" s="19"/>
    </row>
    <row r="5569" spans="32:32" x14ac:dyDescent="0.3">
      <c r="AF5569" s="19"/>
    </row>
    <row r="5570" spans="32:32" x14ac:dyDescent="0.3">
      <c r="AF5570" s="19"/>
    </row>
    <row r="5571" spans="32:32" x14ac:dyDescent="0.3">
      <c r="AF5571" s="19"/>
    </row>
    <row r="5572" spans="32:32" x14ac:dyDescent="0.3">
      <c r="AF5572" s="19"/>
    </row>
    <row r="5573" spans="32:32" x14ac:dyDescent="0.3">
      <c r="AF5573" s="19"/>
    </row>
    <row r="5586" spans="32:32" x14ac:dyDescent="0.3">
      <c r="AF5586" s="19"/>
    </row>
    <row r="5587" spans="32:32" x14ac:dyDescent="0.3">
      <c r="AF5587" s="19"/>
    </row>
    <row r="5588" spans="32:32" x14ac:dyDescent="0.3">
      <c r="AF5588" s="19"/>
    </row>
    <row r="5589" spans="32:32" x14ac:dyDescent="0.3">
      <c r="AF5589" s="19"/>
    </row>
    <row r="5590" spans="32:32" x14ac:dyDescent="0.3">
      <c r="AF5590" s="19"/>
    </row>
    <row r="5591" spans="32:32" x14ac:dyDescent="0.3">
      <c r="AF5591" s="19"/>
    </row>
    <row r="5592" spans="32:32" x14ac:dyDescent="0.3">
      <c r="AF5592" s="19"/>
    </row>
    <row r="5593" spans="32:32" x14ac:dyDescent="0.3">
      <c r="AF5593" s="19"/>
    </row>
    <row r="5608" spans="32:32" x14ac:dyDescent="0.3">
      <c r="AF5608" s="19"/>
    </row>
    <row r="5609" spans="32:32" x14ac:dyDescent="0.3">
      <c r="AF5609" s="19"/>
    </row>
    <row r="5610" spans="32:32" x14ac:dyDescent="0.3">
      <c r="AF5610" s="19"/>
    </row>
    <row r="5611" spans="32:32" x14ac:dyDescent="0.3">
      <c r="AF5611" s="19"/>
    </row>
    <row r="5612" spans="32:32" x14ac:dyDescent="0.3">
      <c r="AF5612" s="19"/>
    </row>
    <row r="5613" spans="32:32" x14ac:dyDescent="0.3">
      <c r="AF5613" s="19"/>
    </row>
    <row r="5614" spans="32:32" x14ac:dyDescent="0.3">
      <c r="AF5614" s="19"/>
    </row>
    <row r="5615" spans="32:32" x14ac:dyDescent="0.3">
      <c r="AF5615" s="19"/>
    </row>
    <row r="5628" spans="32:32" x14ac:dyDescent="0.3">
      <c r="AF5628" s="19"/>
    </row>
    <row r="5629" spans="32:32" x14ac:dyDescent="0.3">
      <c r="AF5629" s="19"/>
    </row>
    <row r="5630" spans="32:32" x14ac:dyDescent="0.3">
      <c r="AF5630" s="19"/>
    </row>
    <row r="5631" spans="32:32" x14ac:dyDescent="0.3">
      <c r="AF5631" s="19"/>
    </row>
    <row r="5632" spans="32:32" x14ac:dyDescent="0.3">
      <c r="AF5632" s="19"/>
    </row>
    <row r="5633" spans="32:32" x14ac:dyDescent="0.3">
      <c r="AF5633" s="19"/>
    </row>
    <row r="5634" spans="32:32" x14ac:dyDescent="0.3">
      <c r="AF5634" s="19"/>
    </row>
    <row r="5635" spans="32:32" x14ac:dyDescent="0.3">
      <c r="AF5635" s="19"/>
    </row>
    <row r="5636" spans="32:32" x14ac:dyDescent="0.3">
      <c r="AF5636" s="19"/>
    </row>
    <row r="5650" spans="32:32" x14ac:dyDescent="0.3">
      <c r="AF5650" s="19"/>
    </row>
    <row r="5651" spans="32:32" x14ac:dyDescent="0.3">
      <c r="AF5651" s="19"/>
    </row>
    <row r="5652" spans="32:32" x14ac:dyDescent="0.3">
      <c r="AF5652" s="19"/>
    </row>
    <row r="5653" spans="32:32" x14ac:dyDescent="0.3">
      <c r="AF5653" s="19"/>
    </row>
    <row r="5654" spans="32:32" x14ac:dyDescent="0.3">
      <c r="AF5654" s="19"/>
    </row>
    <row r="5655" spans="32:32" x14ac:dyDescent="0.3">
      <c r="AF5655" s="19"/>
    </row>
    <row r="5656" spans="32:32" x14ac:dyDescent="0.3">
      <c r="AF5656" s="19"/>
    </row>
    <row r="5657" spans="32:32" x14ac:dyDescent="0.3">
      <c r="AF5657" s="19"/>
    </row>
    <row r="5671" spans="32:32" x14ac:dyDescent="0.3">
      <c r="AF5671" s="19"/>
    </row>
    <row r="5672" spans="32:32" x14ac:dyDescent="0.3">
      <c r="AF5672" s="19"/>
    </row>
    <row r="5673" spans="32:32" x14ac:dyDescent="0.3">
      <c r="AF5673" s="19"/>
    </row>
    <row r="5674" spans="32:32" x14ac:dyDescent="0.3">
      <c r="AF5674" s="19"/>
    </row>
    <row r="5675" spans="32:32" x14ac:dyDescent="0.3">
      <c r="AF5675" s="19"/>
    </row>
    <row r="5676" spans="32:32" x14ac:dyDescent="0.3">
      <c r="AF5676" s="19"/>
    </row>
    <row r="5677" spans="32:32" x14ac:dyDescent="0.3">
      <c r="AF5677" s="19"/>
    </row>
    <row r="5678" spans="32:32" x14ac:dyDescent="0.3">
      <c r="AF5678" s="19"/>
    </row>
    <row r="5692" spans="32:32" x14ac:dyDescent="0.3">
      <c r="AF5692" s="19"/>
    </row>
    <row r="5693" spans="32:32" x14ac:dyDescent="0.3">
      <c r="AF5693" s="19"/>
    </row>
    <row r="5694" spans="32:32" x14ac:dyDescent="0.3">
      <c r="AF5694" s="19"/>
    </row>
    <row r="5695" spans="32:32" x14ac:dyDescent="0.3">
      <c r="AF5695" s="19"/>
    </row>
    <row r="5696" spans="32:32" x14ac:dyDescent="0.3">
      <c r="AF5696" s="19"/>
    </row>
    <row r="5697" spans="32:32" x14ac:dyDescent="0.3">
      <c r="AF5697" s="19"/>
    </row>
    <row r="5698" spans="32:32" x14ac:dyDescent="0.3">
      <c r="AF5698" s="19"/>
    </row>
    <row r="5699" spans="32:32" x14ac:dyDescent="0.3">
      <c r="AF5699" s="19"/>
    </row>
    <row r="5715" spans="32:32" x14ac:dyDescent="0.3">
      <c r="AF5715" s="19"/>
    </row>
    <row r="5716" spans="32:32" x14ac:dyDescent="0.3">
      <c r="AF5716" s="19"/>
    </row>
    <row r="5717" spans="32:32" x14ac:dyDescent="0.3">
      <c r="AF5717" s="19"/>
    </row>
    <row r="5718" spans="32:32" x14ac:dyDescent="0.3">
      <c r="AF5718" s="19"/>
    </row>
    <row r="5719" spans="32:32" x14ac:dyDescent="0.3">
      <c r="AF5719" s="19"/>
    </row>
    <row r="5720" spans="32:32" x14ac:dyDescent="0.3">
      <c r="AF5720" s="19"/>
    </row>
    <row r="5721" spans="32:32" x14ac:dyDescent="0.3">
      <c r="AF5721" s="19"/>
    </row>
    <row r="5734" spans="32:32" x14ac:dyDescent="0.3">
      <c r="AF5734" s="19"/>
    </row>
    <row r="5735" spans="32:32" x14ac:dyDescent="0.3">
      <c r="AF5735" s="19"/>
    </row>
    <row r="5736" spans="32:32" x14ac:dyDescent="0.3">
      <c r="AF5736" s="19"/>
    </row>
    <row r="5737" spans="32:32" x14ac:dyDescent="0.3">
      <c r="AF5737" s="19"/>
    </row>
    <row r="5738" spans="32:32" x14ac:dyDescent="0.3">
      <c r="AF5738" s="19"/>
    </row>
    <row r="5739" spans="32:32" x14ac:dyDescent="0.3">
      <c r="AF5739" s="19"/>
    </row>
    <row r="5740" spans="32:32" x14ac:dyDescent="0.3">
      <c r="AF5740" s="19"/>
    </row>
    <row r="5741" spans="32:32" x14ac:dyDescent="0.3">
      <c r="AF5741" s="19"/>
    </row>
    <row r="5742" spans="32:32" x14ac:dyDescent="0.3">
      <c r="AF5742" s="19"/>
    </row>
    <row r="5743" spans="32:32" x14ac:dyDescent="0.3">
      <c r="AF5743" s="19"/>
    </row>
    <row r="5755" spans="32:32" x14ac:dyDescent="0.3">
      <c r="AF5755" s="19"/>
    </row>
    <row r="5756" spans="32:32" x14ac:dyDescent="0.3">
      <c r="AF5756" s="19"/>
    </row>
    <row r="5757" spans="32:32" x14ac:dyDescent="0.3">
      <c r="AF5757" s="19"/>
    </row>
    <row r="5758" spans="32:32" x14ac:dyDescent="0.3">
      <c r="AF5758" s="19"/>
    </row>
    <row r="5759" spans="32:32" x14ac:dyDescent="0.3">
      <c r="AF5759" s="19"/>
    </row>
    <row r="5760" spans="32:32" x14ac:dyDescent="0.3">
      <c r="AF5760" s="19"/>
    </row>
    <row r="5761" spans="32:32" x14ac:dyDescent="0.3">
      <c r="AF5761" s="19"/>
    </row>
    <row r="5762" spans="32:32" x14ac:dyDescent="0.3">
      <c r="AF5762" s="19"/>
    </row>
    <row r="5776" spans="32:32" x14ac:dyDescent="0.3">
      <c r="AF5776" s="19"/>
    </row>
    <row r="5777" spans="32:32" x14ac:dyDescent="0.3">
      <c r="AF5777" s="19"/>
    </row>
    <row r="5778" spans="32:32" x14ac:dyDescent="0.3">
      <c r="AF5778" s="19"/>
    </row>
    <row r="5779" spans="32:32" x14ac:dyDescent="0.3">
      <c r="AF5779" s="19"/>
    </row>
    <row r="5780" spans="32:32" x14ac:dyDescent="0.3">
      <c r="AF5780" s="19"/>
    </row>
    <row r="5781" spans="32:32" x14ac:dyDescent="0.3">
      <c r="AF5781" s="19"/>
    </row>
    <row r="5782" spans="32:32" x14ac:dyDescent="0.3">
      <c r="AF5782" s="19"/>
    </row>
    <row r="5783" spans="32:32" x14ac:dyDescent="0.3">
      <c r="AF5783" s="19"/>
    </row>
    <row r="5796" spans="32:32" x14ac:dyDescent="0.3">
      <c r="AF5796" s="19"/>
    </row>
    <row r="5797" spans="32:32" x14ac:dyDescent="0.3">
      <c r="AF5797" s="19"/>
    </row>
    <row r="5798" spans="32:32" x14ac:dyDescent="0.3">
      <c r="AF5798" s="19"/>
    </row>
    <row r="5799" spans="32:32" x14ac:dyDescent="0.3">
      <c r="AF5799" s="19"/>
    </row>
    <row r="5800" spans="32:32" x14ac:dyDescent="0.3">
      <c r="AF5800" s="19"/>
    </row>
    <row r="5801" spans="32:32" x14ac:dyDescent="0.3">
      <c r="AF5801" s="19"/>
    </row>
    <row r="5802" spans="32:32" x14ac:dyDescent="0.3">
      <c r="AF5802" s="19"/>
    </row>
    <row r="5803" spans="32:32" x14ac:dyDescent="0.3">
      <c r="AF5803" s="19"/>
    </row>
    <row r="5817" spans="32:32" x14ac:dyDescent="0.3">
      <c r="AF5817" s="19"/>
    </row>
    <row r="5818" spans="32:32" x14ac:dyDescent="0.3">
      <c r="AF5818" s="19"/>
    </row>
    <row r="5819" spans="32:32" x14ac:dyDescent="0.3">
      <c r="AF5819" s="19"/>
    </row>
    <row r="5820" spans="32:32" x14ac:dyDescent="0.3">
      <c r="AF5820" s="19"/>
    </row>
    <row r="5821" spans="32:32" x14ac:dyDescent="0.3">
      <c r="AF5821" s="19"/>
    </row>
    <row r="5822" spans="32:32" x14ac:dyDescent="0.3">
      <c r="AF5822" s="19"/>
    </row>
    <row r="5823" spans="32:32" x14ac:dyDescent="0.3">
      <c r="AF5823" s="19"/>
    </row>
    <row r="5824" spans="32:32" x14ac:dyDescent="0.3">
      <c r="AF5824" s="19"/>
    </row>
    <row r="5836" spans="32:32" x14ac:dyDescent="0.3">
      <c r="AF5836" s="19"/>
    </row>
    <row r="5837" spans="32:32" x14ac:dyDescent="0.3">
      <c r="AF5837" s="19"/>
    </row>
    <row r="5838" spans="32:32" x14ac:dyDescent="0.3">
      <c r="AF5838" s="19"/>
    </row>
    <row r="5839" spans="32:32" x14ac:dyDescent="0.3">
      <c r="AF5839" s="19"/>
    </row>
    <row r="5840" spans="32:32" x14ac:dyDescent="0.3">
      <c r="AF5840" s="19"/>
    </row>
    <row r="5841" spans="32:32" x14ac:dyDescent="0.3">
      <c r="AF5841" s="19"/>
    </row>
    <row r="5842" spans="32:32" x14ac:dyDescent="0.3">
      <c r="AF5842" s="19"/>
    </row>
    <row r="5843" spans="32:32" x14ac:dyDescent="0.3">
      <c r="AF5843" s="19"/>
    </row>
    <row r="5856" spans="32:32" x14ac:dyDescent="0.3">
      <c r="AF5856" s="19"/>
    </row>
    <row r="5857" spans="32:32" x14ac:dyDescent="0.3">
      <c r="AF5857" s="19"/>
    </row>
    <row r="5858" spans="32:32" x14ac:dyDescent="0.3">
      <c r="AF5858" s="19"/>
    </row>
    <row r="5859" spans="32:32" x14ac:dyDescent="0.3">
      <c r="AF5859" s="19"/>
    </row>
    <row r="5860" spans="32:32" x14ac:dyDescent="0.3">
      <c r="AF5860" s="19"/>
    </row>
    <row r="5861" spans="32:32" x14ac:dyDescent="0.3">
      <c r="AF5861" s="19"/>
    </row>
    <row r="5862" spans="32:32" x14ac:dyDescent="0.3">
      <c r="AF5862" s="19"/>
    </row>
    <row r="5863" spans="32:32" x14ac:dyDescent="0.3">
      <c r="AF5863" s="19"/>
    </row>
    <row r="5864" spans="32:32" x14ac:dyDescent="0.3">
      <c r="AF5864" s="19"/>
    </row>
    <row r="5865" spans="32:32" x14ac:dyDescent="0.3">
      <c r="AF5865" s="19"/>
    </row>
    <row r="5878" spans="32:32" x14ac:dyDescent="0.3">
      <c r="AF5878" s="19"/>
    </row>
    <row r="5879" spans="32:32" x14ac:dyDescent="0.3">
      <c r="AF5879" s="19"/>
    </row>
    <row r="5880" spans="32:32" x14ac:dyDescent="0.3">
      <c r="AF5880" s="19"/>
    </row>
    <row r="5881" spans="32:32" x14ac:dyDescent="0.3">
      <c r="AF5881" s="19"/>
    </row>
    <row r="5882" spans="32:32" x14ac:dyDescent="0.3">
      <c r="AF5882" s="19"/>
    </row>
    <row r="5883" spans="32:32" x14ac:dyDescent="0.3">
      <c r="AF5883" s="19"/>
    </row>
    <row r="5884" spans="32:32" x14ac:dyDescent="0.3">
      <c r="AF5884" s="19"/>
    </row>
    <row r="5885" spans="32:32" x14ac:dyDescent="0.3">
      <c r="AF5885" s="19"/>
    </row>
    <row r="5900" spans="32:32" x14ac:dyDescent="0.3">
      <c r="AF5900" s="19"/>
    </row>
    <row r="5901" spans="32:32" x14ac:dyDescent="0.3">
      <c r="AF5901" s="19"/>
    </row>
    <row r="5902" spans="32:32" x14ac:dyDescent="0.3">
      <c r="AF5902" s="19"/>
    </row>
    <row r="5903" spans="32:32" x14ac:dyDescent="0.3">
      <c r="AF5903" s="19"/>
    </row>
    <row r="5904" spans="32:32" x14ac:dyDescent="0.3">
      <c r="AF5904" s="19"/>
    </row>
    <row r="5905" spans="32:32" x14ac:dyDescent="0.3">
      <c r="AF5905" s="19"/>
    </row>
    <row r="5906" spans="32:32" x14ac:dyDescent="0.3">
      <c r="AF5906" s="19"/>
    </row>
    <row r="5907" spans="32:32" x14ac:dyDescent="0.3">
      <c r="AF5907" s="19"/>
    </row>
    <row r="5920" spans="32:32" x14ac:dyDescent="0.3">
      <c r="AF5920" s="19"/>
    </row>
    <row r="5921" spans="32:32" x14ac:dyDescent="0.3">
      <c r="AF5921" s="19"/>
    </row>
    <row r="5922" spans="32:32" x14ac:dyDescent="0.3">
      <c r="AF5922" s="19"/>
    </row>
    <row r="5923" spans="32:32" x14ac:dyDescent="0.3">
      <c r="AF5923" s="19"/>
    </row>
    <row r="5924" spans="32:32" x14ac:dyDescent="0.3">
      <c r="AF5924" s="19"/>
    </row>
    <row r="5925" spans="32:32" x14ac:dyDescent="0.3">
      <c r="AF5925" s="19"/>
    </row>
    <row r="5926" spans="32:32" x14ac:dyDescent="0.3">
      <c r="AF5926" s="19"/>
    </row>
    <row r="5927" spans="32:32" x14ac:dyDescent="0.3">
      <c r="AF5927" s="19"/>
    </row>
    <row r="5928" spans="32:32" x14ac:dyDescent="0.3">
      <c r="AF5928" s="19"/>
    </row>
    <row r="5942" spans="32:32" x14ac:dyDescent="0.3">
      <c r="AF5942" s="19"/>
    </row>
    <row r="5943" spans="32:32" x14ac:dyDescent="0.3">
      <c r="AF5943" s="19"/>
    </row>
    <row r="5944" spans="32:32" x14ac:dyDescent="0.3">
      <c r="AF5944" s="19"/>
    </row>
    <row r="5945" spans="32:32" x14ac:dyDescent="0.3">
      <c r="AF5945" s="19"/>
    </row>
    <row r="5946" spans="32:32" x14ac:dyDescent="0.3">
      <c r="AF5946" s="19"/>
    </row>
    <row r="5947" spans="32:32" x14ac:dyDescent="0.3">
      <c r="AF5947" s="19"/>
    </row>
    <row r="5948" spans="32:32" x14ac:dyDescent="0.3">
      <c r="AF5948" s="19"/>
    </row>
    <row r="5949" spans="32:32" x14ac:dyDescent="0.3">
      <c r="AF5949" s="19"/>
    </row>
    <row r="5964" spans="32:32" x14ac:dyDescent="0.3">
      <c r="AF5964" s="19"/>
    </row>
    <row r="5965" spans="32:32" x14ac:dyDescent="0.3">
      <c r="AF5965" s="19"/>
    </row>
    <row r="5966" spans="32:32" x14ac:dyDescent="0.3">
      <c r="AF5966" s="19"/>
    </row>
    <row r="5967" spans="32:32" x14ac:dyDescent="0.3">
      <c r="AF5967" s="19"/>
    </row>
    <row r="5968" spans="32:32" x14ac:dyDescent="0.3">
      <c r="AF5968" s="19"/>
    </row>
    <row r="5969" spans="32:32" x14ac:dyDescent="0.3">
      <c r="AF5969" s="19"/>
    </row>
    <row r="5970" spans="32:32" x14ac:dyDescent="0.3">
      <c r="AF5970" s="19"/>
    </row>
    <row r="5971" spans="32:32" x14ac:dyDescent="0.3">
      <c r="AF5971" s="19"/>
    </row>
    <row r="5984" spans="32:32" x14ac:dyDescent="0.3">
      <c r="AF5984" s="19"/>
    </row>
    <row r="5985" spans="32:32" x14ac:dyDescent="0.3">
      <c r="AF5985" s="19"/>
    </row>
    <row r="5986" spans="32:32" x14ac:dyDescent="0.3">
      <c r="AF5986" s="19"/>
    </row>
    <row r="5987" spans="32:32" x14ac:dyDescent="0.3">
      <c r="AF5987" s="19"/>
    </row>
    <row r="5988" spans="32:32" x14ac:dyDescent="0.3">
      <c r="AF5988" s="19"/>
    </row>
    <row r="5989" spans="32:32" x14ac:dyDescent="0.3">
      <c r="AF5989" s="19"/>
    </row>
    <row r="5990" spans="32:32" x14ac:dyDescent="0.3">
      <c r="AF5990" s="19"/>
    </row>
    <row r="5991" spans="32:32" x14ac:dyDescent="0.3">
      <c r="AF5991" s="19"/>
    </row>
    <row r="5992" spans="32:32" x14ac:dyDescent="0.3">
      <c r="AF5992" s="19"/>
    </row>
    <row r="6007" spans="32:32" x14ac:dyDescent="0.3">
      <c r="AF6007" s="19"/>
    </row>
    <row r="6008" spans="32:32" x14ac:dyDescent="0.3">
      <c r="AF6008" s="19"/>
    </row>
    <row r="6009" spans="32:32" x14ac:dyDescent="0.3">
      <c r="AF6009" s="19"/>
    </row>
    <row r="6010" spans="32:32" x14ac:dyDescent="0.3">
      <c r="AF6010" s="19"/>
    </row>
    <row r="6011" spans="32:32" x14ac:dyDescent="0.3">
      <c r="AF6011" s="19"/>
    </row>
    <row r="6012" spans="32:32" x14ac:dyDescent="0.3">
      <c r="AF6012" s="19"/>
    </row>
    <row r="6013" spans="32:32" x14ac:dyDescent="0.3">
      <c r="AF6013" s="19"/>
    </row>
    <row r="6014" spans="32:32" x14ac:dyDescent="0.3">
      <c r="AF6014" s="19"/>
    </row>
    <row r="6027" spans="32:32" x14ac:dyDescent="0.3">
      <c r="AF6027" s="19"/>
    </row>
    <row r="6028" spans="32:32" x14ac:dyDescent="0.3">
      <c r="AF6028" s="19"/>
    </row>
    <row r="6029" spans="32:32" x14ac:dyDescent="0.3">
      <c r="AF6029" s="19"/>
    </row>
    <row r="6030" spans="32:32" x14ac:dyDescent="0.3">
      <c r="AF6030" s="19"/>
    </row>
    <row r="6031" spans="32:32" x14ac:dyDescent="0.3">
      <c r="AF6031" s="19"/>
    </row>
    <row r="6032" spans="32:32" x14ac:dyDescent="0.3">
      <c r="AF6032" s="19"/>
    </row>
    <row r="6033" spans="32:32" x14ac:dyDescent="0.3">
      <c r="AF6033" s="19"/>
    </row>
    <row r="6034" spans="32:32" x14ac:dyDescent="0.3">
      <c r="AF6034" s="19"/>
    </row>
    <row r="6035" spans="32:32" x14ac:dyDescent="0.3">
      <c r="AF6035" s="19"/>
    </row>
    <row r="6048" spans="32:32" x14ac:dyDescent="0.3">
      <c r="AF6048" s="19"/>
    </row>
    <row r="6049" spans="32:32" x14ac:dyDescent="0.3">
      <c r="AF6049" s="19"/>
    </row>
    <row r="6050" spans="32:32" x14ac:dyDescent="0.3">
      <c r="AF6050" s="19"/>
    </row>
    <row r="6051" spans="32:32" x14ac:dyDescent="0.3">
      <c r="AF6051" s="19"/>
    </row>
    <row r="6052" spans="32:32" x14ac:dyDescent="0.3">
      <c r="AF6052" s="19"/>
    </row>
    <row r="6053" spans="32:32" x14ac:dyDescent="0.3">
      <c r="AF6053" s="19"/>
    </row>
    <row r="6054" spans="32:32" x14ac:dyDescent="0.3">
      <c r="AF6054" s="19"/>
    </row>
    <row r="6069" spans="32:32" x14ac:dyDescent="0.3">
      <c r="AF6069" s="19"/>
    </row>
    <row r="6070" spans="32:32" x14ac:dyDescent="0.3">
      <c r="AF6070" s="19"/>
    </row>
    <row r="6071" spans="32:32" x14ac:dyDescent="0.3">
      <c r="AF6071" s="19"/>
    </row>
    <row r="6072" spans="32:32" x14ac:dyDescent="0.3">
      <c r="AF6072" s="19"/>
    </row>
    <row r="6073" spans="32:32" x14ac:dyDescent="0.3">
      <c r="AF6073" s="19"/>
    </row>
    <row r="6074" spans="32:32" x14ac:dyDescent="0.3">
      <c r="AF6074" s="19"/>
    </row>
    <row r="6075" spans="32:32" x14ac:dyDescent="0.3">
      <c r="AF6075" s="19"/>
    </row>
    <row r="6076" spans="32:32" x14ac:dyDescent="0.3">
      <c r="AF6076" s="19"/>
    </row>
    <row r="6088" spans="32:32" x14ac:dyDescent="0.3">
      <c r="AF6088" s="19"/>
    </row>
    <row r="6089" spans="32:32" x14ac:dyDescent="0.3">
      <c r="AF6089" s="19"/>
    </row>
    <row r="6090" spans="32:32" x14ac:dyDescent="0.3">
      <c r="AF6090" s="19"/>
    </row>
    <row r="6091" spans="32:32" x14ac:dyDescent="0.3">
      <c r="AF6091" s="19"/>
    </row>
    <row r="6092" spans="32:32" x14ac:dyDescent="0.3">
      <c r="AF6092" s="19"/>
    </row>
    <row r="6093" spans="32:32" x14ac:dyDescent="0.3">
      <c r="AF6093" s="19"/>
    </row>
    <row r="6094" spans="32:32" x14ac:dyDescent="0.3">
      <c r="AF6094" s="19"/>
    </row>
    <row r="6095" spans="32:32" x14ac:dyDescent="0.3">
      <c r="AF6095" s="19"/>
    </row>
    <row r="6109" spans="32:32" x14ac:dyDescent="0.3">
      <c r="AF6109" s="19"/>
    </row>
    <row r="6110" spans="32:32" x14ac:dyDescent="0.3">
      <c r="AF6110" s="19"/>
    </row>
    <row r="6111" spans="32:32" x14ac:dyDescent="0.3">
      <c r="AF6111" s="19"/>
    </row>
    <row r="6112" spans="32:32" x14ac:dyDescent="0.3">
      <c r="AF6112" s="19"/>
    </row>
    <row r="6113" spans="32:32" x14ac:dyDescent="0.3">
      <c r="AF6113" s="19"/>
    </row>
    <row r="6114" spans="32:32" x14ac:dyDescent="0.3">
      <c r="AF6114" s="19"/>
    </row>
    <row r="6115" spans="32:32" x14ac:dyDescent="0.3">
      <c r="AF6115" s="19"/>
    </row>
    <row r="6116" spans="32:32" x14ac:dyDescent="0.3">
      <c r="AF6116" s="19"/>
    </row>
    <row r="6117" spans="32:32" x14ac:dyDescent="0.3">
      <c r="AF6117" s="19"/>
    </row>
    <row r="6130" spans="32:32" x14ac:dyDescent="0.3">
      <c r="AF6130" s="19"/>
    </row>
    <row r="6131" spans="32:32" x14ac:dyDescent="0.3">
      <c r="AF6131" s="19"/>
    </row>
    <row r="6132" spans="32:32" x14ac:dyDescent="0.3">
      <c r="AF6132" s="19"/>
    </row>
    <row r="6133" spans="32:32" x14ac:dyDescent="0.3">
      <c r="AF6133" s="19"/>
    </row>
    <row r="6134" spans="32:32" x14ac:dyDescent="0.3">
      <c r="AF6134" s="19"/>
    </row>
    <row r="6135" spans="32:32" x14ac:dyDescent="0.3">
      <c r="AF6135" s="19"/>
    </row>
    <row r="6136" spans="32:32" x14ac:dyDescent="0.3">
      <c r="AF6136" s="19"/>
    </row>
    <row r="6137" spans="32:32" x14ac:dyDescent="0.3">
      <c r="AF6137" s="19"/>
    </row>
    <row r="6151" spans="32:32" x14ac:dyDescent="0.3">
      <c r="AF6151" s="19"/>
    </row>
    <row r="6152" spans="32:32" x14ac:dyDescent="0.3">
      <c r="AF6152" s="19"/>
    </row>
    <row r="6153" spans="32:32" x14ac:dyDescent="0.3">
      <c r="AF6153" s="19"/>
    </row>
    <row r="6154" spans="32:32" x14ac:dyDescent="0.3">
      <c r="AF6154" s="19"/>
    </row>
    <row r="6155" spans="32:32" x14ac:dyDescent="0.3">
      <c r="AF6155" s="19"/>
    </row>
    <row r="6156" spans="32:32" x14ac:dyDescent="0.3">
      <c r="AF6156" s="19"/>
    </row>
    <row r="6157" spans="32:32" x14ac:dyDescent="0.3">
      <c r="AF6157" s="19"/>
    </row>
    <row r="6158" spans="32:32" x14ac:dyDescent="0.3">
      <c r="AF6158" s="19"/>
    </row>
    <row r="6159" spans="32:32" x14ac:dyDescent="0.3">
      <c r="AF6159" s="19"/>
    </row>
    <row r="6172" spans="32:32" x14ac:dyDescent="0.3">
      <c r="AF6172" s="19"/>
    </row>
    <row r="6173" spans="32:32" x14ac:dyDescent="0.3">
      <c r="AF6173" s="19"/>
    </row>
    <row r="6174" spans="32:32" x14ac:dyDescent="0.3">
      <c r="AF6174" s="19"/>
    </row>
    <row r="6175" spans="32:32" x14ac:dyDescent="0.3">
      <c r="AF6175" s="19"/>
    </row>
    <row r="6176" spans="32:32" x14ac:dyDescent="0.3">
      <c r="AF6176" s="19"/>
    </row>
    <row r="6177" spans="32:32" x14ac:dyDescent="0.3">
      <c r="AF6177" s="19"/>
    </row>
    <row r="6178" spans="32:32" x14ac:dyDescent="0.3">
      <c r="AF6178" s="19"/>
    </row>
    <row r="6179" spans="32:32" x14ac:dyDescent="0.3">
      <c r="AF6179" s="19"/>
    </row>
    <row r="6194" spans="32:32" x14ac:dyDescent="0.3">
      <c r="AF6194" s="19"/>
    </row>
    <row r="6195" spans="32:32" x14ac:dyDescent="0.3">
      <c r="AF6195" s="19"/>
    </row>
    <row r="6196" spans="32:32" x14ac:dyDescent="0.3">
      <c r="AF6196" s="19"/>
    </row>
    <row r="6197" spans="32:32" x14ac:dyDescent="0.3">
      <c r="AF6197" s="19"/>
    </row>
    <row r="6198" spans="32:32" x14ac:dyDescent="0.3">
      <c r="AF6198" s="19"/>
    </row>
    <row r="6199" spans="32:32" x14ac:dyDescent="0.3">
      <c r="AF6199" s="19"/>
    </row>
    <row r="6200" spans="32:32" x14ac:dyDescent="0.3">
      <c r="AF6200" s="19"/>
    </row>
    <row r="6201" spans="32:32" x14ac:dyDescent="0.3">
      <c r="AF6201" s="19"/>
    </row>
    <row r="6215" spans="32:32" x14ac:dyDescent="0.3">
      <c r="AF6215" s="19"/>
    </row>
    <row r="6216" spans="32:32" x14ac:dyDescent="0.3">
      <c r="AF6216" s="19"/>
    </row>
    <row r="6217" spans="32:32" x14ac:dyDescent="0.3">
      <c r="AF6217" s="19"/>
    </row>
    <row r="6218" spans="32:32" x14ac:dyDescent="0.3">
      <c r="AF6218" s="19"/>
    </row>
    <row r="6219" spans="32:32" x14ac:dyDescent="0.3">
      <c r="AF6219" s="19"/>
    </row>
    <row r="6220" spans="32:32" x14ac:dyDescent="0.3">
      <c r="AF6220" s="19"/>
    </row>
    <row r="6221" spans="32:32" x14ac:dyDescent="0.3">
      <c r="AF6221" s="19"/>
    </row>
    <row r="6222" spans="32:32" x14ac:dyDescent="0.3">
      <c r="AF6222" s="19"/>
    </row>
    <row r="6223" spans="32:32" x14ac:dyDescent="0.3">
      <c r="AF6223" s="19"/>
    </row>
    <row r="6236" spans="32:32" x14ac:dyDescent="0.3">
      <c r="AF6236" s="19"/>
    </row>
    <row r="6237" spans="32:32" x14ac:dyDescent="0.3">
      <c r="AF6237" s="19"/>
    </row>
    <row r="6238" spans="32:32" x14ac:dyDescent="0.3">
      <c r="AF6238" s="19"/>
    </row>
    <row r="6239" spans="32:32" x14ac:dyDescent="0.3">
      <c r="AF6239" s="19"/>
    </row>
    <row r="6240" spans="32:32" x14ac:dyDescent="0.3">
      <c r="AF6240" s="19"/>
    </row>
    <row r="6241" spans="32:32" x14ac:dyDescent="0.3">
      <c r="AF6241" s="19"/>
    </row>
    <row r="6242" spans="32:32" x14ac:dyDescent="0.3">
      <c r="AF6242" s="19"/>
    </row>
    <row r="6243" spans="32:32" x14ac:dyDescent="0.3">
      <c r="AF6243" s="19"/>
    </row>
    <row r="6259" spans="32:32" x14ac:dyDescent="0.3">
      <c r="AF6259" s="19"/>
    </row>
    <row r="6260" spans="32:32" x14ac:dyDescent="0.3">
      <c r="AF6260" s="19"/>
    </row>
    <row r="6261" spans="32:32" x14ac:dyDescent="0.3">
      <c r="AF6261" s="19"/>
    </row>
    <row r="6262" spans="32:32" x14ac:dyDescent="0.3">
      <c r="AF6262" s="19"/>
    </row>
    <row r="6263" spans="32:32" x14ac:dyDescent="0.3">
      <c r="AF6263" s="19"/>
    </row>
    <row r="6264" spans="32:32" x14ac:dyDescent="0.3">
      <c r="AF6264" s="19"/>
    </row>
    <row r="6265" spans="32:32" x14ac:dyDescent="0.3">
      <c r="AF6265" s="19"/>
    </row>
    <row r="6266" spans="32:32" x14ac:dyDescent="0.3">
      <c r="AF6266" s="19"/>
    </row>
    <row r="6278" spans="32:32" x14ac:dyDescent="0.3">
      <c r="AF6278" s="19"/>
    </row>
    <row r="6279" spans="32:32" x14ac:dyDescent="0.3">
      <c r="AF6279" s="19"/>
    </row>
    <row r="6280" spans="32:32" x14ac:dyDescent="0.3">
      <c r="AF6280" s="19"/>
    </row>
    <row r="6281" spans="32:32" x14ac:dyDescent="0.3">
      <c r="AF6281" s="19"/>
    </row>
    <row r="6282" spans="32:32" x14ac:dyDescent="0.3">
      <c r="AF6282" s="19"/>
    </row>
    <row r="6283" spans="32:32" x14ac:dyDescent="0.3">
      <c r="AF6283" s="19"/>
    </row>
    <row r="6284" spans="32:32" x14ac:dyDescent="0.3">
      <c r="AF6284" s="19"/>
    </row>
    <row r="6285" spans="32:32" x14ac:dyDescent="0.3">
      <c r="AF6285" s="19"/>
    </row>
    <row r="6286" spans="32:32" x14ac:dyDescent="0.3">
      <c r="AF6286" s="19"/>
    </row>
    <row r="6287" spans="32:32" x14ac:dyDescent="0.3">
      <c r="AF6287" s="19"/>
    </row>
    <row r="6300" spans="32:32" x14ac:dyDescent="0.3">
      <c r="AF6300" s="19"/>
    </row>
    <row r="6301" spans="32:32" x14ac:dyDescent="0.3">
      <c r="AF6301" s="19"/>
    </row>
    <row r="6302" spans="32:32" x14ac:dyDescent="0.3">
      <c r="AF6302" s="19"/>
    </row>
    <row r="6303" spans="32:32" x14ac:dyDescent="0.3">
      <c r="AF6303" s="19"/>
    </row>
    <row r="6304" spans="32:32" x14ac:dyDescent="0.3">
      <c r="AF6304" s="19"/>
    </row>
    <row r="6305" spans="32:32" x14ac:dyDescent="0.3">
      <c r="AF6305" s="19"/>
    </row>
    <row r="6306" spans="32:32" x14ac:dyDescent="0.3">
      <c r="AF6306" s="19"/>
    </row>
    <row r="6320" spans="32:32" x14ac:dyDescent="0.3">
      <c r="AF6320" s="19"/>
    </row>
    <row r="6321" spans="32:32" x14ac:dyDescent="0.3">
      <c r="AF6321" s="19"/>
    </row>
    <row r="6322" spans="32:32" x14ac:dyDescent="0.3">
      <c r="AF6322" s="19"/>
    </row>
    <row r="6323" spans="32:32" x14ac:dyDescent="0.3">
      <c r="AF6323" s="19"/>
    </row>
    <row r="6324" spans="32:32" x14ac:dyDescent="0.3">
      <c r="AF6324" s="19"/>
    </row>
    <row r="6325" spans="32:32" x14ac:dyDescent="0.3">
      <c r="AF6325" s="19"/>
    </row>
    <row r="6326" spans="32:32" x14ac:dyDescent="0.3">
      <c r="AF6326" s="19"/>
    </row>
    <row r="6327" spans="32:32" x14ac:dyDescent="0.3">
      <c r="AF6327" s="19"/>
    </row>
    <row r="6328" spans="32:32" x14ac:dyDescent="0.3">
      <c r="AF6328" s="19"/>
    </row>
    <row r="6339" spans="32:32" x14ac:dyDescent="0.3">
      <c r="AF6339" s="19"/>
    </row>
    <row r="6340" spans="32:32" x14ac:dyDescent="0.3">
      <c r="AF6340" s="19"/>
    </row>
    <row r="6341" spans="32:32" x14ac:dyDescent="0.3">
      <c r="AF6341" s="19"/>
    </row>
    <row r="6342" spans="32:32" x14ac:dyDescent="0.3">
      <c r="AF6342" s="19"/>
    </row>
    <row r="6343" spans="32:32" x14ac:dyDescent="0.3">
      <c r="AF6343" s="19"/>
    </row>
    <row r="6344" spans="32:32" x14ac:dyDescent="0.3">
      <c r="AF6344" s="19"/>
    </row>
    <row r="6345" spans="32:32" x14ac:dyDescent="0.3">
      <c r="AF6345" s="19"/>
    </row>
    <row r="6346" spans="32:32" x14ac:dyDescent="0.3">
      <c r="AF6346" s="19"/>
    </row>
    <row r="6347" spans="32:32" x14ac:dyDescent="0.3">
      <c r="AF6347" s="19"/>
    </row>
    <row r="6361" spans="32:32" x14ac:dyDescent="0.3">
      <c r="AF6361" s="19"/>
    </row>
    <row r="6362" spans="32:32" x14ac:dyDescent="0.3">
      <c r="AF6362" s="19"/>
    </row>
    <row r="6363" spans="32:32" x14ac:dyDescent="0.3">
      <c r="AF6363" s="19"/>
    </row>
    <row r="6364" spans="32:32" x14ac:dyDescent="0.3">
      <c r="AF6364" s="19"/>
    </row>
    <row r="6365" spans="32:32" x14ac:dyDescent="0.3">
      <c r="AF6365" s="19"/>
    </row>
    <row r="6366" spans="32:32" x14ac:dyDescent="0.3">
      <c r="AF6366" s="19"/>
    </row>
    <row r="6367" spans="32:32" x14ac:dyDescent="0.3">
      <c r="AF6367" s="19"/>
    </row>
    <row r="6382" spans="32:32" x14ac:dyDescent="0.3">
      <c r="AF6382" s="19"/>
    </row>
    <row r="6383" spans="32:32" x14ac:dyDescent="0.3">
      <c r="AF6383" s="19"/>
    </row>
    <row r="6384" spans="32:32" x14ac:dyDescent="0.3">
      <c r="AF6384" s="19"/>
    </row>
    <row r="6385" spans="32:32" x14ac:dyDescent="0.3">
      <c r="AF6385" s="19"/>
    </row>
    <row r="6386" spans="32:32" x14ac:dyDescent="0.3">
      <c r="AF6386" s="19"/>
    </row>
    <row r="6387" spans="32:32" x14ac:dyDescent="0.3">
      <c r="AF6387" s="19"/>
    </row>
    <row r="6388" spans="32:32" x14ac:dyDescent="0.3">
      <c r="AF6388" s="19"/>
    </row>
    <row r="6389" spans="32:32" x14ac:dyDescent="0.3">
      <c r="AF6389" s="19"/>
    </row>
    <row r="6402" spans="32:32" x14ac:dyDescent="0.3">
      <c r="AF6402" s="19"/>
    </row>
    <row r="6403" spans="32:32" x14ac:dyDescent="0.3">
      <c r="AF6403" s="19"/>
    </row>
    <row r="6404" spans="32:32" x14ac:dyDescent="0.3">
      <c r="AF6404" s="19"/>
    </row>
    <row r="6405" spans="32:32" x14ac:dyDescent="0.3">
      <c r="AF6405" s="19"/>
    </row>
    <row r="6406" spans="32:32" x14ac:dyDescent="0.3">
      <c r="AF6406" s="19"/>
    </row>
    <row r="6407" spans="32:32" x14ac:dyDescent="0.3">
      <c r="AF6407" s="19"/>
    </row>
    <row r="6408" spans="32:32" x14ac:dyDescent="0.3">
      <c r="AF6408" s="19"/>
    </row>
    <row r="6409" spans="32:32" x14ac:dyDescent="0.3">
      <c r="AF6409" s="19"/>
    </row>
    <row r="6410" spans="32:32" x14ac:dyDescent="0.3">
      <c r="AF6410" s="19"/>
    </row>
    <row r="6411" spans="32:32" x14ac:dyDescent="0.3">
      <c r="AF6411" s="19"/>
    </row>
    <row r="6424" spans="32:32" x14ac:dyDescent="0.3">
      <c r="AF6424" s="19"/>
    </row>
    <row r="6425" spans="32:32" x14ac:dyDescent="0.3">
      <c r="AF6425" s="19"/>
    </row>
    <row r="6426" spans="32:32" x14ac:dyDescent="0.3">
      <c r="AF6426" s="19"/>
    </row>
    <row r="6427" spans="32:32" x14ac:dyDescent="0.3">
      <c r="AF6427" s="19"/>
    </row>
    <row r="6428" spans="32:32" x14ac:dyDescent="0.3">
      <c r="AF6428" s="19"/>
    </row>
    <row r="6429" spans="32:32" x14ac:dyDescent="0.3">
      <c r="AF6429" s="19"/>
    </row>
    <row r="6430" spans="32:32" x14ac:dyDescent="0.3">
      <c r="AF6430" s="19"/>
    </row>
    <row r="6446" spans="32:32" x14ac:dyDescent="0.3">
      <c r="AF6446" s="19"/>
    </row>
    <row r="6447" spans="32:32" x14ac:dyDescent="0.3">
      <c r="AF6447" s="19"/>
    </row>
    <row r="6448" spans="32:32" x14ac:dyDescent="0.3">
      <c r="AF6448" s="19"/>
    </row>
    <row r="6449" spans="32:32" x14ac:dyDescent="0.3">
      <c r="AF6449" s="19"/>
    </row>
    <row r="6450" spans="32:32" x14ac:dyDescent="0.3">
      <c r="AF6450" s="19"/>
    </row>
    <row r="6451" spans="32:32" x14ac:dyDescent="0.3">
      <c r="AF6451" s="19"/>
    </row>
    <row r="6452" spans="32:32" x14ac:dyDescent="0.3">
      <c r="AF6452" s="19"/>
    </row>
    <row r="6453" spans="32:32" x14ac:dyDescent="0.3">
      <c r="AF6453" s="19"/>
    </row>
    <row r="6467" spans="32:32" x14ac:dyDescent="0.3">
      <c r="AF6467" s="19"/>
    </row>
    <row r="6468" spans="32:32" x14ac:dyDescent="0.3">
      <c r="AF6468" s="19"/>
    </row>
    <row r="6469" spans="32:32" x14ac:dyDescent="0.3">
      <c r="AF6469" s="19"/>
    </row>
    <row r="6470" spans="32:32" x14ac:dyDescent="0.3">
      <c r="AF6470" s="19"/>
    </row>
    <row r="6471" spans="32:32" x14ac:dyDescent="0.3">
      <c r="AF6471" s="19"/>
    </row>
    <row r="6472" spans="32:32" x14ac:dyDescent="0.3">
      <c r="AF6472" s="19"/>
    </row>
    <row r="6473" spans="32:32" x14ac:dyDescent="0.3">
      <c r="AF6473" s="19"/>
    </row>
    <row r="6474" spans="32:32" x14ac:dyDescent="0.3">
      <c r="AF6474" s="19"/>
    </row>
    <row r="6488" spans="32:32" x14ac:dyDescent="0.3">
      <c r="AF6488" s="19"/>
    </row>
    <row r="6489" spans="32:32" x14ac:dyDescent="0.3">
      <c r="AF6489" s="19"/>
    </row>
    <row r="6490" spans="32:32" x14ac:dyDescent="0.3">
      <c r="AF6490" s="19"/>
    </row>
    <row r="6491" spans="32:32" x14ac:dyDescent="0.3">
      <c r="AF6491" s="19"/>
    </row>
    <row r="6492" spans="32:32" x14ac:dyDescent="0.3">
      <c r="AF6492" s="19"/>
    </row>
    <row r="6493" spans="32:32" x14ac:dyDescent="0.3">
      <c r="AF6493" s="19"/>
    </row>
    <row r="6494" spans="32:32" x14ac:dyDescent="0.3">
      <c r="AF6494" s="19"/>
    </row>
    <row r="6495" spans="32:32" x14ac:dyDescent="0.3">
      <c r="AF6495" s="19"/>
    </row>
    <row r="6510" spans="32:32" x14ac:dyDescent="0.3">
      <c r="AF6510" s="19"/>
    </row>
    <row r="6511" spans="32:32" x14ac:dyDescent="0.3">
      <c r="AF6511" s="19"/>
    </row>
    <row r="6512" spans="32:32" x14ac:dyDescent="0.3">
      <c r="AF6512" s="19"/>
    </row>
    <row r="6513" spans="32:32" x14ac:dyDescent="0.3">
      <c r="AF6513" s="19"/>
    </row>
    <row r="6514" spans="32:32" x14ac:dyDescent="0.3">
      <c r="AF6514" s="19"/>
    </row>
    <row r="6515" spans="32:32" x14ac:dyDescent="0.3">
      <c r="AF6515" s="19"/>
    </row>
    <row r="6516" spans="32:32" x14ac:dyDescent="0.3">
      <c r="AF6516" s="19"/>
    </row>
    <row r="6517" spans="32:32" x14ac:dyDescent="0.3">
      <c r="AF6517" s="19"/>
    </row>
    <row r="6518" spans="32:32" x14ac:dyDescent="0.3">
      <c r="AF6518" s="19"/>
    </row>
    <row r="6530" spans="32:32" x14ac:dyDescent="0.3">
      <c r="AF6530" s="19"/>
    </row>
    <row r="6531" spans="32:32" x14ac:dyDescent="0.3">
      <c r="AF6531" s="19"/>
    </row>
    <row r="6532" spans="32:32" x14ac:dyDescent="0.3">
      <c r="AF6532" s="19"/>
    </row>
    <row r="6533" spans="32:32" x14ac:dyDescent="0.3">
      <c r="AF6533" s="19"/>
    </row>
    <row r="6534" spans="32:32" x14ac:dyDescent="0.3">
      <c r="AF6534" s="19"/>
    </row>
    <row r="6535" spans="32:32" x14ac:dyDescent="0.3">
      <c r="AF6535" s="19"/>
    </row>
    <row r="6536" spans="32:32" x14ac:dyDescent="0.3">
      <c r="AF6536" s="19"/>
    </row>
    <row r="6537" spans="32:32" x14ac:dyDescent="0.3">
      <c r="AF6537" s="19"/>
    </row>
    <row r="6538" spans="32:32" x14ac:dyDescent="0.3">
      <c r="AF6538" s="19"/>
    </row>
    <row r="6552" spans="32:32" x14ac:dyDescent="0.3">
      <c r="AF6552" s="19"/>
    </row>
    <row r="6553" spans="32:32" x14ac:dyDescent="0.3">
      <c r="AF6553" s="19"/>
    </row>
    <row r="6554" spans="32:32" x14ac:dyDescent="0.3">
      <c r="AF6554" s="19"/>
    </row>
    <row r="6555" spans="32:32" x14ac:dyDescent="0.3">
      <c r="AF6555" s="19"/>
    </row>
    <row r="6556" spans="32:32" x14ac:dyDescent="0.3">
      <c r="AF6556" s="19"/>
    </row>
    <row r="6557" spans="32:32" x14ac:dyDescent="0.3">
      <c r="AF6557" s="19"/>
    </row>
    <row r="6558" spans="32:32" x14ac:dyDescent="0.3">
      <c r="AF6558" s="19"/>
    </row>
    <row r="6571" spans="32:32" x14ac:dyDescent="0.3">
      <c r="AF6571" s="19"/>
    </row>
    <row r="6572" spans="32:32" x14ac:dyDescent="0.3">
      <c r="AF6572" s="19"/>
    </row>
    <row r="6573" spans="32:32" x14ac:dyDescent="0.3">
      <c r="AF6573" s="19"/>
    </row>
    <row r="6574" spans="32:32" x14ac:dyDescent="0.3">
      <c r="AF6574" s="19"/>
    </row>
    <row r="6575" spans="32:32" x14ac:dyDescent="0.3">
      <c r="AF6575" s="19"/>
    </row>
    <row r="6576" spans="32:32" x14ac:dyDescent="0.3">
      <c r="AF6576" s="19"/>
    </row>
    <row r="6577" spans="32:32" x14ac:dyDescent="0.3">
      <c r="AF6577" s="19"/>
    </row>
    <row r="6578" spans="32:32" x14ac:dyDescent="0.3">
      <c r="AF6578" s="19"/>
    </row>
    <row r="6579" spans="32:32" x14ac:dyDescent="0.3">
      <c r="AF6579" s="19"/>
    </row>
    <row r="6580" spans="32:32" x14ac:dyDescent="0.3">
      <c r="AF6580" s="19"/>
    </row>
    <row r="6591" spans="32:32" x14ac:dyDescent="0.3">
      <c r="AF6591" s="19"/>
    </row>
    <row r="6592" spans="32:32" x14ac:dyDescent="0.3">
      <c r="AF6592" s="19"/>
    </row>
    <row r="6593" spans="32:32" x14ac:dyDescent="0.3">
      <c r="AF6593" s="19"/>
    </row>
    <row r="6594" spans="32:32" x14ac:dyDescent="0.3">
      <c r="AF6594" s="19"/>
    </row>
    <row r="6595" spans="32:32" x14ac:dyDescent="0.3">
      <c r="AF6595" s="19"/>
    </row>
    <row r="6596" spans="32:32" x14ac:dyDescent="0.3">
      <c r="AF6596" s="19"/>
    </row>
    <row r="6597" spans="32:32" x14ac:dyDescent="0.3">
      <c r="AF6597" s="19"/>
    </row>
    <row r="6598" spans="32:32" x14ac:dyDescent="0.3">
      <c r="AF6598" s="19"/>
    </row>
    <row r="6599" spans="32:32" x14ac:dyDescent="0.3">
      <c r="AF6599" s="19"/>
    </row>
    <row r="6613" spans="32:32" x14ac:dyDescent="0.3">
      <c r="AF6613" s="19"/>
    </row>
    <row r="6614" spans="32:32" x14ac:dyDescent="0.3">
      <c r="AF6614" s="19"/>
    </row>
    <row r="6615" spans="32:32" x14ac:dyDescent="0.3">
      <c r="AF6615" s="19"/>
    </row>
    <row r="6616" spans="32:32" x14ac:dyDescent="0.3">
      <c r="AF6616" s="19"/>
    </row>
    <row r="6617" spans="32:32" x14ac:dyDescent="0.3">
      <c r="AF6617" s="19"/>
    </row>
    <row r="6618" spans="32:32" x14ac:dyDescent="0.3">
      <c r="AF6618" s="19"/>
    </row>
    <row r="6619" spans="32:32" x14ac:dyDescent="0.3">
      <c r="AF6619" s="19"/>
    </row>
    <row r="6620" spans="32:32" x14ac:dyDescent="0.3">
      <c r="AF6620" s="19"/>
    </row>
    <row r="6634" spans="32:32" x14ac:dyDescent="0.3">
      <c r="AF6634" s="19"/>
    </row>
    <row r="6635" spans="32:32" x14ac:dyDescent="0.3">
      <c r="AF6635" s="19"/>
    </row>
    <row r="6636" spans="32:32" x14ac:dyDescent="0.3">
      <c r="AF6636" s="19"/>
    </row>
    <row r="6637" spans="32:32" x14ac:dyDescent="0.3">
      <c r="AF6637" s="19"/>
    </row>
    <row r="6638" spans="32:32" x14ac:dyDescent="0.3">
      <c r="AF6638" s="19"/>
    </row>
    <row r="6639" spans="32:32" x14ac:dyDescent="0.3">
      <c r="AF6639" s="19"/>
    </row>
    <row r="6640" spans="32:32" x14ac:dyDescent="0.3">
      <c r="AF6640" s="19"/>
    </row>
    <row r="6641" spans="32:32" x14ac:dyDescent="0.3">
      <c r="AF6641" s="19"/>
    </row>
    <row r="6642" spans="32:32" x14ac:dyDescent="0.3">
      <c r="AF6642" s="19"/>
    </row>
    <row r="6655" spans="32:32" x14ac:dyDescent="0.3">
      <c r="AF6655" s="19"/>
    </row>
    <row r="6656" spans="32:32" x14ac:dyDescent="0.3">
      <c r="AF6656" s="19"/>
    </row>
    <row r="6657" spans="32:32" x14ac:dyDescent="0.3">
      <c r="AF6657" s="19"/>
    </row>
    <row r="6658" spans="32:32" x14ac:dyDescent="0.3">
      <c r="AF6658" s="19"/>
    </row>
    <row r="6659" spans="32:32" x14ac:dyDescent="0.3">
      <c r="AF6659" s="19"/>
    </row>
    <row r="6660" spans="32:32" x14ac:dyDescent="0.3">
      <c r="AF6660" s="19"/>
    </row>
    <row r="6661" spans="32:32" x14ac:dyDescent="0.3">
      <c r="AF6661" s="19"/>
    </row>
    <row r="6662" spans="32:32" x14ac:dyDescent="0.3">
      <c r="AF6662" s="19"/>
    </row>
    <row r="6677" spans="32:32" x14ac:dyDescent="0.3">
      <c r="AF6677" s="19"/>
    </row>
    <row r="6678" spans="32:32" x14ac:dyDescent="0.3">
      <c r="AF6678" s="19"/>
    </row>
    <row r="6679" spans="32:32" x14ac:dyDescent="0.3">
      <c r="AF6679" s="19"/>
    </row>
    <row r="6680" spans="32:32" x14ac:dyDescent="0.3">
      <c r="AF6680" s="19"/>
    </row>
    <row r="6681" spans="32:32" x14ac:dyDescent="0.3">
      <c r="AF6681" s="19"/>
    </row>
    <row r="6682" spans="32:32" x14ac:dyDescent="0.3">
      <c r="AF6682" s="19"/>
    </row>
    <row r="6683" spans="32:32" x14ac:dyDescent="0.3">
      <c r="AF6683" s="19"/>
    </row>
    <row r="6697" spans="32:32" x14ac:dyDescent="0.3">
      <c r="AF6697" s="19"/>
    </row>
    <row r="6698" spans="32:32" x14ac:dyDescent="0.3">
      <c r="AF6698" s="19"/>
    </row>
    <row r="6699" spans="32:32" x14ac:dyDescent="0.3">
      <c r="AF6699" s="19"/>
    </row>
    <row r="6700" spans="32:32" x14ac:dyDescent="0.3">
      <c r="AF6700" s="19"/>
    </row>
    <row r="6701" spans="32:32" x14ac:dyDescent="0.3">
      <c r="AF6701" s="19"/>
    </row>
    <row r="6702" spans="32:32" x14ac:dyDescent="0.3">
      <c r="AF6702" s="19"/>
    </row>
    <row r="6703" spans="32:32" x14ac:dyDescent="0.3">
      <c r="AF6703" s="19"/>
    </row>
    <row r="6704" spans="32:32" x14ac:dyDescent="0.3">
      <c r="AF6704" s="19"/>
    </row>
    <row r="6705" spans="32:32" x14ac:dyDescent="0.3">
      <c r="AF6705" s="19"/>
    </row>
    <row r="6706" spans="32:32" x14ac:dyDescent="0.3">
      <c r="AF6706" s="19"/>
    </row>
    <row r="6720" spans="32:32" x14ac:dyDescent="0.3">
      <c r="AF6720" s="19"/>
    </row>
    <row r="6721" spans="32:32" x14ac:dyDescent="0.3">
      <c r="AF6721" s="19"/>
    </row>
    <row r="6722" spans="32:32" x14ac:dyDescent="0.3">
      <c r="AF6722" s="19"/>
    </row>
    <row r="6723" spans="32:32" x14ac:dyDescent="0.3">
      <c r="AF6723" s="19"/>
    </row>
    <row r="6724" spans="32:32" x14ac:dyDescent="0.3">
      <c r="AF6724" s="19"/>
    </row>
    <row r="6725" spans="32:32" x14ac:dyDescent="0.3">
      <c r="AF6725" s="19"/>
    </row>
    <row r="6726" spans="32:32" x14ac:dyDescent="0.3">
      <c r="AF6726" s="19"/>
    </row>
    <row r="6741" spans="32:32" x14ac:dyDescent="0.3">
      <c r="AF6741" s="19"/>
    </row>
    <row r="6742" spans="32:32" x14ac:dyDescent="0.3">
      <c r="AF6742" s="19"/>
    </row>
    <row r="6743" spans="32:32" x14ac:dyDescent="0.3">
      <c r="AF6743" s="19"/>
    </row>
    <row r="6744" spans="32:32" x14ac:dyDescent="0.3">
      <c r="AF6744" s="19"/>
    </row>
    <row r="6745" spans="32:32" x14ac:dyDescent="0.3">
      <c r="AF6745" s="19"/>
    </row>
    <row r="6746" spans="32:32" x14ac:dyDescent="0.3">
      <c r="AF6746" s="19"/>
    </row>
    <row r="6747" spans="32:32" x14ac:dyDescent="0.3">
      <c r="AF6747" s="19"/>
    </row>
    <row r="6748" spans="32:32" x14ac:dyDescent="0.3">
      <c r="AF6748" s="19"/>
    </row>
    <row r="6762" spans="32:32" x14ac:dyDescent="0.3">
      <c r="AF6762" s="19"/>
    </row>
    <row r="6763" spans="32:32" x14ac:dyDescent="0.3">
      <c r="AF6763" s="19"/>
    </row>
    <row r="6764" spans="32:32" x14ac:dyDescent="0.3">
      <c r="AF6764" s="19"/>
    </row>
    <row r="6765" spans="32:32" x14ac:dyDescent="0.3">
      <c r="AF6765" s="19"/>
    </row>
    <row r="6766" spans="32:32" x14ac:dyDescent="0.3">
      <c r="AF6766" s="19"/>
    </row>
    <row r="6767" spans="32:32" x14ac:dyDescent="0.3">
      <c r="AF6767" s="19"/>
    </row>
    <row r="6768" spans="32:32" x14ac:dyDescent="0.3">
      <c r="AF6768" s="19"/>
    </row>
    <row r="6769" spans="32:32" x14ac:dyDescent="0.3">
      <c r="AF6769" s="19"/>
    </row>
    <row r="6770" spans="32:32" x14ac:dyDescent="0.3">
      <c r="AF6770" s="19"/>
    </row>
    <row r="6783" spans="32:32" x14ac:dyDescent="0.3">
      <c r="AF6783" s="19"/>
    </row>
    <row r="6784" spans="32:32" x14ac:dyDescent="0.3">
      <c r="AF6784" s="19"/>
    </row>
    <row r="6785" spans="32:32" x14ac:dyDescent="0.3">
      <c r="AF6785" s="19"/>
    </row>
    <row r="6786" spans="32:32" x14ac:dyDescent="0.3">
      <c r="AF6786" s="19"/>
    </row>
    <row r="6787" spans="32:32" x14ac:dyDescent="0.3">
      <c r="AF6787" s="19"/>
    </row>
    <row r="6788" spans="32:32" x14ac:dyDescent="0.3">
      <c r="AF6788" s="19"/>
    </row>
    <row r="6789" spans="32:32" x14ac:dyDescent="0.3">
      <c r="AF6789" s="19"/>
    </row>
    <row r="6790" spans="32:32" x14ac:dyDescent="0.3">
      <c r="AF6790" s="19"/>
    </row>
    <row r="6804" spans="32:32" x14ac:dyDescent="0.3">
      <c r="AF6804" s="19"/>
    </row>
    <row r="6805" spans="32:32" x14ac:dyDescent="0.3">
      <c r="AF6805" s="19"/>
    </row>
    <row r="6806" spans="32:32" x14ac:dyDescent="0.3">
      <c r="AF6806" s="19"/>
    </row>
    <row r="6807" spans="32:32" x14ac:dyDescent="0.3">
      <c r="AF6807" s="19"/>
    </row>
    <row r="6808" spans="32:32" x14ac:dyDescent="0.3">
      <c r="AF6808" s="19"/>
    </row>
    <row r="6809" spans="32:32" x14ac:dyDescent="0.3">
      <c r="AF6809" s="19"/>
    </row>
    <row r="6810" spans="32:32" x14ac:dyDescent="0.3">
      <c r="AF6810" s="19"/>
    </row>
    <row r="6811" spans="32:32" x14ac:dyDescent="0.3">
      <c r="AF6811" s="19"/>
    </row>
    <row r="6824" spans="32:32" x14ac:dyDescent="0.3">
      <c r="AF6824" s="19"/>
    </row>
    <row r="6825" spans="32:32" x14ac:dyDescent="0.3">
      <c r="AF6825" s="19"/>
    </row>
    <row r="6826" spans="32:32" x14ac:dyDescent="0.3">
      <c r="AF6826" s="19"/>
    </row>
    <row r="6827" spans="32:32" x14ac:dyDescent="0.3">
      <c r="AF6827" s="19"/>
    </row>
    <row r="6828" spans="32:32" x14ac:dyDescent="0.3">
      <c r="AF6828" s="19"/>
    </row>
    <row r="6829" spans="32:32" x14ac:dyDescent="0.3">
      <c r="AF6829" s="19"/>
    </row>
    <row r="6830" spans="32:32" x14ac:dyDescent="0.3">
      <c r="AF6830" s="19"/>
    </row>
    <row r="6831" spans="32:32" x14ac:dyDescent="0.3">
      <c r="AF6831" s="19"/>
    </row>
    <row r="6843" spans="32:32" x14ac:dyDescent="0.3">
      <c r="AF6843" s="19"/>
    </row>
    <row r="6844" spans="32:32" x14ac:dyDescent="0.3">
      <c r="AF6844" s="19"/>
    </row>
    <row r="6845" spans="32:32" x14ac:dyDescent="0.3">
      <c r="AF6845" s="19"/>
    </row>
    <row r="6846" spans="32:32" x14ac:dyDescent="0.3">
      <c r="AF6846" s="19"/>
    </row>
    <row r="6847" spans="32:32" x14ac:dyDescent="0.3">
      <c r="AF6847" s="19"/>
    </row>
    <row r="6848" spans="32:32" x14ac:dyDescent="0.3">
      <c r="AF6848" s="19"/>
    </row>
    <row r="6849" spans="32:32" x14ac:dyDescent="0.3">
      <c r="AF6849" s="19"/>
    </row>
    <row r="6850" spans="32:32" x14ac:dyDescent="0.3">
      <c r="AF6850" s="19"/>
    </row>
    <row r="6866" spans="32:32" x14ac:dyDescent="0.3">
      <c r="AF6866" s="19"/>
    </row>
    <row r="6867" spans="32:32" x14ac:dyDescent="0.3">
      <c r="AF6867" s="19"/>
    </row>
    <row r="6868" spans="32:32" x14ac:dyDescent="0.3">
      <c r="AF6868" s="19"/>
    </row>
    <row r="6869" spans="32:32" x14ac:dyDescent="0.3">
      <c r="AF6869" s="19"/>
    </row>
    <row r="6870" spans="32:32" x14ac:dyDescent="0.3">
      <c r="AF6870" s="19"/>
    </row>
    <row r="6871" spans="32:32" x14ac:dyDescent="0.3">
      <c r="AF6871" s="19"/>
    </row>
    <row r="6872" spans="32:32" x14ac:dyDescent="0.3">
      <c r="AF6872" s="19"/>
    </row>
    <row r="6873" spans="32:32" x14ac:dyDescent="0.3">
      <c r="AF6873" s="19"/>
    </row>
    <row r="6885" spans="32:32" x14ac:dyDescent="0.3">
      <c r="AF6885" s="19"/>
    </row>
    <row r="6886" spans="32:32" x14ac:dyDescent="0.3">
      <c r="AF6886" s="19"/>
    </row>
    <row r="6887" spans="32:32" x14ac:dyDescent="0.3">
      <c r="AF6887" s="19"/>
    </row>
    <row r="6888" spans="32:32" x14ac:dyDescent="0.3">
      <c r="AF6888" s="19"/>
    </row>
    <row r="6889" spans="32:32" x14ac:dyDescent="0.3">
      <c r="AF6889" s="19"/>
    </row>
    <row r="6890" spans="32:32" x14ac:dyDescent="0.3">
      <c r="AF6890" s="19"/>
    </row>
    <row r="6891" spans="32:32" x14ac:dyDescent="0.3">
      <c r="AF6891" s="19"/>
    </row>
    <row r="6892" spans="32:32" x14ac:dyDescent="0.3">
      <c r="AF6892" s="19"/>
    </row>
    <row r="6893" spans="32:32" x14ac:dyDescent="0.3">
      <c r="AF6893" s="19"/>
    </row>
    <row r="6894" spans="32:32" x14ac:dyDescent="0.3">
      <c r="AF6894" s="19"/>
    </row>
    <row r="6907" spans="32:32" x14ac:dyDescent="0.3">
      <c r="AF6907" s="19"/>
    </row>
    <row r="6908" spans="32:32" x14ac:dyDescent="0.3">
      <c r="AF6908" s="19"/>
    </row>
    <row r="6909" spans="32:32" x14ac:dyDescent="0.3">
      <c r="AF6909" s="19"/>
    </row>
    <row r="6910" spans="32:32" x14ac:dyDescent="0.3">
      <c r="AF6910" s="19"/>
    </row>
    <row r="6911" spans="32:32" x14ac:dyDescent="0.3">
      <c r="AF6911" s="19"/>
    </row>
    <row r="6912" spans="32:32" x14ac:dyDescent="0.3">
      <c r="AF6912" s="19"/>
    </row>
    <row r="6913" spans="32:32" x14ac:dyDescent="0.3">
      <c r="AF6913" s="19"/>
    </row>
    <row r="6914" spans="32:32" x14ac:dyDescent="0.3">
      <c r="AF6914" s="19"/>
    </row>
    <row r="6929" spans="32:32" x14ac:dyDescent="0.3">
      <c r="AF6929" s="19"/>
    </row>
    <row r="6930" spans="32:32" x14ac:dyDescent="0.3">
      <c r="AF6930" s="19"/>
    </row>
    <row r="6931" spans="32:32" x14ac:dyDescent="0.3">
      <c r="AF6931" s="19"/>
    </row>
    <row r="6932" spans="32:32" x14ac:dyDescent="0.3">
      <c r="AF6932" s="19"/>
    </row>
    <row r="6933" spans="32:32" x14ac:dyDescent="0.3">
      <c r="AF6933" s="19"/>
    </row>
    <row r="6934" spans="32:32" x14ac:dyDescent="0.3">
      <c r="AF6934" s="19"/>
    </row>
    <row r="6935" spans="32:32" x14ac:dyDescent="0.3">
      <c r="AF6935" s="19"/>
    </row>
    <row r="6949" spans="32:32" x14ac:dyDescent="0.3">
      <c r="AF6949" s="19"/>
    </row>
    <row r="6950" spans="32:32" x14ac:dyDescent="0.3">
      <c r="AF6950" s="19"/>
    </row>
    <row r="6951" spans="32:32" x14ac:dyDescent="0.3">
      <c r="AF6951" s="19"/>
    </row>
    <row r="6952" spans="32:32" x14ac:dyDescent="0.3">
      <c r="AF6952" s="19"/>
    </row>
    <row r="6953" spans="32:32" x14ac:dyDescent="0.3">
      <c r="AF6953" s="19"/>
    </row>
    <row r="6954" spans="32:32" x14ac:dyDescent="0.3">
      <c r="AF6954" s="19"/>
    </row>
    <row r="6955" spans="32:32" x14ac:dyDescent="0.3">
      <c r="AF6955" s="19"/>
    </row>
    <row r="6956" spans="32:32" x14ac:dyDescent="0.3">
      <c r="AF6956" s="19"/>
    </row>
    <row r="6957" spans="32:32" x14ac:dyDescent="0.3">
      <c r="AF6957" s="19"/>
    </row>
    <row r="6972" spans="32:32" x14ac:dyDescent="0.3">
      <c r="AF6972" s="19"/>
    </row>
    <row r="6973" spans="32:32" x14ac:dyDescent="0.3">
      <c r="AF6973" s="19"/>
    </row>
    <row r="6974" spans="32:32" x14ac:dyDescent="0.3">
      <c r="AF6974" s="19"/>
    </row>
    <row r="6975" spans="32:32" x14ac:dyDescent="0.3">
      <c r="AF6975" s="19"/>
    </row>
    <row r="6976" spans="32:32" x14ac:dyDescent="0.3">
      <c r="AF6976" s="19"/>
    </row>
    <row r="6977" spans="32:32" x14ac:dyDescent="0.3">
      <c r="AF6977" s="19"/>
    </row>
    <row r="6978" spans="32:32" x14ac:dyDescent="0.3">
      <c r="AF6978" s="19"/>
    </row>
    <row r="6992" spans="32:32" x14ac:dyDescent="0.3">
      <c r="AF6992" s="19"/>
    </row>
    <row r="6993" spans="32:32" x14ac:dyDescent="0.3">
      <c r="AF6993" s="19"/>
    </row>
    <row r="6994" spans="32:32" x14ac:dyDescent="0.3">
      <c r="AF6994" s="19"/>
    </row>
    <row r="6995" spans="32:32" x14ac:dyDescent="0.3">
      <c r="AF6995" s="19"/>
    </row>
    <row r="6996" spans="32:32" x14ac:dyDescent="0.3">
      <c r="AF6996" s="19"/>
    </row>
    <row r="6997" spans="32:32" x14ac:dyDescent="0.3">
      <c r="AF6997" s="19"/>
    </row>
    <row r="6998" spans="32:32" x14ac:dyDescent="0.3">
      <c r="AF6998" s="19"/>
    </row>
    <row r="6999" spans="32:32" x14ac:dyDescent="0.3">
      <c r="AF6999" s="19"/>
    </row>
    <row r="7000" spans="32:32" x14ac:dyDescent="0.3">
      <c r="AF7000" s="19"/>
    </row>
    <row r="7014" spans="32:32" x14ac:dyDescent="0.3">
      <c r="AF7014" s="19"/>
    </row>
    <row r="7015" spans="32:32" x14ac:dyDescent="0.3">
      <c r="AF7015" s="19"/>
    </row>
    <row r="7016" spans="32:32" x14ac:dyDescent="0.3">
      <c r="AF7016" s="19"/>
    </row>
    <row r="7017" spans="32:32" x14ac:dyDescent="0.3">
      <c r="AF7017" s="19"/>
    </row>
    <row r="7018" spans="32:32" x14ac:dyDescent="0.3">
      <c r="AF7018" s="19"/>
    </row>
    <row r="7019" spans="32:32" x14ac:dyDescent="0.3">
      <c r="AF7019" s="19"/>
    </row>
    <row r="7020" spans="32:32" x14ac:dyDescent="0.3">
      <c r="AF7020" s="19"/>
    </row>
    <row r="7021" spans="32:32" x14ac:dyDescent="0.3">
      <c r="AF7021" s="19"/>
    </row>
    <row r="7035" spans="32:32" x14ac:dyDescent="0.3">
      <c r="AF7035" s="19"/>
    </row>
    <row r="7036" spans="32:32" x14ac:dyDescent="0.3">
      <c r="AF7036" s="19"/>
    </row>
    <row r="7037" spans="32:32" x14ac:dyDescent="0.3">
      <c r="AF7037" s="19"/>
    </row>
    <row r="7038" spans="32:32" x14ac:dyDescent="0.3">
      <c r="AF7038" s="19"/>
    </row>
    <row r="7039" spans="32:32" x14ac:dyDescent="0.3">
      <c r="AF7039" s="19"/>
    </row>
    <row r="7040" spans="32:32" x14ac:dyDescent="0.3">
      <c r="AF7040" s="19"/>
    </row>
    <row r="7041" spans="32:32" x14ac:dyDescent="0.3">
      <c r="AF7041" s="19"/>
    </row>
    <row r="7042" spans="32:32" x14ac:dyDescent="0.3">
      <c r="AF7042" s="19"/>
    </row>
    <row r="7055" spans="32:32" x14ac:dyDescent="0.3">
      <c r="AF7055" s="19"/>
    </row>
    <row r="7056" spans="32:32" x14ac:dyDescent="0.3">
      <c r="AF7056" s="19"/>
    </row>
    <row r="7057" spans="32:32" x14ac:dyDescent="0.3">
      <c r="AF7057" s="19"/>
    </row>
    <row r="7058" spans="32:32" x14ac:dyDescent="0.3">
      <c r="AF7058" s="19"/>
    </row>
    <row r="7059" spans="32:32" x14ac:dyDescent="0.3">
      <c r="AF7059" s="19"/>
    </row>
    <row r="7060" spans="32:32" x14ac:dyDescent="0.3">
      <c r="AF7060" s="19"/>
    </row>
    <row r="7061" spans="32:32" x14ac:dyDescent="0.3">
      <c r="AF7061" s="19"/>
    </row>
    <row r="7062" spans="32:32" x14ac:dyDescent="0.3">
      <c r="AF7062" s="19"/>
    </row>
    <row r="7063" spans="32:32" x14ac:dyDescent="0.3">
      <c r="AF7063" s="19"/>
    </row>
    <row r="7076" spans="32:32" x14ac:dyDescent="0.3">
      <c r="AF7076" s="19"/>
    </row>
    <row r="7077" spans="32:32" x14ac:dyDescent="0.3">
      <c r="AF7077" s="19"/>
    </row>
    <row r="7078" spans="32:32" x14ac:dyDescent="0.3">
      <c r="AF7078" s="19"/>
    </row>
    <row r="7079" spans="32:32" x14ac:dyDescent="0.3">
      <c r="AF7079" s="19"/>
    </row>
    <row r="7080" spans="32:32" x14ac:dyDescent="0.3">
      <c r="AF7080" s="19"/>
    </row>
    <row r="7081" spans="32:32" x14ac:dyDescent="0.3">
      <c r="AF7081" s="19"/>
    </row>
    <row r="7082" spans="32:32" x14ac:dyDescent="0.3">
      <c r="AF7082" s="19"/>
    </row>
    <row r="7083" spans="32:32" x14ac:dyDescent="0.3">
      <c r="AF7083" s="19"/>
    </row>
    <row r="7095" spans="32:32" x14ac:dyDescent="0.3">
      <c r="AF7095" s="19"/>
    </row>
    <row r="7096" spans="32:32" x14ac:dyDescent="0.3">
      <c r="AF7096" s="19"/>
    </row>
    <row r="7097" spans="32:32" x14ac:dyDescent="0.3">
      <c r="AF7097" s="19"/>
    </row>
    <row r="7098" spans="32:32" x14ac:dyDescent="0.3">
      <c r="AF7098" s="19"/>
    </row>
    <row r="7099" spans="32:32" x14ac:dyDescent="0.3">
      <c r="AF7099" s="19"/>
    </row>
    <row r="7100" spans="32:32" x14ac:dyDescent="0.3">
      <c r="AF7100" s="19"/>
    </row>
    <row r="7101" spans="32:32" x14ac:dyDescent="0.3">
      <c r="AF7101" s="19"/>
    </row>
    <row r="7102" spans="32:32" x14ac:dyDescent="0.3">
      <c r="AF7102" s="19"/>
    </row>
    <row r="7116" spans="32:32" x14ac:dyDescent="0.3">
      <c r="AF7116" s="19"/>
    </row>
    <row r="7117" spans="32:32" x14ac:dyDescent="0.3">
      <c r="AF7117" s="19"/>
    </row>
    <row r="7118" spans="32:32" x14ac:dyDescent="0.3">
      <c r="AF7118" s="19"/>
    </row>
    <row r="7119" spans="32:32" x14ac:dyDescent="0.3">
      <c r="AF7119" s="19"/>
    </row>
    <row r="7120" spans="32:32" x14ac:dyDescent="0.3">
      <c r="AF7120" s="19"/>
    </row>
    <row r="7121" spans="32:32" x14ac:dyDescent="0.3">
      <c r="AF7121" s="19"/>
    </row>
    <row r="7122" spans="32:32" x14ac:dyDescent="0.3">
      <c r="AF7122" s="19"/>
    </row>
    <row r="7123" spans="32:32" x14ac:dyDescent="0.3">
      <c r="AF7123" s="19"/>
    </row>
    <row r="7124" spans="32:32" x14ac:dyDescent="0.3">
      <c r="AF7124" s="19"/>
    </row>
    <row r="7137" spans="32:32" x14ac:dyDescent="0.3">
      <c r="AF7137" s="19"/>
    </row>
    <row r="7138" spans="32:32" x14ac:dyDescent="0.3">
      <c r="AF7138" s="19"/>
    </row>
    <row r="7139" spans="32:32" x14ac:dyDescent="0.3">
      <c r="AF7139" s="19"/>
    </row>
    <row r="7140" spans="32:32" x14ac:dyDescent="0.3">
      <c r="AF7140" s="19"/>
    </row>
    <row r="7141" spans="32:32" x14ac:dyDescent="0.3">
      <c r="AF7141" s="19"/>
    </row>
    <row r="7142" spans="32:32" x14ac:dyDescent="0.3">
      <c r="AF7142" s="19"/>
    </row>
    <row r="7143" spans="32:32" x14ac:dyDescent="0.3">
      <c r="AF7143" s="19"/>
    </row>
    <row r="7144" spans="32:32" x14ac:dyDescent="0.3">
      <c r="AF7144" s="19"/>
    </row>
    <row r="7145" spans="32:32" x14ac:dyDescent="0.3">
      <c r="AF7145" s="19"/>
    </row>
    <row r="7159" spans="32:32" x14ac:dyDescent="0.3">
      <c r="AF7159" s="19"/>
    </row>
    <row r="7160" spans="32:32" x14ac:dyDescent="0.3">
      <c r="AF7160" s="19"/>
    </row>
    <row r="7161" spans="32:32" x14ac:dyDescent="0.3">
      <c r="AF7161" s="19"/>
    </row>
    <row r="7162" spans="32:32" x14ac:dyDescent="0.3">
      <c r="AF7162" s="19"/>
    </row>
    <row r="7163" spans="32:32" x14ac:dyDescent="0.3">
      <c r="AF7163" s="19"/>
    </row>
    <row r="7164" spans="32:32" x14ac:dyDescent="0.3">
      <c r="AF7164" s="19"/>
    </row>
    <row r="7165" spans="32:32" x14ac:dyDescent="0.3">
      <c r="AF7165" s="19"/>
    </row>
    <row r="7166" spans="32:32" x14ac:dyDescent="0.3">
      <c r="AF7166" s="19"/>
    </row>
    <row r="7180" spans="32:32" x14ac:dyDescent="0.3">
      <c r="AF7180" s="19"/>
    </row>
    <row r="7181" spans="32:32" x14ac:dyDescent="0.3">
      <c r="AF7181" s="19"/>
    </row>
    <row r="7182" spans="32:32" x14ac:dyDescent="0.3">
      <c r="AF7182" s="19"/>
    </row>
    <row r="7183" spans="32:32" x14ac:dyDescent="0.3">
      <c r="AF7183" s="19"/>
    </row>
    <row r="7184" spans="32:32" x14ac:dyDescent="0.3">
      <c r="AF7184" s="19"/>
    </row>
    <row r="7185" spans="32:32" x14ac:dyDescent="0.3">
      <c r="AF7185" s="19"/>
    </row>
    <row r="7186" spans="32:32" x14ac:dyDescent="0.3">
      <c r="AF7186" s="19"/>
    </row>
    <row r="7187" spans="32:32" x14ac:dyDescent="0.3">
      <c r="AF7187" s="19"/>
    </row>
    <row r="7201" spans="32:32" x14ac:dyDescent="0.3">
      <c r="AF7201" s="19"/>
    </row>
    <row r="7202" spans="32:32" x14ac:dyDescent="0.3">
      <c r="AF7202" s="19"/>
    </row>
    <row r="7203" spans="32:32" x14ac:dyDescent="0.3">
      <c r="AF7203" s="19"/>
    </row>
    <row r="7204" spans="32:32" x14ac:dyDescent="0.3">
      <c r="AF7204" s="19"/>
    </row>
    <row r="7205" spans="32:32" x14ac:dyDescent="0.3">
      <c r="AF7205" s="19"/>
    </row>
    <row r="7206" spans="32:32" x14ac:dyDescent="0.3">
      <c r="AF7206" s="19"/>
    </row>
    <row r="7207" spans="32:32" x14ac:dyDescent="0.3">
      <c r="AF7207" s="19"/>
    </row>
    <row r="7208" spans="32:32" x14ac:dyDescent="0.3">
      <c r="AF7208" s="19"/>
    </row>
    <row r="7224" spans="32:32" x14ac:dyDescent="0.3">
      <c r="AF7224" s="19"/>
    </row>
    <row r="7225" spans="32:32" x14ac:dyDescent="0.3">
      <c r="AF7225" s="19"/>
    </row>
    <row r="7226" spans="32:32" x14ac:dyDescent="0.3">
      <c r="AF7226" s="19"/>
    </row>
    <row r="7227" spans="32:32" x14ac:dyDescent="0.3">
      <c r="AF7227" s="19"/>
    </row>
    <row r="7228" spans="32:32" x14ac:dyDescent="0.3">
      <c r="AF7228" s="19"/>
    </row>
    <row r="7229" spans="32:32" x14ac:dyDescent="0.3">
      <c r="AF7229" s="19"/>
    </row>
    <row r="7230" spans="32:32" x14ac:dyDescent="0.3">
      <c r="AF7230" s="19"/>
    </row>
    <row r="7243" spans="32:32" x14ac:dyDescent="0.3">
      <c r="AF7243" s="19"/>
    </row>
    <row r="7244" spans="32:32" x14ac:dyDescent="0.3">
      <c r="AF7244" s="19"/>
    </row>
    <row r="7245" spans="32:32" x14ac:dyDescent="0.3">
      <c r="AF7245" s="19"/>
    </row>
    <row r="7246" spans="32:32" x14ac:dyDescent="0.3">
      <c r="AF7246" s="19"/>
    </row>
    <row r="7247" spans="32:32" x14ac:dyDescent="0.3">
      <c r="AF7247" s="19"/>
    </row>
    <row r="7248" spans="32:32" x14ac:dyDescent="0.3">
      <c r="AF7248" s="19"/>
    </row>
    <row r="7249" spans="32:32" x14ac:dyDescent="0.3">
      <c r="AF7249" s="19"/>
    </row>
    <row r="7250" spans="32:32" x14ac:dyDescent="0.3">
      <c r="AF7250" s="19"/>
    </row>
    <row r="7251" spans="32:32" x14ac:dyDescent="0.3">
      <c r="AF7251" s="19"/>
    </row>
    <row r="7252" spans="32:32" x14ac:dyDescent="0.3">
      <c r="AF7252" s="19"/>
    </row>
    <row r="7266" spans="32:32" x14ac:dyDescent="0.3">
      <c r="AF7266" s="19"/>
    </row>
    <row r="7267" spans="32:32" x14ac:dyDescent="0.3">
      <c r="AF7267" s="19"/>
    </row>
    <row r="7268" spans="32:32" x14ac:dyDescent="0.3">
      <c r="AF7268" s="19"/>
    </row>
    <row r="7269" spans="32:32" x14ac:dyDescent="0.3">
      <c r="AF7269" s="19"/>
    </row>
    <row r="7270" spans="32:32" x14ac:dyDescent="0.3">
      <c r="AF7270" s="19"/>
    </row>
    <row r="7271" spans="32:32" x14ac:dyDescent="0.3">
      <c r="AF7271" s="19"/>
    </row>
    <row r="7272" spans="32:32" x14ac:dyDescent="0.3">
      <c r="AF7272" s="19"/>
    </row>
    <row r="7273" spans="32:32" x14ac:dyDescent="0.3">
      <c r="AF7273" s="19"/>
    </row>
    <row r="7287" spans="32:32" x14ac:dyDescent="0.3">
      <c r="AF7287" s="19"/>
    </row>
    <row r="7288" spans="32:32" x14ac:dyDescent="0.3">
      <c r="AF7288" s="19"/>
    </row>
    <row r="7289" spans="32:32" x14ac:dyDescent="0.3">
      <c r="AF7289" s="19"/>
    </row>
    <row r="7290" spans="32:32" x14ac:dyDescent="0.3">
      <c r="AF7290" s="19"/>
    </row>
    <row r="7291" spans="32:32" x14ac:dyDescent="0.3">
      <c r="AF7291" s="19"/>
    </row>
    <row r="7292" spans="32:32" x14ac:dyDescent="0.3">
      <c r="AF7292" s="19"/>
    </row>
    <row r="7293" spans="32:32" x14ac:dyDescent="0.3">
      <c r="AF7293" s="19"/>
    </row>
    <row r="7306" spans="32:32" x14ac:dyDescent="0.3">
      <c r="AF7306" s="19"/>
    </row>
    <row r="7307" spans="32:32" x14ac:dyDescent="0.3">
      <c r="AF7307" s="19"/>
    </row>
    <row r="7308" spans="32:32" x14ac:dyDescent="0.3">
      <c r="AF7308" s="19"/>
    </row>
    <row r="7309" spans="32:32" x14ac:dyDescent="0.3">
      <c r="AF7309" s="19"/>
    </row>
    <row r="7310" spans="32:32" x14ac:dyDescent="0.3">
      <c r="AF7310" s="19"/>
    </row>
    <row r="7311" spans="32:32" x14ac:dyDescent="0.3">
      <c r="AF7311" s="19"/>
    </row>
    <row r="7312" spans="32:32" x14ac:dyDescent="0.3">
      <c r="AF7312" s="19"/>
    </row>
    <row r="7313" spans="32:32" x14ac:dyDescent="0.3">
      <c r="AF7313" s="19"/>
    </row>
    <row r="7327" spans="32:32" x14ac:dyDescent="0.3">
      <c r="AF7327" s="19"/>
    </row>
    <row r="7328" spans="32:32" x14ac:dyDescent="0.3">
      <c r="AF7328" s="19"/>
    </row>
    <row r="7329" spans="32:32" x14ac:dyDescent="0.3">
      <c r="AF7329" s="19"/>
    </row>
    <row r="7330" spans="32:32" x14ac:dyDescent="0.3">
      <c r="AF7330" s="19"/>
    </row>
    <row r="7331" spans="32:32" x14ac:dyDescent="0.3">
      <c r="AF7331" s="19"/>
    </row>
    <row r="7332" spans="32:32" x14ac:dyDescent="0.3">
      <c r="AF7332" s="19"/>
    </row>
    <row r="7333" spans="32:32" x14ac:dyDescent="0.3">
      <c r="AF7333" s="19"/>
    </row>
    <row r="7334" spans="32:32" x14ac:dyDescent="0.3">
      <c r="AF7334" s="19"/>
    </row>
    <row r="7346" spans="32:32" x14ac:dyDescent="0.3">
      <c r="AF7346" s="19"/>
    </row>
    <row r="7347" spans="32:32" x14ac:dyDescent="0.3">
      <c r="AF7347" s="19"/>
    </row>
    <row r="7348" spans="32:32" x14ac:dyDescent="0.3">
      <c r="AF7348" s="19"/>
    </row>
    <row r="7349" spans="32:32" x14ac:dyDescent="0.3">
      <c r="AF7349" s="19"/>
    </row>
    <row r="7350" spans="32:32" x14ac:dyDescent="0.3">
      <c r="AF7350" s="19"/>
    </row>
    <row r="7351" spans="32:32" x14ac:dyDescent="0.3">
      <c r="AF7351" s="19"/>
    </row>
    <row r="7352" spans="32:32" x14ac:dyDescent="0.3">
      <c r="AF7352" s="19"/>
    </row>
    <row r="7353" spans="32:32" x14ac:dyDescent="0.3">
      <c r="AF7353" s="19"/>
    </row>
    <row r="7367" spans="32:32" x14ac:dyDescent="0.3">
      <c r="AF7367" s="19"/>
    </row>
    <row r="7368" spans="32:32" x14ac:dyDescent="0.3">
      <c r="AF7368" s="19"/>
    </row>
    <row r="7369" spans="32:32" x14ac:dyDescent="0.3">
      <c r="AF7369" s="19"/>
    </row>
    <row r="7370" spans="32:32" x14ac:dyDescent="0.3">
      <c r="AF7370" s="19"/>
    </row>
    <row r="7371" spans="32:32" x14ac:dyDescent="0.3">
      <c r="AF7371" s="19"/>
    </row>
    <row r="7372" spans="32:32" x14ac:dyDescent="0.3">
      <c r="AF7372" s="19"/>
    </row>
    <row r="7373" spans="32:32" x14ac:dyDescent="0.3">
      <c r="AF7373" s="19"/>
    </row>
    <row r="7374" spans="32:32" x14ac:dyDescent="0.3">
      <c r="AF7374" s="19"/>
    </row>
    <row r="7375" spans="32:32" x14ac:dyDescent="0.3">
      <c r="AF7375" s="19"/>
    </row>
    <row r="7376" spans="32:32" x14ac:dyDescent="0.3">
      <c r="AF7376" s="19"/>
    </row>
    <row r="7388" spans="32:32" x14ac:dyDescent="0.3">
      <c r="AF7388" s="19"/>
    </row>
    <row r="7389" spans="32:32" x14ac:dyDescent="0.3">
      <c r="AF7389" s="19"/>
    </row>
    <row r="7390" spans="32:32" x14ac:dyDescent="0.3">
      <c r="AF7390" s="19"/>
    </row>
    <row r="7391" spans="32:32" x14ac:dyDescent="0.3">
      <c r="AF7391" s="19"/>
    </row>
    <row r="7392" spans="32:32" x14ac:dyDescent="0.3">
      <c r="AF7392" s="19"/>
    </row>
    <row r="7393" spans="32:32" x14ac:dyDescent="0.3">
      <c r="AF7393" s="19"/>
    </row>
    <row r="7394" spans="32:32" x14ac:dyDescent="0.3">
      <c r="AF7394" s="19"/>
    </row>
    <row r="7395" spans="32:32" x14ac:dyDescent="0.3">
      <c r="AF7395" s="19"/>
    </row>
    <row r="7410" spans="32:32" x14ac:dyDescent="0.3">
      <c r="AF7410" s="19"/>
    </row>
    <row r="7411" spans="32:32" x14ac:dyDescent="0.3">
      <c r="AF7411" s="19"/>
    </row>
    <row r="7412" spans="32:32" x14ac:dyDescent="0.3">
      <c r="AF7412" s="19"/>
    </row>
    <row r="7413" spans="32:32" x14ac:dyDescent="0.3">
      <c r="AF7413" s="19"/>
    </row>
    <row r="7414" spans="32:32" x14ac:dyDescent="0.3">
      <c r="AF7414" s="19"/>
    </row>
    <row r="7415" spans="32:32" x14ac:dyDescent="0.3">
      <c r="AF7415" s="19"/>
    </row>
    <row r="7416" spans="32:32" x14ac:dyDescent="0.3">
      <c r="AF7416" s="19"/>
    </row>
    <row r="7417" spans="32:32" x14ac:dyDescent="0.3">
      <c r="AF7417" s="19"/>
    </row>
    <row r="7430" spans="32:32" x14ac:dyDescent="0.3">
      <c r="AF7430" s="19"/>
    </row>
    <row r="7431" spans="32:32" x14ac:dyDescent="0.3">
      <c r="AF7431" s="19"/>
    </row>
    <row r="7432" spans="32:32" x14ac:dyDescent="0.3">
      <c r="AF7432" s="19"/>
    </row>
    <row r="7433" spans="32:32" x14ac:dyDescent="0.3">
      <c r="AF7433" s="19"/>
    </row>
    <row r="7434" spans="32:32" x14ac:dyDescent="0.3">
      <c r="AF7434" s="19"/>
    </row>
    <row r="7435" spans="32:32" x14ac:dyDescent="0.3">
      <c r="AF7435" s="19"/>
    </row>
    <row r="7436" spans="32:32" x14ac:dyDescent="0.3">
      <c r="AF7436" s="19"/>
    </row>
    <row r="7437" spans="32:32" x14ac:dyDescent="0.3">
      <c r="AF7437" s="19"/>
    </row>
    <row r="7438" spans="32:32" x14ac:dyDescent="0.3">
      <c r="AF7438" s="19"/>
    </row>
    <row r="7452" spans="32:32" x14ac:dyDescent="0.3">
      <c r="AF7452" s="19"/>
    </row>
    <row r="7453" spans="32:32" x14ac:dyDescent="0.3">
      <c r="AF7453" s="19"/>
    </row>
    <row r="7454" spans="32:32" x14ac:dyDescent="0.3">
      <c r="AF7454" s="19"/>
    </row>
    <row r="7455" spans="32:32" x14ac:dyDescent="0.3">
      <c r="AF7455" s="19"/>
    </row>
    <row r="7456" spans="32:32" x14ac:dyDescent="0.3">
      <c r="AF7456" s="19"/>
    </row>
    <row r="7457" spans="32:32" x14ac:dyDescent="0.3">
      <c r="AF7457" s="19"/>
    </row>
    <row r="7458" spans="32:32" x14ac:dyDescent="0.3">
      <c r="AF7458" s="19"/>
    </row>
    <row r="7459" spans="32:32" x14ac:dyDescent="0.3">
      <c r="AF7459" s="19"/>
    </row>
    <row r="7474" spans="32:32" x14ac:dyDescent="0.3">
      <c r="AF7474" s="19"/>
    </row>
    <row r="7475" spans="32:32" x14ac:dyDescent="0.3">
      <c r="AF7475" s="19"/>
    </row>
    <row r="7476" spans="32:32" x14ac:dyDescent="0.3">
      <c r="AF7476" s="19"/>
    </row>
    <row r="7477" spans="32:32" x14ac:dyDescent="0.3">
      <c r="AF7477" s="19"/>
    </row>
    <row r="7478" spans="32:32" x14ac:dyDescent="0.3">
      <c r="AF7478" s="19"/>
    </row>
    <row r="7479" spans="32:32" x14ac:dyDescent="0.3">
      <c r="AF7479" s="19"/>
    </row>
    <row r="7480" spans="32:32" x14ac:dyDescent="0.3">
      <c r="AF7480" s="19"/>
    </row>
    <row r="7481" spans="32:32" x14ac:dyDescent="0.3">
      <c r="AF7481" s="19"/>
    </row>
    <row r="7494" spans="32:32" x14ac:dyDescent="0.3">
      <c r="AF7494" s="19"/>
    </row>
    <row r="7495" spans="32:32" x14ac:dyDescent="0.3">
      <c r="AF7495" s="19"/>
    </row>
    <row r="7496" spans="32:32" x14ac:dyDescent="0.3">
      <c r="AF7496" s="19"/>
    </row>
    <row r="7497" spans="32:32" x14ac:dyDescent="0.3">
      <c r="AF7497" s="19"/>
    </row>
    <row r="7498" spans="32:32" x14ac:dyDescent="0.3">
      <c r="AF7498" s="19"/>
    </row>
    <row r="7499" spans="32:32" x14ac:dyDescent="0.3">
      <c r="AF7499" s="19"/>
    </row>
    <row r="7500" spans="32:32" x14ac:dyDescent="0.3">
      <c r="AF7500" s="19"/>
    </row>
    <row r="7501" spans="32:32" x14ac:dyDescent="0.3">
      <c r="AF7501" s="19"/>
    </row>
    <row r="7502" spans="32:32" x14ac:dyDescent="0.3">
      <c r="AF7502" s="19"/>
    </row>
    <row r="7517" spans="32:32" x14ac:dyDescent="0.3">
      <c r="AF7517" s="19"/>
    </row>
    <row r="7518" spans="32:32" x14ac:dyDescent="0.3">
      <c r="AF7518" s="19"/>
    </row>
    <row r="7519" spans="32:32" x14ac:dyDescent="0.3">
      <c r="AF7519" s="19"/>
    </row>
    <row r="7520" spans="32:32" x14ac:dyDescent="0.3">
      <c r="AF7520" s="19"/>
    </row>
    <row r="7521" spans="32:32" x14ac:dyDescent="0.3">
      <c r="AF7521" s="19"/>
    </row>
    <row r="7522" spans="32:32" x14ac:dyDescent="0.3">
      <c r="AF7522" s="19"/>
    </row>
    <row r="7523" spans="32:32" x14ac:dyDescent="0.3">
      <c r="AF7523" s="19"/>
    </row>
    <row r="7524" spans="32:32" x14ac:dyDescent="0.3">
      <c r="AF7524" s="19"/>
    </row>
    <row r="7537" spans="32:32" x14ac:dyDescent="0.3">
      <c r="AF7537" s="19"/>
    </row>
    <row r="7538" spans="32:32" x14ac:dyDescent="0.3">
      <c r="AF7538" s="19"/>
    </row>
    <row r="7539" spans="32:32" x14ac:dyDescent="0.3">
      <c r="AF7539" s="19"/>
    </row>
    <row r="7540" spans="32:32" x14ac:dyDescent="0.3">
      <c r="AF7540" s="19"/>
    </row>
    <row r="7541" spans="32:32" x14ac:dyDescent="0.3">
      <c r="AF7541" s="19"/>
    </row>
    <row r="7542" spans="32:32" x14ac:dyDescent="0.3">
      <c r="AF7542" s="19"/>
    </row>
    <row r="7543" spans="32:32" x14ac:dyDescent="0.3">
      <c r="AF7543" s="19"/>
    </row>
    <row r="7544" spans="32:32" x14ac:dyDescent="0.3">
      <c r="AF7544" s="19"/>
    </row>
    <row r="7545" spans="32:32" x14ac:dyDescent="0.3">
      <c r="AF7545" s="19"/>
    </row>
    <row r="7558" spans="32:32" x14ac:dyDescent="0.3">
      <c r="AF7558" s="19"/>
    </row>
    <row r="7559" spans="32:32" x14ac:dyDescent="0.3">
      <c r="AF7559" s="19"/>
    </row>
    <row r="7560" spans="32:32" x14ac:dyDescent="0.3">
      <c r="AF7560" s="19"/>
    </row>
    <row r="7561" spans="32:32" x14ac:dyDescent="0.3">
      <c r="AF7561" s="19"/>
    </row>
    <row r="7562" spans="32:32" x14ac:dyDescent="0.3">
      <c r="AF7562" s="19"/>
    </row>
    <row r="7563" spans="32:32" x14ac:dyDescent="0.3">
      <c r="AF7563" s="19"/>
    </row>
    <row r="7564" spans="32:32" x14ac:dyDescent="0.3">
      <c r="AF7564" s="19"/>
    </row>
    <row r="7579" spans="32:32" x14ac:dyDescent="0.3">
      <c r="AF7579" s="19"/>
    </row>
    <row r="7580" spans="32:32" x14ac:dyDescent="0.3">
      <c r="AF7580" s="19"/>
    </row>
    <row r="7581" spans="32:32" x14ac:dyDescent="0.3">
      <c r="AF7581" s="19"/>
    </row>
    <row r="7582" spans="32:32" x14ac:dyDescent="0.3">
      <c r="AF7582" s="19"/>
    </row>
    <row r="7583" spans="32:32" x14ac:dyDescent="0.3">
      <c r="AF7583" s="19"/>
    </row>
    <row r="7584" spans="32:32" x14ac:dyDescent="0.3">
      <c r="AF7584" s="19"/>
    </row>
    <row r="7585" spans="32:32" x14ac:dyDescent="0.3">
      <c r="AF7585" s="19"/>
    </row>
    <row r="7586" spans="32:32" x14ac:dyDescent="0.3">
      <c r="AF7586" s="19"/>
    </row>
    <row r="7598" spans="32:32" x14ac:dyDescent="0.3">
      <c r="AF7598" s="19"/>
    </row>
    <row r="7599" spans="32:32" x14ac:dyDescent="0.3">
      <c r="AF7599" s="19"/>
    </row>
    <row r="7600" spans="32:32" x14ac:dyDescent="0.3">
      <c r="AF7600" s="19"/>
    </row>
    <row r="7601" spans="32:32" x14ac:dyDescent="0.3">
      <c r="AF7601" s="19"/>
    </row>
    <row r="7602" spans="32:32" x14ac:dyDescent="0.3">
      <c r="AF7602" s="19"/>
    </row>
    <row r="7603" spans="32:32" x14ac:dyDescent="0.3">
      <c r="AF7603" s="19"/>
    </row>
    <row r="7604" spans="32:32" x14ac:dyDescent="0.3">
      <c r="AF7604" s="19"/>
    </row>
    <row r="7605" spans="32:32" x14ac:dyDescent="0.3">
      <c r="AF7605" s="19"/>
    </row>
    <row r="7606" spans="32:32" x14ac:dyDescent="0.3">
      <c r="AF7606" s="19"/>
    </row>
    <row r="7620" spans="32:32" x14ac:dyDescent="0.3">
      <c r="AF7620" s="19"/>
    </row>
    <row r="7621" spans="32:32" x14ac:dyDescent="0.3">
      <c r="AF7621" s="19"/>
    </row>
    <row r="7622" spans="32:32" x14ac:dyDescent="0.3">
      <c r="AF7622" s="19"/>
    </row>
    <row r="7623" spans="32:32" x14ac:dyDescent="0.3">
      <c r="AF7623" s="19"/>
    </row>
    <row r="7624" spans="32:32" x14ac:dyDescent="0.3">
      <c r="AF7624" s="19"/>
    </row>
    <row r="7625" spans="32:32" x14ac:dyDescent="0.3">
      <c r="AF7625" s="19"/>
    </row>
    <row r="7626" spans="32:32" x14ac:dyDescent="0.3">
      <c r="AF7626" s="19"/>
    </row>
    <row r="7641" spans="32:32" x14ac:dyDescent="0.3">
      <c r="AF7641" s="19"/>
    </row>
    <row r="7642" spans="32:32" x14ac:dyDescent="0.3">
      <c r="AF7642" s="19"/>
    </row>
    <row r="7643" spans="32:32" x14ac:dyDescent="0.3">
      <c r="AF7643" s="19"/>
    </row>
    <row r="7644" spans="32:32" x14ac:dyDescent="0.3">
      <c r="AF7644" s="19"/>
    </row>
    <row r="7645" spans="32:32" x14ac:dyDescent="0.3">
      <c r="AF7645" s="19"/>
    </row>
    <row r="7646" spans="32:32" x14ac:dyDescent="0.3">
      <c r="AF7646" s="19"/>
    </row>
    <row r="7647" spans="32:32" x14ac:dyDescent="0.3">
      <c r="AF7647" s="19"/>
    </row>
    <row r="7648" spans="32:32" x14ac:dyDescent="0.3">
      <c r="AF7648" s="19"/>
    </row>
    <row r="7661" spans="32:32" x14ac:dyDescent="0.3">
      <c r="AF7661" s="19"/>
    </row>
    <row r="7662" spans="32:32" x14ac:dyDescent="0.3">
      <c r="AF7662" s="19"/>
    </row>
    <row r="7663" spans="32:32" x14ac:dyDescent="0.3">
      <c r="AF7663" s="19"/>
    </row>
    <row r="7664" spans="32:32" x14ac:dyDescent="0.3">
      <c r="AF7664" s="19"/>
    </row>
    <row r="7665" spans="32:32" x14ac:dyDescent="0.3">
      <c r="AF7665" s="19"/>
    </row>
    <row r="7666" spans="32:32" x14ac:dyDescent="0.3">
      <c r="AF7666" s="19"/>
    </row>
    <row r="7667" spans="32:32" x14ac:dyDescent="0.3">
      <c r="AF7667" s="19"/>
    </row>
    <row r="7668" spans="32:32" x14ac:dyDescent="0.3">
      <c r="AF7668" s="19"/>
    </row>
    <row r="7669" spans="32:32" x14ac:dyDescent="0.3">
      <c r="AF7669" s="19"/>
    </row>
    <row r="7670" spans="32:32" x14ac:dyDescent="0.3">
      <c r="AF7670" s="19"/>
    </row>
    <row r="7683" spans="32:32" x14ac:dyDescent="0.3">
      <c r="AF7683" s="19"/>
    </row>
    <row r="7684" spans="32:32" x14ac:dyDescent="0.3">
      <c r="AF7684" s="19"/>
    </row>
    <row r="7685" spans="32:32" x14ac:dyDescent="0.3">
      <c r="AF7685" s="19"/>
    </row>
    <row r="7686" spans="32:32" x14ac:dyDescent="0.3">
      <c r="AF7686" s="19"/>
    </row>
    <row r="7687" spans="32:32" x14ac:dyDescent="0.3">
      <c r="AF7687" s="19"/>
    </row>
    <row r="7688" spans="32:32" x14ac:dyDescent="0.3">
      <c r="AF7688" s="19"/>
    </row>
    <row r="7689" spans="32:32" x14ac:dyDescent="0.3">
      <c r="AF7689" s="19"/>
    </row>
    <row r="7705" spans="32:32" x14ac:dyDescent="0.3">
      <c r="AF7705" s="19"/>
    </row>
    <row r="7706" spans="32:32" x14ac:dyDescent="0.3">
      <c r="AF7706" s="19"/>
    </row>
    <row r="7707" spans="32:32" x14ac:dyDescent="0.3">
      <c r="AF7707" s="19"/>
    </row>
    <row r="7708" spans="32:32" x14ac:dyDescent="0.3">
      <c r="AF7708" s="19"/>
    </row>
    <row r="7709" spans="32:32" x14ac:dyDescent="0.3">
      <c r="AF7709" s="19"/>
    </row>
    <row r="7710" spans="32:32" x14ac:dyDescent="0.3">
      <c r="AF7710" s="19"/>
    </row>
    <row r="7711" spans="32:32" x14ac:dyDescent="0.3">
      <c r="AF7711" s="19"/>
    </row>
    <row r="7712" spans="32:32" x14ac:dyDescent="0.3">
      <c r="AF7712" s="19"/>
    </row>
    <row r="7726" spans="32:32" x14ac:dyDescent="0.3">
      <c r="AF7726" s="19"/>
    </row>
    <row r="7727" spans="32:32" x14ac:dyDescent="0.3">
      <c r="AF7727" s="19"/>
    </row>
    <row r="7728" spans="32:32" x14ac:dyDescent="0.3">
      <c r="AF7728" s="19"/>
    </row>
    <row r="7729" spans="32:32" x14ac:dyDescent="0.3">
      <c r="AF7729" s="19"/>
    </row>
    <row r="7730" spans="32:32" x14ac:dyDescent="0.3">
      <c r="AF7730" s="19"/>
    </row>
    <row r="7731" spans="32:32" x14ac:dyDescent="0.3">
      <c r="AF7731" s="19"/>
    </row>
    <row r="7732" spans="32:32" x14ac:dyDescent="0.3">
      <c r="AF7732" s="19"/>
    </row>
    <row r="7733" spans="32:32" x14ac:dyDescent="0.3">
      <c r="AF7733" s="19"/>
    </row>
    <row r="7747" spans="32:32" x14ac:dyDescent="0.3">
      <c r="AF7747" s="19"/>
    </row>
    <row r="7748" spans="32:32" x14ac:dyDescent="0.3">
      <c r="AF7748" s="19"/>
    </row>
    <row r="7749" spans="32:32" x14ac:dyDescent="0.3">
      <c r="AF7749" s="19"/>
    </row>
    <row r="7750" spans="32:32" x14ac:dyDescent="0.3">
      <c r="AF7750" s="19"/>
    </row>
    <row r="7751" spans="32:32" x14ac:dyDescent="0.3">
      <c r="AF7751" s="19"/>
    </row>
    <row r="7752" spans="32:32" x14ac:dyDescent="0.3">
      <c r="AF7752" s="19"/>
    </row>
    <row r="7753" spans="32:32" x14ac:dyDescent="0.3">
      <c r="AF7753" s="19"/>
    </row>
    <row r="7754" spans="32:32" x14ac:dyDescent="0.3">
      <c r="AF7754" s="19"/>
    </row>
    <row r="7769" spans="32:32" x14ac:dyDescent="0.3">
      <c r="AF7769" s="19"/>
    </row>
    <row r="7770" spans="32:32" x14ac:dyDescent="0.3">
      <c r="AF7770" s="19"/>
    </row>
    <row r="7771" spans="32:32" x14ac:dyDescent="0.3">
      <c r="AF7771" s="19"/>
    </row>
    <row r="7772" spans="32:32" x14ac:dyDescent="0.3">
      <c r="AF7772" s="19"/>
    </row>
    <row r="7773" spans="32:32" x14ac:dyDescent="0.3">
      <c r="AF7773" s="19"/>
    </row>
    <row r="7774" spans="32:32" x14ac:dyDescent="0.3">
      <c r="AF7774" s="19"/>
    </row>
    <row r="7775" spans="32:32" x14ac:dyDescent="0.3">
      <c r="AF7775" s="19"/>
    </row>
    <row r="7776" spans="32:32" x14ac:dyDescent="0.3">
      <c r="AF7776" s="19"/>
    </row>
    <row r="7777" spans="32:32" x14ac:dyDescent="0.3">
      <c r="AF7777" s="19"/>
    </row>
    <row r="7789" spans="32:32" x14ac:dyDescent="0.3">
      <c r="AF7789" s="19"/>
    </row>
    <row r="7790" spans="32:32" x14ac:dyDescent="0.3">
      <c r="AF7790" s="19"/>
    </row>
    <row r="7791" spans="32:32" x14ac:dyDescent="0.3">
      <c r="AF7791" s="19"/>
    </row>
    <row r="7792" spans="32:32" x14ac:dyDescent="0.3">
      <c r="AF7792" s="19"/>
    </row>
    <row r="7793" spans="32:32" x14ac:dyDescent="0.3">
      <c r="AF7793" s="19"/>
    </row>
    <row r="7794" spans="32:32" x14ac:dyDescent="0.3">
      <c r="AF7794" s="19"/>
    </row>
    <row r="7795" spans="32:32" x14ac:dyDescent="0.3">
      <c r="AF7795" s="19"/>
    </row>
    <row r="7796" spans="32:32" x14ac:dyDescent="0.3">
      <c r="AF7796" s="19"/>
    </row>
    <row r="7797" spans="32:32" x14ac:dyDescent="0.3">
      <c r="AF7797" s="19"/>
    </row>
    <row r="7811" spans="32:32" x14ac:dyDescent="0.3">
      <c r="AF7811" s="19"/>
    </row>
    <row r="7812" spans="32:32" x14ac:dyDescent="0.3">
      <c r="AF7812" s="19"/>
    </row>
    <row r="7813" spans="32:32" x14ac:dyDescent="0.3">
      <c r="AF7813" s="19"/>
    </row>
    <row r="7814" spans="32:32" x14ac:dyDescent="0.3">
      <c r="AF7814" s="19"/>
    </row>
    <row r="7815" spans="32:32" x14ac:dyDescent="0.3">
      <c r="AF7815" s="19"/>
    </row>
    <row r="7816" spans="32:32" x14ac:dyDescent="0.3">
      <c r="AF7816" s="19"/>
    </row>
    <row r="7817" spans="32:32" x14ac:dyDescent="0.3">
      <c r="AF7817" s="19"/>
    </row>
    <row r="7830" spans="32:32" x14ac:dyDescent="0.3">
      <c r="AF7830" s="19"/>
    </row>
    <row r="7831" spans="32:32" x14ac:dyDescent="0.3">
      <c r="AF7831" s="19"/>
    </row>
    <row r="7832" spans="32:32" x14ac:dyDescent="0.3">
      <c r="AF7832" s="19"/>
    </row>
    <row r="7833" spans="32:32" x14ac:dyDescent="0.3">
      <c r="AF7833" s="19"/>
    </row>
    <row r="7834" spans="32:32" x14ac:dyDescent="0.3">
      <c r="AF7834" s="19"/>
    </row>
    <row r="7835" spans="32:32" x14ac:dyDescent="0.3">
      <c r="AF7835" s="19"/>
    </row>
    <row r="7836" spans="32:32" x14ac:dyDescent="0.3">
      <c r="AF7836" s="19"/>
    </row>
    <row r="7837" spans="32:32" x14ac:dyDescent="0.3">
      <c r="AF7837" s="19"/>
    </row>
    <row r="7838" spans="32:32" x14ac:dyDescent="0.3">
      <c r="AF7838" s="19"/>
    </row>
    <row r="7839" spans="32:32" x14ac:dyDescent="0.3">
      <c r="AF7839" s="19"/>
    </row>
    <row r="7849" spans="32:32" x14ac:dyDescent="0.3">
      <c r="AF7849" s="19"/>
    </row>
    <row r="7850" spans="32:32" x14ac:dyDescent="0.3">
      <c r="AF7850" s="19"/>
    </row>
    <row r="7851" spans="32:32" x14ac:dyDescent="0.3">
      <c r="AF7851" s="19"/>
    </row>
    <row r="7852" spans="32:32" x14ac:dyDescent="0.3">
      <c r="AF7852" s="19"/>
    </row>
    <row r="7853" spans="32:32" x14ac:dyDescent="0.3">
      <c r="AF7853" s="19"/>
    </row>
    <row r="7854" spans="32:32" x14ac:dyDescent="0.3">
      <c r="AF7854" s="19"/>
    </row>
    <row r="7855" spans="32:32" x14ac:dyDescent="0.3">
      <c r="AF7855" s="19"/>
    </row>
    <row r="7856" spans="32:32" x14ac:dyDescent="0.3">
      <c r="AF7856" s="19"/>
    </row>
    <row r="7857" spans="32:32" x14ac:dyDescent="0.3">
      <c r="AF7857" s="19"/>
    </row>
    <row r="7858" spans="32:32" x14ac:dyDescent="0.3">
      <c r="AF7858" s="19"/>
    </row>
    <row r="7872" spans="32:32" x14ac:dyDescent="0.3">
      <c r="AF7872" s="19"/>
    </row>
    <row r="7873" spans="32:32" x14ac:dyDescent="0.3">
      <c r="AF7873" s="19"/>
    </row>
    <row r="7874" spans="32:32" x14ac:dyDescent="0.3">
      <c r="AF7874" s="19"/>
    </row>
    <row r="7875" spans="32:32" x14ac:dyDescent="0.3">
      <c r="AF7875" s="19"/>
    </row>
    <row r="7876" spans="32:32" x14ac:dyDescent="0.3">
      <c r="AF7876" s="19"/>
    </row>
    <row r="7877" spans="32:32" x14ac:dyDescent="0.3">
      <c r="AF7877" s="19"/>
    </row>
    <row r="7878" spans="32:32" x14ac:dyDescent="0.3">
      <c r="AF7878" s="19"/>
    </row>
    <row r="7893" spans="32:32" x14ac:dyDescent="0.3">
      <c r="AF7893" s="19"/>
    </row>
    <row r="7894" spans="32:32" x14ac:dyDescent="0.3">
      <c r="AF7894" s="19"/>
    </row>
    <row r="7895" spans="32:32" x14ac:dyDescent="0.3">
      <c r="AF7895" s="19"/>
    </row>
    <row r="7896" spans="32:32" x14ac:dyDescent="0.3">
      <c r="AF7896" s="19"/>
    </row>
    <row r="7897" spans="32:32" x14ac:dyDescent="0.3">
      <c r="AF7897" s="19"/>
    </row>
    <row r="7898" spans="32:32" x14ac:dyDescent="0.3">
      <c r="AF7898" s="19"/>
    </row>
    <row r="7899" spans="32:32" x14ac:dyDescent="0.3">
      <c r="AF7899" s="19"/>
    </row>
    <row r="7900" spans="32:32" x14ac:dyDescent="0.3">
      <c r="AF7900" s="19"/>
    </row>
    <row r="7913" spans="32:32" x14ac:dyDescent="0.3">
      <c r="AF7913" s="19"/>
    </row>
    <row r="7914" spans="32:32" x14ac:dyDescent="0.3">
      <c r="AF7914" s="19"/>
    </row>
    <row r="7915" spans="32:32" x14ac:dyDescent="0.3">
      <c r="AF7915" s="19"/>
    </row>
    <row r="7916" spans="32:32" x14ac:dyDescent="0.3">
      <c r="AF7916" s="19"/>
    </row>
    <row r="7917" spans="32:32" x14ac:dyDescent="0.3">
      <c r="AF7917" s="19"/>
    </row>
    <row r="7918" spans="32:32" x14ac:dyDescent="0.3">
      <c r="AF7918" s="19"/>
    </row>
    <row r="7919" spans="32:32" x14ac:dyDescent="0.3">
      <c r="AF7919" s="19"/>
    </row>
    <row r="7920" spans="32:32" x14ac:dyDescent="0.3">
      <c r="AF7920" s="19"/>
    </row>
    <row r="7921" spans="32:32" x14ac:dyDescent="0.3">
      <c r="AF7921" s="19"/>
    </row>
    <row r="7935" spans="32:32" x14ac:dyDescent="0.3">
      <c r="AF7935" s="19"/>
    </row>
    <row r="7936" spans="32:32" x14ac:dyDescent="0.3">
      <c r="AF7936" s="19"/>
    </row>
    <row r="7937" spans="32:32" x14ac:dyDescent="0.3">
      <c r="AF7937" s="19"/>
    </row>
    <row r="7938" spans="32:32" x14ac:dyDescent="0.3">
      <c r="AF7938" s="19"/>
    </row>
    <row r="7939" spans="32:32" x14ac:dyDescent="0.3">
      <c r="AF7939" s="19"/>
    </row>
    <row r="7940" spans="32:32" x14ac:dyDescent="0.3">
      <c r="AF7940" s="19"/>
    </row>
    <row r="7941" spans="32:32" x14ac:dyDescent="0.3">
      <c r="AF7941" s="19"/>
    </row>
    <row r="7956" spans="32:32" x14ac:dyDescent="0.3">
      <c r="AF7956" s="19"/>
    </row>
    <row r="7957" spans="32:32" x14ac:dyDescent="0.3">
      <c r="AF7957" s="19"/>
    </row>
    <row r="7958" spans="32:32" x14ac:dyDescent="0.3">
      <c r="AF7958" s="19"/>
    </row>
    <row r="7959" spans="32:32" x14ac:dyDescent="0.3">
      <c r="AF7959" s="19"/>
    </row>
    <row r="7960" spans="32:32" x14ac:dyDescent="0.3">
      <c r="AF7960" s="19"/>
    </row>
    <row r="7961" spans="32:32" x14ac:dyDescent="0.3">
      <c r="AF7961" s="19"/>
    </row>
    <row r="7962" spans="32:32" x14ac:dyDescent="0.3">
      <c r="AF7962" s="19"/>
    </row>
    <row r="7963" spans="32:32" x14ac:dyDescent="0.3">
      <c r="AF7963" s="19"/>
    </row>
    <row r="7964" spans="32:32" x14ac:dyDescent="0.3">
      <c r="AF7964" s="19"/>
    </row>
    <row r="7978" spans="32:32" x14ac:dyDescent="0.3">
      <c r="AF7978" s="19"/>
    </row>
    <row r="7979" spans="32:32" x14ac:dyDescent="0.3">
      <c r="AF7979" s="19"/>
    </row>
    <row r="7980" spans="32:32" x14ac:dyDescent="0.3">
      <c r="AF7980" s="19"/>
    </row>
    <row r="7981" spans="32:32" x14ac:dyDescent="0.3">
      <c r="AF7981" s="19"/>
    </row>
    <row r="7982" spans="32:32" x14ac:dyDescent="0.3">
      <c r="AF7982" s="19"/>
    </row>
    <row r="7983" spans="32:32" x14ac:dyDescent="0.3">
      <c r="AF7983" s="19"/>
    </row>
    <row r="7984" spans="32:32" x14ac:dyDescent="0.3">
      <c r="AF7984" s="19"/>
    </row>
    <row r="7999" spans="32:32" x14ac:dyDescent="0.3">
      <c r="AF7999" s="19"/>
    </row>
    <row r="8000" spans="32:32" x14ac:dyDescent="0.3">
      <c r="AF8000" s="19"/>
    </row>
    <row r="8001" spans="32:32" x14ac:dyDescent="0.3">
      <c r="AF8001" s="19"/>
    </row>
    <row r="8002" spans="32:32" x14ac:dyDescent="0.3">
      <c r="AF8002" s="19"/>
    </row>
    <row r="8003" spans="32:32" x14ac:dyDescent="0.3">
      <c r="AF8003" s="19"/>
    </row>
    <row r="8004" spans="32:32" x14ac:dyDescent="0.3">
      <c r="AF8004" s="19"/>
    </row>
    <row r="8005" spans="32:32" x14ac:dyDescent="0.3">
      <c r="AF8005" s="19"/>
    </row>
    <row r="8006" spans="32:32" x14ac:dyDescent="0.3">
      <c r="AF8006" s="19"/>
    </row>
    <row r="8020" spans="32:32" x14ac:dyDescent="0.3">
      <c r="AF8020" s="19"/>
    </row>
    <row r="8021" spans="32:32" x14ac:dyDescent="0.3">
      <c r="AF8021" s="19"/>
    </row>
    <row r="8022" spans="32:32" x14ac:dyDescent="0.3">
      <c r="AF8022" s="19"/>
    </row>
    <row r="8023" spans="32:32" x14ac:dyDescent="0.3">
      <c r="AF8023" s="19"/>
    </row>
    <row r="8024" spans="32:32" x14ac:dyDescent="0.3">
      <c r="AF8024" s="19"/>
    </row>
    <row r="8025" spans="32:32" x14ac:dyDescent="0.3">
      <c r="AF8025" s="19"/>
    </row>
    <row r="8026" spans="32:32" x14ac:dyDescent="0.3">
      <c r="AF8026" s="19"/>
    </row>
    <row r="8027" spans="32:32" x14ac:dyDescent="0.3">
      <c r="AF8027" s="19"/>
    </row>
    <row r="8028" spans="32:32" x14ac:dyDescent="0.3">
      <c r="AF8028" s="19"/>
    </row>
    <row r="8029" spans="32:32" x14ac:dyDescent="0.3">
      <c r="AF8029" s="19"/>
    </row>
    <row r="8041" spans="32:32" x14ac:dyDescent="0.3">
      <c r="AF8041" s="19"/>
    </row>
    <row r="8042" spans="32:32" x14ac:dyDescent="0.3">
      <c r="AF8042" s="19"/>
    </row>
    <row r="8043" spans="32:32" x14ac:dyDescent="0.3">
      <c r="AF8043" s="19"/>
    </row>
    <row r="8044" spans="32:32" x14ac:dyDescent="0.3">
      <c r="AF8044" s="19"/>
    </row>
    <row r="8045" spans="32:32" x14ac:dyDescent="0.3">
      <c r="AF8045" s="19"/>
    </row>
    <row r="8046" spans="32:32" x14ac:dyDescent="0.3">
      <c r="AF8046" s="19"/>
    </row>
    <row r="8047" spans="32:32" x14ac:dyDescent="0.3">
      <c r="AF8047" s="19"/>
    </row>
    <row r="8048" spans="32:32" x14ac:dyDescent="0.3">
      <c r="AF8048" s="19"/>
    </row>
    <row r="8063" spans="32:32" x14ac:dyDescent="0.3">
      <c r="AF8063" s="19"/>
    </row>
    <row r="8064" spans="32:32" x14ac:dyDescent="0.3">
      <c r="AF8064" s="19"/>
    </row>
    <row r="8065" spans="32:32" x14ac:dyDescent="0.3">
      <c r="AF8065" s="19"/>
    </row>
    <row r="8066" spans="32:32" x14ac:dyDescent="0.3">
      <c r="AF8066" s="19"/>
    </row>
    <row r="8067" spans="32:32" x14ac:dyDescent="0.3">
      <c r="AF8067" s="19"/>
    </row>
    <row r="8068" spans="32:32" x14ac:dyDescent="0.3">
      <c r="AF8068" s="19"/>
    </row>
    <row r="8069" spans="32:32" x14ac:dyDescent="0.3">
      <c r="AF8069" s="19"/>
    </row>
    <row r="8070" spans="32:32" x14ac:dyDescent="0.3">
      <c r="AF8070" s="19"/>
    </row>
    <row r="8083" spans="32:32" x14ac:dyDescent="0.3">
      <c r="AF8083" s="19"/>
    </row>
    <row r="8084" spans="32:32" x14ac:dyDescent="0.3">
      <c r="AF8084" s="19"/>
    </row>
    <row r="8085" spans="32:32" x14ac:dyDescent="0.3">
      <c r="AF8085" s="19"/>
    </row>
    <row r="8086" spans="32:32" x14ac:dyDescent="0.3">
      <c r="AF8086" s="19"/>
    </row>
    <row r="8087" spans="32:32" x14ac:dyDescent="0.3">
      <c r="AF8087" s="19"/>
    </row>
    <row r="8088" spans="32:32" x14ac:dyDescent="0.3">
      <c r="AF8088" s="19"/>
    </row>
    <row r="8089" spans="32:32" x14ac:dyDescent="0.3">
      <c r="AF8089" s="19"/>
    </row>
    <row r="8090" spans="32:32" x14ac:dyDescent="0.3">
      <c r="AF8090" s="19"/>
    </row>
    <row r="8091" spans="32:32" x14ac:dyDescent="0.3">
      <c r="AF8091" s="19"/>
    </row>
    <row r="8102" spans="32:32" x14ac:dyDescent="0.3">
      <c r="AF8102" s="19"/>
    </row>
    <row r="8103" spans="32:32" x14ac:dyDescent="0.3">
      <c r="AF8103" s="19"/>
    </row>
    <row r="8104" spans="32:32" x14ac:dyDescent="0.3">
      <c r="AF8104" s="19"/>
    </row>
    <row r="8105" spans="32:32" x14ac:dyDescent="0.3">
      <c r="AF8105" s="19"/>
    </row>
    <row r="8106" spans="32:32" x14ac:dyDescent="0.3">
      <c r="AF8106" s="19"/>
    </row>
    <row r="8107" spans="32:32" x14ac:dyDescent="0.3">
      <c r="AF8107" s="19"/>
    </row>
    <row r="8108" spans="32:32" x14ac:dyDescent="0.3">
      <c r="AF8108" s="19"/>
    </row>
    <row r="8109" spans="32:32" x14ac:dyDescent="0.3">
      <c r="AF8109" s="19"/>
    </row>
    <row r="8110" spans="32:32" x14ac:dyDescent="0.3">
      <c r="AF8110" s="19"/>
    </row>
    <row r="8125" spans="32:32" x14ac:dyDescent="0.3">
      <c r="AF8125" s="19"/>
    </row>
    <row r="8126" spans="32:32" x14ac:dyDescent="0.3">
      <c r="AF8126" s="19"/>
    </row>
    <row r="8127" spans="32:32" x14ac:dyDescent="0.3">
      <c r="AF8127" s="19"/>
    </row>
    <row r="8128" spans="32:32" x14ac:dyDescent="0.3">
      <c r="AF8128" s="19"/>
    </row>
    <row r="8129" spans="32:32" x14ac:dyDescent="0.3">
      <c r="AF8129" s="19"/>
    </row>
    <row r="8130" spans="32:32" x14ac:dyDescent="0.3">
      <c r="AF8130" s="19"/>
    </row>
    <row r="8131" spans="32:32" x14ac:dyDescent="0.3">
      <c r="AF8131" s="19"/>
    </row>
    <row r="8132" spans="32:32" x14ac:dyDescent="0.3">
      <c r="AF8132" s="19"/>
    </row>
    <row r="8145" spans="32:32" x14ac:dyDescent="0.3">
      <c r="AF8145" s="19"/>
    </row>
    <row r="8146" spans="32:32" x14ac:dyDescent="0.3">
      <c r="AF8146" s="19"/>
    </row>
    <row r="8147" spans="32:32" x14ac:dyDescent="0.3">
      <c r="AF8147" s="19"/>
    </row>
    <row r="8148" spans="32:32" x14ac:dyDescent="0.3">
      <c r="AF8148" s="19"/>
    </row>
    <row r="8149" spans="32:32" x14ac:dyDescent="0.3">
      <c r="AF8149" s="19"/>
    </row>
    <row r="8150" spans="32:32" x14ac:dyDescent="0.3">
      <c r="AF8150" s="19"/>
    </row>
    <row r="8151" spans="32:32" x14ac:dyDescent="0.3">
      <c r="AF8151" s="19"/>
    </row>
    <row r="8152" spans="32:32" x14ac:dyDescent="0.3">
      <c r="AF8152" s="19"/>
    </row>
    <row r="8153" spans="32:32" x14ac:dyDescent="0.3">
      <c r="AF8153" s="19"/>
    </row>
    <row r="8167" spans="32:32" x14ac:dyDescent="0.3">
      <c r="AF8167" s="19"/>
    </row>
    <row r="8168" spans="32:32" x14ac:dyDescent="0.3">
      <c r="AF8168" s="19"/>
    </row>
    <row r="8169" spans="32:32" x14ac:dyDescent="0.3">
      <c r="AF8169" s="19"/>
    </row>
    <row r="8170" spans="32:32" x14ac:dyDescent="0.3">
      <c r="AF8170" s="19"/>
    </row>
    <row r="8171" spans="32:32" x14ac:dyDescent="0.3">
      <c r="AF8171" s="19"/>
    </row>
    <row r="8172" spans="32:32" x14ac:dyDescent="0.3">
      <c r="AF8172" s="19"/>
    </row>
    <row r="8173" spans="32:32" x14ac:dyDescent="0.3">
      <c r="AF8173" s="19"/>
    </row>
    <row r="8174" spans="32:32" x14ac:dyDescent="0.3">
      <c r="AF8174" s="19"/>
    </row>
    <row r="8189" spans="32:32" x14ac:dyDescent="0.3">
      <c r="AF8189" s="19"/>
    </row>
    <row r="8190" spans="32:32" x14ac:dyDescent="0.3">
      <c r="AF8190" s="19"/>
    </row>
    <row r="8191" spans="32:32" x14ac:dyDescent="0.3">
      <c r="AF8191" s="19"/>
    </row>
    <row r="8192" spans="32:32" x14ac:dyDescent="0.3">
      <c r="AF8192" s="19"/>
    </row>
    <row r="8193" spans="32:32" x14ac:dyDescent="0.3">
      <c r="AF8193" s="19"/>
    </row>
    <row r="8194" spans="32:32" x14ac:dyDescent="0.3">
      <c r="AF8194" s="19"/>
    </row>
    <row r="8195" spans="32:32" x14ac:dyDescent="0.3">
      <c r="AF8195" s="19"/>
    </row>
    <row r="8196" spans="32:32" x14ac:dyDescent="0.3">
      <c r="AF8196" s="19"/>
    </row>
    <row r="8210" spans="32:32" x14ac:dyDescent="0.3">
      <c r="AF8210" s="19"/>
    </row>
    <row r="8211" spans="32:32" x14ac:dyDescent="0.3">
      <c r="AF8211" s="19"/>
    </row>
    <row r="8212" spans="32:32" x14ac:dyDescent="0.3">
      <c r="AF8212" s="19"/>
    </row>
    <row r="8213" spans="32:32" x14ac:dyDescent="0.3">
      <c r="AF8213" s="19"/>
    </row>
    <row r="8214" spans="32:32" x14ac:dyDescent="0.3">
      <c r="AF8214" s="19"/>
    </row>
    <row r="8215" spans="32:32" x14ac:dyDescent="0.3">
      <c r="AF8215" s="19"/>
    </row>
    <row r="8216" spans="32:32" x14ac:dyDescent="0.3">
      <c r="AF8216" s="19"/>
    </row>
    <row r="8217" spans="32:32" x14ac:dyDescent="0.3">
      <c r="AF8217" s="19"/>
    </row>
    <row r="8218" spans="32:32" x14ac:dyDescent="0.3">
      <c r="AF8218" s="19"/>
    </row>
    <row r="8219" spans="32:32" x14ac:dyDescent="0.3">
      <c r="AF8219" s="19"/>
    </row>
    <row r="8233" spans="32:32" x14ac:dyDescent="0.3">
      <c r="AF8233" s="19"/>
    </row>
    <row r="8234" spans="32:32" x14ac:dyDescent="0.3">
      <c r="AF8234" s="19"/>
    </row>
    <row r="8235" spans="32:32" x14ac:dyDescent="0.3">
      <c r="AF8235" s="19"/>
    </row>
    <row r="8236" spans="32:32" x14ac:dyDescent="0.3">
      <c r="AF8236" s="19"/>
    </row>
    <row r="8237" spans="32:32" x14ac:dyDescent="0.3">
      <c r="AF8237" s="19"/>
    </row>
    <row r="8238" spans="32:32" x14ac:dyDescent="0.3">
      <c r="AF8238" s="19"/>
    </row>
    <row r="8239" spans="32:32" x14ac:dyDescent="0.3">
      <c r="AF8239" s="19"/>
    </row>
    <row r="8240" spans="32:32" x14ac:dyDescent="0.3">
      <c r="AF8240" s="19"/>
    </row>
    <row r="8255" spans="32:32" x14ac:dyDescent="0.3">
      <c r="AF8255" s="19"/>
    </row>
    <row r="8256" spans="32:32" x14ac:dyDescent="0.3">
      <c r="AF8256" s="19"/>
    </row>
    <row r="8257" spans="32:32" x14ac:dyDescent="0.3">
      <c r="AF8257" s="19"/>
    </row>
    <row r="8258" spans="32:32" x14ac:dyDescent="0.3">
      <c r="AF8258" s="19"/>
    </row>
    <row r="8259" spans="32:32" x14ac:dyDescent="0.3">
      <c r="AF8259" s="19"/>
    </row>
    <row r="8260" spans="32:32" x14ac:dyDescent="0.3">
      <c r="AF8260" s="19"/>
    </row>
    <row r="8261" spans="32:32" x14ac:dyDescent="0.3">
      <c r="AF8261" s="19"/>
    </row>
    <row r="8262" spans="32:32" x14ac:dyDescent="0.3">
      <c r="AF8262" s="19"/>
    </row>
    <row r="8276" spans="32:32" x14ac:dyDescent="0.3">
      <c r="AF8276" s="19"/>
    </row>
    <row r="8277" spans="32:32" x14ac:dyDescent="0.3">
      <c r="AF8277" s="19"/>
    </row>
    <row r="8278" spans="32:32" x14ac:dyDescent="0.3">
      <c r="AF8278" s="19"/>
    </row>
    <row r="8279" spans="32:32" x14ac:dyDescent="0.3">
      <c r="AF8279" s="19"/>
    </row>
    <row r="8280" spans="32:32" x14ac:dyDescent="0.3">
      <c r="AF8280" s="19"/>
    </row>
    <row r="8281" spans="32:32" x14ac:dyDescent="0.3">
      <c r="AF8281" s="19"/>
    </row>
    <row r="8282" spans="32:32" x14ac:dyDescent="0.3">
      <c r="AF8282" s="19"/>
    </row>
    <row r="8283" spans="32:32" x14ac:dyDescent="0.3">
      <c r="AF8283" s="19"/>
    </row>
    <row r="8284" spans="32:32" x14ac:dyDescent="0.3">
      <c r="AF8284" s="19"/>
    </row>
    <row r="8298" spans="32:32" x14ac:dyDescent="0.3">
      <c r="AF8298" s="19"/>
    </row>
    <row r="8299" spans="32:32" x14ac:dyDescent="0.3">
      <c r="AF8299" s="19"/>
    </row>
    <row r="8300" spans="32:32" x14ac:dyDescent="0.3">
      <c r="AF8300" s="19"/>
    </row>
    <row r="8301" spans="32:32" x14ac:dyDescent="0.3">
      <c r="AF8301" s="19"/>
    </row>
    <row r="8302" spans="32:32" x14ac:dyDescent="0.3">
      <c r="AF8302" s="19"/>
    </row>
    <row r="8303" spans="32:32" x14ac:dyDescent="0.3">
      <c r="AF8303" s="19"/>
    </row>
    <row r="8304" spans="32:32" x14ac:dyDescent="0.3">
      <c r="AF8304" s="19"/>
    </row>
    <row r="8305" spans="32:32" x14ac:dyDescent="0.3">
      <c r="AF8305" s="19"/>
    </row>
    <row r="8319" spans="32:32" x14ac:dyDescent="0.3">
      <c r="AF8319" s="19"/>
    </row>
    <row r="8320" spans="32:32" x14ac:dyDescent="0.3">
      <c r="AF8320" s="19"/>
    </row>
    <row r="8321" spans="32:32" x14ac:dyDescent="0.3">
      <c r="AF8321" s="19"/>
    </row>
    <row r="8322" spans="32:32" x14ac:dyDescent="0.3">
      <c r="AF8322" s="19"/>
    </row>
    <row r="8323" spans="32:32" x14ac:dyDescent="0.3">
      <c r="AF8323" s="19"/>
    </row>
    <row r="8324" spans="32:32" x14ac:dyDescent="0.3">
      <c r="AF8324" s="19"/>
    </row>
    <row r="8325" spans="32:32" x14ac:dyDescent="0.3">
      <c r="AF8325" s="19"/>
    </row>
    <row r="8326" spans="32:32" x14ac:dyDescent="0.3">
      <c r="AF8326" s="19"/>
    </row>
    <row r="8340" spans="32:32" x14ac:dyDescent="0.3">
      <c r="AF8340" s="19"/>
    </row>
    <row r="8341" spans="32:32" x14ac:dyDescent="0.3">
      <c r="AF8341" s="19"/>
    </row>
    <row r="8342" spans="32:32" x14ac:dyDescent="0.3">
      <c r="AF8342" s="19"/>
    </row>
    <row r="8343" spans="32:32" x14ac:dyDescent="0.3">
      <c r="AF8343" s="19"/>
    </row>
    <row r="8344" spans="32:32" x14ac:dyDescent="0.3">
      <c r="AF8344" s="19"/>
    </row>
    <row r="8345" spans="32:32" x14ac:dyDescent="0.3">
      <c r="AF8345" s="19"/>
    </row>
    <row r="8346" spans="32:32" x14ac:dyDescent="0.3">
      <c r="AF8346" s="19"/>
    </row>
    <row r="8347" spans="32:32" x14ac:dyDescent="0.3">
      <c r="AF8347" s="19"/>
    </row>
    <row r="8360" spans="32:32" x14ac:dyDescent="0.3">
      <c r="AF8360" s="19"/>
    </row>
    <row r="8361" spans="32:32" x14ac:dyDescent="0.3">
      <c r="AF8361" s="19"/>
    </row>
    <row r="8362" spans="32:32" x14ac:dyDescent="0.3">
      <c r="AF8362" s="19"/>
    </row>
    <row r="8363" spans="32:32" x14ac:dyDescent="0.3">
      <c r="AF8363" s="19"/>
    </row>
    <row r="8364" spans="32:32" x14ac:dyDescent="0.3">
      <c r="AF8364" s="19"/>
    </row>
    <row r="8365" spans="32:32" x14ac:dyDescent="0.3">
      <c r="AF8365" s="19"/>
    </row>
    <row r="8366" spans="32:32" x14ac:dyDescent="0.3">
      <c r="AF8366" s="19"/>
    </row>
    <row r="8367" spans="32:32" x14ac:dyDescent="0.3">
      <c r="AF8367" s="19"/>
    </row>
    <row r="8383" spans="32:32" x14ac:dyDescent="0.3">
      <c r="AF8383" s="19"/>
    </row>
    <row r="8384" spans="32:32" x14ac:dyDescent="0.3">
      <c r="AF8384" s="19"/>
    </row>
    <row r="8385" spans="32:32" x14ac:dyDescent="0.3">
      <c r="AF8385" s="19"/>
    </row>
    <row r="8386" spans="32:32" x14ac:dyDescent="0.3">
      <c r="AF8386" s="19"/>
    </row>
    <row r="8387" spans="32:32" x14ac:dyDescent="0.3">
      <c r="AF8387" s="19"/>
    </row>
    <row r="8388" spans="32:32" x14ac:dyDescent="0.3">
      <c r="AF8388" s="19"/>
    </row>
    <row r="8389" spans="32:32" x14ac:dyDescent="0.3">
      <c r="AF8389" s="19"/>
    </row>
    <row r="8402" spans="32:32" x14ac:dyDescent="0.3">
      <c r="AF8402" s="19"/>
    </row>
    <row r="8403" spans="32:32" x14ac:dyDescent="0.3">
      <c r="AF8403" s="19"/>
    </row>
    <row r="8404" spans="32:32" x14ac:dyDescent="0.3">
      <c r="AF8404" s="19"/>
    </row>
    <row r="8405" spans="32:32" x14ac:dyDescent="0.3">
      <c r="AF8405" s="19"/>
    </row>
    <row r="8406" spans="32:32" x14ac:dyDescent="0.3">
      <c r="AF8406" s="19"/>
    </row>
    <row r="8407" spans="32:32" x14ac:dyDescent="0.3">
      <c r="AF8407" s="19"/>
    </row>
    <row r="8408" spans="32:32" x14ac:dyDescent="0.3">
      <c r="AF8408" s="19"/>
    </row>
    <row r="8409" spans="32:32" x14ac:dyDescent="0.3">
      <c r="AF8409" s="19"/>
    </row>
    <row r="8410" spans="32:32" x14ac:dyDescent="0.3">
      <c r="AF8410" s="19"/>
    </row>
    <row r="8411" spans="32:32" x14ac:dyDescent="0.3">
      <c r="AF8411" s="19"/>
    </row>
    <row r="8425" spans="32:32" x14ac:dyDescent="0.3">
      <c r="AF8425" s="19"/>
    </row>
    <row r="8426" spans="32:32" x14ac:dyDescent="0.3">
      <c r="AF8426" s="19"/>
    </row>
    <row r="8427" spans="32:32" x14ac:dyDescent="0.3">
      <c r="AF8427" s="19"/>
    </row>
    <row r="8428" spans="32:32" x14ac:dyDescent="0.3">
      <c r="AF8428" s="19"/>
    </row>
    <row r="8429" spans="32:32" x14ac:dyDescent="0.3">
      <c r="AF8429" s="19"/>
    </row>
    <row r="8430" spans="32:32" x14ac:dyDescent="0.3">
      <c r="AF8430" s="19"/>
    </row>
    <row r="8431" spans="32:32" x14ac:dyDescent="0.3">
      <c r="AF8431" s="19"/>
    </row>
    <row r="8432" spans="32:32" x14ac:dyDescent="0.3">
      <c r="AF8432" s="19"/>
    </row>
    <row r="8447" spans="32:32" x14ac:dyDescent="0.3">
      <c r="AF8447" s="19"/>
    </row>
    <row r="8448" spans="32:32" x14ac:dyDescent="0.3">
      <c r="AF8448" s="19"/>
    </row>
    <row r="8449" spans="32:32" x14ac:dyDescent="0.3">
      <c r="AF8449" s="19"/>
    </row>
    <row r="8450" spans="32:32" x14ac:dyDescent="0.3">
      <c r="AF8450" s="19"/>
    </row>
    <row r="8451" spans="32:32" x14ac:dyDescent="0.3">
      <c r="AF8451" s="19"/>
    </row>
    <row r="8452" spans="32:32" x14ac:dyDescent="0.3">
      <c r="AF8452" s="19"/>
    </row>
    <row r="8453" spans="32:32" x14ac:dyDescent="0.3">
      <c r="AF8453" s="19"/>
    </row>
    <row r="8454" spans="32:32" x14ac:dyDescent="0.3">
      <c r="AF8454" s="19"/>
    </row>
    <row r="8468" spans="32:32" x14ac:dyDescent="0.3">
      <c r="AF8468" s="19"/>
    </row>
    <row r="8469" spans="32:32" x14ac:dyDescent="0.3">
      <c r="AF8469" s="19"/>
    </row>
    <row r="8470" spans="32:32" x14ac:dyDescent="0.3">
      <c r="AF8470" s="19"/>
    </row>
    <row r="8471" spans="32:32" x14ac:dyDescent="0.3">
      <c r="AF8471" s="19"/>
    </row>
    <row r="8472" spans="32:32" x14ac:dyDescent="0.3">
      <c r="AF8472" s="19"/>
    </row>
    <row r="8473" spans="32:32" x14ac:dyDescent="0.3">
      <c r="AF8473" s="19"/>
    </row>
    <row r="8474" spans="32:32" x14ac:dyDescent="0.3">
      <c r="AF8474" s="19"/>
    </row>
    <row r="8475" spans="32:32" x14ac:dyDescent="0.3">
      <c r="AF8475" s="19"/>
    </row>
    <row r="8476" spans="32:32" x14ac:dyDescent="0.3">
      <c r="AF8476" s="19"/>
    </row>
    <row r="8491" spans="32:32" x14ac:dyDescent="0.3">
      <c r="AF8491" s="19"/>
    </row>
    <row r="8492" spans="32:32" x14ac:dyDescent="0.3">
      <c r="AF8492" s="19"/>
    </row>
    <row r="8493" spans="32:32" x14ac:dyDescent="0.3">
      <c r="AF8493" s="19"/>
    </row>
    <row r="8494" spans="32:32" x14ac:dyDescent="0.3">
      <c r="AF8494" s="19"/>
    </row>
    <row r="8495" spans="32:32" x14ac:dyDescent="0.3">
      <c r="AF8495" s="19"/>
    </row>
    <row r="8496" spans="32:32" x14ac:dyDescent="0.3">
      <c r="AF8496" s="19"/>
    </row>
    <row r="8497" spans="32:32" x14ac:dyDescent="0.3">
      <c r="AF8497" s="19"/>
    </row>
    <row r="8498" spans="32:32" x14ac:dyDescent="0.3">
      <c r="AF8498" s="19"/>
    </row>
    <row r="8512" spans="32:32" x14ac:dyDescent="0.3">
      <c r="AF8512" s="19"/>
    </row>
    <row r="8513" spans="32:32" x14ac:dyDescent="0.3">
      <c r="AF8513" s="19"/>
    </row>
    <row r="8514" spans="32:32" x14ac:dyDescent="0.3">
      <c r="AF8514" s="19"/>
    </row>
    <row r="8515" spans="32:32" x14ac:dyDescent="0.3">
      <c r="AF8515" s="19"/>
    </row>
    <row r="8516" spans="32:32" x14ac:dyDescent="0.3">
      <c r="AF8516" s="19"/>
    </row>
    <row r="8517" spans="32:32" x14ac:dyDescent="0.3">
      <c r="AF8517" s="19"/>
    </row>
    <row r="8518" spans="32:32" x14ac:dyDescent="0.3">
      <c r="AF8518" s="19"/>
    </row>
    <row r="8519" spans="32:32" x14ac:dyDescent="0.3">
      <c r="AF8519" s="19"/>
    </row>
    <row r="8520" spans="32:32" x14ac:dyDescent="0.3">
      <c r="AF8520" s="19"/>
    </row>
    <row r="8534" spans="32:32" x14ac:dyDescent="0.3">
      <c r="AF8534" s="19"/>
    </row>
    <row r="8535" spans="32:32" x14ac:dyDescent="0.3">
      <c r="AF8535" s="19"/>
    </row>
    <row r="8536" spans="32:32" x14ac:dyDescent="0.3">
      <c r="AF8536" s="19"/>
    </row>
    <row r="8537" spans="32:32" x14ac:dyDescent="0.3">
      <c r="AF8537" s="19"/>
    </row>
    <row r="8538" spans="32:32" x14ac:dyDescent="0.3">
      <c r="AF8538" s="19"/>
    </row>
    <row r="8539" spans="32:32" x14ac:dyDescent="0.3">
      <c r="AF8539" s="19"/>
    </row>
    <row r="8540" spans="32:32" x14ac:dyDescent="0.3">
      <c r="AF8540" s="19"/>
    </row>
    <row r="8541" spans="32:32" x14ac:dyDescent="0.3">
      <c r="AF8541" s="19"/>
    </row>
    <row r="8556" spans="32:32" x14ac:dyDescent="0.3">
      <c r="AF8556" s="19"/>
    </row>
    <row r="8557" spans="32:32" x14ac:dyDescent="0.3">
      <c r="AF8557" s="19"/>
    </row>
    <row r="8558" spans="32:32" x14ac:dyDescent="0.3">
      <c r="AF8558" s="19"/>
    </row>
    <row r="8559" spans="32:32" x14ac:dyDescent="0.3">
      <c r="AF8559" s="19"/>
    </row>
    <row r="8560" spans="32:32" x14ac:dyDescent="0.3">
      <c r="AF8560" s="19"/>
    </row>
    <row r="8561" spans="32:32" x14ac:dyDescent="0.3">
      <c r="AF8561" s="19"/>
    </row>
    <row r="8562" spans="32:32" x14ac:dyDescent="0.3">
      <c r="AF8562" s="19"/>
    </row>
    <row r="8563" spans="32:32" x14ac:dyDescent="0.3">
      <c r="AF8563" s="19"/>
    </row>
    <row r="8576" spans="32:32" x14ac:dyDescent="0.3">
      <c r="AF8576" s="19"/>
    </row>
    <row r="8577" spans="32:32" x14ac:dyDescent="0.3">
      <c r="AF8577" s="19"/>
    </row>
    <row r="8578" spans="32:32" x14ac:dyDescent="0.3">
      <c r="AF8578" s="19"/>
    </row>
    <row r="8579" spans="32:32" x14ac:dyDescent="0.3">
      <c r="AF8579" s="19"/>
    </row>
    <row r="8580" spans="32:32" x14ac:dyDescent="0.3">
      <c r="AF8580" s="19"/>
    </row>
    <row r="8581" spans="32:32" x14ac:dyDescent="0.3">
      <c r="AF8581" s="19"/>
    </row>
    <row r="8582" spans="32:32" x14ac:dyDescent="0.3">
      <c r="AF8582" s="19"/>
    </row>
    <row r="8583" spans="32:32" x14ac:dyDescent="0.3">
      <c r="AF8583" s="19"/>
    </row>
    <row r="8584" spans="32:32" x14ac:dyDescent="0.3">
      <c r="AF8584" s="19"/>
    </row>
    <row r="8598" spans="32:32" x14ac:dyDescent="0.3">
      <c r="AF8598" s="19"/>
    </row>
    <row r="8599" spans="32:32" x14ac:dyDescent="0.3">
      <c r="AF8599" s="19"/>
    </row>
    <row r="8600" spans="32:32" x14ac:dyDescent="0.3">
      <c r="AF8600" s="19"/>
    </row>
    <row r="8601" spans="32:32" x14ac:dyDescent="0.3">
      <c r="AF8601" s="19"/>
    </row>
    <row r="8602" spans="32:32" x14ac:dyDescent="0.3">
      <c r="AF8602" s="19"/>
    </row>
    <row r="8603" spans="32:32" x14ac:dyDescent="0.3">
      <c r="AF8603" s="19"/>
    </row>
    <row r="8604" spans="32:32" x14ac:dyDescent="0.3">
      <c r="AF8604" s="19"/>
    </row>
    <row r="8605" spans="32:32" x14ac:dyDescent="0.3">
      <c r="AF8605" s="19"/>
    </row>
    <row r="8619" spans="32:32" x14ac:dyDescent="0.3">
      <c r="AF8619" s="19"/>
    </row>
    <row r="8620" spans="32:32" x14ac:dyDescent="0.3">
      <c r="AF8620" s="19"/>
    </row>
    <row r="8621" spans="32:32" x14ac:dyDescent="0.3">
      <c r="AF8621" s="19"/>
    </row>
    <row r="8622" spans="32:32" x14ac:dyDescent="0.3">
      <c r="AF8622" s="19"/>
    </row>
    <row r="8623" spans="32:32" x14ac:dyDescent="0.3">
      <c r="AF8623" s="19"/>
    </row>
    <row r="8624" spans="32:32" x14ac:dyDescent="0.3">
      <c r="AF8624" s="19"/>
    </row>
    <row r="8625" spans="32:32" x14ac:dyDescent="0.3">
      <c r="AF8625" s="19"/>
    </row>
    <row r="8626" spans="32:32" x14ac:dyDescent="0.3">
      <c r="AF8626" s="19"/>
    </row>
    <row r="8639" spans="32:32" x14ac:dyDescent="0.3">
      <c r="AF8639" s="19"/>
    </row>
    <row r="8640" spans="32:32" x14ac:dyDescent="0.3">
      <c r="AF8640" s="19"/>
    </row>
    <row r="8641" spans="32:32" x14ac:dyDescent="0.3">
      <c r="AF8641" s="19"/>
    </row>
    <row r="8642" spans="32:32" x14ac:dyDescent="0.3">
      <c r="AF8642" s="19"/>
    </row>
    <row r="8643" spans="32:32" x14ac:dyDescent="0.3">
      <c r="AF8643" s="19"/>
    </row>
    <row r="8644" spans="32:32" x14ac:dyDescent="0.3">
      <c r="AF8644" s="19"/>
    </row>
    <row r="8645" spans="32:32" x14ac:dyDescent="0.3">
      <c r="AF8645" s="19"/>
    </row>
    <row r="8646" spans="32:32" x14ac:dyDescent="0.3">
      <c r="AF8646" s="19"/>
    </row>
    <row r="8647" spans="32:32" x14ac:dyDescent="0.3">
      <c r="AF8647" s="19"/>
    </row>
    <row r="8648" spans="32:32" x14ac:dyDescent="0.3">
      <c r="AF8648" s="19"/>
    </row>
    <row r="8661" spans="32:32" x14ac:dyDescent="0.3">
      <c r="AF8661" s="19"/>
    </row>
    <row r="8662" spans="32:32" x14ac:dyDescent="0.3">
      <c r="AF8662" s="19"/>
    </row>
    <row r="8663" spans="32:32" x14ac:dyDescent="0.3">
      <c r="AF8663" s="19"/>
    </row>
    <row r="8664" spans="32:32" x14ac:dyDescent="0.3">
      <c r="AF8664" s="19"/>
    </row>
    <row r="8665" spans="32:32" x14ac:dyDescent="0.3">
      <c r="AF8665" s="19"/>
    </row>
    <row r="8666" spans="32:32" x14ac:dyDescent="0.3">
      <c r="AF8666" s="19"/>
    </row>
    <row r="8667" spans="32:32" x14ac:dyDescent="0.3">
      <c r="AF8667" s="19"/>
    </row>
    <row r="8668" spans="32:32" x14ac:dyDescent="0.3">
      <c r="AF8668" s="19"/>
    </row>
    <row r="8684" spans="32:32" x14ac:dyDescent="0.3">
      <c r="AF8684" s="19"/>
    </row>
    <row r="8685" spans="32:32" x14ac:dyDescent="0.3">
      <c r="AF8685" s="19"/>
    </row>
    <row r="8686" spans="32:32" x14ac:dyDescent="0.3">
      <c r="AF8686" s="19"/>
    </row>
    <row r="8687" spans="32:32" x14ac:dyDescent="0.3">
      <c r="AF8687" s="19"/>
    </row>
    <row r="8688" spans="32:32" x14ac:dyDescent="0.3">
      <c r="AF8688" s="19"/>
    </row>
    <row r="8689" spans="32:32" x14ac:dyDescent="0.3">
      <c r="AF8689" s="19"/>
    </row>
    <row r="8690" spans="32:32" x14ac:dyDescent="0.3">
      <c r="AF8690" s="19"/>
    </row>
    <row r="8691" spans="32:32" x14ac:dyDescent="0.3">
      <c r="AF8691" s="19"/>
    </row>
    <row r="8704" spans="32:32" x14ac:dyDescent="0.3">
      <c r="AF8704" s="19"/>
    </row>
    <row r="8705" spans="32:32" x14ac:dyDescent="0.3">
      <c r="AF8705" s="19"/>
    </row>
    <row r="8706" spans="32:32" x14ac:dyDescent="0.3">
      <c r="AF8706" s="19"/>
    </row>
    <row r="8707" spans="32:32" x14ac:dyDescent="0.3">
      <c r="AF8707" s="19"/>
    </row>
    <row r="8708" spans="32:32" x14ac:dyDescent="0.3">
      <c r="AF8708" s="19"/>
    </row>
    <row r="8709" spans="32:32" x14ac:dyDescent="0.3">
      <c r="AF8709" s="19"/>
    </row>
    <row r="8710" spans="32:32" x14ac:dyDescent="0.3">
      <c r="AF8710" s="19"/>
    </row>
    <row r="8711" spans="32:32" x14ac:dyDescent="0.3">
      <c r="AF8711" s="19"/>
    </row>
    <row r="8712" spans="32:32" x14ac:dyDescent="0.3">
      <c r="AF8712" s="19"/>
    </row>
    <row r="8713" spans="32:32" x14ac:dyDescent="0.3">
      <c r="AF8713" s="19"/>
    </row>
    <row r="8727" spans="32:32" x14ac:dyDescent="0.3">
      <c r="AF8727" s="19"/>
    </row>
    <row r="8728" spans="32:32" x14ac:dyDescent="0.3">
      <c r="AF8728" s="19"/>
    </row>
    <row r="8729" spans="32:32" x14ac:dyDescent="0.3">
      <c r="AF8729" s="19"/>
    </row>
    <row r="8730" spans="32:32" x14ac:dyDescent="0.3">
      <c r="AF8730" s="19"/>
    </row>
    <row r="8731" spans="32:32" x14ac:dyDescent="0.3">
      <c r="AF8731" s="19"/>
    </row>
    <row r="8732" spans="32:32" x14ac:dyDescent="0.3">
      <c r="AF8732" s="19"/>
    </row>
    <row r="8733" spans="32:32" x14ac:dyDescent="0.3">
      <c r="AF8733" s="19"/>
    </row>
    <row r="8734" spans="32:32" x14ac:dyDescent="0.3">
      <c r="AF8734" s="19"/>
    </row>
    <row r="8749" spans="32:32" x14ac:dyDescent="0.3">
      <c r="AF8749" s="19"/>
    </row>
    <row r="8750" spans="32:32" x14ac:dyDescent="0.3">
      <c r="AF8750" s="19"/>
    </row>
    <row r="8751" spans="32:32" x14ac:dyDescent="0.3">
      <c r="AF8751" s="19"/>
    </row>
    <row r="8752" spans="32:32" x14ac:dyDescent="0.3">
      <c r="AF8752" s="19"/>
    </row>
    <row r="8753" spans="32:32" x14ac:dyDescent="0.3">
      <c r="AF8753" s="19"/>
    </row>
    <row r="8754" spans="32:32" x14ac:dyDescent="0.3">
      <c r="AF8754" s="19"/>
    </row>
    <row r="8755" spans="32:32" x14ac:dyDescent="0.3">
      <c r="AF8755" s="19"/>
    </row>
    <row r="8756" spans="32:32" x14ac:dyDescent="0.3">
      <c r="AF8756" s="19"/>
    </row>
    <row r="8757" spans="32:32" x14ac:dyDescent="0.3">
      <c r="AF8757" s="19"/>
    </row>
    <row r="8770" spans="32:32" x14ac:dyDescent="0.3">
      <c r="AF8770" s="19"/>
    </row>
    <row r="8771" spans="32:32" x14ac:dyDescent="0.3">
      <c r="AF8771" s="19"/>
    </row>
    <row r="8772" spans="32:32" x14ac:dyDescent="0.3">
      <c r="AF8772" s="19"/>
    </row>
    <row r="8773" spans="32:32" x14ac:dyDescent="0.3">
      <c r="AF8773" s="19"/>
    </row>
    <row r="8774" spans="32:32" x14ac:dyDescent="0.3">
      <c r="AF8774" s="19"/>
    </row>
    <row r="8775" spans="32:32" x14ac:dyDescent="0.3">
      <c r="AF8775" s="19"/>
    </row>
    <row r="8776" spans="32:32" x14ac:dyDescent="0.3">
      <c r="AF8776" s="19"/>
    </row>
    <row r="8777" spans="32:32" x14ac:dyDescent="0.3">
      <c r="AF8777" s="19"/>
    </row>
    <row r="8778" spans="32:32" x14ac:dyDescent="0.3">
      <c r="AF8778" s="19"/>
    </row>
    <row r="8793" spans="32:32" x14ac:dyDescent="0.3">
      <c r="AF8793" s="19"/>
    </row>
    <row r="8794" spans="32:32" x14ac:dyDescent="0.3">
      <c r="AF8794" s="19"/>
    </row>
    <row r="8795" spans="32:32" x14ac:dyDescent="0.3">
      <c r="AF8795" s="19"/>
    </row>
    <row r="8796" spans="32:32" x14ac:dyDescent="0.3">
      <c r="AF8796" s="19"/>
    </row>
    <row r="8797" spans="32:32" x14ac:dyDescent="0.3">
      <c r="AF8797" s="19"/>
    </row>
    <row r="8798" spans="32:32" x14ac:dyDescent="0.3">
      <c r="AF8798" s="19"/>
    </row>
    <row r="8799" spans="32:32" x14ac:dyDescent="0.3">
      <c r="AF8799" s="19"/>
    </row>
    <row r="8800" spans="32:32" x14ac:dyDescent="0.3">
      <c r="AF8800" s="19"/>
    </row>
    <row r="8814" spans="32:32" x14ac:dyDescent="0.3">
      <c r="AF8814" s="19"/>
    </row>
    <row r="8815" spans="32:32" x14ac:dyDescent="0.3">
      <c r="AF8815" s="19"/>
    </row>
    <row r="8816" spans="32:32" x14ac:dyDescent="0.3">
      <c r="AF8816" s="19"/>
    </row>
    <row r="8817" spans="32:32" x14ac:dyDescent="0.3">
      <c r="AF8817" s="19"/>
    </row>
    <row r="8818" spans="32:32" x14ac:dyDescent="0.3">
      <c r="AF8818" s="19"/>
    </row>
    <row r="8819" spans="32:32" x14ac:dyDescent="0.3">
      <c r="AF8819" s="19"/>
    </row>
    <row r="8820" spans="32:32" x14ac:dyDescent="0.3">
      <c r="AF8820" s="19"/>
    </row>
    <row r="8821" spans="32:32" x14ac:dyDescent="0.3">
      <c r="AF8821" s="19"/>
    </row>
    <row r="8822" spans="32:32" x14ac:dyDescent="0.3">
      <c r="AF8822" s="19"/>
    </row>
    <row r="8835" spans="32:32" x14ac:dyDescent="0.3">
      <c r="AF8835" s="19"/>
    </row>
    <row r="8836" spans="32:32" x14ac:dyDescent="0.3">
      <c r="AF8836" s="19"/>
    </row>
    <row r="8837" spans="32:32" x14ac:dyDescent="0.3">
      <c r="AF8837" s="19"/>
    </row>
    <row r="8838" spans="32:32" x14ac:dyDescent="0.3">
      <c r="AF8838" s="19"/>
    </row>
    <row r="8839" spans="32:32" x14ac:dyDescent="0.3">
      <c r="AF8839" s="19"/>
    </row>
    <row r="8840" spans="32:32" x14ac:dyDescent="0.3">
      <c r="AF8840" s="19"/>
    </row>
    <row r="8841" spans="32:32" x14ac:dyDescent="0.3">
      <c r="AF8841" s="19"/>
    </row>
    <row r="8857" spans="32:32" x14ac:dyDescent="0.3">
      <c r="AF8857" s="19"/>
    </row>
    <row r="8858" spans="32:32" x14ac:dyDescent="0.3">
      <c r="AF8858" s="19"/>
    </row>
    <row r="8859" spans="32:32" x14ac:dyDescent="0.3">
      <c r="AF8859" s="19"/>
    </row>
    <row r="8860" spans="32:32" x14ac:dyDescent="0.3">
      <c r="AF8860" s="19"/>
    </row>
    <row r="8861" spans="32:32" x14ac:dyDescent="0.3">
      <c r="AF8861" s="19"/>
    </row>
    <row r="8862" spans="32:32" x14ac:dyDescent="0.3">
      <c r="AF8862" s="19"/>
    </row>
    <row r="8863" spans="32:32" x14ac:dyDescent="0.3">
      <c r="AF8863" s="19"/>
    </row>
    <row r="8864" spans="32:32" x14ac:dyDescent="0.3">
      <c r="AF8864" s="19"/>
    </row>
    <row r="8877" spans="32:32" x14ac:dyDescent="0.3">
      <c r="AF8877" s="19"/>
    </row>
    <row r="8878" spans="32:32" x14ac:dyDescent="0.3">
      <c r="AF8878" s="19"/>
    </row>
    <row r="8879" spans="32:32" x14ac:dyDescent="0.3">
      <c r="AF8879" s="19"/>
    </row>
    <row r="8880" spans="32:32" x14ac:dyDescent="0.3">
      <c r="AF8880" s="19"/>
    </row>
    <row r="8881" spans="32:32" x14ac:dyDescent="0.3">
      <c r="AF8881" s="19"/>
    </row>
    <row r="8882" spans="32:32" x14ac:dyDescent="0.3">
      <c r="AF8882" s="19"/>
    </row>
    <row r="8883" spans="32:32" x14ac:dyDescent="0.3">
      <c r="AF8883" s="19"/>
    </row>
    <row r="8884" spans="32:32" x14ac:dyDescent="0.3">
      <c r="AF8884" s="19"/>
    </row>
    <row r="8898" spans="32:32" x14ac:dyDescent="0.3">
      <c r="AF8898" s="19"/>
    </row>
    <row r="8899" spans="32:32" x14ac:dyDescent="0.3">
      <c r="AF8899" s="19"/>
    </row>
    <row r="8900" spans="32:32" x14ac:dyDescent="0.3">
      <c r="AF8900" s="19"/>
    </row>
    <row r="8901" spans="32:32" x14ac:dyDescent="0.3">
      <c r="AF8901" s="19"/>
    </row>
    <row r="8902" spans="32:32" x14ac:dyDescent="0.3">
      <c r="AF8902" s="19"/>
    </row>
    <row r="8903" spans="32:32" x14ac:dyDescent="0.3">
      <c r="AF8903" s="19"/>
    </row>
    <row r="8904" spans="32:32" x14ac:dyDescent="0.3">
      <c r="AF8904" s="19"/>
    </row>
    <row r="8905" spans="32:32" x14ac:dyDescent="0.3">
      <c r="AF8905" s="19"/>
    </row>
    <row r="8906" spans="32:32" x14ac:dyDescent="0.3">
      <c r="AF8906" s="19"/>
    </row>
    <row r="8919" spans="32:32" x14ac:dyDescent="0.3">
      <c r="AF8919" s="19"/>
    </row>
    <row r="8920" spans="32:32" x14ac:dyDescent="0.3">
      <c r="AF8920" s="19"/>
    </row>
    <row r="8921" spans="32:32" x14ac:dyDescent="0.3">
      <c r="AF8921" s="19"/>
    </row>
    <row r="8922" spans="32:32" x14ac:dyDescent="0.3">
      <c r="AF8922" s="19"/>
    </row>
    <row r="8923" spans="32:32" x14ac:dyDescent="0.3">
      <c r="AF8923" s="19"/>
    </row>
    <row r="8924" spans="32:32" x14ac:dyDescent="0.3">
      <c r="AF8924" s="19"/>
    </row>
    <row r="8925" spans="32:32" x14ac:dyDescent="0.3">
      <c r="AF8925" s="19"/>
    </row>
    <row r="8926" spans="32:32" x14ac:dyDescent="0.3">
      <c r="AF8926" s="19"/>
    </row>
    <row r="8941" spans="32:32" x14ac:dyDescent="0.3">
      <c r="AF8941" s="19"/>
    </row>
    <row r="8942" spans="32:32" x14ac:dyDescent="0.3">
      <c r="AF8942" s="19"/>
    </row>
    <row r="8943" spans="32:32" x14ac:dyDescent="0.3">
      <c r="AF8943" s="19"/>
    </row>
    <row r="8944" spans="32:32" x14ac:dyDescent="0.3">
      <c r="AF8944" s="19"/>
    </row>
    <row r="8945" spans="32:32" x14ac:dyDescent="0.3">
      <c r="AF8945" s="19"/>
    </row>
    <row r="8946" spans="32:32" x14ac:dyDescent="0.3">
      <c r="AF8946" s="19"/>
    </row>
    <row r="8947" spans="32:32" x14ac:dyDescent="0.3">
      <c r="AF8947" s="19"/>
    </row>
    <row r="8948" spans="32:32" x14ac:dyDescent="0.3">
      <c r="AF8948" s="19"/>
    </row>
    <row r="8949" spans="32:32" x14ac:dyDescent="0.3">
      <c r="AF8949" s="19"/>
    </row>
    <row r="8962" spans="32:32" x14ac:dyDescent="0.3">
      <c r="AF8962" s="19"/>
    </row>
    <row r="8963" spans="32:32" x14ac:dyDescent="0.3">
      <c r="AF8963" s="19"/>
    </row>
    <row r="8964" spans="32:32" x14ac:dyDescent="0.3">
      <c r="AF8964" s="19"/>
    </row>
    <row r="8965" spans="32:32" x14ac:dyDescent="0.3">
      <c r="AF8965" s="19"/>
    </row>
    <row r="8966" spans="32:32" x14ac:dyDescent="0.3">
      <c r="AF8966" s="19"/>
    </row>
    <row r="8967" spans="32:32" x14ac:dyDescent="0.3">
      <c r="AF8967" s="19"/>
    </row>
    <row r="8968" spans="32:32" x14ac:dyDescent="0.3">
      <c r="AF8968" s="19"/>
    </row>
    <row r="8969" spans="32:32" x14ac:dyDescent="0.3">
      <c r="AF8969" s="19"/>
    </row>
    <row r="8970" spans="32:32" x14ac:dyDescent="0.3">
      <c r="AF8970" s="19"/>
    </row>
    <row r="8985" spans="32:32" x14ac:dyDescent="0.3">
      <c r="AF8985" s="19"/>
    </row>
    <row r="8986" spans="32:32" x14ac:dyDescent="0.3">
      <c r="AF8986" s="19"/>
    </row>
    <row r="8987" spans="32:32" x14ac:dyDescent="0.3">
      <c r="AF8987" s="19"/>
    </row>
    <row r="8988" spans="32:32" x14ac:dyDescent="0.3">
      <c r="AF8988" s="19"/>
    </row>
    <row r="8989" spans="32:32" x14ac:dyDescent="0.3">
      <c r="AF8989" s="19"/>
    </row>
    <row r="8990" spans="32:32" x14ac:dyDescent="0.3">
      <c r="AF8990" s="19"/>
    </row>
    <row r="8991" spans="32:32" x14ac:dyDescent="0.3">
      <c r="AF8991" s="19"/>
    </row>
    <row r="8992" spans="32:32" x14ac:dyDescent="0.3">
      <c r="AF8992" s="19"/>
    </row>
    <row r="9006" spans="32:32" x14ac:dyDescent="0.3">
      <c r="AF9006" s="19"/>
    </row>
    <row r="9007" spans="32:32" x14ac:dyDescent="0.3">
      <c r="AF9007" s="19"/>
    </row>
    <row r="9008" spans="32:32" x14ac:dyDescent="0.3">
      <c r="AF9008" s="19"/>
    </row>
    <row r="9009" spans="32:32" x14ac:dyDescent="0.3">
      <c r="AF9009" s="19"/>
    </row>
    <row r="9010" spans="32:32" x14ac:dyDescent="0.3">
      <c r="AF9010" s="19"/>
    </row>
    <row r="9011" spans="32:32" x14ac:dyDescent="0.3">
      <c r="AF9011" s="19"/>
    </row>
    <row r="9012" spans="32:32" x14ac:dyDescent="0.3">
      <c r="AF9012" s="19"/>
    </row>
    <row r="9013" spans="32:32" x14ac:dyDescent="0.3">
      <c r="AF9013" s="19"/>
    </row>
    <row r="9014" spans="32:32" x14ac:dyDescent="0.3">
      <c r="AF9014" s="19"/>
    </row>
    <row r="9015" spans="32:32" x14ac:dyDescent="0.3">
      <c r="AF9015" s="19"/>
    </row>
    <row r="9028" spans="32:32" x14ac:dyDescent="0.3">
      <c r="AF9028" s="19"/>
    </row>
    <row r="9029" spans="32:32" x14ac:dyDescent="0.3">
      <c r="AF9029" s="19"/>
    </row>
    <row r="9030" spans="32:32" x14ac:dyDescent="0.3">
      <c r="AF9030" s="19"/>
    </row>
    <row r="9031" spans="32:32" x14ac:dyDescent="0.3">
      <c r="AF9031" s="19"/>
    </row>
    <row r="9032" spans="32:32" x14ac:dyDescent="0.3">
      <c r="AF9032" s="19"/>
    </row>
    <row r="9033" spans="32:32" x14ac:dyDescent="0.3">
      <c r="AF9033" s="19"/>
    </row>
    <row r="9034" spans="32:32" x14ac:dyDescent="0.3">
      <c r="AF9034" s="19"/>
    </row>
    <row r="9035" spans="32:32" x14ac:dyDescent="0.3">
      <c r="AF9035" s="19"/>
    </row>
    <row r="9051" spans="32:32" x14ac:dyDescent="0.3">
      <c r="AF9051" s="19"/>
    </row>
    <row r="9052" spans="32:32" x14ac:dyDescent="0.3">
      <c r="AF9052" s="19"/>
    </row>
    <row r="9053" spans="32:32" x14ac:dyDescent="0.3">
      <c r="AF9053" s="19"/>
    </row>
    <row r="9054" spans="32:32" x14ac:dyDescent="0.3">
      <c r="AF9054" s="19"/>
    </row>
    <row r="9055" spans="32:32" x14ac:dyDescent="0.3">
      <c r="AF9055" s="19"/>
    </row>
    <row r="9056" spans="32:32" x14ac:dyDescent="0.3">
      <c r="AF9056" s="19"/>
    </row>
    <row r="9057" spans="32:32" x14ac:dyDescent="0.3">
      <c r="AF9057" s="19"/>
    </row>
    <row r="9058" spans="32:32" x14ac:dyDescent="0.3">
      <c r="AF9058" s="19"/>
    </row>
    <row r="9071" spans="32:32" x14ac:dyDescent="0.3">
      <c r="AF9071" s="19"/>
    </row>
    <row r="9072" spans="32:32" x14ac:dyDescent="0.3">
      <c r="AF9072" s="19"/>
    </row>
    <row r="9073" spans="32:32" x14ac:dyDescent="0.3">
      <c r="AF9073" s="19"/>
    </row>
    <row r="9074" spans="32:32" x14ac:dyDescent="0.3">
      <c r="AF9074" s="19"/>
    </row>
    <row r="9075" spans="32:32" x14ac:dyDescent="0.3">
      <c r="AF9075" s="19"/>
    </row>
    <row r="9076" spans="32:32" x14ac:dyDescent="0.3">
      <c r="AF9076" s="19"/>
    </row>
    <row r="9077" spans="32:32" x14ac:dyDescent="0.3">
      <c r="AF9077" s="19"/>
    </row>
    <row r="9078" spans="32:32" x14ac:dyDescent="0.3">
      <c r="AF9078" s="19"/>
    </row>
    <row r="9079" spans="32:32" x14ac:dyDescent="0.3">
      <c r="AF9079" s="19"/>
    </row>
    <row r="9080" spans="32:32" x14ac:dyDescent="0.3">
      <c r="AF9080" s="19"/>
    </row>
    <row r="9093" spans="32:32" x14ac:dyDescent="0.3">
      <c r="AF9093" s="19"/>
    </row>
    <row r="9094" spans="32:32" x14ac:dyDescent="0.3">
      <c r="AF9094" s="19"/>
    </row>
    <row r="9095" spans="32:32" x14ac:dyDescent="0.3">
      <c r="AF9095" s="19"/>
    </row>
    <row r="9096" spans="32:32" x14ac:dyDescent="0.3">
      <c r="AF9096" s="19"/>
    </row>
    <row r="9097" spans="32:32" x14ac:dyDescent="0.3">
      <c r="AF9097" s="19"/>
    </row>
    <row r="9098" spans="32:32" x14ac:dyDescent="0.3">
      <c r="AF9098" s="19"/>
    </row>
    <row r="9099" spans="32:32" x14ac:dyDescent="0.3">
      <c r="AF9099" s="19"/>
    </row>
    <row r="9114" spans="32:32" x14ac:dyDescent="0.3">
      <c r="AF9114" s="19"/>
    </row>
    <row r="9115" spans="32:32" x14ac:dyDescent="0.3">
      <c r="AF9115" s="19"/>
    </row>
    <row r="9116" spans="32:32" x14ac:dyDescent="0.3">
      <c r="AF9116" s="19"/>
    </row>
    <row r="9117" spans="32:32" x14ac:dyDescent="0.3">
      <c r="AF9117" s="19"/>
    </row>
    <row r="9118" spans="32:32" x14ac:dyDescent="0.3">
      <c r="AF9118" s="19"/>
    </row>
    <row r="9119" spans="32:32" x14ac:dyDescent="0.3">
      <c r="AF9119" s="19"/>
    </row>
    <row r="9120" spans="32:32" x14ac:dyDescent="0.3">
      <c r="AF9120" s="19"/>
    </row>
    <row r="9121" spans="32:32" x14ac:dyDescent="0.3">
      <c r="AF9121" s="19"/>
    </row>
    <row r="9122" spans="32:32" x14ac:dyDescent="0.3">
      <c r="AF9122" s="19"/>
    </row>
    <row r="9134" spans="32:32" x14ac:dyDescent="0.3">
      <c r="AF9134" s="19"/>
    </row>
    <row r="9135" spans="32:32" x14ac:dyDescent="0.3">
      <c r="AF9135" s="19"/>
    </row>
    <row r="9136" spans="32:32" x14ac:dyDescent="0.3">
      <c r="AF9136" s="19"/>
    </row>
    <row r="9137" spans="32:32" x14ac:dyDescent="0.3">
      <c r="AF9137" s="19"/>
    </row>
    <row r="9138" spans="32:32" x14ac:dyDescent="0.3">
      <c r="AF9138" s="19"/>
    </row>
    <row r="9139" spans="32:32" x14ac:dyDescent="0.3">
      <c r="AF9139" s="19"/>
    </row>
    <row r="9140" spans="32:32" x14ac:dyDescent="0.3">
      <c r="AF9140" s="19"/>
    </row>
    <row r="9141" spans="32:32" x14ac:dyDescent="0.3">
      <c r="AF9141" s="19"/>
    </row>
    <row r="9142" spans="32:32" x14ac:dyDescent="0.3">
      <c r="AF9142" s="19"/>
    </row>
    <row r="9156" spans="32:32" x14ac:dyDescent="0.3">
      <c r="AF9156" s="19"/>
    </row>
    <row r="9157" spans="32:32" x14ac:dyDescent="0.3">
      <c r="AF9157" s="19"/>
    </row>
    <row r="9158" spans="32:32" x14ac:dyDescent="0.3">
      <c r="AF9158" s="19"/>
    </row>
    <row r="9159" spans="32:32" x14ac:dyDescent="0.3">
      <c r="AF9159" s="19"/>
    </row>
    <row r="9160" spans="32:32" x14ac:dyDescent="0.3">
      <c r="AF9160" s="19"/>
    </row>
    <row r="9161" spans="32:32" x14ac:dyDescent="0.3">
      <c r="AF9161" s="19"/>
    </row>
    <row r="9162" spans="32:32" x14ac:dyDescent="0.3">
      <c r="AF9162" s="19"/>
    </row>
    <row r="9177" spans="32:32" x14ac:dyDescent="0.3">
      <c r="AF9177" s="19"/>
    </row>
    <row r="9178" spans="32:32" x14ac:dyDescent="0.3">
      <c r="AF9178" s="19"/>
    </row>
    <row r="9179" spans="32:32" x14ac:dyDescent="0.3">
      <c r="AF9179" s="19"/>
    </row>
    <row r="9180" spans="32:32" x14ac:dyDescent="0.3">
      <c r="AF9180" s="19"/>
    </row>
    <row r="9181" spans="32:32" x14ac:dyDescent="0.3">
      <c r="AF9181" s="19"/>
    </row>
    <row r="9182" spans="32:32" x14ac:dyDescent="0.3">
      <c r="AF9182" s="19"/>
    </row>
    <row r="9183" spans="32:32" x14ac:dyDescent="0.3">
      <c r="AF9183" s="19"/>
    </row>
    <row r="9184" spans="32:32" x14ac:dyDescent="0.3">
      <c r="AF9184" s="19"/>
    </row>
    <row r="9198" spans="32:32" x14ac:dyDescent="0.3">
      <c r="AF9198" s="19"/>
    </row>
    <row r="9199" spans="32:32" x14ac:dyDescent="0.3">
      <c r="AF9199" s="19"/>
    </row>
    <row r="9200" spans="32:32" x14ac:dyDescent="0.3">
      <c r="AF9200" s="19"/>
    </row>
    <row r="9201" spans="32:32" x14ac:dyDescent="0.3">
      <c r="AF9201" s="19"/>
    </row>
    <row r="9202" spans="32:32" x14ac:dyDescent="0.3">
      <c r="AF9202" s="19"/>
    </row>
    <row r="9203" spans="32:32" x14ac:dyDescent="0.3">
      <c r="AF9203" s="19"/>
    </row>
    <row r="9204" spans="32:32" x14ac:dyDescent="0.3">
      <c r="AF9204" s="19"/>
    </row>
    <row r="9205" spans="32:32" x14ac:dyDescent="0.3">
      <c r="AF9205" s="19"/>
    </row>
    <row r="9206" spans="32:32" x14ac:dyDescent="0.3">
      <c r="AF9206" s="19"/>
    </row>
    <row r="9207" spans="32:32" x14ac:dyDescent="0.3">
      <c r="AF9207" s="19"/>
    </row>
    <row r="9220" spans="32:32" x14ac:dyDescent="0.3">
      <c r="AF9220" s="19"/>
    </row>
    <row r="9221" spans="32:32" x14ac:dyDescent="0.3">
      <c r="AF9221" s="19"/>
    </row>
    <row r="9222" spans="32:32" x14ac:dyDescent="0.3">
      <c r="AF9222" s="19"/>
    </row>
    <row r="9223" spans="32:32" x14ac:dyDescent="0.3">
      <c r="AF9223" s="19"/>
    </row>
    <row r="9224" spans="32:32" x14ac:dyDescent="0.3">
      <c r="AF9224" s="19"/>
    </row>
    <row r="9225" spans="32:32" x14ac:dyDescent="0.3">
      <c r="AF9225" s="19"/>
    </row>
    <row r="9226" spans="32:32" x14ac:dyDescent="0.3">
      <c r="AF9226" s="19"/>
    </row>
    <row r="9227" spans="32:32" x14ac:dyDescent="0.3">
      <c r="AF9227" s="19"/>
    </row>
    <row r="9243" spans="32:32" x14ac:dyDescent="0.3">
      <c r="AF9243" s="19"/>
    </row>
    <row r="9244" spans="32:32" x14ac:dyDescent="0.3">
      <c r="AF9244" s="19"/>
    </row>
    <row r="9245" spans="32:32" x14ac:dyDescent="0.3">
      <c r="AF9245" s="19"/>
    </row>
    <row r="9246" spans="32:32" x14ac:dyDescent="0.3">
      <c r="AF9246" s="19"/>
    </row>
    <row r="9247" spans="32:32" x14ac:dyDescent="0.3">
      <c r="AF9247" s="19"/>
    </row>
    <row r="9248" spans="32:32" x14ac:dyDescent="0.3">
      <c r="AF9248" s="19"/>
    </row>
    <row r="9249" spans="32:32" x14ac:dyDescent="0.3">
      <c r="AF9249" s="19"/>
    </row>
    <row r="9250" spans="32:32" x14ac:dyDescent="0.3">
      <c r="AF925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E9" sqref="E9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5" width="9.109375" style="1" customWidth="1"/>
    <col min="26" max="16384" width="9.109375" style="1"/>
  </cols>
  <sheetData>
    <row r="1" spans="2:20" x14ac:dyDescent="0.3">
      <c r="L1" s="24" t="s">
        <v>220</v>
      </c>
      <c r="M1" s="25" t="s">
        <v>221</v>
      </c>
      <c r="N1" s="25" t="s">
        <v>222</v>
      </c>
      <c r="O1" s="26" t="s">
        <v>223</v>
      </c>
      <c r="Q1" s="3" t="s">
        <v>224</v>
      </c>
      <c r="R1" s="3" t="s">
        <v>225</v>
      </c>
      <c r="S1" s="2" t="s">
        <v>226</v>
      </c>
      <c r="T1" s="3" t="s">
        <v>227</v>
      </c>
    </row>
    <row r="2" spans="2:20" x14ac:dyDescent="0.3">
      <c r="B2" s="28" t="s">
        <v>228</v>
      </c>
      <c r="C2" s="29"/>
      <c r="D2" s="29"/>
      <c r="E2" s="30"/>
      <c r="J2" s="1" t="s">
        <v>229</v>
      </c>
      <c r="L2" s="4">
        <f>Trades!P2</f>
        <v>24214</v>
      </c>
      <c r="M2" s="5">
        <f>Trades!T2</f>
        <v>2.4154983597460759E-2</v>
      </c>
      <c r="N2" s="5">
        <f>Trades!U2</f>
        <v>2.0822538799591561E-2</v>
      </c>
      <c r="O2" s="5">
        <f>Trades!W2</f>
        <v>1.7487745017332121E-2</v>
      </c>
      <c r="Q2" s="1">
        <v>0</v>
      </c>
      <c r="R2" s="1">
        <v>3</v>
      </c>
      <c r="S2" s="1">
        <f>AVERAGEIFS(Trades!W:W,Trades!N:N,"&gt;="&amp;Q2,Trades!N:N,"&lt;="&amp;R2)</f>
        <v>3.1531910093554952E-2</v>
      </c>
      <c r="T2" s="1">
        <f>COUNTIFS(Trades!N:N,"&gt;="&amp;Q2,Trades!N:N,"&lt;="&amp;R2)</f>
        <v>9</v>
      </c>
    </row>
    <row r="3" spans="2:20" x14ac:dyDescent="0.3">
      <c r="L3" s="4">
        <f>Trades!P3</f>
        <v>24606</v>
      </c>
      <c r="M3" s="5">
        <f>M2+Trades!T3</f>
        <v>6.7822223641431922E-2</v>
      </c>
      <c r="N3" s="5">
        <f>N2+Trades!U3</f>
        <v>6.1157159291379673E-2</v>
      </c>
      <c r="O3" s="5">
        <f>O2+Trades!W3</f>
        <v>5.4487571726860792E-2</v>
      </c>
      <c r="Q3" s="1">
        <v>4</v>
      </c>
      <c r="R3" s="1">
        <v>7</v>
      </c>
      <c r="S3" s="1">
        <f>AVERAGEIFS(Trades!W:W,Trades!N:N,"&gt;="&amp;Q3,Trades!N:N,"&lt;="&amp;R3)</f>
        <v>2.5899140387179213E-2</v>
      </c>
      <c r="T3" s="1">
        <f>COUNTIFS(Trades!N:N,"&gt;="&amp;Q3,Trades!N:N,"&lt;="&amp;R3)</f>
        <v>21</v>
      </c>
    </row>
    <row r="4" spans="2:20" x14ac:dyDescent="0.3">
      <c r="B4" s="1" t="s">
        <v>230</v>
      </c>
      <c r="C4" s="1" t="s">
        <v>231</v>
      </c>
      <c r="D4" s="1" t="s">
        <v>232</v>
      </c>
      <c r="E4" s="1" t="s">
        <v>233</v>
      </c>
      <c r="L4" s="4">
        <f>Trades!P4</f>
        <v>24848</v>
      </c>
      <c r="M4" s="5">
        <f>M3+Trades!T4</f>
        <v>7.2054022294906012E-2</v>
      </c>
      <c r="N4" s="5">
        <f>N3+Trades!U4</f>
        <v>6.2055967232023557E-2</v>
      </c>
      <c r="O4" s="5">
        <f>O3+Trades!W4</f>
        <v>5.2051585885245236E-2</v>
      </c>
      <c r="Q4" s="1">
        <v>8</v>
      </c>
      <c r="R4" s="1">
        <v>11</v>
      </c>
      <c r="S4" s="1">
        <f>AVERAGEIFS(Trades!W:W,Trades!N:N,"&gt;="&amp;Q4,Trades!N:N,"&lt;="&amp;R4)</f>
        <v>2.3782929059623304E-2</v>
      </c>
      <c r="T4" s="1">
        <f>COUNTIFS(Trades!N:N,"&gt;="&amp;Q4,Trades!N:N,"&lt;="&amp;R4)</f>
        <v>19</v>
      </c>
    </row>
    <row r="5" spans="2:20" x14ac:dyDescent="0.3">
      <c r="B5" s="1" t="s">
        <v>234</v>
      </c>
      <c r="C5" s="6">
        <f>SUM(Trades!T2:T9652)</f>
        <v>1.388591776403105</v>
      </c>
      <c r="D5" s="6">
        <f>SUM(Trades!U2:U9652)</f>
        <v>0.88214399902997032</v>
      </c>
      <c r="E5" s="6">
        <f>SUM(Trades!W2:W9652)</f>
        <v>0.37586230101810958</v>
      </c>
      <c r="L5" s="4">
        <f>Trades!P5</f>
        <v>24996</v>
      </c>
      <c r="M5" s="5">
        <f>M4+Trades!T5</f>
        <v>0.10989765832320822</v>
      </c>
      <c r="N5" s="5">
        <f>N4+Trades!U5</f>
        <v>9.6564378684048657E-2</v>
      </c>
      <c r="O5" s="5">
        <f>O4+Trades!W5</f>
        <v>8.322507052707015E-2</v>
      </c>
      <c r="Q5" s="1">
        <v>12</v>
      </c>
      <c r="R5" s="1">
        <v>15</v>
      </c>
      <c r="S5" s="1">
        <f>AVERAGEIFS(Trades!W:W,Trades!N:N,"&gt;="&amp;Q5,Trades!N:N,"&lt;="&amp;R5)</f>
        <v>1.4300092994346843E-2</v>
      </c>
      <c r="T5" s="1">
        <f>COUNTIFS(Trades!N:N,"&gt;="&amp;Q5,Trades!N:N,"&lt;="&amp;R5)</f>
        <v>19</v>
      </c>
    </row>
    <row r="6" spans="2:20" x14ac:dyDescent="0.3">
      <c r="B6" s="1" t="s">
        <v>235</v>
      </c>
      <c r="C6" s="6">
        <f>AVERAGE(Trades!T:T)</f>
        <v>1.0135706397102956E-2</v>
      </c>
      <c r="D6" s="6">
        <f>AVERAGE(Trades!U:U)</f>
        <v>6.4390072921895643E-3</v>
      </c>
      <c r="E6" s="6">
        <f>AVERAGE(Trades!W:W)</f>
        <v>2.7435204453876614E-3</v>
      </c>
      <c r="F6" s="7"/>
      <c r="L6" s="4">
        <f>Trades!P6</f>
        <v>25392</v>
      </c>
      <c r="M6" s="5">
        <f>M5+Trades!T6</f>
        <v>0.14071718810098172</v>
      </c>
      <c r="N6" s="5">
        <f>N5+Trades!U6</f>
        <v>0.12404061424334759</v>
      </c>
      <c r="O6" s="5">
        <f>O5+Trades!W6</f>
        <v>0.10736637927616889</v>
      </c>
      <c r="Q6" s="1">
        <v>16</v>
      </c>
      <c r="R6" s="1">
        <v>19</v>
      </c>
      <c r="S6" s="1">
        <f>AVERAGEIFS(Trades!W:W,Trades!N:N,"&gt;="&amp;Q6,Trades!N:N,"&lt;="&amp;R6)</f>
        <v>-4.5318447755517844E-3</v>
      </c>
      <c r="T6" s="1">
        <f>COUNTIFS(Trades!N:N,"&gt;="&amp;Q6,Trades!N:N,"&lt;="&amp;R6)</f>
        <v>16</v>
      </c>
    </row>
    <row r="7" spans="2:20" x14ac:dyDescent="0.3">
      <c r="B7" s="1" t="s">
        <v>236</v>
      </c>
      <c r="C7" s="6">
        <f>MEDIAN(Trades!T:T)</f>
        <v>1.178397541422541E-2</v>
      </c>
      <c r="D7" s="6">
        <f>MEDIAN(Trades!U:U)</f>
        <v>8.4181990786625725E-3</v>
      </c>
      <c r="E7" s="6">
        <f>MEDIAN(Trades!W:W)</f>
        <v>4.7335943934842181E-3</v>
      </c>
      <c r="L7" s="4">
        <f>Trades!P7</f>
        <v>25731</v>
      </c>
      <c r="M7" s="5">
        <f>M6+Trades!T7</f>
        <v>0.12499990810589964</v>
      </c>
      <c r="N7" s="5">
        <f>N6+Trades!U7</f>
        <v>0.10498528230938253</v>
      </c>
      <c r="O7" s="5">
        <f>O6+Trades!W7</f>
        <v>8.4976253559944398E-2</v>
      </c>
      <c r="Q7" s="1">
        <v>20</v>
      </c>
      <c r="R7" s="1">
        <v>23</v>
      </c>
      <c r="S7" s="1">
        <f>AVERAGEIFS(Trades!W:W,Trades!N:N,"&gt;="&amp;Q7,Trades!N:N,"&lt;="&amp;R7)</f>
        <v>-1.285790311796888E-2</v>
      </c>
      <c r="T7" s="1">
        <f>COUNTIFS(Trades!N:N,"&gt;="&amp;Q7,Trades!N:N,"&lt;="&amp;R7)</f>
        <v>24</v>
      </c>
    </row>
    <row r="8" spans="2:20" x14ac:dyDescent="0.3">
      <c r="B8" s="1" t="s">
        <v>237</v>
      </c>
      <c r="C8" s="6">
        <f>MIN(Trades!T:T)</f>
        <v>-8.7068106719013411E-2</v>
      </c>
      <c r="D8" s="6">
        <f>MIN(Trades!U:U)</f>
        <v>-9.119182242689472E-2</v>
      </c>
      <c r="E8" s="6">
        <f>MIN(Trades!W:W)</f>
        <v>-9.5289890925097653E-2</v>
      </c>
      <c r="L8" s="4">
        <f>Trades!P8</f>
        <v>25758</v>
      </c>
      <c r="M8" s="5">
        <f>M7+Trades!T8</f>
        <v>0.13581127214435745</v>
      </c>
      <c r="N8" s="5">
        <f>N7+Trades!U8</f>
        <v>0.11246473431369826</v>
      </c>
      <c r="O8" s="5">
        <f>O7+Trades!W8</f>
        <v>8.9120911782000684E-2</v>
      </c>
      <c r="Q8" s="1">
        <v>24</v>
      </c>
      <c r="R8" s="1">
        <v>27</v>
      </c>
      <c r="S8" s="1">
        <f>AVERAGEIFS(Trades!W:W,Trades!N:N,"&gt;="&amp;Q8,Trades!N:N,"&lt;="&amp;R8)</f>
        <v>-2.462431681983996E-2</v>
      </c>
      <c r="T8" s="1">
        <f>COUNTIFS(Trades!N:N,"&gt;="&amp;Q8,Trades!N:N,"&lt;="&amp;R8)</f>
        <v>15</v>
      </c>
    </row>
    <row r="9" spans="2:20" x14ac:dyDescent="0.3">
      <c r="B9" s="1" t="s">
        <v>238</v>
      </c>
      <c r="C9" s="6">
        <f>MAX(Trades!T:T)</f>
        <v>9.5582239581071954E-2</v>
      </c>
      <c r="D9" s="6">
        <f>MAX(Trades!U:U)</f>
        <v>9.1738669394877584E-2</v>
      </c>
      <c r="E9" s="6">
        <f>MAX(Trades!W:W)</f>
        <v>8.7869742136514814E-2</v>
      </c>
      <c r="L9" s="4">
        <f>Trades!P9</f>
        <v>26942</v>
      </c>
      <c r="M9" s="5">
        <f>M8+Trades!T9</f>
        <v>0.16614086503040157</v>
      </c>
      <c r="N9" s="5">
        <f>N8+Trades!U9</f>
        <v>0.13944670556770186</v>
      </c>
      <c r="O9" s="5">
        <f>O8+Trades!W9</f>
        <v>0.1127679562258041</v>
      </c>
      <c r="Q9" s="1">
        <v>28</v>
      </c>
      <c r="R9" s="1">
        <v>34</v>
      </c>
      <c r="S9" s="1">
        <f>AVERAGEIFS(Trades!W:W,Trades!N:N,"&gt;="&amp;Q9,Trades!N:N,"&lt;="&amp;R9)</f>
        <v>-1.6174125643953159E-2</v>
      </c>
      <c r="T9" s="1">
        <f>COUNTIFS(Trades!N:N,"&gt;="&amp;Q9,Trades!N:N,"&lt;="&amp;R9)</f>
        <v>8</v>
      </c>
    </row>
    <row r="10" spans="2:20" x14ac:dyDescent="0.3">
      <c r="B10" s="1" t="s">
        <v>45</v>
      </c>
      <c r="C10" s="8">
        <f>COUNTIF(Trades!T:T,"&gt;0")/(COUNTIF(Trades!T:T,"&gt;0")+COUNTIF(Trades!T:T,"&lt;0"))</f>
        <v>0.69343065693430661</v>
      </c>
      <c r="D10" s="8">
        <f>COUNTIF(Trades!U:U,"&gt;0")/(COUNTIF(Trades!U:U,"&gt;0")+COUNTIF(Trades!U:U,"&lt;0"))</f>
        <v>0.63503649635036497</v>
      </c>
      <c r="E10" s="8">
        <f>COUNTIF(Trades!W:W,"&gt;0")/(COUNTIF(Trades!W:W,"&gt;0")+COUNTIF(Trades!W:W,"&lt;0"))</f>
        <v>0.58394160583941601</v>
      </c>
      <c r="L10" s="4">
        <f>Trades!P10</f>
        <v>27332</v>
      </c>
      <c r="M10" s="5">
        <f>M9+Trades!T10</f>
        <v>0.19014346306098065</v>
      </c>
      <c r="N10" s="5">
        <f>N9+Trades!U10</f>
        <v>0.16012330455078794</v>
      </c>
      <c r="O10" s="5">
        <f>O9+Trades!W10</f>
        <v>0.13010976142663072</v>
      </c>
      <c r="Q10" s="1">
        <v>35</v>
      </c>
      <c r="R10" s="1">
        <v>40</v>
      </c>
      <c r="S10" s="1">
        <f>AVERAGEIFS(Trades!W:W,Trades!N:N,"&gt;="&amp;Q10,Trades!N:N,"&lt;="&amp;R10)</f>
        <v>-4.5173001067921034E-2</v>
      </c>
      <c r="T10" s="1">
        <f>COUNTIFS(Trades!N:N,"&gt;="&amp;Q10,Trades!N:N,"&lt;="&amp;R10)</f>
        <v>4</v>
      </c>
    </row>
    <row r="11" spans="2:20" x14ac:dyDescent="0.3">
      <c r="B11" s="9" t="s">
        <v>239</v>
      </c>
      <c r="C11" s="10">
        <f>SUMIF(Trades!T:T,"&gt;0",Trades!T:T)/ABS(SUMIF(Trades!T:T,"&lt;0",Trades!T:T))</f>
        <v>2.2631106362778444</v>
      </c>
      <c r="D11" s="10">
        <f>SUMIF(Trades!U:U,"&gt;0",Trades!U:U)/ABS(SUMIF(Trades!U:U,"&lt;0",Trades!U:U))</f>
        <v>1.694161982779016</v>
      </c>
      <c r="E11" s="10">
        <f>SUMIF(Trades!W:W,"&gt;0",Trades!W:W)/ABS(SUMIF(Trades!W:W,"&lt;0",Trades!W:W))</f>
        <v>1.255032842678677</v>
      </c>
      <c r="L11" s="4">
        <f>Trades!P11</f>
        <v>27725</v>
      </c>
      <c r="M11" s="5">
        <f>M9+Trades!T11</f>
        <v>0.1839358032954517</v>
      </c>
      <c r="N11" s="5">
        <f>N9+Trades!U11</f>
        <v>0.15388456025108035</v>
      </c>
      <c r="O11" s="5">
        <f>O9+Trades!W11</f>
        <v>0.12387088409898241</v>
      </c>
    </row>
    <row r="12" spans="2:20" x14ac:dyDescent="0.3">
      <c r="L12" s="4">
        <f>Trades!P12</f>
        <v>27924</v>
      </c>
      <c r="M12" s="5">
        <f>M11+Trades!T12</f>
        <v>0.1941326654590293</v>
      </c>
      <c r="N12" s="5">
        <f>N11+Trades!U12</f>
        <v>0.16077520885418989</v>
      </c>
      <c r="O12" s="5">
        <f>O11+Trades!W12</f>
        <v>0.12745379561951795</v>
      </c>
      <c r="Q12" s="1">
        <v>41</v>
      </c>
      <c r="R12" s="1">
        <v>47</v>
      </c>
      <c r="S12" s="1">
        <f>AVERAGEIFS(Trades!W:W,Trades!N:N,"&gt;="&amp;Q12,Trades!N:N,"&lt;="&amp;R12)</f>
        <v>-3.2076202372143321E-2</v>
      </c>
      <c r="T12" s="1">
        <f>COUNTIFS(Trades!N:N,"&gt;="&amp;Q12,Trades!N:N,"&lt;="&amp;R12)</f>
        <v>1</v>
      </c>
    </row>
    <row r="13" spans="2:20" x14ac:dyDescent="0.3">
      <c r="B13" s="1" t="s">
        <v>230</v>
      </c>
      <c r="C13" s="1" t="s">
        <v>240</v>
      </c>
      <c r="L13" s="4">
        <f>Trades!P20</f>
        <v>32055</v>
      </c>
      <c r="M13" s="5">
        <f>M12+Trades!T20</f>
        <v>0.1183425039681798</v>
      </c>
      <c r="N13" s="5">
        <f>N12+Trades!U20</f>
        <v>8.1493219068161107E-2</v>
      </c>
      <c r="O13" s="5">
        <f>O12+Trades!W20</f>
        <v>4.4694693972570559E-2</v>
      </c>
    </row>
    <row r="14" spans="2:20" x14ac:dyDescent="0.3">
      <c r="B14" s="1" t="s">
        <v>241</v>
      </c>
      <c r="C14" s="1">
        <f>COUNTA(Trades!A:A)-1</f>
        <v>137</v>
      </c>
      <c r="L14" s="4">
        <f>Trades!P13</f>
        <v>28504</v>
      </c>
      <c r="M14" s="5">
        <f>M13+Trades!T13</f>
        <v>0.15478021811961803</v>
      </c>
      <c r="N14" s="5">
        <f>N13+Trades!U13</f>
        <v>0.11462828233501429</v>
      </c>
      <c r="O14" s="5">
        <f>O13+Trades!W13</f>
        <v>7.4522020156849778E-2</v>
      </c>
    </row>
    <row r="15" spans="2:20" x14ac:dyDescent="0.3">
      <c r="B15" s="1" t="s">
        <v>242</v>
      </c>
      <c r="C15" s="1">
        <f>AVERAGE(Trades!N:N)</f>
        <v>16.321167883211679</v>
      </c>
      <c r="F15" s="11"/>
      <c r="L15" s="4">
        <f>Trades!P21</f>
        <v>32218</v>
      </c>
      <c r="M15" s="5">
        <f>M14+Trades!T21</f>
        <v>0.17693188904721063</v>
      </c>
      <c r="N15" s="5">
        <f>N14+Trades!U21</f>
        <v>0.13330444379944129</v>
      </c>
      <c r="O15" s="5">
        <f>O14+Trades!W21</f>
        <v>8.9720965193187049E-2</v>
      </c>
    </row>
    <row r="16" spans="2:20" x14ac:dyDescent="0.3">
      <c r="B16" s="1" t="s">
        <v>243</v>
      </c>
      <c r="C16" s="1">
        <f>MEDIAN(Trades!N:N)</f>
        <v>16</v>
      </c>
      <c r="L16" s="4">
        <f>Trades!P22</f>
        <v>32631</v>
      </c>
      <c r="M16" s="5">
        <f>M15+Trades!T22</f>
        <v>0.18805818047081915</v>
      </c>
      <c r="N16" s="5">
        <f>N15+Trades!U22</f>
        <v>0.14095900295651437</v>
      </c>
      <c r="O16" s="5">
        <f>O15+Trades!W22</f>
        <v>9.3898307922170424E-2</v>
      </c>
    </row>
    <row r="17" spans="2:15" x14ac:dyDescent="0.3">
      <c r="B17" s="1" t="s">
        <v>244</v>
      </c>
      <c r="C17" s="1">
        <f>MAX(Trades!N:N)</f>
        <v>48</v>
      </c>
      <c r="L17" s="4">
        <f>Trades!P23</f>
        <v>33015</v>
      </c>
      <c r="M17" s="5">
        <f>M16+Trades!T23</f>
        <v>0.1903423477228541</v>
      </c>
      <c r="N17" s="5">
        <f>N16+Trades!U23</f>
        <v>0.13975733487058431</v>
      </c>
      <c r="O17" s="5">
        <f>O16+Trades!W23</f>
        <v>8.9219527975321747E-2</v>
      </c>
    </row>
    <row r="18" spans="2:15" x14ac:dyDescent="0.3">
      <c r="L18" s="4">
        <f>Trades!P14</f>
        <v>28639</v>
      </c>
      <c r="M18" s="5">
        <f>M17+Trades!T14</f>
        <v>0.22286266485970563</v>
      </c>
      <c r="N18" s="5">
        <f>N17+Trades!U14</f>
        <v>0.16896870141174564</v>
      </c>
      <c r="O18" s="5">
        <f>O17+Trades!W14</f>
        <v>0.11512301899516948</v>
      </c>
    </row>
    <row r="19" spans="2:15" x14ac:dyDescent="0.3">
      <c r="B19" s="1" t="s">
        <v>230</v>
      </c>
      <c r="C19" s="1" t="s">
        <v>245</v>
      </c>
      <c r="D19" s="1" t="s">
        <v>246</v>
      </c>
      <c r="L19" s="4">
        <f>Trades!P15</f>
        <v>28735</v>
      </c>
      <c r="M19" s="5">
        <f>M18+Trades!T15</f>
        <v>0.21900858532311493</v>
      </c>
      <c r="N19" s="5">
        <f>N18+Trades!U15</f>
        <v>0.16180800491674166</v>
      </c>
      <c r="O19" s="5">
        <f>O18+Trades!W15</f>
        <v>0.1046544469788519</v>
      </c>
    </row>
    <row r="20" spans="2:15" x14ac:dyDescent="0.3">
      <c r="B20" s="1" t="s">
        <v>247</v>
      </c>
      <c r="C20" s="1">
        <f>AVERAGEIF(Trades!I:I,"&gt;0",Trades!I:I)</f>
        <v>4.1060706952195378</v>
      </c>
      <c r="D20" s="1">
        <f>AVERAGEIF(Trades!I:I,"&lt;0",Trades!I:I)</f>
        <v>-4.0699517521087554</v>
      </c>
      <c r="L20" s="4">
        <f>Trades!P24</f>
        <v>34564</v>
      </c>
      <c r="M20" s="5">
        <f>M19+Trades!T24</f>
        <v>0.25100157182767402</v>
      </c>
      <c r="N20" s="5">
        <f>N19+Trades!U24</f>
        <v>0.19032710885954479</v>
      </c>
      <c r="O20" s="5">
        <f>O19+Trades!W24</f>
        <v>0.12969643906073644</v>
      </c>
    </row>
    <row r="21" spans="2:15" x14ac:dyDescent="0.3">
      <c r="B21" s="1" t="s">
        <v>248</v>
      </c>
      <c r="C21" s="1">
        <f t="array" ref="C21">MEDIAN(_xlfn._xlws.FILTER(Trades!I:I,Trades!I:I&gt;0))</f>
        <v>3.9061094348266341</v>
      </c>
      <c r="D21" s="1">
        <f t="array" ref="D21">MEDIAN(_xlfn._xlws.FILTER(Trades!I:I,Trades!I:I&lt;0))</f>
        <v>-3.8781857375289528</v>
      </c>
      <c r="L21" s="4">
        <f>Trades!P25</f>
        <v>35310</v>
      </c>
      <c r="M21" s="5">
        <f>M20+Trades!T25</f>
        <v>0.31153065151430531</v>
      </c>
      <c r="N21" s="5">
        <f>N20+Trades!U25</f>
        <v>0.24737190843270424</v>
      </c>
      <c r="O21" s="5">
        <f>O20+Trades!W25</f>
        <v>0.18326402220580618</v>
      </c>
    </row>
    <row r="22" spans="2:15" x14ac:dyDescent="0.3">
      <c r="B22" s="1" t="s">
        <v>249</v>
      </c>
      <c r="C22" s="1">
        <f>_xlfn.MAXIFS(Trades!I:I,Trades!I:I,"&gt;0")</f>
        <v>5.2946421827665366</v>
      </c>
      <c r="D22" s="1">
        <f>_xlfn.MINIFS(Trades!I:I,Trades!I:I,"&lt;0")</f>
        <v>-5.2946500306393149</v>
      </c>
      <c r="L22" s="4">
        <f>Trades!P16</f>
        <v>29691</v>
      </c>
      <c r="M22" s="5">
        <f>M21+Trades!T16</f>
        <v>0.28557259849184824</v>
      </c>
      <c r="N22" s="5">
        <f>N21+Trades!U16</f>
        <v>0.21809840623266716</v>
      </c>
      <c r="O22" s="5">
        <f>O21+Trades!W16</f>
        <v>0.15068278292319512</v>
      </c>
    </row>
    <row r="23" spans="2:15" x14ac:dyDescent="0.3">
      <c r="B23" s="1" t="s">
        <v>250</v>
      </c>
      <c r="C23" s="1">
        <f>AVERAGEIF(Trades!S:S,"&gt;0",Trades!S:S)</f>
        <v>0.28568269131965784</v>
      </c>
      <c r="D23" s="1">
        <f>AVERAGEIF(Trades!S:S,"&lt;0",Trades!S:S)</f>
        <v>-0.31373434132238509</v>
      </c>
      <c r="L23" s="4">
        <f>Trades!P26</f>
        <v>35725</v>
      </c>
      <c r="M23" s="5">
        <f>M22+Trades!T26</f>
        <v>0.25803359172475709</v>
      </c>
      <c r="N23" s="5">
        <f>N22+Trades!U26</f>
        <v>0.18721437131910779</v>
      </c>
      <c r="O23" s="5">
        <f>O22+Trades!W26</f>
        <v>0.11644791902979197</v>
      </c>
    </row>
    <row r="24" spans="2:15" x14ac:dyDescent="0.3">
      <c r="B24" s="1" t="s">
        <v>251</v>
      </c>
      <c r="C24" s="1">
        <f t="array" ref="C24">MEDIAN(_xlfn._xlws.FILTER(Trades!S:S,Trades!S:S&gt;0))</f>
        <v>0.28678400683238942</v>
      </c>
      <c r="D24" s="1">
        <f t="array" ref="D24">MEDIAN(_xlfn._xlws.FILTER(Trades!S:S,Trades!S:S&lt;0))</f>
        <v>-0.32318646374739973</v>
      </c>
      <c r="L24" s="4">
        <f>Trades!P27</f>
        <v>36516</v>
      </c>
      <c r="M24" s="5">
        <f>M23+Trades!T27</f>
        <v>0.33351917525307462</v>
      </c>
      <c r="N24" s="5">
        <f>N23+Trades!U27</f>
        <v>0.25934260060055914</v>
      </c>
      <c r="O24" s="5">
        <f>O23+Trades!W27</f>
        <v>0.18522518951017763</v>
      </c>
    </row>
    <row r="25" spans="2:15" x14ac:dyDescent="0.3">
      <c r="B25" s="1" t="s">
        <v>252</v>
      </c>
      <c r="C25" s="1">
        <f>_xlfn.MAXIFS(Trades!S:S,Trades!S:S,"&gt;0")</f>
        <v>0.49471769269850158</v>
      </c>
      <c r="D25" s="1">
        <f>_xlfn.MINIFS(Trades!S:S,Trades!S:S,"&lt;0")</f>
        <v>-0.49528238982585743</v>
      </c>
      <c r="L25" s="4">
        <f>Trades!P17</f>
        <v>30065</v>
      </c>
      <c r="M25" s="5">
        <f>M24+Trades!T17</f>
        <v>0.36568895160237375</v>
      </c>
      <c r="N25" s="5">
        <f>N24+Trades!U17</f>
        <v>0.28819840774019256</v>
      </c>
      <c r="O25" s="5">
        <f>O24+Trades!W17</f>
        <v>0.21077312112849747</v>
      </c>
    </row>
    <row r="26" spans="2:15" x14ac:dyDescent="0.3">
      <c r="G26" s="12">
        <v>1</v>
      </c>
      <c r="H26" s="12" t="s">
        <v>253</v>
      </c>
      <c r="L26" s="4">
        <f>Trades!P18</f>
        <v>31227</v>
      </c>
      <c r="M26" s="5">
        <f>M25+Trades!T18</f>
        <v>0.38735212051488593</v>
      </c>
      <c r="N26" s="5">
        <f>N25+Trades!U18</f>
        <v>0.30654687535275676</v>
      </c>
      <c r="O26" s="5">
        <f>O25+Trades!W18</f>
        <v>0.22581371321974805</v>
      </c>
    </row>
    <row r="27" spans="2:15" x14ac:dyDescent="0.3">
      <c r="B27" s="1" t="s">
        <v>230</v>
      </c>
      <c r="C27" s="1" t="s">
        <v>254</v>
      </c>
      <c r="D27" s="1" t="s">
        <v>255</v>
      </c>
      <c r="E27" s="1" t="s">
        <v>256</v>
      </c>
      <c r="F27" s="1" t="s">
        <v>257</v>
      </c>
      <c r="L27" s="4">
        <f>Trades!P19</f>
        <v>31824</v>
      </c>
      <c r="M27" s="5">
        <f>M26+Trades!T19</f>
        <v>0.3843450394320243</v>
      </c>
      <c r="N27" s="5">
        <f>N26+Trades!U19</f>
        <v>0.30006232941728406</v>
      </c>
      <c r="O27" s="5">
        <f>O26+Trades!W19</f>
        <v>0.21585195085618566</v>
      </c>
    </row>
    <row r="28" spans="2:15" x14ac:dyDescent="0.3">
      <c r="B28" s="1" t="s">
        <v>258</v>
      </c>
      <c r="C28" s="1">
        <f>SUMIF(Trades!M:M,"LONG",Trades!T:T)</f>
        <v>0.83313467860962565</v>
      </c>
      <c r="D28" s="1">
        <f>SUMIF(Trades!M:M,"SHORT",Trades!T:T)</f>
        <v>0.55545709779347985</v>
      </c>
      <c r="E28" s="1">
        <f>SUMIF(Trades!O:O,"Signal",Trades!T:T)</f>
        <v>1.388591776403105</v>
      </c>
      <c r="F28" s="1">
        <f>SUMIF(Trades!O:O,"Forced",Trades!T:T)</f>
        <v>0</v>
      </c>
      <c r="L28" s="4">
        <f>Trades!P28</f>
        <v>37315</v>
      </c>
      <c r="M28" s="5">
        <f>M27+Trades!T28</f>
        <v>0.43368132684330879</v>
      </c>
      <c r="N28" s="5">
        <f>N27+Trades!U28</f>
        <v>0.34603415670422988</v>
      </c>
      <c r="O28" s="5">
        <f>O27+Trades!W28</f>
        <v>0.25847281934206578</v>
      </c>
    </row>
    <row r="29" spans="2:15" x14ac:dyDescent="0.3">
      <c r="B29" s="1" t="s">
        <v>259</v>
      </c>
      <c r="C29" s="1">
        <f>COUNTIF(Trades!M:M,"LONG")</f>
        <v>60</v>
      </c>
      <c r="D29" s="1">
        <f>COUNTIF(Trades!M:M,"SHORT")</f>
        <v>77</v>
      </c>
      <c r="E29" s="1">
        <f>COUNTIF(Trades!O:O,"Signal")</f>
        <v>137</v>
      </c>
      <c r="F29" s="1">
        <f>COUNTIF(Trades!O:O,"Forced")</f>
        <v>0</v>
      </c>
      <c r="L29" s="4">
        <f>Trades!P35</f>
        <v>39624</v>
      </c>
      <c r="M29" s="5">
        <f>M28+Trades!T35</f>
        <v>0.43411723365652566</v>
      </c>
      <c r="N29" s="5">
        <f>N28+Trades!U35</f>
        <v>0.34316461277384347</v>
      </c>
      <c r="O29" s="5">
        <f>O28+Trades!W35</f>
        <v>0.25229667553468216</v>
      </c>
    </row>
    <row r="30" spans="2:15" x14ac:dyDescent="0.3">
      <c r="L30" s="4">
        <f>Trades!P44</f>
        <v>44024</v>
      </c>
      <c r="M30" s="5">
        <f>M29+Trades!T44</f>
        <v>0.41533900372339677</v>
      </c>
      <c r="N30" s="5">
        <f>N29+Trades!U44</f>
        <v>0.32116928072494916</v>
      </c>
      <c r="O30" s="5">
        <f>O29+Trades!W44</f>
        <v>0.22708742681007715</v>
      </c>
    </row>
    <row r="31" spans="2:15" x14ac:dyDescent="0.3">
      <c r="B31" s="1" t="s">
        <v>260</v>
      </c>
      <c r="C31" s="1" t="s">
        <v>261</v>
      </c>
      <c r="D31" s="1" t="s">
        <v>45</v>
      </c>
      <c r="L31" s="4">
        <f>Trades!P52</f>
        <v>47424</v>
      </c>
      <c r="M31" s="5">
        <f>M30+Trades!T52</f>
        <v>0.42008468396673715</v>
      </c>
      <c r="N31" s="5">
        <f>N30+Trades!U52</f>
        <v>0.3218163613267056</v>
      </c>
      <c r="O31" s="5">
        <f>O30+Trades!W52</f>
        <v>0.22363643891363066</v>
      </c>
    </row>
    <row r="32" spans="2:15" x14ac:dyDescent="0.3">
      <c r="B32" s="1">
        <v>0</v>
      </c>
      <c r="C32" s="1">
        <v>3</v>
      </c>
      <c r="D32" s="1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1</v>
      </c>
      <c r="L32" s="4">
        <f>Trades!P36</f>
        <v>39854</v>
      </c>
      <c r="M32" s="5">
        <f>M31+Trades!T36</f>
        <v>0.43647185993503029</v>
      </c>
      <c r="N32" s="5">
        <f>N31+Trades!U36</f>
        <v>0.3349051214536557</v>
      </c>
      <c r="O32" s="5">
        <f>O31+Trades!W36</f>
        <v>0.23341859916358354</v>
      </c>
    </row>
    <row r="33" spans="2:26" x14ac:dyDescent="0.3">
      <c r="B33" s="1">
        <v>4</v>
      </c>
      <c r="C33" s="1">
        <v>7</v>
      </c>
      <c r="D33" s="1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1</v>
      </c>
      <c r="L33" s="4">
        <f>Trades!P45</f>
        <v>44544</v>
      </c>
      <c r="M33" s="5">
        <f>M32+Trades!T45</f>
        <v>0.47445826287338366</v>
      </c>
      <c r="N33" s="5">
        <f>N32+Trades!U45</f>
        <v>0.36968771648951815</v>
      </c>
      <c r="O33" s="5">
        <f>O32+Trades!W45</f>
        <v>0.26498727752373535</v>
      </c>
    </row>
    <row r="34" spans="2:26" x14ac:dyDescent="0.3">
      <c r="B34" s="1">
        <v>8</v>
      </c>
      <c r="C34" s="1">
        <v>11</v>
      </c>
      <c r="D34" s="1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1</v>
      </c>
      <c r="L34" s="4">
        <f>Trades!P29</f>
        <v>37701</v>
      </c>
      <c r="M34" s="5">
        <f>M33+Trades!T29</f>
        <v>0.46909498236185709</v>
      </c>
      <c r="N34" s="5">
        <f>N33+Trades!U29</f>
        <v>0.36096748138425272</v>
      </c>
      <c r="O34" s="5">
        <f>O33+Trades!W29</f>
        <v>0.25291621343862614</v>
      </c>
    </row>
    <row r="35" spans="2:26" x14ac:dyDescent="0.3">
      <c r="B35" s="1">
        <v>12</v>
      </c>
      <c r="C35" s="1">
        <v>15</v>
      </c>
      <c r="D35" s="1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0.94736842105263153</v>
      </c>
      <c r="L35" s="4">
        <f>Trades!P30</f>
        <v>38206</v>
      </c>
      <c r="M35" s="5">
        <f>M34+Trades!T30</f>
        <v>0.4685846538621623</v>
      </c>
      <c r="N35" s="5">
        <f>N34+Trades!U30</f>
        <v>0.35710469914454795</v>
      </c>
      <c r="O35" s="5">
        <f>O34+Trades!W30</f>
        <v>0.24570260221907758</v>
      </c>
    </row>
    <row r="36" spans="2:26" x14ac:dyDescent="0.3">
      <c r="B36" s="1">
        <v>16</v>
      </c>
      <c r="C36" s="1">
        <v>1000000</v>
      </c>
      <c r="D36" s="1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0.40579710144927539</v>
      </c>
      <c r="L36" s="4">
        <f>Trades!P37</f>
        <v>41036</v>
      </c>
      <c r="M36" s="5">
        <f>M35+Trades!T37</f>
        <v>0.39856519228052278</v>
      </c>
      <c r="N36" s="5">
        <f>N35+Trades!U37</f>
        <v>0.28375323199053276</v>
      </c>
      <c r="O36" s="5">
        <f>O35+Trades!W37</f>
        <v>0.16904453518806517</v>
      </c>
    </row>
    <row r="37" spans="2:26" x14ac:dyDescent="0.3">
      <c r="L37" s="4">
        <f>Trades!P53</f>
        <v>47667</v>
      </c>
      <c r="M37" s="5">
        <f>M36+Trades!T53</f>
        <v>0.38252125646575852</v>
      </c>
      <c r="N37" s="5">
        <f>N36+Trades!U53</f>
        <v>0.26358277674471065</v>
      </c>
      <c r="O37" s="5">
        <f>O36+Trades!W53</f>
        <v>0.14477603105577858</v>
      </c>
    </row>
    <row r="38" spans="2:26" x14ac:dyDescent="0.3">
      <c r="L38" s="4">
        <f>Trades!P54</f>
        <v>47973</v>
      </c>
      <c r="M38" s="5">
        <f>M37+Trades!T54</f>
        <v>0.40939771003347808</v>
      </c>
      <c r="N38" s="5">
        <f>N37+Trades!U54</f>
        <v>0.28635788872449552</v>
      </c>
      <c r="O38" s="5">
        <f>O37+Trades!W54</f>
        <v>0.163453094149099</v>
      </c>
    </row>
    <row r="39" spans="2:26" x14ac:dyDescent="0.3">
      <c r="B39" s="13" t="s">
        <v>262</v>
      </c>
      <c r="C39" s="28"/>
      <c r="D39" s="29"/>
      <c r="E39" s="30"/>
      <c r="L39" s="4">
        <f>Trades!P31</f>
        <v>38333</v>
      </c>
      <c r="M39" s="5">
        <f>M38+Trades!T31</f>
        <v>0.4070877404541412</v>
      </c>
      <c r="N39" s="5">
        <f>N38+Trades!U31</f>
        <v>0.28069768743388096</v>
      </c>
      <c r="O39" s="5">
        <f>O38+Trades!W31</f>
        <v>0.15444193405741874</v>
      </c>
    </row>
    <row r="40" spans="2:26" x14ac:dyDescent="0.3">
      <c r="B40" s="31" t="s">
        <v>263</v>
      </c>
      <c r="C40" s="32"/>
      <c r="D40" s="32"/>
      <c r="E40" s="33"/>
      <c r="L40" s="4">
        <f>Trades!P32</f>
        <v>38674</v>
      </c>
      <c r="M40" s="5">
        <f>M39+Trades!T32</f>
        <v>0.41547438680635801</v>
      </c>
      <c r="N40" s="5">
        <f>N39+Trades!U32</f>
        <v>0.28573159759513067</v>
      </c>
      <c r="O40" s="5">
        <f>O39+Trades!W32</f>
        <v>0.15612488541760278</v>
      </c>
    </row>
    <row r="41" spans="2:26" x14ac:dyDescent="0.3">
      <c r="B41" s="34"/>
      <c r="C41" s="35"/>
      <c r="D41" s="35"/>
      <c r="E41" s="36"/>
      <c r="L41" s="4">
        <f>Trades!P46</f>
        <v>44948</v>
      </c>
      <c r="M41" s="5">
        <f>M40+Trades!T46</f>
        <v>0.43741562175361515</v>
      </c>
      <c r="N41" s="5">
        <f>N40+Trades!U46</f>
        <v>0.30444689441386596</v>
      </c>
      <c r="O41" s="5">
        <f>O40+Trades!W46</f>
        <v>0.17162610835968264</v>
      </c>
    </row>
    <row r="42" spans="2:26" x14ac:dyDescent="0.3">
      <c r="B42" s="34"/>
      <c r="C42" s="35"/>
      <c r="D42" s="35"/>
      <c r="E42" s="36"/>
      <c r="L42" s="4">
        <f>Trades!P55</f>
        <v>48243</v>
      </c>
      <c r="M42" s="5">
        <f>M41+Trades!T55</f>
        <v>0.44370107523603131</v>
      </c>
      <c r="N42" s="5">
        <f>N41+Trades!U55</f>
        <v>0.30663643220244813</v>
      </c>
      <c r="O42" s="5">
        <f>O41+Trades!W55</f>
        <v>0.16971759726180033</v>
      </c>
    </row>
    <row r="43" spans="2:26" x14ac:dyDescent="0.3">
      <c r="B43" s="34"/>
      <c r="C43" s="35"/>
      <c r="D43" s="35"/>
      <c r="E43" s="36"/>
      <c r="L43" s="4">
        <f>Trades!P47</f>
        <v>45534</v>
      </c>
      <c r="M43" s="5">
        <f>M42+Trades!T47</f>
        <v>0.44869264765309708</v>
      </c>
      <c r="N43" s="5">
        <f>N42+Trades!U47</f>
        <v>0.30841541712735626</v>
      </c>
      <c r="O43" s="5">
        <f>O42+Trades!W47</f>
        <v>0.1682826655109978</v>
      </c>
    </row>
    <row r="44" spans="2:26" x14ac:dyDescent="0.3">
      <c r="B44" s="37"/>
      <c r="C44" s="38"/>
      <c r="D44" s="38"/>
      <c r="E44" s="39"/>
      <c r="L44" s="4">
        <f>Trades!P38</f>
        <v>41209</v>
      </c>
      <c r="M44" s="5">
        <f>M43+Trades!T38</f>
        <v>0.46455655289258768</v>
      </c>
      <c r="N44" s="5">
        <f>N43+Trades!U38</f>
        <v>0.32097316210411952</v>
      </c>
      <c r="O44" s="5">
        <f>O43+Trades!W38</f>
        <v>0.17753381061076384</v>
      </c>
    </row>
    <row r="45" spans="2:26" x14ac:dyDescent="0.3">
      <c r="L45" s="4">
        <f>Trades!P48</f>
        <v>45725</v>
      </c>
      <c r="M45" s="5">
        <f>M44+Trades!T48</f>
        <v>0.49941286698195436</v>
      </c>
      <c r="N45" s="5">
        <f>N44+Trades!U48</f>
        <v>0.3526053450863888</v>
      </c>
      <c r="O45" s="5">
        <f>O44+Trades!W48</f>
        <v>0.20595207691732245</v>
      </c>
    </row>
    <row r="46" spans="2:26" x14ac:dyDescent="0.3">
      <c r="G46" s="12">
        <v>2</v>
      </c>
      <c r="H46" s="12" t="s">
        <v>264</v>
      </c>
      <c r="L46" s="4">
        <f>Trades!P39</f>
        <v>41414</v>
      </c>
      <c r="M46" s="5">
        <f>M45+Trades!T39</f>
        <v>0.54392988200793613</v>
      </c>
      <c r="N46" s="5">
        <f>N45+Trades!U39</f>
        <v>0.39382103112245709</v>
      </c>
      <c r="O46" s="5">
        <f>O45+Trades!W39</f>
        <v>0.24386116307639355</v>
      </c>
      <c r="Y46" s="12">
        <v>3</v>
      </c>
      <c r="Z46" s="12" t="s">
        <v>265</v>
      </c>
    </row>
    <row r="47" spans="2:26" x14ac:dyDescent="0.3">
      <c r="L47" s="4">
        <f>Trades!P40</f>
        <v>41825</v>
      </c>
      <c r="M47" s="5">
        <f>M46+Trades!T40</f>
        <v>0.52143744434607231</v>
      </c>
      <c r="N47" s="5">
        <f>N46+Trades!U40</f>
        <v>0.36803802848773559</v>
      </c>
      <c r="O47" s="5">
        <f>O46+Trades!W40</f>
        <v>0.21477142189851683</v>
      </c>
    </row>
    <row r="48" spans="2:26" x14ac:dyDescent="0.3">
      <c r="L48" s="4">
        <f>Trades!P56</f>
        <v>48835</v>
      </c>
      <c r="M48" s="5">
        <f>M47+Trades!T56</f>
        <v>0.56420742372785182</v>
      </c>
      <c r="N48" s="5">
        <f>N47+Trades!U56</f>
        <v>0.4067173019437732</v>
      </c>
      <c r="O48" s="5">
        <f>O47+Trades!W56</f>
        <v>0.24935262685635154</v>
      </c>
    </row>
    <row r="49" spans="3:15" x14ac:dyDescent="0.3">
      <c r="L49" s="4">
        <f>Trades!P49</f>
        <v>45815</v>
      </c>
      <c r="M49" s="5">
        <f>M48+Trades!T49</f>
        <v>0.5759913991420772</v>
      </c>
      <c r="N49" s="5">
        <f>N48+Trades!U49</f>
        <v>0.41528667165095379</v>
      </c>
      <c r="O49" s="5">
        <f>O48+Trades!W49</f>
        <v>0.25470807988782146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>
        <f>Trades!P57</f>
        <v>49254</v>
      </c>
      <c r="M50" s="5">
        <f>M49+Trades!T57</f>
        <v>0.51955842316950429</v>
      </c>
      <c r="N50" s="5">
        <f>N49+Trades!U57</f>
        <v>0.3547546113113248</v>
      </c>
      <c r="O50" s="5">
        <f>O49+Trades!W57</f>
        <v>0.19007797066172799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>
        <f>Trades!P50</f>
        <v>46118</v>
      </c>
      <c r="M51" s="5">
        <f>M50+Trades!T50</f>
        <v>0.50067164709025613</v>
      </c>
      <c r="N51" s="5">
        <f>N50+Trades!U50</f>
        <v>0.33265426430835704</v>
      </c>
      <c r="O51" s="5">
        <f>O50+Trades!W50</f>
        <v>0.16476354978210481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>
        <f>Trades!P58</f>
        <v>49618</v>
      </c>
      <c r="M52" s="5">
        <f>M51+Trades!T58</f>
        <v>0.53967356336194805</v>
      </c>
      <c r="N52" s="5">
        <f>N51+Trades!U58</f>
        <v>0.36756667137794102</v>
      </c>
      <c r="O52" s="5">
        <f>O51+Trades!W58</f>
        <v>0.19557790796522431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>
        <f>Trades!P33</f>
        <v>39068</v>
      </c>
      <c r="M53" s="5">
        <f>M52+Trades!T33</f>
        <v>0.55562538683900498</v>
      </c>
      <c r="N53" s="5">
        <f>N52+Trades!U33</f>
        <v>0.38016884165599835</v>
      </c>
      <c r="O53" s="5">
        <f>O52+Trades!W33</f>
        <v>0.20482924926343782</v>
      </c>
    </row>
    <row r="54" spans="3:15" x14ac:dyDescent="0.3">
      <c r="L54" s="4">
        <f>Trades!P41</f>
        <v>42181</v>
      </c>
      <c r="M54" s="5">
        <f>M53+Trades!T41</f>
        <v>0.58842630858603828</v>
      </c>
      <c r="N54" s="5">
        <f>N53+Trades!U41</f>
        <v>0.40965953729340593</v>
      </c>
      <c r="O54" s="5">
        <f>O53+Trades!W41</f>
        <v>0.23101320635769021</v>
      </c>
    </row>
    <row r="55" spans="3:15" x14ac:dyDescent="0.3">
      <c r="L55" s="4">
        <f>Trades!P59</f>
        <v>50031</v>
      </c>
      <c r="M55" s="5">
        <f>M54+Trades!T59</f>
        <v>0.50135820186702484</v>
      </c>
      <c r="N55" s="5">
        <f>N54+Trades!U59</f>
        <v>0.31846771486651121</v>
      </c>
      <c r="O55" s="5">
        <f>O54+Trades!W59</f>
        <v>0.13572331543259256</v>
      </c>
    </row>
    <row r="56" spans="3:15" x14ac:dyDescent="0.3">
      <c r="L56" s="4">
        <f>Trades!P51</f>
        <v>47299</v>
      </c>
      <c r="M56" s="5">
        <f>M55+Trades!T51</f>
        <v>0.48588941908593219</v>
      </c>
      <c r="N56" s="5">
        <f>N55+Trades!U51</f>
        <v>0.29978319743817655</v>
      </c>
      <c r="O56" s="5">
        <f>O55+Trades!W51</f>
        <v>0.11382472412760244</v>
      </c>
    </row>
    <row r="57" spans="3:15" x14ac:dyDescent="0.3">
      <c r="L57" s="4">
        <f>Trades!P60</f>
        <v>50395</v>
      </c>
      <c r="M57" s="5">
        <f>M56+Trades!T60</f>
        <v>0.52222825906973147</v>
      </c>
      <c r="N57" s="5">
        <f>N56+Trades!U60</f>
        <v>0.33202758145031419</v>
      </c>
      <c r="O57" s="5">
        <f>O56+Trades!W60</f>
        <v>0.14197105925327563</v>
      </c>
    </row>
    <row r="58" spans="3:15" x14ac:dyDescent="0.3">
      <c r="L58" s="4">
        <f>Trades!P42</f>
        <v>43338</v>
      </c>
      <c r="M58" s="5">
        <f>M57+Trades!T42</f>
        <v>0.53357426331348157</v>
      </c>
      <c r="N58" s="5">
        <f>N57+Trades!U42</f>
        <v>0.34006777572079561</v>
      </c>
      <c r="O58" s="5">
        <f>O57+Trades!W42</f>
        <v>0.14670465364675986</v>
      </c>
    </row>
    <row r="59" spans="3:15" x14ac:dyDescent="0.3">
      <c r="L59" s="4">
        <f>Trades!P61</f>
        <v>50810</v>
      </c>
      <c r="M59" s="5">
        <f>M58+Trades!T61</f>
        <v>0.51689123661683556</v>
      </c>
      <c r="N59" s="5">
        <f>N58+Trades!U61</f>
        <v>0.3192911231867821</v>
      </c>
      <c r="O59" s="5">
        <f>O58+Trades!W61</f>
        <v>0.1218299326145434</v>
      </c>
    </row>
    <row r="60" spans="3:15" x14ac:dyDescent="0.3">
      <c r="L60" s="4">
        <f>Trades!P34</f>
        <v>39472</v>
      </c>
      <c r="M60" s="5">
        <f>M59+Trades!T34</f>
        <v>0.51578219735405029</v>
      </c>
      <c r="N60" s="5">
        <f>N59+Trades!U34</f>
        <v>0.31483767508290988</v>
      </c>
      <c r="O60" s="5">
        <f>O59+Trades!W34</f>
        <v>0.11402552570960547</v>
      </c>
    </row>
    <row r="61" spans="3:15" x14ac:dyDescent="0.3">
      <c r="L61" s="4">
        <f>Trades!P43</f>
        <v>43524</v>
      </c>
      <c r="M61" s="5">
        <f>M60+Trades!T43</f>
        <v>0.52975855500610958</v>
      </c>
      <c r="N61" s="5">
        <f>N60+Trades!U43</f>
        <v>0.32560156353247793</v>
      </c>
      <c r="O61" s="5">
        <f>O60+Trades!W43</f>
        <v>0.12157549748346286</v>
      </c>
    </row>
    <row r="62" spans="3:15" x14ac:dyDescent="0.3">
      <c r="L62" s="4">
        <f>Trades!P62</f>
        <v>51195</v>
      </c>
      <c r="M62" s="5">
        <f>M61+Trades!T62</f>
        <v>0.49312368039461751</v>
      </c>
      <c r="N62" s="5">
        <f>N61+Trades!U62</f>
        <v>0.28488747005215664</v>
      </c>
      <c r="O62" s="5">
        <f>O61+Trades!W62</f>
        <v>7.6763335504938607E-2</v>
      </c>
    </row>
    <row r="63" spans="3:15" x14ac:dyDescent="0.3">
      <c r="L63" s="4">
        <f>Trades!P63</f>
        <v>51324</v>
      </c>
      <c r="M63" s="5">
        <f>M62+Trades!T63</f>
        <v>0.50204586114949279</v>
      </c>
      <c r="N63" s="5">
        <f>N62+Trades!U63</f>
        <v>0.28979524063477657</v>
      </c>
      <c r="O63" s="5">
        <f>O62+Trades!W63</f>
        <v>7.7650810092329992E-2</v>
      </c>
    </row>
    <row r="64" spans="3:15" x14ac:dyDescent="0.3">
      <c r="L64" s="4">
        <f>Trades!P74</f>
        <v>56647</v>
      </c>
      <c r="M64" s="5">
        <f>M63+Trades!T74</f>
        <v>0.52897177857679989</v>
      </c>
      <c r="N64" s="5">
        <f>N63+Trades!U74</f>
        <v>0.3127886254679032</v>
      </c>
      <c r="O64" s="5">
        <f>O63+Trades!W74</f>
        <v>9.6706645323345025E-2</v>
      </c>
    </row>
    <row r="65" spans="12:15" x14ac:dyDescent="0.3">
      <c r="L65" s="4">
        <f>Trades!P85</f>
        <v>61358</v>
      </c>
      <c r="M65" s="5">
        <f>M64+Trades!T85</f>
        <v>0.54013033740162342</v>
      </c>
      <c r="N65" s="5">
        <f>N64+Trades!U85</f>
        <v>0.32032027371213584</v>
      </c>
      <c r="O65" s="5">
        <f>O64+Trades!W85</f>
        <v>0.10060936235661251</v>
      </c>
    </row>
    <row r="66" spans="12:15" x14ac:dyDescent="0.3">
      <c r="L66" s="4">
        <f>Trades!P75</f>
        <v>57049</v>
      </c>
      <c r="M66" s="5">
        <f>M65+Trades!T75</f>
        <v>0.54344737071671556</v>
      </c>
      <c r="N66" s="5">
        <f>N65+Trades!U75</f>
        <v>0.31969640924257114</v>
      </c>
      <c r="O66" s="5">
        <f>O65+Trades!W75</f>
        <v>9.6047948284936249E-2</v>
      </c>
    </row>
    <row r="67" spans="12:15" x14ac:dyDescent="0.3">
      <c r="L67" s="4">
        <f>Trades!P64</f>
        <v>51579</v>
      </c>
      <c r="M67" s="5">
        <f>M66+Trades!T64</f>
        <v>0.56103303170199237</v>
      </c>
      <c r="N67" s="5">
        <f>N66+Trades!U64</f>
        <v>0.33325975998886559</v>
      </c>
      <c r="O67" s="5">
        <f>O66+Trades!W64</f>
        <v>0.10559100303600219</v>
      </c>
    </row>
    <row r="68" spans="12:15" x14ac:dyDescent="0.3">
      <c r="L68" s="4">
        <f>Trades!P86</f>
        <v>61737</v>
      </c>
      <c r="M68" s="5">
        <f>M67+Trades!T86</f>
        <v>0.60188699921211652</v>
      </c>
      <c r="N68" s="5">
        <f>N67+Trades!U86</f>
        <v>0.37044394075934939</v>
      </c>
      <c r="O68" s="5">
        <f>O67+Trades!W86</f>
        <v>0.13914625259552083</v>
      </c>
    </row>
    <row r="69" spans="12:15" x14ac:dyDescent="0.3">
      <c r="L69" s="4">
        <f>Trades!P65</f>
        <v>52356</v>
      </c>
      <c r="M69" s="5">
        <f>M68+Trades!T65</f>
        <v>0.66140079116701977</v>
      </c>
      <c r="N69" s="5">
        <f>N68+Trades!U65</f>
        <v>0.42593015922706051</v>
      </c>
      <c r="O69" s="5">
        <f>O68+Trades!W65</f>
        <v>0.19061217912679657</v>
      </c>
    </row>
    <row r="70" spans="12:15" x14ac:dyDescent="0.3">
      <c r="L70" s="4">
        <f>Trades!P76</f>
        <v>57831</v>
      </c>
      <c r="M70" s="5">
        <f>M69+Trades!T76</f>
        <v>0.69271720346612242</v>
      </c>
      <c r="N70" s="5">
        <f>N69+Trades!U76</f>
        <v>0.45331682446029237</v>
      </c>
      <c r="O70" s="5">
        <f>O69+Trades!W76</f>
        <v>0.21406129475791683</v>
      </c>
    </row>
    <row r="71" spans="12:15" x14ac:dyDescent="0.3">
      <c r="L71" s="4">
        <f>Trades!P77</f>
        <v>58222</v>
      </c>
      <c r="M71" s="5">
        <f>M70+Trades!T77</f>
        <v>0.72319272461699879</v>
      </c>
      <c r="N71" s="5">
        <f>N70+Trades!U77</f>
        <v>0.47986097249100218</v>
      </c>
      <c r="O71" s="5">
        <f>O70+Trades!W77</f>
        <v>0.23666788069768435</v>
      </c>
    </row>
    <row r="72" spans="12:15" x14ac:dyDescent="0.3">
      <c r="L72" s="4">
        <f>Trades!P78</f>
        <v>58490</v>
      </c>
      <c r="M72" s="5">
        <f>M71+Trades!T78</f>
        <v>0.74389785350688653</v>
      </c>
      <c r="N72" s="5">
        <f>N71+Trades!U78</f>
        <v>0.49662982787666499</v>
      </c>
      <c r="O72" s="5">
        <f>O71+Trades!W78</f>
        <v>0.24949917399240484</v>
      </c>
    </row>
    <row r="73" spans="12:15" x14ac:dyDescent="0.3">
      <c r="L73" s="4">
        <f>Trades!P87</f>
        <v>62130</v>
      </c>
      <c r="M73" s="5">
        <f>M72+Trades!T87</f>
        <v>0.75429914333680781</v>
      </c>
      <c r="N73" s="5">
        <f>N72+Trades!U87</f>
        <v>0.50339120714588503</v>
      </c>
      <c r="O73" s="5">
        <f>O72+Trades!W87</f>
        <v>0.2526316220506597</v>
      </c>
    </row>
    <row r="74" spans="12:15" x14ac:dyDescent="0.3">
      <c r="L74" s="4">
        <f>Trades!P66</f>
        <v>53145</v>
      </c>
      <c r="M74" s="5">
        <f>M73+Trades!T66</f>
        <v>0.78940262375200299</v>
      </c>
      <c r="N74" s="5">
        <f>N73+Trades!U66</f>
        <v>0.53446706296378799</v>
      </c>
      <c r="O74" s="5">
        <f>O73+Trades!W66</f>
        <v>0.27968718187333408</v>
      </c>
    </row>
    <row r="75" spans="12:15" x14ac:dyDescent="0.3">
      <c r="L75" s="4">
        <f>Trades!P67</f>
        <v>53383</v>
      </c>
      <c r="M75" s="5">
        <f>M74+Trades!T67</f>
        <v>0.80241799491577881</v>
      </c>
      <c r="N75" s="5">
        <f>N74+Trades!U67</f>
        <v>0.54345407079452324</v>
      </c>
      <c r="O75" s="5">
        <f>O74+Trades!W67</f>
        <v>0.28465389776763395</v>
      </c>
    </row>
    <row r="76" spans="12:15" x14ac:dyDescent="0.3">
      <c r="L76" s="4">
        <f>Trades!P88</f>
        <v>62597</v>
      </c>
      <c r="M76" s="5">
        <f>M75+Trades!T88</f>
        <v>0.8145612352608862</v>
      </c>
      <c r="N76" s="5">
        <f>N75+Trades!U88</f>
        <v>0.55197214198921485</v>
      </c>
      <c r="O76" s="5">
        <f>O75+Trades!W88</f>
        <v>0.28954311197254035</v>
      </c>
    </row>
    <row r="77" spans="12:15" x14ac:dyDescent="0.3">
      <c r="L77" s="4">
        <f>Trades!P79</f>
        <v>58607</v>
      </c>
      <c r="M77" s="5">
        <f>M76+Trades!T79</f>
        <v>0.85176151595332916</v>
      </c>
      <c r="N77" s="5">
        <f>N76+Trades!U79</f>
        <v>0.58523398221508549</v>
      </c>
      <c r="O77" s="5">
        <f>O76+Trades!W79</f>
        <v>0.31886740259629937</v>
      </c>
    </row>
    <row r="78" spans="12:15" x14ac:dyDescent="0.3">
      <c r="L78" s="4">
        <f>Trades!P68</f>
        <v>53535</v>
      </c>
      <c r="M78" s="5">
        <f>M77+Trades!T68</f>
        <v>0.83540249320483773</v>
      </c>
      <c r="N78" s="5">
        <f>N77+Trades!U68</f>
        <v>0.56486689889344921</v>
      </c>
      <c r="O78" s="5">
        <f>O77+Trades!W68</f>
        <v>0.29448002327943451</v>
      </c>
    </row>
    <row r="79" spans="12:15" x14ac:dyDescent="0.3">
      <c r="L79" s="4">
        <f>Trades!P80</f>
        <v>59003</v>
      </c>
      <c r="M79" s="5">
        <f>M78+Trades!T80</f>
        <v>0.85239537585926717</v>
      </c>
      <c r="N79" s="5">
        <f>N78+Trades!U80</f>
        <v>0.57793085721089443</v>
      </c>
      <c r="O79" s="5">
        <f>O78+Trades!W80</f>
        <v>0.30360643199476811</v>
      </c>
    </row>
    <row r="80" spans="12:15" x14ac:dyDescent="0.3">
      <c r="L80" s="4">
        <f>Trades!P69</f>
        <v>53791</v>
      </c>
      <c r="M80" s="5">
        <f>M79+Trades!T69</f>
        <v>0.89007127081230997</v>
      </c>
      <c r="N80" s="5">
        <f>N79+Trades!U69</f>
        <v>0.61157814200142013</v>
      </c>
      <c r="O80" s="5">
        <f>O79+Trades!W69</f>
        <v>0.33323342079006529</v>
      </c>
    </row>
    <row r="81" spans="12:15" x14ac:dyDescent="0.3">
      <c r="L81" s="4">
        <f>Trades!P89</f>
        <v>62907</v>
      </c>
      <c r="M81" s="5">
        <f>M80+Trades!T89</f>
        <v>0.91671373754469809</v>
      </c>
      <c r="N81" s="5">
        <f>N80+Trades!U89</f>
        <v>0.63458804912002609</v>
      </c>
      <c r="O81" s="5">
        <f>O80+Trades!W89</f>
        <v>0.35261439669770606</v>
      </c>
    </row>
    <row r="82" spans="12:15" x14ac:dyDescent="0.3">
      <c r="L82" s="4">
        <f>Trades!P90</f>
        <v>63024</v>
      </c>
      <c r="M82" s="5">
        <f>M81+Trades!T90</f>
        <v>0.89326150004378269</v>
      </c>
      <c r="N82" s="5">
        <f>N81+Trades!U90</f>
        <v>0.6073282046726205</v>
      </c>
      <c r="O82" s="5">
        <f>O81+Trades!W90</f>
        <v>0.32154616998763419</v>
      </c>
    </row>
    <row r="83" spans="12:15" x14ac:dyDescent="0.3">
      <c r="L83" s="4">
        <f>Trades!P81</f>
        <v>59124</v>
      </c>
      <c r="M83" s="5">
        <f>M82+Trades!T81</f>
        <v>0.88002965557002855</v>
      </c>
      <c r="N83" s="5">
        <f>N82+Trades!U81</f>
        <v>0.59045783399621032</v>
      </c>
      <c r="O83" s="5">
        <f>O82+Trades!W81</f>
        <v>0.30104694232143875</v>
      </c>
    </row>
    <row r="84" spans="12:15" x14ac:dyDescent="0.3">
      <c r="L84" s="4">
        <f>Trades!P70</f>
        <v>53929</v>
      </c>
      <c r="M84" s="5">
        <f>M83+Trades!T70</f>
        <v>0.8596140251060751</v>
      </c>
      <c r="N84" s="5">
        <f>N83+Trades!U70</f>
        <v>0.56604297819639449</v>
      </c>
      <c r="O84" s="5">
        <f>O83+Trades!W70</f>
        <v>0.27261179458518753</v>
      </c>
    </row>
    <row r="85" spans="12:15" x14ac:dyDescent="0.3">
      <c r="L85" s="4">
        <f>Trades!P91</f>
        <v>63477</v>
      </c>
      <c r="M85" s="5">
        <f>M84+Trades!T91</f>
        <v>0.87796396256193621</v>
      </c>
      <c r="N85" s="5">
        <f>N84+Trades!U91</f>
        <v>0.58058487315428287</v>
      </c>
      <c r="O85" s="5">
        <f>O84+Trades!W91</f>
        <v>0.28334534560778973</v>
      </c>
    </row>
    <row r="86" spans="12:15" x14ac:dyDescent="0.3">
      <c r="L86" s="4">
        <f>Trades!P71</f>
        <v>54324</v>
      </c>
      <c r="M86" s="5">
        <f>M85+Trades!T71</f>
        <v>0.81553799491789059</v>
      </c>
      <c r="N86" s="5">
        <f>N85+Trades!U71</f>
        <v>0.51415247137516262</v>
      </c>
      <c r="O86" s="5">
        <f>O85+Trades!W71</f>
        <v>0.21289264783344095</v>
      </c>
    </row>
    <row r="87" spans="12:15" x14ac:dyDescent="0.3">
      <c r="L87" s="4">
        <f>Trades!P72</f>
        <v>55224</v>
      </c>
      <c r="M87" s="5">
        <f>M86+Trades!T72</f>
        <v>0.81275929377916778</v>
      </c>
      <c r="N87" s="5">
        <f>N86+Trades!U72</f>
        <v>0.50744374100292688</v>
      </c>
      <c r="O87" s="5">
        <f>O86+Trades!W72</f>
        <v>0.20224636785909361</v>
      </c>
    </row>
    <row r="88" spans="12:15" x14ac:dyDescent="0.3">
      <c r="L88" s="4">
        <f>Trades!P92</f>
        <v>64258</v>
      </c>
      <c r="M88" s="5">
        <f>M87+Trades!T92</f>
        <v>0.84268592034790168</v>
      </c>
      <c r="N88" s="5">
        <f>N87+Trades!U92</f>
        <v>0.53355475854758183</v>
      </c>
      <c r="O88" s="5">
        <f>O87+Trades!W92</f>
        <v>0.22454904146846247</v>
      </c>
    </row>
    <row r="89" spans="12:15" x14ac:dyDescent="0.3">
      <c r="L89" s="4">
        <f>Trades!P82</f>
        <v>60167</v>
      </c>
      <c r="M89" s="5">
        <f>M88+Trades!T82</f>
        <v>0.85845216579186789</v>
      </c>
      <c r="N89" s="5">
        <f>N88+Trades!U82</f>
        <v>0.5456810382299454</v>
      </c>
      <c r="O89" s="5">
        <f>O88+Trades!W82</f>
        <v>0.23304646416104075</v>
      </c>
    </row>
    <row r="90" spans="12:15" x14ac:dyDescent="0.3">
      <c r="L90" s="4">
        <f>Trades!P83</f>
        <v>60519</v>
      </c>
      <c r="M90" s="5">
        <f>M89+Trades!T83</f>
        <v>0.86650690402571517</v>
      </c>
      <c r="N90" s="5">
        <f>N89+Trades!U83</f>
        <v>0.55010779241787289</v>
      </c>
      <c r="O90" s="5">
        <f>O89+Trades!W83</f>
        <v>0.23384428713800312</v>
      </c>
    </row>
    <row r="91" spans="12:15" x14ac:dyDescent="0.3">
      <c r="L91" s="4">
        <f>Trades!P73</f>
        <v>55503</v>
      </c>
      <c r="M91" s="5">
        <f>M90+Trades!T73</f>
        <v>0.83013573526238937</v>
      </c>
      <c r="N91" s="5">
        <f>N90+Trades!U73</f>
        <v>0.50983767446276596</v>
      </c>
      <c r="O91" s="5">
        <f>O90+Trades!W73</f>
        <v>0.18963661958078459</v>
      </c>
    </row>
    <row r="92" spans="12:15" x14ac:dyDescent="0.3">
      <c r="L92" s="4">
        <f>Trades!P84</f>
        <v>60566</v>
      </c>
      <c r="M92" s="5">
        <f>M91+Trades!T84</f>
        <v>0.85680327113242705</v>
      </c>
      <c r="N92" s="5">
        <f>N91+Trades!U84</f>
        <v>0.53286935160522675</v>
      </c>
      <c r="O92" s="5">
        <f>O91+Trades!W84</f>
        <v>0.20903936551228028</v>
      </c>
    </row>
    <row r="93" spans="12:15" x14ac:dyDescent="0.3">
      <c r="L93" s="4">
        <f>Trades!P93</f>
        <v>65251</v>
      </c>
      <c r="M93" s="5">
        <f>M92+Trades!T93</f>
        <v>0.89274126943505439</v>
      </c>
      <c r="N93" s="5">
        <f>N92+Trades!U93</f>
        <v>0.56499745583136285</v>
      </c>
      <c r="O93" s="5">
        <f>O92+Trades!W93</f>
        <v>0.23735912580313032</v>
      </c>
    </row>
    <row r="94" spans="12:15" x14ac:dyDescent="0.3">
      <c r="L94" s="4">
        <f>Trades!P94</f>
        <v>65806</v>
      </c>
      <c r="M94" s="5">
        <f>M93+Trades!T94</f>
        <v>0.89496556634775204</v>
      </c>
      <c r="N94" s="5">
        <f>N93+Trades!U94</f>
        <v>0.5634142902851178</v>
      </c>
      <c r="O94" s="5">
        <f>O93+Trades!W94</f>
        <v>0.23196761632159918</v>
      </c>
    </row>
    <row r="95" spans="12:15" x14ac:dyDescent="0.3">
      <c r="L95" s="4">
        <f>Trades!P105</f>
        <v>71516</v>
      </c>
      <c r="M95" s="5">
        <f>M94+Trades!T105</f>
        <v>0.90299343386599862</v>
      </c>
      <c r="N95" s="5">
        <f>N94+Trades!U105</f>
        <v>0.56755218502736104</v>
      </c>
      <c r="O95" s="5">
        <f>O94+Trades!W105</f>
        <v>0.23221741327164885</v>
      </c>
    </row>
    <row r="96" spans="12:15" x14ac:dyDescent="0.3">
      <c r="L96" s="4">
        <f>Trades!P95</f>
        <v>66028</v>
      </c>
      <c r="M96" s="5">
        <f>M95+Trades!T95</f>
        <v>0.87471826056022017</v>
      </c>
      <c r="N96" s="5">
        <f>N95+Trades!U95</f>
        <v>0.53540712799041135</v>
      </c>
      <c r="O96" s="5">
        <f>O95+Trades!W95</f>
        <v>0.19626401229941304</v>
      </c>
    </row>
    <row r="97" spans="12:15" x14ac:dyDescent="0.3">
      <c r="L97" s="4">
        <f>Trades!P106</f>
        <v>71897</v>
      </c>
      <c r="M97" s="5">
        <f>M96+Trades!T106</f>
        <v>0.91743808968090401</v>
      </c>
      <c r="N97" s="5">
        <f>N96+Trades!U106</f>
        <v>0.57423457614688689</v>
      </c>
      <c r="O97" s="5">
        <f>O96+Trades!W106</f>
        <v>0.23120334028549128</v>
      </c>
    </row>
    <row r="98" spans="12:15" x14ac:dyDescent="0.3">
      <c r="L98" s="4">
        <f>Trades!P96</f>
        <v>67621</v>
      </c>
      <c r="M98" s="5">
        <f>M97+Trades!T96</f>
        <v>0.87811104199316758</v>
      </c>
      <c r="N98" s="5">
        <f>N97+Trades!U96</f>
        <v>0.53105329957810876</v>
      </c>
      <c r="O98" s="5">
        <f>O97+Trades!W96</f>
        <v>0.18415313645835041</v>
      </c>
    </row>
    <row r="99" spans="12:15" x14ac:dyDescent="0.3">
      <c r="L99" s="4">
        <f>Trades!P97</f>
        <v>68021</v>
      </c>
      <c r="M99" s="5">
        <f>M98+Trades!T97</f>
        <v>0.97369328157423951</v>
      </c>
      <c r="N99" s="5">
        <f>N98+Trades!U97</f>
        <v>0.62279196897298639</v>
      </c>
      <c r="O99" s="5">
        <f>O98+Trades!W97</f>
        <v>0.27202287859486524</v>
      </c>
    </row>
    <row r="100" spans="12:15" x14ac:dyDescent="0.3">
      <c r="L100" s="4">
        <f>Trades!P98</f>
        <v>68392</v>
      </c>
      <c r="M100" s="5">
        <f>M99+Trades!T98</f>
        <v>1.0562279084201005</v>
      </c>
      <c r="N100" s="5">
        <f>N99+Trades!U98</f>
        <v>0.70144703834420896</v>
      </c>
      <c r="O100" s="5">
        <f>O99+Trades!W98</f>
        <v>0.34680902070772501</v>
      </c>
    </row>
    <row r="101" spans="12:15" x14ac:dyDescent="0.3">
      <c r="L101" s="4">
        <f>Trades!P107</f>
        <v>72060</v>
      </c>
      <c r="M101" s="5">
        <f>M100+Trades!T107</f>
        <v>1.0806638485904507</v>
      </c>
      <c r="N101" s="5">
        <f>N100+Trades!U107</f>
        <v>0.72199281429697815</v>
      </c>
      <c r="O101" s="5">
        <f>O100+Trades!W107</f>
        <v>0.36346667649009684</v>
      </c>
    </row>
    <row r="102" spans="12:15" x14ac:dyDescent="0.3">
      <c r="L102" s="4">
        <f>Trades!P99</f>
        <v>69319</v>
      </c>
      <c r="M102" s="5">
        <f>M101+Trades!T99</f>
        <v>1.0974978257727641</v>
      </c>
      <c r="N102" s="5">
        <f>N101+Trades!U99</f>
        <v>0.73496055123027115</v>
      </c>
      <c r="O102" s="5">
        <f>O101+Trades!W99</f>
        <v>0.37256551238219715</v>
      </c>
    </row>
    <row r="103" spans="12:15" x14ac:dyDescent="0.3">
      <c r="L103" s="4">
        <f>Trades!P108</f>
        <v>72578</v>
      </c>
      <c r="M103" s="5">
        <f>M102+Trades!T108</f>
        <v>1.1003744073017296</v>
      </c>
      <c r="N103" s="5">
        <f>N102+Trades!U108</f>
        <v>0.73394608781470549</v>
      </c>
      <c r="O103" s="5">
        <f>O102+Trades!W108</f>
        <v>0.36766295117443792</v>
      </c>
    </row>
    <row r="104" spans="12:15" x14ac:dyDescent="0.3">
      <c r="L104" s="4">
        <f>Trades!P100</f>
        <v>69400</v>
      </c>
      <c r="M104" s="5">
        <f>M103+Trades!T100</f>
        <v>1.1168768327188732</v>
      </c>
      <c r="N104" s="5">
        <f>N103+Trades!U100</f>
        <v>0.74658177352520871</v>
      </c>
      <c r="O104" s="5">
        <f>O103+Trades!W100</f>
        <v>0.37642970962657835</v>
      </c>
    </row>
    <row r="105" spans="12:15" x14ac:dyDescent="0.3">
      <c r="L105" s="4">
        <f>Trades!P109</f>
        <v>73088</v>
      </c>
      <c r="M105" s="5">
        <f>M104+Trades!T109</f>
        <v>1.1256531513740322</v>
      </c>
      <c r="N105" s="5">
        <f>N104+Trades!U109</f>
        <v>0.75146367563244665</v>
      </c>
      <c r="O105" s="5">
        <f>O104+Trades!W109</f>
        <v>0.37742349156341898</v>
      </c>
    </row>
    <row r="106" spans="12:15" x14ac:dyDescent="0.3">
      <c r="L106" s="4">
        <f>Trades!P110</f>
        <v>74724</v>
      </c>
      <c r="M106" s="5">
        <f>M105+Trades!T110</f>
        <v>1.1298579007412415</v>
      </c>
      <c r="N106" s="5">
        <f>N105+Trades!U110</f>
        <v>0.7517417037088342</v>
      </c>
      <c r="O106" s="5">
        <f>O105+Trades!W110</f>
        <v>0.37377147442602432</v>
      </c>
    </row>
    <row r="107" spans="12:15" x14ac:dyDescent="0.3">
      <c r="L107" s="4">
        <f>Trades!P101</f>
        <v>69518</v>
      </c>
      <c r="M107" s="5">
        <f>M106+Trades!T101</f>
        <v>1.1357465304840786</v>
      </c>
      <c r="N107" s="5">
        <f>N106+Trades!U101</f>
        <v>0.75376288175620165</v>
      </c>
      <c r="O107" s="5">
        <f>O106+Trades!W101</f>
        <v>0.37192372521502903</v>
      </c>
    </row>
    <row r="108" spans="12:15" x14ac:dyDescent="0.3">
      <c r="L108" s="4">
        <f>Trades!P111</f>
        <v>75628</v>
      </c>
      <c r="M108" s="5">
        <f>M107+Trades!T111</f>
        <v>1.1357614364238373</v>
      </c>
      <c r="N108" s="5">
        <f>N107+Trades!U111</f>
        <v>0.74984150372697334</v>
      </c>
      <c r="O108" s="5">
        <f>O107+Trades!W111</f>
        <v>0.36407231596437495</v>
      </c>
    </row>
    <row r="109" spans="12:15" x14ac:dyDescent="0.3">
      <c r="L109" s="4">
        <f>Trades!P102</f>
        <v>70735</v>
      </c>
      <c r="M109" s="5">
        <f>M108+Trades!T102</f>
        <v>1.1745276492546417</v>
      </c>
      <c r="N109" s="5">
        <f>N108+Trades!U102</f>
        <v>0.78473916681870226</v>
      </c>
      <c r="O109" s="5">
        <f>O108+Trades!W102</f>
        <v>0.39510107801491112</v>
      </c>
    </row>
    <row r="110" spans="12:15" x14ac:dyDescent="0.3">
      <c r="L110" s="4">
        <f>Trades!P112</f>
        <v>75823</v>
      </c>
      <c r="M110" s="5">
        <f>M109+Trades!T112</f>
        <v>1.1718536944095181</v>
      </c>
      <c r="N110" s="5">
        <f>N109+Trades!U112</f>
        <v>0.77813953899275179</v>
      </c>
      <c r="O110" s="5">
        <f>O109+Trades!W112</f>
        <v>0.3845714049751785</v>
      </c>
    </row>
    <row r="111" spans="12:15" x14ac:dyDescent="0.3">
      <c r="L111" s="4">
        <f>Trades!P103</f>
        <v>70824</v>
      </c>
      <c r="M111" s="5">
        <f>M110+Trades!T103</f>
        <v>1.1634806107323745</v>
      </c>
      <c r="N111" s="5">
        <f>N110+Trades!U103</f>
        <v>0.7658807175820963</v>
      </c>
      <c r="O111" s="5">
        <f>O110+Trades!W103</f>
        <v>0.36842446339412566</v>
      </c>
    </row>
    <row r="112" spans="12:15" x14ac:dyDescent="0.3">
      <c r="L112" s="4">
        <f>Trades!P113</f>
        <v>77763</v>
      </c>
      <c r="M112" s="5">
        <f>M111+Trades!T113</f>
        <v>1.1890974802481284</v>
      </c>
      <c r="N112" s="5">
        <f>N111+Trades!U113</f>
        <v>0.7875653612348128</v>
      </c>
      <c r="O112" s="5">
        <f>O111+Trades!W113</f>
        <v>0.38617907582541638</v>
      </c>
    </row>
    <row r="113" spans="12:15" x14ac:dyDescent="0.3">
      <c r="L113" s="4">
        <f>Trades!P104</f>
        <v>71121</v>
      </c>
      <c r="M113" s="5">
        <f>M112+Trades!T104</f>
        <v>1.2295519790035467</v>
      </c>
      <c r="N113" s="5">
        <f>N112+Trades!U104</f>
        <v>0.82412234362876657</v>
      </c>
      <c r="O113" s="5">
        <f>O112+Trades!W104</f>
        <v>0.41884796042717659</v>
      </c>
    </row>
    <row r="114" spans="12:15" x14ac:dyDescent="0.3">
      <c r="L114" s="4">
        <f>Trades!P248</f>
        <v>0</v>
      </c>
      <c r="M114" s="5">
        <f>M113+Trades!T248</f>
        <v>1.2295519790035467</v>
      </c>
      <c r="N114" s="5">
        <f>N113+Trades!U248</f>
        <v>0.82412234362876657</v>
      </c>
      <c r="O114" s="5">
        <f>O113+Trades!W248</f>
        <v>0.41884796042717659</v>
      </c>
    </row>
    <row r="115" spans="12:15" x14ac:dyDescent="0.3">
      <c r="L115" s="4">
        <f>Trades!P114</f>
        <v>78927</v>
      </c>
      <c r="M115" s="5">
        <f>M114+Trades!T114</f>
        <v>1.3107497595519264</v>
      </c>
      <c r="N115" s="5">
        <f>N114+Trades!U114</f>
        <v>0.90134440286613671</v>
      </c>
      <c r="O115" s="5">
        <f>O114+Trades!W114</f>
        <v>0.49210350863362373</v>
      </c>
    </row>
    <row r="116" spans="12:15" x14ac:dyDescent="0.3">
      <c r="L116" s="4">
        <f>Trades!P126</f>
        <v>85194</v>
      </c>
      <c r="M116" s="5">
        <f>M115+Trades!T126</f>
        <v>1.3025771831888084</v>
      </c>
      <c r="N116" s="5">
        <f>N115+Trades!U126</f>
        <v>0.88972657252147558</v>
      </c>
      <c r="O116" s="5">
        <f>O115+Trades!W126</f>
        <v>0.47705225087606584</v>
      </c>
    </row>
    <row r="117" spans="12:15" x14ac:dyDescent="0.3">
      <c r="L117" s="4">
        <f>Trades!P137</f>
        <v>89896</v>
      </c>
      <c r="M117" s="5">
        <f>M116+Trades!T137</f>
        <v>1.2898548322503862</v>
      </c>
      <c r="N117" s="5">
        <f>N116+Trades!U137</f>
        <v>0.87259836565669513</v>
      </c>
      <c r="O117" s="5">
        <f>O116+Trades!W137</f>
        <v>0.45552018016014967</v>
      </c>
    </row>
    <row r="118" spans="12:15" x14ac:dyDescent="0.3">
      <c r="L118" s="4">
        <f>Trades!P148</f>
        <v>0</v>
      </c>
      <c r="M118" s="5">
        <f>M117+Trades!T148</f>
        <v>1.2898548322503862</v>
      </c>
      <c r="N118" s="5">
        <f>N117+Trades!U148</f>
        <v>0.87259836565669513</v>
      </c>
      <c r="O118" s="5">
        <f>O117+Trades!W148</f>
        <v>0.45552018016014967</v>
      </c>
    </row>
    <row r="119" spans="12:15" x14ac:dyDescent="0.3">
      <c r="L119" s="4">
        <f>Trades!P159</f>
        <v>0</v>
      </c>
      <c r="M119" s="5">
        <f>M118+Trades!T159</f>
        <v>1.2898548322503862</v>
      </c>
      <c r="N119" s="5">
        <f>N118+Trades!U159</f>
        <v>0.87259836565669513</v>
      </c>
      <c r="O119" s="5">
        <f>O118+Trades!W159</f>
        <v>0.45552018016014967</v>
      </c>
    </row>
    <row r="120" spans="12:15" x14ac:dyDescent="0.3">
      <c r="L120" s="4">
        <f>Trades!P166</f>
        <v>0</v>
      </c>
      <c r="M120" s="5">
        <f>M119+Trades!T166</f>
        <v>1.2898548322503862</v>
      </c>
      <c r="N120" s="5">
        <f>N119+Trades!U166</f>
        <v>0.87259836565669513</v>
      </c>
      <c r="O120" s="5">
        <f>O119+Trades!W166</f>
        <v>0.45552018016014967</v>
      </c>
    </row>
    <row r="121" spans="12:15" x14ac:dyDescent="0.3">
      <c r="L121" s="4">
        <f>Trades!P177</f>
        <v>0</v>
      </c>
      <c r="M121" s="5">
        <f>M120+Trades!T177</f>
        <v>1.2898548322503862</v>
      </c>
      <c r="N121" s="5">
        <f>N120+Trades!U177</f>
        <v>0.87259836565669513</v>
      </c>
      <c r="O121" s="5">
        <f>O120+Trades!W177</f>
        <v>0.45552018016014967</v>
      </c>
    </row>
    <row r="122" spans="12:15" x14ac:dyDescent="0.3">
      <c r="L122" s="4">
        <f>Trades!P200</f>
        <v>0</v>
      </c>
      <c r="M122" s="5">
        <f>M121+Trades!T200</f>
        <v>1.2898548322503862</v>
      </c>
      <c r="N122" s="5">
        <f>N121+Trades!U200</f>
        <v>0.87259836565669513</v>
      </c>
      <c r="O122" s="5">
        <f>O121+Trades!W200</f>
        <v>0.45552018016014967</v>
      </c>
    </row>
    <row r="123" spans="12:15" x14ac:dyDescent="0.3">
      <c r="L123" s="4">
        <f>Trades!P212</f>
        <v>0</v>
      </c>
      <c r="M123" s="5">
        <f>M122+Trades!T212</f>
        <v>1.2898548322503862</v>
      </c>
      <c r="N123" s="5">
        <f>N122+Trades!U212</f>
        <v>0.87259836565669513</v>
      </c>
      <c r="O123" s="5">
        <f>O122+Trades!W212</f>
        <v>0.45552018016014967</v>
      </c>
    </row>
    <row r="124" spans="12:15" x14ac:dyDescent="0.3">
      <c r="L124" s="4">
        <f>Trades!P226</f>
        <v>0</v>
      </c>
      <c r="M124" s="5">
        <f>M123+Trades!T226</f>
        <v>1.2898548322503862</v>
      </c>
      <c r="N124" s="5">
        <f>N123+Trades!U226</f>
        <v>0.87259836565669513</v>
      </c>
      <c r="O124" s="5">
        <f>O123+Trades!W226</f>
        <v>0.45552018016014967</v>
      </c>
    </row>
    <row r="125" spans="12:15" x14ac:dyDescent="0.3">
      <c r="L125" s="4">
        <f>Trades!P237</f>
        <v>0</v>
      </c>
      <c r="M125" s="5">
        <f>M124+Trades!T237</f>
        <v>1.2898548322503862</v>
      </c>
      <c r="N125" s="5">
        <f>N124+Trades!U237</f>
        <v>0.87259836565669513</v>
      </c>
      <c r="O125" s="5">
        <f>O124+Trades!W237</f>
        <v>0.45552018016014967</v>
      </c>
    </row>
    <row r="126" spans="12:15" x14ac:dyDescent="0.3">
      <c r="L126" s="4">
        <f>Trades!P256</f>
        <v>0</v>
      </c>
      <c r="M126" s="5">
        <f>M125+Trades!T256</f>
        <v>1.2898548322503862</v>
      </c>
      <c r="N126" s="5">
        <f>N125+Trades!U256</f>
        <v>0.87259836565669513</v>
      </c>
      <c r="O126" s="5">
        <f>O125+Trades!W256</f>
        <v>0.45552018016014967</v>
      </c>
    </row>
    <row r="127" spans="12:15" x14ac:dyDescent="0.3">
      <c r="L127" s="4">
        <f>Trades!P268</f>
        <v>0</v>
      </c>
      <c r="M127" s="5">
        <f>M126+Trades!T268</f>
        <v>1.2898548322503862</v>
      </c>
      <c r="N127" s="5">
        <f>N126+Trades!U268</f>
        <v>0.87259836565669513</v>
      </c>
      <c r="O127" s="5">
        <f>O126+Trades!W268</f>
        <v>0.45552018016014967</v>
      </c>
    </row>
    <row r="128" spans="12:15" x14ac:dyDescent="0.3">
      <c r="L128" s="4">
        <f>Trades!P281</f>
        <v>0</v>
      </c>
      <c r="M128" s="5">
        <f>M127+Trades!T281</f>
        <v>1.2898548322503862</v>
      </c>
      <c r="N128" s="5">
        <f>N127+Trades!U281</f>
        <v>0.87259836565669513</v>
      </c>
      <c r="O128" s="5">
        <f>O127+Trades!W281</f>
        <v>0.45552018016014967</v>
      </c>
    </row>
    <row r="129" spans="12:15" x14ac:dyDescent="0.3">
      <c r="L129" s="4">
        <f>Trades!P291</f>
        <v>0</v>
      </c>
      <c r="M129" s="5">
        <f>M128+Trades!T291</f>
        <v>1.2898548322503862</v>
      </c>
      <c r="N129" s="5">
        <f>N128+Trades!U291</f>
        <v>0.87259836565669513</v>
      </c>
      <c r="O129" s="5">
        <f>O128+Trades!W291</f>
        <v>0.45552018016014967</v>
      </c>
    </row>
    <row r="130" spans="12:15" x14ac:dyDescent="0.3">
      <c r="L130" s="4">
        <f>Trades!P308</f>
        <v>0</v>
      </c>
      <c r="M130" s="5">
        <f>M129+Trades!T308</f>
        <v>1.2898548322503862</v>
      </c>
      <c r="N130" s="5">
        <f>N129+Trades!U308</f>
        <v>0.87259836565669513</v>
      </c>
      <c r="O130" s="5">
        <f>O129+Trades!W308</f>
        <v>0.45552018016014967</v>
      </c>
    </row>
    <row r="131" spans="12:15" x14ac:dyDescent="0.3">
      <c r="L131" s="4">
        <f>Trades!P318</f>
        <v>0</v>
      </c>
      <c r="M131" s="5">
        <f>M130+Trades!T318</f>
        <v>1.2898548322503862</v>
      </c>
      <c r="N131" s="5">
        <f>N130+Trades!U318</f>
        <v>0.87259836565669513</v>
      </c>
      <c r="O131" s="5">
        <f>O130+Trades!W318</f>
        <v>0.45552018016014967</v>
      </c>
    </row>
    <row r="132" spans="12:15" x14ac:dyDescent="0.3">
      <c r="L132" s="4">
        <f>Trades!P327</f>
        <v>0</v>
      </c>
      <c r="M132" s="5">
        <f>M131+Trades!T327</f>
        <v>1.2898548322503862</v>
      </c>
      <c r="N132" s="5">
        <f>N131+Trades!U327</f>
        <v>0.87259836565669513</v>
      </c>
      <c r="O132" s="5">
        <f>O131+Trades!W327</f>
        <v>0.45552018016014967</v>
      </c>
    </row>
    <row r="133" spans="12:15" x14ac:dyDescent="0.3">
      <c r="L133" s="4">
        <f>Trades!P337</f>
        <v>0</v>
      </c>
      <c r="M133" s="5">
        <f>M132+Trades!T337</f>
        <v>1.2898548322503862</v>
      </c>
      <c r="N133" s="5">
        <f>N132+Trades!U337</f>
        <v>0.87259836565669513</v>
      </c>
      <c r="O133" s="5">
        <f>O132+Trades!W337</f>
        <v>0.45552018016014967</v>
      </c>
    </row>
    <row r="134" spans="12:15" x14ac:dyDescent="0.3">
      <c r="L134" s="4">
        <f>Trades!P191</f>
        <v>0</v>
      </c>
      <c r="M134" s="5">
        <f>M133+Trades!T191</f>
        <v>1.2898548322503862</v>
      </c>
      <c r="N134" s="5">
        <f>N133+Trades!U191</f>
        <v>0.87259836565669513</v>
      </c>
      <c r="O134" s="5">
        <f>O133+Trades!W191</f>
        <v>0.45552018016014967</v>
      </c>
    </row>
    <row r="135" spans="12:15" x14ac:dyDescent="0.3">
      <c r="L135" s="4">
        <f>Trades!P257</f>
        <v>0</v>
      </c>
      <c r="M135" s="5">
        <f>M134+Trades!T257</f>
        <v>1.2898548322503862</v>
      </c>
      <c r="N135" s="5">
        <f>N134+Trades!U257</f>
        <v>0.87259836565669513</v>
      </c>
      <c r="O135" s="5">
        <f>O134+Trades!W257</f>
        <v>0.45552018016014967</v>
      </c>
    </row>
    <row r="136" spans="12:15" x14ac:dyDescent="0.3">
      <c r="L136" s="4">
        <f>Trades!P213</f>
        <v>0</v>
      </c>
      <c r="M136" s="5">
        <f>M135+Trades!T213</f>
        <v>1.2898548322503862</v>
      </c>
      <c r="N136" s="5">
        <f>N135+Trades!U213</f>
        <v>0.87259836565669513</v>
      </c>
      <c r="O136" s="5">
        <f>O135+Trades!W213</f>
        <v>0.45552018016014967</v>
      </c>
    </row>
    <row r="137" spans="12:15" x14ac:dyDescent="0.3">
      <c r="L137" s="4">
        <f>Trades!P282</f>
        <v>0</v>
      </c>
      <c r="M137" s="5">
        <f>M136+Trades!T282</f>
        <v>1.2898548322503862</v>
      </c>
      <c r="N137" s="5">
        <f>N136+Trades!U282</f>
        <v>0.87259836565669513</v>
      </c>
      <c r="O137" s="5">
        <f>O136+Trades!W282</f>
        <v>0.45552018016014967</v>
      </c>
    </row>
    <row r="138" spans="12:15" x14ac:dyDescent="0.3">
      <c r="L138" s="4">
        <f>Trades!P328</f>
        <v>0</v>
      </c>
      <c r="M138" s="5">
        <f>M137+Trades!T328</f>
        <v>1.2898548322503862</v>
      </c>
      <c r="N138" s="5">
        <f>N137+Trades!U328</f>
        <v>0.87259836565669513</v>
      </c>
      <c r="O138" s="5">
        <f>O137+Trades!W328</f>
        <v>0.45552018016014967</v>
      </c>
    </row>
    <row r="139" spans="12:15" x14ac:dyDescent="0.3">
      <c r="L139" s="4">
        <f>Trades!P178</f>
        <v>0</v>
      </c>
      <c r="M139" s="5">
        <f>M138+Trades!T178</f>
        <v>1.2898548322503862</v>
      </c>
      <c r="N139" s="5">
        <f>N138+Trades!U178</f>
        <v>0.87259836565669513</v>
      </c>
      <c r="O139" s="5">
        <f>O138+Trades!W178</f>
        <v>0.45552018016014967</v>
      </c>
    </row>
    <row r="140" spans="12:15" x14ac:dyDescent="0.3">
      <c r="L140" s="4">
        <f>Trades!P127</f>
        <v>85896</v>
      </c>
      <c r="M140" s="5">
        <f>M139+Trades!T127</f>
        <v>1.2767781487348544</v>
      </c>
      <c r="N140" s="5">
        <f>N139+Trades!U127</f>
        <v>0.85608570313505117</v>
      </c>
      <c r="O140" s="5">
        <f>O139+Trades!W127</f>
        <v>0.43557409022560889</v>
      </c>
    </row>
    <row r="141" spans="12:15" x14ac:dyDescent="0.3">
      <c r="L141" s="4">
        <f>Trades!P201</f>
        <v>0</v>
      </c>
      <c r="M141" s="5">
        <f>M140+Trades!T201</f>
        <v>1.2767781487348544</v>
      </c>
      <c r="N141" s="5">
        <f>N140+Trades!U201</f>
        <v>0.85608570313505117</v>
      </c>
      <c r="O141" s="5">
        <f>O140+Trades!W201</f>
        <v>0.43557409022560889</v>
      </c>
    </row>
    <row r="142" spans="12:15" x14ac:dyDescent="0.3">
      <c r="L142" s="4">
        <f>Trades!P292</f>
        <v>0</v>
      </c>
      <c r="M142" s="5">
        <f>M141+Trades!T292</f>
        <v>1.2767781487348544</v>
      </c>
      <c r="N142" s="5">
        <f>N141+Trades!U292</f>
        <v>0.85608570313505117</v>
      </c>
      <c r="O142" s="5">
        <f>O141+Trades!W292</f>
        <v>0.43557409022560889</v>
      </c>
    </row>
    <row r="143" spans="12:15" x14ac:dyDescent="0.3">
      <c r="L143" s="4">
        <f>Trades!P293</f>
        <v>0</v>
      </c>
      <c r="M143" s="5">
        <f>M142+Trades!T293</f>
        <v>1.2767781487348544</v>
      </c>
      <c r="N143" s="5">
        <f>N142+Trades!U293</f>
        <v>0.85608570313505117</v>
      </c>
      <c r="O143" s="5">
        <f>O142+Trades!W293</f>
        <v>0.43557409022560889</v>
      </c>
    </row>
    <row r="144" spans="12:15" x14ac:dyDescent="0.3">
      <c r="L144" s="4">
        <f>Trades!P249</f>
        <v>0</v>
      </c>
      <c r="M144" s="5">
        <f>M143+Trades!T249</f>
        <v>1.2767781487348544</v>
      </c>
      <c r="N144" s="5">
        <f>N143+Trades!U249</f>
        <v>0.85608570313505117</v>
      </c>
      <c r="O144" s="5">
        <f>O143+Trades!W249</f>
        <v>0.43557409022560889</v>
      </c>
    </row>
    <row r="145" spans="12:15" x14ac:dyDescent="0.3">
      <c r="L145" s="4">
        <f>Trades!P238</f>
        <v>0</v>
      </c>
      <c r="M145" s="5">
        <f>M144+Trades!T238</f>
        <v>1.2767781487348544</v>
      </c>
      <c r="N145" s="5">
        <f>N144+Trades!U238</f>
        <v>0.85608570313505117</v>
      </c>
      <c r="O145" s="5">
        <f>O144+Trades!W238</f>
        <v>0.43557409022560889</v>
      </c>
    </row>
    <row r="146" spans="12:15" x14ac:dyDescent="0.3">
      <c r="L146" s="4">
        <f>Trades!P214</f>
        <v>0</v>
      </c>
      <c r="M146" s="5">
        <f>M145+Trades!T214</f>
        <v>1.2767781487348544</v>
      </c>
      <c r="N146" s="5">
        <f>N145+Trades!U214</f>
        <v>0.85608570313505117</v>
      </c>
      <c r="O146" s="5">
        <f>O145+Trades!W214</f>
        <v>0.43557409022560889</v>
      </c>
    </row>
    <row r="147" spans="12:15" x14ac:dyDescent="0.3">
      <c r="L147" s="4">
        <f>Trades!P283</f>
        <v>0</v>
      </c>
      <c r="M147" s="5">
        <f>M146+Trades!T283</f>
        <v>1.2767781487348544</v>
      </c>
      <c r="N147" s="5">
        <f>N146+Trades!U283</f>
        <v>0.85608570313505117</v>
      </c>
      <c r="O147" s="5">
        <f>O146+Trades!W283</f>
        <v>0.43557409022560889</v>
      </c>
    </row>
    <row r="148" spans="12:15" x14ac:dyDescent="0.3">
      <c r="L148" s="4">
        <f>Trades!P319</f>
        <v>0</v>
      </c>
      <c r="M148" s="5">
        <f>M147+Trades!T319</f>
        <v>1.2767781487348544</v>
      </c>
      <c r="N148" s="5">
        <f>N147+Trades!U319</f>
        <v>0.85608570313505117</v>
      </c>
      <c r="O148" s="5">
        <f>O147+Trades!W319</f>
        <v>0.43557409022560889</v>
      </c>
    </row>
    <row r="149" spans="12:15" x14ac:dyDescent="0.3">
      <c r="L149" s="4">
        <f>Trades!P258</f>
        <v>0</v>
      </c>
      <c r="M149" s="5">
        <f>M148+Trades!T258</f>
        <v>1.2767781487348544</v>
      </c>
      <c r="N149" s="5">
        <f>N148+Trades!U258</f>
        <v>0.85608570313505117</v>
      </c>
      <c r="O149" s="5">
        <f>O148+Trades!W258</f>
        <v>0.43557409022560889</v>
      </c>
    </row>
    <row r="150" spans="12:15" x14ac:dyDescent="0.3">
      <c r="L150" s="4">
        <f>Trades!P338</f>
        <v>0</v>
      </c>
      <c r="M150" s="5">
        <f>M149+Trades!T338</f>
        <v>1.2767781487348544</v>
      </c>
      <c r="N150" s="5">
        <f>N149+Trades!U338</f>
        <v>0.85608570313505117</v>
      </c>
      <c r="O150" s="5">
        <f>O149+Trades!W338</f>
        <v>0.43557409022560889</v>
      </c>
    </row>
    <row r="151" spans="12:15" x14ac:dyDescent="0.3">
      <c r="L151" s="4">
        <f>Trades!P138</f>
        <v>90290</v>
      </c>
      <c r="M151" s="5">
        <f>M150+Trades!T138</f>
        <v>1.2118274591640619</v>
      </c>
      <c r="N151" s="5">
        <f>N150+Trades!U138</f>
        <v>0.78673802277414917</v>
      </c>
      <c r="O151" s="5">
        <f>O150+Trades!W138</f>
        <v>0.36182254601357111</v>
      </c>
    </row>
    <row r="152" spans="12:15" x14ac:dyDescent="0.3">
      <c r="L152" s="4">
        <f>Trades!P294</f>
        <v>0</v>
      </c>
      <c r="M152" s="5">
        <f>M151+Trades!T294</f>
        <v>1.2118274591640619</v>
      </c>
      <c r="N152" s="5">
        <f>N151+Trades!U294</f>
        <v>0.78673802277414917</v>
      </c>
      <c r="O152" s="5">
        <f>O151+Trades!W294</f>
        <v>0.36182254601357111</v>
      </c>
    </row>
    <row r="153" spans="12:15" x14ac:dyDescent="0.3">
      <c r="L153" s="4">
        <f>Trades!P269</f>
        <v>0</v>
      </c>
      <c r="M153" s="5">
        <f>M152+Trades!T269</f>
        <v>1.2118274591640619</v>
      </c>
      <c r="N153" s="5">
        <f>N152+Trades!U269</f>
        <v>0.78673802277414917</v>
      </c>
      <c r="O153" s="5">
        <f>O152+Trades!W269</f>
        <v>0.36182254601357111</v>
      </c>
    </row>
    <row r="154" spans="12:15" x14ac:dyDescent="0.3">
      <c r="L154" s="4">
        <f>Trades!P149</f>
        <v>0</v>
      </c>
      <c r="M154" s="5">
        <f>M153+Trades!T149</f>
        <v>1.2118274591640619</v>
      </c>
      <c r="N154" s="5">
        <f>N153+Trades!U149</f>
        <v>0.78673802277414917</v>
      </c>
      <c r="O154" s="5">
        <f>O153+Trades!W149</f>
        <v>0.36182254601357111</v>
      </c>
    </row>
    <row r="155" spans="12:15" x14ac:dyDescent="0.3">
      <c r="L155" s="4">
        <f>Trades!P160</f>
        <v>0</v>
      </c>
      <c r="M155" s="5">
        <f>M154+Trades!T160</f>
        <v>1.2118274591640619</v>
      </c>
      <c r="N155" s="5">
        <f>N154+Trades!U160</f>
        <v>0.78673802277414917</v>
      </c>
      <c r="O155" s="5">
        <f>O154+Trades!W160</f>
        <v>0.36182254601357111</v>
      </c>
    </row>
    <row r="156" spans="12:15" x14ac:dyDescent="0.3">
      <c r="L156" s="4">
        <f>Trades!P179</f>
        <v>0</v>
      </c>
      <c r="M156" s="5">
        <f>M155+Trades!T179</f>
        <v>1.2118274591640619</v>
      </c>
      <c r="N156" s="5">
        <f>N155+Trades!U179</f>
        <v>0.78673802277414917</v>
      </c>
      <c r="O156" s="5">
        <f>O155+Trades!W179</f>
        <v>0.36182254601357111</v>
      </c>
    </row>
    <row r="157" spans="12:15" x14ac:dyDescent="0.3">
      <c r="L157" s="4">
        <f>Trades!P202</f>
        <v>0</v>
      </c>
      <c r="M157" s="5">
        <f>M156+Trades!T202</f>
        <v>1.2118274591640619</v>
      </c>
      <c r="N157" s="5">
        <f>N156+Trades!U202</f>
        <v>0.78673802277414917</v>
      </c>
      <c r="O157" s="5">
        <f>O156+Trades!W202</f>
        <v>0.36182254601357111</v>
      </c>
    </row>
    <row r="158" spans="12:15" x14ac:dyDescent="0.3">
      <c r="L158" s="4">
        <f>Trades!P227</f>
        <v>0</v>
      </c>
      <c r="M158" s="5">
        <f>M157+Trades!T227</f>
        <v>1.2118274591640619</v>
      </c>
      <c r="N158" s="5">
        <f>N157+Trades!U227</f>
        <v>0.78673802277414917</v>
      </c>
      <c r="O158" s="5">
        <f>O157+Trades!W227</f>
        <v>0.36182254601357111</v>
      </c>
    </row>
    <row r="159" spans="12:15" x14ac:dyDescent="0.3">
      <c r="L159" s="4">
        <f>Trades!P250</f>
        <v>0</v>
      </c>
      <c r="M159" s="5">
        <f>M158+Trades!T250</f>
        <v>1.2118274591640619</v>
      </c>
      <c r="N159" s="5">
        <f>N158+Trades!U250</f>
        <v>0.78673802277414917</v>
      </c>
      <c r="O159" s="5">
        <f>O158+Trades!W250</f>
        <v>0.36182254601357111</v>
      </c>
    </row>
    <row r="160" spans="12:15" x14ac:dyDescent="0.3">
      <c r="L160" s="4">
        <f>Trades!P115</f>
        <v>80113</v>
      </c>
      <c r="M160" s="5">
        <f>M159+Trades!T115</f>
        <v>1.2120391165606061</v>
      </c>
      <c r="N160" s="5">
        <f>N159+Trades!U115</f>
        <v>0.78298479585012715</v>
      </c>
      <c r="O160" s="5">
        <f>O159+Trades!W115</f>
        <v>0.3541028080586261</v>
      </c>
    </row>
    <row r="161" spans="12:15" x14ac:dyDescent="0.3">
      <c r="L161" s="4">
        <f>Trades!P192</f>
        <v>0</v>
      </c>
      <c r="M161" s="5">
        <f>M160+Trades!T192</f>
        <v>1.2120391165606061</v>
      </c>
      <c r="N161" s="5">
        <f>N160+Trades!U192</f>
        <v>0.78298479585012715</v>
      </c>
      <c r="O161" s="5">
        <f>O160+Trades!W192</f>
        <v>0.3541028080586261</v>
      </c>
    </row>
    <row r="162" spans="12:15" x14ac:dyDescent="0.3">
      <c r="L162" s="4">
        <f>Trades!P215</f>
        <v>0</v>
      </c>
      <c r="M162" s="5">
        <f>M161+Trades!T215</f>
        <v>1.2120391165606061</v>
      </c>
      <c r="N162" s="5">
        <f>N161+Trades!U215</f>
        <v>0.78298479585012715</v>
      </c>
      <c r="O162" s="5">
        <f>O161+Trades!W215</f>
        <v>0.3541028080586261</v>
      </c>
    </row>
    <row r="163" spans="12:15" x14ac:dyDescent="0.3">
      <c r="L163" s="4">
        <f>Trades!P309</f>
        <v>0</v>
      </c>
      <c r="M163" s="5">
        <f>M162+Trades!T309</f>
        <v>1.2120391165606061</v>
      </c>
      <c r="N163" s="5">
        <f>N162+Trades!U309</f>
        <v>0.78298479585012715</v>
      </c>
      <c r="O163" s="5">
        <f>O162+Trades!W309</f>
        <v>0.3541028080586261</v>
      </c>
    </row>
    <row r="164" spans="12:15" x14ac:dyDescent="0.3">
      <c r="L164" s="4">
        <f>Trades!P329</f>
        <v>0</v>
      </c>
      <c r="M164" s="5">
        <f>M163+Trades!T329</f>
        <v>1.2120391165606061</v>
      </c>
      <c r="N164" s="5">
        <f>N163+Trades!U329</f>
        <v>0.78298479585012715</v>
      </c>
      <c r="O164" s="5">
        <f>O163+Trades!W329</f>
        <v>0.3541028080586261</v>
      </c>
    </row>
    <row r="165" spans="12:15" x14ac:dyDescent="0.3">
      <c r="L165" s="4">
        <f>Trades!P116</f>
        <v>81280</v>
      </c>
      <c r="M165" s="5">
        <f>M164+Trades!T116</f>
        <v>1.2566192627848816</v>
      </c>
      <c r="N165" s="5">
        <f>N164+Trades!U116</f>
        <v>0.8236054045751684</v>
      </c>
      <c r="O165" s="5">
        <f>O164+Trades!W116</f>
        <v>0.39075690575274435</v>
      </c>
    </row>
    <row r="166" spans="12:15" x14ac:dyDescent="0.3">
      <c r="L166" s="4">
        <f>Trades!P270</f>
        <v>0</v>
      </c>
      <c r="M166" s="5">
        <f>M165+Trades!T270</f>
        <v>1.2566192627848816</v>
      </c>
      <c r="N166" s="5">
        <f>N165+Trades!U270</f>
        <v>0.8236054045751684</v>
      </c>
      <c r="O166" s="5">
        <f>O165+Trades!W270</f>
        <v>0.39075690575274435</v>
      </c>
    </row>
    <row r="167" spans="12:15" x14ac:dyDescent="0.3">
      <c r="L167" s="4">
        <f>Trades!P239</f>
        <v>0</v>
      </c>
      <c r="M167" s="5">
        <f>M166+Trades!T239</f>
        <v>1.2566192627848816</v>
      </c>
      <c r="N167" s="5">
        <f>N166+Trades!U239</f>
        <v>0.8236054045751684</v>
      </c>
      <c r="O167" s="5">
        <f>O166+Trades!W239</f>
        <v>0.39075690575274435</v>
      </c>
    </row>
    <row r="168" spans="12:15" x14ac:dyDescent="0.3">
      <c r="L168" s="4">
        <f>Trades!P216</f>
        <v>0</v>
      </c>
      <c r="M168" s="5">
        <f>M167+Trades!T216</f>
        <v>1.2566192627848816</v>
      </c>
      <c r="N168" s="5">
        <f>N167+Trades!U216</f>
        <v>0.8236054045751684</v>
      </c>
      <c r="O168" s="5">
        <f>O167+Trades!W216</f>
        <v>0.39075690575274435</v>
      </c>
    </row>
    <row r="169" spans="12:15" x14ac:dyDescent="0.3">
      <c r="L169" s="4">
        <f>Trades!P259</f>
        <v>0</v>
      </c>
      <c r="M169" s="5">
        <f>M168+Trades!T259</f>
        <v>1.2566192627848816</v>
      </c>
      <c r="N169" s="5">
        <f>N168+Trades!U259</f>
        <v>0.8236054045751684</v>
      </c>
      <c r="O169" s="5">
        <f>O168+Trades!W259</f>
        <v>0.39075690575274435</v>
      </c>
    </row>
    <row r="170" spans="12:15" x14ac:dyDescent="0.3">
      <c r="L170" s="4">
        <f>Trades!P139</f>
        <v>0</v>
      </c>
      <c r="M170" s="5">
        <f>M169+Trades!T139</f>
        <v>1.2566192627848816</v>
      </c>
      <c r="N170" s="5">
        <f>N169+Trades!U139</f>
        <v>0.8236054045751684</v>
      </c>
      <c r="O170" s="5">
        <f>O169+Trades!W139</f>
        <v>0.39075690575274435</v>
      </c>
    </row>
    <row r="171" spans="12:15" x14ac:dyDescent="0.3">
      <c r="L171" s="4">
        <f>Trades!P339</f>
        <v>0</v>
      </c>
      <c r="M171" s="5">
        <f>M170+Trades!T339</f>
        <v>1.2566192627848816</v>
      </c>
      <c r="N171" s="5">
        <f>N170+Trades!U339</f>
        <v>0.8236054045751684</v>
      </c>
      <c r="O171" s="5">
        <f>O170+Trades!W339</f>
        <v>0.39075690575274435</v>
      </c>
    </row>
    <row r="172" spans="12:15" x14ac:dyDescent="0.3">
      <c r="L172" s="4">
        <f>Trades!P167</f>
        <v>0</v>
      </c>
      <c r="M172" s="5">
        <f>M171+Trades!T167</f>
        <v>1.2566192627848816</v>
      </c>
      <c r="N172" s="5">
        <f>N171+Trades!U167</f>
        <v>0.8236054045751684</v>
      </c>
      <c r="O172" s="5">
        <f>O171+Trades!W167</f>
        <v>0.39075690575274435</v>
      </c>
    </row>
    <row r="173" spans="12:15" x14ac:dyDescent="0.3">
      <c r="L173" s="4">
        <f>Trades!P128</f>
        <v>86348</v>
      </c>
      <c r="M173" s="5">
        <f>M172+Trades!T128</f>
        <v>1.2720145024570302</v>
      </c>
      <c r="N173" s="5">
        <f>N172+Trades!U128</f>
        <v>0.83556766704357999</v>
      </c>
      <c r="O173" s="5">
        <f>O172+Trades!W128</f>
        <v>0.39928574080825913</v>
      </c>
    </row>
    <row r="174" spans="12:15" x14ac:dyDescent="0.3">
      <c r="L174" s="4">
        <f>Trades!P320</f>
        <v>0</v>
      </c>
      <c r="M174" s="5">
        <f>M173+Trades!T320</f>
        <v>1.2720145024570302</v>
      </c>
      <c r="N174" s="5">
        <f>N173+Trades!U320</f>
        <v>0.83556766704357999</v>
      </c>
      <c r="O174" s="5">
        <f>O173+Trades!W320</f>
        <v>0.39928574080825913</v>
      </c>
    </row>
    <row r="175" spans="12:15" x14ac:dyDescent="0.3">
      <c r="L175" s="4">
        <f>Trades!P217</f>
        <v>0</v>
      </c>
      <c r="M175" s="5">
        <f>M174+Trades!T217</f>
        <v>1.2720145024570302</v>
      </c>
      <c r="N175" s="5">
        <f>N174+Trades!U217</f>
        <v>0.83556766704357999</v>
      </c>
      <c r="O175" s="5">
        <f>O174+Trades!W217</f>
        <v>0.39928574080825913</v>
      </c>
    </row>
    <row r="176" spans="12:15" x14ac:dyDescent="0.3">
      <c r="L176" s="4">
        <f>Trades!P330</f>
        <v>0</v>
      </c>
      <c r="M176" s="5">
        <f>M175+Trades!T330</f>
        <v>1.2720145024570302</v>
      </c>
      <c r="N176" s="5">
        <f>N175+Trades!U330</f>
        <v>0.83556766704357999</v>
      </c>
      <c r="O176" s="5">
        <f>O175+Trades!W330</f>
        <v>0.39928574080825913</v>
      </c>
    </row>
    <row r="177" spans="12:15" x14ac:dyDescent="0.3">
      <c r="L177" s="4">
        <f>Trades!P340</f>
        <v>0</v>
      </c>
      <c r="M177" s="5">
        <f>M176+Trades!T340</f>
        <v>1.2720145024570302</v>
      </c>
      <c r="N177" s="5">
        <f>N176+Trades!U340</f>
        <v>0.83556766704357999</v>
      </c>
      <c r="O177" s="5">
        <f>O176+Trades!W340</f>
        <v>0.39928574080825913</v>
      </c>
    </row>
    <row r="178" spans="12:15" x14ac:dyDescent="0.3">
      <c r="L178" s="4">
        <f>Trades!P193</f>
        <v>0</v>
      </c>
      <c r="M178" s="5">
        <f>M177+Trades!T193</f>
        <v>1.2720145024570302</v>
      </c>
      <c r="N178" s="5">
        <f>N177+Trades!U193</f>
        <v>0.83556766704357999</v>
      </c>
      <c r="O178" s="5">
        <f>O177+Trades!W193</f>
        <v>0.39928574080825913</v>
      </c>
    </row>
    <row r="179" spans="12:15" x14ac:dyDescent="0.3">
      <c r="L179" s="4">
        <f>Trades!P260</f>
        <v>0</v>
      </c>
      <c r="M179" s="5">
        <f>M178+Trades!T260</f>
        <v>1.2720145024570302</v>
      </c>
      <c r="N179" s="5">
        <f>N178+Trades!U260</f>
        <v>0.83556766704357999</v>
      </c>
      <c r="O179" s="5">
        <f>O178+Trades!W260</f>
        <v>0.39928574080825913</v>
      </c>
    </row>
    <row r="180" spans="12:15" x14ac:dyDescent="0.3">
      <c r="L180" s="4">
        <f>Trades!P284</f>
        <v>0</v>
      </c>
      <c r="M180" s="5">
        <f>M179+Trades!T284</f>
        <v>1.2720145024570302</v>
      </c>
      <c r="N180" s="5">
        <f>N179+Trades!U284</f>
        <v>0.83556766704357999</v>
      </c>
      <c r="O180" s="5">
        <f>O179+Trades!W284</f>
        <v>0.39928574080825913</v>
      </c>
    </row>
    <row r="181" spans="12:15" x14ac:dyDescent="0.3">
      <c r="L181" s="4">
        <f>Trades!P140</f>
        <v>0</v>
      </c>
      <c r="M181" s="5">
        <f>M180+Trades!T140</f>
        <v>1.2720145024570302</v>
      </c>
      <c r="N181" s="5">
        <f>N180+Trades!U140</f>
        <v>0.83556766704357999</v>
      </c>
      <c r="O181" s="5">
        <f>O180+Trades!W140</f>
        <v>0.39928574080825913</v>
      </c>
    </row>
    <row r="182" spans="12:15" x14ac:dyDescent="0.3">
      <c r="L182" s="4">
        <f>Trades!P271</f>
        <v>0</v>
      </c>
      <c r="M182" s="5">
        <f>M181+Trades!T271</f>
        <v>1.2720145024570302</v>
      </c>
      <c r="N182" s="5">
        <f>N181+Trades!U271</f>
        <v>0.83556766704357999</v>
      </c>
      <c r="O182" s="5">
        <f>O181+Trades!W271</f>
        <v>0.39928574080825913</v>
      </c>
    </row>
    <row r="183" spans="12:15" x14ac:dyDescent="0.3">
      <c r="L183" s="4">
        <f>Trades!P295</f>
        <v>0</v>
      </c>
      <c r="M183" s="5">
        <f>M182+Trades!T295</f>
        <v>1.2720145024570302</v>
      </c>
      <c r="N183" s="5">
        <f>N182+Trades!U295</f>
        <v>0.83556766704357999</v>
      </c>
      <c r="O183" s="5">
        <f>O182+Trades!W295</f>
        <v>0.39928574080825913</v>
      </c>
    </row>
    <row r="184" spans="12:15" x14ac:dyDescent="0.3">
      <c r="L184" s="4">
        <f>Trades!P218</f>
        <v>0</v>
      </c>
      <c r="M184" s="5">
        <f>M183+Trades!T218</f>
        <v>1.2720145024570302</v>
      </c>
      <c r="N184" s="5">
        <f>N183+Trades!U218</f>
        <v>0.83556766704357999</v>
      </c>
      <c r="O184" s="5">
        <f>O183+Trades!W218</f>
        <v>0.39928574080825913</v>
      </c>
    </row>
    <row r="185" spans="12:15" x14ac:dyDescent="0.3">
      <c r="L185" s="4">
        <f>Trades!P341</f>
        <v>0</v>
      </c>
      <c r="M185" s="5">
        <f>M184+Trades!T341</f>
        <v>1.2720145024570302</v>
      </c>
      <c r="N185" s="5">
        <f>N184+Trades!U341</f>
        <v>0.83556766704357999</v>
      </c>
      <c r="O185" s="5">
        <f>O184+Trades!W341</f>
        <v>0.39928574080825913</v>
      </c>
    </row>
    <row r="186" spans="12:15" x14ac:dyDescent="0.3">
      <c r="L186" s="4">
        <f>Trades!P180</f>
        <v>0</v>
      </c>
      <c r="M186" s="5">
        <f>M185+Trades!T180</f>
        <v>1.2720145024570302</v>
      </c>
      <c r="N186" s="5">
        <f>N185+Trades!U180</f>
        <v>0.83556766704357999</v>
      </c>
      <c r="O186" s="5">
        <f>O185+Trades!W180</f>
        <v>0.39928574080825913</v>
      </c>
    </row>
    <row r="187" spans="12:15" x14ac:dyDescent="0.3">
      <c r="L187" s="4">
        <f>Trades!P168</f>
        <v>0</v>
      </c>
      <c r="M187" s="5">
        <f>M186+Trades!T168</f>
        <v>1.2720145024570302</v>
      </c>
      <c r="N187" s="5">
        <f>N186+Trades!U168</f>
        <v>0.83556766704357999</v>
      </c>
      <c r="O187" s="5">
        <f>O186+Trades!W168</f>
        <v>0.39928574080825913</v>
      </c>
    </row>
    <row r="188" spans="12:15" x14ac:dyDescent="0.3">
      <c r="L188" s="4">
        <f>Trades!P251</f>
        <v>0</v>
      </c>
      <c r="M188" s="5">
        <f>M187+Trades!T251</f>
        <v>1.2720145024570302</v>
      </c>
      <c r="N188" s="5">
        <f>N187+Trades!U251</f>
        <v>0.83556766704357999</v>
      </c>
      <c r="O188" s="5">
        <f>O187+Trades!W251</f>
        <v>0.39928574080825913</v>
      </c>
    </row>
    <row r="189" spans="12:15" x14ac:dyDescent="0.3">
      <c r="L189" s="4">
        <f>Trades!P161</f>
        <v>0</v>
      </c>
      <c r="M189" s="5">
        <f>M188+Trades!T161</f>
        <v>1.2720145024570302</v>
      </c>
      <c r="N189" s="5">
        <f>N188+Trades!U161</f>
        <v>0.83556766704357999</v>
      </c>
      <c r="O189" s="5">
        <f>O188+Trades!W161</f>
        <v>0.39928574080825913</v>
      </c>
    </row>
    <row r="190" spans="12:15" x14ac:dyDescent="0.3">
      <c r="L190" s="4">
        <f>Trades!P203</f>
        <v>0</v>
      </c>
      <c r="M190" s="5">
        <f>M189+Trades!T203</f>
        <v>1.2720145024570302</v>
      </c>
      <c r="N190" s="5">
        <f>N189+Trades!U203</f>
        <v>0.83556766704357999</v>
      </c>
      <c r="O190" s="5">
        <f>O189+Trades!W203</f>
        <v>0.39928574080825913</v>
      </c>
    </row>
    <row r="191" spans="12:15" x14ac:dyDescent="0.3">
      <c r="L191" s="4">
        <f>Trades!P272</f>
        <v>0</v>
      </c>
      <c r="M191" s="5">
        <f>M190+Trades!T272</f>
        <v>1.2720145024570302</v>
      </c>
      <c r="N191" s="5">
        <f>N190+Trades!U272</f>
        <v>0.83556766704357999</v>
      </c>
      <c r="O191" s="5">
        <f>O190+Trades!W272</f>
        <v>0.39928574080825913</v>
      </c>
    </row>
    <row r="192" spans="12:15" x14ac:dyDescent="0.3">
      <c r="L192" s="4">
        <f>Trades!P310</f>
        <v>0</v>
      </c>
      <c r="M192" s="5">
        <f>M191+Trades!T310</f>
        <v>1.2720145024570302</v>
      </c>
      <c r="N192" s="5">
        <f>N191+Trades!U310</f>
        <v>0.83556766704357999</v>
      </c>
      <c r="O192" s="5">
        <f>O191+Trades!W310</f>
        <v>0.39928574080825913</v>
      </c>
    </row>
    <row r="193" spans="12:15" x14ac:dyDescent="0.3">
      <c r="L193" s="4">
        <f>Trades!P240</f>
        <v>0</v>
      </c>
      <c r="M193" s="5">
        <f>M192+Trades!T240</f>
        <v>1.2720145024570302</v>
      </c>
      <c r="N193" s="5">
        <f>N192+Trades!U240</f>
        <v>0.83556766704357999</v>
      </c>
      <c r="O193" s="5">
        <f>O192+Trades!W240</f>
        <v>0.39928574080825913</v>
      </c>
    </row>
    <row r="194" spans="12:15" x14ac:dyDescent="0.3">
      <c r="L194" s="4">
        <f>Trades!P228</f>
        <v>0</v>
      </c>
      <c r="M194" s="5">
        <f>M193+Trades!T228</f>
        <v>1.2720145024570302</v>
      </c>
      <c r="N194" s="5">
        <f>N193+Trades!U228</f>
        <v>0.83556766704357999</v>
      </c>
      <c r="O194" s="5">
        <f>O193+Trades!W228</f>
        <v>0.39928574080825913</v>
      </c>
    </row>
    <row r="195" spans="12:15" x14ac:dyDescent="0.3">
      <c r="L195" s="4">
        <f>Trades!P261</f>
        <v>0</v>
      </c>
      <c r="M195" s="5">
        <f>M194+Trades!T261</f>
        <v>1.2720145024570302</v>
      </c>
      <c r="N195" s="5">
        <f>N194+Trades!U261</f>
        <v>0.83556766704357999</v>
      </c>
      <c r="O195" s="5">
        <f>O194+Trades!W261</f>
        <v>0.39928574080825913</v>
      </c>
    </row>
    <row r="196" spans="12:15" x14ac:dyDescent="0.3">
      <c r="L196" s="4">
        <f>Trades!P181</f>
        <v>0</v>
      </c>
      <c r="M196" s="5">
        <f>M195+Trades!T181</f>
        <v>1.2720145024570302</v>
      </c>
      <c r="N196" s="5">
        <f>N195+Trades!U181</f>
        <v>0.83556766704357999</v>
      </c>
      <c r="O196" s="5">
        <f>O195+Trades!W181</f>
        <v>0.39928574080825913</v>
      </c>
    </row>
    <row r="197" spans="12:15" x14ac:dyDescent="0.3">
      <c r="L197" s="4">
        <f>Trades!P296</f>
        <v>0</v>
      </c>
      <c r="M197" s="5">
        <f>M196+Trades!T296</f>
        <v>1.2720145024570302</v>
      </c>
      <c r="N197" s="5">
        <f>N196+Trades!U296</f>
        <v>0.83556766704357999</v>
      </c>
      <c r="O197" s="5">
        <f>O196+Trades!W296</f>
        <v>0.39928574080825913</v>
      </c>
    </row>
    <row r="198" spans="12:15" x14ac:dyDescent="0.3">
      <c r="L198" s="4">
        <f>Trades!P117</f>
        <v>81433</v>
      </c>
      <c r="M198" s="5">
        <f>M197+Trades!T117</f>
        <v>1.2965693450544131</v>
      </c>
      <c r="N198" s="5">
        <f>N197+Trades!U117</f>
        <v>0.85615713963879014</v>
      </c>
      <c r="O198" s="5">
        <f>O197+Trades!W117</f>
        <v>0.41590869567542216</v>
      </c>
    </row>
    <row r="199" spans="12:15" x14ac:dyDescent="0.3">
      <c r="L199" s="4">
        <f>Trades!P129</f>
        <v>86424</v>
      </c>
      <c r="M199" s="5">
        <f>M198+Trades!T129</f>
        <v>1.2758449789093944</v>
      </c>
      <c r="N199" s="5">
        <f>N198+Trades!U129</f>
        <v>0.83102514117579673</v>
      </c>
      <c r="O199" s="5">
        <f>O198+Trades!W129</f>
        <v>0.38637291412598679</v>
      </c>
    </row>
    <row r="200" spans="12:15" x14ac:dyDescent="0.3">
      <c r="L200" s="4">
        <f>Trades!P252</f>
        <v>0</v>
      </c>
      <c r="M200" s="5">
        <f>M199+Trades!T252</f>
        <v>1.2758449789093944</v>
      </c>
      <c r="N200" s="5">
        <f>N199+Trades!U252</f>
        <v>0.83102514117579673</v>
      </c>
      <c r="O200" s="5">
        <f>O199+Trades!W252</f>
        <v>0.38637291412598679</v>
      </c>
    </row>
    <row r="201" spans="12:15" x14ac:dyDescent="0.3">
      <c r="L201" s="4">
        <f>Trades!P150</f>
        <v>0</v>
      </c>
      <c r="M201" s="5">
        <f>M200+Trades!T150</f>
        <v>1.2758449789093944</v>
      </c>
      <c r="N201" s="5">
        <f>N200+Trades!U150</f>
        <v>0.83102514117579673</v>
      </c>
      <c r="O201" s="5">
        <f>O200+Trades!W150</f>
        <v>0.38637291412598679</v>
      </c>
    </row>
    <row r="202" spans="12:15" x14ac:dyDescent="0.3">
      <c r="L202" s="4">
        <f>Trades!P169</f>
        <v>0</v>
      </c>
      <c r="M202" s="5">
        <f>M201+Trades!T169</f>
        <v>1.2758449789093944</v>
      </c>
      <c r="N202" s="5">
        <f>N201+Trades!U169</f>
        <v>0.83102514117579673</v>
      </c>
      <c r="O202" s="5">
        <f>O201+Trades!W169</f>
        <v>0.38637291412598679</v>
      </c>
    </row>
    <row r="203" spans="12:15" x14ac:dyDescent="0.3">
      <c r="L203" s="4">
        <f>Trades!P194</f>
        <v>0</v>
      </c>
      <c r="M203" s="5">
        <f>M202+Trades!T194</f>
        <v>1.2758449789093944</v>
      </c>
      <c r="N203" s="5">
        <f>N202+Trades!U194</f>
        <v>0.83102514117579673</v>
      </c>
      <c r="O203" s="5">
        <f>O202+Trades!W194</f>
        <v>0.38637291412598679</v>
      </c>
    </row>
    <row r="204" spans="12:15" x14ac:dyDescent="0.3">
      <c r="L204" s="4">
        <f>Trades!P321</f>
        <v>0</v>
      </c>
      <c r="M204" s="5">
        <f>M203+Trades!T321</f>
        <v>1.2758449789093944</v>
      </c>
      <c r="N204" s="5">
        <f>N203+Trades!U321</f>
        <v>0.83102514117579673</v>
      </c>
      <c r="O204" s="5">
        <f>O203+Trades!W321</f>
        <v>0.38637291412598679</v>
      </c>
    </row>
    <row r="205" spans="12:15" x14ac:dyDescent="0.3">
      <c r="L205" s="4">
        <f>Trades!P170</f>
        <v>0</v>
      </c>
      <c r="M205" s="5">
        <f>M204+Trades!T170</f>
        <v>1.2758449789093944</v>
      </c>
      <c r="N205" s="5">
        <f>N204+Trades!U170</f>
        <v>0.83102514117579673</v>
      </c>
      <c r="O205" s="5">
        <f>O204+Trades!W170</f>
        <v>0.38637291412598679</v>
      </c>
    </row>
    <row r="206" spans="12:15" x14ac:dyDescent="0.3">
      <c r="L206" s="4">
        <f>Trades!P130</f>
        <v>86751</v>
      </c>
      <c r="M206" s="5">
        <f>M205+Trades!T130</f>
        <v>1.3347929922615249</v>
      </c>
      <c r="N206" s="5">
        <f>N205+Trades!U130</f>
        <v>0.88557442338226722</v>
      </c>
      <c r="O206" s="5">
        <f>O205+Trades!W130</f>
        <v>0.43651833248132155</v>
      </c>
    </row>
    <row r="207" spans="12:15" x14ac:dyDescent="0.3">
      <c r="L207" s="4">
        <f>Trades!P182</f>
        <v>0</v>
      </c>
      <c r="M207" s="5">
        <f>M206+Trades!T182</f>
        <v>1.3347929922615249</v>
      </c>
      <c r="N207" s="5">
        <f>N206+Trades!U182</f>
        <v>0.88557442338226722</v>
      </c>
      <c r="O207" s="5">
        <f>O206+Trades!W182</f>
        <v>0.43651833248132155</v>
      </c>
    </row>
    <row r="208" spans="12:15" x14ac:dyDescent="0.3">
      <c r="L208" s="4">
        <f>Trades!P131</f>
        <v>87177</v>
      </c>
      <c r="M208" s="5">
        <f>M207+Trades!T131</f>
        <v>1.258620604999954</v>
      </c>
      <c r="N208" s="5">
        <f>N207+Trades!U131</f>
        <v>0.80497373664834482</v>
      </c>
      <c r="O208" s="5">
        <f>O207+Trades!W131</f>
        <v>0.35151386266095713</v>
      </c>
    </row>
    <row r="209" spans="12:15" x14ac:dyDescent="0.3">
      <c r="L209" s="4">
        <f>Trades!P285</f>
        <v>0</v>
      </c>
      <c r="M209" s="5">
        <f>M208+Trades!T285</f>
        <v>1.258620604999954</v>
      </c>
      <c r="N209" s="5">
        <f>N208+Trades!U285</f>
        <v>0.80497373664834482</v>
      </c>
      <c r="O209" s="5">
        <f>O208+Trades!W285</f>
        <v>0.35151386266095713</v>
      </c>
    </row>
    <row r="210" spans="12:15" x14ac:dyDescent="0.3">
      <c r="L210" s="4">
        <f>Trades!P297</f>
        <v>0</v>
      </c>
      <c r="M210" s="5">
        <f>M209+Trades!T297</f>
        <v>1.258620604999954</v>
      </c>
      <c r="N210" s="5">
        <f>N209+Trades!U297</f>
        <v>0.80497373664834482</v>
      </c>
      <c r="O210" s="5">
        <f>O209+Trades!W297</f>
        <v>0.35151386266095713</v>
      </c>
    </row>
    <row r="211" spans="12:15" x14ac:dyDescent="0.3">
      <c r="L211" s="4">
        <f>Trades!P298</f>
        <v>0</v>
      </c>
      <c r="M211" s="5">
        <f>M210+Trades!T298</f>
        <v>1.258620604999954</v>
      </c>
      <c r="N211" s="5">
        <f>N210+Trades!U298</f>
        <v>0.80497373664834482</v>
      </c>
      <c r="O211" s="5">
        <f>O210+Trades!W298</f>
        <v>0.35151386266095713</v>
      </c>
    </row>
    <row r="212" spans="12:15" x14ac:dyDescent="0.3">
      <c r="L212" s="4">
        <f>Trades!P118</f>
        <v>82524</v>
      </c>
      <c r="M212" s="5">
        <f>M211+Trades!T118</f>
        <v>1.2338999306280898</v>
      </c>
      <c r="N212" s="5">
        <f>N211+Trades!U118</f>
        <v>0.77681988421444592</v>
      </c>
      <c r="O212" s="5">
        <f>O211+Trades!W118</f>
        <v>0.31992658281416148</v>
      </c>
    </row>
    <row r="213" spans="12:15" x14ac:dyDescent="0.3">
      <c r="L213" s="4">
        <f>Trades!P151</f>
        <v>0</v>
      </c>
      <c r="M213" s="5">
        <f>M212+Trades!T151</f>
        <v>1.2338999306280898</v>
      </c>
      <c r="N213" s="5">
        <f>N212+Trades!U151</f>
        <v>0.77681988421444592</v>
      </c>
      <c r="O213" s="5">
        <f>O212+Trades!W151</f>
        <v>0.31992658281416148</v>
      </c>
    </row>
    <row r="214" spans="12:15" x14ac:dyDescent="0.3">
      <c r="L214" s="4">
        <f>Trades!P119</f>
        <v>82792</v>
      </c>
      <c r="M214" s="5">
        <f>M213+Trades!T119</f>
        <v>1.236775611056625</v>
      </c>
      <c r="N214" s="5">
        <f>N213+Trades!U119</f>
        <v>0.77626164684097243</v>
      </c>
      <c r="O214" s="5">
        <f>O213+Trades!W119</f>
        <v>0.31593480472460411</v>
      </c>
    </row>
    <row r="215" spans="12:15" x14ac:dyDescent="0.3">
      <c r="L215" s="4">
        <f>Trades!P253</f>
        <v>0</v>
      </c>
      <c r="M215" s="5">
        <f>M214+Trades!T253</f>
        <v>1.236775611056625</v>
      </c>
      <c r="N215" s="5">
        <f>N214+Trades!U253</f>
        <v>0.77626164684097243</v>
      </c>
      <c r="O215" s="5">
        <f>O214+Trades!W253</f>
        <v>0.31593480472460411</v>
      </c>
    </row>
    <row r="216" spans="12:15" x14ac:dyDescent="0.3">
      <c r="L216" s="4">
        <f>Trades!P141</f>
        <v>0</v>
      </c>
      <c r="M216" s="5">
        <f>M215+Trades!T141</f>
        <v>1.236775611056625</v>
      </c>
      <c r="N216" s="5">
        <f>N215+Trades!U141</f>
        <v>0.77626164684097243</v>
      </c>
      <c r="O216" s="5">
        <f>O215+Trades!W141</f>
        <v>0.31593480472460411</v>
      </c>
    </row>
    <row r="217" spans="12:15" x14ac:dyDescent="0.3">
      <c r="L217" s="4">
        <f>Trades!P152</f>
        <v>0</v>
      </c>
      <c r="M217" s="5">
        <f>M216+Trades!T152</f>
        <v>1.236775611056625</v>
      </c>
      <c r="N217" s="5">
        <f>N216+Trades!U152</f>
        <v>0.77626164684097243</v>
      </c>
      <c r="O217" s="5">
        <f>O216+Trades!W152</f>
        <v>0.31593480472460411</v>
      </c>
    </row>
    <row r="218" spans="12:15" x14ac:dyDescent="0.3">
      <c r="L218" s="4">
        <f>Trades!P183</f>
        <v>0</v>
      </c>
      <c r="M218" s="5">
        <f>M217+Trades!T183</f>
        <v>1.236775611056625</v>
      </c>
      <c r="N218" s="5">
        <f>N217+Trades!U183</f>
        <v>0.77626164684097243</v>
      </c>
      <c r="O218" s="5">
        <f>O217+Trades!W183</f>
        <v>0.31593480472460411</v>
      </c>
    </row>
    <row r="219" spans="12:15" x14ac:dyDescent="0.3">
      <c r="L219" s="4">
        <f>Trades!P229</f>
        <v>0</v>
      </c>
      <c r="M219" s="5">
        <f>M218+Trades!T229</f>
        <v>1.236775611056625</v>
      </c>
      <c r="N219" s="5">
        <f>N218+Trades!U229</f>
        <v>0.77626164684097243</v>
      </c>
      <c r="O219" s="5">
        <f>O218+Trades!W229</f>
        <v>0.31593480472460411</v>
      </c>
    </row>
    <row r="220" spans="12:15" x14ac:dyDescent="0.3">
      <c r="L220" s="4">
        <f>Trades!P241</f>
        <v>0</v>
      </c>
      <c r="M220" s="5">
        <f>M219+Trades!T241</f>
        <v>1.236775611056625</v>
      </c>
      <c r="N220" s="5">
        <f>N219+Trades!U241</f>
        <v>0.77626164684097243</v>
      </c>
      <c r="O220" s="5">
        <f>O219+Trades!W241</f>
        <v>0.31593480472460411</v>
      </c>
    </row>
    <row r="221" spans="12:15" x14ac:dyDescent="0.3">
      <c r="L221" s="4">
        <f>Trades!P219</f>
        <v>0</v>
      </c>
      <c r="M221" s="5">
        <f>M220+Trades!T219</f>
        <v>1.236775611056625</v>
      </c>
      <c r="N221" s="5">
        <f>N220+Trades!U219</f>
        <v>0.77626164684097243</v>
      </c>
      <c r="O221" s="5">
        <f>O220+Trades!W219</f>
        <v>0.31593480472460411</v>
      </c>
    </row>
    <row r="222" spans="12:15" x14ac:dyDescent="0.3">
      <c r="L222" s="4">
        <f>Trades!P331</f>
        <v>0</v>
      </c>
      <c r="M222" s="5">
        <f>M221+Trades!T331</f>
        <v>1.236775611056625</v>
      </c>
      <c r="N222" s="5">
        <f>N221+Trades!U331</f>
        <v>0.77626164684097243</v>
      </c>
      <c r="O222" s="5">
        <f>O221+Trades!W331</f>
        <v>0.31593480472460411</v>
      </c>
    </row>
    <row r="223" spans="12:15" x14ac:dyDescent="0.3">
      <c r="L223" s="4">
        <f>Trades!P204</f>
        <v>0</v>
      </c>
      <c r="M223" s="5">
        <f>M222+Trades!T204</f>
        <v>1.236775611056625</v>
      </c>
      <c r="N223" s="5">
        <f>N222+Trades!U204</f>
        <v>0.77626164684097243</v>
      </c>
      <c r="O223" s="5">
        <f>O222+Trades!W204</f>
        <v>0.31593480472460411</v>
      </c>
    </row>
    <row r="224" spans="12:15" x14ac:dyDescent="0.3">
      <c r="L224" s="4">
        <f>Trades!P195</f>
        <v>0</v>
      </c>
      <c r="M224" s="5">
        <f>M223+Trades!T195</f>
        <v>1.236775611056625</v>
      </c>
      <c r="N224" s="5">
        <f>N223+Trades!U195</f>
        <v>0.77626164684097243</v>
      </c>
      <c r="O224" s="5">
        <f>O223+Trades!W195</f>
        <v>0.31593480472460411</v>
      </c>
    </row>
    <row r="225" spans="12:15" x14ac:dyDescent="0.3">
      <c r="L225" s="4">
        <f>Trades!P262</f>
        <v>0</v>
      </c>
      <c r="M225" s="5">
        <f>M224+Trades!T262</f>
        <v>1.236775611056625</v>
      </c>
      <c r="N225" s="5">
        <f>N224+Trades!U262</f>
        <v>0.77626164684097243</v>
      </c>
      <c r="O225" s="5">
        <f>O224+Trades!W262</f>
        <v>0.31593480472460411</v>
      </c>
    </row>
    <row r="226" spans="12:15" x14ac:dyDescent="0.3">
      <c r="L226" s="4">
        <f>Trades!P286</f>
        <v>0</v>
      </c>
      <c r="M226" s="5">
        <f>M225+Trades!T286</f>
        <v>1.236775611056625</v>
      </c>
      <c r="N226" s="5">
        <f>N225+Trades!U286</f>
        <v>0.77626164684097243</v>
      </c>
      <c r="O226" s="5">
        <f>O225+Trades!W286</f>
        <v>0.31593480472460411</v>
      </c>
    </row>
    <row r="227" spans="12:15" x14ac:dyDescent="0.3">
      <c r="L227" s="4">
        <f>Trades!P299</f>
        <v>0</v>
      </c>
      <c r="M227" s="5">
        <f>M226+Trades!T299</f>
        <v>1.236775611056625</v>
      </c>
      <c r="N227" s="5">
        <f>N226+Trades!U299</f>
        <v>0.77626164684097243</v>
      </c>
      <c r="O227" s="5">
        <f>O226+Trades!W299</f>
        <v>0.31593480472460411</v>
      </c>
    </row>
    <row r="228" spans="12:15" x14ac:dyDescent="0.3">
      <c r="L228" s="4">
        <f>Trades!P311</f>
        <v>0</v>
      </c>
      <c r="M228" s="5">
        <f>M227+Trades!T311</f>
        <v>1.236775611056625</v>
      </c>
      <c r="N228" s="5">
        <f>N227+Trades!U311</f>
        <v>0.77626164684097243</v>
      </c>
      <c r="O228" s="5">
        <f>O227+Trades!W311</f>
        <v>0.31593480472460411</v>
      </c>
    </row>
    <row r="229" spans="12:15" x14ac:dyDescent="0.3">
      <c r="L229" s="4">
        <f>Trades!P132</f>
        <v>87550</v>
      </c>
      <c r="M229" s="5">
        <f>M228+Trades!T132</f>
        <v>1.1967529456859303</v>
      </c>
      <c r="N229" s="5">
        <f>N228+Trades!U132</f>
        <v>0.73184800580372744</v>
      </c>
      <c r="O229" s="5">
        <f>O228+Trades!W132</f>
        <v>0.26711738060091716</v>
      </c>
    </row>
    <row r="230" spans="12:15" x14ac:dyDescent="0.3">
      <c r="L230" s="4">
        <f>Trades!P153</f>
        <v>0</v>
      </c>
      <c r="M230" s="5">
        <f>M229+Trades!T153</f>
        <v>1.1967529456859303</v>
      </c>
      <c r="N230" s="5">
        <f>N229+Trades!U153</f>
        <v>0.73184800580372744</v>
      </c>
      <c r="O230" s="5">
        <f>O229+Trades!W153</f>
        <v>0.26711738060091716</v>
      </c>
    </row>
    <row r="231" spans="12:15" x14ac:dyDescent="0.3">
      <c r="L231" s="4">
        <f>Trades!P332</f>
        <v>0</v>
      </c>
      <c r="M231" s="5">
        <f>M230+Trades!T332</f>
        <v>1.1967529456859303</v>
      </c>
      <c r="N231" s="5">
        <f>N230+Trades!U332</f>
        <v>0.73184800580372744</v>
      </c>
      <c r="O231" s="5">
        <f>O230+Trades!W332</f>
        <v>0.26711738060091716</v>
      </c>
    </row>
    <row r="232" spans="12:15" x14ac:dyDescent="0.3">
      <c r="L232" s="4">
        <f>Trades!P342</f>
        <v>0</v>
      </c>
      <c r="M232" s="5">
        <f>M231+Trades!T342</f>
        <v>1.1967529456859303</v>
      </c>
      <c r="N232" s="5">
        <f>N231+Trades!U342</f>
        <v>0.73184800580372744</v>
      </c>
      <c r="O232" s="5">
        <f>O231+Trades!W342</f>
        <v>0.26711738060091716</v>
      </c>
    </row>
    <row r="233" spans="12:15" x14ac:dyDescent="0.3">
      <c r="L233" s="4">
        <f>Trades!P273</f>
        <v>0</v>
      </c>
      <c r="M233" s="5">
        <f>M232+Trades!T273</f>
        <v>1.1967529456859303</v>
      </c>
      <c r="N233" s="5">
        <f>N232+Trades!U273</f>
        <v>0.73184800580372744</v>
      </c>
      <c r="O233" s="5">
        <f>O232+Trades!W273</f>
        <v>0.26711738060091716</v>
      </c>
    </row>
    <row r="234" spans="12:15" x14ac:dyDescent="0.3">
      <c r="L234" s="4">
        <f>Trades!P220</f>
        <v>0</v>
      </c>
      <c r="M234" s="5">
        <f>M233+Trades!T220</f>
        <v>1.1967529456859303</v>
      </c>
      <c r="N234" s="5">
        <f>N233+Trades!U220</f>
        <v>0.73184800580372744</v>
      </c>
      <c r="O234" s="5">
        <f>O233+Trades!W220</f>
        <v>0.26711738060091716</v>
      </c>
    </row>
    <row r="235" spans="12:15" x14ac:dyDescent="0.3">
      <c r="L235" s="4">
        <f>Trades!P333</f>
        <v>0</v>
      </c>
      <c r="M235" s="5">
        <f>M234+Trades!T333</f>
        <v>1.1967529456859303</v>
      </c>
      <c r="N235" s="5">
        <f>N234+Trades!U333</f>
        <v>0.73184800580372744</v>
      </c>
      <c r="O235" s="5">
        <f>O234+Trades!W333</f>
        <v>0.26711738060091716</v>
      </c>
    </row>
    <row r="236" spans="12:15" x14ac:dyDescent="0.3">
      <c r="L236" s="4">
        <f>Trades!P300</f>
        <v>0</v>
      </c>
      <c r="M236" s="5">
        <f>M235+Trades!T300</f>
        <v>1.1967529456859303</v>
      </c>
      <c r="N236" s="5">
        <f>N235+Trades!U300</f>
        <v>0.73184800580372744</v>
      </c>
      <c r="O236" s="5">
        <f>O235+Trades!W300</f>
        <v>0.26711738060091716</v>
      </c>
    </row>
    <row r="237" spans="12:15" x14ac:dyDescent="0.3">
      <c r="L237" s="4">
        <f>Trades!P343</f>
        <v>0</v>
      </c>
      <c r="M237" s="5">
        <f>M236+Trades!T343</f>
        <v>1.1967529456859303</v>
      </c>
      <c r="N237" s="5">
        <f>N236+Trades!U343</f>
        <v>0.73184800580372744</v>
      </c>
      <c r="O237" s="5">
        <f>O236+Trades!W343</f>
        <v>0.26711738060091716</v>
      </c>
    </row>
    <row r="238" spans="12:15" x14ac:dyDescent="0.3">
      <c r="L238" s="4">
        <f>Trades!P334</f>
        <v>0</v>
      </c>
      <c r="M238" s="5">
        <f>M237+Trades!T334</f>
        <v>1.1967529456859303</v>
      </c>
      <c r="N238" s="5">
        <f>N237+Trades!U334</f>
        <v>0.73184800580372744</v>
      </c>
      <c r="O238" s="5">
        <f>O237+Trades!W334</f>
        <v>0.26711738060091716</v>
      </c>
    </row>
    <row r="239" spans="12:15" x14ac:dyDescent="0.3">
      <c r="L239" s="4">
        <f>Trades!P171</f>
        <v>0</v>
      </c>
      <c r="M239" s="5">
        <f>M238+Trades!T171</f>
        <v>1.1967529456859303</v>
      </c>
      <c r="N239" s="5">
        <f>N238+Trades!U171</f>
        <v>0.73184800580372744</v>
      </c>
      <c r="O239" s="5">
        <f>O238+Trades!W171</f>
        <v>0.26711738060091716</v>
      </c>
    </row>
    <row r="240" spans="12:15" x14ac:dyDescent="0.3">
      <c r="L240" s="4">
        <f>Trades!P230</f>
        <v>0</v>
      </c>
      <c r="M240" s="5">
        <f>M239+Trades!T230</f>
        <v>1.1967529456859303</v>
      </c>
      <c r="N240" s="5">
        <f>N239+Trades!U230</f>
        <v>0.73184800580372744</v>
      </c>
      <c r="O240" s="5">
        <f>O239+Trades!W230</f>
        <v>0.26711738060091716</v>
      </c>
    </row>
    <row r="241" spans="12:15" x14ac:dyDescent="0.3">
      <c r="L241" s="4">
        <f>Trades!P221</f>
        <v>0</v>
      </c>
      <c r="M241" s="5">
        <f>M240+Trades!T221</f>
        <v>1.1967529456859303</v>
      </c>
      <c r="N241" s="5">
        <f>N240+Trades!U221</f>
        <v>0.73184800580372744</v>
      </c>
      <c r="O241" s="5">
        <f>O240+Trades!W221</f>
        <v>0.26711738060091716</v>
      </c>
    </row>
    <row r="242" spans="12:15" x14ac:dyDescent="0.3">
      <c r="L242" s="4">
        <f>Trades!P312</f>
        <v>0</v>
      </c>
      <c r="M242" s="5">
        <f>M241+Trades!T312</f>
        <v>1.1967529456859303</v>
      </c>
      <c r="N242" s="5">
        <f>N241+Trades!U312</f>
        <v>0.73184800580372744</v>
      </c>
      <c r="O242" s="5">
        <f>O241+Trades!W312</f>
        <v>0.26711738060091716</v>
      </c>
    </row>
    <row r="243" spans="12:15" x14ac:dyDescent="0.3">
      <c r="L243" s="4">
        <f>Trades!P196</f>
        <v>0</v>
      </c>
      <c r="M243" s="5">
        <f>M242+Trades!T196</f>
        <v>1.1967529456859303</v>
      </c>
      <c r="N243" s="5">
        <f>N242+Trades!U196</f>
        <v>0.73184800580372744</v>
      </c>
      <c r="O243" s="5">
        <f>O242+Trades!W196</f>
        <v>0.26711738060091716</v>
      </c>
    </row>
    <row r="244" spans="12:15" x14ac:dyDescent="0.3">
      <c r="L244" s="4">
        <f>Trades!P322</f>
        <v>0</v>
      </c>
      <c r="M244" s="5">
        <f>M243+Trades!T322</f>
        <v>1.1967529456859303</v>
      </c>
      <c r="N244" s="5">
        <f>N243+Trades!U322</f>
        <v>0.73184800580372744</v>
      </c>
      <c r="O244" s="5">
        <f>O243+Trades!W322</f>
        <v>0.26711738060091716</v>
      </c>
    </row>
    <row r="245" spans="12:15" x14ac:dyDescent="0.3">
      <c r="L245" s="4">
        <f>Trades!P287</f>
        <v>0</v>
      </c>
      <c r="M245" s="5">
        <f>M244+Trades!T287</f>
        <v>1.1967529456859303</v>
      </c>
      <c r="N245" s="5">
        <f>N244+Trades!U287</f>
        <v>0.73184800580372744</v>
      </c>
      <c r="O245" s="5">
        <f>O244+Trades!W287</f>
        <v>0.26711738060091716</v>
      </c>
    </row>
    <row r="246" spans="12:15" x14ac:dyDescent="0.3">
      <c r="L246" s="4">
        <f>Trades!P120</f>
        <v>82839</v>
      </c>
      <c r="M246" s="5">
        <f>M245+Trades!T120</f>
        <v>1.2267530806738436</v>
      </c>
      <c r="N246" s="5">
        <f>N245+Trades!U120</f>
        <v>0.75840807889612016</v>
      </c>
      <c r="O246" s="5">
        <f>O245+Trades!W120</f>
        <v>0.29024402628041307</v>
      </c>
    </row>
    <row r="247" spans="12:15" x14ac:dyDescent="0.3">
      <c r="L247" s="4">
        <f>Trades!P242</f>
        <v>0</v>
      </c>
      <c r="M247" s="5">
        <f>M246+Trades!T242</f>
        <v>1.2267530806738436</v>
      </c>
      <c r="N247" s="5">
        <f>N246+Trades!U242</f>
        <v>0.75840807889612016</v>
      </c>
      <c r="O247" s="5">
        <f>O246+Trades!W242</f>
        <v>0.29024402628041307</v>
      </c>
    </row>
    <row r="248" spans="12:15" x14ac:dyDescent="0.3">
      <c r="L248" s="4">
        <f>Trades!P274</f>
        <v>0</v>
      </c>
      <c r="M248" s="5">
        <f>M247+Trades!T274</f>
        <v>1.2267530806738436</v>
      </c>
      <c r="N248" s="5">
        <f>N247+Trades!U274</f>
        <v>0.75840807889612016</v>
      </c>
      <c r="O248" s="5">
        <f>O247+Trades!W274</f>
        <v>0.29024402628041307</v>
      </c>
    </row>
    <row r="249" spans="12:15" x14ac:dyDescent="0.3">
      <c r="L249" s="4">
        <f>Trades!P344</f>
        <v>0</v>
      </c>
      <c r="M249" s="5">
        <f>M248+Trades!T344</f>
        <v>1.2267530806738436</v>
      </c>
      <c r="N249" s="5">
        <f>N248+Trades!U344</f>
        <v>0.75840807889612016</v>
      </c>
      <c r="O249" s="5">
        <f>O248+Trades!W344</f>
        <v>0.29024402628041307</v>
      </c>
    </row>
    <row r="250" spans="12:15" x14ac:dyDescent="0.3">
      <c r="L250" s="4">
        <f>Trades!P121</f>
        <v>83142</v>
      </c>
      <c r="M250" s="5">
        <f>M249+Trades!T121</f>
        <v>1.2426866174418676</v>
      </c>
      <c r="N250" s="5">
        <f>N249+Trades!U121</f>
        <v>0.77090595712342169</v>
      </c>
      <c r="O250" s="5">
        <f>O249+Trades!W121</f>
        <v>0.29930836379163073</v>
      </c>
    </row>
    <row r="251" spans="12:15" x14ac:dyDescent="0.3">
      <c r="L251" s="4">
        <f>Trades!P172</f>
        <v>0</v>
      </c>
      <c r="M251" s="5">
        <f>M250+Trades!T172</f>
        <v>1.2426866174418676</v>
      </c>
      <c r="N251" s="5">
        <f>N250+Trades!U172</f>
        <v>0.77090595712342169</v>
      </c>
      <c r="O251" s="5">
        <f>O250+Trades!W172</f>
        <v>0.29930836379163073</v>
      </c>
    </row>
    <row r="252" spans="12:15" x14ac:dyDescent="0.3">
      <c r="L252" s="4">
        <f>Trades!P301</f>
        <v>0</v>
      </c>
      <c r="M252" s="5">
        <f>M251+Trades!T301</f>
        <v>1.2426866174418676</v>
      </c>
      <c r="N252" s="5">
        <f>N251+Trades!U301</f>
        <v>0.77090595712342169</v>
      </c>
      <c r="O252" s="5">
        <f>O251+Trades!W301</f>
        <v>0.29930836379163073</v>
      </c>
    </row>
    <row r="253" spans="12:15" x14ac:dyDescent="0.3">
      <c r="L253" s="4">
        <f>Trades!P323</f>
        <v>0</v>
      </c>
      <c r="M253" s="5">
        <f>M252+Trades!T323</f>
        <v>1.2426866174418676</v>
      </c>
      <c r="N253" s="5">
        <f>N252+Trades!U323</f>
        <v>0.77090595712342169</v>
      </c>
      <c r="O253" s="5">
        <f>O252+Trades!W323</f>
        <v>0.29930836379163073</v>
      </c>
    </row>
    <row r="254" spans="12:15" x14ac:dyDescent="0.3">
      <c r="L254" s="4">
        <f>Trades!P313</f>
        <v>0</v>
      </c>
      <c r="M254" s="5">
        <f>M253+Trades!T313</f>
        <v>1.2426866174418676</v>
      </c>
      <c r="N254" s="5">
        <f>N253+Trades!U313</f>
        <v>0.77090595712342169</v>
      </c>
      <c r="O254" s="5">
        <f>O253+Trades!W313</f>
        <v>0.29930836379163073</v>
      </c>
    </row>
    <row r="255" spans="12:15" x14ac:dyDescent="0.3">
      <c r="L255" s="4">
        <f>Trades!P243</f>
        <v>0</v>
      </c>
      <c r="M255" s="5">
        <f>M254+Trades!T243</f>
        <v>1.2426866174418676</v>
      </c>
      <c r="N255" s="5">
        <f>N254+Trades!U243</f>
        <v>0.77090595712342169</v>
      </c>
      <c r="O255" s="5">
        <f>O254+Trades!W243</f>
        <v>0.29930836379163073</v>
      </c>
    </row>
    <row r="256" spans="12:15" x14ac:dyDescent="0.3">
      <c r="L256" s="4">
        <f>Trades!P205</f>
        <v>0</v>
      </c>
      <c r="M256" s="5">
        <f>M255+Trades!T205</f>
        <v>1.2426866174418676</v>
      </c>
      <c r="N256" s="5">
        <f>N255+Trades!U205</f>
        <v>0.77090595712342169</v>
      </c>
      <c r="O256" s="5">
        <f>O255+Trades!W205</f>
        <v>0.29930836379163073</v>
      </c>
    </row>
    <row r="257" spans="12:15" x14ac:dyDescent="0.3">
      <c r="L257" s="4">
        <f>Trades!P184</f>
        <v>0</v>
      </c>
      <c r="M257" s="5">
        <f>M256+Trades!T184</f>
        <v>1.2426866174418676</v>
      </c>
      <c r="N257" s="5">
        <f>N256+Trades!U184</f>
        <v>0.77090595712342169</v>
      </c>
      <c r="O257" s="5">
        <f>O256+Trades!W184</f>
        <v>0.29930836379163073</v>
      </c>
    </row>
    <row r="258" spans="12:15" x14ac:dyDescent="0.3">
      <c r="L258" s="4">
        <f>Trades!P231</f>
        <v>0</v>
      </c>
      <c r="M258" s="5">
        <f>M257+Trades!T231</f>
        <v>1.2426866174418676</v>
      </c>
      <c r="N258" s="5">
        <f>N257+Trades!U231</f>
        <v>0.77090595712342169</v>
      </c>
      <c r="O258" s="5">
        <f>O257+Trades!W231</f>
        <v>0.29930836379163073</v>
      </c>
    </row>
    <row r="259" spans="12:15" x14ac:dyDescent="0.3">
      <c r="L259" s="4">
        <f>Trades!P142</f>
        <v>0</v>
      </c>
      <c r="M259" s="5">
        <f>M258+Trades!T142</f>
        <v>1.2426866174418676</v>
      </c>
      <c r="N259" s="5">
        <f>N258+Trades!U142</f>
        <v>0.77090595712342169</v>
      </c>
      <c r="O259" s="5">
        <f>O258+Trades!W142</f>
        <v>0.29930836379163073</v>
      </c>
    </row>
    <row r="260" spans="12:15" x14ac:dyDescent="0.3">
      <c r="L260" s="4">
        <f>Trades!P154</f>
        <v>0</v>
      </c>
      <c r="M260" s="5">
        <f>M259+Trades!T154</f>
        <v>1.2426866174418676</v>
      </c>
      <c r="N260" s="5">
        <f>N259+Trades!U154</f>
        <v>0.77090595712342169</v>
      </c>
      <c r="O260" s="5">
        <f>O259+Trades!W154</f>
        <v>0.29930836379163073</v>
      </c>
    </row>
    <row r="261" spans="12:15" x14ac:dyDescent="0.3">
      <c r="L261" s="4">
        <f>Trades!P275</f>
        <v>0</v>
      </c>
      <c r="M261" s="5">
        <f>M260+Trades!T275</f>
        <v>1.2426866174418676</v>
      </c>
      <c r="N261" s="5">
        <f>N260+Trades!U275</f>
        <v>0.77090595712342169</v>
      </c>
      <c r="O261" s="5">
        <f>O260+Trades!W275</f>
        <v>0.29930836379163073</v>
      </c>
    </row>
    <row r="262" spans="12:15" x14ac:dyDescent="0.3">
      <c r="L262" s="4">
        <f>Trades!P133</f>
        <v>87887</v>
      </c>
      <c r="M262" s="5">
        <f>M261+Trades!T133</f>
        <v>1.2555071600895</v>
      </c>
      <c r="N262" s="5">
        <f>N261+Trades!U133</f>
        <v>0.77932415620208428</v>
      </c>
      <c r="O262" s="5">
        <f>O261+Trades!W133</f>
        <v>0.30332269901915754</v>
      </c>
    </row>
    <row r="263" spans="12:15" x14ac:dyDescent="0.3">
      <c r="L263" s="4">
        <f>Trades!P244</f>
        <v>0</v>
      </c>
      <c r="M263" s="5">
        <f>M262+Trades!T244</f>
        <v>1.2555071600895</v>
      </c>
      <c r="N263" s="5">
        <f>N262+Trades!U244</f>
        <v>0.77932415620208428</v>
      </c>
      <c r="O263" s="5">
        <f>O262+Trades!W244</f>
        <v>0.30332269901915754</v>
      </c>
    </row>
    <row r="264" spans="12:15" x14ac:dyDescent="0.3">
      <c r="L264" s="4">
        <f>Trades!P162</f>
        <v>0</v>
      </c>
      <c r="M264" s="5">
        <f>M263+Trades!T162</f>
        <v>1.2555071600895</v>
      </c>
      <c r="N264" s="5">
        <f>N263+Trades!U162</f>
        <v>0.77932415620208428</v>
      </c>
      <c r="O264" s="5">
        <f>O263+Trades!W162</f>
        <v>0.30332269901915754</v>
      </c>
    </row>
    <row r="265" spans="12:15" x14ac:dyDescent="0.3">
      <c r="L265" s="4">
        <f>Trades!P185</f>
        <v>0</v>
      </c>
      <c r="M265" s="5">
        <f>M264+Trades!T185</f>
        <v>1.2555071600895</v>
      </c>
      <c r="N265" s="5">
        <f>N264+Trades!U185</f>
        <v>0.77932415620208428</v>
      </c>
      <c r="O265" s="5">
        <f>O264+Trades!W185</f>
        <v>0.30332269901915754</v>
      </c>
    </row>
    <row r="266" spans="12:15" x14ac:dyDescent="0.3">
      <c r="L266" s="4">
        <f>Trades!P173</f>
        <v>0</v>
      </c>
      <c r="M266" s="5">
        <f>M265+Trades!T173</f>
        <v>1.2555071600895</v>
      </c>
      <c r="N266" s="5">
        <f>N265+Trades!U173</f>
        <v>0.77932415620208428</v>
      </c>
      <c r="O266" s="5">
        <f>O265+Trades!W173</f>
        <v>0.30332269901915754</v>
      </c>
    </row>
    <row r="267" spans="12:15" x14ac:dyDescent="0.3">
      <c r="L267" s="4">
        <f>Trades!P232</f>
        <v>0</v>
      </c>
      <c r="M267" s="5">
        <f>M266+Trades!T232</f>
        <v>1.2555071600895</v>
      </c>
      <c r="N267" s="5">
        <f>N266+Trades!U232</f>
        <v>0.77932415620208428</v>
      </c>
      <c r="O267" s="5">
        <f>O266+Trades!W232</f>
        <v>0.30332269901915754</v>
      </c>
    </row>
    <row r="268" spans="12:15" x14ac:dyDescent="0.3">
      <c r="L268" s="4">
        <f>Trades!P122</f>
        <v>83676</v>
      </c>
      <c r="M268" s="5">
        <f>M267+Trades!T122</f>
        <v>1.2302957480248693</v>
      </c>
      <c r="N268" s="5">
        <f>N267+Trades!U122</f>
        <v>0.75068149454602484</v>
      </c>
      <c r="O268" s="5">
        <f>O267+Trades!W122</f>
        <v>0.27124649664701422</v>
      </c>
    </row>
    <row r="269" spans="12:15" x14ac:dyDescent="0.3">
      <c r="L269" s="4">
        <f>Trades!P134</f>
        <v>88316</v>
      </c>
      <c r="M269" s="5">
        <f>M268+Trades!T134</f>
        <v>1.2932897405236716</v>
      </c>
      <c r="N269" s="5">
        <f>N268+Trades!U134</f>
        <v>0.80928570315983928</v>
      </c>
      <c r="O269" s="5">
        <f>O268+Trades!W134</f>
        <v>0.32544684140969293</v>
      </c>
    </row>
    <row r="270" spans="12:15" x14ac:dyDescent="0.3">
      <c r="L270" s="4">
        <f>Trades!P302</f>
        <v>0</v>
      </c>
      <c r="M270" s="5">
        <f>M269+Trades!T302</f>
        <v>1.2932897405236716</v>
      </c>
      <c r="N270" s="5">
        <f>N269+Trades!U302</f>
        <v>0.80928570315983928</v>
      </c>
      <c r="O270" s="5">
        <f>O269+Trades!W302</f>
        <v>0.32544684140969293</v>
      </c>
    </row>
    <row r="271" spans="12:15" x14ac:dyDescent="0.3">
      <c r="L271" s="4">
        <f>Trades!P276</f>
        <v>0</v>
      </c>
      <c r="M271" s="5">
        <f>M270+Trades!T276</f>
        <v>1.2932897405236716</v>
      </c>
      <c r="N271" s="5">
        <f>N270+Trades!U276</f>
        <v>0.80928570315983928</v>
      </c>
      <c r="O271" s="5">
        <f>O270+Trades!W276</f>
        <v>0.32544684140969293</v>
      </c>
    </row>
    <row r="272" spans="12:15" x14ac:dyDescent="0.3">
      <c r="L272" s="4">
        <f>Trades!P135</f>
        <v>88707</v>
      </c>
      <c r="M272" s="5">
        <f>M271+Trades!T135</f>
        <v>1.3405935917099607</v>
      </c>
      <c r="N272" s="5">
        <f>N271+Trades!U135</f>
        <v>0.85218170126306991</v>
      </c>
      <c r="O272" s="5">
        <f>O271+Trades!W135</f>
        <v>0.36393897566178779</v>
      </c>
    </row>
    <row r="273" spans="12:15" x14ac:dyDescent="0.3">
      <c r="L273" s="4">
        <f>Trades!P277</f>
        <v>0</v>
      </c>
      <c r="M273" s="5">
        <f>M272+Trades!T277</f>
        <v>1.3405935917099607</v>
      </c>
      <c r="N273" s="5">
        <f>N272+Trades!U277</f>
        <v>0.85218170126306991</v>
      </c>
      <c r="O273" s="5">
        <f>O272+Trades!W277</f>
        <v>0.36393897566178779</v>
      </c>
    </row>
    <row r="274" spans="12:15" x14ac:dyDescent="0.3">
      <c r="L274" s="4">
        <f>Trades!P123</f>
        <v>84022</v>
      </c>
      <c r="M274" s="5">
        <f>M273+Trades!T123</f>
        <v>1.3212182748322725</v>
      </c>
      <c r="N274" s="5">
        <f>N273+Trades!U123</f>
        <v>0.82936591234622903</v>
      </c>
      <c r="O274" s="5">
        <f>O273+Trades!W123</f>
        <v>0.33768975933205014</v>
      </c>
    </row>
    <row r="275" spans="12:15" x14ac:dyDescent="0.3">
      <c r="L275" s="4">
        <f>Trades!P222</f>
        <v>0</v>
      </c>
      <c r="M275" s="5">
        <f>M274+Trades!T222</f>
        <v>1.3212182748322725</v>
      </c>
      <c r="N275" s="5">
        <f>N274+Trades!U222</f>
        <v>0.82936591234622903</v>
      </c>
      <c r="O275" s="5">
        <f>O274+Trades!W222</f>
        <v>0.33768975933205014</v>
      </c>
    </row>
    <row r="276" spans="12:15" x14ac:dyDescent="0.3">
      <c r="L276" s="4">
        <f>Trades!P254</f>
        <v>0</v>
      </c>
      <c r="M276" s="5">
        <f>M275+Trades!T254</f>
        <v>1.3212182748322725</v>
      </c>
      <c r="N276" s="5">
        <f>N275+Trades!U254</f>
        <v>0.82936591234622903</v>
      </c>
      <c r="O276" s="5">
        <f>O275+Trades!W254</f>
        <v>0.33768975933205014</v>
      </c>
    </row>
    <row r="277" spans="12:15" x14ac:dyDescent="0.3">
      <c r="L277" s="4">
        <f>Trades!P163</f>
        <v>0</v>
      </c>
      <c r="M277" s="5">
        <f>M276+Trades!T163</f>
        <v>1.3212182748322725</v>
      </c>
      <c r="N277" s="5">
        <f>N276+Trades!U163</f>
        <v>0.82936591234622903</v>
      </c>
      <c r="O277" s="5">
        <f>O276+Trades!W163</f>
        <v>0.33768975933205014</v>
      </c>
    </row>
    <row r="278" spans="12:15" x14ac:dyDescent="0.3">
      <c r="L278" s="4">
        <f>Trades!P303</f>
        <v>0</v>
      </c>
      <c r="M278" s="5">
        <f>M277+Trades!T303</f>
        <v>1.3212182748322725</v>
      </c>
      <c r="N278" s="5">
        <f>N277+Trades!U303</f>
        <v>0.82936591234622903</v>
      </c>
      <c r="O278" s="5">
        <f>O277+Trades!W303</f>
        <v>0.33768975933205014</v>
      </c>
    </row>
    <row r="279" spans="12:15" x14ac:dyDescent="0.3">
      <c r="L279" s="4">
        <f>Trades!P186</f>
        <v>0</v>
      </c>
      <c r="M279" s="5">
        <f>M278+Trades!T186</f>
        <v>1.3212182748322725</v>
      </c>
      <c r="N279" s="5">
        <f>N278+Trades!U186</f>
        <v>0.82936591234622903</v>
      </c>
      <c r="O279" s="5">
        <f>O278+Trades!W186</f>
        <v>0.33768975933205014</v>
      </c>
    </row>
    <row r="280" spans="12:15" x14ac:dyDescent="0.3">
      <c r="L280" s="4">
        <f>Trades!P197</f>
        <v>0</v>
      </c>
      <c r="M280" s="5">
        <f>M279+Trades!T197</f>
        <v>1.3212182748322725</v>
      </c>
      <c r="N280" s="5">
        <f>N279+Trades!U197</f>
        <v>0.82936591234622903</v>
      </c>
      <c r="O280" s="5">
        <f>O279+Trades!W197</f>
        <v>0.33768975933205014</v>
      </c>
    </row>
    <row r="281" spans="12:15" x14ac:dyDescent="0.3">
      <c r="L281" s="4">
        <f>Trades!P155</f>
        <v>0</v>
      </c>
      <c r="M281" s="5">
        <f>M280+Trades!T155</f>
        <v>1.3212182748322725</v>
      </c>
      <c r="N281" s="5">
        <f>N280+Trades!U155</f>
        <v>0.82936591234622903</v>
      </c>
      <c r="O281" s="5">
        <f>O280+Trades!W155</f>
        <v>0.33768975933205014</v>
      </c>
    </row>
    <row r="282" spans="12:15" x14ac:dyDescent="0.3">
      <c r="L282" s="4">
        <f>Trades!P245</f>
        <v>0</v>
      </c>
      <c r="M282" s="5">
        <f>M281+Trades!T245</f>
        <v>1.3212182748322725</v>
      </c>
      <c r="N282" s="5">
        <f>N281+Trades!U245</f>
        <v>0.82936591234622903</v>
      </c>
      <c r="O282" s="5">
        <f>O281+Trades!W245</f>
        <v>0.33768975933205014</v>
      </c>
    </row>
    <row r="283" spans="12:15" x14ac:dyDescent="0.3">
      <c r="L283" s="4">
        <f>Trades!P324</f>
        <v>0</v>
      </c>
      <c r="M283" s="5">
        <f>M282+Trades!T324</f>
        <v>1.3212182748322725</v>
      </c>
      <c r="N283" s="5">
        <f>N282+Trades!U324</f>
        <v>0.82936591234622903</v>
      </c>
      <c r="O283" s="5">
        <f>O282+Trades!W324</f>
        <v>0.33768975933205014</v>
      </c>
    </row>
    <row r="284" spans="12:15" x14ac:dyDescent="0.3">
      <c r="L284" s="4">
        <f>Trades!P288</f>
        <v>0</v>
      </c>
      <c r="M284" s="5">
        <f>M283+Trades!T288</f>
        <v>1.3212182748322725</v>
      </c>
      <c r="N284" s="5">
        <f>N283+Trades!U288</f>
        <v>0.82936591234622903</v>
      </c>
      <c r="O284" s="5">
        <f>O283+Trades!W288</f>
        <v>0.33768975933205014</v>
      </c>
    </row>
    <row r="285" spans="12:15" x14ac:dyDescent="0.3">
      <c r="L285" s="4">
        <f>Trades!P335</f>
        <v>0</v>
      </c>
      <c r="M285" s="5">
        <f>M284+Trades!T335</f>
        <v>1.3212182748322725</v>
      </c>
      <c r="N285" s="5">
        <f>N284+Trades!U335</f>
        <v>0.82936591234622903</v>
      </c>
      <c r="O285" s="5">
        <f>O284+Trades!W335</f>
        <v>0.33768975933205014</v>
      </c>
    </row>
    <row r="286" spans="12:15" x14ac:dyDescent="0.3">
      <c r="L286" s="4">
        <f>Trades!P314</f>
        <v>0</v>
      </c>
      <c r="M286" s="5">
        <f>M285+Trades!T314</f>
        <v>1.3212182748322725</v>
      </c>
      <c r="N286" s="5">
        <f>N285+Trades!U314</f>
        <v>0.82936591234622903</v>
      </c>
      <c r="O286" s="5">
        <f>O285+Trades!W314</f>
        <v>0.33768975933205014</v>
      </c>
    </row>
    <row r="287" spans="12:15" x14ac:dyDescent="0.3">
      <c r="L287" s="4">
        <f>Trades!P206</f>
        <v>0</v>
      </c>
      <c r="M287" s="5">
        <f>M286+Trades!T206</f>
        <v>1.3212182748322725</v>
      </c>
      <c r="N287" s="5">
        <f>N286+Trades!U206</f>
        <v>0.82936591234622903</v>
      </c>
      <c r="O287" s="5">
        <f>O286+Trades!W206</f>
        <v>0.33768975933205014</v>
      </c>
    </row>
    <row r="288" spans="12:15" x14ac:dyDescent="0.3">
      <c r="L288" s="4">
        <f>Trades!P233</f>
        <v>0</v>
      </c>
      <c r="M288" s="5">
        <f>M287+Trades!T233</f>
        <v>1.3212182748322725</v>
      </c>
      <c r="N288" s="5">
        <f>N287+Trades!U233</f>
        <v>0.82936591234622903</v>
      </c>
      <c r="O288" s="5">
        <f>O287+Trades!W233</f>
        <v>0.33768975933205014</v>
      </c>
    </row>
    <row r="289" spans="12:15" x14ac:dyDescent="0.3">
      <c r="L289" s="4">
        <f>Trades!P143</f>
        <v>0</v>
      </c>
      <c r="M289" s="5">
        <f>M288+Trades!T143</f>
        <v>1.3212182748322725</v>
      </c>
      <c r="N289" s="5">
        <f>N288+Trades!U143</f>
        <v>0.82936591234622903</v>
      </c>
      <c r="O289" s="5">
        <f>O288+Trades!W143</f>
        <v>0.33768975933205014</v>
      </c>
    </row>
    <row r="290" spans="12:15" x14ac:dyDescent="0.3">
      <c r="L290" s="4">
        <f>Trades!P345</f>
        <v>0</v>
      </c>
      <c r="M290" s="5">
        <f>M289+Trades!T345</f>
        <v>1.3212182748322725</v>
      </c>
      <c r="N290" s="5">
        <f>N289+Trades!U345</f>
        <v>0.82936591234622903</v>
      </c>
      <c r="O290" s="5">
        <f>O289+Trades!W345</f>
        <v>0.33768975933205014</v>
      </c>
    </row>
    <row r="291" spans="12:15" x14ac:dyDescent="0.3">
      <c r="L291" s="4">
        <f>Trades!P263</f>
        <v>0</v>
      </c>
      <c r="M291" s="5">
        <f>M290+Trades!T263</f>
        <v>1.3212182748322725</v>
      </c>
      <c r="N291" s="5">
        <f>N290+Trades!U263</f>
        <v>0.82936591234622903</v>
      </c>
      <c r="O291" s="5">
        <f>O290+Trades!W263</f>
        <v>0.33768975933205014</v>
      </c>
    </row>
    <row r="292" spans="12:15" x14ac:dyDescent="0.3">
      <c r="L292" s="4">
        <f>Trades!P207</f>
        <v>0</v>
      </c>
      <c r="M292" s="5">
        <f>M291+Trades!T207</f>
        <v>1.3212182748322725</v>
      </c>
      <c r="N292" s="5">
        <f>N291+Trades!U207</f>
        <v>0.82936591234622903</v>
      </c>
      <c r="O292" s="5">
        <f>O291+Trades!W207</f>
        <v>0.33768975933205014</v>
      </c>
    </row>
    <row r="293" spans="12:15" x14ac:dyDescent="0.3">
      <c r="L293" s="4">
        <f>Trades!P346</f>
        <v>0</v>
      </c>
      <c r="M293" s="5">
        <f>M292+Trades!T346</f>
        <v>1.3212182748322725</v>
      </c>
      <c r="N293" s="5">
        <f>N292+Trades!U346</f>
        <v>0.82936591234622903</v>
      </c>
      <c r="O293" s="5">
        <f>O292+Trades!W346</f>
        <v>0.33768975933205014</v>
      </c>
    </row>
    <row r="294" spans="12:15" x14ac:dyDescent="0.3">
      <c r="L294" s="4">
        <f>Trades!P174</f>
        <v>0</v>
      </c>
      <c r="M294" s="5">
        <f>M293+Trades!T174</f>
        <v>1.3212182748322725</v>
      </c>
      <c r="N294" s="5">
        <f>N293+Trades!U174</f>
        <v>0.82936591234622903</v>
      </c>
      <c r="O294" s="5">
        <f>O293+Trades!W174</f>
        <v>0.33768975933205014</v>
      </c>
    </row>
    <row r="295" spans="12:15" x14ac:dyDescent="0.3">
      <c r="L295" s="4">
        <f>Trades!P208</f>
        <v>0</v>
      </c>
      <c r="M295" s="5">
        <f>M294+Trades!T208</f>
        <v>1.3212182748322725</v>
      </c>
      <c r="N295" s="5">
        <f>N294+Trades!U208</f>
        <v>0.82936591234622903</v>
      </c>
      <c r="O295" s="5">
        <f>O294+Trades!W208</f>
        <v>0.33768975933205014</v>
      </c>
    </row>
    <row r="296" spans="12:15" x14ac:dyDescent="0.3">
      <c r="L296" s="4">
        <f>Trades!P223</f>
        <v>0</v>
      </c>
      <c r="M296" s="5">
        <f>M295+Trades!T223</f>
        <v>1.3212182748322725</v>
      </c>
      <c r="N296" s="5">
        <f>N295+Trades!U223</f>
        <v>0.82936591234622903</v>
      </c>
      <c r="O296" s="5">
        <f>O295+Trades!W223</f>
        <v>0.33768975933205014</v>
      </c>
    </row>
    <row r="297" spans="12:15" x14ac:dyDescent="0.3">
      <c r="L297" s="4">
        <f>Trades!P246</f>
        <v>0</v>
      </c>
      <c r="M297" s="5">
        <f>M296+Trades!T246</f>
        <v>1.3212182748322725</v>
      </c>
      <c r="N297" s="5">
        <f>N296+Trades!U246</f>
        <v>0.82936591234622903</v>
      </c>
      <c r="O297" s="5">
        <f>O296+Trades!W246</f>
        <v>0.33768975933205014</v>
      </c>
    </row>
    <row r="298" spans="12:15" x14ac:dyDescent="0.3">
      <c r="L298" s="4">
        <f>Trades!P304</f>
        <v>0</v>
      </c>
      <c r="M298" s="5">
        <f>M297+Trades!T304</f>
        <v>1.3212182748322725</v>
      </c>
      <c r="N298" s="5">
        <f>N297+Trades!U304</f>
        <v>0.82936591234622903</v>
      </c>
      <c r="O298" s="5">
        <f>O297+Trades!W304</f>
        <v>0.33768975933205014</v>
      </c>
    </row>
    <row r="299" spans="12:15" x14ac:dyDescent="0.3">
      <c r="L299" s="4">
        <f>Trades!P278</f>
        <v>0</v>
      </c>
      <c r="M299" s="5">
        <f>M298+Trades!T278</f>
        <v>1.3212182748322725</v>
      </c>
      <c r="N299" s="5">
        <f>N298+Trades!U278</f>
        <v>0.82936591234622903</v>
      </c>
      <c r="O299" s="5">
        <f>O298+Trades!W278</f>
        <v>0.33768975933205014</v>
      </c>
    </row>
    <row r="300" spans="12:15" x14ac:dyDescent="0.3">
      <c r="L300" s="4">
        <f>Trades!P325</f>
        <v>0</v>
      </c>
      <c r="M300" s="5">
        <f>M299+Trades!T325</f>
        <v>1.3212182748322725</v>
      </c>
      <c r="N300" s="5">
        <f>N299+Trades!U325</f>
        <v>0.82936591234622903</v>
      </c>
      <c r="O300" s="5">
        <f>O299+Trades!W325</f>
        <v>0.33768975933205014</v>
      </c>
    </row>
    <row r="301" spans="12:15" x14ac:dyDescent="0.3">
      <c r="L301" s="4">
        <f>Trades!P347</f>
        <v>0</v>
      </c>
      <c r="M301" s="5">
        <f>M300+Trades!T347</f>
        <v>1.3212182748322725</v>
      </c>
      <c r="N301" s="5">
        <f>N300+Trades!U347</f>
        <v>0.82936591234622903</v>
      </c>
      <c r="O301" s="5">
        <f>O300+Trades!W347</f>
        <v>0.33768975933205014</v>
      </c>
    </row>
    <row r="302" spans="12:15" x14ac:dyDescent="0.3">
      <c r="L302" s="4">
        <f>Trades!P289</f>
        <v>0</v>
      </c>
      <c r="M302" s="5">
        <f>M301+Trades!T289</f>
        <v>1.3212182748322725</v>
      </c>
      <c r="N302" s="5">
        <f>N301+Trades!U289</f>
        <v>0.82936591234622903</v>
      </c>
      <c r="O302" s="5">
        <f>O301+Trades!W289</f>
        <v>0.33768975933205014</v>
      </c>
    </row>
    <row r="303" spans="12:15" x14ac:dyDescent="0.3">
      <c r="L303" s="4">
        <f>Trades!P144</f>
        <v>0</v>
      </c>
      <c r="M303" s="5">
        <f>M302+Trades!T144</f>
        <v>1.3212182748322725</v>
      </c>
      <c r="N303" s="5">
        <f>N302+Trades!U144</f>
        <v>0.82936591234622903</v>
      </c>
      <c r="O303" s="5">
        <f>O302+Trades!W144</f>
        <v>0.33768975933205014</v>
      </c>
    </row>
    <row r="304" spans="12:15" x14ac:dyDescent="0.3">
      <c r="L304" s="4">
        <f>Trades!P255</f>
        <v>0</v>
      </c>
      <c r="M304" s="5">
        <f>M303+Trades!T255</f>
        <v>1.3212182748322725</v>
      </c>
      <c r="N304" s="5">
        <f>N303+Trades!U255</f>
        <v>0.82936591234622903</v>
      </c>
      <c r="O304" s="5">
        <f>O303+Trades!W255</f>
        <v>0.33768975933205014</v>
      </c>
    </row>
    <row r="305" spans="12:15" x14ac:dyDescent="0.3">
      <c r="L305" s="4">
        <f>Trades!P156</f>
        <v>0</v>
      </c>
      <c r="M305" s="5">
        <f>M304+Trades!T156</f>
        <v>1.3212182748322725</v>
      </c>
      <c r="N305" s="5">
        <f>N304+Trades!U156</f>
        <v>0.82936591234622903</v>
      </c>
      <c r="O305" s="5">
        <f>O304+Trades!W156</f>
        <v>0.33768975933205014</v>
      </c>
    </row>
    <row r="306" spans="12:15" x14ac:dyDescent="0.3">
      <c r="L306" s="4">
        <f>Trades!P198</f>
        <v>0</v>
      </c>
      <c r="M306" s="5">
        <f>M305+Trades!T198</f>
        <v>1.3212182748322725</v>
      </c>
      <c r="N306" s="5">
        <f>N305+Trades!U198</f>
        <v>0.82936591234622903</v>
      </c>
      <c r="O306" s="5">
        <f>O305+Trades!W198</f>
        <v>0.33768975933205014</v>
      </c>
    </row>
    <row r="307" spans="12:15" x14ac:dyDescent="0.3">
      <c r="L307" s="4">
        <f>Trades!P209</f>
        <v>0</v>
      </c>
      <c r="M307" s="5">
        <f>M306+Trades!T209</f>
        <v>1.3212182748322725</v>
      </c>
      <c r="N307" s="5">
        <f>N306+Trades!U209</f>
        <v>0.82936591234622903</v>
      </c>
      <c r="O307" s="5">
        <f>O306+Trades!W209</f>
        <v>0.33768975933205014</v>
      </c>
    </row>
    <row r="308" spans="12:15" x14ac:dyDescent="0.3">
      <c r="L308" s="4">
        <f>Trades!P264</f>
        <v>0</v>
      </c>
      <c r="M308" s="5">
        <f>M307+Trades!T264</f>
        <v>1.3212182748322725</v>
      </c>
      <c r="N308" s="5">
        <f>N307+Trades!U264</f>
        <v>0.82936591234622903</v>
      </c>
      <c r="O308" s="5">
        <f>O307+Trades!W264</f>
        <v>0.33768975933205014</v>
      </c>
    </row>
    <row r="309" spans="12:15" x14ac:dyDescent="0.3">
      <c r="L309" s="4">
        <f>Trades!P145</f>
        <v>0</v>
      </c>
      <c r="M309" s="5">
        <f>M308+Trades!T145</f>
        <v>1.3212182748322725</v>
      </c>
      <c r="N309" s="5">
        <f>N308+Trades!U145</f>
        <v>0.82936591234622903</v>
      </c>
      <c r="O309" s="5">
        <f>O308+Trades!W145</f>
        <v>0.33768975933205014</v>
      </c>
    </row>
    <row r="310" spans="12:15" x14ac:dyDescent="0.3">
      <c r="L310" s="4">
        <f>Trades!P187</f>
        <v>0</v>
      </c>
      <c r="M310" s="5">
        <f>M309+Trades!T187</f>
        <v>1.3212182748322725</v>
      </c>
      <c r="N310" s="5">
        <f>N309+Trades!U187</f>
        <v>0.82936591234622903</v>
      </c>
      <c r="O310" s="5">
        <f>O309+Trades!W187</f>
        <v>0.33768975933205014</v>
      </c>
    </row>
    <row r="311" spans="12:15" x14ac:dyDescent="0.3">
      <c r="L311" s="4">
        <f>Trades!P175</f>
        <v>0</v>
      </c>
      <c r="M311" s="5">
        <f>M310+Trades!T175</f>
        <v>1.3212182748322725</v>
      </c>
      <c r="N311" s="5">
        <f>N310+Trades!U175</f>
        <v>0.82936591234622903</v>
      </c>
      <c r="O311" s="5">
        <f>O310+Trades!W175</f>
        <v>0.33768975933205014</v>
      </c>
    </row>
    <row r="312" spans="12:15" x14ac:dyDescent="0.3">
      <c r="L312" s="4">
        <f>Trades!P265</f>
        <v>0</v>
      </c>
      <c r="M312" s="5">
        <f>M311+Trades!T265</f>
        <v>1.3212182748322725</v>
      </c>
      <c r="N312" s="5">
        <f>N311+Trades!U265</f>
        <v>0.82936591234622903</v>
      </c>
      <c r="O312" s="5">
        <f>O311+Trades!W265</f>
        <v>0.33768975933205014</v>
      </c>
    </row>
    <row r="313" spans="12:15" x14ac:dyDescent="0.3">
      <c r="L313" s="4">
        <f>Trades!P234</f>
        <v>0</v>
      </c>
      <c r="M313" s="5">
        <f>M312+Trades!T234</f>
        <v>1.3212182748322725</v>
      </c>
      <c r="N313" s="5">
        <f>N312+Trades!U234</f>
        <v>0.82936591234622903</v>
      </c>
      <c r="O313" s="5">
        <f>O312+Trades!W234</f>
        <v>0.33768975933205014</v>
      </c>
    </row>
    <row r="314" spans="12:15" x14ac:dyDescent="0.3">
      <c r="L314" s="4">
        <f>Trades!P305</f>
        <v>0</v>
      </c>
      <c r="M314" s="5">
        <f>M313+Trades!T305</f>
        <v>1.3212182748322725</v>
      </c>
      <c r="N314" s="5">
        <f>N313+Trades!U305</f>
        <v>0.82936591234622903</v>
      </c>
      <c r="O314" s="5">
        <f>O313+Trades!W305</f>
        <v>0.33768975933205014</v>
      </c>
    </row>
    <row r="315" spans="12:15" x14ac:dyDescent="0.3">
      <c r="L315" s="4">
        <f>Trades!P306</f>
        <v>0</v>
      </c>
      <c r="M315" s="5">
        <f>M314+Trades!T306</f>
        <v>1.3212182748322725</v>
      </c>
      <c r="N315" s="5">
        <f>N314+Trades!U306</f>
        <v>0.82936591234622903</v>
      </c>
      <c r="O315" s="5">
        <f>O314+Trades!W306</f>
        <v>0.33768975933205014</v>
      </c>
    </row>
    <row r="316" spans="12:15" x14ac:dyDescent="0.3">
      <c r="L316" s="4">
        <f>Trades!P157</f>
        <v>0</v>
      </c>
      <c r="M316" s="5">
        <f>M315+Trades!T157</f>
        <v>1.3212182748322725</v>
      </c>
      <c r="N316" s="5">
        <f>N315+Trades!U157</f>
        <v>0.82936591234622903</v>
      </c>
      <c r="O316" s="5">
        <f>O315+Trades!W157</f>
        <v>0.33768975933205014</v>
      </c>
    </row>
    <row r="317" spans="12:15" x14ac:dyDescent="0.3">
      <c r="L317" s="4">
        <f>Trades!P210</f>
        <v>0</v>
      </c>
      <c r="M317" s="5">
        <f>M316+Trades!T210</f>
        <v>1.3212182748322725</v>
      </c>
      <c r="N317" s="5">
        <f>N316+Trades!U210</f>
        <v>0.82936591234622903</v>
      </c>
      <c r="O317" s="5">
        <f>O316+Trades!W210</f>
        <v>0.33768975933205014</v>
      </c>
    </row>
    <row r="318" spans="12:15" x14ac:dyDescent="0.3">
      <c r="L318" s="4">
        <f>Trades!P315</f>
        <v>0</v>
      </c>
      <c r="M318" s="5">
        <f>M317+Trades!T315</f>
        <v>1.3212182748322725</v>
      </c>
      <c r="N318" s="5">
        <f>N317+Trades!U315</f>
        <v>0.82936591234622903</v>
      </c>
      <c r="O318" s="5">
        <f>O317+Trades!W315</f>
        <v>0.33768975933205014</v>
      </c>
    </row>
    <row r="319" spans="12:15" x14ac:dyDescent="0.3">
      <c r="L319" s="4">
        <f>Trades!P266</f>
        <v>0</v>
      </c>
      <c r="M319" s="5">
        <f>M318+Trades!T266</f>
        <v>1.3212182748322725</v>
      </c>
      <c r="N319" s="5">
        <f>N318+Trades!U266</f>
        <v>0.82936591234622903</v>
      </c>
      <c r="O319" s="5">
        <f>O318+Trades!W266</f>
        <v>0.33768975933205014</v>
      </c>
    </row>
    <row r="320" spans="12:15" x14ac:dyDescent="0.3">
      <c r="L320" s="4">
        <f>Trades!P279</f>
        <v>0</v>
      </c>
      <c r="M320" s="5">
        <f>M319+Trades!T279</f>
        <v>1.3212182748322725</v>
      </c>
      <c r="N320" s="5">
        <f>N319+Trades!U279</f>
        <v>0.82936591234622903</v>
      </c>
      <c r="O320" s="5">
        <f>O319+Trades!W279</f>
        <v>0.33768975933205014</v>
      </c>
    </row>
    <row r="321" spans="12:15" x14ac:dyDescent="0.3">
      <c r="L321" s="4">
        <f>Trades!P146</f>
        <v>0</v>
      </c>
      <c r="M321" s="5">
        <f>M320+Trades!T146</f>
        <v>1.3212182748322725</v>
      </c>
      <c r="N321" s="5">
        <f>N320+Trades!U146</f>
        <v>0.82936591234622903</v>
      </c>
      <c r="O321" s="5">
        <f>O320+Trades!W146</f>
        <v>0.33768975933205014</v>
      </c>
    </row>
    <row r="322" spans="12:15" x14ac:dyDescent="0.3">
      <c r="L322" s="4">
        <f>Trades!P199</f>
        <v>0</v>
      </c>
      <c r="M322" s="5">
        <f>M321+Trades!T199</f>
        <v>1.3212182748322725</v>
      </c>
      <c r="N322" s="5">
        <f>N321+Trades!U199</f>
        <v>0.82936591234622903</v>
      </c>
      <c r="O322" s="5">
        <f>O321+Trades!W199</f>
        <v>0.33768975933205014</v>
      </c>
    </row>
    <row r="323" spans="12:15" x14ac:dyDescent="0.3">
      <c r="L323" s="4">
        <f>Trades!P224</f>
        <v>0</v>
      </c>
      <c r="M323" s="5">
        <f>M322+Trades!T224</f>
        <v>1.3212182748322725</v>
      </c>
      <c r="N323" s="5">
        <f>N322+Trades!U224</f>
        <v>0.82936591234622903</v>
      </c>
      <c r="O323" s="5">
        <f>O322+Trades!W224</f>
        <v>0.33768975933205014</v>
      </c>
    </row>
    <row r="324" spans="12:15" x14ac:dyDescent="0.3">
      <c r="L324" s="4">
        <f>Trades!P290</f>
        <v>0</v>
      </c>
      <c r="M324" s="5">
        <f>M323+Trades!T290</f>
        <v>1.3212182748322725</v>
      </c>
      <c r="N324" s="5">
        <f>N323+Trades!U290</f>
        <v>0.82936591234622903</v>
      </c>
      <c r="O324" s="5">
        <f>O323+Trades!W290</f>
        <v>0.33768975933205014</v>
      </c>
    </row>
    <row r="325" spans="12:15" x14ac:dyDescent="0.3">
      <c r="L325" s="4">
        <f>Trades!P164</f>
        <v>0</v>
      </c>
      <c r="M325" s="5">
        <f>M324+Trades!T164</f>
        <v>1.3212182748322725</v>
      </c>
      <c r="N325" s="5">
        <f>N324+Trades!U164</f>
        <v>0.82936591234622903</v>
      </c>
      <c r="O325" s="5">
        <f>O324+Trades!W164</f>
        <v>0.33768975933205014</v>
      </c>
    </row>
    <row r="326" spans="12:15" x14ac:dyDescent="0.3">
      <c r="L326" s="4">
        <f>Trades!P188</f>
        <v>0</v>
      </c>
      <c r="M326" s="5">
        <f>M325+Trades!T188</f>
        <v>1.3212182748322725</v>
      </c>
      <c r="N326" s="5">
        <f>N325+Trades!U188</f>
        <v>0.82936591234622903</v>
      </c>
      <c r="O326" s="5">
        <f>O325+Trades!W188</f>
        <v>0.33768975933205014</v>
      </c>
    </row>
    <row r="327" spans="12:15" x14ac:dyDescent="0.3">
      <c r="L327" s="4">
        <f>Trades!P348</f>
        <v>0</v>
      </c>
      <c r="M327" s="5">
        <f>M326+Trades!T348</f>
        <v>1.3212182748322725</v>
      </c>
      <c r="N327" s="5">
        <f>N326+Trades!U348</f>
        <v>0.82936591234622903</v>
      </c>
      <c r="O327" s="5">
        <f>O326+Trades!W348</f>
        <v>0.33768975933205014</v>
      </c>
    </row>
    <row r="328" spans="12:15" x14ac:dyDescent="0.3">
      <c r="L328" s="4">
        <f>Trades!P235</f>
        <v>0</v>
      </c>
      <c r="M328" s="5">
        <f>M327+Trades!T235</f>
        <v>1.3212182748322725</v>
      </c>
      <c r="N328" s="5">
        <f>N327+Trades!U235</f>
        <v>0.82936591234622903</v>
      </c>
      <c r="O328" s="5">
        <f>O327+Trades!W235</f>
        <v>0.33768975933205014</v>
      </c>
    </row>
    <row r="329" spans="12:15" x14ac:dyDescent="0.3">
      <c r="L329" s="4">
        <f>Trades!P326</f>
        <v>0</v>
      </c>
      <c r="M329" s="5">
        <f>M328+Trades!T326</f>
        <v>1.3212182748322725</v>
      </c>
      <c r="N329" s="5">
        <f>N328+Trades!U326</f>
        <v>0.82936591234622903</v>
      </c>
      <c r="O329" s="5">
        <f>O328+Trades!W326</f>
        <v>0.33768975933205014</v>
      </c>
    </row>
    <row r="330" spans="12:15" x14ac:dyDescent="0.3">
      <c r="L330" s="4">
        <f>Trades!P189</f>
        <v>0</v>
      </c>
      <c r="M330" s="5">
        <f>M329+Trades!T189</f>
        <v>1.3212182748322725</v>
      </c>
      <c r="N330" s="5">
        <f>N329+Trades!U189</f>
        <v>0.82936591234622903</v>
      </c>
      <c r="O330" s="5">
        <f>O329+Trades!W189</f>
        <v>0.33768975933205014</v>
      </c>
    </row>
    <row r="331" spans="12:15" x14ac:dyDescent="0.3">
      <c r="L331" s="4">
        <f>Trades!P124</f>
        <v>84229</v>
      </c>
      <c r="M331" s="5">
        <f>M330+Trades!T124</f>
        <v>1.3254812128491535</v>
      </c>
      <c r="N331" s="5">
        <f>N330+Trades!U124</f>
        <v>0.83019494000481731</v>
      </c>
      <c r="O331" s="5">
        <f>O330+Trades!W124</f>
        <v>0.33508524627455449</v>
      </c>
    </row>
    <row r="332" spans="12:15" x14ac:dyDescent="0.3">
      <c r="L332" s="4">
        <f>Trades!P316</f>
        <v>0</v>
      </c>
      <c r="M332" s="5">
        <f>M331+Trades!T316</f>
        <v>1.3254812128491535</v>
      </c>
      <c r="N332" s="5">
        <f>N331+Trades!U316</f>
        <v>0.83019494000481731</v>
      </c>
      <c r="O332" s="5">
        <f>O331+Trades!W316</f>
        <v>0.33508524627455449</v>
      </c>
    </row>
    <row r="333" spans="12:15" x14ac:dyDescent="0.3">
      <c r="L333" s="4">
        <f>Trades!P336</f>
        <v>0</v>
      </c>
      <c r="M333" s="5">
        <f>M332+Trades!T336</f>
        <v>1.3254812128491535</v>
      </c>
      <c r="N333" s="5">
        <f>N332+Trades!U336</f>
        <v>0.83019494000481731</v>
      </c>
      <c r="O333" s="5">
        <f>O332+Trades!W336</f>
        <v>0.33508524627455449</v>
      </c>
    </row>
    <row r="334" spans="12:15" x14ac:dyDescent="0.3">
      <c r="L334" s="4">
        <f>Trades!P349</f>
        <v>0</v>
      </c>
      <c r="M334" s="5">
        <f>M333+Trades!T349</f>
        <v>1.3254812128491535</v>
      </c>
      <c r="N334" s="5">
        <f>N333+Trades!U349</f>
        <v>0.83019494000481731</v>
      </c>
      <c r="O334" s="5">
        <f>O333+Trades!W349</f>
        <v>0.33508524627455449</v>
      </c>
    </row>
    <row r="335" spans="12:15" x14ac:dyDescent="0.3">
      <c r="L335" s="4">
        <f>Trades!P158</f>
        <v>0</v>
      </c>
      <c r="M335" s="5">
        <f>M334+Trades!T158</f>
        <v>1.3254812128491535</v>
      </c>
      <c r="N335" s="5">
        <f>N334+Trades!U158</f>
        <v>0.83019494000481731</v>
      </c>
      <c r="O335" s="5">
        <f>O334+Trades!W158</f>
        <v>0.33508524627455449</v>
      </c>
    </row>
    <row r="336" spans="12:15" x14ac:dyDescent="0.3">
      <c r="L336" s="4">
        <f>Trades!P280</f>
        <v>0</v>
      </c>
      <c r="M336" s="5">
        <f>M335+Trades!T280</f>
        <v>1.3254812128491535</v>
      </c>
      <c r="N336" s="5">
        <f>N335+Trades!U280</f>
        <v>0.83019494000481731</v>
      </c>
      <c r="O336" s="5">
        <f>O335+Trades!W280</f>
        <v>0.33508524627455449</v>
      </c>
    </row>
    <row r="337" spans="12:15" x14ac:dyDescent="0.3">
      <c r="L337" s="4">
        <f>Trades!P211</f>
        <v>0</v>
      </c>
      <c r="M337" s="5">
        <f>M336+Trades!T211</f>
        <v>1.3254812128491535</v>
      </c>
      <c r="N337" s="5">
        <f>N336+Trades!U211</f>
        <v>0.83019494000481731</v>
      </c>
      <c r="O337" s="5">
        <f>O336+Trades!W211</f>
        <v>0.33508524627455449</v>
      </c>
    </row>
    <row r="338" spans="12:15" x14ac:dyDescent="0.3">
      <c r="L338" s="4">
        <f>Trades!P307</f>
        <v>0</v>
      </c>
      <c r="M338" s="5">
        <f>M337+Trades!T307</f>
        <v>1.3254812128491535</v>
      </c>
      <c r="N338" s="5">
        <f>N337+Trades!U307</f>
        <v>0.83019494000481731</v>
      </c>
      <c r="O338" s="5">
        <f>O337+Trades!W307</f>
        <v>0.33508524627455449</v>
      </c>
    </row>
    <row r="339" spans="12:15" x14ac:dyDescent="0.3">
      <c r="L339" s="4">
        <f>Trades!P190</f>
        <v>0</v>
      </c>
      <c r="M339" s="5">
        <f>M338+Trades!T190</f>
        <v>1.3254812128491535</v>
      </c>
      <c r="N339" s="5">
        <f>N338+Trades!U190</f>
        <v>0.83019494000481731</v>
      </c>
      <c r="O339" s="5">
        <f>O338+Trades!W190</f>
        <v>0.33508524627455449</v>
      </c>
    </row>
    <row r="340" spans="12:15" x14ac:dyDescent="0.3">
      <c r="L340" s="4">
        <f>Trades!P125</f>
        <v>84788</v>
      </c>
      <c r="M340" s="5">
        <f>M339+Trades!T125</f>
        <v>1.3046381025321221</v>
      </c>
      <c r="N340" s="5">
        <f>N339+Trades!U125</f>
        <v>0.80592595098332664</v>
      </c>
      <c r="O340" s="5">
        <f>O339+Trades!W125</f>
        <v>0.30738282984016702</v>
      </c>
    </row>
    <row r="341" spans="12:15" x14ac:dyDescent="0.3">
      <c r="L341" s="4">
        <f>Trades!P267</f>
        <v>0</v>
      </c>
      <c r="M341" s="5">
        <f>M340+Trades!T267</f>
        <v>1.3046381025321221</v>
      </c>
      <c r="N341" s="5">
        <f>N340+Trades!U267</f>
        <v>0.80592595098332664</v>
      </c>
      <c r="O341" s="5">
        <f>O340+Trades!W267</f>
        <v>0.30738282984016702</v>
      </c>
    </row>
    <row r="342" spans="12:15" x14ac:dyDescent="0.3">
      <c r="L342" s="4">
        <f>Trades!P225</f>
        <v>0</v>
      </c>
      <c r="M342" s="5">
        <f>M341+Trades!T225</f>
        <v>1.3046381025321221</v>
      </c>
      <c r="N342" s="5">
        <f>N341+Trades!U225</f>
        <v>0.80592595098332664</v>
      </c>
      <c r="O342" s="5">
        <f>O341+Trades!W225</f>
        <v>0.30738282984016702</v>
      </c>
    </row>
    <row r="343" spans="12:15" x14ac:dyDescent="0.3">
      <c r="L343" s="4">
        <f>Trades!P236</f>
        <v>0</v>
      </c>
      <c r="M343" s="5">
        <f>M342+Trades!T236</f>
        <v>1.3046381025321221</v>
      </c>
      <c r="N343" s="5">
        <f>N342+Trades!U236</f>
        <v>0.80592595098332664</v>
      </c>
      <c r="O343" s="5">
        <f>O342+Trades!W236</f>
        <v>0.30738282984016702</v>
      </c>
    </row>
    <row r="344" spans="12:15" x14ac:dyDescent="0.3">
      <c r="L344" s="4">
        <f>Trades!P136</f>
        <v>89488</v>
      </c>
      <c r="M344" s="5">
        <f>M343+Trades!T136</f>
        <v>1.3645891783725261</v>
      </c>
      <c r="N344" s="5">
        <f>N343+Trades!U136</f>
        <v>0.86146740004688438</v>
      </c>
      <c r="O344" s="5">
        <f>O343+Trades!W136</f>
        <v>0.35852049581728274</v>
      </c>
    </row>
    <row r="345" spans="12:15" x14ac:dyDescent="0.3">
      <c r="L345" s="4">
        <f>Trades!P176</f>
        <v>0</v>
      </c>
      <c r="M345" s="5">
        <f>M344+Trades!T176</f>
        <v>1.3645891783725261</v>
      </c>
      <c r="N345" s="5">
        <f>N344+Trades!U176</f>
        <v>0.86146740004688438</v>
      </c>
      <c r="O345" s="5">
        <f>O344+Trades!W176</f>
        <v>0.35852049581728274</v>
      </c>
    </row>
    <row r="346" spans="12:15" x14ac:dyDescent="0.3">
      <c r="L346" s="4">
        <f>Trades!P247</f>
        <v>0</v>
      </c>
      <c r="M346" s="5">
        <f>M345+Trades!T247</f>
        <v>1.3645891783725261</v>
      </c>
      <c r="N346" s="5">
        <f>N345+Trades!U247</f>
        <v>0.86146740004688438</v>
      </c>
      <c r="O346" s="5">
        <f>O345+Trades!W247</f>
        <v>0.35852049581728274</v>
      </c>
    </row>
    <row r="347" spans="12:15" x14ac:dyDescent="0.3">
      <c r="L347" s="4">
        <f>Trades!P317</f>
        <v>0</v>
      </c>
      <c r="M347" s="5">
        <f>M346+Trades!T317</f>
        <v>1.3645891783725261</v>
      </c>
      <c r="N347" s="5">
        <f>N346+Trades!U317</f>
        <v>0.86146740004688438</v>
      </c>
      <c r="O347" s="5">
        <f>O346+Trades!W317</f>
        <v>0.35852049581728274</v>
      </c>
    </row>
    <row r="348" spans="12:15" x14ac:dyDescent="0.3">
      <c r="L348" s="4">
        <f>Trades!P147</f>
        <v>0</v>
      </c>
      <c r="M348" s="5">
        <f>M347+Trades!T147</f>
        <v>1.3645891783725261</v>
      </c>
      <c r="N348" s="5">
        <f>N347+Trades!U147</f>
        <v>0.86146740004688438</v>
      </c>
      <c r="O348" s="5">
        <f>O347+Trades!W147</f>
        <v>0.35852049581728274</v>
      </c>
    </row>
    <row r="349" spans="12:15" x14ac:dyDescent="0.3">
      <c r="L349" s="4">
        <f>Trades!P165</f>
        <v>0</v>
      </c>
      <c r="M349" s="5">
        <f>M348+Trades!T165</f>
        <v>1.3645891783725261</v>
      </c>
      <c r="N349" s="5">
        <f>N348+Trades!U165</f>
        <v>0.86146740004688438</v>
      </c>
      <c r="O349" s="5">
        <f>O348+Trades!W165</f>
        <v>0.35852049581728274</v>
      </c>
    </row>
    <row r="350" spans="12:15" x14ac:dyDescent="0.3">
      <c r="L350" s="4">
        <f>Trades!P350</f>
        <v>0</v>
      </c>
      <c r="M350" s="5">
        <f>M349+Trades!T350</f>
        <v>1.3645891783725261</v>
      </c>
      <c r="N350" s="5">
        <f>N349+Trades!U350</f>
        <v>0.86146740004688438</v>
      </c>
      <c r="O350" s="5">
        <f>O349+Trades!W350</f>
        <v>0.35852049581728274</v>
      </c>
    </row>
    <row r="351" spans="12:15" x14ac:dyDescent="0.3">
      <c r="L351" s="4">
        <f>Trades!P361</f>
        <v>0</v>
      </c>
      <c r="M351" s="5">
        <f>M350+Trades!T361</f>
        <v>1.3645891783725261</v>
      </c>
      <c r="N351" s="5">
        <f>N350+Trades!U361</f>
        <v>0.86146740004688438</v>
      </c>
      <c r="O351" s="5">
        <f>O350+Trades!W361</f>
        <v>0.35852049581728274</v>
      </c>
    </row>
    <row r="352" spans="12:15" x14ac:dyDescent="0.3">
      <c r="L352" s="4">
        <f>Trades!P374</f>
        <v>0</v>
      </c>
      <c r="M352" s="5">
        <f>M351+Trades!T374</f>
        <v>1.3645891783725261</v>
      </c>
      <c r="N352" s="5">
        <f>N351+Trades!U374</f>
        <v>0.86146740004688438</v>
      </c>
      <c r="O352" s="5">
        <f>O351+Trades!W374</f>
        <v>0.35852049581728274</v>
      </c>
    </row>
    <row r="353" spans="12:15" x14ac:dyDescent="0.3">
      <c r="L353" s="4">
        <f>Trades!P362</f>
        <v>0</v>
      </c>
      <c r="M353" s="5">
        <f>M352+Trades!T362</f>
        <v>1.3645891783725261</v>
      </c>
      <c r="N353" s="5">
        <f>N352+Trades!U362</f>
        <v>0.86146740004688438</v>
      </c>
      <c r="O353" s="5">
        <f>O352+Trades!W362</f>
        <v>0.35852049581728274</v>
      </c>
    </row>
    <row r="354" spans="12:15" x14ac:dyDescent="0.3">
      <c r="L354" s="4">
        <f>Trades!P351</f>
        <v>0</v>
      </c>
      <c r="M354" s="5">
        <f>M353+Trades!T351</f>
        <v>1.3645891783725261</v>
      </c>
      <c r="N354" s="5">
        <f>N353+Trades!U351</f>
        <v>0.86146740004688438</v>
      </c>
      <c r="O354" s="5">
        <f>O353+Trades!W351</f>
        <v>0.35852049581728274</v>
      </c>
    </row>
    <row r="355" spans="12:15" x14ac:dyDescent="0.3">
      <c r="L355" s="4">
        <f>Trades!P363</f>
        <v>0</v>
      </c>
      <c r="M355" s="5">
        <f>M354+Trades!T363</f>
        <v>1.3645891783725261</v>
      </c>
      <c r="N355" s="5">
        <f>N354+Trades!U363</f>
        <v>0.86146740004688438</v>
      </c>
      <c r="O355" s="5">
        <f>O354+Trades!W363</f>
        <v>0.35852049581728274</v>
      </c>
    </row>
    <row r="356" spans="12:15" x14ac:dyDescent="0.3">
      <c r="L356" s="4">
        <f>Trades!P352</f>
        <v>0</v>
      </c>
      <c r="M356" s="5">
        <f>M355+Trades!T352</f>
        <v>1.3645891783725261</v>
      </c>
      <c r="N356" s="5">
        <f>N355+Trades!U352</f>
        <v>0.86146740004688438</v>
      </c>
      <c r="O356" s="5">
        <f>O355+Trades!W352</f>
        <v>0.35852049581728274</v>
      </c>
    </row>
    <row r="357" spans="12:15" x14ac:dyDescent="0.3">
      <c r="L357" s="4">
        <f>Trades!P364</f>
        <v>0</v>
      </c>
      <c r="M357" s="5">
        <f>M356+Trades!T364</f>
        <v>1.3645891783725261</v>
      </c>
      <c r="N357" s="5">
        <f>N356+Trades!U364</f>
        <v>0.86146740004688438</v>
      </c>
      <c r="O357" s="5">
        <f>O356+Trades!W364</f>
        <v>0.35852049581728274</v>
      </c>
    </row>
    <row r="358" spans="12:15" x14ac:dyDescent="0.3">
      <c r="L358" s="4">
        <f>Trades!P353</f>
        <v>0</v>
      </c>
      <c r="M358" s="5">
        <f>M357+Trades!T353</f>
        <v>1.3645891783725261</v>
      </c>
      <c r="N358" s="5">
        <f>N357+Trades!U353</f>
        <v>0.86146740004688438</v>
      </c>
      <c r="O358" s="5">
        <f>O357+Trades!W353</f>
        <v>0.35852049581728274</v>
      </c>
    </row>
    <row r="359" spans="12:15" x14ac:dyDescent="0.3">
      <c r="L359" s="4">
        <f>Trades!P365</f>
        <v>0</v>
      </c>
      <c r="M359" s="5">
        <f>M358+Trades!T365</f>
        <v>1.3645891783725261</v>
      </c>
      <c r="N359" s="5">
        <f>N358+Trades!U365</f>
        <v>0.86146740004688438</v>
      </c>
      <c r="O359" s="5">
        <f>O358+Trades!W365</f>
        <v>0.35852049581728274</v>
      </c>
    </row>
    <row r="360" spans="12:15" x14ac:dyDescent="0.3">
      <c r="L360" s="4">
        <f>Trades!P366</f>
        <v>0</v>
      </c>
      <c r="M360" s="5">
        <f>M359+Trades!T366</f>
        <v>1.3645891783725261</v>
      </c>
      <c r="N360" s="5">
        <f>N359+Trades!U366</f>
        <v>0.86146740004688438</v>
      </c>
      <c r="O360" s="5">
        <f>O359+Trades!W366</f>
        <v>0.35852049581728274</v>
      </c>
    </row>
    <row r="361" spans="12:15" x14ac:dyDescent="0.3">
      <c r="L361" s="4">
        <f>Trades!P375</f>
        <v>0</v>
      </c>
      <c r="M361" s="5">
        <f>M360+Trades!T375</f>
        <v>1.3645891783725261</v>
      </c>
      <c r="N361" s="5">
        <f>N360+Trades!U375</f>
        <v>0.86146740004688438</v>
      </c>
      <c r="O361" s="5">
        <f>O360+Trades!W375</f>
        <v>0.35852049581728274</v>
      </c>
    </row>
    <row r="362" spans="12:15" x14ac:dyDescent="0.3">
      <c r="L362" s="4">
        <f>Trades!P354</f>
        <v>0</v>
      </c>
      <c r="M362" s="5">
        <f>M361+Trades!T354</f>
        <v>1.3645891783725261</v>
      </c>
      <c r="N362" s="5">
        <f>N361+Trades!U354</f>
        <v>0.86146740004688438</v>
      </c>
      <c r="O362" s="5">
        <f>O361+Trades!W354</f>
        <v>0.35852049581728274</v>
      </c>
    </row>
    <row r="363" spans="12:15" x14ac:dyDescent="0.3">
      <c r="L363" s="4">
        <f>Trades!P367</f>
        <v>0</v>
      </c>
      <c r="M363" s="5">
        <f>M362+Trades!T367</f>
        <v>1.3645891783725261</v>
      </c>
      <c r="N363" s="5">
        <f>N362+Trades!U367</f>
        <v>0.86146740004688438</v>
      </c>
      <c r="O363" s="5">
        <f>O362+Trades!W367</f>
        <v>0.35852049581728274</v>
      </c>
    </row>
    <row r="364" spans="12:15" x14ac:dyDescent="0.3">
      <c r="L364" s="4">
        <f>Trades!P368</f>
        <v>0</v>
      </c>
      <c r="M364" s="5">
        <f>M363+Trades!T368</f>
        <v>1.3645891783725261</v>
      </c>
      <c r="N364" s="5">
        <f>N363+Trades!U368</f>
        <v>0.86146740004688438</v>
      </c>
      <c r="O364" s="5">
        <f>O363+Trades!W368</f>
        <v>0.35852049581728274</v>
      </c>
    </row>
    <row r="365" spans="12:15" x14ac:dyDescent="0.3">
      <c r="L365" s="4">
        <f>Trades!P355</f>
        <v>0</v>
      </c>
      <c r="M365" s="5">
        <f>M364+Trades!T355</f>
        <v>1.3645891783725261</v>
      </c>
      <c r="N365" s="5">
        <f>N364+Trades!U355</f>
        <v>0.86146740004688438</v>
      </c>
      <c r="O365" s="5">
        <f>O364+Trades!W355</f>
        <v>0.35852049581728274</v>
      </c>
    </row>
    <row r="366" spans="12:15" x14ac:dyDescent="0.3">
      <c r="L366" s="4">
        <f>Trades!P376</f>
        <v>0</v>
      </c>
      <c r="M366" s="5">
        <f>M365+Trades!T376</f>
        <v>1.3645891783725261</v>
      </c>
      <c r="N366" s="5">
        <f>N365+Trades!U376</f>
        <v>0.86146740004688438</v>
      </c>
      <c r="O366" s="5">
        <f>O365+Trades!W376</f>
        <v>0.35852049581728274</v>
      </c>
    </row>
    <row r="367" spans="12:15" x14ac:dyDescent="0.3">
      <c r="L367" s="4">
        <f>Trades!P369</f>
        <v>0</v>
      </c>
      <c r="M367" s="5">
        <f>M366+Trades!T369</f>
        <v>1.3645891783725261</v>
      </c>
      <c r="N367" s="5">
        <f>N366+Trades!U369</f>
        <v>0.86146740004688438</v>
      </c>
      <c r="O367" s="5">
        <f>O366+Trades!W369</f>
        <v>0.35852049581728274</v>
      </c>
    </row>
    <row r="368" spans="12:15" x14ac:dyDescent="0.3">
      <c r="L368" s="4">
        <f>Trades!P356</f>
        <v>0</v>
      </c>
      <c r="M368" s="5">
        <f>M367+Trades!T356</f>
        <v>1.3645891783725261</v>
      </c>
      <c r="N368" s="5">
        <f>N367+Trades!U356</f>
        <v>0.86146740004688438</v>
      </c>
      <c r="O368" s="5">
        <f>O367+Trades!W356</f>
        <v>0.35852049581728274</v>
      </c>
    </row>
    <row r="369" spans="12:15" x14ac:dyDescent="0.3">
      <c r="L369" s="4">
        <f>Trades!P377</f>
        <v>0</v>
      </c>
      <c r="M369" s="5">
        <f>M368+Trades!T377</f>
        <v>1.3645891783725261</v>
      </c>
      <c r="N369" s="5">
        <f>N368+Trades!U377</f>
        <v>0.86146740004688438</v>
      </c>
      <c r="O369" s="5">
        <f>O368+Trades!W377</f>
        <v>0.35852049581728274</v>
      </c>
    </row>
    <row r="370" spans="12:15" x14ac:dyDescent="0.3">
      <c r="L370" s="4">
        <f>Trades!P370</f>
        <v>0</v>
      </c>
      <c r="M370" s="5">
        <f>M369+Trades!T370</f>
        <v>1.3645891783725261</v>
      </c>
      <c r="N370" s="5">
        <f>N369+Trades!U370</f>
        <v>0.86146740004688438</v>
      </c>
      <c r="O370" s="5">
        <f>O369+Trades!W370</f>
        <v>0.35852049581728274</v>
      </c>
    </row>
    <row r="371" spans="12:15" x14ac:dyDescent="0.3">
      <c r="L371" s="4">
        <f>Trades!P357</f>
        <v>0</v>
      </c>
      <c r="M371" s="5">
        <f>M370+Trades!T357</f>
        <v>1.3645891783725261</v>
      </c>
      <c r="N371" s="5">
        <f>N370+Trades!U357</f>
        <v>0.86146740004688438</v>
      </c>
      <c r="O371" s="5">
        <f>O370+Trades!W357</f>
        <v>0.35852049581728274</v>
      </c>
    </row>
    <row r="372" spans="12:15" x14ac:dyDescent="0.3">
      <c r="L372" s="4">
        <f>Trades!P358</f>
        <v>0</v>
      </c>
      <c r="M372" s="5">
        <f>M371+Trades!T358</f>
        <v>1.3645891783725261</v>
      </c>
      <c r="N372" s="5">
        <f>N371+Trades!U358</f>
        <v>0.86146740004688438</v>
      </c>
      <c r="O372" s="5">
        <f>O371+Trades!W358</f>
        <v>0.35852049581728274</v>
      </c>
    </row>
    <row r="373" spans="12:15" x14ac:dyDescent="0.3">
      <c r="L373" s="4">
        <f>Trades!P378</f>
        <v>0</v>
      </c>
      <c r="M373" s="5">
        <f>M372+Trades!T378</f>
        <v>1.3645891783725261</v>
      </c>
      <c r="N373" s="5">
        <f>N372+Trades!U378</f>
        <v>0.86146740004688438</v>
      </c>
      <c r="O373" s="5">
        <f>O372+Trades!W378</f>
        <v>0.35852049581728274</v>
      </c>
    </row>
    <row r="374" spans="12:15" x14ac:dyDescent="0.3">
      <c r="L374" s="4">
        <f>Trades!P371</f>
        <v>0</v>
      </c>
      <c r="M374" s="5">
        <f>M373+Trades!T371</f>
        <v>1.3645891783725261</v>
      </c>
      <c r="N374" s="5">
        <f>N373+Trades!U371</f>
        <v>0.86146740004688438</v>
      </c>
      <c r="O374" s="5">
        <f>O373+Trades!W371</f>
        <v>0.35852049581728274</v>
      </c>
    </row>
    <row r="375" spans="12:15" x14ac:dyDescent="0.3">
      <c r="L375" s="4">
        <f>Trades!P372</f>
        <v>0</v>
      </c>
      <c r="M375" s="5">
        <f>M374+Trades!T372</f>
        <v>1.3645891783725261</v>
      </c>
      <c r="N375" s="5">
        <f>N374+Trades!U372</f>
        <v>0.86146740004688438</v>
      </c>
      <c r="O375" s="5">
        <f>O374+Trades!W372</f>
        <v>0.35852049581728274</v>
      </c>
    </row>
    <row r="376" spans="12:15" x14ac:dyDescent="0.3">
      <c r="L376" s="4">
        <f>Trades!P359</f>
        <v>0</v>
      </c>
      <c r="M376" s="5">
        <f>M375+Trades!T359</f>
        <v>1.3645891783725261</v>
      </c>
      <c r="N376" s="5">
        <f>N375+Trades!U359</f>
        <v>0.86146740004688438</v>
      </c>
      <c r="O376" s="5">
        <f>O375+Trades!W359</f>
        <v>0.35852049581728274</v>
      </c>
    </row>
    <row r="377" spans="12:15" x14ac:dyDescent="0.3">
      <c r="L377" s="4">
        <f>Trades!P373</f>
        <v>0</v>
      </c>
      <c r="M377" s="5">
        <f>M376+Trades!T373</f>
        <v>1.3645891783725261</v>
      </c>
      <c r="N377" s="5">
        <f>N376+Trades!U373</f>
        <v>0.86146740004688438</v>
      </c>
      <c r="O377" s="5">
        <f>O376+Trades!W373</f>
        <v>0.35852049581728274</v>
      </c>
    </row>
    <row r="378" spans="12:15" x14ac:dyDescent="0.3">
      <c r="L378" s="4">
        <f>Trades!P360</f>
        <v>0</v>
      </c>
      <c r="M378" s="5">
        <f>M377+Trades!T360</f>
        <v>1.3645891783725261</v>
      </c>
      <c r="N378" s="5">
        <f>N377+Trades!U360</f>
        <v>0.86146740004688438</v>
      </c>
      <c r="O378" s="5">
        <f>O377+Trades!W360</f>
        <v>0.35852049581728274</v>
      </c>
    </row>
    <row r="379" spans="12:15" x14ac:dyDescent="0.3">
      <c r="L379" s="4">
        <f>Trades!P379</f>
        <v>0</v>
      </c>
      <c r="M379" s="5">
        <f>M378+Trades!T379</f>
        <v>1.3645891783725261</v>
      </c>
      <c r="N379" s="5">
        <f>N378+Trades!U379</f>
        <v>0.86146740004688438</v>
      </c>
      <c r="O379" s="5">
        <f>O378+Trades!W379</f>
        <v>0.35852049581728274</v>
      </c>
    </row>
    <row r="380" spans="12:15" x14ac:dyDescent="0.3">
      <c r="L380" s="4">
        <f>Trades!P380</f>
        <v>0</v>
      </c>
      <c r="M380" s="5">
        <f>M379+Trades!T380</f>
        <v>1.3645891783725261</v>
      </c>
      <c r="N380" s="5">
        <f>N379+Trades!U380</f>
        <v>0.86146740004688438</v>
      </c>
      <c r="O380" s="5">
        <f>O379+Trades!W380</f>
        <v>0.35852049581728274</v>
      </c>
    </row>
    <row r="381" spans="12:15" x14ac:dyDescent="0.3">
      <c r="L381" s="4">
        <f>Trades!P381</f>
        <v>0</v>
      </c>
      <c r="M381" s="5">
        <f>M380+Trades!T381</f>
        <v>1.3645891783725261</v>
      </c>
      <c r="N381" s="5">
        <f>N380+Trades!U381</f>
        <v>0.86146740004688438</v>
      </c>
      <c r="O381" s="5">
        <f>O380+Trades!W381</f>
        <v>0.35852049581728274</v>
      </c>
    </row>
    <row r="382" spans="12:15" x14ac:dyDescent="0.3">
      <c r="L382" s="4">
        <f>Trades!P382</f>
        <v>0</v>
      </c>
      <c r="M382" s="5">
        <f>M381+Trades!T382</f>
        <v>1.3645891783725261</v>
      </c>
      <c r="N382" s="5">
        <f>N381+Trades!U382</f>
        <v>0.86146740004688438</v>
      </c>
      <c r="O382" s="5">
        <f>O381+Trades!W382</f>
        <v>0.35852049581728274</v>
      </c>
    </row>
    <row r="383" spans="12:15" x14ac:dyDescent="0.3">
      <c r="L383" s="4">
        <f>Trades!P383</f>
        <v>0</v>
      </c>
      <c r="M383" s="5">
        <f>M382+Trades!T383</f>
        <v>1.3645891783725261</v>
      </c>
      <c r="N383" s="5">
        <f>N382+Trades!U383</f>
        <v>0.86146740004688438</v>
      </c>
      <c r="O383" s="5">
        <f>O382+Trades!W383</f>
        <v>0.35852049581728274</v>
      </c>
    </row>
    <row r="384" spans="12:15" x14ac:dyDescent="0.3">
      <c r="L384" s="4">
        <f>Trades!P384</f>
        <v>0</v>
      </c>
      <c r="M384" s="5">
        <f>M383+Trades!T384</f>
        <v>1.3645891783725261</v>
      </c>
      <c r="N384" s="5">
        <f>N383+Trades!U384</f>
        <v>0.86146740004688438</v>
      </c>
      <c r="O384" s="5">
        <f>O383+Trades!W384</f>
        <v>0.35852049581728274</v>
      </c>
    </row>
    <row r="385" spans="12:15" x14ac:dyDescent="0.3">
      <c r="L385" s="4">
        <f>Trades!P385</f>
        <v>0</v>
      </c>
      <c r="M385" s="5">
        <f>M384+Trades!T385</f>
        <v>1.3645891783725261</v>
      </c>
      <c r="N385" s="5">
        <f>N384+Trades!U385</f>
        <v>0.86146740004688438</v>
      </c>
      <c r="O385" s="5">
        <f>O384+Trades!W385</f>
        <v>0.35852049581728274</v>
      </c>
    </row>
    <row r="386" spans="12:15" x14ac:dyDescent="0.3">
      <c r="L386" s="4">
        <f>Trades!P386</f>
        <v>0</v>
      </c>
      <c r="M386" s="5">
        <f>M385+Trades!T386</f>
        <v>1.3645891783725261</v>
      </c>
      <c r="N386" s="5">
        <f>N385+Trades!U386</f>
        <v>0.86146740004688438</v>
      </c>
      <c r="O386" s="5">
        <f>O385+Trades!W386</f>
        <v>0.35852049581728274</v>
      </c>
    </row>
    <row r="387" spans="12:15" x14ac:dyDescent="0.3">
      <c r="L387" s="4">
        <f>Trades!P387</f>
        <v>0</v>
      </c>
      <c r="M387" s="5">
        <f>M386+Trades!T387</f>
        <v>1.3645891783725261</v>
      </c>
      <c r="N387" s="5">
        <f>N386+Trades!U387</f>
        <v>0.86146740004688438</v>
      </c>
      <c r="O387" s="5">
        <f>O386+Trades!W387</f>
        <v>0.35852049581728274</v>
      </c>
    </row>
    <row r="388" spans="12:15" x14ac:dyDescent="0.3">
      <c r="L388" s="4">
        <f>Trades!P388</f>
        <v>0</v>
      </c>
      <c r="M388" s="5">
        <f>M387+Trades!T388</f>
        <v>1.3645891783725261</v>
      </c>
      <c r="N388" s="5">
        <f>N387+Trades!U388</f>
        <v>0.86146740004688438</v>
      </c>
      <c r="O388" s="5">
        <f>O387+Trades!W388</f>
        <v>0.35852049581728274</v>
      </c>
    </row>
    <row r="389" spans="12:15" x14ac:dyDescent="0.3">
      <c r="L389" s="4">
        <f>Trades!P399</f>
        <v>0</v>
      </c>
      <c r="M389" s="5">
        <f>M388+Trades!T399</f>
        <v>1.3645891783725261</v>
      </c>
      <c r="N389" s="5">
        <f>N388+Trades!U399</f>
        <v>0.86146740004688438</v>
      </c>
      <c r="O389" s="5">
        <f>O388+Trades!W399</f>
        <v>0.35852049581728274</v>
      </c>
    </row>
    <row r="390" spans="12:15" x14ac:dyDescent="0.3">
      <c r="L390" s="4">
        <f>Trades!P400</f>
        <v>0</v>
      </c>
      <c r="M390" s="5">
        <f>M389+Trades!T400</f>
        <v>1.3645891783725261</v>
      </c>
      <c r="N390" s="5">
        <f>N389+Trades!U400</f>
        <v>0.86146740004688438</v>
      </c>
      <c r="O390" s="5">
        <f>O389+Trades!W400</f>
        <v>0.35852049581728274</v>
      </c>
    </row>
    <row r="391" spans="12:15" x14ac:dyDescent="0.3">
      <c r="L391" s="4">
        <f>Trades!P389</f>
        <v>0</v>
      </c>
      <c r="M391" s="5">
        <f>M390+Trades!T389</f>
        <v>1.3645891783725261</v>
      </c>
      <c r="N391" s="5">
        <f>N390+Trades!U389</f>
        <v>0.86146740004688438</v>
      </c>
      <c r="O391" s="5">
        <f>O390+Trades!W389</f>
        <v>0.35852049581728274</v>
      </c>
    </row>
    <row r="392" spans="12:15" x14ac:dyDescent="0.3">
      <c r="L392" s="4">
        <f>Trades!P401</f>
        <v>0</v>
      </c>
      <c r="M392" s="5">
        <f>M391+Trades!T401</f>
        <v>1.3645891783725261</v>
      </c>
      <c r="N392" s="5">
        <f>N391+Trades!U401</f>
        <v>0.86146740004688438</v>
      </c>
      <c r="O392" s="5">
        <f>O391+Trades!W401</f>
        <v>0.35852049581728274</v>
      </c>
    </row>
    <row r="393" spans="12:15" x14ac:dyDescent="0.3">
      <c r="L393" s="4">
        <f>Trades!P390</f>
        <v>0</v>
      </c>
      <c r="M393" s="5">
        <f>M392+Trades!T390</f>
        <v>1.3645891783725261</v>
      </c>
      <c r="N393" s="5">
        <f>N392+Trades!U390</f>
        <v>0.86146740004688438</v>
      </c>
      <c r="O393" s="5">
        <f>O392+Trades!W390</f>
        <v>0.35852049581728274</v>
      </c>
    </row>
    <row r="394" spans="12:15" x14ac:dyDescent="0.3">
      <c r="L394" s="4">
        <f>Trades!P402</f>
        <v>0</v>
      </c>
      <c r="M394" s="5">
        <f>M393+Trades!T402</f>
        <v>1.3645891783725261</v>
      </c>
      <c r="N394" s="5">
        <f>N393+Trades!U402</f>
        <v>0.86146740004688438</v>
      </c>
      <c r="O394" s="5">
        <f>O393+Trades!W402</f>
        <v>0.35852049581728274</v>
      </c>
    </row>
    <row r="395" spans="12:15" x14ac:dyDescent="0.3">
      <c r="L395" s="4">
        <f>Trades!P391</f>
        <v>0</v>
      </c>
      <c r="M395" s="5">
        <f>M394+Trades!T391</f>
        <v>1.3645891783725261</v>
      </c>
      <c r="N395" s="5">
        <f>N394+Trades!U391</f>
        <v>0.86146740004688438</v>
      </c>
      <c r="O395" s="5">
        <f>O394+Trades!W391</f>
        <v>0.35852049581728274</v>
      </c>
    </row>
    <row r="396" spans="12:15" x14ac:dyDescent="0.3">
      <c r="L396" s="4">
        <f>Trades!P403</f>
        <v>0</v>
      </c>
      <c r="M396" s="5">
        <f>M395+Trades!T403</f>
        <v>1.3645891783725261</v>
      </c>
      <c r="N396" s="5">
        <f>N395+Trades!U403</f>
        <v>0.86146740004688438</v>
      </c>
      <c r="O396" s="5">
        <f>O395+Trades!W403</f>
        <v>0.35852049581728274</v>
      </c>
    </row>
    <row r="397" spans="12:15" x14ac:dyDescent="0.3">
      <c r="L397" s="4">
        <f>Trades!P404</f>
        <v>0</v>
      </c>
      <c r="M397" s="5">
        <f>M396+Trades!T404</f>
        <v>1.3645891783725261</v>
      </c>
      <c r="N397" s="5">
        <f>N396+Trades!U404</f>
        <v>0.86146740004688438</v>
      </c>
      <c r="O397" s="5">
        <f>O396+Trades!W404</f>
        <v>0.35852049581728274</v>
      </c>
    </row>
    <row r="398" spans="12:15" x14ac:dyDescent="0.3">
      <c r="L398" s="4">
        <f>Trades!P405</f>
        <v>0</v>
      </c>
      <c r="M398" s="5">
        <f>M397+Trades!T405</f>
        <v>1.3645891783725261</v>
      </c>
      <c r="N398" s="5">
        <f>N397+Trades!U405</f>
        <v>0.86146740004688438</v>
      </c>
      <c r="O398" s="5">
        <f>O397+Trades!W405</f>
        <v>0.35852049581728274</v>
      </c>
    </row>
    <row r="399" spans="12:15" x14ac:dyDescent="0.3">
      <c r="L399" s="4">
        <f>Trades!P406</f>
        <v>0</v>
      </c>
      <c r="M399" s="5">
        <f>M398+Trades!T406</f>
        <v>1.3645891783725261</v>
      </c>
      <c r="N399" s="5">
        <f>N398+Trades!U406</f>
        <v>0.86146740004688438</v>
      </c>
      <c r="O399" s="5">
        <f>O398+Trades!W406</f>
        <v>0.35852049581728274</v>
      </c>
    </row>
    <row r="400" spans="12:15" x14ac:dyDescent="0.3">
      <c r="L400" s="4">
        <f>Trades!P392</f>
        <v>0</v>
      </c>
      <c r="M400" s="5">
        <f>M399+Trades!T392</f>
        <v>1.3645891783725261</v>
      </c>
      <c r="N400" s="5">
        <f>N399+Trades!U392</f>
        <v>0.86146740004688438</v>
      </c>
      <c r="O400" s="5">
        <f>O399+Trades!W392</f>
        <v>0.35852049581728274</v>
      </c>
    </row>
    <row r="401" spans="12:15" x14ac:dyDescent="0.3">
      <c r="L401" s="4">
        <f>Trades!P393</f>
        <v>0</v>
      </c>
      <c r="M401" s="5">
        <f>M400+Trades!T393</f>
        <v>1.3645891783725261</v>
      </c>
      <c r="N401" s="5">
        <f>N400+Trades!U393</f>
        <v>0.86146740004688438</v>
      </c>
      <c r="O401" s="5">
        <f>O400+Trades!W393</f>
        <v>0.35852049581728274</v>
      </c>
    </row>
    <row r="402" spans="12:15" x14ac:dyDescent="0.3">
      <c r="L402" s="4">
        <f>Trades!P407</f>
        <v>0</v>
      </c>
      <c r="M402" s="5">
        <f>M401+Trades!T407</f>
        <v>1.3645891783725261</v>
      </c>
      <c r="N402" s="5">
        <f>N401+Trades!U407</f>
        <v>0.86146740004688438</v>
      </c>
      <c r="O402" s="5">
        <f>O401+Trades!W407</f>
        <v>0.35852049581728274</v>
      </c>
    </row>
    <row r="403" spans="12:15" x14ac:dyDescent="0.3">
      <c r="L403" s="4">
        <f>Trades!P408</f>
        <v>0</v>
      </c>
      <c r="M403" s="5">
        <f>M402+Trades!T408</f>
        <v>1.3645891783725261</v>
      </c>
      <c r="N403" s="5">
        <f>N402+Trades!U408</f>
        <v>0.86146740004688438</v>
      </c>
      <c r="O403" s="5">
        <f>O402+Trades!W408</f>
        <v>0.35852049581728274</v>
      </c>
    </row>
    <row r="404" spans="12:15" x14ac:dyDescent="0.3">
      <c r="L404" s="4">
        <f>Trades!P394</f>
        <v>0</v>
      </c>
      <c r="M404" s="5">
        <f>M403+Trades!T394</f>
        <v>1.3645891783725261</v>
      </c>
      <c r="N404" s="5">
        <f>N403+Trades!U394</f>
        <v>0.86146740004688438</v>
      </c>
      <c r="O404" s="5">
        <f>O403+Trades!W394</f>
        <v>0.35852049581728274</v>
      </c>
    </row>
    <row r="405" spans="12:15" x14ac:dyDescent="0.3">
      <c r="L405" s="4">
        <f>Trades!P409</f>
        <v>0</v>
      </c>
      <c r="M405" s="5">
        <f>M404+Trades!T409</f>
        <v>1.3645891783725261</v>
      </c>
      <c r="N405" s="5">
        <f>N404+Trades!U409</f>
        <v>0.86146740004688438</v>
      </c>
      <c r="O405" s="5">
        <f>O404+Trades!W409</f>
        <v>0.35852049581728274</v>
      </c>
    </row>
    <row r="406" spans="12:15" x14ac:dyDescent="0.3">
      <c r="L406" s="4">
        <f>Trades!P395</f>
        <v>0</v>
      </c>
      <c r="M406" s="5">
        <f>M405+Trades!T395</f>
        <v>1.3645891783725261</v>
      </c>
      <c r="N406" s="5">
        <f>N405+Trades!U395</f>
        <v>0.86146740004688438</v>
      </c>
      <c r="O406" s="5">
        <f>O405+Trades!W395</f>
        <v>0.35852049581728274</v>
      </c>
    </row>
    <row r="407" spans="12:15" x14ac:dyDescent="0.3">
      <c r="L407" s="4">
        <f>Trades!P410</f>
        <v>0</v>
      </c>
      <c r="M407" s="5">
        <f>M406+Trades!T410</f>
        <v>1.3645891783725261</v>
      </c>
      <c r="N407" s="5">
        <f>N406+Trades!U410</f>
        <v>0.86146740004688438</v>
      </c>
      <c r="O407" s="5">
        <f>O406+Trades!W410</f>
        <v>0.35852049581728274</v>
      </c>
    </row>
    <row r="408" spans="12:15" x14ac:dyDescent="0.3">
      <c r="L408" s="4">
        <f>Trades!P396</f>
        <v>0</v>
      </c>
      <c r="M408" s="5">
        <f>M407+Trades!T396</f>
        <v>1.3645891783725261</v>
      </c>
      <c r="N408" s="5">
        <f>N407+Trades!U396</f>
        <v>0.86146740004688438</v>
      </c>
      <c r="O408" s="5">
        <f>O407+Trades!W396</f>
        <v>0.35852049581728274</v>
      </c>
    </row>
    <row r="409" spans="12:15" x14ac:dyDescent="0.3">
      <c r="L409" s="4">
        <f>Trades!P397</f>
        <v>0</v>
      </c>
      <c r="M409" s="5">
        <f>M408+Trades!T397</f>
        <v>1.3645891783725261</v>
      </c>
      <c r="N409" s="5">
        <f>N408+Trades!U397</f>
        <v>0.86146740004688438</v>
      </c>
      <c r="O409" s="5">
        <f>O408+Trades!W397</f>
        <v>0.35852049581728274</v>
      </c>
    </row>
    <row r="410" spans="12:15" x14ac:dyDescent="0.3">
      <c r="L410" s="4">
        <f>Trades!P411</f>
        <v>0</v>
      </c>
      <c r="M410" s="5">
        <f>M409+Trades!T411</f>
        <v>1.3645891783725261</v>
      </c>
      <c r="N410" s="5">
        <f>N409+Trades!U411</f>
        <v>0.86146740004688438</v>
      </c>
      <c r="O410" s="5">
        <f>O409+Trades!W411</f>
        <v>0.35852049581728274</v>
      </c>
    </row>
    <row r="411" spans="12:15" x14ac:dyDescent="0.3">
      <c r="L411" s="4">
        <f>Trades!P412</f>
        <v>0</v>
      </c>
      <c r="M411" s="5">
        <f>M410+Trades!T412</f>
        <v>1.3645891783725261</v>
      </c>
      <c r="N411" s="5">
        <f>N410+Trades!U412</f>
        <v>0.86146740004688438</v>
      </c>
      <c r="O411" s="5">
        <f>O410+Trades!W412</f>
        <v>0.35852049581728274</v>
      </c>
    </row>
    <row r="412" spans="12:15" x14ac:dyDescent="0.3">
      <c r="L412" s="4">
        <f>Trades!P398</f>
        <v>0</v>
      </c>
      <c r="M412" s="5">
        <f>M411+Trades!T398</f>
        <v>1.3645891783725261</v>
      </c>
      <c r="N412" s="5">
        <f>N411+Trades!U398</f>
        <v>0.86146740004688438</v>
      </c>
      <c r="O412" s="5">
        <f>O411+Trades!W398</f>
        <v>0.35852049581728274</v>
      </c>
    </row>
    <row r="413" spans="12:15" x14ac:dyDescent="0.3">
      <c r="L413" s="4">
        <f>Trades!P413</f>
        <v>0</v>
      </c>
      <c r="M413" s="5">
        <f>M412+Trades!T413</f>
        <v>1.3645891783725261</v>
      </c>
      <c r="N413" s="5">
        <f>N412+Trades!U413</f>
        <v>0.86146740004688438</v>
      </c>
      <c r="O413" s="5">
        <f>O412+Trades!W413</f>
        <v>0.35852049581728274</v>
      </c>
    </row>
    <row r="414" spans="12:15" x14ac:dyDescent="0.3">
      <c r="L414" s="4">
        <f>Trades!P422</f>
        <v>0</v>
      </c>
      <c r="M414" s="5">
        <f>M413+Trades!T422</f>
        <v>1.3645891783725261</v>
      </c>
      <c r="N414" s="5">
        <f>N413+Trades!U422</f>
        <v>0.86146740004688438</v>
      </c>
      <c r="O414" s="5">
        <f>O413+Trades!W422</f>
        <v>0.35852049581728274</v>
      </c>
    </row>
    <row r="415" spans="12:15" x14ac:dyDescent="0.3">
      <c r="L415" s="4">
        <f>Trades!P431</f>
        <v>0</v>
      </c>
      <c r="M415" s="5">
        <f>M414+Trades!T431</f>
        <v>1.3645891783725261</v>
      </c>
      <c r="N415" s="5">
        <f>N414+Trades!U431</f>
        <v>0.86146740004688438</v>
      </c>
      <c r="O415" s="5">
        <f>O414+Trades!W431</f>
        <v>0.35852049581728274</v>
      </c>
    </row>
    <row r="416" spans="12:15" x14ac:dyDescent="0.3">
      <c r="L416" s="4">
        <f>Trades!P423</f>
        <v>0</v>
      </c>
      <c r="M416" s="5">
        <f>M415+Trades!T423</f>
        <v>1.3645891783725261</v>
      </c>
      <c r="N416" s="5">
        <f>N415+Trades!U423</f>
        <v>0.86146740004688438</v>
      </c>
      <c r="O416" s="5">
        <f>O415+Trades!W423</f>
        <v>0.35852049581728274</v>
      </c>
    </row>
    <row r="417" spans="12:15" x14ac:dyDescent="0.3">
      <c r="L417" s="4">
        <f>Trades!P432</f>
        <v>0</v>
      </c>
      <c r="M417" s="5">
        <f>M416+Trades!T432</f>
        <v>1.3645891783725261</v>
      </c>
      <c r="N417" s="5">
        <f>N416+Trades!U432</f>
        <v>0.86146740004688438</v>
      </c>
      <c r="O417" s="5">
        <f>O416+Trades!W432</f>
        <v>0.35852049581728274</v>
      </c>
    </row>
    <row r="418" spans="12:15" x14ac:dyDescent="0.3">
      <c r="L418" s="4">
        <f>Trades!P424</f>
        <v>0</v>
      </c>
      <c r="M418" s="5">
        <f>M417+Trades!T424</f>
        <v>1.3645891783725261</v>
      </c>
      <c r="N418" s="5">
        <f>N417+Trades!U424</f>
        <v>0.86146740004688438</v>
      </c>
      <c r="O418" s="5">
        <f>O417+Trades!W424</f>
        <v>0.35852049581728274</v>
      </c>
    </row>
    <row r="419" spans="12:15" x14ac:dyDescent="0.3">
      <c r="L419" s="4">
        <f>Trades!P433</f>
        <v>0</v>
      </c>
      <c r="M419" s="5">
        <f>M418+Trades!T433</f>
        <v>1.3645891783725261</v>
      </c>
      <c r="N419" s="5">
        <f>N418+Trades!U433</f>
        <v>0.86146740004688438</v>
      </c>
      <c r="O419" s="5">
        <f>O418+Trades!W433</f>
        <v>0.35852049581728274</v>
      </c>
    </row>
    <row r="420" spans="12:15" x14ac:dyDescent="0.3">
      <c r="L420" s="4">
        <f>Trades!P414</f>
        <v>0</v>
      </c>
      <c r="M420" s="5">
        <f>M419+Trades!T414</f>
        <v>1.3645891783725261</v>
      </c>
      <c r="N420" s="5">
        <f>N419+Trades!U414</f>
        <v>0.86146740004688438</v>
      </c>
      <c r="O420" s="5">
        <f>O419+Trades!W414</f>
        <v>0.35852049581728274</v>
      </c>
    </row>
    <row r="421" spans="12:15" x14ac:dyDescent="0.3">
      <c r="L421" s="4">
        <f>Trades!P415</f>
        <v>0</v>
      </c>
      <c r="M421" s="5">
        <f>M420+Trades!T415</f>
        <v>1.3645891783725261</v>
      </c>
      <c r="N421" s="5">
        <f>N420+Trades!U415</f>
        <v>0.86146740004688438</v>
      </c>
      <c r="O421" s="5">
        <f>O420+Trades!W415</f>
        <v>0.35852049581728274</v>
      </c>
    </row>
    <row r="422" spans="12:15" x14ac:dyDescent="0.3">
      <c r="L422" s="4">
        <f>Trades!P425</f>
        <v>0</v>
      </c>
      <c r="M422" s="5">
        <f>M421+Trades!T425</f>
        <v>1.3645891783725261</v>
      </c>
      <c r="N422" s="5">
        <f>N421+Trades!U425</f>
        <v>0.86146740004688438</v>
      </c>
      <c r="O422" s="5">
        <f>O421+Trades!W425</f>
        <v>0.35852049581728274</v>
      </c>
    </row>
    <row r="423" spans="12:15" x14ac:dyDescent="0.3">
      <c r="L423" s="4">
        <f>Trades!P416</f>
        <v>0</v>
      </c>
      <c r="M423" s="5">
        <f>M422+Trades!T416</f>
        <v>1.3645891783725261</v>
      </c>
      <c r="N423" s="5">
        <f>N422+Trades!U416</f>
        <v>0.86146740004688438</v>
      </c>
      <c r="O423" s="5">
        <f>O422+Trades!W416</f>
        <v>0.35852049581728274</v>
      </c>
    </row>
    <row r="424" spans="12:15" x14ac:dyDescent="0.3">
      <c r="L424" s="4">
        <f>Trades!P434</f>
        <v>0</v>
      </c>
      <c r="M424" s="5">
        <f>M423+Trades!T434</f>
        <v>1.3645891783725261</v>
      </c>
      <c r="N424" s="5">
        <f>N423+Trades!U434</f>
        <v>0.86146740004688438</v>
      </c>
      <c r="O424" s="5">
        <f>O423+Trades!W434</f>
        <v>0.35852049581728274</v>
      </c>
    </row>
    <row r="425" spans="12:15" x14ac:dyDescent="0.3">
      <c r="L425" s="4">
        <f>Trades!P426</f>
        <v>0</v>
      </c>
      <c r="M425" s="5">
        <f>M424+Trades!T426</f>
        <v>1.3645891783725261</v>
      </c>
      <c r="N425" s="5">
        <f>N424+Trades!U426</f>
        <v>0.86146740004688438</v>
      </c>
      <c r="O425" s="5">
        <f>O424+Trades!W426</f>
        <v>0.35852049581728274</v>
      </c>
    </row>
    <row r="426" spans="12:15" x14ac:dyDescent="0.3">
      <c r="L426" s="4">
        <f>Trades!P435</f>
        <v>0</v>
      </c>
      <c r="M426" s="5">
        <f>M425+Trades!T435</f>
        <v>1.3645891783725261</v>
      </c>
      <c r="N426" s="5">
        <f>N425+Trades!U435</f>
        <v>0.86146740004688438</v>
      </c>
      <c r="O426" s="5">
        <f>O425+Trades!W435</f>
        <v>0.35852049581728274</v>
      </c>
    </row>
    <row r="427" spans="12:15" x14ac:dyDescent="0.3">
      <c r="L427" s="4">
        <f>Trades!P417</f>
        <v>0</v>
      </c>
      <c r="M427" s="5">
        <f>M426+Trades!T417</f>
        <v>1.3645891783725261</v>
      </c>
      <c r="N427" s="5">
        <f>N426+Trades!U417</f>
        <v>0.86146740004688438</v>
      </c>
      <c r="O427" s="5">
        <f>O426+Trades!W417</f>
        <v>0.35852049581728274</v>
      </c>
    </row>
    <row r="428" spans="12:15" x14ac:dyDescent="0.3">
      <c r="L428" s="4">
        <f>Trades!P427</f>
        <v>0</v>
      </c>
      <c r="M428" s="5">
        <f>M427+Trades!T427</f>
        <v>1.3645891783725261</v>
      </c>
      <c r="N428" s="5">
        <f>N427+Trades!U427</f>
        <v>0.86146740004688438</v>
      </c>
      <c r="O428" s="5">
        <f>O427+Trades!W427</f>
        <v>0.35852049581728274</v>
      </c>
    </row>
    <row r="429" spans="12:15" x14ac:dyDescent="0.3">
      <c r="L429" s="4">
        <f>Trades!P436</f>
        <v>0</v>
      </c>
      <c r="M429" s="5">
        <f>M428+Trades!T436</f>
        <v>1.3645891783725261</v>
      </c>
      <c r="N429" s="5">
        <f>N428+Trades!U436</f>
        <v>0.86146740004688438</v>
      </c>
      <c r="O429" s="5">
        <f>O428+Trades!W436</f>
        <v>0.35852049581728274</v>
      </c>
    </row>
    <row r="430" spans="12:15" x14ac:dyDescent="0.3">
      <c r="L430" s="4">
        <f>Trades!P428</f>
        <v>0</v>
      </c>
      <c r="M430" s="5">
        <f>M429+Trades!T428</f>
        <v>1.3645891783725261</v>
      </c>
      <c r="N430" s="5">
        <f>N429+Trades!U428</f>
        <v>0.86146740004688438</v>
      </c>
      <c r="O430" s="5">
        <f>O429+Trades!W428</f>
        <v>0.35852049581728274</v>
      </c>
    </row>
    <row r="431" spans="12:15" x14ac:dyDescent="0.3">
      <c r="L431" s="4">
        <f>Trades!P418</f>
        <v>0</v>
      </c>
      <c r="M431" s="5">
        <f>M430+Trades!T418</f>
        <v>1.3645891783725261</v>
      </c>
      <c r="N431" s="5">
        <f>N430+Trades!U418</f>
        <v>0.86146740004688438</v>
      </c>
      <c r="O431" s="5">
        <f>O430+Trades!W418</f>
        <v>0.35852049581728274</v>
      </c>
    </row>
    <row r="432" spans="12:15" x14ac:dyDescent="0.3">
      <c r="L432" s="4">
        <f>Trades!P429</f>
        <v>0</v>
      </c>
      <c r="M432" s="5">
        <f>M431+Trades!T429</f>
        <v>1.3645891783725261</v>
      </c>
      <c r="N432" s="5">
        <f>N431+Trades!U429</f>
        <v>0.86146740004688438</v>
      </c>
      <c r="O432" s="5">
        <f>O431+Trades!W429</f>
        <v>0.35852049581728274</v>
      </c>
    </row>
    <row r="433" spans="12:15" x14ac:dyDescent="0.3">
      <c r="L433" s="4">
        <f>Trades!P419</f>
        <v>0</v>
      </c>
      <c r="M433" s="5">
        <f>M432+Trades!T419</f>
        <v>1.3645891783725261</v>
      </c>
      <c r="N433" s="5">
        <f>N432+Trades!U419</f>
        <v>0.86146740004688438</v>
      </c>
      <c r="O433" s="5">
        <f>O432+Trades!W419</f>
        <v>0.35852049581728274</v>
      </c>
    </row>
    <row r="434" spans="12:15" x14ac:dyDescent="0.3">
      <c r="L434" s="4">
        <f>Trades!P430</f>
        <v>0</v>
      </c>
      <c r="M434" s="5">
        <f>M433+Trades!T430</f>
        <v>1.3645891783725261</v>
      </c>
      <c r="N434" s="5">
        <f>N433+Trades!U430</f>
        <v>0.86146740004688438</v>
      </c>
      <c r="O434" s="5">
        <f>O433+Trades!W430</f>
        <v>0.35852049581728274</v>
      </c>
    </row>
    <row r="435" spans="12:15" x14ac:dyDescent="0.3">
      <c r="L435" s="4">
        <f>Trades!P437</f>
        <v>0</v>
      </c>
      <c r="M435" s="5">
        <f>M434+Trades!T437</f>
        <v>1.3645891783725261</v>
      </c>
      <c r="N435" s="5">
        <f>N434+Trades!U437</f>
        <v>0.86146740004688438</v>
      </c>
      <c r="O435" s="5">
        <f>O434+Trades!W437</f>
        <v>0.35852049581728274</v>
      </c>
    </row>
    <row r="436" spans="12:15" x14ac:dyDescent="0.3">
      <c r="L436" s="4">
        <f>Trades!P420</f>
        <v>0</v>
      </c>
      <c r="M436" s="5">
        <f>M435+Trades!T420</f>
        <v>1.3645891783725261</v>
      </c>
      <c r="N436" s="5">
        <f>N435+Trades!U420</f>
        <v>0.86146740004688438</v>
      </c>
      <c r="O436" s="5">
        <f>O435+Trades!W420</f>
        <v>0.35852049581728274</v>
      </c>
    </row>
    <row r="437" spans="12:15" x14ac:dyDescent="0.3">
      <c r="L437" s="4">
        <f>Trades!P421</f>
        <v>0</v>
      </c>
      <c r="M437" s="5">
        <f>M436+Trades!T421</f>
        <v>1.3645891783725261</v>
      </c>
      <c r="N437" s="5">
        <f>N436+Trades!U421</f>
        <v>0.86146740004688438</v>
      </c>
      <c r="O437" s="5">
        <f>O436+Trades!W421</f>
        <v>0.35852049581728274</v>
      </c>
    </row>
    <row r="438" spans="12:15" x14ac:dyDescent="0.3">
      <c r="L438" s="4">
        <f>Trades!P438</f>
        <v>0</v>
      </c>
      <c r="M438" s="5">
        <f>M437+Trades!T438</f>
        <v>1.3645891783725261</v>
      </c>
      <c r="N438" s="5">
        <f>N437+Trades!U438</f>
        <v>0.86146740004688438</v>
      </c>
      <c r="O438" s="5">
        <f>O437+Trades!W438</f>
        <v>0.35852049581728274</v>
      </c>
    </row>
    <row r="439" spans="12:15" x14ac:dyDescent="0.3">
      <c r="L439" s="4">
        <f>Trades!P452</f>
        <v>0</v>
      </c>
      <c r="M439" s="5">
        <f>M438+Trades!T452</f>
        <v>1.3645891783725261</v>
      </c>
      <c r="N439" s="5">
        <f>N438+Trades!U452</f>
        <v>0.86146740004688438</v>
      </c>
      <c r="O439" s="5">
        <f>O438+Trades!W452</f>
        <v>0.35852049581728274</v>
      </c>
    </row>
    <row r="440" spans="12:15" x14ac:dyDescent="0.3">
      <c r="L440" s="4">
        <f>Trades!P470</f>
        <v>0</v>
      </c>
      <c r="M440" s="5">
        <f>M439+Trades!T470</f>
        <v>1.3645891783725261</v>
      </c>
      <c r="N440" s="5">
        <f>N439+Trades!U470</f>
        <v>0.86146740004688438</v>
      </c>
      <c r="O440" s="5">
        <f>O439+Trades!W470</f>
        <v>0.35852049581728274</v>
      </c>
    </row>
    <row r="441" spans="12:15" x14ac:dyDescent="0.3">
      <c r="L441" s="4">
        <f>Trades!P439</f>
        <v>0</v>
      </c>
      <c r="M441" s="5">
        <f>M440+Trades!T439</f>
        <v>1.3645891783725261</v>
      </c>
      <c r="N441" s="5">
        <f>N440+Trades!U439</f>
        <v>0.86146740004688438</v>
      </c>
      <c r="O441" s="5">
        <f>O440+Trades!W439</f>
        <v>0.35852049581728274</v>
      </c>
    </row>
    <row r="442" spans="12:15" x14ac:dyDescent="0.3">
      <c r="L442" s="4">
        <f>Trades!P453</f>
        <v>0</v>
      </c>
      <c r="M442" s="5">
        <f>M441+Trades!T453</f>
        <v>1.3645891783725261</v>
      </c>
      <c r="N442" s="5">
        <f>N441+Trades!U453</f>
        <v>0.86146740004688438</v>
      </c>
      <c r="O442" s="5">
        <f>O441+Trades!W453</f>
        <v>0.35852049581728274</v>
      </c>
    </row>
    <row r="443" spans="12:15" x14ac:dyDescent="0.3">
      <c r="L443" s="4">
        <f>Trades!P454</f>
        <v>0</v>
      </c>
      <c r="M443" s="5">
        <f>M442+Trades!T454</f>
        <v>1.3645891783725261</v>
      </c>
      <c r="N443" s="5">
        <f>N442+Trades!U454</f>
        <v>0.86146740004688438</v>
      </c>
      <c r="O443" s="5">
        <f>O442+Trades!W454</f>
        <v>0.35852049581728274</v>
      </c>
    </row>
    <row r="444" spans="12:15" x14ac:dyDescent="0.3">
      <c r="L444" s="4">
        <f>Trades!P440</f>
        <v>0</v>
      </c>
      <c r="M444" s="5">
        <f>M443+Trades!T440</f>
        <v>1.3645891783725261</v>
      </c>
      <c r="N444" s="5">
        <f>N443+Trades!U440</f>
        <v>0.86146740004688438</v>
      </c>
      <c r="O444" s="5">
        <f>O443+Trades!W440</f>
        <v>0.35852049581728274</v>
      </c>
    </row>
    <row r="445" spans="12:15" x14ac:dyDescent="0.3">
      <c r="L445" s="4">
        <f>Trades!P455</f>
        <v>0</v>
      </c>
      <c r="M445" s="5">
        <f>M444+Trades!T455</f>
        <v>1.3645891783725261</v>
      </c>
      <c r="N445" s="5">
        <f>N444+Trades!U455</f>
        <v>0.86146740004688438</v>
      </c>
      <c r="O445" s="5">
        <f>O444+Trades!W455</f>
        <v>0.35852049581728274</v>
      </c>
    </row>
    <row r="446" spans="12:15" x14ac:dyDescent="0.3">
      <c r="L446" s="4">
        <f>Trades!P456</f>
        <v>0</v>
      </c>
      <c r="M446" s="5">
        <f>M445+Trades!T456</f>
        <v>1.3645891783725261</v>
      </c>
      <c r="N446" s="5">
        <f>N445+Trades!U456</f>
        <v>0.86146740004688438</v>
      </c>
      <c r="O446" s="5">
        <f>O445+Trades!W456</f>
        <v>0.35852049581728274</v>
      </c>
    </row>
    <row r="447" spans="12:15" x14ac:dyDescent="0.3">
      <c r="L447" s="4">
        <f>Trades!P441</f>
        <v>0</v>
      </c>
      <c r="M447" s="5">
        <f>M446+Trades!T441</f>
        <v>1.3645891783725261</v>
      </c>
      <c r="N447" s="5">
        <f>N446+Trades!U441</f>
        <v>0.86146740004688438</v>
      </c>
      <c r="O447" s="5">
        <f>O446+Trades!W441</f>
        <v>0.35852049581728274</v>
      </c>
    </row>
    <row r="448" spans="12:15" x14ac:dyDescent="0.3">
      <c r="L448" s="4">
        <f>Trades!P457</f>
        <v>0</v>
      </c>
      <c r="M448" s="5">
        <f>M447+Trades!T457</f>
        <v>1.3645891783725261</v>
      </c>
      <c r="N448" s="5">
        <f>N447+Trades!U457</f>
        <v>0.86146740004688438</v>
      </c>
      <c r="O448" s="5">
        <f>O447+Trades!W457</f>
        <v>0.35852049581728274</v>
      </c>
    </row>
    <row r="449" spans="12:15" x14ac:dyDescent="0.3">
      <c r="L449" s="4">
        <f>Trades!P471</f>
        <v>0</v>
      </c>
      <c r="M449" s="5">
        <f>M448+Trades!T471</f>
        <v>1.3645891783725261</v>
      </c>
      <c r="N449" s="5">
        <f>N448+Trades!U471</f>
        <v>0.86146740004688438</v>
      </c>
      <c r="O449" s="5">
        <f>O448+Trades!W471</f>
        <v>0.35852049581728274</v>
      </c>
    </row>
    <row r="450" spans="12:15" x14ac:dyDescent="0.3">
      <c r="L450" s="4">
        <f>Trades!P472</f>
        <v>0</v>
      </c>
      <c r="M450" s="5">
        <f>M449+Trades!T472</f>
        <v>1.3645891783725261</v>
      </c>
      <c r="N450" s="5">
        <f>N449+Trades!U472</f>
        <v>0.86146740004688438</v>
      </c>
      <c r="O450" s="5">
        <f>O449+Trades!W472</f>
        <v>0.35852049581728274</v>
      </c>
    </row>
    <row r="451" spans="12:15" x14ac:dyDescent="0.3">
      <c r="L451" s="4">
        <f>Trades!P458</f>
        <v>0</v>
      </c>
      <c r="M451" s="5">
        <f>M450+Trades!T458</f>
        <v>1.3645891783725261</v>
      </c>
      <c r="N451" s="5">
        <f>N450+Trades!U458</f>
        <v>0.86146740004688438</v>
      </c>
      <c r="O451" s="5">
        <f>O450+Trades!W458</f>
        <v>0.35852049581728274</v>
      </c>
    </row>
    <row r="452" spans="12:15" x14ac:dyDescent="0.3">
      <c r="L452" s="4">
        <f>Trades!P442</f>
        <v>0</v>
      </c>
      <c r="M452" s="5">
        <f>M451+Trades!T442</f>
        <v>1.3645891783725261</v>
      </c>
      <c r="N452" s="5">
        <f>N451+Trades!U442</f>
        <v>0.86146740004688438</v>
      </c>
      <c r="O452" s="5">
        <f>O451+Trades!W442</f>
        <v>0.35852049581728274</v>
      </c>
    </row>
    <row r="453" spans="12:15" x14ac:dyDescent="0.3">
      <c r="L453" s="4">
        <f>Trades!P459</f>
        <v>0</v>
      </c>
      <c r="M453" s="5">
        <f>M452+Trades!T459</f>
        <v>1.3645891783725261</v>
      </c>
      <c r="N453" s="5">
        <f>N452+Trades!U459</f>
        <v>0.86146740004688438</v>
      </c>
      <c r="O453" s="5">
        <f>O452+Trades!W459</f>
        <v>0.35852049581728274</v>
      </c>
    </row>
    <row r="454" spans="12:15" x14ac:dyDescent="0.3">
      <c r="L454" s="4">
        <f>Trades!P460</f>
        <v>0</v>
      </c>
      <c r="M454" s="5">
        <f>M453+Trades!T460</f>
        <v>1.3645891783725261</v>
      </c>
      <c r="N454" s="5">
        <f>N453+Trades!U460</f>
        <v>0.86146740004688438</v>
      </c>
      <c r="O454" s="5">
        <f>O453+Trades!W460</f>
        <v>0.35852049581728274</v>
      </c>
    </row>
    <row r="455" spans="12:15" x14ac:dyDescent="0.3">
      <c r="L455" s="4">
        <f>Trades!P473</f>
        <v>0</v>
      </c>
      <c r="M455" s="5">
        <f>M454+Trades!T473</f>
        <v>1.3645891783725261</v>
      </c>
      <c r="N455" s="5">
        <f>N454+Trades!U473</f>
        <v>0.86146740004688438</v>
      </c>
      <c r="O455" s="5">
        <f>O454+Trades!W473</f>
        <v>0.35852049581728274</v>
      </c>
    </row>
    <row r="456" spans="12:15" x14ac:dyDescent="0.3">
      <c r="L456" s="4">
        <f>Trades!P461</f>
        <v>0</v>
      </c>
      <c r="M456" s="5">
        <f>M455+Trades!T461</f>
        <v>1.3645891783725261</v>
      </c>
      <c r="N456" s="5">
        <f>N455+Trades!U461</f>
        <v>0.86146740004688438</v>
      </c>
      <c r="O456" s="5">
        <f>O455+Trades!W461</f>
        <v>0.35852049581728274</v>
      </c>
    </row>
    <row r="457" spans="12:15" x14ac:dyDescent="0.3">
      <c r="L457" s="4">
        <f>Trades!P443</f>
        <v>0</v>
      </c>
      <c r="M457" s="5">
        <f>M456+Trades!T443</f>
        <v>1.3645891783725261</v>
      </c>
      <c r="N457" s="5">
        <f>N456+Trades!U443</f>
        <v>0.86146740004688438</v>
      </c>
      <c r="O457" s="5">
        <f>O456+Trades!W443</f>
        <v>0.35852049581728274</v>
      </c>
    </row>
    <row r="458" spans="12:15" x14ac:dyDescent="0.3">
      <c r="L458" s="4">
        <f>Trades!P462</f>
        <v>0</v>
      </c>
      <c r="M458" s="5">
        <f>M457+Trades!T462</f>
        <v>1.3645891783725261</v>
      </c>
      <c r="N458" s="5">
        <f>N457+Trades!U462</f>
        <v>0.86146740004688438</v>
      </c>
      <c r="O458" s="5">
        <f>O457+Trades!W462</f>
        <v>0.35852049581728274</v>
      </c>
    </row>
    <row r="459" spans="12:15" x14ac:dyDescent="0.3">
      <c r="L459" s="4">
        <f>Trades!P444</f>
        <v>0</v>
      </c>
      <c r="M459" s="5">
        <f>M458+Trades!T444</f>
        <v>1.3645891783725261</v>
      </c>
      <c r="N459" s="5">
        <f>N458+Trades!U444</f>
        <v>0.86146740004688438</v>
      </c>
      <c r="O459" s="5">
        <f>O458+Trades!W444</f>
        <v>0.35852049581728274</v>
      </c>
    </row>
    <row r="460" spans="12:15" x14ac:dyDescent="0.3">
      <c r="L460" s="4">
        <f>Trades!P445</f>
        <v>0</v>
      </c>
      <c r="M460" s="5">
        <f>M459+Trades!T445</f>
        <v>1.3645891783725261</v>
      </c>
      <c r="N460" s="5">
        <f>N459+Trades!U445</f>
        <v>0.86146740004688438</v>
      </c>
      <c r="O460" s="5">
        <f>O459+Trades!W445</f>
        <v>0.35852049581728274</v>
      </c>
    </row>
    <row r="461" spans="12:15" x14ac:dyDescent="0.3">
      <c r="L461" s="4">
        <f>Trades!P463</f>
        <v>0</v>
      </c>
      <c r="M461" s="5">
        <f>M460+Trades!T463</f>
        <v>1.3645891783725261</v>
      </c>
      <c r="N461" s="5">
        <f>N460+Trades!U463</f>
        <v>0.86146740004688438</v>
      </c>
      <c r="O461" s="5">
        <f>O460+Trades!W463</f>
        <v>0.35852049581728274</v>
      </c>
    </row>
    <row r="462" spans="12:15" x14ac:dyDescent="0.3">
      <c r="L462" s="4">
        <f>Trades!P464</f>
        <v>0</v>
      </c>
      <c r="M462" s="5">
        <f>M461+Trades!T464</f>
        <v>1.3645891783725261</v>
      </c>
      <c r="N462" s="5">
        <f>N461+Trades!U464</f>
        <v>0.86146740004688438</v>
      </c>
      <c r="O462" s="5">
        <f>O461+Trades!W464</f>
        <v>0.35852049581728274</v>
      </c>
    </row>
    <row r="463" spans="12:15" x14ac:dyDescent="0.3">
      <c r="L463" s="4">
        <f>Trades!P446</f>
        <v>0</v>
      </c>
      <c r="M463" s="5">
        <f>M462+Trades!T446</f>
        <v>1.3645891783725261</v>
      </c>
      <c r="N463" s="5">
        <f>N462+Trades!U446</f>
        <v>0.86146740004688438</v>
      </c>
      <c r="O463" s="5">
        <f>O462+Trades!W446</f>
        <v>0.35852049581728274</v>
      </c>
    </row>
    <row r="464" spans="12:15" x14ac:dyDescent="0.3">
      <c r="L464" s="4">
        <f>Trades!P474</f>
        <v>0</v>
      </c>
      <c r="M464" s="5">
        <f>M463+Trades!T474</f>
        <v>1.3645891783725261</v>
      </c>
      <c r="N464" s="5">
        <f>N463+Trades!U474</f>
        <v>0.86146740004688438</v>
      </c>
      <c r="O464" s="5">
        <f>O463+Trades!W474</f>
        <v>0.35852049581728274</v>
      </c>
    </row>
    <row r="465" spans="12:15" x14ac:dyDescent="0.3">
      <c r="L465" s="4">
        <f>Trades!P465</f>
        <v>0</v>
      </c>
      <c r="M465" s="5">
        <f>M464+Trades!T465</f>
        <v>1.3645891783725261</v>
      </c>
      <c r="N465" s="5">
        <f>N464+Trades!U465</f>
        <v>0.86146740004688438</v>
      </c>
      <c r="O465" s="5">
        <f>O464+Trades!W465</f>
        <v>0.35852049581728274</v>
      </c>
    </row>
    <row r="466" spans="12:15" x14ac:dyDescent="0.3">
      <c r="L466" s="4">
        <f>Trades!P475</f>
        <v>0</v>
      </c>
      <c r="M466" s="5">
        <f>M465+Trades!T475</f>
        <v>1.3645891783725261</v>
      </c>
      <c r="N466" s="5">
        <f>N465+Trades!U475</f>
        <v>0.86146740004688438</v>
      </c>
      <c r="O466" s="5">
        <f>O465+Trades!W475</f>
        <v>0.35852049581728274</v>
      </c>
    </row>
    <row r="467" spans="12:15" x14ac:dyDescent="0.3">
      <c r="L467" s="4">
        <f>Trades!P447</f>
        <v>0</v>
      </c>
      <c r="M467" s="5">
        <f>M466+Trades!T447</f>
        <v>1.3645891783725261</v>
      </c>
      <c r="N467" s="5">
        <f>N466+Trades!U447</f>
        <v>0.86146740004688438</v>
      </c>
      <c r="O467" s="5">
        <f>O466+Trades!W447</f>
        <v>0.35852049581728274</v>
      </c>
    </row>
    <row r="468" spans="12:15" x14ac:dyDescent="0.3">
      <c r="L468" s="4">
        <f>Trades!P448</f>
        <v>0</v>
      </c>
      <c r="M468" s="5">
        <f>M467+Trades!T448</f>
        <v>1.3645891783725261</v>
      </c>
      <c r="N468" s="5">
        <f>N467+Trades!U448</f>
        <v>0.86146740004688438</v>
      </c>
      <c r="O468" s="5">
        <f>O467+Trades!W448</f>
        <v>0.35852049581728274</v>
      </c>
    </row>
    <row r="469" spans="12:15" x14ac:dyDescent="0.3">
      <c r="L469" s="4">
        <f>Trades!P466</f>
        <v>0</v>
      </c>
      <c r="M469" s="5">
        <f>M468+Trades!T466</f>
        <v>1.3645891783725261</v>
      </c>
      <c r="N469" s="5">
        <f>N468+Trades!U466</f>
        <v>0.86146740004688438</v>
      </c>
      <c r="O469" s="5">
        <f>O468+Trades!W466</f>
        <v>0.35852049581728274</v>
      </c>
    </row>
    <row r="470" spans="12:15" x14ac:dyDescent="0.3">
      <c r="L470" s="4">
        <f>Trades!P467</f>
        <v>0</v>
      </c>
      <c r="M470" s="5">
        <f>M469+Trades!T467</f>
        <v>1.3645891783725261</v>
      </c>
      <c r="N470" s="5">
        <f>N469+Trades!U467</f>
        <v>0.86146740004688438</v>
      </c>
      <c r="O470" s="5">
        <f>O469+Trades!W467</f>
        <v>0.35852049581728274</v>
      </c>
    </row>
    <row r="471" spans="12:15" x14ac:dyDescent="0.3">
      <c r="L471" s="4">
        <f>Trades!P476</f>
        <v>0</v>
      </c>
      <c r="M471" s="5">
        <f>M470+Trades!T476</f>
        <v>1.3645891783725261</v>
      </c>
      <c r="N471" s="5">
        <f>N470+Trades!U476</f>
        <v>0.86146740004688438</v>
      </c>
      <c r="O471" s="5">
        <f>O470+Trades!W476</f>
        <v>0.35852049581728274</v>
      </c>
    </row>
    <row r="472" spans="12:15" x14ac:dyDescent="0.3">
      <c r="L472" s="4">
        <f>Trades!P449</f>
        <v>0</v>
      </c>
      <c r="M472" s="5">
        <f>M471+Trades!T449</f>
        <v>1.3645891783725261</v>
      </c>
      <c r="N472" s="5">
        <f>N471+Trades!U449</f>
        <v>0.86146740004688438</v>
      </c>
      <c r="O472" s="5">
        <f>O471+Trades!W449</f>
        <v>0.35852049581728274</v>
      </c>
    </row>
    <row r="473" spans="12:15" x14ac:dyDescent="0.3">
      <c r="L473" s="4">
        <f>Trades!P468</f>
        <v>0</v>
      </c>
      <c r="M473" s="5">
        <f>M472+Trades!T468</f>
        <v>1.3645891783725261</v>
      </c>
      <c r="N473" s="5">
        <f>N472+Trades!U468</f>
        <v>0.86146740004688438</v>
      </c>
      <c r="O473" s="5">
        <f>O472+Trades!W468</f>
        <v>0.35852049581728274</v>
      </c>
    </row>
    <row r="474" spans="12:15" x14ac:dyDescent="0.3">
      <c r="L474" s="4">
        <f>Trades!P477</f>
        <v>0</v>
      </c>
      <c r="M474" s="5">
        <f>M473+Trades!T477</f>
        <v>1.3645891783725261</v>
      </c>
      <c r="N474" s="5">
        <f>N473+Trades!U477</f>
        <v>0.86146740004688438</v>
      </c>
      <c r="O474" s="5">
        <f>O473+Trades!W477</f>
        <v>0.35852049581728274</v>
      </c>
    </row>
    <row r="475" spans="12:15" x14ac:dyDescent="0.3">
      <c r="L475" s="4">
        <f>Trades!P450</f>
        <v>0</v>
      </c>
      <c r="M475" s="5">
        <f>M474+Trades!T450</f>
        <v>1.3645891783725261</v>
      </c>
      <c r="N475" s="5">
        <f>N474+Trades!U450</f>
        <v>0.86146740004688438</v>
      </c>
      <c r="O475" s="5">
        <f>O474+Trades!W450</f>
        <v>0.35852049581728274</v>
      </c>
    </row>
    <row r="476" spans="12:15" x14ac:dyDescent="0.3">
      <c r="L476" s="4">
        <f>Trades!P478</f>
        <v>0</v>
      </c>
      <c r="M476" s="5">
        <f>M475+Trades!T478</f>
        <v>1.3645891783725261</v>
      </c>
      <c r="N476" s="5">
        <f>N475+Trades!U478</f>
        <v>0.86146740004688438</v>
      </c>
      <c r="O476" s="5">
        <f>O475+Trades!W478</f>
        <v>0.35852049581728274</v>
      </c>
    </row>
    <row r="477" spans="12:15" x14ac:dyDescent="0.3">
      <c r="L477" s="4">
        <f>Trades!P469</f>
        <v>0</v>
      </c>
      <c r="M477" s="5">
        <f>M476+Trades!T469</f>
        <v>1.3645891783725261</v>
      </c>
      <c r="N477" s="5">
        <f>N476+Trades!U469</f>
        <v>0.86146740004688438</v>
      </c>
      <c r="O477" s="5">
        <f>O476+Trades!W469</f>
        <v>0.35852049581728274</v>
      </c>
    </row>
    <row r="478" spans="12:15" x14ac:dyDescent="0.3">
      <c r="L478" s="4">
        <f>Trades!P451</f>
        <v>0</v>
      </c>
      <c r="M478" s="5">
        <f>M477+Trades!T451</f>
        <v>1.3645891783725261</v>
      </c>
      <c r="N478" s="5">
        <f>N477+Trades!U451</f>
        <v>0.86146740004688438</v>
      </c>
      <c r="O478" s="5">
        <f>O477+Trades!W451</f>
        <v>0.35852049581728274</v>
      </c>
    </row>
    <row r="479" spans="12:15" x14ac:dyDescent="0.3">
      <c r="L479" s="4">
        <f>Trades!P479</f>
        <v>0</v>
      </c>
      <c r="M479" s="5">
        <f>M478+Trades!T479</f>
        <v>1.3645891783725261</v>
      </c>
      <c r="N479" s="5">
        <f>N478+Trades!U479</f>
        <v>0.86146740004688438</v>
      </c>
      <c r="O479" s="5">
        <f>O478+Trades!W479</f>
        <v>0.35852049581728274</v>
      </c>
    </row>
    <row r="480" spans="12:15" x14ac:dyDescent="0.3">
      <c r="L480" s="4">
        <f>Trades!P480</f>
        <v>0</v>
      </c>
      <c r="M480" s="5">
        <f>M479+Trades!T480</f>
        <v>1.3645891783725261</v>
      </c>
      <c r="N480" s="5">
        <f>N479+Trades!U480</f>
        <v>0.86146740004688438</v>
      </c>
      <c r="O480" s="5">
        <f>O479+Trades!W480</f>
        <v>0.35852049581728274</v>
      </c>
    </row>
    <row r="481" spans="12:15" x14ac:dyDescent="0.3">
      <c r="L481" s="4">
        <f>Trades!P490</f>
        <v>0</v>
      </c>
      <c r="M481" s="5">
        <f>M480+Trades!T490</f>
        <v>1.3645891783725261</v>
      </c>
      <c r="N481" s="5">
        <f>N480+Trades!U490</f>
        <v>0.86146740004688438</v>
      </c>
      <c r="O481" s="5">
        <f>O480+Trades!W490</f>
        <v>0.35852049581728274</v>
      </c>
    </row>
    <row r="482" spans="12:15" x14ac:dyDescent="0.3">
      <c r="L482" s="4">
        <f>Trades!P504</f>
        <v>0</v>
      </c>
      <c r="M482" s="5">
        <f>M481+Trades!T504</f>
        <v>1.3645891783725261</v>
      </c>
      <c r="N482" s="5">
        <f>N481+Trades!U504</f>
        <v>0.86146740004688438</v>
      </c>
      <c r="O482" s="5">
        <f>O481+Trades!W504</f>
        <v>0.35852049581728274</v>
      </c>
    </row>
    <row r="483" spans="12:15" x14ac:dyDescent="0.3">
      <c r="L483" s="4">
        <f>Trades!P513</f>
        <v>0</v>
      </c>
      <c r="M483" s="5">
        <f>M482+Trades!T513</f>
        <v>1.3645891783725261</v>
      </c>
      <c r="N483" s="5">
        <f>N482+Trades!U513</f>
        <v>0.86146740004688438</v>
      </c>
      <c r="O483" s="5">
        <f>O482+Trades!W513</f>
        <v>0.35852049581728274</v>
      </c>
    </row>
    <row r="484" spans="12:15" x14ac:dyDescent="0.3">
      <c r="L484" s="4">
        <f>Trades!P523</f>
        <v>0</v>
      </c>
      <c r="M484" s="5">
        <f>M483+Trades!T523</f>
        <v>1.3645891783725261</v>
      </c>
      <c r="N484" s="5">
        <f>N483+Trades!U523</f>
        <v>0.86146740004688438</v>
      </c>
      <c r="O484" s="5">
        <f>O483+Trades!W523</f>
        <v>0.35852049581728274</v>
      </c>
    </row>
    <row r="485" spans="12:15" x14ac:dyDescent="0.3">
      <c r="L485" s="4">
        <f>Trades!P536</f>
        <v>0</v>
      </c>
      <c r="M485" s="5">
        <f>M484+Trades!T536</f>
        <v>1.3645891783725261</v>
      </c>
      <c r="N485" s="5">
        <f>N484+Trades!U536</f>
        <v>0.86146740004688438</v>
      </c>
      <c r="O485" s="5">
        <f>O484+Trades!W536</f>
        <v>0.35852049581728274</v>
      </c>
    </row>
    <row r="486" spans="12:15" x14ac:dyDescent="0.3">
      <c r="L486" s="4">
        <f>Trades!P547</f>
        <v>0</v>
      </c>
      <c r="M486" s="5">
        <f>M485+Trades!T547</f>
        <v>1.3645891783725261</v>
      </c>
      <c r="N486" s="5">
        <f>N485+Trades!U547</f>
        <v>0.86146740004688438</v>
      </c>
      <c r="O486" s="5">
        <f>O485+Trades!W547</f>
        <v>0.35852049581728274</v>
      </c>
    </row>
    <row r="487" spans="12:15" x14ac:dyDescent="0.3">
      <c r="L487" s="4">
        <f>Trades!P558</f>
        <v>0</v>
      </c>
      <c r="M487" s="5">
        <f>M486+Trades!T558</f>
        <v>1.3645891783725261</v>
      </c>
      <c r="N487" s="5">
        <f>N486+Trades!U558</f>
        <v>0.86146740004688438</v>
      </c>
      <c r="O487" s="5">
        <f>O486+Trades!W558</f>
        <v>0.35852049581728274</v>
      </c>
    </row>
    <row r="488" spans="12:15" x14ac:dyDescent="0.3">
      <c r="L488" s="4">
        <f>Trades!P568</f>
        <v>0</v>
      </c>
      <c r="M488" s="5">
        <f>M487+Trades!T568</f>
        <v>1.3645891783725261</v>
      </c>
      <c r="N488" s="5">
        <f>N487+Trades!U568</f>
        <v>0.86146740004688438</v>
      </c>
      <c r="O488" s="5">
        <f>O487+Trades!W568</f>
        <v>0.35852049581728274</v>
      </c>
    </row>
    <row r="489" spans="12:15" x14ac:dyDescent="0.3">
      <c r="L489" s="4">
        <f>Trades!P575</f>
        <v>0</v>
      </c>
      <c r="M489" s="5">
        <f>M488+Trades!T575</f>
        <v>1.3645891783725261</v>
      </c>
      <c r="N489" s="5">
        <f>N488+Trades!U575</f>
        <v>0.86146740004688438</v>
      </c>
      <c r="O489" s="5">
        <f>O488+Trades!W575</f>
        <v>0.35852049581728274</v>
      </c>
    </row>
    <row r="490" spans="12:15" x14ac:dyDescent="0.3">
      <c r="L490" s="4">
        <f>Trades!P586</f>
        <v>0</v>
      </c>
      <c r="M490" s="5">
        <f>M489+Trades!T586</f>
        <v>1.3645891783725261</v>
      </c>
      <c r="N490" s="5">
        <f>N489+Trades!U586</f>
        <v>0.86146740004688438</v>
      </c>
      <c r="O490" s="5">
        <f>O489+Trades!W586</f>
        <v>0.35852049581728274</v>
      </c>
    </row>
    <row r="491" spans="12:15" x14ac:dyDescent="0.3">
      <c r="L491" s="4">
        <f>Trades!P596</f>
        <v>0</v>
      </c>
      <c r="M491" s="5">
        <f>M490+Trades!T596</f>
        <v>1.3645891783725261</v>
      </c>
      <c r="N491" s="5">
        <f>N490+Trades!U596</f>
        <v>0.86146740004688438</v>
      </c>
      <c r="O491" s="5">
        <f>O490+Trades!W596</f>
        <v>0.35852049581728274</v>
      </c>
    </row>
    <row r="492" spans="12:15" x14ac:dyDescent="0.3">
      <c r="L492" s="4">
        <f>Trades!P514</f>
        <v>0</v>
      </c>
      <c r="M492" s="5">
        <f>M491+Trades!T514</f>
        <v>1.3645891783725261</v>
      </c>
      <c r="N492" s="5">
        <f>N491+Trades!U514</f>
        <v>0.86146740004688438</v>
      </c>
      <c r="O492" s="5">
        <f>O491+Trades!W514</f>
        <v>0.35852049581728274</v>
      </c>
    </row>
    <row r="493" spans="12:15" x14ac:dyDescent="0.3">
      <c r="L493" s="4">
        <f>Trades!P597</f>
        <v>0</v>
      </c>
      <c r="M493" s="5">
        <f>M492+Trades!T597</f>
        <v>1.3645891783725261</v>
      </c>
      <c r="N493" s="5">
        <f>N492+Trades!U597</f>
        <v>0.86146740004688438</v>
      </c>
      <c r="O493" s="5">
        <f>O492+Trades!W597</f>
        <v>0.35852049581728274</v>
      </c>
    </row>
    <row r="494" spans="12:15" x14ac:dyDescent="0.3">
      <c r="L494" s="4">
        <f>Trades!P598</f>
        <v>0</v>
      </c>
      <c r="M494" s="5">
        <f>M493+Trades!T598</f>
        <v>1.3645891783725261</v>
      </c>
      <c r="N494" s="5">
        <f>N493+Trades!U598</f>
        <v>0.86146740004688438</v>
      </c>
      <c r="O494" s="5">
        <f>O493+Trades!W598</f>
        <v>0.35852049581728274</v>
      </c>
    </row>
    <row r="495" spans="12:15" x14ac:dyDescent="0.3">
      <c r="L495" s="4">
        <f>Trades!P515</f>
        <v>0</v>
      </c>
      <c r="M495" s="5">
        <f>M494+Trades!T515</f>
        <v>1.3645891783725261</v>
      </c>
      <c r="N495" s="5">
        <f>N494+Trades!U515</f>
        <v>0.86146740004688438</v>
      </c>
      <c r="O495" s="5">
        <f>O494+Trades!W515</f>
        <v>0.35852049581728274</v>
      </c>
    </row>
    <row r="496" spans="12:15" x14ac:dyDescent="0.3">
      <c r="L496" s="4">
        <f>Trades!P491</f>
        <v>0</v>
      </c>
      <c r="M496" s="5">
        <f>M495+Trades!T491</f>
        <v>1.3645891783725261</v>
      </c>
      <c r="N496" s="5">
        <f>N495+Trades!U491</f>
        <v>0.86146740004688438</v>
      </c>
      <c r="O496" s="5">
        <f>O495+Trades!W491</f>
        <v>0.35852049581728274</v>
      </c>
    </row>
    <row r="497" spans="12:15" x14ac:dyDescent="0.3">
      <c r="L497" s="4">
        <f>Trades!P537</f>
        <v>0</v>
      </c>
      <c r="M497" s="5">
        <f>M496+Trades!T537</f>
        <v>1.3645891783725261</v>
      </c>
      <c r="N497" s="5">
        <f>N496+Trades!U537</f>
        <v>0.86146740004688438</v>
      </c>
      <c r="O497" s="5">
        <f>O496+Trades!W537</f>
        <v>0.35852049581728274</v>
      </c>
    </row>
    <row r="498" spans="12:15" x14ac:dyDescent="0.3">
      <c r="L498" s="4">
        <f>Trades!P569</f>
        <v>0</v>
      </c>
      <c r="M498" s="5">
        <f>M497+Trades!T569</f>
        <v>1.3645891783725261</v>
      </c>
      <c r="N498" s="5">
        <f>N497+Trades!U569</f>
        <v>0.86146740004688438</v>
      </c>
      <c r="O498" s="5">
        <f>O497+Trades!W569</f>
        <v>0.35852049581728274</v>
      </c>
    </row>
    <row r="499" spans="12:15" x14ac:dyDescent="0.3">
      <c r="L499" s="4">
        <f>Trades!P599</f>
        <v>0</v>
      </c>
      <c r="M499" s="5">
        <f>M498+Trades!T599</f>
        <v>1.3645891783725261</v>
      </c>
      <c r="N499" s="5">
        <f>N498+Trades!U599</f>
        <v>0.86146740004688438</v>
      </c>
      <c r="O499" s="5">
        <f>O498+Trades!W599</f>
        <v>0.35852049581728274</v>
      </c>
    </row>
    <row r="500" spans="12:15" x14ac:dyDescent="0.3">
      <c r="L500" s="4">
        <f>Trades!P548</f>
        <v>0</v>
      </c>
      <c r="M500" s="5">
        <f>M499+Trades!T548</f>
        <v>1.3645891783725261</v>
      </c>
      <c r="N500" s="5">
        <f>N499+Trades!U548</f>
        <v>0.86146740004688438</v>
      </c>
      <c r="O500" s="5">
        <f>O499+Trades!W548</f>
        <v>0.35852049581728274</v>
      </c>
    </row>
    <row r="501" spans="12:15" x14ac:dyDescent="0.3">
      <c r="L501" s="4">
        <f>Trades!P524</f>
        <v>0</v>
      </c>
      <c r="M501" s="5">
        <f>M500+Trades!T524</f>
        <v>1.3645891783725261</v>
      </c>
      <c r="N501" s="5">
        <f>N500+Trades!U524</f>
        <v>0.86146740004688438</v>
      </c>
      <c r="O501" s="5">
        <f>O500+Trades!W524</f>
        <v>0.35852049581728274</v>
      </c>
    </row>
    <row r="502" spans="12:15" x14ac:dyDescent="0.3">
      <c r="L502" s="4">
        <f>Trades!P481</f>
        <v>0</v>
      </c>
      <c r="M502" s="5">
        <f>M501+Trades!T481</f>
        <v>1.3645891783725261</v>
      </c>
      <c r="N502" s="5">
        <f>N501+Trades!U481</f>
        <v>0.86146740004688438</v>
      </c>
      <c r="O502" s="5">
        <f>O501+Trades!W481</f>
        <v>0.35852049581728274</v>
      </c>
    </row>
    <row r="503" spans="12:15" x14ac:dyDescent="0.3">
      <c r="L503" s="4">
        <f>Trades!P492</f>
        <v>0</v>
      </c>
      <c r="M503" s="5">
        <f>M502+Trades!T492</f>
        <v>1.3645891783725261</v>
      </c>
      <c r="N503" s="5">
        <f>N502+Trades!U492</f>
        <v>0.86146740004688438</v>
      </c>
      <c r="O503" s="5">
        <f>O502+Trades!W492</f>
        <v>0.35852049581728274</v>
      </c>
    </row>
    <row r="504" spans="12:15" x14ac:dyDescent="0.3">
      <c r="L504" s="4">
        <f>Trades!P559</f>
        <v>0</v>
      </c>
      <c r="M504" s="5">
        <f>M503+Trades!T559</f>
        <v>1.3645891783725261</v>
      </c>
      <c r="N504" s="5">
        <f>N503+Trades!U559</f>
        <v>0.86146740004688438</v>
      </c>
      <c r="O504" s="5">
        <f>O503+Trades!W559</f>
        <v>0.35852049581728274</v>
      </c>
    </row>
    <row r="505" spans="12:15" x14ac:dyDescent="0.3">
      <c r="L505" s="4">
        <f>Trades!P587</f>
        <v>0</v>
      </c>
      <c r="M505" s="5">
        <f>M504+Trades!T587</f>
        <v>1.3645891783725261</v>
      </c>
      <c r="N505" s="5">
        <f>N504+Trades!U587</f>
        <v>0.86146740004688438</v>
      </c>
      <c r="O505" s="5">
        <f>O504+Trades!W587</f>
        <v>0.35852049581728274</v>
      </c>
    </row>
    <row r="506" spans="12:15" x14ac:dyDescent="0.3">
      <c r="L506" s="4">
        <f>Trades!P588</f>
        <v>0</v>
      </c>
      <c r="M506" s="5">
        <f>M505+Trades!T588</f>
        <v>1.3645891783725261</v>
      </c>
      <c r="N506" s="5">
        <f>N505+Trades!U588</f>
        <v>0.86146740004688438</v>
      </c>
      <c r="O506" s="5">
        <f>O505+Trades!W588</f>
        <v>0.35852049581728274</v>
      </c>
    </row>
    <row r="507" spans="12:15" x14ac:dyDescent="0.3">
      <c r="L507" s="4">
        <f>Trades!P525</f>
        <v>0</v>
      </c>
      <c r="M507" s="5">
        <f>M506+Trades!T525</f>
        <v>1.3645891783725261</v>
      </c>
      <c r="N507" s="5">
        <f>N506+Trades!U525</f>
        <v>0.86146740004688438</v>
      </c>
      <c r="O507" s="5">
        <f>O506+Trades!W525</f>
        <v>0.35852049581728274</v>
      </c>
    </row>
    <row r="508" spans="12:15" x14ac:dyDescent="0.3">
      <c r="L508" s="4">
        <f>Trades!P505</f>
        <v>0</v>
      </c>
      <c r="M508" s="5">
        <f>M507+Trades!T505</f>
        <v>1.3645891783725261</v>
      </c>
      <c r="N508" s="5">
        <f>N507+Trades!U505</f>
        <v>0.86146740004688438</v>
      </c>
      <c r="O508" s="5">
        <f>O507+Trades!W505</f>
        <v>0.35852049581728274</v>
      </c>
    </row>
    <row r="509" spans="12:15" x14ac:dyDescent="0.3">
      <c r="L509" s="4">
        <f>Trades!P493</f>
        <v>0</v>
      </c>
      <c r="M509" s="5">
        <f>M508+Trades!T493</f>
        <v>1.3645891783725261</v>
      </c>
      <c r="N509" s="5">
        <f>N508+Trades!U493</f>
        <v>0.86146740004688438</v>
      </c>
      <c r="O509" s="5">
        <f>O508+Trades!W493</f>
        <v>0.35852049581728274</v>
      </c>
    </row>
    <row r="510" spans="12:15" x14ac:dyDescent="0.3">
      <c r="L510" s="4">
        <f>Trades!P560</f>
        <v>0</v>
      </c>
      <c r="M510" s="5">
        <f>M509+Trades!T560</f>
        <v>1.3645891783725261</v>
      </c>
      <c r="N510" s="5">
        <f>N509+Trades!U560</f>
        <v>0.86146740004688438</v>
      </c>
      <c r="O510" s="5">
        <f>O509+Trades!W560</f>
        <v>0.35852049581728274</v>
      </c>
    </row>
    <row r="511" spans="12:15" x14ac:dyDescent="0.3">
      <c r="L511" s="4">
        <f>Trades!P482</f>
        <v>0</v>
      </c>
      <c r="M511" s="5">
        <f>M510+Trades!T482</f>
        <v>1.3645891783725261</v>
      </c>
      <c r="N511" s="5">
        <f>N510+Trades!U482</f>
        <v>0.86146740004688438</v>
      </c>
      <c r="O511" s="5">
        <f>O510+Trades!W482</f>
        <v>0.35852049581728274</v>
      </c>
    </row>
    <row r="512" spans="12:15" x14ac:dyDescent="0.3">
      <c r="L512" s="4">
        <f>Trades!P494</f>
        <v>0</v>
      </c>
      <c r="M512" s="5">
        <f>M511+Trades!T494</f>
        <v>1.3645891783725261</v>
      </c>
      <c r="N512" s="5">
        <f>N511+Trades!U494</f>
        <v>0.86146740004688438</v>
      </c>
      <c r="O512" s="5">
        <f>O511+Trades!W494</f>
        <v>0.35852049581728274</v>
      </c>
    </row>
    <row r="513" spans="12:15" x14ac:dyDescent="0.3">
      <c r="L513" s="4">
        <f>Trades!P506</f>
        <v>0</v>
      </c>
      <c r="M513" s="5">
        <f>M512+Trades!T506</f>
        <v>1.3645891783725261</v>
      </c>
      <c r="N513" s="5">
        <f>N512+Trades!U506</f>
        <v>0.86146740004688438</v>
      </c>
      <c r="O513" s="5">
        <f>O512+Trades!W506</f>
        <v>0.35852049581728274</v>
      </c>
    </row>
    <row r="514" spans="12:15" x14ac:dyDescent="0.3">
      <c r="L514" s="4">
        <f>Trades!P589</f>
        <v>0</v>
      </c>
      <c r="M514" s="5">
        <f>M513+Trades!T589</f>
        <v>1.3645891783725261</v>
      </c>
      <c r="N514" s="5">
        <f>N513+Trades!U589</f>
        <v>0.86146740004688438</v>
      </c>
      <c r="O514" s="5">
        <f>O513+Trades!W589</f>
        <v>0.35852049581728274</v>
      </c>
    </row>
    <row r="515" spans="12:15" x14ac:dyDescent="0.3">
      <c r="L515" s="4">
        <f>Trades!P576</f>
        <v>0</v>
      </c>
      <c r="M515" s="5">
        <f>M514+Trades!T576</f>
        <v>1.3645891783725261</v>
      </c>
      <c r="N515" s="5">
        <f>N514+Trades!U576</f>
        <v>0.86146740004688438</v>
      </c>
      <c r="O515" s="5">
        <f>O514+Trades!W576</f>
        <v>0.35852049581728274</v>
      </c>
    </row>
    <row r="516" spans="12:15" x14ac:dyDescent="0.3">
      <c r="L516" s="4">
        <f>Trades!P526</f>
        <v>0</v>
      </c>
      <c r="M516" s="5">
        <f>M515+Trades!T526</f>
        <v>1.3645891783725261</v>
      </c>
      <c r="N516" s="5">
        <f>N515+Trades!U526</f>
        <v>0.86146740004688438</v>
      </c>
      <c r="O516" s="5">
        <f>O515+Trades!W526</f>
        <v>0.35852049581728274</v>
      </c>
    </row>
    <row r="517" spans="12:15" x14ac:dyDescent="0.3">
      <c r="L517" s="4">
        <f>Trades!P516</f>
        <v>0</v>
      </c>
      <c r="M517" s="5">
        <f>M516+Trades!T516</f>
        <v>1.3645891783725261</v>
      </c>
      <c r="N517" s="5">
        <f>N516+Trades!U516</f>
        <v>0.86146740004688438</v>
      </c>
      <c r="O517" s="5">
        <f>O516+Trades!W516</f>
        <v>0.35852049581728274</v>
      </c>
    </row>
    <row r="518" spans="12:15" x14ac:dyDescent="0.3">
      <c r="L518" s="4">
        <f>Trades!P600</f>
        <v>0</v>
      </c>
      <c r="M518" s="5">
        <f>M517+Trades!T600</f>
        <v>1.3645891783725261</v>
      </c>
      <c r="N518" s="5">
        <f>N517+Trades!U600</f>
        <v>0.86146740004688438</v>
      </c>
      <c r="O518" s="5">
        <f>O517+Trades!W600</f>
        <v>0.35852049581728274</v>
      </c>
    </row>
    <row r="519" spans="12:15" x14ac:dyDescent="0.3">
      <c r="L519" s="4">
        <f>Trades!P549</f>
        <v>0</v>
      </c>
      <c r="M519" s="5">
        <f>M518+Trades!T549</f>
        <v>1.3645891783725261</v>
      </c>
      <c r="N519" s="5">
        <f>N518+Trades!U549</f>
        <v>0.86146740004688438</v>
      </c>
      <c r="O519" s="5">
        <f>O518+Trades!W549</f>
        <v>0.35852049581728274</v>
      </c>
    </row>
    <row r="520" spans="12:15" x14ac:dyDescent="0.3">
      <c r="L520" s="4">
        <f>Trades!P561</f>
        <v>0</v>
      </c>
      <c r="M520" s="5">
        <f>M519+Trades!T561</f>
        <v>1.3645891783725261</v>
      </c>
      <c r="N520" s="5">
        <f>N519+Trades!U561</f>
        <v>0.86146740004688438</v>
      </c>
      <c r="O520" s="5">
        <f>O519+Trades!W561</f>
        <v>0.35852049581728274</v>
      </c>
    </row>
    <row r="521" spans="12:15" x14ac:dyDescent="0.3">
      <c r="L521" s="4">
        <f>Trades!P577</f>
        <v>0</v>
      </c>
      <c r="M521" s="5">
        <f>M520+Trades!T577</f>
        <v>1.3645891783725261</v>
      </c>
      <c r="N521" s="5">
        <f>N520+Trades!U577</f>
        <v>0.86146740004688438</v>
      </c>
      <c r="O521" s="5">
        <f>O520+Trades!W577</f>
        <v>0.35852049581728274</v>
      </c>
    </row>
    <row r="522" spans="12:15" x14ac:dyDescent="0.3">
      <c r="L522" s="4">
        <f>Trades!P590</f>
        <v>0</v>
      </c>
      <c r="M522" s="5">
        <f>M521+Trades!T590</f>
        <v>1.3645891783725261</v>
      </c>
      <c r="N522" s="5">
        <f>N521+Trades!U590</f>
        <v>0.86146740004688438</v>
      </c>
      <c r="O522" s="5">
        <f>O521+Trades!W590</f>
        <v>0.35852049581728274</v>
      </c>
    </row>
    <row r="523" spans="12:15" x14ac:dyDescent="0.3">
      <c r="L523" s="4">
        <f>Trades!P570</f>
        <v>0</v>
      </c>
      <c r="M523" s="5">
        <f>M522+Trades!T570</f>
        <v>1.3645891783725261</v>
      </c>
      <c r="N523" s="5">
        <f>N522+Trades!U570</f>
        <v>0.86146740004688438</v>
      </c>
      <c r="O523" s="5">
        <f>O522+Trades!W570</f>
        <v>0.35852049581728274</v>
      </c>
    </row>
    <row r="524" spans="12:15" x14ac:dyDescent="0.3">
      <c r="L524" s="4">
        <f>Trades!P483</f>
        <v>0</v>
      </c>
      <c r="M524" s="5">
        <f>M523+Trades!T483</f>
        <v>1.3645891783725261</v>
      </c>
      <c r="N524" s="5">
        <f>N523+Trades!U483</f>
        <v>0.86146740004688438</v>
      </c>
      <c r="O524" s="5">
        <f>O523+Trades!W483</f>
        <v>0.35852049581728274</v>
      </c>
    </row>
    <row r="525" spans="12:15" x14ac:dyDescent="0.3">
      <c r="L525" s="4">
        <f>Trades!P495</f>
        <v>0</v>
      </c>
      <c r="M525" s="5">
        <f>M524+Trades!T495</f>
        <v>1.3645891783725261</v>
      </c>
      <c r="N525" s="5">
        <f>N524+Trades!U495</f>
        <v>0.86146740004688438</v>
      </c>
      <c r="O525" s="5">
        <f>O524+Trades!W495</f>
        <v>0.35852049581728274</v>
      </c>
    </row>
    <row r="526" spans="12:15" x14ac:dyDescent="0.3">
      <c r="L526" s="4">
        <f>Trades!P507</f>
        <v>0</v>
      </c>
      <c r="M526" s="5">
        <f>M525+Trades!T507</f>
        <v>1.3645891783725261</v>
      </c>
      <c r="N526" s="5">
        <f>N525+Trades!U507</f>
        <v>0.86146740004688438</v>
      </c>
      <c r="O526" s="5">
        <f>O525+Trades!W507</f>
        <v>0.35852049581728274</v>
      </c>
    </row>
    <row r="527" spans="12:15" x14ac:dyDescent="0.3">
      <c r="L527" s="4">
        <f>Trades!P538</f>
        <v>0</v>
      </c>
      <c r="M527" s="5">
        <f>M526+Trades!T538</f>
        <v>1.3645891783725261</v>
      </c>
      <c r="N527" s="5">
        <f>N526+Trades!U538</f>
        <v>0.86146740004688438</v>
      </c>
      <c r="O527" s="5">
        <f>O526+Trades!W538</f>
        <v>0.35852049581728274</v>
      </c>
    </row>
    <row r="528" spans="12:15" x14ac:dyDescent="0.3">
      <c r="L528" s="4">
        <f>Trades!P562</f>
        <v>0</v>
      </c>
      <c r="M528" s="5">
        <f>M527+Trades!T562</f>
        <v>1.3645891783725261</v>
      </c>
      <c r="N528" s="5">
        <f>N527+Trades!U562</f>
        <v>0.86146740004688438</v>
      </c>
      <c r="O528" s="5">
        <f>O527+Trades!W562</f>
        <v>0.35852049581728274</v>
      </c>
    </row>
    <row r="529" spans="12:15" x14ac:dyDescent="0.3">
      <c r="L529" s="4">
        <f>Trades!P550</f>
        <v>0</v>
      </c>
      <c r="M529" s="5">
        <f>M528+Trades!T550</f>
        <v>1.3645891783725261</v>
      </c>
      <c r="N529" s="5">
        <f>N528+Trades!U550</f>
        <v>0.86146740004688438</v>
      </c>
      <c r="O529" s="5">
        <f>O528+Trades!W550</f>
        <v>0.35852049581728274</v>
      </c>
    </row>
    <row r="530" spans="12:15" x14ac:dyDescent="0.3">
      <c r="L530" s="4">
        <f>Trades!P601</f>
        <v>0</v>
      </c>
      <c r="M530" s="5">
        <f>M529+Trades!T601</f>
        <v>1.3645891783725261</v>
      </c>
      <c r="N530" s="5">
        <f>N529+Trades!U601</f>
        <v>0.86146740004688438</v>
      </c>
      <c r="O530" s="5">
        <f>O529+Trades!W601</f>
        <v>0.35852049581728274</v>
      </c>
    </row>
    <row r="531" spans="12:15" x14ac:dyDescent="0.3">
      <c r="L531" s="4">
        <f>Trades!P539</f>
        <v>0</v>
      </c>
      <c r="M531" s="5">
        <f>M530+Trades!T539</f>
        <v>1.3645891783725261</v>
      </c>
      <c r="N531" s="5">
        <f>N530+Trades!U539</f>
        <v>0.86146740004688438</v>
      </c>
      <c r="O531" s="5">
        <f>O530+Trades!W539</f>
        <v>0.35852049581728274</v>
      </c>
    </row>
    <row r="532" spans="12:15" x14ac:dyDescent="0.3">
      <c r="L532" s="4">
        <f>Trades!P591</f>
        <v>0</v>
      </c>
      <c r="M532" s="5">
        <f>M531+Trades!T591</f>
        <v>1.3645891783725261</v>
      </c>
      <c r="N532" s="5">
        <f>N531+Trades!U591</f>
        <v>0.86146740004688438</v>
      </c>
      <c r="O532" s="5">
        <f>O531+Trades!W591</f>
        <v>0.35852049581728274</v>
      </c>
    </row>
    <row r="533" spans="12:15" x14ac:dyDescent="0.3">
      <c r="L533" s="4">
        <f>Trades!P496</f>
        <v>0</v>
      </c>
      <c r="M533" s="5">
        <f>M532+Trades!T496</f>
        <v>1.3645891783725261</v>
      </c>
      <c r="N533" s="5">
        <f>N532+Trades!U496</f>
        <v>0.86146740004688438</v>
      </c>
      <c r="O533" s="5">
        <f>O532+Trades!W496</f>
        <v>0.35852049581728274</v>
      </c>
    </row>
    <row r="534" spans="12:15" x14ac:dyDescent="0.3">
      <c r="L534" s="4">
        <f>Trades!P571</f>
        <v>0</v>
      </c>
      <c r="M534" s="5">
        <f>M533+Trades!T571</f>
        <v>1.3645891783725261</v>
      </c>
      <c r="N534" s="5">
        <f>N533+Trades!U571</f>
        <v>0.86146740004688438</v>
      </c>
      <c r="O534" s="5">
        <f>O533+Trades!W571</f>
        <v>0.35852049581728274</v>
      </c>
    </row>
    <row r="535" spans="12:15" x14ac:dyDescent="0.3">
      <c r="L535" s="4">
        <f>Trades!P578</f>
        <v>0</v>
      </c>
      <c r="M535" s="5">
        <f>M534+Trades!T578</f>
        <v>1.3645891783725261</v>
      </c>
      <c r="N535" s="5">
        <f>N534+Trades!U578</f>
        <v>0.86146740004688438</v>
      </c>
      <c r="O535" s="5">
        <f>O534+Trades!W578</f>
        <v>0.35852049581728274</v>
      </c>
    </row>
    <row r="536" spans="12:15" x14ac:dyDescent="0.3">
      <c r="L536" s="4">
        <f>Trades!P527</f>
        <v>0</v>
      </c>
      <c r="M536" s="5">
        <f>M535+Trades!T527</f>
        <v>1.3645891783725261</v>
      </c>
      <c r="N536" s="5">
        <f>N535+Trades!U527</f>
        <v>0.86146740004688438</v>
      </c>
      <c r="O536" s="5">
        <f>O535+Trades!W527</f>
        <v>0.35852049581728274</v>
      </c>
    </row>
    <row r="537" spans="12:15" x14ac:dyDescent="0.3">
      <c r="L537" s="4">
        <f>Trades!P540</f>
        <v>0</v>
      </c>
      <c r="M537" s="5">
        <f>M536+Trades!T540</f>
        <v>1.3645891783725261</v>
      </c>
      <c r="N537" s="5">
        <f>N536+Trades!U540</f>
        <v>0.86146740004688438</v>
      </c>
      <c r="O537" s="5">
        <f>O536+Trades!W540</f>
        <v>0.35852049581728274</v>
      </c>
    </row>
    <row r="538" spans="12:15" x14ac:dyDescent="0.3">
      <c r="L538" s="4">
        <f>Trades!P563</f>
        <v>0</v>
      </c>
      <c r="M538" s="5">
        <f>M537+Trades!T563</f>
        <v>1.3645891783725261</v>
      </c>
      <c r="N538" s="5">
        <f>N537+Trades!U563</f>
        <v>0.86146740004688438</v>
      </c>
      <c r="O538" s="5">
        <f>O537+Trades!W563</f>
        <v>0.35852049581728274</v>
      </c>
    </row>
    <row r="539" spans="12:15" x14ac:dyDescent="0.3">
      <c r="L539" s="4">
        <f>Trades!P602</f>
        <v>0</v>
      </c>
      <c r="M539" s="5">
        <f>M538+Trades!T602</f>
        <v>1.3645891783725261</v>
      </c>
      <c r="N539" s="5">
        <f>N538+Trades!U602</f>
        <v>0.86146740004688438</v>
      </c>
      <c r="O539" s="5">
        <f>O538+Trades!W602</f>
        <v>0.35852049581728274</v>
      </c>
    </row>
    <row r="540" spans="12:15" x14ac:dyDescent="0.3">
      <c r="L540" s="4">
        <f>Trades!P528</f>
        <v>0</v>
      </c>
      <c r="M540" s="5">
        <f>M539+Trades!T528</f>
        <v>1.3645891783725261</v>
      </c>
      <c r="N540" s="5">
        <f>N539+Trades!U528</f>
        <v>0.86146740004688438</v>
      </c>
      <c r="O540" s="5">
        <f>O539+Trades!W528</f>
        <v>0.35852049581728274</v>
      </c>
    </row>
    <row r="541" spans="12:15" x14ac:dyDescent="0.3">
      <c r="L541" s="4">
        <f>Trades!P484</f>
        <v>0</v>
      </c>
      <c r="M541" s="5">
        <f>M540+Trades!T484</f>
        <v>1.3645891783725261</v>
      </c>
      <c r="N541" s="5">
        <f>N540+Trades!U484</f>
        <v>0.86146740004688438</v>
      </c>
      <c r="O541" s="5">
        <f>O540+Trades!W484</f>
        <v>0.35852049581728274</v>
      </c>
    </row>
    <row r="542" spans="12:15" x14ac:dyDescent="0.3">
      <c r="L542" s="4">
        <f>Trades!P497</f>
        <v>0</v>
      </c>
      <c r="M542" s="5">
        <f>M541+Trades!T497</f>
        <v>1.3645891783725261</v>
      </c>
      <c r="N542" s="5">
        <f>N541+Trades!U497</f>
        <v>0.86146740004688438</v>
      </c>
      <c r="O542" s="5">
        <f>O541+Trades!W497</f>
        <v>0.35852049581728274</v>
      </c>
    </row>
    <row r="543" spans="12:15" x14ac:dyDescent="0.3">
      <c r="L543" s="4">
        <f>Trades!P517</f>
        <v>0</v>
      </c>
      <c r="M543" s="5">
        <f>M542+Trades!T517</f>
        <v>1.3645891783725261</v>
      </c>
      <c r="N543" s="5">
        <f>N542+Trades!U517</f>
        <v>0.86146740004688438</v>
      </c>
      <c r="O543" s="5">
        <f>O542+Trades!W517</f>
        <v>0.35852049581728274</v>
      </c>
    </row>
    <row r="544" spans="12:15" x14ac:dyDescent="0.3">
      <c r="L544" s="4">
        <f>Trades!P572</f>
        <v>0</v>
      </c>
      <c r="M544" s="5">
        <f>M543+Trades!T572</f>
        <v>1.3645891783725261</v>
      </c>
      <c r="N544" s="5">
        <f>N543+Trades!U572</f>
        <v>0.86146740004688438</v>
      </c>
      <c r="O544" s="5">
        <f>O543+Trades!W572</f>
        <v>0.35852049581728274</v>
      </c>
    </row>
    <row r="545" spans="12:15" x14ac:dyDescent="0.3">
      <c r="L545" s="4">
        <f>Trades!P541</f>
        <v>0</v>
      </c>
      <c r="M545" s="5">
        <f>M544+Trades!T541</f>
        <v>1.3645891783725261</v>
      </c>
      <c r="N545" s="5">
        <f>N544+Trades!U541</f>
        <v>0.86146740004688438</v>
      </c>
      <c r="O545" s="5">
        <f>O544+Trades!W541</f>
        <v>0.35852049581728274</v>
      </c>
    </row>
    <row r="546" spans="12:15" x14ac:dyDescent="0.3">
      <c r="L546" s="4">
        <f>Trades!P498</f>
        <v>0</v>
      </c>
      <c r="M546" s="5">
        <f>M545+Trades!T498</f>
        <v>1.3645891783725261</v>
      </c>
      <c r="N546" s="5">
        <f>N545+Trades!U498</f>
        <v>0.86146740004688438</v>
      </c>
      <c r="O546" s="5">
        <f>O545+Trades!W498</f>
        <v>0.35852049581728274</v>
      </c>
    </row>
    <row r="547" spans="12:15" x14ac:dyDescent="0.3">
      <c r="L547" s="4">
        <f>Trades!P579</f>
        <v>0</v>
      </c>
      <c r="M547" s="5">
        <f>M546+Trades!T579</f>
        <v>1.3645891783725261</v>
      </c>
      <c r="N547" s="5">
        <f>N546+Trades!U579</f>
        <v>0.86146740004688438</v>
      </c>
      <c r="O547" s="5">
        <f>O546+Trades!W579</f>
        <v>0.35852049581728274</v>
      </c>
    </row>
    <row r="548" spans="12:15" x14ac:dyDescent="0.3">
      <c r="L548" s="4">
        <f>Trades!P542</f>
        <v>0</v>
      </c>
      <c r="M548" s="5">
        <f>M547+Trades!T542</f>
        <v>1.3645891783725261</v>
      </c>
      <c r="N548" s="5">
        <f>N547+Trades!U542</f>
        <v>0.86146740004688438</v>
      </c>
      <c r="O548" s="5">
        <f>O547+Trades!W542</f>
        <v>0.35852049581728274</v>
      </c>
    </row>
    <row r="549" spans="12:15" x14ac:dyDescent="0.3">
      <c r="L549" s="4">
        <f>Trades!P518</f>
        <v>0</v>
      </c>
      <c r="M549" s="5">
        <f>M548+Trades!T518</f>
        <v>1.3645891783725261</v>
      </c>
      <c r="N549" s="5">
        <f>N548+Trades!U518</f>
        <v>0.86146740004688438</v>
      </c>
      <c r="O549" s="5">
        <f>O548+Trades!W518</f>
        <v>0.35852049581728274</v>
      </c>
    </row>
    <row r="550" spans="12:15" x14ac:dyDescent="0.3">
      <c r="L550" s="4">
        <f>Trades!P580</f>
        <v>0</v>
      </c>
      <c r="M550" s="5">
        <f>M549+Trades!T580</f>
        <v>1.3645891783725261</v>
      </c>
      <c r="N550" s="5">
        <f>N549+Trades!U580</f>
        <v>0.86146740004688438</v>
      </c>
      <c r="O550" s="5">
        <f>O549+Trades!W580</f>
        <v>0.35852049581728274</v>
      </c>
    </row>
    <row r="551" spans="12:15" x14ac:dyDescent="0.3">
      <c r="L551" s="4">
        <f>Trades!P529</f>
        <v>0</v>
      </c>
      <c r="M551" s="5">
        <f>M550+Trades!T529</f>
        <v>1.3645891783725261</v>
      </c>
      <c r="N551" s="5">
        <f>N550+Trades!U529</f>
        <v>0.86146740004688438</v>
      </c>
      <c r="O551" s="5">
        <f>O550+Trades!W529</f>
        <v>0.35852049581728274</v>
      </c>
    </row>
    <row r="552" spans="12:15" x14ac:dyDescent="0.3">
      <c r="L552" s="4">
        <f>Trades!P592</f>
        <v>0</v>
      </c>
      <c r="M552" s="5">
        <f>M551+Trades!T592</f>
        <v>1.3645891783725261</v>
      </c>
      <c r="N552" s="5">
        <f>N551+Trades!U592</f>
        <v>0.86146740004688438</v>
      </c>
      <c r="O552" s="5">
        <f>O551+Trades!W592</f>
        <v>0.35852049581728274</v>
      </c>
    </row>
    <row r="553" spans="12:15" x14ac:dyDescent="0.3">
      <c r="L553" s="4">
        <f>Trades!P508</f>
        <v>0</v>
      </c>
      <c r="M553" s="5">
        <f>M552+Trades!T508</f>
        <v>1.3645891783725261</v>
      </c>
      <c r="N553" s="5">
        <f>N552+Trades!U508</f>
        <v>0.86146740004688438</v>
      </c>
      <c r="O553" s="5">
        <f>O552+Trades!W508</f>
        <v>0.35852049581728274</v>
      </c>
    </row>
    <row r="554" spans="12:15" x14ac:dyDescent="0.3">
      <c r="L554" s="4">
        <f>Trades!P485</f>
        <v>0</v>
      </c>
      <c r="M554" s="5">
        <f>M553+Trades!T485</f>
        <v>1.3645891783725261</v>
      </c>
      <c r="N554" s="5">
        <f>N553+Trades!U485</f>
        <v>0.86146740004688438</v>
      </c>
      <c r="O554" s="5">
        <f>O553+Trades!W485</f>
        <v>0.35852049581728274</v>
      </c>
    </row>
    <row r="555" spans="12:15" x14ac:dyDescent="0.3">
      <c r="L555" s="4">
        <f>Trades!P499</f>
        <v>0</v>
      </c>
      <c r="M555" s="5">
        <f>M554+Trades!T499</f>
        <v>1.3645891783725261</v>
      </c>
      <c r="N555" s="5">
        <f>N554+Trades!U499</f>
        <v>0.86146740004688438</v>
      </c>
      <c r="O555" s="5">
        <f>O554+Trades!W499</f>
        <v>0.35852049581728274</v>
      </c>
    </row>
    <row r="556" spans="12:15" x14ac:dyDescent="0.3">
      <c r="L556" s="4">
        <f>Trades!P564</f>
        <v>0</v>
      </c>
      <c r="M556" s="5">
        <f>M555+Trades!T564</f>
        <v>1.3645891783725261</v>
      </c>
      <c r="N556" s="5">
        <f>N555+Trades!U564</f>
        <v>0.86146740004688438</v>
      </c>
      <c r="O556" s="5">
        <f>O555+Trades!W564</f>
        <v>0.35852049581728274</v>
      </c>
    </row>
    <row r="557" spans="12:15" x14ac:dyDescent="0.3">
      <c r="L557" s="4">
        <f>Trades!P593</f>
        <v>0</v>
      </c>
      <c r="M557" s="5">
        <f>M556+Trades!T593</f>
        <v>1.3645891783725261</v>
      </c>
      <c r="N557" s="5">
        <f>N556+Trades!U593</f>
        <v>0.86146740004688438</v>
      </c>
      <c r="O557" s="5">
        <f>O556+Trades!W593</f>
        <v>0.35852049581728274</v>
      </c>
    </row>
    <row r="558" spans="12:15" x14ac:dyDescent="0.3">
      <c r="L558" s="4">
        <f>Trades!P519</f>
        <v>0</v>
      </c>
      <c r="M558" s="5">
        <f>M557+Trades!T519</f>
        <v>1.3645891783725261</v>
      </c>
      <c r="N558" s="5">
        <f>N557+Trades!U519</f>
        <v>0.86146740004688438</v>
      </c>
      <c r="O558" s="5">
        <f>O557+Trades!W519</f>
        <v>0.35852049581728274</v>
      </c>
    </row>
    <row r="559" spans="12:15" x14ac:dyDescent="0.3">
      <c r="L559" s="4">
        <f>Trades!P581</f>
        <v>0</v>
      </c>
      <c r="M559" s="5">
        <f>M558+Trades!T581</f>
        <v>1.3645891783725261</v>
      </c>
      <c r="N559" s="5">
        <f>N558+Trades!U581</f>
        <v>0.86146740004688438</v>
      </c>
      <c r="O559" s="5">
        <f>O558+Trades!W581</f>
        <v>0.35852049581728274</v>
      </c>
    </row>
    <row r="560" spans="12:15" x14ac:dyDescent="0.3">
      <c r="L560" s="4">
        <f>Trades!P486</f>
        <v>0</v>
      </c>
      <c r="M560" s="5">
        <f>M559+Trades!T486</f>
        <v>1.3645891783725261</v>
      </c>
      <c r="N560" s="5">
        <f>N559+Trades!U486</f>
        <v>0.86146740004688438</v>
      </c>
      <c r="O560" s="5">
        <f>O559+Trades!W486</f>
        <v>0.35852049581728274</v>
      </c>
    </row>
    <row r="561" spans="12:15" x14ac:dyDescent="0.3">
      <c r="L561" s="4">
        <f>Trades!P543</f>
        <v>0</v>
      </c>
      <c r="M561" s="5">
        <f>M560+Trades!T543</f>
        <v>1.3645891783725261</v>
      </c>
      <c r="N561" s="5">
        <f>N560+Trades!U543</f>
        <v>0.86146740004688438</v>
      </c>
      <c r="O561" s="5">
        <f>O560+Trades!W543</f>
        <v>0.35852049581728274</v>
      </c>
    </row>
    <row r="562" spans="12:15" x14ac:dyDescent="0.3">
      <c r="L562" s="4">
        <f>Trades!P551</f>
        <v>0</v>
      </c>
      <c r="M562" s="5">
        <f>M561+Trades!T551</f>
        <v>1.3645891783725261</v>
      </c>
      <c r="N562" s="5">
        <f>N561+Trades!U551</f>
        <v>0.86146740004688438</v>
      </c>
      <c r="O562" s="5">
        <f>O561+Trades!W551</f>
        <v>0.35852049581728274</v>
      </c>
    </row>
    <row r="563" spans="12:15" x14ac:dyDescent="0.3">
      <c r="L563" s="4">
        <f>Trades!P509</f>
        <v>0</v>
      </c>
      <c r="M563" s="5">
        <f>M562+Trades!T509</f>
        <v>1.3645891783725261</v>
      </c>
      <c r="N563" s="5">
        <f>N562+Trades!U509</f>
        <v>0.86146740004688438</v>
      </c>
      <c r="O563" s="5">
        <f>O562+Trades!W509</f>
        <v>0.35852049581728274</v>
      </c>
    </row>
    <row r="564" spans="12:15" x14ac:dyDescent="0.3">
      <c r="L564" s="4">
        <f>Trades!P603</f>
        <v>0</v>
      </c>
      <c r="M564" s="5">
        <f>M563+Trades!T603</f>
        <v>1.3645891783725261</v>
      </c>
      <c r="N564" s="5">
        <f>N563+Trades!U603</f>
        <v>0.86146740004688438</v>
      </c>
      <c r="O564" s="5">
        <f>O563+Trades!W603</f>
        <v>0.35852049581728274</v>
      </c>
    </row>
    <row r="565" spans="12:15" x14ac:dyDescent="0.3">
      <c r="L565" s="4">
        <f>Trades!P500</f>
        <v>0</v>
      </c>
      <c r="M565" s="5">
        <f>M564+Trades!T500</f>
        <v>1.3645891783725261</v>
      </c>
      <c r="N565" s="5">
        <f>N564+Trades!U500</f>
        <v>0.86146740004688438</v>
      </c>
      <c r="O565" s="5">
        <f>O564+Trades!W500</f>
        <v>0.35852049581728274</v>
      </c>
    </row>
    <row r="566" spans="12:15" x14ac:dyDescent="0.3">
      <c r="L566" s="4">
        <f>Trades!P530</f>
        <v>0</v>
      </c>
      <c r="M566" s="5">
        <f>M565+Trades!T530</f>
        <v>1.3645891783725261</v>
      </c>
      <c r="N566" s="5">
        <f>N565+Trades!U530</f>
        <v>0.86146740004688438</v>
      </c>
      <c r="O566" s="5">
        <f>O565+Trades!W530</f>
        <v>0.35852049581728274</v>
      </c>
    </row>
    <row r="567" spans="12:15" x14ac:dyDescent="0.3">
      <c r="L567" s="4">
        <f>Trades!P544</f>
        <v>0</v>
      </c>
      <c r="M567" s="5">
        <f>M566+Trades!T544</f>
        <v>1.3645891783725261</v>
      </c>
      <c r="N567" s="5">
        <f>N566+Trades!U544</f>
        <v>0.86146740004688438</v>
      </c>
      <c r="O567" s="5">
        <f>O566+Trades!W544</f>
        <v>0.35852049581728274</v>
      </c>
    </row>
    <row r="568" spans="12:15" x14ac:dyDescent="0.3">
      <c r="L568" s="4">
        <f>Trades!P552</f>
        <v>0</v>
      </c>
      <c r="M568" s="5">
        <f>M567+Trades!T552</f>
        <v>1.3645891783725261</v>
      </c>
      <c r="N568" s="5">
        <f>N567+Trades!U552</f>
        <v>0.86146740004688438</v>
      </c>
      <c r="O568" s="5">
        <f>O567+Trades!W552</f>
        <v>0.35852049581728274</v>
      </c>
    </row>
    <row r="569" spans="12:15" x14ac:dyDescent="0.3">
      <c r="L569" s="4">
        <f>Trades!P531</f>
        <v>0</v>
      </c>
      <c r="M569" s="5">
        <f>M568+Trades!T531</f>
        <v>1.3645891783725261</v>
      </c>
      <c r="N569" s="5">
        <f>N568+Trades!U531</f>
        <v>0.86146740004688438</v>
      </c>
      <c r="O569" s="5">
        <f>O568+Trades!W531</f>
        <v>0.35852049581728274</v>
      </c>
    </row>
    <row r="570" spans="12:15" x14ac:dyDescent="0.3">
      <c r="L570" s="4">
        <f>Trades!P582</f>
        <v>0</v>
      </c>
      <c r="M570" s="5">
        <f>M569+Trades!T582</f>
        <v>1.3645891783725261</v>
      </c>
      <c r="N570" s="5">
        <f>N569+Trades!U582</f>
        <v>0.86146740004688438</v>
      </c>
      <c r="O570" s="5">
        <f>O569+Trades!W582</f>
        <v>0.35852049581728274</v>
      </c>
    </row>
    <row r="571" spans="12:15" x14ac:dyDescent="0.3">
      <c r="L571" s="4">
        <f>Trades!P565</f>
        <v>0</v>
      </c>
      <c r="M571" s="5">
        <f>M570+Trades!T565</f>
        <v>1.3645891783725261</v>
      </c>
      <c r="N571" s="5">
        <f>N570+Trades!U565</f>
        <v>0.86146740004688438</v>
      </c>
      <c r="O571" s="5">
        <f>O570+Trades!W565</f>
        <v>0.35852049581728274</v>
      </c>
    </row>
    <row r="572" spans="12:15" x14ac:dyDescent="0.3">
      <c r="L572" s="4">
        <f>Trades!P532</f>
        <v>0</v>
      </c>
      <c r="M572" s="5">
        <f>M571+Trades!T532</f>
        <v>1.3645891783725261</v>
      </c>
      <c r="N572" s="5">
        <f>N571+Trades!U532</f>
        <v>0.86146740004688438</v>
      </c>
      <c r="O572" s="5">
        <f>O571+Trades!W532</f>
        <v>0.35852049581728274</v>
      </c>
    </row>
    <row r="573" spans="12:15" x14ac:dyDescent="0.3">
      <c r="L573" s="4">
        <f>Trades!P604</f>
        <v>0</v>
      </c>
      <c r="M573" s="5">
        <f>M572+Trades!T604</f>
        <v>1.3645891783725261</v>
      </c>
      <c r="N573" s="5">
        <f>N572+Trades!U604</f>
        <v>0.86146740004688438</v>
      </c>
      <c r="O573" s="5">
        <f>O572+Trades!W604</f>
        <v>0.35852049581728274</v>
      </c>
    </row>
    <row r="574" spans="12:15" x14ac:dyDescent="0.3">
      <c r="L574" s="4">
        <f>Trades!P520</f>
        <v>0</v>
      </c>
      <c r="M574" s="5">
        <f>M573+Trades!T520</f>
        <v>1.3645891783725261</v>
      </c>
      <c r="N574" s="5">
        <f>N573+Trades!U520</f>
        <v>0.86146740004688438</v>
      </c>
      <c r="O574" s="5">
        <f>O573+Trades!W520</f>
        <v>0.35852049581728274</v>
      </c>
    </row>
    <row r="575" spans="12:15" x14ac:dyDescent="0.3">
      <c r="L575" s="4">
        <f>Trades!P553</f>
        <v>0</v>
      </c>
      <c r="M575" s="5">
        <f>M574+Trades!T553</f>
        <v>1.3645891783725261</v>
      </c>
      <c r="N575" s="5">
        <f>N574+Trades!U553</f>
        <v>0.86146740004688438</v>
      </c>
      <c r="O575" s="5">
        <f>O574+Trades!W553</f>
        <v>0.35852049581728274</v>
      </c>
    </row>
    <row r="576" spans="12:15" x14ac:dyDescent="0.3">
      <c r="L576" s="4">
        <f>Trades!P501</f>
        <v>0</v>
      </c>
      <c r="M576" s="5">
        <f>M575+Trades!T501</f>
        <v>1.3645891783725261</v>
      </c>
      <c r="N576" s="5">
        <f>N575+Trades!U501</f>
        <v>0.86146740004688438</v>
      </c>
      <c r="O576" s="5">
        <f>O575+Trades!W501</f>
        <v>0.35852049581728274</v>
      </c>
    </row>
    <row r="577" spans="12:15" x14ac:dyDescent="0.3">
      <c r="L577" s="4">
        <f>Trades!P533</f>
        <v>0</v>
      </c>
      <c r="M577" s="5">
        <f>M576+Trades!T533</f>
        <v>1.3645891783725261</v>
      </c>
      <c r="N577" s="5">
        <f>N576+Trades!U533</f>
        <v>0.86146740004688438</v>
      </c>
      <c r="O577" s="5">
        <f>O576+Trades!W533</f>
        <v>0.35852049581728274</v>
      </c>
    </row>
    <row r="578" spans="12:15" x14ac:dyDescent="0.3">
      <c r="L578" s="4">
        <f>Trades!P487</f>
        <v>0</v>
      </c>
      <c r="M578" s="5">
        <f>M577+Trades!T487</f>
        <v>1.3645891783725261</v>
      </c>
      <c r="N578" s="5">
        <f>N577+Trades!U487</f>
        <v>0.86146740004688438</v>
      </c>
      <c r="O578" s="5">
        <f>O577+Trades!W487</f>
        <v>0.35852049581728274</v>
      </c>
    </row>
    <row r="579" spans="12:15" x14ac:dyDescent="0.3">
      <c r="L579" s="4">
        <f>Trades!P554</f>
        <v>0</v>
      </c>
      <c r="M579" s="5">
        <f>M578+Trades!T554</f>
        <v>1.3645891783725261</v>
      </c>
      <c r="N579" s="5">
        <f>N578+Trades!U554</f>
        <v>0.86146740004688438</v>
      </c>
      <c r="O579" s="5">
        <f>O578+Trades!W554</f>
        <v>0.35852049581728274</v>
      </c>
    </row>
    <row r="580" spans="12:15" x14ac:dyDescent="0.3">
      <c r="L580" s="4">
        <f>Trades!P502</f>
        <v>0</v>
      </c>
      <c r="M580" s="5">
        <f>M579+Trades!T502</f>
        <v>1.3645891783725261</v>
      </c>
      <c r="N580" s="5">
        <f>N579+Trades!U502</f>
        <v>0.86146740004688438</v>
      </c>
      <c r="O580" s="5">
        <f>O579+Trades!W502</f>
        <v>0.35852049581728274</v>
      </c>
    </row>
    <row r="581" spans="12:15" x14ac:dyDescent="0.3">
      <c r="L581" s="4">
        <f>Trades!P566</f>
        <v>0</v>
      </c>
      <c r="M581" s="5">
        <f>M580+Trades!T566</f>
        <v>1.3645891783725261</v>
      </c>
      <c r="N581" s="5">
        <f>N580+Trades!U566</f>
        <v>0.86146740004688438</v>
      </c>
      <c r="O581" s="5">
        <f>O580+Trades!W566</f>
        <v>0.35852049581728274</v>
      </c>
    </row>
    <row r="582" spans="12:15" x14ac:dyDescent="0.3">
      <c r="L582" s="4">
        <f>Trades!P510</f>
        <v>0</v>
      </c>
      <c r="M582" s="5">
        <f>M581+Trades!T510</f>
        <v>1.3645891783725261</v>
      </c>
      <c r="N582" s="5">
        <f>N581+Trades!U510</f>
        <v>0.86146740004688438</v>
      </c>
      <c r="O582" s="5">
        <f>O581+Trades!W510</f>
        <v>0.35852049581728274</v>
      </c>
    </row>
    <row r="583" spans="12:15" x14ac:dyDescent="0.3">
      <c r="L583" s="4">
        <f>Trades!P555</f>
        <v>0</v>
      </c>
      <c r="M583" s="5">
        <f>M582+Trades!T555</f>
        <v>1.3645891783725261</v>
      </c>
      <c r="N583" s="5">
        <f>N582+Trades!U555</f>
        <v>0.86146740004688438</v>
      </c>
      <c r="O583" s="5">
        <f>O582+Trades!W555</f>
        <v>0.35852049581728274</v>
      </c>
    </row>
    <row r="584" spans="12:15" x14ac:dyDescent="0.3">
      <c r="L584" s="4">
        <f>Trades!P545</f>
        <v>0</v>
      </c>
      <c r="M584" s="5">
        <f>M583+Trades!T545</f>
        <v>1.3645891783725261</v>
      </c>
      <c r="N584" s="5">
        <f>N583+Trades!U545</f>
        <v>0.86146740004688438</v>
      </c>
      <c r="O584" s="5">
        <f>O583+Trades!W545</f>
        <v>0.35852049581728274</v>
      </c>
    </row>
    <row r="585" spans="12:15" x14ac:dyDescent="0.3">
      <c r="L585" s="4">
        <f>Trades!P583</f>
        <v>0</v>
      </c>
      <c r="M585" s="5">
        <f>M584+Trades!T583</f>
        <v>1.3645891783725261</v>
      </c>
      <c r="N585" s="5">
        <f>N584+Trades!U583</f>
        <v>0.86146740004688438</v>
      </c>
      <c r="O585" s="5">
        <f>O584+Trades!W583</f>
        <v>0.35852049581728274</v>
      </c>
    </row>
    <row r="586" spans="12:15" x14ac:dyDescent="0.3">
      <c r="L586" s="4">
        <f>Trades!P594</f>
        <v>0</v>
      </c>
      <c r="M586" s="5">
        <f>M585+Trades!T594</f>
        <v>1.3645891783725261</v>
      </c>
      <c r="N586" s="5">
        <f>N585+Trades!U594</f>
        <v>0.86146740004688438</v>
      </c>
      <c r="O586" s="5">
        <f>O585+Trades!W594</f>
        <v>0.35852049581728274</v>
      </c>
    </row>
    <row r="587" spans="12:15" x14ac:dyDescent="0.3">
      <c r="L587" s="4">
        <f>Trades!P573</f>
        <v>0</v>
      </c>
      <c r="M587" s="5">
        <f>M586+Trades!T573</f>
        <v>1.3645891783725261</v>
      </c>
      <c r="N587" s="5">
        <f>N586+Trades!U573</f>
        <v>0.86146740004688438</v>
      </c>
      <c r="O587" s="5">
        <f>O586+Trades!W573</f>
        <v>0.35852049581728274</v>
      </c>
    </row>
    <row r="588" spans="12:15" x14ac:dyDescent="0.3">
      <c r="L588" s="4">
        <f>Trades!P584</f>
        <v>0</v>
      </c>
      <c r="M588" s="5">
        <f>M587+Trades!T584</f>
        <v>1.3645891783725261</v>
      </c>
      <c r="N588" s="5">
        <f>N587+Trades!U584</f>
        <v>0.86146740004688438</v>
      </c>
      <c r="O588" s="5">
        <f>O587+Trades!W584</f>
        <v>0.35852049581728274</v>
      </c>
    </row>
    <row r="589" spans="12:15" x14ac:dyDescent="0.3">
      <c r="L589" s="4">
        <f>Trades!P521</f>
        <v>0</v>
      </c>
      <c r="M589" s="5">
        <f>M588+Trades!T521</f>
        <v>1.3645891783725261</v>
      </c>
      <c r="N589" s="5">
        <f>N588+Trades!U521</f>
        <v>0.86146740004688438</v>
      </c>
      <c r="O589" s="5">
        <f>O588+Trades!W521</f>
        <v>0.35852049581728274</v>
      </c>
    </row>
    <row r="590" spans="12:15" x14ac:dyDescent="0.3">
      <c r="L590" s="4">
        <f>Trades!P556</f>
        <v>0</v>
      </c>
      <c r="M590" s="5">
        <f>M589+Trades!T556</f>
        <v>1.3645891783725261</v>
      </c>
      <c r="N590" s="5">
        <f>N589+Trades!U556</f>
        <v>0.86146740004688438</v>
      </c>
      <c r="O590" s="5">
        <f>O589+Trades!W556</f>
        <v>0.35852049581728274</v>
      </c>
    </row>
    <row r="591" spans="12:15" x14ac:dyDescent="0.3">
      <c r="L591" s="4">
        <f>Trades!P511</f>
        <v>0</v>
      </c>
      <c r="M591" s="5">
        <f>M590+Trades!T511</f>
        <v>1.3645891783725261</v>
      </c>
      <c r="N591" s="5">
        <f>N590+Trades!U511</f>
        <v>0.86146740004688438</v>
      </c>
      <c r="O591" s="5">
        <f>O590+Trades!W511</f>
        <v>0.35852049581728274</v>
      </c>
    </row>
    <row r="592" spans="12:15" x14ac:dyDescent="0.3">
      <c r="L592" s="4">
        <f>Trades!P557</f>
        <v>0</v>
      </c>
      <c r="M592" s="5">
        <f>M591+Trades!T557</f>
        <v>1.3645891783725261</v>
      </c>
      <c r="N592" s="5">
        <f>N591+Trades!U557</f>
        <v>0.86146740004688438</v>
      </c>
      <c r="O592" s="5">
        <f>O591+Trades!W557</f>
        <v>0.35852049581728274</v>
      </c>
    </row>
    <row r="593" spans="12:15" x14ac:dyDescent="0.3">
      <c r="L593" s="4">
        <f>Trades!P605</f>
        <v>0</v>
      </c>
      <c r="M593" s="5">
        <f>M592+Trades!T605</f>
        <v>1.3645891783725261</v>
      </c>
      <c r="N593" s="5">
        <f>N592+Trades!U605</f>
        <v>0.86146740004688438</v>
      </c>
      <c r="O593" s="5">
        <f>O592+Trades!W605</f>
        <v>0.35852049581728274</v>
      </c>
    </row>
    <row r="594" spans="12:15" x14ac:dyDescent="0.3">
      <c r="L594" s="4">
        <f>Trades!P546</f>
        <v>0</v>
      </c>
      <c r="M594" s="5">
        <f>M593+Trades!T546</f>
        <v>1.3645891783725261</v>
      </c>
      <c r="N594" s="5">
        <f>N593+Trades!U546</f>
        <v>0.86146740004688438</v>
      </c>
      <c r="O594" s="5">
        <f>O593+Trades!W546</f>
        <v>0.35852049581728274</v>
      </c>
    </row>
    <row r="595" spans="12:15" x14ac:dyDescent="0.3">
      <c r="L595" s="4">
        <f>Trades!P488</f>
        <v>0</v>
      </c>
      <c r="M595" s="5">
        <f>M594+Trades!T488</f>
        <v>1.3645891783725261</v>
      </c>
      <c r="N595" s="5">
        <f>N594+Trades!U488</f>
        <v>0.86146740004688438</v>
      </c>
      <c r="O595" s="5">
        <f>O594+Trades!W488</f>
        <v>0.35852049581728274</v>
      </c>
    </row>
    <row r="596" spans="12:15" x14ac:dyDescent="0.3">
      <c r="L596" s="4">
        <f>Trades!P585</f>
        <v>0</v>
      </c>
      <c r="M596" s="5">
        <f>M595+Trades!T585</f>
        <v>1.3645891783725261</v>
      </c>
      <c r="N596" s="5">
        <f>N595+Trades!U585</f>
        <v>0.86146740004688438</v>
      </c>
      <c r="O596" s="5">
        <f>O595+Trades!W585</f>
        <v>0.35852049581728274</v>
      </c>
    </row>
    <row r="597" spans="12:15" x14ac:dyDescent="0.3">
      <c r="L597" s="4">
        <f>Trades!P595</f>
        <v>0</v>
      </c>
      <c r="M597" s="5">
        <f>M596+Trades!T595</f>
        <v>1.3645891783725261</v>
      </c>
      <c r="N597" s="5">
        <f>N596+Trades!U595</f>
        <v>0.86146740004688438</v>
      </c>
      <c r="O597" s="5">
        <f>O596+Trades!W595</f>
        <v>0.35852049581728274</v>
      </c>
    </row>
    <row r="598" spans="12:15" x14ac:dyDescent="0.3">
      <c r="L598" s="4">
        <f>Trades!P534</f>
        <v>0</v>
      </c>
      <c r="M598" s="5">
        <f>M597+Trades!T534</f>
        <v>1.3645891783725261</v>
      </c>
      <c r="N598" s="5">
        <f>N597+Trades!U534</f>
        <v>0.86146740004688438</v>
      </c>
      <c r="O598" s="5">
        <f>O597+Trades!W534</f>
        <v>0.35852049581728274</v>
      </c>
    </row>
    <row r="599" spans="12:15" x14ac:dyDescent="0.3">
      <c r="L599" s="4">
        <f>Trades!P512</f>
        <v>0</v>
      </c>
      <c r="M599" s="5">
        <f>M598+Trades!T512</f>
        <v>1.3645891783725261</v>
      </c>
      <c r="N599" s="5">
        <f>N598+Trades!U512</f>
        <v>0.86146740004688438</v>
      </c>
      <c r="O599" s="5">
        <f>O598+Trades!W512</f>
        <v>0.35852049581728274</v>
      </c>
    </row>
    <row r="600" spans="12:15" x14ac:dyDescent="0.3">
      <c r="L600" s="4">
        <f>Trades!P574</f>
        <v>0</v>
      </c>
      <c r="M600" s="5">
        <f>M599+Trades!T574</f>
        <v>1.3645891783725261</v>
      </c>
      <c r="N600" s="5">
        <f>N599+Trades!U574</f>
        <v>0.86146740004688438</v>
      </c>
      <c r="O600" s="5">
        <f>O599+Trades!W574</f>
        <v>0.35852049581728274</v>
      </c>
    </row>
    <row r="601" spans="12:15" x14ac:dyDescent="0.3">
      <c r="L601" s="4">
        <f>Trades!P535</f>
        <v>0</v>
      </c>
      <c r="M601" s="5">
        <f>M600+Trades!T535</f>
        <v>1.3645891783725261</v>
      </c>
      <c r="N601" s="5">
        <f>N600+Trades!U535</f>
        <v>0.86146740004688438</v>
      </c>
      <c r="O601" s="5">
        <f>O600+Trades!W535</f>
        <v>0.35852049581728274</v>
      </c>
    </row>
    <row r="602" spans="12:15" x14ac:dyDescent="0.3">
      <c r="L602" s="4">
        <f>Trades!P522</f>
        <v>0</v>
      </c>
      <c r="M602" s="5">
        <f>M601+Trades!T522</f>
        <v>1.3645891783725261</v>
      </c>
      <c r="N602" s="5">
        <f>N601+Trades!U522</f>
        <v>0.86146740004688438</v>
      </c>
      <c r="O602" s="5">
        <f>O601+Trades!W522</f>
        <v>0.35852049581728274</v>
      </c>
    </row>
    <row r="603" spans="12:15" x14ac:dyDescent="0.3">
      <c r="L603" s="4">
        <f>Trades!P489</f>
        <v>0</v>
      </c>
      <c r="M603" s="5">
        <f>M602+Trades!T489</f>
        <v>1.3645891783725261</v>
      </c>
      <c r="N603" s="5">
        <f>N602+Trades!U489</f>
        <v>0.86146740004688438</v>
      </c>
      <c r="O603" s="5">
        <f>O602+Trades!W489</f>
        <v>0.35852049581728274</v>
      </c>
    </row>
    <row r="604" spans="12:15" x14ac:dyDescent="0.3">
      <c r="L604" s="4">
        <f>Trades!P567</f>
        <v>0</v>
      </c>
      <c r="M604" s="5">
        <f>M603+Trades!T567</f>
        <v>1.3645891783725261</v>
      </c>
      <c r="N604" s="5">
        <f>N603+Trades!U567</f>
        <v>0.86146740004688438</v>
      </c>
      <c r="O604" s="5">
        <f>O603+Trades!W567</f>
        <v>0.35852049581728274</v>
      </c>
    </row>
    <row r="605" spans="12:15" x14ac:dyDescent="0.3">
      <c r="L605" s="4">
        <f>Trades!P503</f>
        <v>0</v>
      </c>
      <c r="M605" s="5">
        <f>M604+Trades!T503</f>
        <v>1.3645891783725261</v>
      </c>
      <c r="N605" s="5">
        <f>N604+Trades!U503</f>
        <v>0.86146740004688438</v>
      </c>
      <c r="O605" s="5">
        <f>O604+Trades!W503</f>
        <v>0.35852049581728274</v>
      </c>
    </row>
    <row r="606" spans="12:15" x14ac:dyDescent="0.3">
      <c r="L606" s="4">
        <f>Trades!P606</f>
        <v>0</v>
      </c>
      <c r="M606" s="5">
        <f>M605+Trades!T606</f>
        <v>1.3645891783725261</v>
      </c>
      <c r="N606" s="5">
        <f>N605+Trades!U606</f>
        <v>0.86146740004688438</v>
      </c>
      <c r="O606" s="5">
        <f>O605+Trades!W606</f>
        <v>0.35852049581728274</v>
      </c>
    </row>
    <row r="607" spans="12:15" x14ac:dyDescent="0.3">
      <c r="L607" s="4">
        <f>Trades!P617</f>
        <v>0</v>
      </c>
      <c r="M607" s="5">
        <f>M606+Trades!T617</f>
        <v>1.3645891783725261</v>
      </c>
      <c r="N607" s="5">
        <f>N606+Trades!U617</f>
        <v>0.86146740004688438</v>
      </c>
      <c r="O607" s="5">
        <f>O606+Trades!W617</f>
        <v>0.35852049581728274</v>
      </c>
    </row>
    <row r="608" spans="12:15" x14ac:dyDescent="0.3">
      <c r="L608" s="4">
        <f>Trades!P628</f>
        <v>0</v>
      </c>
      <c r="M608" s="5">
        <f>M607+Trades!T628</f>
        <v>1.3645891783725261</v>
      </c>
      <c r="N608" s="5">
        <f>N607+Trades!U628</f>
        <v>0.86146740004688438</v>
      </c>
      <c r="O608" s="5">
        <f>O607+Trades!W628</f>
        <v>0.35852049581728274</v>
      </c>
    </row>
    <row r="609" spans="12:15" x14ac:dyDescent="0.3">
      <c r="L609" s="4">
        <f>Trades!P638</f>
        <v>0</v>
      </c>
      <c r="M609" s="5">
        <f>M608+Trades!T638</f>
        <v>1.3645891783725261</v>
      </c>
      <c r="N609" s="5">
        <f>N608+Trades!U638</f>
        <v>0.86146740004688438</v>
      </c>
      <c r="O609" s="5">
        <f>O608+Trades!W638</f>
        <v>0.35852049581728274</v>
      </c>
    </row>
    <row r="610" spans="12:15" x14ac:dyDescent="0.3">
      <c r="L610" s="4">
        <f>Trades!P639</f>
        <v>0</v>
      </c>
      <c r="M610" s="5">
        <f>M609+Trades!T639</f>
        <v>1.3645891783725261</v>
      </c>
      <c r="N610" s="5">
        <f>N609+Trades!U639</f>
        <v>0.86146740004688438</v>
      </c>
      <c r="O610" s="5">
        <f>O609+Trades!W639</f>
        <v>0.35852049581728274</v>
      </c>
    </row>
    <row r="611" spans="12:15" x14ac:dyDescent="0.3">
      <c r="L611" s="4">
        <f>Trades!P618</f>
        <v>0</v>
      </c>
      <c r="M611" s="5">
        <f>M610+Trades!T618</f>
        <v>1.3645891783725261</v>
      </c>
      <c r="N611" s="5">
        <f>N610+Trades!U618</f>
        <v>0.86146740004688438</v>
      </c>
      <c r="O611" s="5">
        <f>O610+Trades!W618</f>
        <v>0.35852049581728274</v>
      </c>
    </row>
    <row r="612" spans="12:15" x14ac:dyDescent="0.3">
      <c r="L612" s="4">
        <f>Trades!P607</f>
        <v>0</v>
      </c>
      <c r="M612" s="5">
        <f>M611+Trades!T607</f>
        <v>1.3645891783725261</v>
      </c>
      <c r="N612" s="5">
        <f>N611+Trades!U607</f>
        <v>0.86146740004688438</v>
      </c>
      <c r="O612" s="5">
        <f>O611+Trades!W607</f>
        <v>0.35852049581728274</v>
      </c>
    </row>
    <row r="613" spans="12:15" x14ac:dyDescent="0.3">
      <c r="L613" s="4">
        <f>Trades!P619</f>
        <v>0</v>
      </c>
      <c r="M613" s="5">
        <f>M612+Trades!T619</f>
        <v>1.3645891783725261</v>
      </c>
      <c r="N613" s="5">
        <f>N612+Trades!U619</f>
        <v>0.86146740004688438</v>
      </c>
      <c r="O613" s="5">
        <f>O612+Trades!W619</f>
        <v>0.35852049581728274</v>
      </c>
    </row>
    <row r="614" spans="12:15" x14ac:dyDescent="0.3">
      <c r="L614" s="4">
        <f>Trades!P640</f>
        <v>0</v>
      </c>
      <c r="M614" s="5">
        <f>M613+Trades!T640</f>
        <v>1.3645891783725261</v>
      </c>
      <c r="N614" s="5">
        <f>N613+Trades!U640</f>
        <v>0.86146740004688438</v>
      </c>
      <c r="O614" s="5">
        <f>O613+Trades!W640</f>
        <v>0.35852049581728274</v>
      </c>
    </row>
    <row r="615" spans="12:15" x14ac:dyDescent="0.3">
      <c r="L615" s="4">
        <f>Trades!P608</f>
        <v>0</v>
      </c>
      <c r="M615" s="5">
        <f>M614+Trades!T608</f>
        <v>1.3645891783725261</v>
      </c>
      <c r="N615" s="5">
        <f>N614+Trades!U608</f>
        <v>0.86146740004688438</v>
      </c>
      <c r="O615" s="5">
        <f>O614+Trades!W608</f>
        <v>0.35852049581728274</v>
      </c>
    </row>
    <row r="616" spans="12:15" x14ac:dyDescent="0.3">
      <c r="L616" s="4">
        <f>Trades!P620</f>
        <v>0</v>
      </c>
      <c r="M616" s="5">
        <f>M615+Trades!T620</f>
        <v>1.3645891783725261</v>
      </c>
      <c r="N616" s="5">
        <f>N615+Trades!U620</f>
        <v>0.86146740004688438</v>
      </c>
      <c r="O616" s="5">
        <f>O615+Trades!W620</f>
        <v>0.35852049581728274</v>
      </c>
    </row>
    <row r="617" spans="12:15" x14ac:dyDescent="0.3">
      <c r="L617" s="4">
        <f>Trades!P609</f>
        <v>0</v>
      </c>
      <c r="M617" s="5">
        <f>M616+Trades!T609</f>
        <v>1.3645891783725261</v>
      </c>
      <c r="N617" s="5">
        <f>N616+Trades!U609</f>
        <v>0.86146740004688438</v>
      </c>
      <c r="O617" s="5">
        <f>O616+Trades!W609</f>
        <v>0.35852049581728274</v>
      </c>
    </row>
    <row r="618" spans="12:15" x14ac:dyDescent="0.3">
      <c r="L618" s="4">
        <f>Trades!P621</f>
        <v>0</v>
      </c>
      <c r="M618" s="5">
        <f>M617+Trades!T621</f>
        <v>1.3645891783725261</v>
      </c>
      <c r="N618" s="5">
        <f>N617+Trades!U621</f>
        <v>0.86146740004688438</v>
      </c>
      <c r="O618" s="5">
        <f>O617+Trades!W621</f>
        <v>0.35852049581728274</v>
      </c>
    </row>
    <row r="619" spans="12:15" x14ac:dyDescent="0.3">
      <c r="L619" s="4">
        <f>Trades!P641</f>
        <v>0</v>
      </c>
      <c r="M619" s="5">
        <f>M618+Trades!T641</f>
        <v>1.3645891783725261</v>
      </c>
      <c r="N619" s="5">
        <f>N618+Trades!U641</f>
        <v>0.86146740004688438</v>
      </c>
      <c r="O619" s="5">
        <f>O618+Trades!W641</f>
        <v>0.35852049581728274</v>
      </c>
    </row>
    <row r="620" spans="12:15" x14ac:dyDescent="0.3">
      <c r="L620" s="4">
        <f>Trades!P610</f>
        <v>0</v>
      </c>
      <c r="M620" s="5">
        <f>M619+Trades!T610</f>
        <v>1.3645891783725261</v>
      </c>
      <c r="N620" s="5">
        <f>N619+Trades!U610</f>
        <v>0.86146740004688438</v>
      </c>
      <c r="O620" s="5">
        <f>O619+Trades!W610</f>
        <v>0.35852049581728274</v>
      </c>
    </row>
    <row r="621" spans="12:15" x14ac:dyDescent="0.3">
      <c r="L621" s="4">
        <f>Trades!P629</f>
        <v>0</v>
      </c>
      <c r="M621" s="5">
        <f>M620+Trades!T629</f>
        <v>1.3645891783725261</v>
      </c>
      <c r="N621" s="5">
        <f>N620+Trades!U629</f>
        <v>0.86146740004688438</v>
      </c>
      <c r="O621" s="5">
        <f>O620+Trades!W629</f>
        <v>0.35852049581728274</v>
      </c>
    </row>
    <row r="622" spans="12:15" x14ac:dyDescent="0.3">
      <c r="L622" s="4">
        <f>Trades!P630</f>
        <v>0</v>
      </c>
      <c r="M622" s="5">
        <f>M621+Trades!T630</f>
        <v>1.3645891783725261</v>
      </c>
      <c r="N622" s="5">
        <f>N621+Trades!U630</f>
        <v>0.86146740004688438</v>
      </c>
      <c r="O622" s="5">
        <f>O621+Trades!W630</f>
        <v>0.35852049581728274</v>
      </c>
    </row>
    <row r="623" spans="12:15" x14ac:dyDescent="0.3">
      <c r="L623" s="4">
        <f>Trades!P611</f>
        <v>0</v>
      </c>
      <c r="M623" s="5">
        <f>M622+Trades!T611</f>
        <v>1.3645891783725261</v>
      </c>
      <c r="N623" s="5">
        <f>N622+Trades!U611</f>
        <v>0.86146740004688438</v>
      </c>
      <c r="O623" s="5">
        <f>O622+Trades!W611</f>
        <v>0.35852049581728274</v>
      </c>
    </row>
    <row r="624" spans="12:15" x14ac:dyDescent="0.3">
      <c r="L624" s="4">
        <f>Trades!P642</f>
        <v>0</v>
      </c>
      <c r="M624" s="5">
        <f>M623+Trades!T642</f>
        <v>1.3645891783725261</v>
      </c>
      <c r="N624" s="5">
        <f>N623+Trades!U642</f>
        <v>0.86146740004688438</v>
      </c>
      <c r="O624" s="5">
        <f>O623+Trades!W642</f>
        <v>0.35852049581728274</v>
      </c>
    </row>
    <row r="625" spans="12:15" x14ac:dyDescent="0.3">
      <c r="L625" s="4">
        <f>Trades!P622</f>
        <v>0</v>
      </c>
      <c r="M625" s="5">
        <f>M624+Trades!T622</f>
        <v>1.3645891783725261</v>
      </c>
      <c r="N625" s="5">
        <f>N624+Trades!U622</f>
        <v>0.86146740004688438</v>
      </c>
      <c r="O625" s="5">
        <f>O624+Trades!W622</f>
        <v>0.35852049581728274</v>
      </c>
    </row>
    <row r="626" spans="12:15" x14ac:dyDescent="0.3">
      <c r="L626" s="4">
        <f>Trades!P612</f>
        <v>0</v>
      </c>
      <c r="M626" s="5">
        <f>M625+Trades!T612</f>
        <v>1.3645891783725261</v>
      </c>
      <c r="N626" s="5">
        <f>N625+Trades!U612</f>
        <v>0.86146740004688438</v>
      </c>
      <c r="O626" s="5">
        <f>O625+Trades!W612</f>
        <v>0.35852049581728274</v>
      </c>
    </row>
    <row r="627" spans="12:15" x14ac:dyDescent="0.3">
      <c r="L627" s="4">
        <f>Trades!P631</f>
        <v>0</v>
      </c>
      <c r="M627" s="5">
        <f>M626+Trades!T631</f>
        <v>1.3645891783725261</v>
      </c>
      <c r="N627" s="5">
        <f>N626+Trades!U631</f>
        <v>0.86146740004688438</v>
      </c>
      <c r="O627" s="5">
        <f>O626+Trades!W631</f>
        <v>0.35852049581728274</v>
      </c>
    </row>
    <row r="628" spans="12:15" x14ac:dyDescent="0.3">
      <c r="L628" s="4">
        <f>Trades!P613</f>
        <v>0</v>
      </c>
      <c r="M628" s="5">
        <f>M627+Trades!T613</f>
        <v>1.3645891783725261</v>
      </c>
      <c r="N628" s="5">
        <f>N627+Trades!U613</f>
        <v>0.86146740004688438</v>
      </c>
      <c r="O628" s="5">
        <f>O627+Trades!W613</f>
        <v>0.35852049581728274</v>
      </c>
    </row>
    <row r="629" spans="12:15" x14ac:dyDescent="0.3">
      <c r="L629" s="4">
        <f>Trades!P643</f>
        <v>0</v>
      </c>
      <c r="M629" s="5">
        <f>M628+Trades!T643</f>
        <v>1.3645891783725261</v>
      </c>
      <c r="N629" s="5">
        <f>N628+Trades!U643</f>
        <v>0.86146740004688438</v>
      </c>
      <c r="O629" s="5">
        <f>O628+Trades!W643</f>
        <v>0.35852049581728274</v>
      </c>
    </row>
    <row r="630" spans="12:15" x14ac:dyDescent="0.3">
      <c r="L630" s="4">
        <f>Trades!P644</f>
        <v>0</v>
      </c>
      <c r="M630" s="5">
        <f>M629+Trades!T644</f>
        <v>1.3645891783725261</v>
      </c>
      <c r="N630" s="5">
        <f>N629+Trades!U644</f>
        <v>0.86146740004688438</v>
      </c>
      <c r="O630" s="5">
        <f>O629+Trades!W644</f>
        <v>0.35852049581728274</v>
      </c>
    </row>
    <row r="631" spans="12:15" x14ac:dyDescent="0.3">
      <c r="L631" s="4">
        <f>Trades!P645</f>
        <v>0</v>
      </c>
      <c r="M631" s="5">
        <f>M630+Trades!T645</f>
        <v>1.3645891783725261</v>
      </c>
      <c r="N631" s="5">
        <f>N630+Trades!U645</f>
        <v>0.86146740004688438</v>
      </c>
      <c r="O631" s="5">
        <f>O630+Trades!W645</f>
        <v>0.35852049581728274</v>
      </c>
    </row>
    <row r="632" spans="12:15" x14ac:dyDescent="0.3">
      <c r="L632" s="4">
        <f>Trades!P632</f>
        <v>0</v>
      </c>
      <c r="M632" s="5">
        <f>M631+Trades!T632</f>
        <v>1.3645891783725261</v>
      </c>
      <c r="N632" s="5">
        <f>N631+Trades!U632</f>
        <v>0.86146740004688438</v>
      </c>
      <c r="O632" s="5">
        <f>O631+Trades!W632</f>
        <v>0.35852049581728274</v>
      </c>
    </row>
    <row r="633" spans="12:15" x14ac:dyDescent="0.3">
      <c r="L633" s="4">
        <f>Trades!P614</f>
        <v>0</v>
      </c>
      <c r="M633" s="5">
        <f>M632+Trades!T614</f>
        <v>1.3645891783725261</v>
      </c>
      <c r="N633" s="5">
        <f>N632+Trades!U614</f>
        <v>0.86146740004688438</v>
      </c>
      <c r="O633" s="5">
        <f>O632+Trades!W614</f>
        <v>0.35852049581728274</v>
      </c>
    </row>
    <row r="634" spans="12:15" x14ac:dyDescent="0.3">
      <c r="L634" s="4">
        <f>Trades!P623</f>
        <v>0</v>
      </c>
      <c r="M634" s="5">
        <f>M633+Trades!T623</f>
        <v>1.3645891783725261</v>
      </c>
      <c r="N634" s="5">
        <f>N633+Trades!U623</f>
        <v>0.86146740004688438</v>
      </c>
      <c r="O634" s="5">
        <f>O633+Trades!W623</f>
        <v>0.35852049581728274</v>
      </c>
    </row>
    <row r="635" spans="12:15" x14ac:dyDescent="0.3">
      <c r="L635" s="4">
        <f>Trades!P646</f>
        <v>0</v>
      </c>
      <c r="M635" s="5">
        <f>M634+Trades!T646</f>
        <v>1.3645891783725261</v>
      </c>
      <c r="N635" s="5">
        <f>N634+Trades!U646</f>
        <v>0.86146740004688438</v>
      </c>
      <c r="O635" s="5">
        <f>O634+Trades!W646</f>
        <v>0.35852049581728274</v>
      </c>
    </row>
    <row r="636" spans="12:15" x14ac:dyDescent="0.3">
      <c r="L636" s="4">
        <f>Trades!P624</f>
        <v>0</v>
      </c>
      <c r="M636" s="5">
        <f>M635+Trades!T624</f>
        <v>1.3645891783725261</v>
      </c>
      <c r="N636" s="5">
        <f>N635+Trades!U624</f>
        <v>0.86146740004688438</v>
      </c>
      <c r="O636" s="5">
        <f>O635+Trades!W624</f>
        <v>0.35852049581728274</v>
      </c>
    </row>
    <row r="637" spans="12:15" x14ac:dyDescent="0.3">
      <c r="L637" s="4">
        <f>Trades!P625</f>
        <v>0</v>
      </c>
      <c r="M637" s="5">
        <f>M636+Trades!T625</f>
        <v>1.3645891783725261</v>
      </c>
      <c r="N637" s="5">
        <f>N636+Trades!U625</f>
        <v>0.86146740004688438</v>
      </c>
      <c r="O637" s="5">
        <f>O636+Trades!W625</f>
        <v>0.35852049581728274</v>
      </c>
    </row>
    <row r="638" spans="12:15" x14ac:dyDescent="0.3">
      <c r="L638" s="4">
        <f>Trades!P615</f>
        <v>0</v>
      </c>
      <c r="M638" s="5">
        <f>M637+Trades!T615</f>
        <v>1.3645891783725261</v>
      </c>
      <c r="N638" s="5">
        <f>N637+Trades!U615</f>
        <v>0.86146740004688438</v>
      </c>
      <c r="O638" s="5">
        <f>O637+Trades!W615</f>
        <v>0.35852049581728274</v>
      </c>
    </row>
    <row r="639" spans="12:15" x14ac:dyDescent="0.3">
      <c r="L639" s="4">
        <f>Trades!P647</f>
        <v>0</v>
      </c>
      <c r="M639" s="5">
        <f>M638+Trades!T647</f>
        <v>1.3645891783725261</v>
      </c>
      <c r="N639" s="5">
        <f>N638+Trades!U647</f>
        <v>0.86146740004688438</v>
      </c>
      <c r="O639" s="5">
        <f>O638+Trades!W647</f>
        <v>0.35852049581728274</v>
      </c>
    </row>
    <row r="640" spans="12:15" x14ac:dyDescent="0.3">
      <c r="L640" s="4">
        <f>Trades!P616</f>
        <v>0</v>
      </c>
      <c r="M640" s="5">
        <f>M639+Trades!T616</f>
        <v>1.3645891783725261</v>
      </c>
      <c r="N640" s="5">
        <f>N639+Trades!U616</f>
        <v>0.86146740004688438</v>
      </c>
      <c r="O640" s="5">
        <f>O639+Trades!W616</f>
        <v>0.35852049581728274</v>
      </c>
    </row>
    <row r="641" spans="12:15" x14ac:dyDescent="0.3">
      <c r="L641" s="4">
        <f>Trades!P626</f>
        <v>0</v>
      </c>
      <c r="M641" s="5">
        <f>M640+Trades!T626</f>
        <v>1.3645891783725261</v>
      </c>
      <c r="N641" s="5">
        <f>N640+Trades!U626</f>
        <v>0.86146740004688438</v>
      </c>
      <c r="O641" s="5">
        <f>O640+Trades!W626</f>
        <v>0.35852049581728274</v>
      </c>
    </row>
    <row r="642" spans="12:15" x14ac:dyDescent="0.3">
      <c r="L642" s="4">
        <f>Trades!P633</f>
        <v>0</v>
      </c>
      <c r="M642" s="5">
        <f>M641+Trades!T633</f>
        <v>1.3645891783725261</v>
      </c>
      <c r="N642" s="5">
        <f>N641+Trades!U633</f>
        <v>0.86146740004688438</v>
      </c>
      <c r="O642" s="5">
        <f>O641+Trades!W633</f>
        <v>0.35852049581728274</v>
      </c>
    </row>
    <row r="643" spans="12:15" x14ac:dyDescent="0.3">
      <c r="L643" s="4">
        <f>Trades!P627</f>
        <v>0</v>
      </c>
      <c r="M643" s="5">
        <f>M642+Trades!T627</f>
        <v>1.3645891783725261</v>
      </c>
      <c r="N643" s="5">
        <f>N642+Trades!U627</f>
        <v>0.86146740004688438</v>
      </c>
      <c r="O643" s="5">
        <f>O642+Trades!W627</f>
        <v>0.35852049581728274</v>
      </c>
    </row>
    <row r="644" spans="12:15" x14ac:dyDescent="0.3">
      <c r="L644" s="4">
        <f>Trades!P634</f>
        <v>0</v>
      </c>
      <c r="M644" s="5">
        <f>M643+Trades!T634</f>
        <v>1.3645891783725261</v>
      </c>
      <c r="N644" s="5">
        <f>N643+Trades!U634</f>
        <v>0.86146740004688438</v>
      </c>
      <c r="O644" s="5">
        <f>O643+Trades!W634</f>
        <v>0.35852049581728274</v>
      </c>
    </row>
    <row r="645" spans="12:15" x14ac:dyDescent="0.3">
      <c r="L645" s="4">
        <f>Trades!P635</f>
        <v>0</v>
      </c>
      <c r="M645" s="5">
        <f>M644+Trades!T635</f>
        <v>1.3645891783725261</v>
      </c>
      <c r="N645" s="5">
        <f>N644+Trades!U635</f>
        <v>0.86146740004688438</v>
      </c>
      <c r="O645" s="5">
        <f>O644+Trades!W635</f>
        <v>0.35852049581728274</v>
      </c>
    </row>
    <row r="646" spans="12:15" x14ac:dyDescent="0.3">
      <c r="L646" s="4">
        <f>Trades!P648</f>
        <v>0</v>
      </c>
      <c r="M646" s="5">
        <f>M645+Trades!T648</f>
        <v>1.3645891783725261</v>
      </c>
      <c r="N646" s="5">
        <f>N645+Trades!U648</f>
        <v>0.86146740004688438</v>
      </c>
      <c r="O646" s="5">
        <f>O645+Trades!W648</f>
        <v>0.35852049581728274</v>
      </c>
    </row>
    <row r="647" spans="12:15" x14ac:dyDescent="0.3">
      <c r="L647" s="4">
        <f>Trades!P636</f>
        <v>0</v>
      </c>
      <c r="M647" s="5">
        <f>M646+Trades!T636</f>
        <v>1.3645891783725261</v>
      </c>
      <c r="N647" s="5">
        <f>N646+Trades!U636</f>
        <v>0.86146740004688438</v>
      </c>
      <c r="O647" s="5">
        <f>O646+Trades!W636</f>
        <v>0.35852049581728274</v>
      </c>
    </row>
    <row r="648" spans="12:15" x14ac:dyDescent="0.3">
      <c r="L648" s="4">
        <f>Trades!P637</f>
        <v>0</v>
      </c>
      <c r="M648" s="5">
        <f>M647+Trades!T637</f>
        <v>1.3645891783725261</v>
      </c>
      <c r="N648" s="5">
        <f>N647+Trades!U637</f>
        <v>0.86146740004688438</v>
      </c>
      <c r="O648" s="5">
        <f>O647+Trades!W637</f>
        <v>0.35852049581728274</v>
      </c>
    </row>
    <row r="649" spans="12:15" x14ac:dyDescent="0.3">
      <c r="L649" s="4">
        <f>Trades!P649</f>
        <v>0</v>
      </c>
      <c r="M649" s="5">
        <f>M648+Trades!T649</f>
        <v>1.3645891783725261</v>
      </c>
      <c r="N649" s="5">
        <f>N648+Trades!U649</f>
        <v>0.86146740004688438</v>
      </c>
      <c r="O649" s="5">
        <f>O648+Trades!W649</f>
        <v>0.35852049581728274</v>
      </c>
    </row>
    <row r="650" spans="12:15" x14ac:dyDescent="0.3">
      <c r="L650" s="4">
        <f>Trades!P658</f>
        <v>0</v>
      </c>
      <c r="M650" s="5">
        <f>M649+Trades!T658</f>
        <v>1.3645891783725261</v>
      </c>
      <c r="N650" s="5">
        <f>N649+Trades!U658</f>
        <v>0.86146740004688438</v>
      </c>
      <c r="O650" s="5">
        <f>O649+Trades!W658</f>
        <v>0.35852049581728274</v>
      </c>
    </row>
    <row r="651" spans="12:15" x14ac:dyDescent="0.3">
      <c r="L651" s="4">
        <f>Trades!P669</f>
        <v>0</v>
      </c>
      <c r="M651" s="5">
        <f>M650+Trades!T669</f>
        <v>1.3645891783725261</v>
      </c>
      <c r="N651" s="5">
        <f>N650+Trades!U669</f>
        <v>0.86146740004688438</v>
      </c>
      <c r="O651" s="5">
        <f>O650+Trades!W669</f>
        <v>0.35852049581728274</v>
      </c>
    </row>
    <row r="652" spans="12:15" x14ac:dyDescent="0.3">
      <c r="L652" s="4">
        <f>Trades!P682</f>
        <v>0</v>
      </c>
      <c r="M652" s="5">
        <f>M651+Trades!T682</f>
        <v>1.3645891783725261</v>
      </c>
      <c r="N652" s="5">
        <f>N651+Trades!U682</f>
        <v>0.86146740004688438</v>
      </c>
      <c r="O652" s="5">
        <f>O651+Trades!W682</f>
        <v>0.35852049581728274</v>
      </c>
    </row>
    <row r="653" spans="12:15" x14ac:dyDescent="0.3">
      <c r="L653" s="4">
        <f>Trades!P692</f>
        <v>0</v>
      </c>
      <c r="M653" s="5">
        <f>M652+Trades!T692</f>
        <v>1.3645891783725261</v>
      </c>
      <c r="N653" s="5">
        <f>N652+Trades!U692</f>
        <v>0.86146740004688438</v>
      </c>
      <c r="O653" s="5">
        <f>O652+Trades!W692</f>
        <v>0.35852049581728274</v>
      </c>
    </row>
    <row r="654" spans="12:15" x14ac:dyDescent="0.3">
      <c r="L654" s="4">
        <f>Trades!P693</f>
        <v>0</v>
      </c>
      <c r="M654" s="5">
        <f>M653+Trades!T693</f>
        <v>1.3645891783725261</v>
      </c>
      <c r="N654" s="5">
        <f>N653+Trades!U693</f>
        <v>0.86146740004688438</v>
      </c>
      <c r="O654" s="5">
        <f>O653+Trades!W693</f>
        <v>0.35852049581728274</v>
      </c>
    </row>
    <row r="655" spans="12:15" x14ac:dyDescent="0.3">
      <c r="L655" s="4">
        <f>Trades!P670</f>
        <v>0</v>
      </c>
      <c r="M655" s="5">
        <f>M654+Trades!T670</f>
        <v>1.3645891783725261</v>
      </c>
      <c r="N655" s="5">
        <f>N654+Trades!U670</f>
        <v>0.86146740004688438</v>
      </c>
      <c r="O655" s="5">
        <f>O654+Trades!W670</f>
        <v>0.35852049581728274</v>
      </c>
    </row>
    <row r="656" spans="12:15" x14ac:dyDescent="0.3">
      <c r="L656" s="4">
        <f>Trades!P659</f>
        <v>0</v>
      </c>
      <c r="M656" s="5">
        <f>M655+Trades!T659</f>
        <v>1.3645891783725261</v>
      </c>
      <c r="N656" s="5">
        <f>N655+Trades!U659</f>
        <v>0.86146740004688438</v>
      </c>
      <c r="O656" s="5">
        <f>O655+Trades!W659</f>
        <v>0.35852049581728274</v>
      </c>
    </row>
    <row r="657" spans="12:15" x14ac:dyDescent="0.3">
      <c r="L657" s="4">
        <f>Trades!P683</f>
        <v>0</v>
      </c>
      <c r="M657" s="5">
        <f>M656+Trades!T683</f>
        <v>1.3645891783725261</v>
      </c>
      <c r="N657" s="5">
        <f>N656+Trades!U683</f>
        <v>0.86146740004688438</v>
      </c>
      <c r="O657" s="5">
        <f>O656+Trades!W683</f>
        <v>0.35852049581728274</v>
      </c>
    </row>
    <row r="658" spans="12:15" x14ac:dyDescent="0.3">
      <c r="L658" s="4">
        <f>Trades!P671</f>
        <v>0</v>
      </c>
      <c r="M658" s="5">
        <f>M657+Trades!T671</f>
        <v>1.3645891783725261</v>
      </c>
      <c r="N658" s="5">
        <f>N657+Trades!U671</f>
        <v>0.86146740004688438</v>
      </c>
      <c r="O658" s="5">
        <f>O657+Trades!W671</f>
        <v>0.35852049581728274</v>
      </c>
    </row>
    <row r="659" spans="12:15" x14ac:dyDescent="0.3">
      <c r="L659" s="4">
        <f>Trades!P660</f>
        <v>0</v>
      </c>
      <c r="M659" s="5">
        <f>M658+Trades!T660</f>
        <v>1.3645891783725261</v>
      </c>
      <c r="N659" s="5">
        <f>N658+Trades!U660</f>
        <v>0.86146740004688438</v>
      </c>
      <c r="O659" s="5">
        <f>O658+Trades!W660</f>
        <v>0.35852049581728274</v>
      </c>
    </row>
    <row r="660" spans="12:15" x14ac:dyDescent="0.3">
      <c r="L660" s="4">
        <f>Trades!P650</f>
        <v>0</v>
      </c>
      <c r="M660" s="5">
        <f>M659+Trades!T650</f>
        <v>1.3645891783725261</v>
      </c>
      <c r="N660" s="5">
        <f>N659+Trades!U650</f>
        <v>0.86146740004688438</v>
      </c>
      <c r="O660" s="5">
        <f>O659+Trades!W650</f>
        <v>0.35852049581728274</v>
      </c>
    </row>
    <row r="661" spans="12:15" x14ac:dyDescent="0.3">
      <c r="L661" s="4">
        <f>Trades!P672</f>
        <v>0</v>
      </c>
      <c r="M661" s="5">
        <f>M660+Trades!T672</f>
        <v>1.3645891783725261</v>
      </c>
      <c r="N661" s="5">
        <f>N660+Trades!U672</f>
        <v>0.86146740004688438</v>
      </c>
      <c r="O661" s="5">
        <f>O660+Trades!W672</f>
        <v>0.35852049581728274</v>
      </c>
    </row>
    <row r="662" spans="12:15" x14ac:dyDescent="0.3">
      <c r="L662" s="4">
        <f>Trades!P694</f>
        <v>0</v>
      </c>
      <c r="M662" s="5">
        <f>M661+Trades!T694</f>
        <v>1.3645891783725261</v>
      </c>
      <c r="N662" s="5">
        <f>N661+Trades!U694</f>
        <v>0.86146740004688438</v>
      </c>
      <c r="O662" s="5">
        <f>O661+Trades!W694</f>
        <v>0.35852049581728274</v>
      </c>
    </row>
    <row r="663" spans="12:15" x14ac:dyDescent="0.3">
      <c r="L663" s="4">
        <f>Trades!P684</f>
        <v>0</v>
      </c>
      <c r="M663" s="5">
        <f>M662+Trades!T684</f>
        <v>1.3645891783725261</v>
      </c>
      <c r="N663" s="5">
        <f>N662+Trades!U684</f>
        <v>0.86146740004688438</v>
      </c>
      <c r="O663" s="5">
        <f>O662+Trades!W684</f>
        <v>0.35852049581728274</v>
      </c>
    </row>
    <row r="664" spans="12:15" x14ac:dyDescent="0.3">
      <c r="L664" s="4">
        <f>Trades!P661</f>
        <v>0</v>
      </c>
      <c r="M664" s="5">
        <f>M663+Trades!T661</f>
        <v>1.3645891783725261</v>
      </c>
      <c r="N664" s="5">
        <f>N663+Trades!U661</f>
        <v>0.86146740004688438</v>
      </c>
      <c r="O664" s="5">
        <f>O663+Trades!W661</f>
        <v>0.35852049581728274</v>
      </c>
    </row>
    <row r="665" spans="12:15" x14ac:dyDescent="0.3">
      <c r="L665" s="4">
        <f>Trades!P651</f>
        <v>0</v>
      </c>
      <c r="M665" s="5">
        <f>M664+Trades!T651</f>
        <v>1.3645891783725261</v>
      </c>
      <c r="N665" s="5">
        <f>N664+Trades!U651</f>
        <v>0.86146740004688438</v>
      </c>
      <c r="O665" s="5">
        <f>O664+Trades!W651</f>
        <v>0.35852049581728274</v>
      </c>
    </row>
    <row r="666" spans="12:15" x14ac:dyDescent="0.3">
      <c r="L666" s="4">
        <f>Trades!P695</f>
        <v>0</v>
      </c>
      <c r="M666" s="5">
        <f>M665+Trades!T695</f>
        <v>1.3645891783725261</v>
      </c>
      <c r="N666" s="5">
        <f>N665+Trades!U695</f>
        <v>0.86146740004688438</v>
      </c>
      <c r="O666" s="5">
        <f>O665+Trades!W695</f>
        <v>0.35852049581728274</v>
      </c>
    </row>
    <row r="667" spans="12:15" x14ac:dyDescent="0.3">
      <c r="L667" s="4">
        <f>Trades!P673</f>
        <v>0</v>
      </c>
      <c r="M667" s="5">
        <f>M666+Trades!T673</f>
        <v>1.3645891783725261</v>
      </c>
      <c r="N667" s="5">
        <f>N666+Trades!U673</f>
        <v>0.86146740004688438</v>
      </c>
      <c r="O667" s="5">
        <f>O666+Trades!W673</f>
        <v>0.35852049581728274</v>
      </c>
    </row>
    <row r="668" spans="12:15" x14ac:dyDescent="0.3">
      <c r="L668" s="4">
        <f>Trades!P685</f>
        <v>0</v>
      </c>
      <c r="M668" s="5">
        <f>M667+Trades!T685</f>
        <v>1.3645891783725261</v>
      </c>
      <c r="N668" s="5">
        <f>N667+Trades!U685</f>
        <v>0.86146740004688438</v>
      </c>
      <c r="O668" s="5">
        <f>O667+Trades!W685</f>
        <v>0.35852049581728274</v>
      </c>
    </row>
    <row r="669" spans="12:15" x14ac:dyDescent="0.3">
      <c r="L669" s="4">
        <f>Trades!P652</f>
        <v>0</v>
      </c>
      <c r="M669" s="5">
        <f>M668+Trades!T652</f>
        <v>1.3645891783725261</v>
      </c>
      <c r="N669" s="5">
        <f>N668+Trades!U652</f>
        <v>0.86146740004688438</v>
      </c>
      <c r="O669" s="5">
        <f>O668+Trades!W652</f>
        <v>0.35852049581728274</v>
      </c>
    </row>
    <row r="670" spans="12:15" x14ac:dyDescent="0.3">
      <c r="L670" s="4">
        <f>Trades!P674</f>
        <v>0</v>
      </c>
      <c r="M670" s="5">
        <f>M669+Trades!T674</f>
        <v>1.3645891783725261</v>
      </c>
      <c r="N670" s="5">
        <f>N669+Trades!U674</f>
        <v>0.86146740004688438</v>
      </c>
      <c r="O670" s="5">
        <f>O669+Trades!W674</f>
        <v>0.35852049581728274</v>
      </c>
    </row>
    <row r="671" spans="12:15" x14ac:dyDescent="0.3">
      <c r="L671" s="4">
        <f>Trades!P675</f>
        <v>0</v>
      </c>
      <c r="M671" s="5">
        <f>M670+Trades!T675</f>
        <v>1.3645891783725261</v>
      </c>
      <c r="N671" s="5">
        <f>N670+Trades!U675</f>
        <v>0.86146740004688438</v>
      </c>
      <c r="O671" s="5">
        <f>O670+Trades!W675</f>
        <v>0.35852049581728274</v>
      </c>
    </row>
    <row r="672" spans="12:15" x14ac:dyDescent="0.3">
      <c r="L672" s="4">
        <f>Trades!P662</f>
        <v>0</v>
      </c>
      <c r="M672" s="5">
        <f>M671+Trades!T662</f>
        <v>1.3645891783725261</v>
      </c>
      <c r="N672" s="5">
        <f>N671+Trades!U662</f>
        <v>0.86146740004688438</v>
      </c>
      <c r="O672" s="5">
        <f>O671+Trades!W662</f>
        <v>0.35852049581728274</v>
      </c>
    </row>
    <row r="673" spans="12:15" x14ac:dyDescent="0.3">
      <c r="L673" s="4">
        <f>Trades!P653</f>
        <v>0</v>
      </c>
      <c r="M673" s="5">
        <f>M672+Trades!T653</f>
        <v>1.3645891783725261</v>
      </c>
      <c r="N673" s="5">
        <f>N672+Trades!U653</f>
        <v>0.86146740004688438</v>
      </c>
      <c r="O673" s="5">
        <f>O672+Trades!W653</f>
        <v>0.35852049581728274</v>
      </c>
    </row>
    <row r="674" spans="12:15" x14ac:dyDescent="0.3">
      <c r="L674" s="4">
        <f>Trades!P663</f>
        <v>0</v>
      </c>
      <c r="M674" s="5">
        <f>M673+Trades!T663</f>
        <v>1.3645891783725261</v>
      </c>
      <c r="N674" s="5">
        <f>N673+Trades!U663</f>
        <v>0.86146740004688438</v>
      </c>
      <c r="O674" s="5">
        <f>O673+Trades!W663</f>
        <v>0.35852049581728274</v>
      </c>
    </row>
    <row r="675" spans="12:15" x14ac:dyDescent="0.3">
      <c r="L675" s="4">
        <f>Trades!P696</f>
        <v>0</v>
      </c>
      <c r="M675" s="5">
        <f>M674+Trades!T696</f>
        <v>1.3645891783725261</v>
      </c>
      <c r="N675" s="5">
        <f>N674+Trades!U696</f>
        <v>0.86146740004688438</v>
      </c>
      <c r="O675" s="5">
        <f>O674+Trades!W696</f>
        <v>0.35852049581728274</v>
      </c>
    </row>
    <row r="676" spans="12:15" x14ac:dyDescent="0.3">
      <c r="L676" s="4">
        <f>Trades!P676</f>
        <v>0</v>
      </c>
      <c r="M676" s="5">
        <f>M675+Trades!T676</f>
        <v>1.3645891783725261</v>
      </c>
      <c r="N676" s="5">
        <f>N675+Trades!U676</f>
        <v>0.86146740004688438</v>
      </c>
      <c r="O676" s="5">
        <f>O675+Trades!W676</f>
        <v>0.35852049581728274</v>
      </c>
    </row>
    <row r="677" spans="12:15" x14ac:dyDescent="0.3">
      <c r="L677" s="4">
        <f>Trades!P686</f>
        <v>0</v>
      </c>
      <c r="M677" s="5">
        <f>M676+Trades!T686</f>
        <v>1.3645891783725261</v>
      </c>
      <c r="N677" s="5">
        <f>N676+Trades!U686</f>
        <v>0.86146740004688438</v>
      </c>
      <c r="O677" s="5">
        <f>O676+Trades!W686</f>
        <v>0.35852049581728274</v>
      </c>
    </row>
    <row r="678" spans="12:15" x14ac:dyDescent="0.3">
      <c r="L678" s="4">
        <f>Trades!P687</f>
        <v>0</v>
      </c>
      <c r="M678" s="5">
        <f>M677+Trades!T687</f>
        <v>1.3645891783725261</v>
      </c>
      <c r="N678" s="5">
        <f>N677+Trades!U687</f>
        <v>0.86146740004688438</v>
      </c>
      <c r="O678" s="5">
        <f>O677+Trades!W687</f>
        <v>0.35852049581728274</v>
      </c>
    </row>
    <row r="679" spans="12:15" x14ac:dyDescent="0.3">
      <c r="L679" s="4">
        <f>Trades!P664</f>
        <v>0</v>
      </c>
      <c r="M679" s="5">
        <f>M678+Trades!T664</f>
        <v>1.3645891783725261</v>
      </c>
      <c r="N679" s="5">
        <f>N678+Trades!U664</f>
        <v>0.86146740004688438</v>
      </c>
      <c r="O679" s="5">
        <f>O678+Trades!W664</f>
        <v>0.35852049581728274</v>
      </c>
    </row>
    <row r="680" spans="12:15" x14ac:dyDescent="0.3">
      <c r="L680" s="4">
        <f>Trades!P654</f>
        <v>0</v>
      </c>
      <c r="M680" s="5">
        <f>M679+Trades!T654</f>
        <v>1.3645891783725261</v>
      </c>
      <c r="N680" s="5">
        <f>N679+Trades!U654</f>
        <v>0.86146740004688438</v>
      </c>
      <c r="O680" s="5">
        <f>O679+Trades!W654</f>
        <v>0.35852049581728274</v>
      </c>
    </row>
    <row r="681" spans="12:15" x14ac:dyDescent="0.3">
      <c r="L681" s="4">
        <f>Trades!P655</f>
        <v>0</v>
      </c>
      <c r="M681" s="5">
        <f>M680+Trades!T655</f>
        <v>1.3645891783725261</v>
      </c>
      <c r="N681" s="5">
        <f>N680+Trades!U655</f>
        <v>0.86146740004688438</v>
      </c>
      <c r="O681" s="5">
        <f>O680+Trades!W655</f>
        <v>0.35852049581728274</v>
      </c>
    </row>
    <row r="682" spans="12:15" x14ac:dyDescent="0.3">
      <c r="L682" s="4">
        <f>Trades!P697</f>
        <v>0</v>
      </c>
      <c r="M682" s="5">
        <f>M681+Trades!T697</f>
        <v>1.3645891783725261</v>
      </c>
      <c r="N682" s="5">
        <f>N681+Trades!U697</f>
        <v>0.86146740004688438</v>
      </c>
      <c r="O682" s="5">
        <f>O681+Trades!W697</f>
        <v>0.35852049581728274</v>
      </c>
    </row>
    <row r="683" spans="12:15" x14ac:dyDescent="0.3">
      <c r="L683" s="4">
        <f>Trades!P677</f>
        <v>0</v>
      </c>
      <c r="M683" s="5">
        <f>M682+Trades!T677</f>
        <v>1.3645891783725261</v>
      </c>
      <c r="N683" s="5">
        <f>N682+Trades!U677</f>
        <v>0.86146740004688438</v>
      </c>
      <c r="O683" s="5">
        <f>O682+Trades!W677</f>
        <v>0.35852049581728274</v>
      </c>
    </row>
    <row r="684" spans="12:15" x14ac:dyDescent="0.3">
      <c r="L684" s="4">
        <f>Trades!P688</f>
        <v>0</v>
      </c>
      <c r="M684" s="5">
        <f>M683+Trades!T688</f>
        <v>1.3645891783725261</v>
      </c>
      <c r="N684" s="5">
        <f>N683+Trades!U688</f>
        <v>0.86146740004688438</v>
      </c>
      <c r="O684" s="5">
        <f>O683+Trades!W688</f>
        <v>0.35852049581728274</v>
      </c>
    </row>
    <row r="685" spans="12:15" x14ac:dyDescent="0.3">
      <c r="L685" s="4">
        <f>Trades!P665</f>
        <v>0</v>
      </c>
      <c r="M685" s="5">
        <f>M684+Trades!T665</f>
        <v>1.3645891783725261</v>
      </c>
      <c r="N685" s="5">
        <f>N684+Trades!U665</f>
        <v>0.86146740004688438</v>
      </c>
      <c r="O685" s="5">
        <f>O684+Trades!W665</f>
        <v>0.35852049581728274</v>
      </c>
    </row>
    <row r="686" spans="12:15" x14ac:dyDescent="0.3">
      <c r="L686" s="4">
        <f>Trades!P666</f>
        <v>0</v>
      </c>
      <c r="M686" s="5">
        <f>M685+Trades!T666</f>
        <v>1.3645891783725261</v>
      </c>
      <c r="N686" s="5">
        <f>N685+Trades!U666</f>
        <v>0.86146740004688438</v>
      </c>
      <c r="O686" s="5">
        <f>O685+Trades!W666</f>
        <v>0.35852049581728274</v>
      </c>
    </row>
    <row r="687" spans="12:15" x14ac:dyDescent="0.3">
      <c r="L687" s="4">
        <f>Trades!P656</f>
        <v>0</v>
      </c>
      <c r="M687" s="5">
        <f>M686+Trades!T656</f>
        <v>1.3645891783725261</v>
      </c>
      <c r="N687" s="5">
        <f>N686+Trades!U656</f>
        <v>0.86146740004688438</v>
      </c>
      <c r="O687" s="5">
        <f>O686+Trades!W656</f>
        <v>0.35852049581728274</v>
      </c>
    </row>
    <row r="688" spans="12:15" x14ac:dyDescent="0.3">
      <c r="L688" s="4">
        <f>Trades!P689</f>
        <v>0</v>
      </c>
      <c r="M688" s="5">
        <f>M687+Trades!T689</f>
        <v>1.3645891783725261</v>
      </c>
      <c r="N688" s="5">
        <f>N687+Trades!U689</f>
        <v>0.86146740004688438</v>
      </c>
      <c r="O688" s="5">
        <f>O687+Trades!W689</f>
        <v>0.35852049581728274</v>
      </c>
    </row>
    <row r="689" spans="12:15" x14ac:dyDescent="0.3">
      <c r="L689" s="4">
        <f>Trades!P678</f>
        <v>0</v>
      </c>
      <c r="M689" s="5">
        <f>M688+Trades!T678</f>
        <v>1.3645891783725261</v>
      </c>
      <c r="N689" s="5">
        <f>N688+Trades!U678</f>
        <v>0.86146740004688438</v>
      </c>
      <c r="O689" s="5">
        <f>O688+Trades!W678</f>
        <v>0.35852049581728274</v>
      </c>
    </row>
    <row r="690" spans="12:15" x14ac:dyDescent="0.3">
      <c r="L690" s="4">
        <f>Trades!P698</f>
        <v>0</v>
      </c>
      <c r="M690" s="5">
        <f>M689+Trades!T698</f>
        <v>1.3645891783725261</v>
      </c>
      <c r="N690" s="5">
        <f>N689+Trades!U698</f>
        <v>0.86146740004688438</v>
      </c>
      <c r="O690" s="5">
        <f>O689+Trades!W698</f>
        <v>0.35852049581728274</v>
      </c>
    </row>
    <row r="691" spans="12:15" x14ac:dyDescent="0.3">
      <c r="L691" s="4">
        <f>Trades!P667</f>
        <v>0</v>
      </c>
      <c r="M691" s="5">
        <f>M690+Trades!T667</f>
        <v>1.3645891783725261</v>
      </c>
      <c r="N691" s="5">
        <f>N690+Trades!U667</f>
        <v>0.86146740004688438</v>
      </c>
      <c r="O691" s="5">
        <f>O690+Trades!W667</f>
        <v>0.35852049581728274</v>
      </c>
    </row>
    <row r="692" spans="12:15" x14ac:dyDescent="0.3">
      <c r="L692" s="4">
        <f>Trades!P690</f>
        <v>0</v>
      </c>
      <c r="M692" s="5">
        <f>M691+Trades!T690</f>
        <v>1.3645891783725261</v>
      </c>
      <c r="N692" s="5">
        <f>N691+Trades!U690</f>
        <v>0.86146740004688438</v>
      </c>
      <c r="O692" s="5">
        <f>O691+Trades!W690</f>
        <v>0.35852049581728274</v>
      </c>
    </row>
    <row r="693" spans="12:15" x14ac:dyDescent="0.3">
      <c r="L693" s="4">
        <f>Trades!P679</f>
        <v>0</v>
      </c>
      <c r="M693" s="5">
        <f>M692+Trades!T679</f>
        <v>1.3645891783725261</v>
      </c>
      <c r="N693" s="5">
        <f>N692+Trades!U679</f>
        <v>0.86146740004688438</v>
      </c>
      <c r="O693" s="5">
        <f>O692+Trades!W679</f>
        <v>0.35852049581728274</v>
      </c>
    </row>
    <row r="694" spans="12:15" x14ac:dyDescent="0.3">
      <c r="L694" s="4">
        <f>Trades!P657</f>
        <v>0</v>
      </c>
      <c r="M694" s="5">
        <f>M693+Trades!T657</f>
        <v>1.3645891783725261</v>
      </c>
      <c r="N694" s="5">
        <f>N693+Trades!U657</f>
        <v>0.86146740004688438</v>
      </c>
      <c r="O694" s="5">
        <f>O693+Trades!W657</f>
        <v>0.35852049581728274</v>
      </c>
    </row>
    <row r="695" spans="12:15" x14ac:dyDescent="0.3">
      <c r="L695" s="4">
        <f>Trades!P668</f>
        <v>0</v>
      </c>
      <c r="M695" s="5">
        <f>M694+Trades!T668</f>
        <v>1.3645891783725261</v>
      </c>
      <c r="N695" s="5">
        <f>N694+Trades!U668</f>
        <v>0.86146740004688438</v>
      </c>
      <c r="O695" s="5">
        <f>O694+Trades!W668</f>
        <v>0.35852049581728274</v>
      </c>
    </row>
    <row r="696" spans="12:15" x14ac:dyDescent="0.3">
      <c r="L696" s="4">
        <f>Trades!P680</f>
        <v>0</v>
      </c>
      <c r="M696" s="5">
        <f>M695+Trades!T680</f>
        <v>1.3645891783725261</v>
      </c>
      <c r="N696" s="5">
        <f>N695+Trades!U680</f>
        <v>0.86146740004688438</v>
      </c>
      <c r="O696" s="5">
        <f>O695+Trades!W680</f>
        <v>0.35852049581728274</v>
      </c>
    </row>
    <row r="697" spans="12:15" x14ac:dyDescent="0.3">
      <c r="L697" s="4">
        <f>Trades!P691</f>
        <v>0</v>
      </c>
      <c r="M697" s="5">
        <f>M696+Trades!T691</f>
        <v>1.3645891783725261</v>
      </c>
      <c r="N697" s="5">
        <f>N696+Trades!U691</f>
        <v>0.86146740004688438</v>
      </c>
      <c r="O697" s="5">
        <f>O696+Trades!W691</f>
        <v>0.35852049581728274</v>
      </c>
    </row>
    <row r="698" spans="12:15" x14ac:dyDescent="0.3">
      <c r="L698" s="4">
        <f>Trades!P699</f>
        <v>0</v>
      </c>
      <c r="M698" s="5">
        <f>M697+Trades!T699</f>
        <v>1.3645891783725261</v>
      </c>
      <c r="N698" s="5">
        <f>N697+Trades!U699</f>
        <v>0.86146740004688438</v>
      </c>
      <c r="O698" s="5">
        <f>O697+Trades!W699</f>
        <v>0.35852049581728274</v>
      </c>
    </row>
    <row r="699" spans="12:15" x14ac:dyDescent="0.3">
      <c r="L699" s="4">
        <f>Trades!P681</f>
        <v>0</v>
      </c>
      <c r="M699" s="5">
        <f>M698+Trades!T681</f>
        <v>1.3645891783725261</v>
      </c>
      <c r="N699" s="5">
        <f>N698+Trades!U681</f>
        <v>0.86146740004688438</v>
      </c>
      <c r="O699" s="5">
        <f>O698+Trades!W681</f>
        <v>0.35852049581728274</v>
      </c>
    </row>
    <row r="700" spans="12:15" x14ac:dyDescent="0.3">
      <c r="L700" s="4">
        <f>Trades!P700</f>
        <v>0</v>
      </c>
      <c r="M700" s="5">
        <f>M699+Trades!T700</f>
        <v>1.3645891783725261</v>
      </c>
      <c r="N700" s="5">
        <f>N699+Trades!U700</f>
        <v>0.86146740004688438</v>
      </c>
      <c r="O700" s="5">
        <f>O699+Trades!W700</f>
        <v>0.35852049581728274</v>
      </c>
    </row>
    <row r="701" spans="12:15" x14ac:dyDescent="0.3">
      <c r="L701" s="4">
        <f>Trades!P701</f>
        <v>0</v>
      </c>
      <c r="M701" s="5">
        <f>M700+Trades!T701</f>
        <v>1.3645891783725261</v>
      </c>
      <c r="N701" s="5">
        <f>N700+Trades!U701</f>
        <v>0.86146740004688438</v>
      </c>
      <c r="O701" s="5">
        <f>O700+Trades!W701</f>
        <v>0.35852049581728274</v>
      </c>
    </row>
    <row r="702" spans="12:15" x14ac:dyDescent="0.3">
      <c r="L702" s="4">
        <f>Trades!P714</f>
        <v>0</v>
      </c>
      <c r="M702" s="5">
        <f>M701+Trades!T714</f>
        <v>1.3645891783725261</v>
      </c>
      <c r="N702" s="5">
        <f>N701+Trades!U714</f>
        <v>0.86146740004688438</v>
      </c>
      <c r="O702" s="5">
        <f>O701+Trades!W714</f>
        <v>0.35852049581728274</v>
      </c>
    </row>
    <row r="703" spans="12:15" x14ac:dyDescent="0.3">
      <c r="L703" s="4">
        <f>Trades!P730</f>
        <v>0</v>
      </c>
      <c r="M703" s="5">
        <f>M702+Trades!T730</f>
        <v>1.3645891783725261</v>
      </c>
      <c r="N703" s="5">
        <f>N702+Trades!U730</f>
        <v>0.86146740004688438</v>
      </c>
      <c r="O703" s="5">
        <f>O702+Trades!W730</f>
        <v>0.35852049581728274</v>
      </c>
    </row>
    <row r="704" spans="12:15" x14ac:dyDescent="0.3">
      <c r="L704" s="4">
        <f>Trades!P741</f>
        <v>0</v>
      </c>
      <c r="M704" s="5">
        <f>M703+Trades!T741</f>
        <v>1.3645891783725261</v>
      </c>
      <c r="N704" s="5">
        <f>N703+Trades!U741</f>
        <v>0.86146740004688438</v>
      </c>
      <c r="O704" s="5">
        <f>O703+Trades!W741</f>
        <v>0.35852049581728274</v>
      </c>
    </row>
    <row r="705" spans="12:15" x14ac:dyDescent="0.3">
      <c r="L705" s="4">
        <f>Trades!P756</f>
        <v>0</v>
      </c>
      <c r="M705" s="5">
        <f>M704+Trades!T756</f>
        <v>1.3645891783725261</v>
      </c>
      <c r="N705" s="5">
        <f>N704+Trades!U756</f>
        <v>0.86146740004688438</v>
      </c>
      <c r="O705" s="5">
        <f>O704+Trades!W756</f>
        <v>0.35852049581728274</v>
      </c>
    </row>
    <row r="706" spans="12:15" x14ac:dyDescent="0.3">
      <c r="L706" s="4">
        <f>Trades!P766</f>
        <v>0</v>
      </c>
      <c r="M706" s="5">
        <f>M705+Trades!T766</f>
        <v>1.3645891783725261</v>
      </c>
      <c r="N706" s="5">
        <f>N705+Trades!U766</f>
        <v>0.86146740004688438</v>
      </c>
      <c r="O706" s="5">
        <f>O705+Trades!W766</f>
        <v>0.35852049581728274</v>
      </c>
    </row>
    <row r="707" spans="12:15" x14ac:dyDescent="0.3">
      <c r="L707" s="4">
        <f>Trades!P777</f>
        <v>0</v>
      </c>
      <c r="M707" s="5">
        <f>M706+Trades!T777</f>
        <v>1.3645891783725261</v>
      </c>
      <c r="N707" s="5">
        <f>N706+Trades!U777</f>
        <v>0.86146740004688438</v>
      </c>
      <c r="O707" s="5">
        <f>O706+Trades!W777</f>
        <v>0.35852049581728274</v>
      </c>
    </row>
    <row r="708" spans="12:15" x14ac:dyDescent="0.3">
      <c r="L708" s="4">
        <f>Trades!P778</f>
        <v>0</v>
      </c>
      <c r="M708" s="5">
        <f>M707+Trades!T778</f>
        <v>1.3645891783725261</v>
      </c>
      <c r="N708" s="5">
        <f>N707+Trades!U778</f>
        <v>0.86146740004688438</v>
      </c>
      <c r="O708" s="5">
        <f>O707+Trades!W778</f>
        <v>0.35852049581728274</v>
      </c>
    </row>
    <row r="709" spans="12:15" x14ac:dyDescent="0.3">
      <c r="L709" s="4">
        <f>Trades!P779</f>
        <v>0</v>
      </c>
      <c r="M709" s="5">
        <f>M708+Trades!T779</f>
        <v>1.3645891783725261</v>
      </c>
      <c r="N709" s="5">
        <f>N708+Trades!U779</f>
        <v>0.86146740004688438</v>
      </c>
      <c r="O709" s="5">
        <f>O708+Trades!W779</f>
        <v>0.35852049581728274</v>
      </c>
    </row>
    <row r="710" spans="12:15" x14ac:dyDescent="0.3">
      <c r="L710" s="4">
        <f>Trades!P702</f>
        <v>0</v>
      </c>
      <c r="M710" s="5">
        <f>M709+Trades!T702</f>
        <v>1.3645891783725261</v>
      </c>
      <c r="N710" s="5">
        <f>N709+Trades!U702</f>
        <v>0.86146740004688438</v>
      </c>
      <c r="O710" s="5">
        <f>O709+Trades!W702</f>
        <v>0.35852049581728274</v>
      </c>
    </row>
    <row r="711" spans="12:15" x14ac:dyDescent="0.3">
      <c r="L711" s="4">
        <f>Trades!P742</f>
        <v>0</v>
      </c>
      <c r="M711" s="5">
        <f>M710+Trades!T742</f>
        <v>1.3645891783725261</v>
      </c>
      <c r="N711" s="5">
        <f>N710+Trades!U742</f>
        <v>0.86146740004688438</v>
      </c>
      <c r="O711" s="5">
        <f>O710+Trades!W742</f>
        <v>0.35852049581728274</v>
      </c>
    </row>
    <row r="712" spans="12:15" x14ac:dyDescent="0.3">
      <c r="L712" s="4">
        <f>Trades!P703</f>
        <v>0</v>
      </c>
      <c r="M712" s="5">
        <f>M711+Trades!T703</f>
        <v>1.3645891783725261</v>
      </c>
      <c r="N712" s="5">
        <f>N711+Trades!U703</f>
        <v>0.86146740004688438</v>
      </c>
      <c r="O712" s="5">
        <f>O711+Trades!W703</f>
        <v>0.35852049581728274</v>
      </c>
    </row>
    <row r="713" spans="12:15" x14ac:dyDescent="0.3">
      <c r="L713" s="4">
        <f>Trades!P715</f>
        <v>0</v>
      </c>
      <c r="M713" s="5">
        <f>M712+Trades!T715</f>
        <v>1.3645891783725261</v>
      </c>
      <c r="N713" s="5">
        <f>N712+Trades!U715</f>
        <v>0.86146740004688438</v>
      </c>
      <c r="O713" s="5">
        <f>O712+Trades!W715</f>
        <v>0.35852049581728274</v>
      </c>
    </row>
    <row r="714" spans="12:15" x14ac:dyDescent="0.3">
      <c r="L714" s="4">
        <f>Trades!P731</f>
        <v>0</v>
      </c>
      <c r="M714" s="5">
        <f>M713+Trades!T731</f>
        <v>1.3645891783725261</v>
      </c>
      <c r="N714" s="5">
        <f>N713+Trades!U731</f>
        <v>0.86146740004688438</v>
      </c>
      <c r="O714" s="5">
        <f>O713+Trades!W731</f>
        <v>0.35852049581728274</v>
      </c>
    </row>
    <row r="715" spans="12:15" x14ac:dyDescent="0.3">
      <c r="L715" s="4">
        <f>Trades!P757</f>
        <v>0</v>
      </c>
      <c r="M715" s="5">
        <f>M714+Trades!T757</f>
        <v>1.3645891783725261</v>
      </c>
      <c r="N715" s="5">
        <f>N714+Trades!U757</f>
        <v>0.86146740004688438</v>
      </c>
      <c r="O715" s="5">
        <f>O714+Trades!W757</f>
        <v>0.35852049581728274</v>
      </c>
    </row>
    <row r="716" spans="12:15" x14ac:dyDescent="0.3">
      <c r="L716" s="4">
        <f>Trades!P780</f>
        <v>0</v>
      </c>
      <c r="M716" s="5">
        <f>M715+Trades!T780</f>
        <v>1.3645891783725261</v>
      </c>
      <c r="N716" s="5">
        <f>N715+Trades!U780</f>
        <v>0.86146740004688438</v>
      </c>
      <c r="O716" s="5">
        <f>O715+Trades!W780</f>
        <v>0.35852049581728274</v>
      </c>
    </row>
    <row r="717" spans="12:15" x14ac:dyDescent="0.3">
      <c r="L717" s="4">
        <f>Trades!P767</f>
        <v>0</v>
      </c>
      <c r="M717" s="5">
        <f>M716+Trades!T767</f>
        <v>1.3645891783725261</v>
      </c>
      <c r="N717" s="5">
        <f>N716+Trades!U767</f>
        <v>0.86146740004688438</v>
      </c>
      <c r="O717" s="5">
        <f>O716+Trades!W767</f>
        <v>0.35852049581728274</v>
      </c>
    </row>
    <row r="718" spans="12:15" x14ac:dyDescent="0.3">
      <c r="L718" s="4">
        <f>Trades!P732</f>
        <v>0</v>
      </c>
      <c r="M718" s="5">
        <f>M717+Trades!T732</f>
        <v>1.3645891783725261</v>
      </c>
      <c r="N718" s="5">
        <f>N717+Trades!U732</f>
        <v>0.86146740004688438</v>
      </c>
      <c r="O718" s="5">
        <f>O717+Trades!W732</f>
        <v>0.35852049581728274</v>
      </c>
    </row>
    <row r="719" spans="12:15" x14ac:dyDescent="0.3">
      <c r="L719" s="4">
        <f>Trades!P716</f>
        <v>0</v>
      </c>
      <c r="M719" s="5">
        <f>M718+Trades!T716</f>
        <v>1.3645891783725261</v>
      </c>
      <c r="N719" s="5">
        <f>N718+Trades!U716</f>
        <v>0.86146740004688438</v>
      </c>
      <c r="O719" s="5">
        <f>O718+Trades!W716</f>
        <v>0.35852049581728274</v>
      </c>
    </row>
    <row r="720" spans="12:15" x14ac:dyDescent="0.3">
      <c r="L720" s="4">
        <f>Trades!P704</f>
        <v>0</v>
      </c>
      <c r="M720" s="5">
        <f>M719+Trades!T704</f>
        <v>1.3645891783725261</v>
      </c>
      <c r="N720" s="5">
        <f>N719+Trades!U704</f>
        <v>0.86146740004688438</v>
      </c>
      <c r="O720" s="5">
        <f>O719+Trades!W704</f>
        <v>0.35852049581728274</v>
      </c>
    </row>
    <row r="721" spans="12:15" x14ac:dyDescent="0.3">
      <c r="L721" s="4">
        <f>Trades!P758</f>
        <v>0</v>
      </c>
      <c r="M721" s="5">
        <f>M720+Trades!T758</f>
        <v>1.3645891783725261</v>
      </c>
      <c r="N721" s="5">
        <f>N720+Trades!U758</f>
        <v>0.86146740004688438</v>
      </c>
      <c r="O721" s="5">
        <f>O720+Trades!W758</f>
        <v>0.35852049581728274</v>
      </c>
    </row>
    <row r="722" spans="12:15" x14ac:dyDescent="0.3">
      <c r="L722" s="4">
        <f>Trades!P781</f>
        <v>0</v>
      </c>
      <c r="M722" s="5">
        <f>M721+Trades!T781</f>
        <v>1.3645891783725261</v>
      </c>
      <c r="N722" s="5">
        <f>N721+Trades!U781</f>
        <v>0.86146740004688438</v>
      </c>
      <c r="O722" s="5">
        <f>O721+Trades!W781</f>
        <v>0.35852049581728274</v>
      </c>
    </row>
    <row r="723" spans="12:15" x14ac:dyDescent="0.3">
      <c r="L723" s="4">
        <f>Trades!P768</f>
        <v>0</v>
      </c>
      <c r="M723" s="5">
        <f>M722+Trades!T768</f>
        <v>1.3645891783725261</v>
      </c>
      <c r="N723" s="5">
        <f>N722+Trades!U768</f>
        <v>0.86146740004688438</v>
      </c>
      <c r="O723" s="5">
        <f>O722+Trades!W768</f>
        <v>0.35852049581728274</v>
      </c>
    </row>
    <row r="724" spans="12:15" x14ac:dyDescent="0.3">
      <c r="L724" s="4">
        <f>Trades!P733</f>
        <v>0</v>
      </c>
      <c r="M724" s="5">
        <f>M723+Trades!T733</f>
        <v>1.3645891783725261</v>
      </c>
      <c r="N724" s="5">
        <f>N723+Trades!U733</f>
        <v>0.86146740004688438</v>
      </c>
      <c r="O724" s="5">
        <f>O723+Trades!W733</f>
        <v>0.35852049581728274</v>
      </c>
    </row>
    <row r="725" spans="12:15" x14ac:dyDescent="0.3">
      <c r="L725" s="4">
        <f>Trades!P743</f>
        <v>0</v>
      </c>
      <c r="M725" s="5">
        <f>M724+Trades!T743</f>
        <v>1.3645891783725261</v>
      </c>
      <c r="N725" s="5">
        <f>N724+Trades!U743</f>
        <v>0.86146740004688438</v>
      </c>
      <c r="O725" s="5">
        <f>O724+Trades!W743</f>
        <v>0.35852049581728274</v>
      </c>
    </row>
    <row r="726" spans="12:15" x14ac:dyDescent="0.3">
      <c r="L726" s="4">
        <f>Trades!P717</f>
        <v>0</v>
      </c>
      <c r="M726" s="5">
        <f>M725+Trades!T717</f>
        <v>1.3645891783725261</v>
      </c>
      <c r="N726" s="5">
        <f>N725+Trades!U717</f>
        <v>0.86146740004688438</v>
      </c>
      <c r="O726" s="5">
        <f>O725+Trades!W717</f>
        <v>0.35852049581728274</v>
      </c>
    </row>
    <row r="727" spans="12:15" x14ac:dyDescent="0.3">
      <c r="L727" s="4">
        <f>Trades!P744</f>
        <v>0</v>
      </c>
      <c r="M727" s="5">
        <f>M726+Trades!T744</f>
        <v>1.3645891783725261</v>
      </c>
      <c r="N727" s="5">
        <f>N726+Trades!U744</f>
        <v>0.86146740004688438</v>
      </c>
      <c r="O727" s="5">
        <f>O726+Trades!W744</f>
        <v>0.35852049581728274</v>
      </c>
    </row>
    <row r="728" spans="12:15" x14ac:dyDescent="0.3">
      <c r="L728" s="4">
        <f>Trades!P718</f>
        <v>0</v>
      </c>
      <c r="M728" s="5">
        <f>M727+Trades!T718</f>
        <v>1.3645891783725261</v>
      </c>
      <c r="N728" s="5">
        <f>N727+Trades!U718</f>
        <v>0.86146740004688438</v>
      </c>
      <c r="O728" s="5">
        <f>O727+Trades!W718</f>
        <v>0.35852049581728274</v>
      </c>
    </row>
    <row r="729" spans="12:15" x14ac:dyDescent="0.3">
      <c r="L729" s="4">
        <f>Trades!P734</f>
        <v>0</v>
      </c>
      <c r="M729" s="5">
        <f>M728+Trades!T734</f>
        <v>1.3645891783725261</v>
      </c>
      <c r="N729" s="5">
        <f>N728+Trades!U734</f>
        <v>0.86146740004688438</v>
      </c>
      <c r="O729" s="5">
        <f>O728+Trades!W734</f>
        <v>0.35852049581728274</v>
      </c>
    </row>
    <row r="730" spans="12:15" x14ac:dyDescent="0.3">
      <c r="L730" s="4">
        <f>Trades!P745</f>
        <v>0</v>
      </c>
      <c r="M730" s="5">
        <f>M729+Trades!T745</f>
        <v>1.3645891783725261</v>
      </c>
      <c r="N730" s="5">
        <f>N729+Trades!U745</f>
        <v>0.86146740004688438</v>
      </c>
      <c r="O730" s="5">
        <f>O729+Trades!W745</f>
        <v>0.35852049581728274</v>
      </c>
    </row>
    <row r="731" spans="12:15" x14ac:dyDescent="0.3">
      <c r="L731" s="4">
        <f>Trades!P705</f>
        <v>0</v>
      </c>
      <c r="M731" s="5">
        <f>M730+Trades!T705</f>
        <v>1.3645891783725261</v>
      </c>
      <c r="N731" s="5">
        <f>N730+Trades!U705</f>
        <v>0.86146740004688438</v>
      </c>
      <c r="O731" s="5">
        <f>O730+Trades!W705</f>
        <v>0.35852049581728274</v>
      </c>
    </row>
    <row r="732" spans="12:15" x14ac:dyDescent="0.3">
      <c r="L732" s="4">
        <f>Trades!P769</f>
        <v>0</v>
      </c>
      <c r="M732" s="5">
        <f>M731+Trades!T769</f>
        <v>1.3645891783725261</v>
      </c>
      <c r="N732" s="5">
        <f>N731+Trades!U769</f>
        <v>0.86146740004688438</v>
      </c>
      <c r="O732" s="5">
        <f>O731+Trades!W769</f>
        <v>0.35852049581728274</v>
      </c>
    </row>
    <row r="733" spans="12:15" x14ac:dyDescent="0.3">
      <c r="L733" s="4">
        <f>Trades!P770</f>
        <v>0</v>
      </c>
      <c r="M733" s="5">
        <f>M732+Trades!T770</f>
        <v>1.3645891783725261</v>
      </c>
      <c r="N733" s="5">
        <f>N732+Trades!U770</f>
        <v>0.86146740004688438</v>
      </c>
      <c r="O733" s="5">
        <f>O732+Trades!W770</f>
        <v>0.35852049581728274</v>
      </c>
    </row>
    <row r="734" spans="12:15" x14ac:dyDescent="0.3">
      <c r="L734" s="4">
        <f>Trades!P759</f>
        <v>0</v>
      </c>
      <c r="M734" s="5">
        <f>M733+Trades!T759</f>
        <v>1.3645891783725261</v>
      </c>
      <c r="N734" s="5">
        <f>N733+Trades!U759</f>
        <v>0.86146740004688438</v>
      </c>
      <c r="O734" s="5">
        <f>O733+Trades!W759</f>
        <v>0.35852049581728274</v>
      </c>
    </row>
    <row r="735" spans="12:15" x14ac:dyDescent="0.3">
      <c r="L735" s="4">
        <f>Trades!P746</f>
        <v>0</v>
      </c>
      <c r="M735" s="5">
        <f>M734+Trades!T746</f>
        <v>1.3645891783725261</v>
      </c>
      <c r="N735" s="5">
        <f>N734+Trades!U746</f>
        <v>0.86146740004688438</v>
      </c>
      <c r="O735" s="5">
        <f>O734+Trades!W746</f>
        <v>0.35852049581728274</v>
      </c>
    </row>
    <row r="736" spans="12:15" x14ac:dyDescent="0.3">
      <c r="L736" s="4">
        <f>Trades!P782</f>
        <v>0</v>
      </c>
      <c r="M736" s="5">
        <f>M735+Trades!T782</f>
        <v>1.3645891783725261</v>
      </c>
      <c r="N736" s="5">
        <f>N735+Trades!U782</f>
        <v>0.86146740004688438</v>
      </c>
      <c r="O736" s="5">
        <f>O735+Trades!W782</f>
        <v>0.35852049581728274</v>
      </c>
    </row>
    <row r="737" spans="12:15" x14ac:dyDescent="0.3">
      <c r="L737" s="4">
        <f>Trades!P783</f>
        <v>0</v>
      </c>
      <c r="M737" s="5">
        <f>M736+Trades!T783</f>
        <v>1.3645891783725261</v>
      </c>
      <c r="N737" s="5">
        <f>N736+Trades!U783</f>
        <v>0.86146740004688438</v>
      </c>
      <c r="O737" s="5">
        <f>O736+Trades!W783</f>
        <v>0.35852049581728274</v>
      </c>
    </row>
    <row r="738" spans="12:15" x14ac:dyDescent="0.3">
      <c r="L738" s="4">
        <f>Trades!P719</f>
        <v>0</v>
      </c>
      <c r="M738" s="5">
        <f>M737+Trades!T719</f>
        <v>1.3645891783725261</v>
      </c>
      <c r="N738" s="5">
        <f>N737+Trades!U719</f>
        <v>0.86146740004688438</v>
      </c>
      <c r="O738" s="5">
        <f>O737+Trades!W719</f>
        <v>0.35852049581728274</v>
      </c>
    </row>
    <row r="739" spans="12:15" x14ac:dyDescent="0.3">
      <c r="L739" s="4">
        <f>Trades!P747</f>
        <v>0</v>
      </c>
      <c r="M739" s="5">
        <f>M738+Trades!T747</f>
        <v>1.3645891783725261</v>
      </c>
      <c r="N739" s="5">
        <f>N738+Trades!U747</f>
        <v>0.86146740004688438</v>
      </c>
      <c r="O739" s="5">
        <f>O738+Trades!W747</f>
        <v>0.35852049581728274</v>
      </c>
    </row>
    <row r="740" spans="12:15" x14ac:dyDescent="0.3">
      <c r="L740" s="4">
        <f>Trades!P735</f>
        <v>0</v>
      </c>
      <c r="M740" s="5">
        <f>M739+Trades!T735</f>
        <v>1.3645891783725261</v>
      </c>
      <c r="N740" s="5">
        <f>N739+Trades!U735</f>
        <v>0.86146740004688438</v>
      </c>
      <c r="O740" s="5">
        <f>O739+Trades!W735</f>
        <v>0.35852049581728274</v>
      </c>
    </row>
    <row r="741" spans="12:15" x14ac:dyDescent="0.3">
      <c r="L741" s="4">
        <f>Trades!P771</f>
        <v>0</v>
      </c>
      <c r="M741" s="5">
        <f>M740+Trades!T771</f>
        <v>1.3645891783725261</v>
      </c>
      <c r="N741" s="5">
        <f>N740+Trades!U771</f>
        <v>0.86146740004688438</v>
      </c>
      <c r="O741" s="5">
        <f>O740+Trades!W771</f>
        <v>0.35852049581728274</v>
      </c>
    </row>
    <row r="742" spans="12:15" x14ac:dyDescent="0.3">
      <c r="L742" s="4">
        <f>Trades!P720</f>
        <v>0</v>
      </c>
      <c r="M742" s="5">
        <f>M741+Trades!T720</f>
        <v>1.3645891783725261</v>
      </c>
      <c r="N742" s="5">
        <f>N741+Trades!U720</f>
        <v>0.86146740004688438</v>
      </c>
      <c r="O742" s="5">
        <f>O741+Trades!W720</f>
        <v>0.35852049581728274</v>
      </c>
    </row>
    <row r="743" spans="12:15" x14ac:dyDescent="0.3">
      <c r="L743" s="4">
        <f>Trades!P760</f>
        <v>0</v>
      </c>
      <c r="M743" s="5">
        <f>M742+Trades!T760</f>
        <v>1.3645891783725261</v>
      </c>
      <c r="N743" s="5">
        <f>N742+Trades!U760</f>
        <v>0.86146740004688438</v>
      </c>
      <c r="O743" s="5">
        <f>O742+Trades!W760</f>
        <v>0.35852049581728274</v>
      </c>
    </row>
    <row r="744" spans="12:15" x14ac:dyDescent="0.3">
      <c r="L744" s="4">
        <f>Trades!P784</f>
        <v>0</v>
      </c>
      <c r="M744" s="5">
        <f>M743+Trades!T784</f>
        <v>1.3645891783725261</v>
      </c>
      <c r="N744" s="5">
        <f>N743+Trades!U784</f>
        <v>0.86146740004688438</v>
      </c>
      <c r="O744" s="5">
        <f>O743+Trades!W784</f>
        <v>0.35852049581728274</v>
      </c>
    </row>
    <row r="745" spans="12:15" x14ac:dyDescent="0.3">
      <c r="L745" s="4">
        <f>Trades!P748</f>
        <v>0</v>
      </c>
      <c r="M745" s="5">
        <f>M744+Trades!T748</f>
        <v>1.3645891783725261</v>
      </c>
      <c r="N745" s="5">
        <f>N744+Trades!U748</f>
        <v>0.86146740004688438</v>
      </c>
      <c r="O745" s="5">
        <f>O744+Trades!W748</f>
        <v>0.35852049581728274</v>
      </c>
    </row>
    <row r="746" spans="12:15" x14ac:dyDescent="0.3">
      <c r="L746" s="4">
        <f>Trades!P785</f>
        <v>0</v>
      </c>
      <c r="M746" s="5">
        <f>M745+Trades!T785</f>
        <v>1.3645891783725261</v>
      </c>
      <c r="N746" s="5">
        <f>N745+Trades!U785</f>
        <v>0.86146740004688438</v>
      </c>
      <c r="O746" s="5">
        <f>O745+Trades!W785</f>
        <v>0.35852049581728274</v>
      </c>
    </row>
    <row r="747" spans="12:15" x14ac:dyDescent="0.3">
      <c r="L747" s="4">
        <f>Trades!P749</f>
        <v>0</v>
      </c>
      <c r="M747" s="5">
        <f>M746+Trades!T749</f>
        <v>1.3645891783725261</v>
      </c>
      <c r="N747" s="5">
        <f>N746+Trades!U749</f>
        <v>0.86146740004688438</v>
      </c>
      <c r="O747" s="5">
        <f>O746+Trades!W749</f>
        <v>0.35852049581728274</v>
      </c>
    </row>
    <row r="748" spans="12:15" x14ac:dyDescent="0.3">
      <c r="L748" s="4">
        <f>Trades!P750</f>
        <v>0</v>
      </c>
      <c r="M748" s="5">
        <f>M747+Trades!T750</f>
        <v>1.3645891783725261</v>
      </c>
      <c r="N748" s="5">
        <f>N747+Trades!U750</f>
        <v>0.86146740004688438</v>
      </c>
      <c r="O748" s="5">
        <f>O747+Trades!W750</f>
        <v>0.35852049581728274</v>
      </c>
    </row>
    <row r="749" spans="12:15" x14ac:dyDescent="0.3">
      <c r="L749" s="4">
        <f>Trades!P761</f>
        <v>0</v>
      </c>
      <c r="M749" s="5">
        <f>M748+Trades!T761</f>
        <v>1.3645891783725261</v>
      </c>
      <c r="N749" s="5">
        <f>N748+Trades!U761</f>
        <v>0.86146740004688438</v>
      </c>
      <c r="O749" s="5">
        <f>O748+Trades!W761</f>
        <v>0.35852049581728274</v>
      </c>
    </row>
    <row r="750" spans="12:15" x14ac:dyDescent="0.3">
      <c r="L750" s="4">
        <f>Trades!P751</f>
        <v>0</v>
      </c>
      <c r="M750" s="5">
        <f>M749+Trades!T751</f>
        <v>1.3645891783725261</v>
      </c>
      <c r="N750" s="5">
        <f>N749+Trades!U751</f>
        <v>0.86146740004688438</v>
      </c>
      <c r="O750" s="5">
        <f>O749+Trades!W751</f>
        <v>0.35852049581728274</v>
      </c>
    </row>
    <row r="751" spans="12:15" x14ac:dyDescent="0.3">
      <c r="L751" s="4">
        <f>Trades!P721</f>
        <v>0</v>
      </c>
      <c r="M751" s="5">
        <f>M750+Trades!T721</f>
        <v>1.3645891783725261</v>
      </c>
      <c r="N751" s="5">
        <f>N750+Trades!U721</f>
        <v>0.86146740004688438</v>
      </c>
      <c r="O751" s="5">
        <f>O750+Trades!W721</f>
        <v>0.35852049581728274</v>
      </c>
    </row>
    <row r="752" spans="12:15" x14ac:dyDescent="0.3">
      <c r="L752" s="4">
        <f>Trades!P786</f>
        <v>0</v>
      </c>
      <c r="M752" s="5">
        <f>M751+Trades!T786</f>
        <v>1.3645891783725261</v>
      </c>
      <c r="N752" s="5">
        <f>N751+Trades!U786</f>
        <v>0.86146740004688438</v>
      </c>
      <c r="O752" s="5">
        <f>O751+Trades!W786</f>
        <v>0.35852049581728274</v>
      </c>
    </row>
    <row r="753" spans="12:15" x14ac:dyDescent="0.3">
      <c r="L753" s="4">
        <f>Trades!P706</f>
        <v>0</v>
      </c>
      <c r="M753" s="5">
        <f>M752+Trades!T706</f>
        <v>1.3645891783725261</v>
      </c>
      <c r="N753" s="5">
        <f>N752+Trades!U706</f>
        <v>0.86146740004688438</v>
      </c>
      <c r="O753" s="5">
        <f>O752+Trades!W706</f>
        <v>0.35852049581728274</v>
      </c>
    </row>
    <row r="754" spans="12:15" x14ac:dyDescent="0.3">
      <c r="L754" s="4">
        <f>Trades!P772</f>
        <v>0</v>
      </c>
      <c r="M754" s="5">
        <f>M753+Trades!T772</f>
        <v>1.3645891783725261</v>
      </c>
      <c r="N754" s="5">
        <f>N753+Trades!U772</f>
        <v>0.86146740004688438</v>
      </c>
      <c r="O754" s="5">
        <f>O753+Trades!W772</f>
        <v>0.35852049581728274</v>
      </c>
    </row>
    <row r="755" spans="12:15" x14ac:dyDescent="0.3">
      <c r="L755" s="4">
        <f>Trades!P722</f>
        <v>0</v>
      </c>
      <c r="M755" s="5">
        <f>M754+Trades!T722</f>
        <v>1.3645891783725261</v>
      </c>
      <c r="N755" s="5">
        <f>N754+Trades!U722</f>
        <v>0.86146740004688438</v>
      </c>
      <c r="O755" s="5">
        <f>O754+Trades!W722</f>
        <v>0.35852049581728274</v>
      </c>
    </row>
    <row r="756" spans="12:15" x14ac:dyDescent="0.3">
      <c r="L756" s="4">
        <f>Trades!P773</f>
        <v>0</v>
      </c>
      <c r="M756" s="5">
        <f>M755+Trades!T773</f>
        <v>1.3645891783725261</v>
      </c>
      <c r="N756" s="5">
        <f>N755+Trades!U773</f>
        <v>0.86146740004688438</v>
      </c>
      <c r="O756" s="5">
        <f>O755+Trades!W773</f>
        <v>0.35852049581728274</v>
      </c>
    </row>
    <row r="757" spans="12:15" x14ac:dyDescent="0.3">
      <c r="L757" s="4">
        <f>Trades!P707</f>
        <v>0</v>
      </c>
      <c r="M757" s="5">
        <f>M756+Trades!T707</f>
        <v>1.3645891783725261</v>
      </c>
      <c r="N757" s="5">
        <f>N756+Trades!U707</f>
        <v>0.86146740004688438</v>
      </c>
      <c r="O757" s="5">
        <f>O756+Trades!W707</f>
        <v>0.35852049581728274</v>
      </c>
    </row>
    <row r="758" spans="12:15" x14ac:dyDescent="0.3">
      <c r="L758" s="4">
        <f>Trades!P752</f>
        <v>0</v>
      </c>
      <c r="M758" s="5">
        <f>M757+Trades!T752</f>
        <v>1.3645891783725261</v>
      </c>
      <c r="N758" s="5">
        <f>N757+Trades!U752</f>
        <v>0.86146740004688438</v>
      </c>
      <c r="O758" s="5">
        <f>O757+Trades!W752</f>
        <v>0.35852049581728274</v>
      </c>
    </row>
    <row r="759" spans="12:15" x14ac:dyDescent="0.3">
      <c r="L759" s="4">
        <f>Trades!P787</f>
        <v>0</v>
      </c>
      <c r="M759" s="5">
        <f>M758+Trades!T787</f>
        <v>1.3645891783725261</v>
      </c>
      <c r="N759" s="5">
        <f>N758+Trades!U787</f>
        <v>0.86146740004688438</v>
      </c>
      <c r="O759" s="5">
        <f>O758+Trades!W787</f>
        <v>0.35852049581728274</v>
      </c>
    </row>
    <row r="760" spans="12:15" x14ac:dyDescent="0.3">
      <c r="L760" s="4">
        <f>Trades!P708</f>
        <v>0</v>
      </c>
      <c r="M760" s="5">
        <f>M759+Trades!T708</f>
        <v>1.3645891783725261</v>
      </c>
      <c r="N760" s="5">
        <f>N759+Trades!U708</f>
        <v>0.86146740004688438</v>
      </c>
      <c r="O760" s="5">
        <f>O759+Trades!W708</f>
        <v>0.35852049581728274</v>
      </c>
    </row>
    <row r="761" spans="12:15" x14ac:dyDescent="0.3">
      <c r="L761" s="4">
        <f>Trades!P723</f>
        <v>0</v>
      </c>
      <c r="M761" s="5">
        <f>M760+Trades!T723</f>
        <v>1.3645891783725261</v>
      </c>
      <c r="N761" s="5">
        <f>N760+Trades!U723</f>
        <v>0.86146740004688438</v>
      </c>
      <c r="O761" s="5">
        <f>O760+Trades!W723</f>
        <v>0.35852049581728274</v>
      </c>
    </row>
    <row r="762" spans="12:15" x14ac:dyDescent="0.3">
      <c r="L762" s="4">
        <f>Trades!P788</f>
        <v>0</v>
      </c>
      <c r="M762" s="5">
        <f>M761+Trades!T788</f>
        <v>1.3645891783725261</v>
      </c>
      <c r="N762" s="5">
        <f>N761+Trades!U788</f>
        <v>0.86146740004688438</v>
      </c>
      <c r="O762" s="5">
        <f>O761+Trades!W788</f>
        <v>0.35852049581728274</v>
      </c>
    </row>
    <row r="763" spans="12:15" x14ac:dyDescent="0.3">
      <c r="L763" s="4">
        <f>Trades!P736</f>
        <v>0</v>
      </c>
      <c r="M763" s="5">
        <f>M762+Trades!T736</f>
        <v>1.3645891783725261</v>
      </c>
      <c r="N763" s="5">
        <f>N762+Trades!U736</f>
        <v>0.86146740004688438</v>
      </c>
      <c r="O763" s="5">
        <f>O762+Trades!W736</f>
        <v>0.35852049581728274</v>
      </c>
    </row>
    <row r="764" spans="12:15" x14ac:dyDescent="0.3">
      <c r="L764" s="4">
        <f>Trades!P724</f>
        <v>0</v>
      </c>
      <c r="M764" s="5">
        <f>M763+Trades!T724</f>
        <v>1.3645891783725261</v>
      </c>
      <c r="N764" s="5">
        <f>N763+Trades!U724</f>
        <v>0.86146740004688438</v>
      </c>
      <c r="O764" s="5">
        <f>O763+Trades!W724</f>
        <v>0.35852049581728274</v>
      </c>
    </row>
    <row r="765" spans="12:15" x14ac:dyDescent="0.3">
      <c r="L765" s="4">
        <f>Trades!P789</f>
        <v>0</v>
      </c>
      <c r="M765" s="5">
        <f>M764+Trades!T789</f>
        <v>1.3645891783725261</v>
      </c>
      <c r="N765" s="5">
        <f>N764+Trades!U789</f>
        <v>0.86146740004688438</v>
      </c>
      <c r="O765" s="5">
        <f>O764+Trades!W789</f>
        <v>0.35852049581728274</v>
      </c>
    </row>
    <row r="766" spans="12:15" x14ac:dyDescent="0.3">
      <c r="L766" s="4">
        <f>Trades!P762</f>
        <v>0</v>
      </c>
      <c r="M766" s="5">
        <f>M765+Trades!T762</f>
        <v>1.3645891783725261</v>
      </c>
      <c r="N766" s="5">
        <f>N765+Trades!U762</f>
        <v>0.86146740004688438</v>
      </c>
      <c r="O766" s="5">
        <f>O765+Trades!W762</f>
        <v>0.35852049581728274</v>
      </c>
    </row>
    <row r="767" spans="12:15" x14ac:dyDescent="0.3">
      <c r="L767" s="4">
        <f>Trades!P737</f>
        <v>0</v>
      </c>
      <c r="M767" s="5">
        <f>M766+Trades!T737</f>
        <v>1.3645891783725261</v>
      </c>
      <c r="N767" s="5">
        <f>N766+Trades!U737</f>
        <v>0.86146740004688438</v>
      </c>
      <c r="O767" s="5">
        <f>O766+Trades!W737</f>
        <v>0.35852049581728274</v>
      </c>
    </row>
    <row r="768" spans="12:15" x14ac:dyDescent="0.3">
      <c r="L768" s="4">
        <f>Trades!P763</f>
        <v>0</v>
      </c>
      <c r="M768" s="5">
        <f>M767+Trades!T763</f>
        <v>1.3645891783725261</v>
      </c>
      <c r="N768" s="5">
        <f>N767+Trades!U763</f>
        <v>0.86146740004688438</v>
      </c>
      <c r="O768" s="5">
        <f>O767+Trades!W763</f>
        <v>0.35852049581728274</v>
      </c>
    </row>
    <row r="769" spans="12:15" x14ac:dyDescent="0.3">
      <c r="L769" s="4">
        <f>Trades!P709</f>
        <v>0</v>
      </c>
      <c r="M769" s="5">
        <f>M768+Trades!T709</f>
        <v>1.3645891783725261</v>
      </c>
      <c r="N769" s="5">
        <f>N768+Trades!U709</f>
        <v>0.86146740004688438</v>
      </c>
      <c r="O769" s="5">
        <f>O768+Trades!W709</f>
        <v>0.35852049581728274</v>
      </c>
    </row>
    <row r="770" spans="12:15" x14ac:dyDescent="0.3">
      <c r="L770" s="4">
        <f>Trades!P790</f>
        <v>0</v>
      </c>
      <c r="M770" s="5">
        <f>M769+Trades!T790</f>
        <v>1.3645891783725261</v>
      </c>
      <c r="N770" s="5">
        <f>N769+Trades!U790</f>
        <v>0.86146740004688438</v>
      </c>
      <c r="O770" s="5">
        <f>O769+Trades!W790</f>
        <v>0.35852049581728274</v>
      </c>
    </row>
    <row r="771" spans="12:15" x14ac:dyDescent="0.3">
      <c r="L771" s="4">
        <f>Trades!P725</f>
        <v>0</v>
      </c>
      <c r="M771" s="5">
        <f>M770+Trades!T725</f>
        <v>1.3645891783725261</v>
      </c>
      <c r="N771" s="5">
        <f>N770+Trades!U725</f>
        <v>0.86146740004688438</v>
      </c>
      <c r="O771" s="5">
        <f>O770+Trades!W725</f>
        <v>0.35852049581728274</v>
      </c>
    </row>
    <row r="772" spans="12:15" x14ac:dyDescent="0.3">
      <c r="L772" s="4">
        <f>Trades!P764</f>
        <v>0</v>
      </c>
      <c r="M772" s="5">
        <f>M771+Trades!T764</f>
        <v>1.3645891783725261</v>
      </c>
      <c r="N772" s="5">
        <f>N771+Trades!U764</f>
        <v>0.86146740004688438</v>
      </c>
      <c r="O772" s="5">
        <f>O771+Trades!W764</f>
        <v>0.35852049581728274</v>
      </c>
    </row>
    <row r="773" spans="12:15" x14ac:dyDescent="0.3">
      <c r="L773" s="4">
        <f>Trades!P738</f>
        <v>0</v>
      </c>
      <c r="M773" s="5">
        <f>M772+Trades!T738</f>
        <v>1.3645891783725261</v>
      </c>
      <c r="N773" s="5">
        <f>N772+Trades!U738</f>
        <v>0.86146740004688438</v>
      </c>
      <c r="O773" s="5">
        <f>O772+Trades!W738</f>
        <v>0.35852049581728274</v>
      </c>
    </row>
    <row r="774" spans="12:15" x14ac:dyDescent="0.3">
      <c r="L774" s="4">
        <f>Trades!P753</f>
        <v>0</v>
      </c>
      <c r="M774" s="5">
        <f>M773+Trades!T753</f>
        <v>1.3645891783725261</v>
      </c>
      <c r="N774" s="5">
        <f>N773+Trades!U753</f>
        <v>0.86146740004688438</v>
      </c>
      <c r="O774" s="5">
        <f>O773+Trades!W753</f>
        <v>0.35852049581728274</v>
      </c>
    </row>
    <row r="775" spans="12:15" x14ac:dyDescent="0.3">
      <c r="L775" s="4">
        <f>Trades!P710</f>
        <v>0</v>
      </c>
      <c r="M775" s="5">
        <f>M774+Trades!T710</f>
        <v>1.3645891783725261</v>
      </c>
      <c r="N775" s="5">
        <f>N774+Trades!U710</f>
        <v>0.86146740004688438</v>
      </c>
      <c r="O775" s="5">
        <f>O774+Trades!W710</f>
        <v>0.35852049581728274</v>
      </c>
    </row>
    <row r="776" spans="12:15" x14ac:dyDescent="0.3">
      <c r="L776" s="4">
        <f>Trades!P726</f>
        <v>0</v>
      </c>
      <c r="M776" s="5">
        <f>M775+Trades!T726</f>
        <v>1.3645891783725261</v>
      </c>
      <c r="N776" s="5">
        <f>N775+Trades!U726</f>
        <v>0.86146740004688438</v>
      </c>
      <c r="O776" s="5">
        <f>O775+Trades!W726</f>
        <v>0.35852049581728274</v>
      </c>
    </row>
    <row r="777" spans="12:15" x14ac:dyDescent="0.3">
      <c r="L777" s="4">
        <f>Trades!P711</f>
        <v>0</v>
      </c>
      <c r="M777" s="5">
        <f>M776+Trades!T711</f>
        <v>1.3645891783725261</v>
      </c>
      <c r="N777" s="5">
        <f>N776+Trades!U711</f>
        <v>0.86146740004688438</v>
      </c>
      <c r="O777" s="5">
        <f>O776+Trades!W711</f>
        <v>0.35852049581728274</v>
      </c>
    </row>
    <row r="778" spans="12:15" x14ac:dyDescent="0.3">
      <c r="L778" s="4">
        <f>Trades!P774</f>
        <v>0</v>
      </c>
      <c r="M778" s="5">
        <f>M777+Trades!T774</f>
        <v>1.3645891783725261</v>
      </c>
      <c r="N778" s="5">
        <f>N777+Trades!U774</f>
        <v>0.86146740004688438</v>
      </c>
      <c r="O778" s="5">
        <f>O777+Trades!W774</f>
        <v>0.35852049581728274</v>
      </c>
    </row>
    <row r="779" spans="12:15" x14ac:dyDescent="0.3">
      <c r="L779" s="4">
        <f>Trades!P791</f>
        <v>0</v>
      </c>
      <c r="M779" s="5">
        <f>M778+Trades!T791</f>
        <v>1.3645891783725261</v>
      </c>
      <c r="N779" s="5">
        <f>N778+Trades!U791</f>
        <v>0.86146740004688438</v>
      </c>
      <c r="O779" s="5">
        <f>O778+Trades!W791</f>
        <v>0.35852049581728274</v>
      </c>
    </row>
    <row r="780" spans="12:15" x14ac:dyDescent="0.3">
      <c r="L780" s="4">
        <f>Trades!P739</f>
        <v>0</v>
      </c>
      <c r="M780" s="5">
        <f>M779+Trades!T739</f>
        <v>1.3645891783725261</v>
      </c>
      <c r="N780" s="5">
        <f>N779+Trades!U739</f>
        <v>0.86146740004688438</v>
      </c>
      <c r="O780" s="5">
        <f>O779+Trades!W739</f>
        <v>0.35852049581728274</v>
      </c>
    </row>
    <row r="781" spans="12:15" x14ac:dyDescent="0.3">
      <c r="L781" s="4">
        <f>Trades!P792</f>
        <v>0</v>
      </c>
      <c r="M781" s="5">
        <f>M780+Trades!T792</f>
        <v>1.3645891783725261</v>
      </c>
      <c r="N781" s="5">
        <f>N780+Trades!U792</f>
        <v>0.86146740004688438</v>
      </c>
      <c r="O781" s="5">
        <f>O780+Trades!W792</f>
        <v>0.35852049581728274</v>
      </c>
    </row>
    <row r="782" spans="12:15" x14ac:dyDescent="0.3">
      <c r="L782" s="4">
        <f>Trades!P727</f>
        <v>0</v>
      </c>
      <c r="M782" s="5">
        <f>M781+Trades!T727</f>
        <v>1.3645891783725261</v>
      </c>
      <c r="N782" s="5">
        <f>N781+Trades!U727</f>
        <v>0.86146740004688438</v>
      </c>
      <c r="O782" s="5">
        <f>O781+Trades!W727</f>
        <v>0.35852049581728274</v>
      </c>
    </row>
    <row r="783" spans="12:15" x14ac:dyDescent="0.3">
      <c r="L783" s="4">
        <f>Trades!P754</f>
        <v>0</v>
      </c>
      <c r="M783" s="5">
        <f>M782+Trades!T754</f>
        <v>1.3645891783725261</v>
      </c>
      <c r="N783" s="5">
        <f>N782+Trades!U754</f>
        <v>0.86146740004688438</v>
      </c>
      <c r="O783" s="5">
        <f>O782+Trades!W754</f>
        <v>0.35852049581728274</v>
      </c>
    </row>
    <row r="784" spans="12:15" x14ac:dyDescent="0.3">
      <c r="L784" s="4">
        <f>Trades!P712</f>
        <v>0</v>
      </c>
      <c r="M784" s="5">
        <f>M783+Trades!T712</f>
        <v>1.3645891783725261</v>
      </c>
      <c r="N784" s="5">
        <f>N783+Trades!U712</f>
        <v>0.86146740004688438</v>
      </c>
      <c r="O784" s="5">
        <f>O783+Trades!W712</f>
        <v>0.35852049581728274</v>
      </c>
    </row>
    <row r="785" spans="12:15" x14ac:dyDescent="0.3">
      <c r="L785" s="4">
        <f>Trades!P775</f>
        <v>0</v>
      </c>
      <c r="M785" s="5">
        <f>M784+Trades!T775</f>
        <v>1.3645891783725261</v>
      </c>
      <c r="N785" s="5">
        <f>N784+Trades!U775</f>
        <v>0.86146740004688438</v>
      </c>
      <c r="O785" s="5">
        <f>O784+Trades!W775</f>
        <v>0.35852049581728274</v>
      </c>
    </row>
    <row r="786" spans="12:15" x14ac:dyDescent="0.3">
      <c r="L786" s="4">
        <f>Trades!P728</f>
        <v>0</v>
      </c>
      <c r="M786" s="5">
        <f>M785+Trades!T728</f>
        <v>1.3645891783725261</v>
      </c>
      <c r="N786" s="5">
        <f>N785+Trades!U728</f>
        <v>0.86146740004688438</v>
      </c>
      <c r="O786" s="5">
        <f>O785+Trades!W728</f>
        <v>0.35852049581728274</v>
      </c>
    </row>
    <row r="787" spans="12:15" x14ac:dyDescent="0.3">
      <c r="L787" s="4">
        <f>Trades!P776</f>
        <v>0</v>
      </c>
      <c r="M787" s="5">
        <f>M786+Trades!T776</f>
        <v>1.3645891783725261</v>
      </c>
      <c r="N787" s="5">
        <f>N786+Trades!U776</f>
        <v>0.86146740004688438</v>
      </c>
      <c r="O787" s="5">
        <f>O786+Trades!W776</f>
        <v>0.35852049581728274</v>
      </c>
    </row>
    <row r="788" spans="12:15" x14ac:dyDescent="0.3">
      <c r="L788" s="4">
        <f>Trades!P793</f>
        <v>0</v>
      </c>
      <c r="M788" s="5">
        <f>M787+Trades!T793</f>
        <v>1.3645891783725261</v>
      </c>
      <c r="N788" s="5">
        <f>N787+Trades!U793</f>
        <v>0.86146740004688438</v>
      </c>
      <c r="O788" s="5">
        <f>O787+Trades!W793</f>
        <v>0.35852049581728274</v>
      </c>
    </row>
    <row r="789" spans="12:15" x14ac:dyDescent="0.3">
      <c r="L789" s="4">
        <f>Trades!P755</f>
        <v>0</v>
      </c>
      <c r="M789" s="5">
        <f>M788+Trades!T755</f>
        <v>1.3645891783725261</v>
      </c>
      <c r="N789" s="5">
        <f>N788+Trades!U755</f>
        <v>0.86146740004688438</v>
      </c>
      <c r="O789" s="5">
        <f>O788+Trades!W755</f>
        <v>0.35852049581728274</v>
      </c>
    </row>
    <row r="790" spans="12:15" x14ac:dyDescent="0.3">
      <c r="L790" s="4">
        <f>Trades!P729</f>
        <v>0</v>
      </c>
      <c r="M790" s="5">
        <f>M789+Trades!T729</f>
        <v>1.3645891783725261</v>
      </c>
      <c r="N790" s="5">
        <f>N789+Trades!U729</f>
        <v>0.86146740004688438</v>
      </c>
      <c r="O790" s="5">
        <f>O789+Trades!W729</f>
        <v>0.35852049581728274</v>
      </c>
    </row>
    <row r="791" spans="12:15" x14ac:dyDescent="0.3">
      <c r="L791" s="4">
        <f>Trades!P765</f>
        <v>0</v>
      </c>
      <c r="M791" s="5">
        <f>M790+Trades!T765</f>
        <v>1.3645891783725261</v>
      </c>
      <c r="N791" s="5">
        <f>N790+Trades!U765</f>
        <v>0.86146740004688438</v>
      </c>
      <c r="O791" s="5">
        <f>O790+Trades!W765</f>
        <v>0.35852049581728274</v>
      </c>
    </row>
    <row r="792" spans="12:15" x14ac:dyDescent="0.3">
      <c r="L792" s="4">
        <f>Trades!P713</f>
        <v>0</v>
      </c>
      <c r="M792" s="5">
        <f>M791+Trades!T713</f>
        <v>1.3645891783725261</v>
      </c>
      <c r="N792" s="5">
        <f>N791+Trades!U713</f>
        <v>0.86146740004688438</v>
      </c>
      <c r="O792" s="5">
        <f>O791+Trades!W713</f>
        <v>0.35852049581728274</v>
      </c>
    </row>
    <row r="793" spans="12:15" x14ac:dyDescent="0.3">
      <c r="L793" s="4">
        <f>Trades!P740</f>
        <v>0</v>
      </c>
      <c r="M793" s="5">
        <f>M792+Trades!T740</f>
        <v>1.3645891783725261</v>
      </c>
      <c r="N793" s="5">
        <f>N792+Trades!U740</f>
        <v>0.86146740004688438</v>
      </c>
      <c r="O793" s="5">
        <f>O792+Trades!W740</f>
        <v>0.35852049581728274</v>
      </c>
    </row>
    <row r="794" spans="12:15" x14ac:dyDescent="0.3">
      <c r="L794" s="4">
        <f>Trades!P794</f>
        <v>0</v>
      </c>
      <c r="M794" s="5">
        <f>M793+Trades!T794</f>
        <v>1.3645891783725261</v>
      </c>
      <c r="N794" s="5">
        <f>N793+Trades!U794</f>
        <v>0.86146740004688438</v>
      </c>
      <c r="O794" s="5">
        <f>O793+Trades!W794</f>
        <v>0.35852049581728274</v>
      </c>
    </row>
    <row r="795" spans="12:15" x14ac:dyDescent="0.3">
      <c r="L795" s="4">
        <f>Trades!P805</f>
        <v>0</v>
      </c>
      <c r="M795" s="5">
        <f>M794+Trades!T805</f>
        <v>1.3645891783725261</v>
      </c>
      <c r="N795" s="5">
        <f>N794+Trades!U805</f>
        <v>0.86146740004688438</v>
      </c>
      <c r="O795" s="5">
        <f>O794+Trades!W805</f>
        <v>0.35852049581728274</v>
      </c>
    </row>
    <row r="796" spans="12:15" x14ac:dyDescent="0.3">
      <c r="L796" s="4">
        <f>Trades!P815</f>
        <v>0</v>
      </c>
      <c r="M796" s="5">
        <f>M795+Trades!T815</f>
        <v>1.3645891783725261</v>
      </c>
      <c r="N796" s="5">
        <f>N795+Trades!U815</f>
        <v>0.86146740004688438</v>
      </c>
      <c r="O796" s="5">
        <f>O795+Trades!W815</f>
        <v>0.35852049581728274</v>
      </c>
    </row>
    <row r="797" spans="12:15" x14ac:dyDescent="0.3">
      <c r="L797" s="4">
        <f>Trades!P827</f>
        <v>0</v>
      </c>
      <c r="M797" s="5">
        <f>M796+Trades!T827</f>
        <v>1.3645891783725261</v>
      </c>
      <c r="N797" s="5">
        <f>N796+Trades!U827</f>
        <v>0.86146740004688438</v>
      </c>
      <c r="O797" s="5">
        <f>O796+Trades!W827</f>
        <v>0.35852049581728274</v>
      </c>
    </row>
    <row r="798" spans="12:15" x14ac:dyDescent="0.3">
      <c r="L798" s="4">
        <f>Trades!P838</f>
        <v>0</v>
      </c>
      <c r="M798" s="5">
        <f>M797+Trades!T838</f>
        <v>1.3645891783725261</v>
      </c>
      <c r="N798" s="5">
        <f>N797+Trades!U838</f>
        <v>0.86146740004688438</v>
      </c>
      <c r="O798" s="5">
        <f>O797+Trades!W838</f>
        <v>0.35852049581728274</v>
      </c>
    </row>
    <row r="799" spans="12:15" x14ac:dyDescent="0.3">
      <c r="L799" s="4">
        <f>Trades!P851</f>
        <v>0</v>
      </c>
      <c r="M799" s="5">
        <f>M798+Trades!T851</f>
        <v>1.3645891783725261</v>
      </c>
      <c r="N799" s="5">
        <f>N798+Trades!U851</f>
        <v>0.86146740004688438</v>
      </c>
      <c r="O799" s="5">
        <f>O798+Trades!W851</f>
        <v>0.35852049581728274</v>
      </c>
    </row>
    <row r="800" spans="12:15" x14ac:dyDescent="0.3">
      <c r="L800" s="4">
        <f>Trades!P795</f>
        <v>0</v>
      </c>
      <c r="M800" s="5">
        <f>M799+Trades!T795</f>
        <v>1.3645891783725261</v>
      </c>
      <c r="N800" s="5">
        <f>N799+Trades!U795</f>
        <v>0.86146740004688438</v>
      </c>
      <c r="O800" s="5">
        <f>O799+Trades!W795</f>
        <v>0.35852049581728274</v>
      </c>
    </row>
    <row r="801" spans="12:15" x14ac:dyDescent="0.3">
      <c r="L801" s="4">
        <f>Trades!P796</f>
        <v>0</v>
      </c>
      <c r="M801" s="5">
        <f>M800+Trades!T796</f>
        <v>1.3645891783725261</v>
      </c>
      <c r="N801" s="5">
        <f>N800+Trades!U796</f>
        <v>0.86146740004688438</v>
      </c>
      <c r="O801" s="5">
        <f>O800+Trades!W796</f>
        <v>0.35852049581728274</v>
      </c>
    </row>
    <row r="802" spans="12:15" x14ac:dyDescent="0.3">
      <c r="L802" s="4">
        <f>Trades!P806</f>
        <v>0</v>
      </c>
      <c r="M802" s="5">
        <f>M801+Trades!T806</f>
        <v>1.3645891783725261</v>
      </c>
      <c r="N802" s="5">
        <f>N801+Trades!U806</f>
        <v>0.86146740004688438</v>
      </c>
      <c r="O802" s="5">
        <f>O801+Trades!W806</f>
        <v>0.35852049581728274</v>
      </c>
    </row>
    <row r="803" spans="12:15" x14ac:dyDescent="0.3">
      <c r="L803" s="4">
        <f>Trades!P839</f>
        <v>0</v>
      </c>
      <c r="M803" s="5">
        <f>M802+Trades!T839</f>
        <v>1.3645891783725261</v>
      </c>
      <c r="N803" s="5">
        <f>N802+Trades!U839</f>
        <v>0.86146740004688438</v>
      </c>
      <c r="O803" s="5">
        <f>O802+Trades!W839</f>
        <v>0.35852049581728274</v>
      </c>
    </row>
    <row r="804" spans="12:15" x14ac:dyDescent="0.3">
      <c r="L804" s="4">
        <f>Trades!P816</f>
        <v>0</v>
      </c>
      <c r="M804" s="5">
        <f>M803+Trades!T816</f>
        <v>1.3645891783725261</v>
      </c>
      <c r="N804" s="5">
        <f>N803+Trades!U816</f>
        <v>0.86146740004688438</v>
      </c>
      <c r="O804" s="5">
        <f>O803+Trades!W816</f>
        <v>0.35852049581728274</v>
      </c>
    </row>
    <row r="805" spans="12:15" x14ac:dyDescent="0.3">
      <c r="L805" s="4">
        <f>Trades!P852</f>
        <v>0</v>
      </c>
      <c r="M805" s="5">
        <f>M804+Trades!T852</f>
        <v>1.3645891783725261</v>
      </c>
      <c r="N805" s="5">
        <f>N804+Trades!U852</f>
        <v>0.86146740004688438</v>
      </c>
      <c r="O805" s="5">
        <f>O804+Trades!W852</f>
        <v>0.35852049581728274</v>
      </c>
    </row>
    <row r="806" spans="12:15" x14ac:dyDescent="0.3">
      <c r="L806" s="4">
        <f>Trades!P797</f>
        <v>0</v>
      </c>
      <c r="M806" s="5">
        <f>M805+Trades!T797</f>
        <v>1.3645891783725261</v>
      </c>
      <c r="N806" s="5">
        <f>N805+Trades!U797</f>
        <v>0.86146740004688438</v>
      </c>
      <c r="O806" s="5">
        <f>O805+Trades!W797</f>
        <v>0.35852049581728274</v>
      </c>
    </row>
    <row r="807" spans="12:15" x14ac:dyDescent="0.3">
      <c r="L807" s="4">
        <f>Trades!P828</f>
        <v>0</v>
      </c>
      <c r="M807" s="5">
        <f>M806+Trades!T828</f>
        <v>1.3645891783725261</v>
      </c>
      <c r="N807" s="5">
        <f>N806+Trades!U828</f>
        <v>0.86146740004688438</v>
      </c>
      <c r="O807" s="5">
        <f>O806+Trades!W828</f>
        <v>0.35852049581728274</v>
      </c>
    </row>
    <row r="808" spans="12:15" x14ac:dyDescent="0.3">
      <c r="L808" s="4">
        <f>Trades!P817</f>
        <v>0</v>
      </c>
      <c r="M808" s="5">
        <f>M807+Trades!T817</f>
        <v>1.3645891783725261</v>
      </c>
      <c r="N808" s="5">
        <f>N807+Trades!U817</f>
        <v>0.86146740004688438</v>
      </c>
      <c r="O808" s="5">
        <f>O807+Trades!W817</f>
        <v>0.35852049581728274</v>
      </c>
    </row>
    <row r="809" spans="12:15" x14ac:dyDescent="0.3">
      <c r="L809" s="4">
        <f>Trades!P840</f>
        <v>0</v>
      </c>
      <c r="M809" s="5">
        <f>M808+Trades!T840</f>
        <v>1.3645891783725261</v>
      </c>
      <c r="N809" s="5">
        <f>N808+Trades!U840</f>
        <v>0.86146740004688438</v>
      </c>
      <c r="O809" s="5">
        <f>O808+Trades!W840</f>
        <v>0.35852049581728274</v>
      </c>
    </row>
    <row r="810" spans="12:15" x14ac:dyDescent="0.3">
      <c r="L810" s="4">
        <f>Trades!P807</f>
        <v>0</v>
      </c>
      <c r="M810" s="5">
        <f>M809+Trades!T807</f>
        <v>1.3645891783725261</v>
      </c>
      <c r="N810" s="5">
        <f>N809+Trades!U807</f>
        <v>0.86146740004688438</v>
      </c>
      <c r="O810" s="5">
        <f>O809+Trades!W807</f>
        <v>0.35852049581728274</v>
      </c>
    </row>
    <row r="811" spans="12:15" x14ac:dyDescent="0.3">
      <c r="L811" s="4">
        <f>Trades!P829</f>
        <v>0</v>
      </c>
      <c r="M811" s="5">
        <f>M810+Trades!T829</f>
        <v>1.3645891783725261</v>
      </c>
      <c r="N811" s="5">
        <f>N810+Trades!U829</f>
        <v>0.86146740004688438</v>
      </c>
      <c r="O811" s="5">
        <f>O810+Trades!W829</f>
        <v>0.35852049581728274</v>
      </c>
    </row>
    <row r="812" spans="12:15" x14ac:dyDescent="0.3">
      <c r="L812" s="4">
        <f>Trades!P830</f>
        <v>0</v>
      </c>
      <c r="M812" s="5">
        <f>M811+Trades!T830</f>
        <v>1.3645891783725261</v>
      </c>
      <c r="N812" s="5">
        <f>N811+Trades!U830</f>
        <v>0.86146740004688438</v>
      </c>
      <c r="O812" s="5">
        <f>O811+Trades!W830</f>
        <v>0.35852049581728274</v>
      </c>
    </row>
    <row r="813" spans="12:15" x14ac:dyDescent="0.3">
      <c r="L813" s="4">
        <f>Trades!P818</f>
        <v>0</v>
      </c>
      <c r="M813" s="5">
        <f>M812+Trades!T818</f>
        <v>1.3645891783725261</v>
      </c>
      <c r="N813" s="5">
        <f>N812+Trades!U818</f>
        <v>0.86146740004688438</v>
      </c>
      <c r="O813" s="5">
        <f>O812+Trades!W818</f>
        <v>0.35852049581728274</v>
      </c>
    </row>
    <row r="814" spans="12:15" x14ac:dyDescent="0.3">
      <c r="L814" s="4">
        <f>Trades!P798</f>
        <v>0</v>
      </c>
      <c r="M814" s="5">
        <f>M813+Trades!T798</f>
        <v>1.3645891783725261</v>
      </c>
      <c r="N814" s="5">
        <f>N813+Trades!U798</f>
        <v>0.86146740004688438</v>
      </c>
      <c r="O814" s="5">
        <f>O813+Trades!W798</f>
        <v>0.35852049581728274</v>
      </c>
    </row>
    <row r="815" spans="12:15" x14ac:dyDescent="0.3">
      <c r="L815" s="4">
        <f>Trades!P853</f>
        <v>0</v>
      </c>
      <c r="M815" s="5">
        <f>M814+Trades!T853</f>
        <v>1.3645891783725261</v>
      </c>
      <c r="N815" s="5">
        <f>N814+Trades!U853</f>
        <v>0.86146740004688438</v>
      </c>
      <c r="O815" s="5">
        <f>O814+Trades!W853</f>
        <v>0.35852049581728274</v>
      </c>
    </row>
    <row r="816" spans="12:15" x14ac:dyDescent="0.3">
      <c r="L816" s="4">
        <f>Trades!P841</f>
        <v>0</v>
      </c>
      <c r="M816" s="5">
        <f>M815+Trades!T841</f>
        <v>1.3645891783725261</v>
      </c>
      <c r="N816" s="5">
        <f>N815+Trades!U841</f>
        <v>0.86146740004688438</v>
      </c>
      <c r="O816" s="5">
        <f>O815+Trades!W841</f>
        <v>0.35852049581728274</v>
      </c>
    </row>
    <row r="817" spans="12:15" x14ac:dyDescent="0.3">
      <c r="L817" s="4">
        <f>Trades!P819</f>
        <v>0</v>
      </c>
      <c r="M817" s="5">
        <f>M816+Trades!T819</f>
        <v>1.3645891783725261</v>
      </c>
      <c r="N817" s="5">
        <f>N816+Trades!U819</f>
        <v>0.86146740004688438</v>
      </c>
      <c r="O817" s="5">
        <f>O816+Trades!W819</f>
        <v>0.35852049581728274</v>
      </c>
    </row>
    <row r="818" spans="12:15" x14ac:dyDescent="0.3">
      <c r="L818" s="4">
        <f>Trades!P808</f>
        <v>0</v>
      </c>
      <c r="M818" s="5">
        <f>M817+Trades!T808</f>
        <v>1.3645891783725261</v>
      </c>
      <c r="N818" s="5">
        <f>N817+Trades!U808</f>
        <v>0.86146740004688438</v>
      </c>
      <c r="O818" s="5">
        <f>O817+Trades!W808</f>
        <v>0.35852049581728274</v>
      </c>
    </row>
    <row r="819" spans="12:15" x14ac:dyDescent="0.3">
      <c r="L819" s="4">
        <f>Trades!P842</f>
        <v>0</v>
      </c>
      <c r="M819" s="5">
        <f>M818+Trades!T842</f>
        <v>1.3645891783725261</v>
      </c>
      <c r="N819" s="5">
        <f>N818+Trades!U842</f>
        <v>0.86146740004688438</v>
      </c>
      <c r="O819" s="5">
        <f>O818+Trades!W842</f>
        <v>0.35852049581728274</v>
      </c>
    </row>
    <row r="820" spans="12:15" x14ac:dyDescent="0.3">
      <c r="L820" s="4">
        <f>Trades!P799</f>
        <v>0</v>
      </c>
      <c r="M820" s="5">
        <f>M819+Trades!T799</f>
        <v>1.3645891783725261</v>
      </c>
      <c r="N820" s="5">
        <f>N819+Trades!U799</f>
        <v>0.86146740004688438</v>
      </c>
      <c r="O820" s="5">
        <f>O819+Trades!W799</f>
        <v>0.35852049581728274</v>
      </c>
    </row>
    <row r="821" spans="12:15" x14ac:dyDescent="0.3">
      <c r="L821" s="4">
        <f>Trades!P800</f>
        <v>0</v>
      </c>
      <c r="M821" s="5">
        <f>M820+Trades!T800</f>
        <v>1.3645891783725261</v>
      </c>
      <c r="N821" s="5">
        <f>N820+Trades!U800</f>
        <v>0.86146740004688438</v>
      </c>
      <c r="O821" s="5">
        <f>O820+Trades!W800</f>
        <v>0.35852049581728274</v>
      </c>
    </row>
    <row r="822" spans="12:15" x14ac:dyDescent="0.3">
      <c r="L822" s="4">
        <f>Trades!P809</f>
        <v>0</v>
      </c>
      <c r="M822" s="5">
        <f>M821+Trades!T809</f>
        <v>1.3645891783725261</v>
      </c>
      <c r="N822" s="5">
        <f>N821+Trades!U809</f>
        <v>0.86146740004688438</v>
      </c>
      <c r="O822" s="5">
        <f>O821+Trades!W809</f>
        <v>0.35852049581728274</v>
      </c>
    </row>
    <row r="823" spans="12:15" x14ac:dyDescent="0.3">
      <c r="L823" s="4">
        <f>Trades!P854</f>
        <v>0</v>
      </c>
      <c r="M823" s="5">
        <f>M822+Trades!T854</f>
        <v>1.3645891783725261</v>
      </c>
      <c r="N823" s="5">
        <f>N822+Trades!U854</f>
        <v>0.86146740004688438</v>
      </c>
      <c r="O823" s="5">
        <f>O822+Trades!W854</f>
        <v>0.35852049581728274</v>
      </c>
    </row>
    <row r="824" spans="12:15" x14ac:dyDescent="0.3">
      <c r="L824" s="4">
        <f>Trades!P820</f>
        <v>0</v>
      </c>
      <c r="M824" s="5">
        <f>M823+Trades!T820</f>
        <v>1.3645891783725261</v>
      </c>
      <c r="N824" s="5">
        <f>N823+Trades!U820</f>
        <v>0.86146740004688438</v>
      </c>
      <c r="O824" s="5">
        <f>O823+Trades!W820</f>
        <v>0.35852049581728274</v>
      </c>
    </row>
    <row r="825" spans="12:15" x14ac:dyDescent="0.3">
      <c r="L825" s="4">
        <f>Trades!P810</f>
        <v>0</v>
      </c>
      <c r="M825" s="5">
        <f>M824+Trades!T810</f>
        <v>1.3645891783725261</v>
      </c>
      <c r="N825" s="5">
        <f>N824+Trades!U810</f>
        <v>0.86146740004688438</v>
      </c>
      <c r="O825" s="5">
        <f>O824+Trades!W810</f>
        <v>0.35852049581728274</v>
      </c>
    </row>
    <row r="826" spans="12:15" x14ac:dyDescent="0.3">
      <c r="L826" s="4">
        <f>Trades!P831</f>
        <v>0</v>
      </c>
      <c r="M826" s="5">
        <f>M825+Trades!T831</f>
        <v>1.3645891783725261</v>
      </c>
      <c r="N826" s="5">
        <f>N825+Trades!U831</f>
        <v>0.86146740004688438</v>
      </c>
      <c r="O826" s="5">
        <f>O825+Trades!W831</f>
        <v>0.35852049581728274</v>
      </c>
    </row>
    <row r="827" spans="12:15" x14ac:dyDescent="0.3">
      <c r="L827" s="4">
        <f>Trades!P843</f>
        <v>0</v>
      </c>
      <c r="M827" s="5">
        <f>M826+Trades!T843</f>
        <v>1.3645891783725261</v>
      </c>
      <c r="N827" s="5">
        <f>N826+Trades!U843</f>
        <v>0.86146740004688438</v>
      </c>
      <c r="O827" s="5">
        <f>O826+Trades!W843</f>
        <v>0.35852049581728274</v>
      </c>
    </row>
    <row r="828" spans="12:15" x14ac:dyDescent="0.3">
      <c r="L828" s="4">
        <f>Trades!P855</f>
        <v>0</v>
      </c>
      <c r="M828" s="5">
        <f>M827+Trades!T855</f>
        <v>1.3645891783725261</v>
      </c>
      <c r="N828" s="5">
        <f>N827+Trades!U855</f>
        <v>0.86146740004688438</v>
      </c>
      <c r="O828" s="5">
        <f>O827+Trades!W855</f>
        <v>0.35852049581728274</v>
      </c>
    </row>
    <row r="829" spans="12:15" x14ac:dyDescent="0.3">
      <c r="L829" s="4">
        <f>Trades!P821</f>
        <v>0</v>
      </c>
      <c r="M829" s="5">
        <f>M828+Trades!T821</f>
        <v>1.3645891783725261</v>
      </c>
      <c r="N829" s="5">
        <f>N828+Trades!U821</f>
        <v>0.86146740004688438</v>
      </c>
      <c r="O829" s="5">
        <f>O828+Trades!W821</f>
        <v>0.35852049581728274</v>
      </c>
    </row>
    <row r="830" spans="12:15" x14ac:dyDescent="0.3">
      <c r="L830" s="4">
        <f>Trades!P832</f>
        <v>0</v>
      </c>
      <c r="M830" s="5">
        <f>M829+Trades!T832</f>
        <v>1.3645891783725261</v>
      </c>
      <c r="N830" s="5">
        <f>N829+Trades!U832</f>
        <v>0.86146740004688438</v>
      </c>
      <c r="O830" s="5">
        <f>O829+Trades!W832</f>
        <v>0.35852049581728274</v>
      </c>
    </row>
    <row r="831" spans="12:15" x14ac:dyDescent="0.3">
      <c r="L831" s="4">
        <f>Trades!P801</f>
        <v>0</v>
      </c>
      <c r="M831" s="5">
        <f>M830+Trades!T801</f>
        <v>1.3645891783725261</v>
      </c>
      <c r="N831" s="5">
        <f>N830+Trades!U801</f>
        <v>0.86146740004688438</v>
      </c>
      <c r="O831" s="5">
        <f>O830+Trades!W801</f>
        <v>0.35852049581728274</v>
      </c>
    </row>
    <row r="832" spans="12:15" x14ac:dyDescent="0.3">
      <c r="L832" s="4">
        <f>Trades!P822</f>
        <v>0</v>
      </c>
      <c r="M832" s="5">
        <f>M831+Trades!T822</f>
        <v>1.3645891783725261</v>
      </c>
      <c r="N832" s="5">
        <f>N831+Trades!U822</f>
        <v>0.86146740004688438</v>
      </c>
      <c r="O832" s="5">
        <f>O831+Trades!W822</f>
        <v>0.35852049581728274</v>
      </c>
    </row>
    <row r="833" spans="12:15" x14ac:dyDescent="0.3">
      <c r="L833" s="4">
        <f>Trades!P856</f>
        <v>0</v>
      </c>
      <c r="M833" s="5">
        <f>M832+Trades!T856</f>
        <v>1.3645891783725261</v>
      </c>
      <c r="N833" s="5">
        <f>N832+Trades!U856</f>
        <v>0.86146740004688438</v>
      </c>
      <c r="O833" s="5">
        <f>O832+Trades!W856</f>
        <v>0.35852049581728274</v>
      </c>
    </row>
    <row r="834" spans="12:15" x14ac:dyDescent="0.3">
      <c r="L834" s="4">
        <f>Trades!P811</f>
        <v>0</v>
      </c>
      <c r="M834" s="5">
        <f>M833+Trades!T811</f>
        <v>1.3645891783725261</v>
      </c>
      <c r="N834" s="5">
        <f>N833+Trades!U811</f>
        <v>0.86146740004688438</v>
      </c>
      <c r="O834" s="5">
        <f>O833+Trades!W811</f>
        <v>0.35852049581728274</v>
      </c>
    </row>
    <row r="835" spans="12:15" x14ac:dyDescent="0.3">
      <c r="L835" s="4">
        <f>Trades!P844</f>
        <v>0</v>
      </c>
      <c r="M835" s="5">
        <f>M834+Trades!T844</f>
        <v>1.3645891783725261</v>
      </c>
      <c r="N835" s="5">
        <f>N834+Trades!U844</f>
        <v>0.86146740004688438</v>
      </c>
      <c r="O835" s="5">
        <f>O834+Trades!W844</f>
        <v>0.35852049581728274</v>
      </c>
    </row>
    <row r="836" spans="12:15" x14ac:dyDescent="0.3">
      <c r="L836" s="4">
        <f>Trades!P833</f>
        <v>0</v>
      </c>
      <c r="M836" s="5">
        <f>M835+Trades!T833</f>
        <v>1.3645891783725261</v>
      </c>
      <c r="N836" s="5">
        <f>N835+Trades!U833</f>
        <v>0.86146740004688438</v>
      </c>
      <c r="O836" s="5">
        <f>O835+Trades!W833</f>
        <v>0.35852049581728274</v>
      </c>
    </row>
    <row r="837" spans="12:15" x14ac:dyDescent="0.3">
      <c r="L837" s="4">
        <f>Trades!P845</f>
        <v>0</v>
      </c>
      <c r="M837" s="5">
        <f>M836+Trades!T845</f>
        <v>1.3645891783725261</v>
      </c>
      <c r="N837" s="5">
        <f>N836+Trades!U845</f>
        <v>0.86146740004688438</v>
      </c>
      <c r="O837" s="5">
        <f>O836+Trades!W845</f>
        <v>0.35852049581728274</v>
      </c>
    </row>
    <row r="838" spans="12:15" x14ac:dyDescent="0.3">
      <c r="L838" s="4">
        <f>Trades!P846</f>
        <v>0</v>
      </c>
      <c r="M838" s="5">
        <f>M837+Trades!T846</f>
        <v>1.3645891783725261</v>
      </c>
      <c r="N838" s="5">
        <f>N837+Trades!U846</f>
        <v>0.86146740004688438</v>
      </c>
      <c r="O838" s="5">
        <f>O837+Trades!W846</f>
        <v>0.35852049581728274</v>
      </c>
    </row>
    <row r="839" spans="12:15" x14ac:dyDescent="0.3">
      <c r="L839" s="4">
        <f>Trades!P857</f>
        <v>0</v>
      </c>
      <c r="M839" s="5">
        <f>M838+Trades!T857</f>
        <v>1.3645891783725261</v>
      </c>
      <c r="N839" s="5">
        <f>N838+Trades!U857</f>
        <v>0.86146740004688438</v>
      </c>
      <c r="O839" s="5">
        <f>O838+Trades!W857</f>
        <v>0.35852049581728274</v>
      </c>
    </row>
    <row r="840" spans="12:15" x14ac:dyDescent="0.3">
      <c r="L840" s="4">
        <f>Trades!P802</f>
        <v>0</v>
      </c>
      <c r="M840" s="5">
        <f>M839+Trades!T802</f>
        <v>1.3645891783725261</v>
      </c>
      <c r="N840" s="5">
        <f>N839+Trades!U802</f>
        <v>0.86146740004688438</v>
      </c>
      <c r="O840" s="5">
        <f>O839+Trades!W802</f>
        <v>0.35852049581728274</v>
      </c>
    </row>
    <row r="841" spans="12:15" x14ac:dyDescent="0.3">
      <c r="L841" s="4">
        <f>Trades!P812</f>
        <v>0</v>
      </c>
      <c r="M841" s="5">
        <f>M840+Trades!T812</f>
        <v>1.3645891783725261</v>
      </c>
      <c r="N841" s="5">
        <f>N840+Trades!U812</f>
        <v>0.86146740004688438</v>
      </c>
      <c r="O841" s="5">
        <f>O840+Trades!W812</f>
        <v>0.35852049581728274</v>
      </c>
    </row>
    <row r="842" spans="12:15" x14ac:dyDescent="0.3">
      <c r="L842" s="4">
        <f>Trades!P823</f>
        <v>0</v>
      </c>
      <c r="M842" s="5">
        <f>M841+Trades!T823</f>
        <v>1.3645891783725261</v>
      </c>
      <c r="N842" s="5">
        <f>N841+Trades!U823</f>
        <v>0.86146740004688438</v>
      </c>
      <c r="O842" s="5">
        <f>O841+Trades!W823</f>
        <v>0.35852049581728274</v>
      </c>
    </row>
    <row r="843" spans="12:15" x14ac:dyDescent="0.3">
      <c r="L843" s="4">
        <f>Trades!P834</f>
        <v>0</v>
      </c>
      <c r="M843" s="5">
        <f>M842+Trades!T834</f>
        <v>1.3645891783725261</v>
      </c>
      <c r="N843" s="5">
        <f>N842+Trades!U834</f>
        <v>0.86146740004688438</v>
      </c>
      <c r="O843" s="5">
        <f>O842+Trades!W834</f>
        <v>0.35852049581728274</v>
      </c>
    </row>
    <row r="844" spans="12:15" x14ac:dyDescent="0.3">
      <c r="L844" s="4">
        <f>Trades!P813</f>
        <v>0</v>
      </c>
      <c r="M844" s="5">
        <f>M843+Trades!T813</f>
        <v>1.3645891783725261</v>
      </c>
      <c r="N844" s="5">
        <f>N843+Trades!U813</f>
        <v>0.86146740004688438</v>
      </c>
      <c r="O844" s="5">
        <f>O843+Trades!W813</f>
        <v>0.35852049581728274</v>
      </c>
    </row>
    <row r="845" spans="12:15" x14ac:dyDescent="0.3">
      <c r="L845" s="4">
        <f>Trades!P858</f>
        <v>0</v>
      </c>
      <c r="M845" s="5">
        <f>M844+Trades!T858</f>
        <v>1.3645891783725261</v>
      </c>
      <c r="N845" s="5">
        <f>N844+Trades!U858</f>
        <v>0.86146740004688438</v>
      </c>
      <c r="O845" s="5">
        <f>O844+Trades!W858</f>
        <v>0.35852049581728274</v>
      </c>
    </row>
    <row r="846" spans="12:15" x14ac:dyDescent="0.3">
      <c r="L846" s="4">
        <f>Trades!P835</f>
        <v>0</v>
      </c>
      <c r="M846" s="5">
        <f>M845+Trades!T835</f>
        <v>1.3645891783725261</v>
      </c>
      <c r="N846" s="5">
        <f>N845+Trades!U835</f>
        <v>0.86146740004688438</v>
      </c>
      <c r="O846" s="5">
        <f>O845+Trades!W835</f>
        <v>0.35852049581728274</v>
      </c>
    </row>
    <row r="847" spans="12:15" x14ac:dyDescent="0.3">
      <c r="L847" s="4">
        <f>Trades!P824</f>
        <v>0</v>
      </c>
      <c r="M847" s="5">
        <f>M846+Trades!T824</f>
        <v>1.3645891783725261</v>
      </c>
      <c r="N847" s="5">
        <f>N846+Trades!U824</f>
        <v>0.86146740004688438</v>
      </c>
      <c r="O847" s="5">
        <f>O846+Trades!W824</f>
        <v>0.35852049581728274</v>
      </c>
    </row>
    <row r="848" spans="12:15" x14ac:dyDescent="0.3">
      <c r="L848" s="4">
        <f>Trades!P847</f>
        <v>0</v>
      </c>
      <c r="M848" s="5">
        <f>M847+Trades!T847</f>
        <v>1.3645891783725261</v>
      </c>
      <c r="N848" s="5">
        <f>N847+Trades!U847</f>
        <v>0.86146740004688438</v>
      </c>
      <c r="O848" s="5">
        <f>O847+Trades!W847</f>
        <v>0.35852049581728274</v>
      </c>
    </row>
    <row r="849" spans="12:15" x14ac:dyDescent="0.3">
      <c r="L849" s="4">
        <f>Trades!P836</f>
        <v>0</v>
      </c>
      <c r="M849" s="5">
        <f>M848+Trades!T836</f>
        <v>1.3645891783725261</v>
      </c>
      <c r="N849" s="5">
        <f>N848+Trades!U836</f>
        <v>0.86146740004688438</v>
      </c>
      <c r="O849" s="5">
        <f>O848+Trades!W836</f>
        <v>0.35852049581728274</v>
      </c>
    </row>
    <row r="850" spans="12:15" x14ac:dyDescent="0.3">
      <c r="L850" s="4">
        <f>Trades!P848</f>
        <v>0</v>
      </c>
      <c r="M850" s="5">
        <f>M849+Trades!T848</f>
        <v>1.3645891783725261</v>
      </c>
      <c r="N850" s="5">
        <f>N849+Trades!U848</f>
        <v>0.86146740004688438</v>
      </c>
      <c r="O850" s="5">
        <f>O849+Trades!W848</f>
        <v>0.35852049581728274</v>
      </c>
    </row>
    <row r="851" spans="12:15" x14ac:dyDescent="0.3">
      <c r="L851" s="4">
        <f>Trades!P849</f>
        <v>0</v>
      </c>
      <c r="M851" s="5">
        <f>M850+Trades!T849</f>
        <v>1.3645891783725261</v>
      </c>
      <c r="N851" s="5">
        <f>N850+Trades!U849</f>
        <v>0.86146740004688438</v>
      </c>
      <c r="O851" s="5">
        <f>O850+Trades!W849</f>
        <v>0.35852049581728274</v>
      </c>
    </row>
    <row r="852" spans="12:15" x14ac:dyDescent="0.3">
      <c r="L852" s="4">
        <f>Trades!P803</f>
        <v>0</v>
      </c>
      <c r="M852" s="5">
        <f>M851+Trades!T803</f>
        <v>1.3645891783725261</v>
      </c>
      <c r="N852" s="5">
        <f>N851+Trades!U803</f>
        <v>0.86146740004688438</v>
      </c>
      <c r="O852" s="5">
        <f>O851+Trades!W803</f>
        <v>0.35852049581728274</v>
      </c>
    </row>
    <row r="853" spans="12:15" x14ac:dyDescent="0.3">
      <c r="L853" s="4">
        <f>Trades!P859</f>
        <v>0</v>
      </c>
      <c r="M853" s="5">
        <f>M852+Trades!T859</f>
        <v>1.3645891783725261</v>
      </c>
      <c r="N853" s="5">
        <f>N852+Trades!U859</f>
        <v>0.86146740004688438</v>
      </c>
      <c r="O853" s="5">
        <f>O852+Trades!W859</f>
        <v>0.35852049581728274</v>
      </c>
    </row>
    <row r="854" spans="12:15" x14ac:dyDescent="0.3">
      <c r="L854" s="4">
        <f>Trades!P825</f>
        <v>0</v>
      </c>
      <c r="M854" s="5">
        <f>M853+Trades!T825</f>
        <v>1.3645891783725261</v>
      </c>
      <c r="N854" s="5">
        <f>N853+Trades!U825</f>
        <v>0.86146740004688438</v>
      </c>
      <c r="O854" s="5">
        <f>O853+Trades!W825</f>
        <v>0.35852049581728274</v>
      </c>
    </row>
    <row r="855" spans="12:15" x14ac:dyDescent="0.3">
      <c r="L855" s="4">
        <f>Trades!P804</f>
        <v>0</v>
      </c>
      <c r="M855" s="5">
        <f>M854+Trades!T804</f>
        <v>1.3645891783725261</v>
      </c>
      <c r="N855" s="5">
        <f>N854+Trades!U804</f>
        <v>0.86146740004688438</v>
      </c>
      <c r="O855" s="5">
        <f>O854+Trades!W804</f>
        <v>0.35852049581728274</v>
      </c>
    </row>
    <row r="856" spans="12:15" x14ac:dyDescent="0.3">
      <c r="L856" s="4">
        <f>Trades!P826</f>
        <v>0</v>
      </c>
      <c r="M856" s="5">
        <f>M855+Trades!T826</f>
        <v>1.3645891783725261</v>
      </c>
      <c r="N856" s="5">
        <f>N855+Trades!U826</f>
        <v>0.86146740004688438</v>
      </c>
      <c r="O856" s="5">
        <f>O855+Trades!W826</f>
        <v>0.35852049581728274</v>
      </c>
    </row>
    <row r="857" spans="12:15" x14ac:dyDescent="0.3">
      <c r="L857" s="4">
        <f>Trades!P814</f>
        <v>0</v>
      </c>
      <c r="M857" s="5">
        <f>M856+Trades!T814</f>
        <v>1.3645891783725261</v>
      </c>
      <c r="N857" s="5">
        <f>N856+Trades!U814</f>
        <v>0.86146740004688438</v>
      </c>
      <c r="O857" s="5">
        <f>O856+Trades!W814</f>
        <v>0.35852049581728274</v>
      </c>
    </row>
    <row r="858" spans="12:15" x14ac:dyDescent="0.3">
      <c r="L858" s="4">
        <f>Trades!P850</f>
        <v>0</v>
      </c>
      <c r="M858" s="5">
        <f>M857+Trades!T850</f>
        <v>1.3645891783725261</v>
      </c>
      <c r="N858" s="5">
        <f>N857+Trades!U850</f>
        <v>0.86146740004688438</v>
      </c>
      <c r="O858" s="5">
        <f>O857+Trades!W850</f>
        <v>0.35852049581728274</v>
      </c>
    </row>
    <row r="859" spans="12:15" x14ac:dyDescent="0.3">
      <c r="L859" s="4">
        <f>Trades!P860</f>
        <v>0</v>
      </c>
      <c r="M859" s="5">
        <f>M858+Trades!T860</f>
        <v>1.3645891783725261</v>
      </c>
      <c r="N859" s="5">
        <f>N858+Trades!U860</f>
        <v>0.86146740004688438</v>
      </c>
      <c r="O859" s="5">
        <f>O858+Trades!W860</f>
        <v>0.35852049581728274</v>
      </c>
    </row>
    <row r="860" spans="12:15" x14ac:dyDescent="0.3">
      <c r="L860" s="4">
        <f>Trades!P837</f>
        <v>0</v>
      </c>
      <c r="M860" s="5">
        <f>M859+Trades!T837</f>
        <v>1.3645891783725261</v>
      </c>
      <c r="N860" s="5">
        <f>N859+Trades!U837</f>
        <v>0.86146740004688438</v>
      </c>
      <c r="O860" s="5">
        <f>O859+Trades!W837</f>
        <v>0.35852049581728274</v>
      </c>
    </row>
    <row r="861" spans="12:15" x14ac:dyDescent="0.3">
      <c r="L861" s="4">
        <f>Trades!P861</f>
        <v>0</v>
      </c>
      <c r="M861" s="5">
        <f>M860+Trades!T861</f>
        <v>1.3645891783725261</v>
      </c>
      <c r="N861" s="5">
        <f>N860+Trades!U861</f>
        <v>0.86146740004688438</v>
      </c>
      <c r="O861" s="5">
        <f>O860+Trades!W861</f>
        <v>0.35852049581728274</v>
      </c>
    </row>
    <row r="862" spans="12:15" x14ac:dyDescent="0.3">
      <c r="L862" s="4">
        <f>Trades!P871</f>
        <v>0</v>
      </c>
      <c r="M862" s="5">
        <f>M861+Trades!T871</f>
        <v>1.3645891783725261</v>
      </c>
      <c r="N862" s="5">
        <f>N861+Trades!U871</f>
        <v>0.86146740004688438</v>
      </c>
      <c r="O862" s="5">
        <f>O861+Trades!W871</f>
        <v>0.35852049581728274</v>
      </c>
    </row>
    <row r="863" spans="12:15" x14ac:dyDescent="0.3">
      <c r="L863" s="4">
        <f>Trades!P882</f>
        <v>0</v>
      </c>
      <c r="M863" s="5">
        <f>M862+Trades!T882</f>
        <v>1.3645891783725261</v>
      </c>
      <c r="N863" s="5">
        <f>N862+Trades!U882</f>
        <v>0.86146740004688438</v>
      </c>
      <c r="O863" s="5">
        <f>O862+Trades!W882</f>
        <v>0.35852049581728274</v>
      </c>
    </row>
    <row r="864" spans="12:15" x14ac:dyDescent="0.3">
      <c r="L864" s="4">
        <f>Trades!P891</f>
        <v>0</v>
      </c>
      <c r="M864" s="5">
        <f>M863+Trades!T891</f>
        <v>1.3645891783725261</v>
      </c>
      <c r="N864" s="5">
        <f>N863+Trades!U891</f>
        <v>0.86146740004688438</v>
      </c>
      <c r="O864" s="5">
        <f>O863+Trades!W891</f>
        <v>0.35852049581728274</v>
      </c>
    </row>
    <row r="865" spans="12:15" x14ac:dyDescent="0.3">
      <c r="L865" s="4">
        <f>Trades!P892</f>
        <v>0</v>
      </c>
      <c r="M865" s="5">
        <f>M864+Trades!T892</f>
        <v>1.3645891783725261</v>
      </c>
      <c r="N865" s="5">
        <f>N864+Trades!U892</f>
        <v>0.86146740004688438</v>
      </c>
      <c r="O865" s="5">
        <f>O864+Trades!W892</f>
        <v>0.35852049581728274</v>
      </c>
    </row>
    <row r="866" spans="12:15" x14ac:dyDescent="0.3">
      <c r="L866" s="4">
        <f>Trades!P862</f>
        <v>0</v>
      </c>
      <c r="M866" s="5">
        <f>M865+Trades!T862</f>
        <v>1.3645891783725261</v>
      </c>
      <c r="N866" s="5">
        <f>N865+Trades!U862</f>
        <v>0.86146740004688438</v>
      </c>
      <c r="O866" s="5">
        <f>O865+Trades!W862</f>
        <v>0.35852049581728274</v>
      </c>
    </row>
    <row r="867" spans="12:15" x14ac:dyDescent="0.3">
      <c r="L867" s="4">
        <f>Trades!P893</f>
        <v>0</v>
      </c>
      <c r="M867" s="5">
        <f>M866+Trades!T893</f>
        <v>1.3645891783725261</v>
      </c>
      <c r="N867" s="5">
        <f>N866+Trades!U893</f>
        <v>0.86146740004688438</v>
      </c>
      <c r="O867" s="5">
        <f>O866+Trades!W893</f>
        <v>0.35852049581728274</v>
      </c>
    </row>
    <row r="868" spans="12:15" x14ac:dyDescent="0.3">
      <c r="L868" s="4">
        <f>Trades!P894</f>
        <v>0</v>
      </c>
      <c r="M868" s="5">
        <f>M867+Trades!T894</f>
        <v>1.3645891783725261</v>
      </c>
      <c r="N868" s="5">
        <f>N867+Trades!U894</f>
        <v>0.86146740004688438</v>
      </c>
      <c r="O868" s="5">
        <f>O867+Trades!W894</f>
        <v>0.35852049581728274</v>
      </c>
    </row>
    <row r="869" spans="12:15" x14ac:dyDescent="0.3">
      <c r="L869" s="4">
        <f>Trades!P872</f>
        <v>0</v>
      </c>
      <c r="M869" s="5">
        <f>M868+Trades!T872</f>
        <v>1.3645891783725261</v>
      </c>
      <c r="N869" s="5">
        <f>N868+Trades!U872</f>
        <v>0.86146740004688438</v>
      </c>
      <c r="O869" s="5">
        <f>O868+Trades!W872</f>
        <v>0.35852049581728274</v>
      </c>
    </row>
    <row r="870" spans="12:15" x14ac:dyDescent="0.3">
      <c r="L870" s="4">
        <f>Trades!P883</f>
        <v>0</v>
      </c>
      <c r="M870" s="5">
        <f>M869+Trades!T883</f>
        <v>1.3645891783725261</v>
      </c>
      <c r="N870" s="5">
        <f>N869+Trades!U883</f>
        <v>0.86146740004688438</v>
      </c>
      <c r="O870" s="5">
        <f>O869+Trades!W883</f>
        <v>0.35852049581728274</v>
      </c>
    </row>
    <row r="871" spans="12:15" x14ac:dyDescent="0.3">
      <c r="L871" s="4">
        <f>Trades!P863</f>
        <v>0</v>
      </c>
      <c r="M871" s="5">
        <f>M870+Trades!T863</f>
        <v>1.3645891783725261</v>
      </c>
      <c r="N871" s="5">
        <f>N870+Trades!U863</f>
        <v>0.86146740004688438</v>
      </c>
      <c r="O871" s="5">
        <f>O870+Trades!W863</f>
        <v>0.35852049581728274</v>
      </c>
    </row>
    <row r="872" spans="12:15" x14ac:dyDescent="0.3">
      <c r="L872" s="4">
        <f>Trades!P873</f>
        <v>0</v>
      </c>
      <c r="M872" s="5">
        <f>M871+Trades!T873</f>
        <v>1.3645891783725261</v>
      </c>
      <c r="N872" s="5">
        <f>N871+Trades!U873</f>
        <v>0.86146740004688438</v>
      </c>
      <c r="O872" s="5">
        <f>O871+Trades!W873</f>
        <v>0.35852049581728274</v>
      </c>
    </row>
    <row r="873" spans="12:15" x14ac:dyDescent="0.3">
      <c r="L873" s="4">
        <f>Trades!P895</f>
        <v>0</v>
      </c>
      <c r="M873" s="5">
        <f>M872+Trades!T895</f>
        <v>1.3645891783725261</v>
      </c>
      <c r="N873" s="5">
        <f>N872+Trades!U895</f>
        <v>0.86146740004688438</v>
      </c>
      <c r="O873" s="5">
        <f>O872+Trades!W895</f>
        <v>0.35852049581728274</v>
      </c>
    </row>
    <row r="874" spans="12:15" x14ac:dyDescent="0.3">
      <c r="L874" s="4">
        <f>Trades!P864</f>
        <v>0</v>
      </c>
      <c r="M874" s="5">
        <f>M873+Trades!T864</f>
        <v>1.3645891783725261</v>
      </c>
      <c r="N874" s="5">
        <f>N873+Trades!U864</f>
        <v>0.86146740004688438</v>
      </c>
      <c r="O874" s="5">
        <f>O873+Trades!W864</f>
        <v>0.35852049581728274</v>
      </c>
    </row>
    <row r="875" spans="12:15" x14ac:dyDescent="0.3">
      <c r="L875" s="4">
        <f>Trades!P896</f>
        <v>0</v>
      </c>
      <c r="M875" s="5">
        <f>M874+Trades!T896</f>
        <v>1.3645891783725261</v>
      </c>
      <c r="N875" s="5">
        <f>N874+Trades!U896</f>
        <v>0.86146740004688438</v>
      </c>
      <c r="O875" s="5">
        <f>O874+Trades!W896</f>
        <v>0.35852049581728274</v>
      </c>
    </row>
    <row r="876" spans="12:15" x14ac:dyDescent="0.3">
      <c r="L876" s="4">
        <f>Trades!P865</f>
        <v>0</v>
      </c>
      <c r="M876" s="5">
        <f>M875+Trades!T865</f>
        <v>1.3645891783725261</v>
      </c>
      <c r="N876" s="5">
        <f>N875+Trades!U865</f>
        <v>0.86146740004688438</v>
      </c>
      <c r="O876" s="5">
        <f>O875+Trades!W865</f>
        <v>0.35852049581728274</v>
      </c>
    </row>
    <row r="877" spans="12:15" x14ac:dyDescent="0.3">
      <c r="L877" s="4">
        <f>Trades!P884</f>
        <v>0</v>
      </c>
      <c r="M877" s="5">
        <f>M876+Trades!T884</f>
        <v>1.3645891783725261</v>
      </c>
      <c r="N877" s="5">
        <f>N876+Trades!U884</f>
        <v>0.86146740004688438</v>
      </c>
      <c r="O877" s="5">
        <f>O876+Trades!W884</f>
        <v>0.35852049581728274</v>
      </c>
    </row>
    <row r="878" spans="12:15" x14ac:dyDescent="0.3">
      <c r="L878" s="4">
        <f>Trades!P897</f>
        <v>0</v>
      </c>
      <c r="M878" s="5">
        <f>M877+Trades!T897</f>
        <v>1.3645891783725261</v>
      </c>
      <c r="N878" s="5">
        <f>N877+Trades!U897</f>
        <v>0.86146740004688438</v>
      </c>
      <c r="O878" s="5">
        <f>O877+Trades!W897</f>
        <v>0.35852049581728274</v>
      </c>
    </row>
    <row r="879" spans="12:15" x14ac:dyDescent="0.3">
      <c r="L879" s="4">
        <f>Trades!P898</f>
        <v>0</v>
      </c>
      <c r="M879" s="5">
        <f>M878+Trades!T898</f>
        <v>1.3645891783725261</v>
      </c>
      <c r="N879" s="5">
        <f>N878+Trades!U898</f>
        <v>0.86146740004688438</v>
      </c>
      <c r="O879" s="5">
        <f>O878+Trades!W898</f>
        <v>0.35852049581728274</v>
      </c>
    </row>
    <row r="880" spans="12:15" x14ac:dyDescent="0.3">
      <c r="L880" s="4">
        <f>Trades!P866</f>
        <v>0</v>
      </c>
      <c r="M880" s="5">
        <f>M879+Trades!T866</f>
        <v>1.3645891783725261</v>
      </c>
      <c r="N880" s="5">
        <f>N879+Trades!U866</f>
        <v>0.86146740004688438</v>
      </c>
      <c r="O880" s="5">
        <f>O879+Trades!W866</f>
        <v>0.35852049581728274</v>
      </c>
    </row>
    <row r="881" spans="12:15" x14ac:dyDescent="0.3">
      <c r="L881" s="4">
        <f>Trades!P874</f>
        <v>0</v>
      </c>
      <c r="M881" s="5">
        <f>M880+Trades!T874</f>
        <v>1.3645891783725261</v>
      </c>
      <c r="N881" s="5">
        <f>N880+Trades!U874</f>
        <v>0.86146740004688438</v>
      </c>
      <c r="O881" s="5">
        <f>O880+Trades!W874</f>
        <v>0.35852049581728274</v>
      </c>
    </row>
    <row r="882" spans="12:15" x14ac:dyDescent="0.3">
      <c r="L882" s="4">
        <f>Trades!P885</f>
        <v>0</v>
      </c>
      <c r="M882" s="5">
        <f>M881+Trades!T885</f>
        <v>1.3645891783725261</v>
      </c>
      <c r="N882" s="5">
        <f>N881+Trades!U885</f>
        <v>0.86146740004688438</v>
      </c>
      <c r="O882" s="5">
        <f>O881+Trades!W885</f>
        <v>0.35852049581728274</v>
      </c>
    </row>
    <row r="883" spans="12:15" x14ac:dyDescent="0.3">
      <c r="L883" s="4">
        <f>Trades!P899</f>
        <v>0</v>
      </c>
      <c r="M883" s="5">
        <f>M882+Trades!T899</f>
        <v>1.3645891783725261</v>
      </c>
      <c r="N883" s="5">
        <f>N882+Trades!U899</f>
        <v>0.86146740004688438</v>
      </c>
      <c r="O883" s="5">
        <f>O882+Trades!W899</f>
        <v>0.35852049581728274</v>
      </c>
    </row>
    <row r="884" spans="12:15" x14ac:dyDescent="0.3">
      <c r="L884" s="4">
        <f>Trades!P886</f>
        <v>0</v>
      </c>
      <c r="M884" s="5">
        <f>M883+Trades!T886</f>
        <v>1.3645891783725261</v>
      </c>
      <c r="N884" s="5">
        <f>N883+Trades!U886</f>
        <v>0.86146740004688438</v>
      </c>
      <c r="O884" s="5">
        <f>O883+Trades!W886</f>
        <v>0.35852049581728274</v>
      </c>
    </row>
    <row r="885" spans="12:15" x14ac:dyDescent="0.3">
      <c r="L885" s="4">
        <f>Trades!P867</f>
        <v>0</v>
      </c>
      <c r="M885" s="5">
        <f>M884+Trades!T867</f>
        <v>1.3645891783725261</v>
      </c>
      <c r="N885" s="5">
        <f>N884+Trades!U867</f>
        <v>0.86146740004688438</v>
      </c>
      <c r="O885" s="5">
        <f>O884+Trades!W867</f>
        <v>0.35852049581728274</v>
      </c>
    </row>
    <row r="886" spans="12:15" x14ac:dyDescent="0.3">
      <c r="L886" s="4">
        <f>Trades!P875</f>
        <v>0</v>
      </c>
      <c r="M886" s="5">
        <f>M885+Trades!T875</f>
        <v>1.3645891783725261</v>
      </c>
      <c r="N886" s="5">
        <f>N885+Trades!U875</f>
        <v>0.86146740004688438</v>
      </c>
      <c r="O886" s="5">
        <f>O885+Trades!W875</f>
        <v>0.35852049581728274</v>
      </c>
    </row>
    <row r="887" spans="12:15" x14ac:dyDescent="0.3">
      <c r="L887" s="4">
        <f>Trades!P876</f>
        <v>0</v>
      </c>
      <c r="M887" s="5">
        <f>M886+Trades!T876</f>
        <v>1.3645891783725261</v>
      </c>
      <c r="N887" s="5">
        <f>N886+Trades!U876</f>
        <v>0.86146740004688438</v>
      </c>
      <c r="O887" s="5">
        <f>O886+Trades!W876</f>
        <v>0.35852049581728274</v>
      </c>
    </row>
    <row r="888" spans="12:15" x14ac:dyDescent="0.3">
      <c r="L888" s="4">
        <f>Trades!P877</f>
        <v>0</v>
      </c>
      <c r="M888" s="5">
        <f>M887+Trades!T877</f>
        <v>1.3645891783725261</v>
      </c>
      <c r="N888" s="5">
        <f>N887+Trades!U877</f>
        <v>0.86146740004688438</v>
      </c>
      <c r="O888" s="5">
        <f>O887+Trades!W877</f>
        <v>0.35852049581728274</v>
      </c>
    </row>
    <row r="889" spans="12:15" x14ac:dyDescent="0.3">
      <c r="L889" s="4">
        <f>Trades!P900</f>
        <v>0</v>
      </c>
      <c r="M889" s="5">
        <f>M888+Trades!T900</f>
        <v>1.3645891783725261</v>
      </c>
      <c r="N889" s="5">
        <f>N888+Trades!U900</f>
        <v>0.86146740004688438</v>
      </c>
      <c r="O889" s="5">
        <f>O888+Trades!W900</f>
        <v>0.35852049581728274</v>
      </c>
    </row>
    <row r="890" spans="12:15" x14ac:dyDescent="0.3">
      <c r="L890" s="4">
        <f>Trades!P887</f>
        <v>0</v>
      </c>
      <c r="M890" s="5">
        <f>M889+Trades!T887</f>
        <v>1.3645891783725261</v>
      </c>
      <c r="N890" s="5">
        <f>N889+Trades!U887</f>
        <v>0.86146740004688438</v>
      </c>
      <c r="O890" s="5">
        <f>O889+Trades!W887</f>
        <v>0.35852049581728274</v>
      </c>
    </row>
    <row r="891" spans="12:15" x14ac:dyDescent="0.3">
      <c r="L891" s="4">
        <f>Trades!P868</f>
        <v>0</v>
      </c>
      <c r="M891" s="5">
        <f>M890+Trades!T868</f>
        <v>1.3645891783725261</v>
      </c>
      <c r="N891" s="5">
        <f>N890+Trades!U868</f>
        <v>0.86146740004688438</v>
      </c>
      <c r="O891" s="5">
        <f>O890+Trades!W868</f>
        <v>0.35852049581728274</v>
      </c>
    </row>
    <row r="892" spans="12:15" x14ac:dyDescent="0.3">
      <c r="L892" s="4">
        <f>Trades!P878</f>
        <v>0</v>
      </c>
      <c r="M892" s="5">
        <f>M891+Trades!T878</f>
        <v>1.3645891783725261</v>
      </c>
      <c r="N892" s="5">
        <f>N891+Trades!U878</f>
        <v>0.86146740004688438</v>
      </c>
      <c r="O892" s="5">
        <f>O891+Trades!W878</f>
        <v>0.35852049581728274</v>
      </c>
    </row>
    <row r="893" spans="12:15" x14ac:dyDescent="0.3">
      <c r="L893" s="4">
        <f>Trades!P879</f>
        <v>0</v>
      </c>
      <c r="M893" s="5">
        <f>M892+Trades!T879</f>
        <v>1.3645891783725261</v>
      </c>
      <c r="N893" s="5">
        <f>N892+Trades!U879</f>
        <v>0.86146740004688438</v>
      </c>
      <c r="O893" s="5">
        <f>O892+Trades!W879</f>
        <v>0.35852049581728274</v>
      </c>
    </row>
    <row r="894" spans="12:15" x14ac:dyDescent="0.3">
      <c r="L894" s="4">
        <f>Trades!P888</f>
        <v>0</v>
      </c>
      <c r="M894" s="5">
        <f>M893+Trades!T888</f>
        <v>1.3645891783725261</v>
      </c>
      <c r="N894" s="5">
        <f>N893+Trades!U888</f>
        <v>0.86146740004688438</v>
      </c>
      <c r="O894" s="5">
        <f>O893+Trades!W888</f>
        <v>0.35852049581728274</v>
      </c>
    </row>
    <row r="895" spans="12:15" x14ac:dyDescent="0.3">
      <c r="L895" s="4">
        <f>Trades!P901</f>
        <v>0</v>
      </c>
      <c r="M895" s="5">
        <f>M894+Trades!T901</f>
        <v>1.3645891783725261</v>
      </c>
      <c r="N895" s="5">
        <f>N894+Trades!U901</f>
        <v>0.86146740004688438</v>
      </c>
      <c r="O895" s="5">
        <f>O894+Trades!W901</f>
        <v>0.35852049581728274</v>
      </c>
    </row>
    <row r="896" spans="12:15" x14ac:dyDescent="0.3">
      <c r="L896" s="4">
        <f>Trades!P869</f>
        <v>0</v>
      </c>
      <c r="M896" s="5">
        <f>M895+Trades!T869</f>
        <v>1.3645891783725261</v>
      </c>
      <c r="N896" s="5">
        <f>N895+Trades!U869</f>
        <v>0.86146740004688438</v>
      </c>
      <c r="O896" s="5">
        <f>O895+Trades!W869</f>
        <v>0.35852049581728274</v>
      </c>
    </row>
    <row r="897" spans="12:15" x14ac:dyDescent="0.3">
      <c r="L897" s="4">
        <f>Trades!P889</f>
        <v>0</v>
      </c>
      <c r="M897" s="5">
        <f>M896+Trades!T889</f>
        <v>1.3645891783725261</v>
      </c>
      <c r="N897" s="5">
        <f>N896+Trades!U889</f>
        <v>0.86146740004688438</v>
      </c>
      <c r="O897" s="5">
        <f>O896+Trades!W889</f>
        <v>0.35852049581728274</v>
      </c>
    </row>
    <row r="898" spans="12:15" x14ac:dyDescent="0.3">
      <c r="L898" s="4">
        <f>Trades!P880</f>
        <v>0</v>
      </c>
      <c r="M898" s="5">
        <f>M897+Trades!T880</f>
        <v>1.3645891783725261</v>
      </c>
      <c r="N898" s="5">
        <f>N897+Trades!U880</f>
        <v>0.86146740004688438</v>
      </c>
      <c r="O898" s="5">
        <f>O897+Trades!W880</f>
        <v>0.35852049581728274</v>
      </c>
    </row>
    <row r="899" spans="12:15" x14ac:dyDescent="0.3">
      <c r="L899" s="4">
        <f>Trades!P890</f>
        <v>0</v>
      </c>
      <c r="M899" s="5">
        <f>M898+Trades!T890</f>
        <v>1.3645891783725261</v>
      </c>
      <c r="N899" s="5">
        <f>N898+Trades!U890</f>
        <v>0.86146740004688438</v>
      </c>
      <c r="O899" s="5">
        <f>O898+Trades!W890</f>
        <v>0.35852049581728274</v>
      </c>
    </row>
    <row r="900" spans="12:15" x14ac:dyDescent="0.3">
      <c r="L900" s="4">
        <f>Trades!P881</f>
        <v>0</v>
      </c>
      <c r="M900" s="5">
        <f>M899+Trades!T881</f>
        <v>1.3645891783725261</v>
      </c>
      <c r="N900" s="5">
        <f>N899+Trades!U881</f>
        <v>0.86146740004688438</v>
      </c>
      <c r="O900" s="5">
        <f>O899+Trades!W881</f>
        <v>0.35852049581728274</v>
      </c>
    </row>
    <row r="901" spans="12:15" x14ac:dyDescent="0.3">
      <c r="L901" s="4">
        <f>Trades!P902</f>
        <v>0</v>
      </c>
      <c r="M901" s="5">
        <f>M900+Trades!T902</f>
        <v>1.3645891783725261</v>
      </c>
      <c r="N901" s="5">
        <f>N900+Trades!U902</f>
        <v>0.86146740004688438</v>
      </c>
      <c r="O901" s="5">
        <f>O900+Trades!W902</f>
        <v>0.35852049581728274</v>
      </c>
    </row>
    <row r="902" spans="12:15" x14ac:dyDescent="0.3">
      <c r="L902" s="4">
        <f>Trades!P870</f>
        <v>0</v>
      </c>
      <c r="M902" s="5">
        <f>M901+Trades!T870</f>
        <v>1.3645891783725261</v>
      </c>
      <c r="N902" s="5">
        <f>N901+Trades!U870</f>
        <v>0.86146740004688438</v>
      </c>
      <c r="O902" s="5">
        <f>O901+Trades!W870</f>
        <v>0.35852049581728274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tabSelected="1" workbookViewId="0">
      <selection activeCell="H8" sqref="H8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50</v>
      </c>
      <c r="C2" s="16" t="s">
        <v>266</v>
      </c>
      <c r="J2" t="s">
        <v>267</v>
      </c>
    </row>
    <row r="3" spans="2:11" x14ac:dyDescent="0.3">
      <c r="B3" s="21" t="s">
        <v>57</v>
      </c>
      <c r="C3" s="21">
        <f>SUM(Trades!W2:W9652)</f>
        <v>0.37586230101810958</v>
      </c>
    </row>
    <row r="4" spans="2:11" x14ac:dyDescent="0.3">
      <c r="B4" s="21" t="s">
        <v>227</v>
      </c>
      <c r="C4" s="21">
        <f>COUNTA(Trades!A:A)-1</f>
        <v>137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268</v>
      </c>
      <c r="C5" s="21">
        <f>AVERAGE(Trades!W:W)</f>
        <v>2.7435204453876614E-3</v>
      </c>
      <c r="J5">
        <v>45874</v>
      </c>
      <c r="K5">
        <v>0</v>
      </c>
    </row>
    <row r="6" spans="2:11" x14ac:dyDescent="0.3">
      <c r="B6" s="21" t="s">
        <v>269</v>
      </c>
      <c r="C6" s="21">
        <f>_xlfn.STDEV.S(_xlfn.ANCHORARRAY(K4))</f>
        <v>0.18384880011075364</v>
      </c>
      <c r="J6">
        <v>45875</v>
      </c>
      <c r="K6">
        <v>0</v>
      </c>
    </row>
    <row r="7" spans="2:11" x14ac:dyDescent="0.3">
      <c r="B7" s="21" t="s">
        <v>270</v>
      </c>
      <c r="C7" s="21">
        <f>AVERAGE(_xlfn.ANCHORARRAY(K4))/_xlfn.STDEV.S(_xlfn.ANCHORARRAY(K4))*SQRT(252)</f>
        <v>2.523528374377709</v>
      </c>
      <c r="J7">
        <v>45876</v>
      </c>
      <c r="K7">
        <v>0</v>
      </c>
    </row>
    <row r="8" spans="2:11" x14ac:dyDescent="0.3">
      <c r="B8" s="21" t="s">
        <v>237</v>
      </c>
      <c r="C8" s="21">
        <f>MIN(Trades!W:W)</f>
        <v>-9.5289890925097653E-2</v>
      </c>
      <c r="J8">
        <v>45877</v>
      </c>
      <c r="K8">
        <v>0</v>
      </c>
    </row>
    <row r="9" spans="2:11" x14ac:dyDescent="0.3">
      <c r="B9" s="21" t="s">
        <v>271</v>
      </c>
      <c r="C9" s="21">
        <f>C8/C3</f>
        <v>-0.25352340648951238</v>
      </c>
      <c r="J9">
        <v>45880</v>
      </c>
      <c r="K9">
        <v>0</v>
      </c>
    </row>
    <row r="10" spans="2:11" x14ac:dyDescent="0.3">
      <c r="B10" s="21" t="s">
        <v>272</v>
      </c>
      <c r="C10" s="21"/>
      <c r="J10">
        <v>45881</v>
      </c>
      <c r="K10">
        <v>0</v>
      </c>
    </row>
    <row r="11" spans="2:11" x14ac:dyDescent="0.3">
      <c r="B11" s="21" t="s">
        <v>273</v>
      </c>
      <c r="C11" s="21"/>
      <c r="J11">
        <v>45882</v>
      </c>
      <c r="K11">
        <v>0</v>
      </c>
    </row>
    <row r="12" spans="2:11" x14ac:dyDescent="0.3">
      <c r="B12" s="21" t="s">
        <v>274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40" t="s">
        <v>275</v>
      </c>
      <c r="C16" s="32"/>
      <c r="D16" s="32"/>
      <c r="E16" s="33"/>
      <c r="J16">
        <v>45889</v>
      </c>
      <c r="K16">
        <v>0</v>
      </c>
    </row>
    <row r="17" spans="2:11" x14ac:dyDescent="0.3">
      <c r="B17" s="34"/>
      <c r="C17" s="41"/>
      <c r="D17" s="41"/>
      <c r="E17" s="36"/>
      <c r="J17">
        <v>45890</v>
      </c>
      <c r="K17">
        <v>0</v>
      </c>
    </row>
    <row r="18" spans="2:11" x14ac:dyDescent="0.3">
      <c r="B18" s="34"/>
      <c r="C18" s="41"/>
      <c r="D18" s="41"/>
      <c r="E18" s="36"/>
      <c r="J18">
        <v>45891</v>
      </c>
      <c r="K18">
        <v>0</v>
      </c>
    </row>
    <row r="19" spans="2:11" x14ac:dyDescent="0.3">
      <c r="B19" s="34"/>
      <c r="C19" s="41"/>
      <c r="D19" s="41"/>
      <c r="E19" s="36"/>
      <c r="J19">
        <v>45894</v>
      </c>
      <c r="K19">
        <v>0</v>
      </c>
    </row>
    <row r="20" spans="2:11" x14ac:dyDescent="0.3">
      <c r="B20" s="34"/>
      <c r="C20" s="41"/>
      <c r="D20" s="41"/>
      <c r="E20" s="36"/>
      <c r="J20">
        <v>45895</v>
      </c>
      <c r="K20">
        <v>0</v>
      </c>
    </row>
    <row r="21" spans="2:11" x14ac:dyDescent="0.3">
      <c r="B21" s="34"/>
      <c r="C21" s="41"/>
      <c r="D21" s="41"/>
      <c r="E21" s="36"/>
      <c r="J21">
        <v>45896</v>
      </c>
      <c r="K21">
        <v>0</v>
      </c>
    </row>
    <row r="22" spans="2:11" x14ac:dyDescent="0.3">
      <c r="B22" s="34"/>
      <c r="C22" s="41"/>
      <c r="D22" s="41"/>
      <c r="E22" s="36"/>
      <c r="J22">
        <v>45897</v>
      </c>
      <c r="K22">
        <v>0</v>
      </c>
    </row>
    <row r="23" spans="2:11" x14ac:dyDescent="0.3">
      <c r="B23" s="37"/>
      <c r="C23" s="38"/>
      <c r="D23" s="38"/>
      <c r="E23" s="39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1.7072010184716074E-2</v>
      </c>
    </row>
    <row r="75" spans="10:11" x14ac:dyDescent="0.3">
      <c r="J75">
        <v>45972</v>
      </c>
      <c r="K75">
        <v>9.7797584869012237E-4</v>
      </c>
    </row>
    <row r="76" spans="10:11" x14ac:dyDescent="0.3">
      <c r="J76">
        <v>45973</v>
      </c>
      <c r="K76">
        <v>4.2186115684549844E-2</v>
      </c>
    </row>
    <row r="77" spans="10:11" x14ac:dyDescent="0.3">
      <c r="J77">
        <v>45974</v>
      </c>
      <c r="K77">
        <v>-1.853784388103391E-3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-5.0750687863226049E-2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7.1203309843724152E-2</v>
      </c>
    </row>
    <row r="84" spans="10:11" x14ac:dyDescent="0.3">
      <c r="J84">
        <v>45985</v>
      </c>
      <c r="K84">
        <v>-2.4064751217423741E-2</v>
      </c>
    </row>
    <row r="85" spans="10:11" x14ac:dyDescent="0.3">
      <c r="J85">
        <v>45986</v>
      </c>
      <c r="K85">
        <v>-0.11946107418171296</v>
      </c>
    </row>
    <row r="86" spans="10:11" x14ac:dyDescent="0.3">
      <c r="J86">
        <v>45987</v>
      </c>
      <c r="K86">
        <v>-5.7820364484854839E-3</v>
      </c>
    </row>
    <row r="87" spans="10:11" x14ac:dyDescent="0.3">
      <c r="J87">
        <v>45988</v>
      </c>
      <c r="K87">
        <v>-2.2718210211665441E-2</v>
      </c>
    </row>
    <row r="88" spans="10:11" x14ac:dyDescent="0.3">
      <c r="J88">
        <v>45989</v>
      </c>
      <c r="K88">
        <v>6.0798931775253896E-3</v>
      </c>
    </row>
    <row r="89" spans="10:11" x14ac:dyDescent="0.3">
      <c r="J89">
        <v>45992</v>
      </c>
      <c r="K89">
        <v>5.4196404452471536E-2</v>
      </c>
    </row>
    <row r="90" spans="10:11" x14ac:dyDescent="0.3">
      <c r="J90">
        <v>45993</v>
      </c>
      <c r="K90">
        <v>6.0274983231619866E-2</v>
      </c>
    </row>
    <row r="91" spans="10:11" x14ac:dyDescent="0.3">
      <c r="J91">
        <v>45994</v>
      </c>
      <c r="K91">
        <v>-6.9549069355412454E-2</v>
      </c>
    </row>
    <row r="92" spans="10:11" x14ac:dyDescent="0.3">
      <c r="J92">
        <v>45995</v>
      </c>
      <c r="K92">
        <v>-0.11946419831822817</v>
      </c>
    </row>
    <row r="93" spans="10:11" x14ac:dyDescent="0.3">
      <c r="J93">
        <v>45996</v>
      </c>
      <c r="K93">
        <v>4.9448380767980825E-2</v>
      </c>
    </row>
    <row r="94" spans="10:11" x14ac:dyDescent="0.3">
      <c r="J94">
        <v>45999</v>
      </c>
      <c r="K94">
        <v>-5.4812856751972096E-3</v>
      </c>
    </row>
    <row r="95" spans="10:11" x14ac:dyDescent="0.3">
      <c r="J95">
        <v>46000</v>
      </c>
      <c r="K95">
        <v>1.2733149577062831E-2</v>
      </c>
    </row>
    <row r="96" spans="10:11" x14ac:dyDescent="0.3">
      <c r="J96">
        <v>46001</v>
      </c>
      <c r="K96">
        <v>9.8395588270314679E-2</v>
      </c>
    </row>
    <row r="97" spans="10:11" x14ac:dyDescent="0.3">
      <c r="J97">
        <v>46002</v>
      </c>
      <c r="K97">
        <v>4.3177369781132527E-2</v>
      </c>
    </row>
    <row r="98" spans="10:11" x14ac:dyDescent="0.3">
      <c r="J98">
        <v>46003</v>
      </c>
      <c r="K98">
        <v>9.7743718905276208E-3</v>
      </c>
    </row>
    <row r="99" spans="10:11" x14ac:dyDescent="0.3">
      <c r="J99">
        <v>46006</v>
      </c>
      <c r="K99">
        <v>-8.5313668826895769E-2</v>
      </c>
    </row>
    <row r="100" spans="10:11" x14ac:dyDescent="0.3">
      <c r="J100">
        <v>46007</v>
      </c>
      <c r="K100">
        <v>2.6012084856508567E-2</v>
      </c>
    </row>
    <row r="101" spans="10:11" x14ac:dyDescent="0.3">
      <c r="J101">
        <v>46008</v>
      </c>
      <c r="K101">
        <v>-5.5644003474410175E-2</v>
      </c>
    </row>
    <row r="102" spans="10:11" x14ac:dyDescent="0.3">
      <c r="J102">
        <v>46009</v>
      </c>
      <c r="K102">
        <v>-1.1240847318652249E-2</v>
      </c>
    </row>
    <row r="103" spans="10:11" x14ac:dyDescent="0.3">
      <c r="J103">
        <v>46010</v>
      </c>
      <c r="K103">
        <v>1.6612891146991892E-2</v>
      </c>
    </row>
    <row r="104" spans="10:11" x14ac:dyDescent="0.3">
      <c r="J104">
        <v>46013</v>
      </c>
      <c r="K104">
        <v>4.5692401404526545E-2</v>
      </c>
    </row>
    <row r="105" spans="10:11" x14ac:dyDescent="0.3">
      <c r="J105">
        <v>46014</v>
      </c>
      <c r="K105">
        <v>1.1683551153333627E-2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-6.018274359524748E-2</v>
      </c>
    </row>
    <row r="108" spans="10:11" x14ac:dyDescent="0.3">
      <c r="J108">
        <v>46017</v>
      </c>
      <c r="K108">
        <v>-0.29451925004395968</v>
      </c>
    </row>
    <row r="109" spans="10:11" x14ac:dyDescent="0.3">
      <c r="J109">
        <v>46020</v>
      </c>
      <c r="K109">
        <v>5.6192695798972389E-2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5.3070536040617414E-2</v>
      </c>
    </row>
    <row r="112" spans="10:11" x14ac:dyDescent="0.3">
      <c r="J112">
        <v>46023</v>
      </c>
      <c r="K112">
        <v>1.884220408560431E-2</v>
      </c>
    </row>
    <row r="113" spans="10:11" x14ac:dyDescent="0.3">
      <c r="J113">
        <v>46024</v>
      </c>
      <c r="K113">
        <v>3.7559654972922345E-2</v>
      </c>
    </row>
    <row r="114" spans="10:11" x14ac:dyDescent="0.3">
      <c r="J114">
        <v>46027</v>
      </c>
      <c r="K114">
        <v>-5.712552382400557E-2</v>
      </c>
    </row>
    <row r="115" spans="10:11" x14ac:dyDescent="0.3">
      <c r="J115">
        <v>46028</v>
      </c>
      <c r="K115">
        <v>-1.5652032498409083</v>
      </c>
    </row>
    <row r="116" spans="10:11" x14ac:dyDescent="0.3">
      <c r="J116">
        <v>46029</v>
      </c>
      <c r="K116">
        <v>-1.2847693920317216</v>
      </c>
    </row>
    <row r="117" spans="10:11" x14ac:dyDescent="0.3">
      <c r="J117">
        <v>46030</v>
      </c>
      <c r="K117">
        <v>0.62817997602566022</v>
      </c>
    </row>
    <row r="118" spans="10:11" x14ac:dyDescent="0.3">
      <c r="J118">
        <v>46031</v>
      </c>
      <c r="K118">
        <v>-1.3554095580646359E-2</v>
      </c>
    </row>
    <row r="119" spans="10:11" x14ac:dyDescent="0.3">
      <c r="J119">
        <v>46034</v>
      </c>
      <c r="K119">
        <v>0.49893761686543808</v>
      </c>
    </row>
    <row r="120" spans="10:11" x14ac:dyDescent="0.3">
      <c r="J120">
        <v>46035</v>
      </c>
      <c r="K120">
        <v>0.11744146931249505</v>
      </c>
    </row>
    <row r="121" spans="10:11" x14ac:dyDescent="0.3">
      <c r="J121">
        <v>46036</v>
      </c>
      <c r="K121">
        <v>0.47854760236499883</v>
      </c>
    </row>
    <row r="122" spans="10:11" x14ac:dyDescent="0.3">
      <c r="J122">
        <v>46037</v>
      </c>
      <c r="K122">
        <v>0.27945053954017379</v>
      </c>
    </row>
    <row r="123" spans="10:11" x14ac:dyDescent="0.3">
      <c r="J123">
        <v>46038</v>
      </c>
      <c r="K123">
        <v>0.23037509053101127</v>
      </c>
    </row>
    <row r="124" spans="10:11" x14ac:dyDescent="0.3">
      <c r="J124">
        <v>46041</v>
      </c>
      <c r="K124">
        <v>0.15752752125702124</v>
      </c>
    </row>
    <row r="125" spans="10:11" x14ac:dyDescent="0.3">
      <c r="J125">
        <v>46042</v>
      </c>
      <c r="K125">
        <v>-6.4075870311516653E-2</v>
      </c>
    </row>
    <row r="126" spans="10:11" x14ac:dyDescent="0.3">
      <c r="J126">
        <v>46043</v>
      </c>
      <c r="K126">
        <v>-2.2556980244714229E-2</v>
      </c>
    </row>
    <row r="127" spans="10:11" x14ac:dyDescent="0.3">
      <c r="J127">
        <v>46044</v>
      </c>
      <c r="K127">
        <v>2.7600769833575657E-2</v>
      </c>
    </row>
    <row r="128" spans="10:11" x14ac:dyDescent="0.3">
      <c r="J128">
        <v>46045</v>
      </c>
      <c r="K128">
        <v>4.5200693668415538E-2</v>
      </c>
    </row>
    <row r="129" spans="10:11" x14ac:dyDescent="0.3">
      <c r="J129">
        <v>46048</v>
      </c>
      <c r="K129">
        <v>-5.7262112287053531E-2</v>
      </c>
    </row>
    <row r="130" spans="10:11" x14ac:dyDescent="0.3">
      <c r="J130">
        <v>46049</v>
      </c>
      <c r="K130">
        <v>0.17627964472004098</v>
      </c>
    </row>
    <row r="131" spans="10:11" x14ac:dyDescent="0.3">
      <c r="J131">
        <v>46050</v>
      </c>
      <c r="K131">
        <v>-0.10703673050163168</v>
      </c>
    </row>
    <row r="132" spans="10:11" x14ac:dyDescent="0.3">
      <c r="J132">
        <v>46051</v>
      </c>
      <c r="K132">
        <v>0.23684075783354308</v>
      </c>
    </row>
    <row r="133" spans="10:11" x14ac:dyDescent="0.3">
      <c r="J133">
        <v>46052</v>
      </c>
      <c r="K133">
        <v>-9.6372918586599306E-3</v>
      </c>
    </row>
    <row r="134" spans="10:11" x14ac:dyDescent="0.3">
      <c r="J134">
        <v>46055</v>
      </c>
      <c r="K134">
        <v>-2.044749694185978E-2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-3.8694847598341131E-2</v>
      </c>
    </row>
    <row r="145" spans="10:11" x14ac:dyDescent="0.3">
      <c r="J145">
        <v>46070</v>
      </c>
      <c r="K145">
        <v>0.11640453436302398</v>
      </c>
    </row>
    <row r="146" spans="10:11" x14ac:dyDescent="0.3">
      <c r="J146">
        <v>46071</v>
      </c>
      <c r="K146">
        <v>2.060032140132902E-2</v>
      </c>
    </row>
    <row r="147" spans="10:11" x14ac:dyDescent="0.3">
      <c r="J147">
        <v>46072</v>
      </c>
      <c r="K147">
        <v>0.15925315752894956</v>
      </c>
    </row>
    <row r="148" spans="10:11" x14ac:dyDescent="0.3">
      <c r="J148">
        <v>46073</v>
      </c>
      <c r="K148">
        <v>7.0443525287080255E-2</v>
      </c>
    </row>
    <row r="149" spans="10:11" x14ac:dyDescent="0.3">
      <c r="J149">
        <v>46076</v>
      </c>
      <c r="K149">
        <v>0.12081422122469684</v>
      </c>
    </row>
    <row r="150" spans="10:11" x14ac:dyDescent="0.3">
      <c r="J150">
        <v>46077</v>
      </c>
      <c r="K150">
        <v>0.33592785417051246</v>
      </c>
    </row>
    <row r="151" spans="10:11" x14ac:dyDescent="0.3">
      <c r="J151">
        <v>46078</v>
      </c>
      <c r="K151">
        <v>3.6523872094167208E-2</v>
      </c>
    </row>
    <row r="152" spans="10:11" x14ac:dyDescent="0.3">
      <c r="J152">
        <v>46079</v>
      </c>
      <c r="K152">
        <v>1.7383302460774137E-2</v>
      </c>
    </row>
    <row r="153" spans="10:11" x14ac:dyDescent="0.3">
      <c r="J153">
        <v>46080</v>
      </c>
      <c r="K153">
        <v>6.9062797178259222E-2</v>
      </c>
    </row>
    <row r="154" spans="10:11" x14ac:dyDescent="0.3">
      <c r="J154">
        <v>46083</v>
      </c>
      <c r="K154">
        <v>0.11042059282744557</v>
      </c>
    </row>
    <row r="155" spans="10:11" x14ac:dyDescent="0.3">
      <c r="J155">
        <v>46084</v>
      </c>
      <c r="K155">
        <v>6.9202835869394269E-2</v>
      </c>
    </row>
    <row r="156" spans="10:11" x14ac:dyDescent="0.3">
      <c r="J156">
        <v>46085</v>
      </c>
      <c r="K156">
        <v>1.197049079531395E-2</v>
      </c>
    </row>
    <row r="157" spans="10:11" x14ac:dyDescent="0.3">
      <c r="J157">
        <v>46086</v>
      </c>
      <c r="K157">
        <v>0.26884183944566842</v>
      </c>
    </row>
    <row r="158" spans="10:11" x14ac:dyDescent="0.3">
      <c r="J158">
        <v>46087</v>
      </c>
      <c r="K158">
        <v>4.7508070859854916E-2</v>
      </c>
    </row>
    <row r="159" spans="10:11" x14ac:dyDescent="0.3">
      <c r="J159">
        <v>46090</v>
      </c>
      <c r="K159">
        <v>3.0876639133361361E-2</v>
      </c>
    </row>
    <row r="160" spans="10:11" x14ac:dyDescent="0.3">
      <c r="J160">
        <v>46091</v>
      </c>
      <c r="K160">
        <v>6.6141624481698913E-2</v>
      </c>
    </row>
    <row r="161" spans="10:11" x14ac:dyDescent="0.3">
      <c r="J161">
        <v>46092</v>
      </c>
      <c r="K161">
        <v>0.46878414040057409</v>
      </c>
    </row>
    <row r="162" spans="10:11" x14ac:dyDescent="0.3">
      <c r="J162">
        <v>46093</v>
      </c>
      <c r="K162">
        <v>5.2744911201312146E-2</v>
      </c>
    </row>
    <row r="163" spans="10:11" x14ac:dyDescent="0.3">
      <c r="J163">
        <v>46094</v>
      </c>
      <c r="K163">
        <v>0.14086216006778113</v>
      </c>
    </row>
    <row r="164" spans="10:11" x14ac:dyDescent="0.3">
      <c r="J164">
        <v>46097</v>
      </c>
      <c r="K164">
        <v>-1.7970247800480503E-2</v>
      </c>
    </row>
    <row r="165" spans="10:11" x14ac:dyDescent="0.3">
      <c r="J165">
        <v>46098</v>
      </c>
      <c r="K165">
        <v>-3.3083785777110755E-2</v>
      </c>
    </row>
    <row r="166" spans="10:11" x14ac:dyDescent="0.3">
      <c r="J166">
        <v>46099</v>
      </c>
      <c r="K166">
        <v>0.12132327502283673</v>
      </c>
    </row>
    <row r="167" spans="10:11" x14ac:dyDescent="0.3">
      <c r="J167">
        <v>46100</v>
      </c>
      <c r="K167">
        <v>3.3822809818555177E-2</v>
      </c>
    </row>
    <row r="168" spans="10:11" x14ac:dyDescent="0.3">
      <c r="J168">
        <v>46101</v>
      </c>
      <c r="K168">
        <v>0.3183196801479366</v>
      </c>
    </row>
    <row r="169" spans="10:11" x14ac:dyDescent="0.3">
      <c r="J169">
        <v>46104</v>
      </c>
      <c r="K169">
        <v>0.14605889758898227</v>
      </c>
    </row>
    <row r="170" spans="10:11" x14ac:dyDescent="0.3">
      <c r="J170">
        <v>46105</v>
      </c>
      <c r="K170">
        <v>-8.6689317386752077E-2</v>
      </c>
    </row>
    <row r="171" spans="10:11" x14ac:dyDescent="0.3">
      <c r="J171">
        <v>46106</v>
      </c>
      <c r="K171">
        <v>2.9126200302984698E-2</v>
      </c>
    </row>
    <row r="172" spans="10:11" x14ac:dyDescent="0.3">
      <c r="J172">
        <v>46107</v>
      </c>
      <c r="K172">
        <v>1.9309959325801179E-2</v>
      </c>
    </row>
    <row r="173" spans="10:11" x14ac:dyDescent="0.3">
      <c r="J173">
        <v>46108</v>
      </c>
      <c r="K173">
        <v>8.4609990135528959E-2</v>
      </c>
    </row>
    <row r="174" spans="10:11" x14ac:dyDescent="0.3">
      <c r="J174">
        <v>46111</v>
      </c>
      <c r="K174">
        <v>-8.1956369982099125E-2</v>
      </c>
    </row>
    <row r="175" spans="10:11" x14ac:dyDescent="0.3">
      <c r="J175">
        <v>46112</v>
      </c>
      <c r="K175">
        <v>0.75366243165646096</v>
      </c>
    </row>
    <row r="176" spans="10:11" x14ac:dyDescent="0.3">
      <c r="J176">
        <v>46113</v>
      </c>
      <c r="K176">
        <v>0.53388425753373803</v>
      </c>
    </row>
    <row r="177" spans="10:11" x14ac:dyDescent="0.3">
      <c r="J177">
        <v>46114</v>
      </c>
      <c r="K177">
        <v>-0.18977585150410825</v>
      </c>
    </row>
    <row r="178" spans="10:11" x14ac:dyDescent="0.3">
      <c r="J178">
        <v>46115</v>
      </c>
      <c r="K178">
        <v>-0.20699941370164013</v>
      </c>
    </row>
    <row r="179" spans="10:11" x14ac:dyDescent="0.3">
      <c r="J179">
        <v>46118</v>
      </c>
      <c r="K179">
        <v>0.39728890847574821</v>
      </c>
    </row>
    <row r="180" spans="10:11" x14ac:dyDescent="0.3">
      <c r="J180">
        <v>46119</v>
      </c>
      <c r="K180">
        <v>-1.8546096945375706E-2</v>
      </c>
    </row>
    <row r="181" spans="10:11" x14ac:dyDescent="0.3">
      <c r="J181">
        <v>46120</v>
      </c>
      <c r="K181">
        <v>6.8628065763792906E-2</v>
      </c>
    </row>
    <row r="182" spans="10:11" x14ac:dyDescent="0.3">
      <c r="J182">
        <v>46121</v>
      </c>
      <c r="K182">
        <v>0.15061518949465094</v>
      </c>
    </row>
    <row r="183" spans="10:11" x14ac:dyDescent="0.3">
      <c r="J183">
        <v>46122</v>
      </c>
      <c r="K183">
        <v>7.9254891234530542E-2</v>
      </c>
    </row>
    <row r="184" spans="10:11" x14ac:dyDescent="0.3">
      <c r="J184">
        <v>46125</v>
      </c>
      <c r="K184">
        <v>8.7909302481026685E-2</v>
      </c>
    </row>
    <row r="185" spans="10:11" x14ac:dyDescent="0.3">
      <c r="J185">
        <v>46126</v>
      </c>
      <c r="K185">
        <v>3.9157387946100394E-2</v>
      </c>
    </row>
    <row r="186" spans="10:11" x14ac:dyDescent="0.3">
      <c r="J186">
        <v>46127</v>
      </c>
      <c r="K186">
        <v>7.6351444143394911E-2</v>
      </c>
    </row>
    <row r="187" spans="10:11" x14ac:dyDescent="0.3">
      <c r="J187">
        <v>46128</v>
      </c>
      <c r="K187">
        <v>7.5719219460167075E-2</v>
      </c>
    </row>
    <row r="188" spans="10:11" x14ac:dyDescent="0.3">
      <c r="J188">
        <v>46129</v>
      </c>
      <c r="K188">
        <v>0.154156307909496</v>
      </c>
    </row>
    <row r="189" spans="10:11" x14ac:dyDescent="0.3">
      <c r="J189">
        <v>46132</v>
      </c>
      <c r="K189">
        <v>7.2769810565065332E-2</v>
      </c>
    </row>
    <row r="190" spans="10:11" x14ac:dyDescent="0.3">
      <c r="J190">
        <v>46133</v>
      </c>
      <c r="K190">
        <v>4.2065829794822041E-3</v>
      </c>
    </row>
    <row r="191" spans="10:11" x14ac:dyDescent="0.3">
      <c r="J191">
        <v>46134</v>
      </c>
      <c r="K191">
        <v>-1.1209691959589076E-2</v>
      </c>
    </row>
    <row r="192" spans="10:11" x14ac:dyDescent="0.3">
      <c r="J192">
        <v>46135</v>
      </c>
      <c r="K192">
        <v>0.22672791228922287</v>
      </c>
    </row>
    <row r="193" spans="10:11" x14ac:dyDescent="0.3">
      <c r="J193">
        <v>46136</v>
      </c>
      <c r="K193">
        <v>-5.4295497265431758E-2</v>
      </c>
    </row>
    <row r="194" spans="10:11" x14ac:dyDescent="0.3">
      <c r="J194">
        <v>46139</v>
      </c>
      <c r="K194">
        <v>5.4914051169281816E-2</v>
      </c>
    </row>
    <row r="195" spans="10:11" x14ac:dyDescent="0.3">
      <c r="J195">
        <v>46140</v>
      </c>
      <c r="K195">
        <v>-1.3332870137799669E-2</v>
      </c>
    </row>
    <row r="196" spans="10:11" x14ac:dyDescent="0.3">
      <c r="J196">
        <v>46141</v>
      </c>
      <c r="K196">
        <v>-2.1871095995866008E-2</v>
      </c>
    </row>
    <row r="197" spans="10:11" x14ac:dyDescent="0.3">
      <c r="J197">
        <v>46142</v>
      </c>
      <c r="K197">
        <v>6.5978162440020804E-2</v>
      </c>
    </row>
    <row r="198" spans="10:11" x14ac:dyDescent="0.3">
      <c r="J198">
        <v>46143</v>
      </c>
      <c r="K198">
        <v>0.19858883928129789</v>
      </c>
    </row>
    <row r="199" spans="10:11" x14ac:dyDescent="0.3">
      <c r="J199">
        <v>46146</v>
      </c>
      <c r="K199">
        <v>-6.5496251008853867E-2</v>
      </c>
    </row>
    <row r="200" spans="10:11" x14ac:dyDescent="0.3">
      <c r="J200">
        <v>46147</v>
      </c>
      <c r="K200">
        <v>-2.9193447208510748E-2</v>
      </c>
    </row>
    <row r="201" spans="10:11" x14ac:dyDescent="0.3">
      <c r="J201">
        <v>46148</v>
      </c>
      <c r="K201">
        <v>8.264116686665518E-2</v>
      </c>
    </row>
    <row r="202" spans="10:11" x14ac:dyDescent="0.3">
      <c r="J202">
        <v>46149</v>
      </c>
      <c r="K202">
        <v>-2.9609002758499446E-2</v>
      </c>
    </row>
    <row r="203" spans="10:11" x14ac:dyDescent="0.3">
      <c r="J203">
        <v>46150</v>
      </c>
      <c r="K203">
        <v>0.12948156520984883</v>
      </c>
    </row>
    <row r="204" spans="10:11" x14ac:dyDescent="0.3">
      <c r="J204">
        <v>46153</v>
      </c>
      <c r="K204">
        <v>7.0694722261288076E-2</v>
      </c>
    </row>
    <row r="205" spans="10:11" x14ac:dyDescent="0.3">
      <c r="J205">
        <v>46154</v>
      </c>
      <c r="K205">
        <v>0.23726350348689593</v>
      </c>
    </row>
    <row r="206" spans="10:11" x14ac:dyDescent="0.3">
      <c r="J206">
        <v>46155</v>
      </c>
      <c r="K206">
        <v>-0.5270583334773884</v>
      </c>
    </row>
    <row r="207" spans="10:11" x14ac:dyDescent="0.3">
      <c r="J207">
        <v>46156</v>
      </c>
      <c r="K207">
        <v>6.9285338165992458E-2</v>
      </c>
    </row>
    <row r="208" spans="10:11" x14ac:dyDescent="0.3">
      <c r="J208">
        <v>46157</v>
      </c>
      <c r="K208">
        <v>-2.9188964664584385E-2</v>
      </c>
    </row>
    <row r="209" spans="10:11" x14ac:dyDescent="0.3">
      <c r="J209">
        <v>46160</v>
      </c>
      <c r="K209">
        <v>0.40092432120098109</v>
      </c>
    </row>
    <row r="210" spans="10:11" x14ac:dyDescent="0.3">
      <c r="J210">
        <v>46161</v>
      </c>
      <c r="K210">
        <v>0.10241454550767995</v>
      </c>
    </row>
    <row r="211" spans="10:11" x14ac:dyDescent="0.3">
      <c r="J211">
        <v>46162</v>
      </c>
      <c r="K211">
        <v>0.11281110233313399</v>
      </c>
    </row>
    <row r="212" spans="10:11" x14ac:dyDescent="0.3">
      <c r="J212">
        <v>46163</v>
      </c>
      <c r="K212">
        <v>0.56425903056486582</v>
      </c>
    </row>
    <row r="213" spans="10:11" x14ac:dyDescent="0.3">
      <c r="J213">
        <v>46164</v>
      </c>
      <c r="K213">
        <v>0.2668704401515497</v>
      </c>
    </row>
    <row r="214" spans="10:11" x14ac:dyDescent="0.3">
      <c r="J214">
        <v>46167</v>
      </c>
      <c r="K214">
        <v>0.33309465633738072</v>
      </c>
    </row>
    <row r="215" spans="10:11" x14ac:dyDescent="0.3">
      <c r="J215">
        <v>46168</v>
      </c>
      <c r="K215">
        <v>0.46194697465561019</v>
      </c>
    </row>
    <row r="216" spans="10:11" x14ac:dyDescent="0.3">
      <c r="J216">
        <v>46169</v>
      </c>
      <c r="K216">
        <v>-9.5103554844286453E-2</v>
      </c>
    </row>
    <row r="217" spans="10:11" x14ac:dyDescent="0.3">
      <c r="J217">
        <v>46170</v>
      </c>
      <c r="K217">
        <v>-0.11501862213358008</v>
      </c>
    </row>
    <row r="218" spans="10:11" x14ac:dyDescent="0.3">
      <c r="J218">
        <v>46171</v>
      </c>
      <c r="K218">
        <v>0.15188478512448372</v>
      </c>
    </row>
    <row r="219" spans="10:11" x14ac:dyDescent="0.3">
      <c r="J219">
        <v>46174</v>
      </c>
      <c r="K219">
        <v>0.26850389527382806</v>
      </c>
    </row>
    <row r="220" spans="10:11" x14ac:dyDescent="0.3">
      <c r="J220">
        <v>46175</v>
      </c>
      <c r="K220">
        <v>-0.11773196633536702</v>
      </c>
    </row>
    <row r="221" spans="10:11" x14ac:dyDescent="0.3">
      <c r="J221">
        <v>46176</v>
      </c>
      <c r="K221">
        <v>-9.4124999023078859E-2</v>
      </c>
    </row>
    <row r="222" spans="10:11" x14ac:dyDescent="0.3">
      <c r="J222">
        <v>46177</v>
      </c>
      <c r="K222">
        <v>6.5952074974782796E-2</v>
      </c>
    </row>
    <row r="223" spans="10:11" x14ac:dyDescent="0.3">
      <c r="J223">
        <v>46178</v>
      </c>
      <c r="K223">
        <v>2.3860594687832866E-2</v>
      </c>
    </row>
    <row r="224" spans="10:11" x14ac:dyDescent="0.3">
      <c r="J224">
        <v>46181</v>
      </c>
      <c r="K224">
        <v>5.0291216926478435E-2</v>
      </c>
    </row>
    <row r="225" spans="10:11" x14ac:dyDescent="0.3">
      <c r="J225">
        <v>46182</v>
      </c>
      <c r="K225">
        <v>7.9109357745716091E-2</v>
      </c>
    </row>
    <row r="226" spans="10:11" x14ac:dyDescent="0.3">
      <c r="J226">
        <v>46183</v>
      </c>
      <c r="K226">
        <v>-0.17055652051790715</v>
      </c>
    </row>
    <row r="227" spans="10:11" x14ac:dyDescent="0.3">
      <c r="J227">
        <v>46184</v>
      </c>
      <c r="K227">
        <v>-1.7245513389688258E-2</v>
      </c>
    </row>
    <row r="228" spans="10:11" x14ac:dyDescent="0.3">
      <c r="J228">
        <v>46185</v>
      </c>
      <c r="K228">
        <v>-5.0106103327416072E-2</v>
      </c>
    </row>
    <row r="229" spans="10:11" x14ac:dyDescent="0.3">
      <c r="J229">
        <v>46188</v>
      </c>
      <c r="K229">
        <v>0.13630291920822413</v>
      </c>
    </row>
    <row r="230" spans="10:11" x14ac:dyDescent="0.3">
      <c r="J230">
        <v>46189</v>
      </c>
      <c r="K230">
        <v>4.4129099437316029E-2</v>
      </c>
    </row>
    <row r="231" spans="10:11" x14ac:dyDescent="0.3">
      <c r="J231">
        <v>46190</v>
      </c>
      <c r="K231">
        <v>5.7799624277952023E-2</v>
      </c>
    </row>
    <row r="232" spans="10:11" x14ac:dyDescent="0.3">
      <c r="J232">
        <v>46191</v>
      </c>
      <c r="K232">
        <v>0.29368668496886124</v>
      </c>
    </row>
    <row r="233" spans="10:11" x14ac:dyDescent="0.3">
      <c r="J233">
        <v>46192</v>
      </c>
      <c r="K233">
        <v>4.8642609668665848E-2</v>
      </c>
    </row>
    <row r="234" spans="10:11" x14ac:dyDescent="0.3">
      <c r="J234">
        <v>46195</v>
      </c>
      <c r="K234">
        <v>2.9677591715991158E-2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2026-08-22T16:43:45Z</dcterms:modified>
</cp:coreProperties>
</file>