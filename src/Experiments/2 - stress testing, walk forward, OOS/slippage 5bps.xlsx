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StatArbBot\src\Experiments\2 - stress testing, walk forward, OOS\"/>
    </mc:Choice>
  </mc:AlternateContent>
  <xr:revisionPtr revIDLastSave="0" documentId="13_ncr:1_{941D20D1-CB1F-4C91-A7BA-18497E46C0B0}" xr6:coauthVersionLast="47" xr6:coauthVersionMax="47" xr10:uidLastSave="{00000000-0000-0000-0000-000000000000}"/>
  <bookViews>
    <workbookView xWindow="-120" yWindow="-120" windowWidth="29040" windowHeight="15720" activeTab="2" xr2:uid="{00000000-000D-0000-FFFF-FFFF00000000}"/>
  </bookViews>
  <sheets>
    <sheet name="Trades" sheetId="1" r:id="rId1"/>
    <sheet name="Analysis" sheetId="2" r:id="rId2"/>
    <sheet name="Phase Analysis" sheetId="3" r:id="rId3"/>
  </sheets>
  <externalReferences>
    <externalReference r:id="rId4"/>
    <externalReference r:id="rId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77" i="2" l="1"/>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a="1"/>
  <c r="C21" i="2" s="1"/>
  <c r="L20" i="2"/>
  <c r="D20" i="2"/>
  <c r="C20" i="2"/>
  <c r="L19" i="2"/>
  <c r="L18" i="2"/>
  <c r="L17" i="2"/>
  <c r="C17" i="2"/>
  <c r="L16" i="2"/>
  <c r="C16" i="2"/>
  <c r="L15" i="2"/>
  <c r="C15" i="2"/>
  <c r="L14" i="2"/>
  <c r="C14" i="2"/>
  <c r="L13" i="2"/>
  <c r="T12" i="2"/>
  <c r="S12" i="2"/>
  <c r="L12" i="2"/>
  <c r="E11" i="2"/>
  <c r="D11" i="2"/>
  <c r="C11" i="2"/>
  <c r="T10" i="2"/>
  <c r="S10" i="2"/>
  <c r="L10" i="2"/>
  <c r="E10" i="2"/>
  <c r="D10" i="2"/>
  <c r="C10" i="2"/>
  <c r="T9" i="2"/>
  <c r="S9" i="2"/>
  <c r="L9" i="2"/>
  <c r="E9" i="2"/>
  <c r="D9" i="2"/>
  <c r="C9" i="2"/>
  <c r="T8" i="2"/>
  <c r="S8" i="2"/>
  <c r="L8" i="2"/>
  <c r="E8" i="2"/>
  <c r="D8" i="2"/>
  <c r="C8" i="2"/>
  <c r="T7" i="2"/>
  <c r="S7" i="2"/>
  <c r="L7" i="2"/>
  <c r="E7" i="2"/>
  <c r="D7" i="2"/>
  <c r="C7" i="2"/>
  <c r="T6" i="2"/>
  <c r="S6" i="2"/>
  <c r="L6" i="2"/>
  <c r="E6" i="2"/>
  <c r="D6" i="2"/>
  <c r="C6" i="2"/>
  <c r="T5" i="2"/>
  <c r="S5" i="2"/>
  <c r="L5" i="2"/>
  <c r="E5" i="2"/>
  <c r="D5" i="2"/>
  <c r="C5" i="2"/>
  <c r="T4" i="2"/>
  <c r="S4" i="2"/>
  <c r="L4" i="2"/>
  <c r="T3" i="2"/>
  <c r="S3" i="2"/>
  <c r="O3" i="2"/>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L3" i="2"/>
  <c r="T2" i="2"/>
  <c r="S2" i="2"/>
  <c r="O2" i="2"/>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M2" i="2"/>
  <c r="M3" i="2" s="1"/>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L2" i="2"/>
</calcChain>
</file>

<file path=xl/sharedStrings.xml><?xml version="1.0" encoding="utf-8"?>
<sst xmlns="http://schemas.openxmlformats.org/spreadsheetml/2006/main" count="2392" uniqueCount="97">
  <si>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</si>
  <si>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</si>
  <si>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</si>
  <si>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</si>
  <si>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</si>
  <si>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</si>
  <si>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</si>
  <si>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</si>
  <si>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</si>
  <si>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</si>
  <si>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</si>
  <si>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</si>
  <si>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</si>
  <si>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</si>
  <si>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</si>
  <si>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</si>
  <si>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</si>
  <si>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</si>
  <si>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</si>
  <si>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</si>
  <si>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</si>
  <si>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</si>
  <si>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</si>
  <si>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</si>
  <si>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</si>
  <si>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</si>
  <si>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</si>
  <si>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</si>
  <si>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</si>
  <si>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</si>
  <si>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</si>
  <si>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</si>
  <si>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</si>
  <si>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</si>
  <si>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</si>
  <si>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</si>
  <si>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</si>
  <si>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</si>
  <si>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</si>
  <si>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</si>
  <si>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</si>
  <si>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</si>
  <si>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</si>
  <si>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</si>
  <si>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</si>
  <si>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</si>
  <si>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</si>
  <si>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</si>
  <si>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</si>
  <si>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</si>
  <si>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</si>
  <si>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</si>
  <si>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</si>
  <si>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</si>
  <si>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</si>
  <si>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</si>
  <si>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</si>
  <si>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</si>
  <si>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</si>
  <si>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</si>
  <si>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</si>
  <si>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</si>
  <si>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</si>
  <si>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</si>
  <si>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</si>
  <si>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</si>
  <si>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</si>
  <si>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</si>
  <si>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</si>
  <si>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</si>
  <si>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</si>
  <si>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</si>
  <si>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</si>
  <si>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</si>
  <si>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</si>
  <si>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</si>
  <si>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</si>
  <si>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</si>
  <si>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</si>
  <si>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</si>
  <si>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</si>
  <si>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</si>
  <si>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</si>
  <si>
    <t>inflection points around 86299 and 163000</t>
  </si>
  <si>
    <t>Metric</t>
  </si>
  <si>
    <t>Gross P&amp;L</t>
  </si>
  <si>
    <t>Gross P&amp;L / trade</t>
  </si>
  <si>
    <t>Net P&amp;L @ base slippage</t>
  </si>
  <si>
    <t>Net P&amp;L @ 5bps</t>
  </si>
  <si>
    <t>Net PF @ 5bps</t>
  </si>
  <si>
    <t>Mean winner</t>
  </si>
  <si>
    <t>Mean loser</t>
  </si>
  <si>
    <t>Mean |entry Z|</t>
  </si>
  <si>
    <t>Trading frequency</t>
  </si>
  <si>
    <t>Phase 1 - Aug 2022 - June 2023</t>
  </si>
  <si>
    <t>Phase 2 - June 2023 - April 2024</t>
  </si>
  <si>
    <t>Phase 3 - April 2024 - Aug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</si>
</sst>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7" x14ac:knownFonts="1">
    <font>
      <sz val="11"/>
      <color theme="1"/>
      <name val="Calibri"/>
      <family val="2"/>
      <scheme val="minor"/>
    </font>
    <font>
      <sz val="11"/>
      <color theme="1"/>
      <name val="Calibri"/>
      <family val="2"/>
    </font>
    <font>
      <sz val="11"/>
      <color theme="1"/>
      <name val="Calibri"/>
    </font>
    <font>
      <b/>
      <sz val="11"/>
      <color rgb="FFFFFFFF"/>
      <name val="Calibri"/>
      <family val="2"/>
    </font>
    <font>
      <b/>
      <sz val="11"/>
      <color theme="1"/>
      <name val="Calibri"/>
      <family val="2"/>
    </font>
    <font>
      <b/>
      <sz val="11"/>
      <name val="Calibri"/>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9" fontId="1" fillId="0" borderId="0"/>
  </cellStyleXfs>
  <cellXfs count="35">
    <xf numFmtId="0" fontId="0" fillId="0" borderId="0" xfId="0"/>
    <xf numFmtId="0" fontId="2" fillId="0" borderId="0" xfId="1"/>
    <xf numFmtId="0" fontId="3" fillId="2" borderId="2" xfId="1" applyFont="1" applyFill="1" applyBorder="1" applyAlignment="1">
      <alignment horizontal="center"/>
    </xf>
    <xf numFmtId="0" fontId="3" fillId="2" borderId="3" xfId="1" applyFont="1" applyFill="1" applyBorder="1" applyAlignment="1">
      <alignment horizontal="center"/>
    </xf>
    <xf numFmtId="0" fontId="3" fillId="2" borderId="4" xfId="1" applyFont="1" applyFill="1" applyBorder="1" applyAlignment="1">
      <alignment horizontal="center"/>
    </xf>
    <xf numFmtId="0" fontId="3" fillId="2" borderId="0" xfId="1" applyFont="1" applyFill="1" applyAlignment="1">
      <alignment horizontal="center"/>
    </xf>
    <xf numFmtId="1" fontId="2" fillId="0" borderId="0" xfId="1" applyNumberFormat="1"/>
    <xf numFmtId="164" fontId="2" fillId="0" borderId="0" xfId="1" applyNumberFormat="1"/>
    <xf numFmtId="165" fontId="2" fillId="0" borderId="0" xfId="1" applyNumberFormat="1"/>
    <xf numFmtId="9" fontId="4" fillId="0" borderId="0" xfId="2" applyFont="1"/>
    <xf numFmtId="9" fontId="0" fillId="0" borderId="0" xfId="2" applyFont="1"/>
    <xf numFmtId="0" fontId="1" fillId="0" borderId="0" xfId="1" applyFont="1"/>
    <xf numFmtId="165" fontId="0" fillId="0" borderId="0" xfId="2" applyNumberFormat="1" applyFont="1"/>
    <xf numFmtId="9" fontId="4" fillId="0" borderId="0" xfId="1" applyNumberFormat="1" applyFont="1"/>
    <xf numFmtId="0" fontId="4" fillId="0" borderId="0" xfId="1" applyFont="1"/>
    <xf numFmtId="0" fontId="1" fillId="0" borderId="1" xfId="1" applyFont="1" applyBorder="1"/>
    <xf numFmtId="0" fontId="5" fillId="0" borderId="15" xfId="0" applyFont="1" applyBorder="1" applyAlignment="1">
      <alignment horizontal="center" vertical="top"/>
    </xf>
    <xf numFmtId="0" fontId="2" fillId="0" borderId="14" xfId="1" applyBorder="1" applyAlignment="1">
      <alignment horizontal="center"/>
    </xf>
    <xf numFmtId="0" fontId="0" fillId="0" borderId="5" xfId="0" applyBorder="1"/>
    <xf numFmtId="0" fontId="0" fillId="0" borderId="6" xfId="0" applyBorder="1"/>
    <xf numFmtId="0" fontId="1" fillId="0" borderId="14" xfId="1" applyFont="1" applyBorder="1" applyAlignment="1">
      <alignment horizontal="left" vertical="top" wrapText="1"/>
    </xf>
    <xf numFmtId="0" fontId="0" fillId="0" borderId="7" xfId="0" applyBorder="1"/>
    <xf numFmtId="0" fontId="0" fillId="0" borderId="8" xfId="0" applyBorder="1"/>
    <xf numFmtId="0" fontId="0" fillId="0" borderId="9" xfId="0" applyBorder="1"/>
    <xf numFmtId="0" fontId="2" fillId="0" borderId="0" xfId="1"/>
    <xf numFmtId="0" fontId="0" fillId="0" borderId="10" xfId="0" applyBorder="1"/>
    <xf numFmtId="0" fontId="0" fillId="0" borderId="11" xfId="0" applyBorder="1"/>
    <xf numFmtId="0" fontId="0" fillId="0" borderId="12" xfId="0" applyBorder="1"/>
    <xf numFmtId="0" fontId="0" fillId="0" borderId="13" xfId="0" applyBorder="1"/>
    <xf numFmtId="0" fontId="0" fillId="3" borderId="0" xfId="0" applyFill="1"/>
    <xf numFmtId="0" fontId="6" fillId="0" borderId="0" xfId="0" applyFont="1" applyAlignment="1">
      <alignment horizontal="center" vertical="center" wrapText="1"/>
    </xf>
    <xf numFmtId="0" fontId="0" fillId="0" borderId="0" xfId="0" applyAlignment="1">
      <alignment horizontal="right" vertical="center" wrapText="1"/>
    </xf>
    <xf numFmtId="0" fontId="0" fillId="0" borderId="0" xfId="0" applyAlignment="1">
      <alignment vertical="center"/>
    </xf>
    <xf numFmtId="0" fontId="6" fillId="0" borderId="0" xfId="0" applyFont="1" applyAlignment="1">
      <alignment vertical="center"/>
    </xf>
    <xf numFmtId="0" fontId="6" fillId="0" borderId="0" xfId="0" applyFont="1" applyAlignment="1">
      <alignment horizontal="right" vertical="center"/>
    </xf>
  </cellXfs>
  <cellStyles count="3">
    <cellStyle name="Normal" xfId="0" builtinId="0"/>
    <cellStyle name="Normal 2" xfId="1" xr:uid="{00000000-0005-0000-0000-000001000000}"/>
    <cellStyle name="Per cent 2" xfId="2" xr:uid="{00000000-0005-0000-0000-000002000000}"/>
  </cellStyles>
  <dxfs count="3">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spPr>
            <a:ln w="15875">
              <a:prstDash val="solid"/>
            </a:ln>
          </c:spPr>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Analysis!$M$2:$M$577</c:f>
              <c:numCache>
                <c:formatCode>0.00000;[Red]\(0.00000\);\-</c:formatCode>
                <c:ptCount val="576"/>
                <c:pt idx="0">
                  <c:v>2.1628676394322768E-2</c:v>
                </c:pt>
                <c:pt idx="1">
                  <c:v>5.4649858944312006E-2</c:v>
                </c:pt>
                <c:pt idx="2">
                  <c:v>5.5297198343645243E-2</c:v>
                </c:pt>
                <c:pt idx="3">
                  <c:v>6.2785832714056203E-2</c:v>
                </c:pt>
                <c:pt idx="4">
                  <c:v>7.8753740067540989E-2</c:v>
                </c:pt>
                <c:pt idx="5">
                  <c:v>8.3250758872077169E-2</c:v>
                </c:pt>
                <c:pt idx="6">
                  <c:v>0.17837344908873956</c:v>
                </c:pt>
                <c:pt idx="7">
                  <c:v>0.18890397475673645</c:v>
                </c:pt>
                <c:pt idx="8">
                  <c:v>0.2023186133829151</c:v>
                </c:pt>
                <c:pt idx="10">
                  <c:v>0.17788901050384928</c:v>
                </c:pt>
                <c:pt idx="11">
                  <c:v>0.16892574180623504</c:v>
                </c:pt>
                <c:pt idx="12">
                  <c:v>0.21356192869675672</c:v>
                </c:pt>
                <c:pt idx="13">
                  <c:v>0.22536838539090892</c:v>
                </c:pt>
                <c:pt idx="14">
                  <c:v>0.24404893460024402</c:v>
                </c:pt>
                <c:pt idx="15">
                  <c:v>0.28044725452111813</c:v>
                </c:pt>
                <c:pt idx="16">
                  <c:v>0.35219505255838129</c:v>
                </c:pt>
                <c:pt idx="17">
                  <c:v>0.40765904639733913</c:v>
                </c:pt>
                <c:pt idx="18">
                  <c:v>0.40685955518534411</c:v>
                </c:pt>
                <c:pt idx="19">
                  <c:v>0.39185474084347993</c:v>
                </c:pt>
                <c:pt idx="20">
                  <c:v>0.36648119145896335</c:v>
                </c:pt>
                <c:pt idx="21">
                  <c:v>0.39728427176699427</c:v>
                </c:pt>
                <c:pt idx="22">
                  <c:v>0.29549803778864425</c:v>
                </c:pt>
                <c:pt idx="23">
                  <c:v>0.29758699751033474</c:v>
                </c:pt>
                <c:pt idx="24">
                  <c:v>0.18628044855184514</c:v>
                </c:pt>
                <c:pt idx="25">
                  <c:v>0.24740010009833321</c:v>
                </c:pt>
                <c:pt idx="26">
                  <c:v>0.26284221511125139</c:v>
                </c:pt>
                <c:pt idx="27">
                  <c:v>0.25107342529377197</c:v>
                </c:pt>
                <c:pt idx="28">
                  <c:v>0.20618326559311939</c:v>
                </c:pt>
                <c:pt idx="29">
                  <c:v>0.24793015031535917</c:v>
                </c:pt>
                <c:pt idx="30">
                  <c:v>0.2841363126482741</c:v>
                </c:pt>
                <c:pt idx="31">
                  <c:v>0.40410376878387549</c:v>
                </c:pt>
                <c:pt idx="32">
                  <c:v>0.43712822031183862</c:v>
                </c:pt>
                <c:pt idx="33">
                  <c:v>0.60900894967554053</c:v>
                </c:pt>
                <c:pt idx="34">
                  <c:v>0.69915907033909008</c:v>
                </c:pt>
                <c:pt idx="35">
                  <c:v>0.70337534058184936</c:v>
                </c:pt>
                <c:pt idx="36">
                  <c:v>0.73829693995752022</c:v>
                </c:pt>
                <c:pt idx="37">
                  <c:v>0.7391062528433201</c:v>
                </c:pt>
                <c:pt idx="38">
                  <c:v>0.75633023315614134</c:v>
                </c:pt>
                <c:pt idx="39">
                  <c:v>0.78299689982280785</c:v>
                </c:pt>
                <c:pt idx="40">
                  <c:v>0.85297007644127165</c:v>
                </c:pt>
                <c:pt idx="41">
                  <c:v>0.87026331965556847</c:v>
                </c:pt>
                <c:pt idx="42">
                  <c:v>0.868822544363407</c:v>
                </c:pt>
                <c:pt idx="43">
                  <c:v>0.94922728365838094</c:v>
                </c:pt>
                <c:pt idx="44">
                  <c:v>0.9380759632719865</c:v>
                </c:pt>
                <c:pt idx="45">
                  <c:v>0.9706681880266973</c:v>
                </c:pt>
                <c:pt idx="46">
                  <c:v>1.0615569307632515</c:v>
                </c:pt>
                <c:pt idx="47">
                  <c:v>1.0679036948172698</c:v>
                </c:pt>
                <c:pt idx="48">
                  <c:v>1.0790037489259614</c:v>
                </c:pt>
                <c:pt idx="49">
                  <c:v>1.062766582331613</c:v>
                </c:pt>
                <c:pt idx="50">
                  <c:v>1.0737843408996912</c:v>
                </c:pt>
                <c:pt idx="51">
                  <c:v>1.0737835101046775</c:v>
                </c:pt>
                <c:pt idx="52">
                  <c:v>1.0260682482153185</c:v>
                </c:pt>
                <c:pt idx="53">
                  <c:v>1.111033318941252</c:v>
                </c:pt>
                <c:pt idx="54">
                  <c:v>1.1451376136993792</c:v>
                </c:pt>
                <c:pt idx="55">
                  <c:v>1.1241585471506854</c:v>
                </c:pt>
                <c:pt idx="56">
                  <c:v>1.1366563728150627</c:v>
                </c:pt>
                <c:pt idx="57">
                  <c:v>1.1223318776849158</c:v>
                </c:pt>
                <c:pt idx="58">
                  <c:v>1.1341008537267374</c:v>
                </c:pt>
                <c:pt idx="59">
                  <c:v>1.1734492486933372</c:v>
                </c:pt>
                <c:pt idx="60">
                  <c:v>1.2102827865619898</c:v>
                </c:pt>
                <c:pt idx="61">
                  <c:v>1.1834910528077314</c:v>
                </c:pt>
                <c:pt idx="62">
                  <c:v>1.2308337624609405</c:v>
                </c:pt>
                <c:pt idx="63">
                  <c:v>1.2115635424902547</c:v>
                </c:pt>
                <c:pt idx="64">
                  <c:v>1.2262300386779594</c:v>
                </c:pt>
                <c:pt idx="65">
                  <c:v>1.3238002275158784</c:v>
                </c:pt>
                <c:pt idx="66">
                  <c:v>1.3619991456110521</c:v>
                </c:pt>
                <c:pt idx="67">
                  <c:v>1.8139924347315619</c:v>
                </c:pt>
                <c:pt idx="68">
                  <c:v>1.896087140800901</c:v>
                </c:pt>
                <c:pt idx="69">
                  <c:v>1.8708942903670447</c:v>
                </c:pt>
                <c:pt idx="70">
                  <c:v>1.9890110977673614</c:v>
                </c:pt>
                <c:pt idx="71">
                  <c:v>1.995974721218666</c:v>
                </c:pt>
                <c:pt idx="72">
                  <c:v>2.2875655501852523</c:v>
                </c:pt>
                <c:pt idx="73">
                  <c:v>2.3377945742566317</c:v>
                </c:pt>
                <c:pt idx="74">
                  <c:v>2.3475916349184489</c:v>
                </c:pt>
                <c:pt idx="75">
                  <c:v>2.3918490086361204</c:v>
                </c:pt>
                <c:pt idx="76">
                  <c:v>2.4063048652437429</c:v>
                </c:pt>
                <c:pt idx="77">
                  <c:v>2.7872213429913768</c:v>
                </c:pt>
                <c:pt idx="78">
                  <c:v>2.8200058387325027</c:v>
                </c:pt>
                <c:pt idx="79">
                  <c:v>2.868026306478535</c:v>
                </c:pt>
                <c:pt idx="80">
                  <c:v>2.8880419549977772</c:v>
                </c:pt>
                <c:pt idx="81">
                  <c:v>2.9385495403962016</c:v>
                </c:pt>
                <c:pt idx="82">
                  <c:v>2.9483808596424992</c:v>
                </c:pt>
                <c:pt idx="83">
                  <c:v>2.9915854017337251</c:v>
                </c:pt>
                <c:pt idx="84">
                  <c:v>3.0268830806181728</c:v>
                </c:pt>
                <c:pt idx="85">
                  <c:v>3.0487099301592879</c:v>
                </c:pt>
                <c:pt idx="86">
                  <c:v>3.3294247185633612</c:v>
                </c:pt>
                <c:pt idx="87">
                  <c:v>3.2594239794773068</c:v>
                </c:pt>
                <c:pt idx="88">
                  <c:v>3.2949307580441229</c:v>
                </c:pt>
                <c:pt idx="89">
                  <c:v>3.1976656641694952</c:v>
                </c:pt>
                <c:pt idx="90">
                  <c:v>3.0058175794981206</c:v>
                </c:pt>
                <c:pt idx="91">
                  <c:v>2.9718349859873849</c:v>
                </c:pt>
                <c:pt idx="92">
                  <c:v>2.9545334663470859</c:v>
                </c:pt>
                <c:pt idx="93">
                  <c:v>2.9823880889016978</c:v>
                </c:pt>
                <c:pt idx="94">
                  <c:v>3.0001254895569245</c:v>
                </c:pt>
                <c:pt idx="95">
                  <c:v>3.0094255019687877</c:v>
                </c:pt>
                <c:pt idx="96">
                  <c:v>2.9144113890372414</c:v>
                </c:pt>
                <c:pt idx="97">
                  <c:v>2.9112111099149995</c:v>
                </c:pt>
                <c:pt idx="98">
                  <c:v>2.9298838205965971</c:v>
                </c:pt>
                <c:pt idx="99">
                  <c:v>2.8719858654202084</c:v>
                </c:pt>
                <c:pt idx="100">
                  <c:v>2.9268550842300076</c:v>
                </c:pt>
                <c:pt idx="101">
                  <c:v>2.9314939690712887</c:v>
                </c:pt>
                <c:pt idx="102">
                  <c:v>2.9721176819369051</c:v>
                </c:pt>
                <c:pt idx="103">
                  <c:v>3.2305328662309174</c:v>
                </c:pt>
                <c:pt idx="104">
                  <c:v>3.4552406844702248</c:v>
                </c:pt>
                <c:pt idx="105">
                  <c:v>3.740386811686526</c:v>
                </c:pt>
                <c:pt idx="106">
                  <c:v>3.8933921166139265</c:v>
                </c:pt>
                <c:pt idx="107">
                  <c:v>3.8324321139511572</c:v>
                </c:pt>
                <c:pt idx="108">
                  <c:v>3.8691400779411218</c:v>
                </c:pt>
                <c:pt idx="109">
                  <c:v>4.0298142296021568</c:v>
                </c:pt>
                <c:pt idx="110">
                  <c:v>4.0531539908953187</c:v>
                </c:pt>
                <c:pt idx="111">
                  <c:v>4.3604895669901147</c:v>
                </c:pt>
                <c:pt idx="112">
                  <c:v>4.3271748985462484</c:v>
                </c:pt>
                <c:pt idx="113">
                  <c:v>4.3728698248324038</c:v>
                </c:pt>
                <c:pt idx="114">
                  <c:v>4.4390088455289307</c:v>
                </c:pt>
                <c:pt idx="115">
                  <c:v>4.4382200871536455</c:v>
                </c:pt>
                <c:pt idx="116">
                  <c:v>4.4837222687231213</c:v>
                </c:pt>
                <c:pt idx="117">
                  <c:v>4.4681953610939678</c:v>
                </c:pt>
                <c:pt idx="118">
                  <c:v>4.6506950051468801</c:v>
                </c:pt>
                <c:pt idx="119">
                  <c:v>4.7869095337499852</c:v>
                </c:pt>
                <c:pt idx="120">
                  <c:v>4.90361353482096</c:v>
                </c:pt>
                <c:pt idx="121">
                  <c:v>4.8751566065261622</c:v>
                </c:pt>
                <c:pt idx="122">
                  <c:v>4.8910621748142038</c:v>
                </c:pt>
                <c:pt idx="123">
                  <c:v>5.0466556292573568</c:v>
                </c:pt>
                <c:pt idx="124">
                  <c:v>5.139777984105673</c:v>
                </c:pt>
                <c:pt idx="125">
                  <c:v>5.1652806067171406</c:v>
                </c:pt>
                <c:pt idx="126">
                  <c:v>5.1743666344254109</c:v>
                </c:pt>
                <c:pt idx="127">
                  <c:v>5.2494900938541145</c:v>
                </c:pt>
                <c:pt idx="128">
                  <c:v>5.2751745177110987</c:v>
                </c:pt>
                <c:pt idx="129">
                  <c:v>5.2973431701698015</c:v>
                </c:pt>
                <c:pt idx="130">
                  <c:v>5.3182584575990433</c:v>
                </c:pt>
                <c:pt idx="131">
                  <c:v>5.3320689257340614</c:v>
                </c:pt>
                <c:pt idx="132">
                  <c:v>5.3284229085668429</c:v>
                </c:pt>
                <c:pt idx="133">
                  <c:v>5.3520156287978526</c:v>
                </c:pt>
                <c:pt idx="134">
                  <c:v>5.3618654770273517</c:v>
                </c:pt>
                <c:pt idx="135">
                  <c:v>5.3687796277253961</c:v>
                </c:pt>
                <c:pt idx="136">
                  <c:v>5.3777208178617597</c:v>
                </c:pt>
                <c:pt idx="137">
                  <c:v>5.3779725191963061</c:v>
                </c:pt>
                <c:pt idx="138">
                  <c:v>5.4074054318447917</c:v>
                </c:pt>
                <c:pt idx="139">
                  <c:v>5.4713966977810697</c:v>
                </c:pt>
                <c:pt idx="140">
                  <c:v>5.3598315997267711</c:v>
                </c:pt>
                <c:pt idx="141">
                  <c:v>5.3617427721784319</c:v>
                </c:pt>
                <c:pt idx="142">
                  <c:v>5.3576832330340531</c:v>
                </c:pt>
                <c:pt idx="143">
                  <c:v>5.3657168812331717</c:v>
                </c:pt>
                <c:pt idx="144">
                  <c:v>5.3672634524178209</c:v>
                </c:pt>
                <c:pt idx="145">
                  <c:v>5.3725784104232748</c:v>
                </c:pt>
                <c:pt idx="146">
                  <c:v>5.4146848979612914</c:v>
                </c:pt>
                <c:pt idx="147">
                  <c:v>5.4498257151103671</c:v>
                </c:pt>
                <c:pt idx="148">
                  <c:v>5.4636757501480631</c:v>
                </c:pt>
                <c:pt idx="149">
                  <c:v>5.5084608291562667</c:v>
                </c:pt>
                <c:pt idx="150">
                  <c:v>5.5263652817104871</c:v>
                </c:pt>
                <c:pt idx="151">
                  <c:v>5.5753433048833525</c:v>
                </c:pt>
                <c:pt idx="152">
                  <c:v>5.5860800980817569</c:v>
                </c:pt>
                <c:pt idx="153">
                  <c:v>5.629731835904531</c:v>
                </c:pt>
                <c:pt idx="154">
                  <c:v>5.6959836461710749</c:v>
                </c:pt>
                <c:pt idx="155">
                  <c:v>5.7551115428865103</c:v>
                </c:pt>
                <c:pt idx="156">
                  <c:v>5.3714232169407561</c:v>
                </c:pt>
                <c:pt idx="157">
                  <c:v>5.3834638233087553</c:v>
                </c:pt>
                <c:pt idx="158">
                  <c:v>5.3638355770573956</c:v>
                </c:pt>
                <c:pt idx="159">
                  <c:v>5.4181082097485289</c:v>
                </c:pt>
                <c:pt idx="160">
                  <c:v>5.3551253443394788</c:v>
                </c:pt>
                <c:pt idx="161">
                  <c:v>5.3709355340686491</c:v>
                </c:pt>
                <c:pt idx="162">
                  <c:v>5.3558998717936976</c:v>
                </c:pt>
                <c:pt idx="163">
                  <c:v>5.3357932221030628</c:v>
                </c:pt>
                <c:pt idx="164">
                  <c:v>5.3646702274506533</c:v>
                </c:pt>
                <c:pt idx="165">
                  <c:v>5.2226761435630342</c:v>
                </c:pt>
                <c:pt idx="166">
                  <c:v>5.2341905640038755</c:v>
                </c:pt>
                <c:pt idx="167">
                  <c:v>5.247129111520505</c:v>
                </c:pt>
                <c:pt idx="168">
                  <c:v>5.2014266765258332</c:v>
                </c:pt>
                <c:pt idx="169">
                  <c:v>5.2114517530848614</c:v>
                </c:pt>
                <c:pt idx="170">
                  <c:v>5.2287234111087564</c:v>
                </c:pt>
                <c:pt idx="171">
                  <c:v>5.2332844102156137</c:v>
                </c:pt>
                <c:pt idx="172">
                  <c:v>5.2553331131846353</c:v>
                </c:pt>
                <c:pt idx="173">
                  <c:v>5.2649687096630338</c:v>
                </c:pt>
                <c:pt idx="174">
                  <c:v>5.2614545770606185</c:v>
                </c:pt>
                <c:pt idx="175">
                  <c:v>5.3190353776068759</c:v>
                </c:pt>
                <c:pt idx="176">
                  <c:v>5.4719571120857449</c:v>
                </c:pt>
                <c:pt idx="177">
                  <c:v>5.4521778905100309</c:v>
                </c:pt>
                <c:pt idx="178">
                  <c:v>5.4896675985657879</c:v>
                </c:pt>
                <c:pt idx="179">
                  <c:v>5.4976147249441496</c:v>
                </c:pt>
                <c:pt idx="180">
                  <c:v>5.5933940855945972</c:v>
                </c:pt>
                <c:pt idx="181">
                  <c:v>5.6479643506065953</c:v>
                </c:pt>
                <c:pt idx="182">
                  <c:v>5.6486506073462461</c:v>
                </c:pt>
                <c:pt idx="183">
                  <c:v>5.6504539842650185</c:v>
                </c:pt>
                <c:pt idx="184">
                  <c:v>5.656472735056373</c:v>
                </c:pt>
                <c:pt idx="185">
                  <c:v>5.6781397926759842</c:v>
                </c:pt>
                <c:pt idx="186">
                  <c:v>5.6750721624816789</c:v>
                </c:pt>
                <c:pt idx="187">
                  <c:v>5.7318735240131513</c:v>
                </c:pt>
                <c:pt idx="188">
                  <c:v>5.7438999822212082</c:v>
                </c:pt>
                <c:pt idx="189">
                  <c:v>5.6927269037438677</c:v>
                </c:pt>
                <c:pt idx="190">
                  <c:v>5.5088913351550906</c:v>
                </c:pt>
                <c:pt idx="191">
                  <c:v>5.5175336083722533</c:v>
                </c:pt>
                <c:pt idx="192">
                  <c:v>5.4855517974950772</c:v>
                </c:pt>
                <c:pt idx="193">
                  <c:v>5.5234477019101549</c:v>
                </c:pt>
                <c:pt idx="194">
                  <c:v>5.5362520675659335</c:v>
                </c:pt>
                <c:pt idx="195">
                  <c:v>5.5603852434467811</c:v>
                </c:pt>
                <c:pt idx="196">
                  <c:v>5.5816258968419374</c:v>
                </c:pt>
                <c:pt idx="197">
                  <c:v>5.5910267507357894</c:v>
                </c:pt>
                <c:pt idx="198">
                  <c:v>5.5788796738375339</c:v>
                </c:pt>
                <c:pt idx="199">
                  <c:v>5.581550231626915</c:v>
                </c:pt>
                <c:pt idx="200">
                  <c:v>5.6918745634045393</c:v>
                </c:pt>
                <c:pt idx="201">
                  <c:v>5.6510696372092619</c:v>
                </c:pt>
                <c:pt idx="202">
                  <c:v>5.6884380274967414</c:v>
                </c:pt>
                <c:pt idx="203">
                  <c:v>5.7229712973517888</c:v>
                </c:pt>
                <c:pt idx="204">
                  <c:v>5.6346462305769167</c:v>
                </c:pt>
                <c:pt idx="205">
                  <c:v>5.6175174775514751</c:v>
                </c:pt>
                <c:pt idx="206">
                  <c:v>5.63753278421754</c:v>
                </c:pt>
                <c:pt idx="207">
                  <c:v>5.6576145369789757</c:v>
                </c:pt>
                <c:pt idx="208">
                  <c:v>5.7586682083170393</c:v>
                </c:pt>
                <c:pt idx="209">
                  <c:v>5.7612735415139777</c:v>
                </c:pt>
                <c:pt idx="210">
                  <c:v>5.8413083548631883</c:v>
                </c:pt>
                <c:pt idx="211">
                  <c:v>5.8651736838657751</c:v>
                </c:pt>
                <c:pt idx="212">
                  <c:v>5.923239773796853</c:v>
                </c:pt>
                <c:pt idx="213">
                  <c:v>5.8683457710225895</c:v>
                </c:pt>
                <c:pt idx="214">
                  <c:v>5.8791161311316387</c:v>
                </c:pt>
                <c:pt idx="215">
                  <c:v>5.9014608087320939</c:v>
                </c:pt>
                <c:pt idx="216">
                  <c:v>5.8610002714159171</c:v>
                </c:pt>
                <c:pt idx="217">
                  <c:v>5.8369187142731471</c:v>
                </c:pt>
                <c:pt idx="218">
                  <c:v>5.8660115764794112</c:v>
                </c:pt>
                <c:pt idx="219">
                  <c:v>5.8925157653598346</c:v>
                </c:pt>
                <c:pt idx="220">
                  <c:v>5.9104945333050347</c:v>
                </c:pt>
                <c:pt idx="221">
                  <c:v>5.8585996056245886</c:v>
                </c:pt>
                <c:pt idx="222">
                  <c:v>6.031192706421189</c:v>
                </c:pt>
                <c:pt idx="223">
                  <c:v>6.0083883574202925</c:v>
                </c:pt>
                <c:pt idx="224">
                  <c:v>6.0176306069651178</c:v>
                </c:pt>
                <c:pt idx="225">
                  <c:v>6.0526332721689657</c:v>
                </c:pt>
                <c:pt idx="226">
                  <c:v>6.0367987322800394</c:v>
                </c:pt>
                <c:pt idx="227">
                  <c:v>6.0724634244483546</c:v>
                </c:pt>
                <c:pt idx="228">
                  <c:v>6.1372259710586983</c:v>
                </c:pt>
                <c:pt idx="229">
                  <c:v>6.0948257788842719</c:v>
                </c:pt>
                <c:pt idx="230">
                  <c:v>6.126637430402079</c:v>
                </c:pt>
                <c:pt idx="231">
                  <c:v>6.1679725050173344</c:v>
                </c:pt>
                <c:pt idx="232">
                  <c:v>6.2180461542299756</c:v>
                </c:pt>
                <c:pt idx="233">
                  <c:v>6.2244105983976015</c:v>
                </c:pt>
                <c:pt idx="234">
                  <c:v>6.256301142635043</c:v>
                </c:pt>
                <c:pt idx="235">
                  <c:v>6.2857913970513195</c:v>
                </c:pt>
                <c:pt idx="236">
                  <c:v>6.3145937091477462</c:v>
                </c:pt>
                <c:pt idx="237">
                  <c:v>6.2958877726985829</c:v>
                </c:pt>
                <c:pt idx="238">
                  <c:v>6.4000459911237186</c:v>
                </c:pt>
                <c:pt idx="239">
                  <c:v>6.4180751233190492</c:v>
                </c:pt>
                <c:pt idx="240">
                  <c:v>6.4362797472427014</c:v>
                </c:pt>
                <c:pt idx="241">
                  <c:v>6.4713926296593129</c:v>
                </c:pt>
                <c:pt idx="242">
                  <c:v>6.4698933306674959</c:v>
                </c:pt>
                <c:pt idx="243">
                  <c:v>6.3710633320754235</c:v>
                </c:pt>
                <c:pt idx="244">
                  <c:v>6.3435889094210252</c:v>
                </c:pt>
                <c:pt idx="245">
                  <c:v>6.3542788110103645</c:v>
                </c:pt>
                <c:pt idx="246">
                  <c:v>6.335516671471134</c:v>
                </c:pt>
                <c:pt idx="247">
                  <c:v>6.3832608196007312</c:v>
                </c:pt>
                <c:pt idx="248">
                  <c:v>6.2921344825036991</c:v>
                </c:pt>
                <c:pt idx="249">
                  <c:v>6.1909059115358049</c:v>
                </c:pt>
                <c:pt idx="250">
                  <c:v>6.174334908400132</c:v>
                </c:pt>
                <c:pt idx="251">
                  <c:v>6.1558740348584866</c:v>
                </c:pt>
                <c:pt idx="252">
                  <c:v>6.1942617764097285</c:v>
                </c:pt>
                <c:pt idx="253">
                  <c:v>6.121899965927958</c:v>
                </c:pt>
                <c:pt idx="254">
                  <c:v>6.0918819839255898</c:v>
                </c:pt>
                <c:pt idx="255">
                  <c:v>6.1224570707670116</c:v>
                </c:pt>
                <c:pt idx="256">
                  <c:v>6.1098707966223076</c:v>
                </c:pt>
                <c:pt idx="257">
                  <c:v>6.0706215853103416</c:v>
                </c:pt>
                <c:pt idx="258">
                  <c:v>6.0918441799157996</c:v>
                </c:pt>
                <c:pt idx="259">
                  <c:v>6.1340721286818995</c:v>
                </c:pt>
                <c:pt idx="260">
                  <c:v>6.1120492480760422</c:v>
                </c:pt>
                <c:pt idx="261">
                  <c:v>6.0459355245822</c:v>
                </c:pt>
                <c:pt idx="262">
                  <c:v>5.8693487599206327</c:v>
                </c:pt>
                <c:pt idx="263">
                  <c:v>5.8685945251342577</c:v>
                </c:pt>
                <c:pt idx="264">
                  <c:v>5.8896938399442451</c:v>
                </c:pt>
                <c:pt idx="265">
                  <c:v>5.8784911072253792</c:v>
                </c:pt>
                <c:pt idx="266">
                  <c:v>5.8966796951943969</c:v>
                </c:pt>
                <c:pt idx="267">
                  <c:v>5.9459032882691609</c:v>
                </c:pt>
                <c:pt idx="268">
                  <c:v>5.9597729137892754</c:v>
                </c:pt>
                <c:pt idx="269">
                  <c:v>5.9866299152065396</c:v>
                </c:pt>
                <c:pt idx="270">
                  <c:v>6.0070724252266992</c:v>
                </c:pt>
                <c:pt idx="271">
                  <c:v>6.0088957042649493</c:v>
                </c:pt>
                <c:pt idx="272">
                  <c:v>6.0348148480051771</c:v>
                </c:pt>
                <c:pt idx="273">
                  <c:v>6.1927770454097582</c:v>
                </c:pt>
                <c:pt idx="274">
                  <c:v>6.2252057329395774</c:v>
                </c:pt>
                <c:pt idx="275">
                  <c:v>6.2876176579419081</c:v>
                </c:pt>
                <c:pt idx="276">
                  <c:v>6.2855757348486598</c:v>
                </c:pt>
                <c:pt idx="277">
                  <c:v>6.1947613881244541</c:v>
                </c:pt>
                <c:pt idx="278">
                  <c:v>6.1975341188692097</c:v>
                </c:pt>
                <c:pt idx="279">
                  <c:v>6.2065771118415096</c:v>
                </c:pt>
                <c:pt idx="280">
                  <c:v>6.1993328359455777</c:v>
                </c:pt>
                <c:pt idx="281">
                  <c:v>6.2163016704025607</c:v>
                </c:pt>
                <c:pt idx="282">
                  <c:v>6.2918548261070386</c:v>
                </c:pt>
                <c:pt idx="283">
                  <c:v>6.2704517596503342</c:v>
                </c:pt>
                <c:pt idx="284">
                  <c:v>6.2793975930454629</c:v>
                </c:pt>
                <c:pt idx="285">
                  <c:v>6.2930851076277925</c:v>
                </c:pt>
                <c:pt idx="286">
                  <c:v>6.2812922411367387</c:v>
                </c:pt>
                <c:pt idx="287">
                  <c:v>6.2949586601891063</c:v>
                </c:pt>
                <c:pt idx="288">
                  <c:v>6.3041933942487853</c:v>
                </c:pt>
                <c:pt idx="289">
                  <c:v>6.3273953713557214</c:v>
                </c:pt>
                <c:pt idx="290">
                  <c:v>6.349359845290925</c:v>
                </c:pt>
                <c:pt idx="291">
                  <c:v>6.304246901714964</c:v>
                </c:pt>
                <c:pt idx="292">
                  <c:v>6.3273016245882374</c:v>
                </c:pt>
                <c:pt idx="293">
                  <c:v>6.2795438302943527</c:v>
                </c:pt>
                <c:pt idx="294">
                  <c:v>6.3252498683025253</c:v>
                </c:pt>
                <c:pt idx="295">
                  <c:v>6.3249299846719147</c:v>
                </c:pt>
                <c:pt idx="296">
                  <c:v>6.3563435949151215</c:v>
                </c:pt>
                <c:pt idx="297">
                  <c:v>6.3599741837514356</c:v>
                </c:pt>
                <c:pt idx="298">
                  <c:v>6.3463980755530711</c:v>
                </c:pt>
                <c:pt idx="299">
                  <c:v>6.3330885819068845</c:v>
                </c:pt>
                <c:pt idx="300">
                  <c:v>6.3480919932280759</c:v>
                </c:pt>
                <c:pt idx="301">
                  <c:v>6.3385050857921375</c:v>
                </c:pt>
                <c:pt idx="302">
                  <c:v>6.3364185305720691</c:v>
                </c:pt>
                <c:pt idx="303">
                  <c:v>6.346981141846487</c:v>
                </c:pt>
                <c:pt idx="304">
                  <c:v>6.343573195699582</c:v>
                </c:pt>
                <c:pt idx="305">
                  <c:v>6.345470998661038</c:v>
                </c:pt>
                <c:pt idx="306">
                  <c:v>6.340979547551429</c:v>
                </c:pt>
                <c:pt idx="307">
                  <c:v>6.3502215960037658</c:v>
                </c:pt>
                <c:pt idx="308">
                  <c:v>6.3443944697832437</c:v>
                </c:pt>
                <c:pt idx="309">
                  <c:v>6.3461205731721666</c:v>
                </c:pt>
                <c:pt idx="310">
                  <c:v>6.33828703056043</c:v>
                </c:pt>
                <c:pt idx="311">
                  <c:v>6.3607784570387249</c:v>
                </c:pt>
                <c:pt idx="312">
                  <c:v>6.3650280081188129</c:v>
                </c:pt>
                <c:pt idx="313">
                  <c:v>6.4269906814803868</c:v>
                </c:pt>
                <c:pt idx="314">
                  <c:v>6.4073825747074116</c:v>
                </c:pt>
                <c:pt idx="315">
                  <c:v>6.3775551366399394</c:v>
                </c:pt>
                <c:pt idx="316">
                  <c:v>6.3718431928751382</c:v>
                </c:pt>
                <c:pt idx="317">
                  <c:v>6.3740090824354549</c:v>
                </c:pt>
                <c:pt idx="318">
                  <c:v>6.3834354516910032</c:v>
                </c:pt>
                <c:pt idx="319">
                  <c:v>6.4156959717799884</c:v>
                </c:pt>
                <c:pt idx="320">
                  <c:v>6.421984272743928</c:v>
                </c:pt>
                <c:pt idx="321">
                  <c:v>6.3279757101966281</c:v>
                </c:pt>
                <c:pt idx="322">
                  <c:v>6.349466273982876</c:v>
                </c:pt>
                <c:pt idx="323">
                  <c:v>6.3814824579959888</c:v>
                </c:pt>
                <c:pt idx="324">
                  <c:v>6.3271723116136407</c:v>
                </c:pt>
                <c:pt idx="325">
                  <c:v>6.34197734216988</c:v>
                </c:pt>
                <c:pt idx="326">
                  <c:v>6.8068001007070267</c:v>
                </c:pt>
                <c:pt idx="327">
                  <c:v>6.8155094159769529</c:v>
                </c:pt>
                <c:pt idx="328">
                  <c:v>6.9041742549143486</c:v>
                </c:pt>
                <c:pt idx="329">
                  <c:v>6.878645799426228</c:v>
                </c:pt>
                <c:pt idx="330">
                  <c:v>7.1200043095287358</c:v>
                </c:pt>
                <c:pt idx="331">
                  <c:v>7.2336536660506612</c:v>
                </c:pt>
                <c:pt idx="332">
                  <c:v>7.2967463478685692</c:v>
                </c:pt>
                <c:pt idx="333">
                  <c:v>7.2755208769787654</c:v>
                </c:pt>
                <c:pt idx="334">
                  <c:v>7.3357671272823683</c:v>
                </c:pt>
                <c:pt idx="335">
                  <c:v>7.1907187755455899</c:v>
                </c:pt>
                <c:pt idx="336">
                  <c:v>7.228048725140539</c:v>
                </c:pt>
                <c:pt idx="337">
                  <c:v>7.2483525402219797</c:v>
                </c:pt>
                <c:pt idx="338">
                  <c:v>7.2683834309294708</c:v>
                </c:pt>
                <c:pt idx="339">
                  <c:v>7.2903863519391487</c:v>
                </c:pt>
                <c:pt idx="340">
                  <c:v>7.2862520066305194</c:v>
                </c:pt>
                <c:pt idx="341">
                  <c:v>7.3048195888451897</c:v>
                </c:pt>
                <c:pt idx="342">
                  <c:v>7.3834063202834548</c:v>
                </c:pt>
                <c:pt idx="343">
                  <c:v>7.4698052712569023</c:v>
                </c:pt>
                <c:pt idx="344">
                  <c:v>7.4740971586679681</c:v>
                </c:pt>
                <c:pt idx="345">
                  <c:v>7.5222835911760999</c:v>
                </c:pt>
                <c:pt idx="346">
                  <c:v>7.4093206815457515</c:v>
                </c:pt>
                <c:pt idx="347">
                  <c:v>7.4141528442935423</c:v>
                </c:pt>
                <c:pt idx="348">
                  <c:v>7.4418708477244246</c:v>
                </c:pt>
                <c:pt idx="349">
                  <c:v>7.5200671189621948</c:v>
                </c:pt>
                <c:pt idx="350">
                  <c:v>7.5526831781211632</c:v>
                </c:pt>
                <c:pt idx="351">
                  <c:v>7.5606667162903483</c:v>
                </c:pt>
                <c:pt idx="352">
                  <c:v>7.5378572076071571</c:v>
                </c:pt>
                <c:pt idx="353">
                  <c:v>7.5063968740344809</c:v>
                </c:pt>
                <c:pt idx="354">
                  <c:v>7.5682025859774891</c:v>
                </c:pt>
                <c:pt idx="355">
                  <c:v>7.5765651782509824</c:v>
                </c:pt>
                <c:pt idx="356">
                  <c:v>7.5858748745454374</c:v>
                </c:pt>
                <c:pt idx="357">
                  <c:v>7.6483645165000747</c:v>
                </c:pt>
                <c:pt idx="358">
                  <c:v>7.6560878206824077</c:v>
                </c:pt>
                <c:pt idx="359">
                  <c:v>7.648030850354699</c:v>
                </c:pt>
                <c:pt idx="360">
                  <c:v>7.6674127428959586</c:v>
                </c:pt>
                <c:pt idx="361">
                  <c:v>7.6228312140510921</c:v>
                </c:pt>
                <c:pt idx="362">
                  <c:v>7.6387200701048918</c:v>
                </c:pt>
                <c:pt idx="363">
                  <c:v>7.6989335276471564</c:v>
                </c:pt>
                <c:pt idx="364">
                  <c:v>7.7974060972980723</c:v>
                </c:pt>
                <c:pt idx="365">
                  <c:v>7.8033340894845544</c:v>
                </c:pt>
                <c:pt idx="366">
                  <c:v>7.8566347331527915</c:v>
                </c:pt>
                <c:pt idx="367">
                  <c:v>7.8802145319546772</c:v>
                </c:pt>
                <c:pt idx="368">
                  <c:v>7.9353384413358397</c:v>
                </c:pt>
                <c:pt idx="369">
                  <c:v>7.9483469493057237</c:v>
                </c:pt>
                <c:pt idx="370">
                  <c:v>7.9566589997739054</c:v>
                </c:pt>
                <c:pt idx="371">
                  <c:v>7.9529166784962664</c:v>
                </c:pt>
                <c:pt idx="372">
                  <c:v>7.9518406490608751</c:v>
                </c:pt>
                <c:pt idx="373">
                  <c:v>7.9544643283249661</c:v>
                </c:pt>
                <c:pt idx="374">
                  <c:v>7.9531482112697693</c:v>
                </c:pt>
                <c:pt idx="375">
                  <c:v>7.9463502287625403</c:v>
                </c:pt>
                <c:pt idx="376">
                  <c:v>8.1354124674109514</c:v>
                </c:pt>
                <c:pt idx="377">
                  <c:v>8.120404622056741</c:v>
                </c:pt>
                <c:pt idx="378">
                  <c:v>8.1363526953552583</c:v>
                </c:pt>
                <c:pt idx="379">
                  <c:v>8.1540502134956192</c:v>
                </c:pt>
                <c:pt idx="380">
                  <c:v>8.1452076051569922</c:v>
                </c:pt>
                <c:pt idx="381">
                  <c:v>8.154690404115577</c:v>
                </c:pt>
                <c:pt idx="382">
                  <c:v>8.1884750550693006</c:v>
                </c:pt>
                <c:pt idx="383">
                  <c:v>8.2754483600118292</c:v>
                </c:pt>
                <c:pt idx="384">
                  <c:v>8.2880184514944517</c:v>
                </c:pt>
                <c:pt idx="385">
                  <c:v>8.3135466508741249</c:v>
                </c:pt>
                <c:pt idx="386">
                  <c:v>8.2917388720424423</c:v>
                </c:pt>
                <c:pt idx="387">
                  <c:v>8.2849644488949448</c:v>
                </c:pt>
                <c:pt idx="388">
                  <c:v>8.2720381712436772</c:v>
                </c:pt>
                <c:pt idx="389">
                  <c:v>8.3028532659630834</c:v>
                </c:pt>
                <c:pt idx="390">
                  <c:v>8.3146193968939279</c:v>
                </c:pt>
                <c:pt idx="391">
                  <c:v>8.3528222100859484</c:v>
                </c:pt>
                <c:pt idx="392">
                  <c:v>8.3647390821402432</c:v>
                </c:pt>
                <c:pt idx="393">
                  <c:v>8.3784427575197018</c:v>
                </c:pt>
                <c:pt idx="394">
                  <c:v>8.3321488405059121</c:v>
                </c:pt>
                <c:pt idx="395">
                  <c:v>8.2435297595941073</c:v>
                </c:pt>
                <c:pt idx="396">
                  <c:v>8.2561280882526518</c:v>
                </c:pt>
                <c:pt idx="397">
                  <c:v>8.2825674532082125</c:v>
                </c:pt>
                <c:pt idx="398">
                  <c:v>8.293096381757147</c:v>
                </c:pt>
                <c:pt idx="399">
                  <c:v>8.2353754169008848</c:v>
                </c:pt>
                <c:pt idx="400">
                  <c:v>8.2619923985254697</c:v>
                </c:pt>
                <c:pt idx="401">
                  <c:v>8.2185000995367776</c:v>
                </c:pt>
                <c:pt idx="402">
                  <c:v>8.2592996766356617</c:v>
                </c:pt>
                <c:pt idx="403">
                  <c:v>8.1502303460933998</c:v>
                </c:pt>
                <c:pt idx="404">
                  <c:v>8.1544662098469534</c:v>
                </c:pt>
                <c:pt idx="405">
                  <c:v>8.1308365598302501</c:v>
                </c:pt>
                <c:pt idx="406">
                  <c:v>8.0322933814583379</c:v>
                </c:pt>
                <c:pt idx="407">
                  <c:v>8.0891384990008603</c:v>
                </c:pt>
                <c:pt idx="408">
                  <c:v>8.1404931198985384</c:v>
                </c:pt>
                <c:pt idx="409">
                  <c:v>8.0119432222191715</c:v>
                </c:pt>
                <c:pt idx="410">
                  <c:v>7.9960585692377402</c:v>
                </c:pt>
                <c:pt idx="411">
                  <c:v>7.9021702625911434</c:v>
                </c:pt>
                <c:pt idx="412">
                  <c:v>8.4136185981330787</c:v>
                </c:pt>
                <c:pt idx="413">
                  <c:v>8.4340581005596498</c:v>
                </c:pt>
                <c:pt idx="414">
                  <c:v>8.4337365981631578</c:v>
                </c:pt>
                <c:pt idx="415">
                  <c:v>8.3896240982243206</c:v>
                </c:pt>
                <c:pt idx="416">
                  <c:v>8.385966294122932</c:v>
                </c:pt>
                <c:pt idx="417">
                  <c:v>8.4141125590490411</c:v>
                </c:pt>
                <c:pt idx="418">
                  <c:v>8.470380663679224</c:v>
                </c:pt>
                <c:pt idx="419">
                  <c:v>8.4974117245135172</c:v>
                </c:pt>
                <c:pt idx="420">
                  <c:v>8.5057882544006826</c:v>
                </c:pt>
                <c:pt idx="421">
                  <c:v>8.5074578883530361</c:v>
                </c:pt>
                <c:pt idx="422">
                  <c:v>8.5193987681291201</c:v>
                </c:pt>
                <c:pt idx="423">
                  <c:v>8.5340324539297256</c:v>
                </c:pt>
                <c:pt idx="424">
                  <c:v>8.5395195021172814</c:v>
                </c:pt>
                <c:pt idx="425">
                  <c:v>8.5632380940816972</c:v>
                </c:pt>
                <c:pt idx="426">
                  <c:v>8.5675786073585325</c:v>
                </c:pt>
                <c:pt idx="427">
                  <c:v>8.5985510509932404</c:v>
                </c:pt>
                <c:pt idx="428">
                  <c:v>8.6099208890867445</c:v>
                </c:pt>
                <c:pt idx="429">
                  <c:v>8.615345443355249</c:v>
                </c:pt>
                <c:pt idx="430">
                  <c:v>8.6374520984826013</c:v>
                </c:pt>
                <c:pt idx="431">
                  <c:v>8.6626303052890066</c:v>
                </c:pt>
                <c:pt idx="432">
                  <c:v>8.7874565816974854</c:v>
                </c:pt>
                <c:pt idx="433">
                  <c:v>8.7279565258844816</c:v>
                </c:pt>
                <c:pt idx="434">
                  <c:v>8.6473537605212041</c:v>
                </c:pt>
                <c:pt idx="435">
                  <c:v>8.6257609513916993</c:v>
                </c:pt>
                <c:pt idx="436">
                  <c:v>8.6386932558801792</c:v>
                </c:pt>
                <c:pt idx="437">
                  <c:v>8.7836055799092794</c:v>
                </c:pt>
                <c:pt idx="438">
                  <c:v>8.8032085040249033</c:v>
                </c:pt>
                <c:pt idx="439">
                  <c:v>8.8672835809282891</c:v>
                </c:pt>
                <c:pt idx="440">
                  <c:v>8.8833385623635177</c:v>
                </c:pt>
                <c:pt idx="441">
                  <c:v>8.8992288853020565</c:v>
                </c:pt>
                <c:pt idx="442">
                  <c:v>8.9806334683366238</c:v>
                </c:pt>
                <c:pt idx="443">
                  <c:v>9.0588864027441272</c:v>
                </c:pt>
                <c:pt idx="444">
                  <c:v>9.070312072415323</c:v>
                </c:pt>
                <c:pt idx="445">
                  <c:v>9.1328078105217969</c:v>
                </c:pt>
                <c:pt idx="446">
                  <c:v>9.295998376575529</c:v>
                </c:pt>
                <c:pt idx="447">
                  <c:v>9.2862191026686176</c:v>
                </c:pt>
                <c:pt idx="448">
                  <c:v>9.2986835154345275</c:v>
                </c:pt>
                <c:pt idx="449">
                  <c:v>9.2135196639866361</c:v>
                </c:pt>
                <c:pt idx="450">
                  <c:v>9.3456966427115304</c:v>
                </c:pt>
                <c:pt idx="451">
                  <c:v>9.3828145726088614</c:v>
                </c:pt>
                <c:pt idx="452">
                  <c:v>9.4003268731097425</c:v>
                </c:pt>
                <c:pt idx="453">
                  <c:v>9.4295164092356298</c:v>
                </c:pt>
                <c:pt idx="454">
                  <c:v>9.4583216044307772</c:v>
                </c:pt>
                <c:pt idx="455">
                  <c:v>9.4538618905119947</c:v>
                </c:pt>
                <c:pt idx="456">
                  <c:v>9.5010472178904628</c:v>
                </c:pt>
                <c:pt idx="457">
                  <c:v>9.5342372574499308</c:v>
                </c:pt>
                <c:pt idx="458">
                  <c:v>9.5679787429697569</c:v>
                </c:pt>
                <c:pt idx="459">
                  <c:v>9.5232896445396094</c:v>
                </c:pt>
                <c:pt idx="460">
                  <c:v>9.580175231707095</c:v>
                </c:pt>
                <c:pt idx="461">
                  <c:v>9.5735638778454071</c:v>
                </c:pt>
                <c:pt idx="462">
                  <c:v>9.5493253051502904</c:v>
                </c:pt>
                <c:pt idx="463">
                  <c:v>9.7469344001027505</c:v>
                </c:pt>
                <c:pt idx="464">
                  <c:v>9.7536284199939356</c:v>
                </c:pt>
                <c:pt idx="465">
                  <c:v>9.8434732342726345</c:v>
                </c:pt>
                <c:pt idx="466">
                  <c:v>9.7642958618250386</c:v>
                </c:pt>
                <c:pt idx="467">
                  <c:v>9.8430600412331213</c:v>
                </c:pt>
                <c:pt idx="468">
                  <c:v>9.7864430730638077</c:v>
                </c:pt>
                <c:pt idx="469">
                  <c:v>9.7788059833067749</c:v>
                </c:pt>
                <c:pt idx="470">
                  <c:v>9.813240713901564</c:v>
                </c:pt>
                <c:pt idx="471">
                  <c:v>9.8280963269131849</c:v>
                </c:pt>
                <c:pt idx="472">
                  <c:v>9.8911211382790949</c:v>
                </c:pt>
                <c:pt idx="473">
                  <c:v>9.9093940234548281</c:v>
                </c:pt>
                <c:pt idx="474">
                  <c:v>9.9213475535462248</c:v>
                </c:pt>
                <c:pt idx="475">
                  <c:v>9.9778211895990179</c:v>
                </c:pt>
                <c:pt idx="476">
                  <c:v>9.9950367938384037</c:v>
                </c:pt>
                <c:pt idx="477">
                  <c:v>9.995776493520335</c:v>
                </c:pt>
                <c:pt idx="478">
                  <c:v>9.9239203688906645</c:v>
                </c:pt>
                <c:pt idx="479">
                  <c:v>9.9705487647900082</c:v>
                </c:pt>
                <c:pt idx="480">
                  <c:v>9.8986925861464066</c:v>
                </c:pt>
                <c:pt idx="481">
                  <c:v>9.824552873120787</c:v>
                </c:pt>
                <c:pt idx="482">
                  <c:v>9.8187533264167683</c:v>
                </c:pt>
                <c:pt idx="483">
                  <c:v>9.7905689440957513</c:v>
                </c:pt>
                <c:pt idx="484">
                  <c:v>9.8691559383158012</c:v>
                </c:pt>
                <c:pt idx="485">
                  <c:v>9.9477485688621723</c:v>
                </c:pt>
                <c:pt idx="486">
                  <c:v>9.9949283059716727</c:v>
                </c:pt>
                <c:pt idx="487">
                  <c:v>10.034958083321209</c:v>
                </c:pt>
                <c:pt idx="488">
                  <c:v>10.078167523143192</c:v>
                </c:pt>
                <c:pt idx="489">
                  <c:v>10.214418192191168</c:v>
                </c:pt>
                <c:pt idx="490">
                  <c:v>10.240589024618952</c:v>
                </c:pt>
                <c:pt idx="491">
                  <c:v>10.256130150680592</c:v>
                </c:pt>
                <c:pt idx="492">
                  <c:v>10.294202437253796</c:v>
                </c:pt>
                <c:pt idx="493">
                  <c:v>10.315957755034253</c:v>
                </c:pt>
                <c:pt idx="494">
                  <c:v>10.38471663491487</c:v>
                </c:pt>
                <c:pt idx="495">
                  <c:v>10.375094420447786</c:v>
                </c:pt>
                <c:pt idx="496">
                  <c:v>10.419267193877367</c:v>
                </c:pt>
                <c:pt idx="497">
                  <c:v>10.456158603437059</c:v>
                </c:pt>
                <c:pt idx="498">
                  <c:v>10.38779867826617</c:v>
                </c:pt>
                <c:pt idx="499">
                  <c:v>10.41922485609831</c:v>
                </c:pt>
                <c:pt idx="500">
                  <c:v>10.452329891877781</c:v>
                </c:pt>
                <c:pt idx="501">
                  <c:v>10.464597446425703</c:v>
                </c:pt>
                <c:pt idx="502">
                  <c:v>10.597156830649096</c:v>
                </c:pt>
                <c:pt idx="503">
                  <c:v>10.617267302954128</c:v>
                </c:pt>
                <c:pt idx="504">
                  <c:v>10.69410349872132</c:v>
                </c:pt>
                <c:pt idx="505">
                  <c:v>10.706597568084877</c:v>
                </c:pt>
                <c:pt idx="506">
                  <c:v>10.731786139257032</c:v>
                </c:pt>
                <c:pt idx="507">
                  <c:v>10.752196259752152</c:v>
                </c:pt>
                <c:pt idx="508">
                  <c:v>10.829917793608535</c:v>
                </c:pt>
                <c:pt idx="509">
                  <c:v>10.826380602437297</c:v>
                </c:pt>
                <c:pt idx="510">
                  <c:v>10.935457321056997</c:v>
                </c:pt>
                <c:pt idx="511">
                  <c:v>10.922970677439007</c:v>
                </c:pt>
                <c:pt idx="512">
                  <c:v>10.933496566136746</c:v>
                </c:pt>
                <c:pt idx="513">
                  <c:v>10.961511437348792</c:v>
                </c:pt>
                <c:pt idx="514">
                  <c:v>10.931976554787973</c:v>
                </c:pt>
                <c:pt idx="515">
                  <c:v>10.951156960037295</c:v>
                </c:pt>
                <c:pt idx="516">
                  <c:v>10.964413765291388</c:v>
                </c:pt>
                <c:pt idx="517">
                  <c:v>10.926113250235534</c:v>
                </c:pt>
                <c:pt idx="518">
                  <c:v>10.907884801085796</c:v>
                </c:pt>
                <c:pt idx="519">
                  <c:v>10.886470957611722</c:v>
                </c:pt>
                <c:pt idx="520">
                  <c:v>10.963602284595298</c:v>
                </c:pt>
                <c:pt idx="521">
                  <c:v>10.974234594308227</c:v>
                </c:pt>
                <c:pt idx="522">
                  <c:v>11.010185655228643</c:v>
                </c:pt>
                <c:pt idx="523">
                  <c:v>11.013519147618476</c:v>
                </c:pt>
                <c:pt idx="524">
                  <c:v>11.01914534102079</c:v>
                </c:pt>
                <c:pt idx="525">
                  <c:v>11.015797272830003</c:v>
                </c:pt>
                <c:pt idx="526">
                  <c:v>10.915382331824544</c:v>
                </c:pt>
                <c:pt idx="527">
                  <c:v>10.918188291920908</c:v>
                </c:pt>
                <c:pt idx="528">
                  <c:v>10.922623466816523</c:v>
                </c:pt>
                <c:pt idx="529">
                  <c:v>10.931616073366619</c:v>
                </c:pt>
                <c:pt idx="530">
                  <c:v>10.945008185173602</c:v>
                </c:pt>
                <c:pt idx="531">
                  <c:v>10.955756592816909</c:v>
                </c:pt>
                <c:pt idx="532">
                  <c:v>10.965144433859271</c:v>
                </c:pt>
                <c:pt idx="533">
                  <c:v>10.959719747176562</c:v>
                </c:pt>
                <c:pt idx="534">
                  <c:v>10.948211104913121</c:v>
                </c:pt>
                <c:pt idx="535">
                  <c:v>11.031707728514355</c:v>
                </c:pt>
                <c:pt idx="536">
                  <c:v>11.020617295970514</c:v>
                </c:pt>
                <c:pt idx="537">
                  <c:v>11.091170624414623</c:v>
                </c:pt>
                <c:pt idx="538">
                  <c:v>11.103258202642028</c:v>
                </c:pt>
                <c:pt idx="539">
                  <c:v>11.123541174695088</c:v>
                </c:pt>
                <c:pt idx="540">
                  <c:v>11.159225836220893</c:v>
                </c:pt>
                <c:pt idx="541">
                  <c:v>11.171715037477394</c:v>
                </c:pt>
                <c:pt idx="542">
                  <c:v>11.197664952939853</c:v>
                </c:pt>
                <c:pt idx="543">
                  <c:v>11.221205309552619</c:v>
                </c:pt>
                <c:pt idx="544">
                  <c:v>11.24637522016009</c:v>
                </c:pt>
                <c:pt idx="545">
                  <c:v>11.269913788231543</c:v>
                </c:pt>
                <c:pt idx="546">
                  <c:v>11.297215740565653</c:v>
                </c:pt>
                <c:pt idx="547">
                  <c:v>11.275332835922361</c:v>
                </c:pt>
                <c:pt idx="548">
                  <c:v>11.276847205354423</c:v>
                </c:pt>
                <c:pt idx="549">
                  <c:v>11.289638163840403</c:v>
                </c:pt>
                <c:pt idx="550">
                  <c:v>11.298810662099477</c:v>
                </c:pt>
                <c:pt idx="551">
                  <c:v>11.308475145090656</c:v>
                </c:pt>
                <c:pt idx="552">
                  <c:v>11.308401325389241</c:v>
                </c:pt>
                <c:pt idx="553">
                  <c:v>11.276546031615968</c:v>
                </c:pt>
                <c:pt idx="554">
                  <c:v>11.294221081785722</c:v>
                </c:pt>
                <c:pt idx="555">
                  <c:v>11.304521462579427</c:v>
                </c:pt>
                <c:pt idx="556">
                  <c:v>11.329909590095737</c:v>
                </c:pt>
                <c:pt idx="557">
                  <c:v>11.293747802855723</c:v>
                </c:pt>
                <c:pt idx="558">
                  <c:v>11.330949793962212</c:v>
                </c:pt>
                <c:pt idx="559">
                  <c:v>11.442356040197639</c:v>
                </c:pt>
                <c:pt idx="560">
                  <c:v>11.436540316567378</c:v>
                </c:pt>
                <c:pt idx="561">
                  <c:v>11.458006645868869</c:v>
                </c:pt>
                <c:pt idx="562">
                  <c:v>11.454917059136282</c:v>
                </c:pt>
                <c:pt idx="563">
                  <c:v>11.536929882878839</c:v>
                </c:pt>
                <c:pt idx="564">
                  <c:v>11.540497743966158</c:v>
                </c:pt>
                <c:pt idx="565">
                  <c:v>11.564722779304725</c:v>
                </c:pt>
                <c:pt idx="566">
                  <c:v>11.577802395686923</c:v>
                </c:pt>
                <c:pt idx="567">
                  <c:v>11.583343158735261</c:v>
                </c:pt>
                <c:pt idx="568">
                  <c:v>11.592188523055643</c:v>
                </c:pt>
                <c:pt idx="569">
                  <c:v>11.598977800260863</c:v>
                </c:pt>
                <c:pt idx="570">
                  <c:v>11.615734836138518</c:v>
                </c:pt>
                <c:pt idx="571">
                  <c:v>11.636787034479964</c:v>
                </c:pt>
                <c:pt idx="572">
                  <c:v>11.621140204521218</c:v>
                </c:pt>
                <c:pt idx="573">
                  <c:v>11.638779770051702</c:v>
                </c:pt>
                <c:pt idx="574">
                  <c:v>11.576317482523983</c:v>
                </c:pt>
                <c:pt idx="575">
                  <c:v>11.564936163462821</c:v>
                </c:pt>
              </c:numCache>
            </c:numRef>
          </c:val>
          <c:smooth val="0"/>
          <c:extLst>
            <c:ext xmlns:c16="http://schemas.microsoft.com/office/drawing/2014/chart" uri="{C3380CC4-5D6E-409C-BE32-E72D297353CC}">
              <c16:uniqueId val="{00000000-3B0A-44D2-AD8C-905F17A71F2C}"/>
            </c:ext>
          </c:extLst>
        </c:ser>
        <c:ser>
          <c:idx val="1"/>
          <c:order val="1"/>
          <c:tx>
            <c:v>Cumulative Slipped PnL</c:v>
          </c:tx>
          <c:spPr>
            <a:ln w="15875">
              <a:prstDash val="solid"/>
            </a:ln>
          </c:spPr>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Analysis!$N$2:$N$577</c:f>
              <c:numCache>
                <c:formatCode>0.00000;[Red]\(0.00000\);\-</c:formatCode>
                <c:ptCount val="576"/>
                <c:pt idx="0">
                  <c:v>7.2463717407999714E-3</c:v>
                </c:pt>
                <c:pt idx="1">
                  <c:v>2.582004436064746E-2</c:v>
                </c:pt>
                <c:pt idx="2">
                  <c:v>1.200349292138311E-2</c:v>
                </c:pt>
                <c:pt idx="3">
                  <c:v>5.0784765040777155E-3</c:v>
                </c:pt>
                <c:pt idx="4">
                  <c:v>6.6095958286231287E-3</c:v>
                </c:pt>
                <c:pt idx="5">
                  <c:v>-3.3240737246528823E-3</c:v>
                </c:pt>
                <c:pt idx="6">
                  <c:v>7.7260220031912269E-2</c:v>
                </c:pt>
                <c:pt idx="7">
                  <c:v>7.3351237427774288E-2</c:v>
                </c:pt>
                <c:pt idx="8">
                  <c:v>7.2328356190544493E-2</c:v>
                </c:pt>
                <c:pt idx="10">
                  <c:v>3.3456121021339873E-2</c:v>
                </c:pt>
                <c:pt idx="11">
                  <c:v>1.0929776002346112E-2</c:v>
                </c:pt>
                <c:pt idx="12">
                  <c:v>4.202471914429709E-2</c:v>
                </c:pt>
                <c:pt idx="13">
                  <c:v>4.0255893511324546E-2</c:v>
                </c:pt>
                <c:pt idx="14">
                  <c:v>4.5380983843565911E-2</c:v>
                </c:pt>
                <c:pt idx="15">
                  <c:v>6.8260030773730024E-2</c:v>
                </c:pt>
                <c:pt idx="16">
                  <c:v>0.12644127651582471</c:v>
                </c:pt>
                <c:pt idx="17">
                  <c:v>0.16838225630063508</c:v>
                </c:pt>
                <c:pt idx="18">
                  <c:v>0.1540118961167902</c:v>
                </c:pt>
                <c:pt idx="19">
                  <c:v>0.12406884448367471</c:v>
                </c:pt>
                <c:pt idx="20">
                  <c:v>8.374833131880105E-2</c:v>
                </c:pt>
                <c:pt idx="21">
                  <c:v>9.9629622504983611E-2</c:v>
                </c:pt>
                <c:pt idx="22">
                  <c:v>-1.6930567217038686E-2</c:v>
                </c:pt>
                <c:pt idx="23">
                  <c:v>-2.9737352728564329E-2</c:v>
                </c:pt>
                <c:pt idx="24">
                  <c:v>-0.1559690600340165</c:v>
                </c:pt>
                <c:pt idx="25">
                  <c:v>-0.10977408986527426</c:v>
                </c:pt>
                <c:pt idx="26">
                  <c:v>-0.10927217151287152</c:v>
                </c:pt>
                <c:pt idx="27">
                  <c:v>-0.13635267587969585</c:v>
                </c:pt>
                <c:pt idx="28">
                  <c:v>-0.19658100699955616</c:v>
                </c:pt>
                <c:pt idx="29">
                  <c:v>-0.1701485689996631</c:v>
                </c:pt>
                <c:pt idx="30">
                  <c:v>-0.14925451245471524</c:v>
                </c:pt>
                <c:pt idx="31">
                  <c:v>-4.4539575714100138E-2</c:v>
                </c:pt>
                <c:pt idx="32">
                  <c:v>-2.6815727730497858E-2</c:v>
                </c:pt>
                <c:pt idx="33">
                  <c:v>0.12970260099410402</c:v>
                </c:pt>
                <c:pt idx="34">
                  <c:v>0.20461447361518709</c:v>
                </c:pt>
                <c:pt idx="35">
                  <c:v>0.18553241453713926</c:v>
                </c:pt>
                <c:pt idx="36">
                  <c:v>0.1972056702229304</c:v>
                </c:pt>
                <c:pt idx="37">
                  <c:v>0.17473406432568989</c:v>
                </c:pt>
                <c:pt idx="38">
                  <c:v>0.16866896746286897</c:v>
                </c:pt>
                <c:pt idx="39">
                  <c:v>0.1720757847145751</c:v>
                </c:pt>
                <c:pt idx="40">
                  <c:v>0.21869089593948846</c:v>
                </c:pt>
                <c:pt idx="41">
                  <c:v>0.21266988711800375</c:v>
                </c:pt>
                <c:pt idx="42">
                  <c:v>0.18792863172061997</c:v>
                </c:pt>
                <c:pt idx="43">
                  <c:v>0.24512200278320542</c:v>
                </c:pt>
                <c:pt idx="44">
                  <c:v>0.21072788334178705</c:v>
                </c:pt>
                <c:pt idx="45">
                  <c:v>0.22006676086596078</c:v>
                </c:pt>
                <c:pt idx="46">
                  <c:v>0.28779675493559476</c:v>
                </c:pt>
                <c:pt idx="47">
                  <c:v>0.27086365695768916</c:v>
                </c:pt>
                <c:pt idx="48">
                  <c:v>0.25867855293329234</c:v>
                </c:pt>
                <c:pt idx="49">
                  <c:v>0.22129473201765176</c:v>
                </c:pt>
                <c:pt idx="50">
                  <c:v>0.21118272770296317</c:v>
                </c:pt>
                <c:pt idx="51">
                  <c:v>0.19000318523238199</c:v>
                </c:pt>
                <c:pt idx="52">
                  <c:v>0.12118470495917487</c:v>
                </c:pt>
                <c:pt idx="53">
                  <c:v>0.18497892454008935</c:v>
                </c:pt>
                <c:pt idx="54">
                  <c:v>0.19804774397465469</c:v>
                </c:pt>
                <c:pt idx="55">
                  <c:v>0.15589609838663693</c:v>
                </c:pt>
                <c:pt idx="56">
                  <c:v>0.14713398037258044</c:v>
                </c:pt>
                <c:pt idx="57">
                  <c:v>0.11821135801364713</c:v>
                </c:pt>
                <c:pt idx="58">
                  <c:v>0.11541333474767333</c:v>
                </c:pt>
                <c:pt idx="59">
                  <c:v>0.1402063311184828</c:v>
                </c:pt>
                <c:pt idx="60">
                  <c:v>0.16243225625011276</c:v>
                </c:pt>
                <c:pt idx="61">
                  <c:v>0.12105278932107805</c:v>
                </c:pt>
                <c:pt idx="62">
                  <c:v>0.15383529678979532</c:v>
                </c:pt>
                <c:pt idx="63">
                  <c:v>0.11993745421708807</c:v>
                </c:pt>
                <c:pt idx="64">
                  <c:v>0.11747717738873688</c:v>
                </c:pt>
                <c:pt idx="65">
                  <c:v>0.19807302593097859</c:v>
                </c:pt>
                <c:pt idx="66">
                  <c:v>0.21915252484262177</c:v>
                </c:pt>
                <c:pt idx="67">
                  <c:v>0.65432124395048019</c:v>
                </c:pt>
                <c:pt idx="68">
                  <c:v>0.71929999930642741</c:v>
                </c:pt>
                <c:pt idx="69">
                  <c:v>0.67712608623601922</c:v>
                </c:pt>
                <c:pt idx="70">
                  <c:v>0.77802738756902134</c:v>
                </c:pt>
                <c:pt idx="71">
                  <c:v>0.76788195459254494</c:v>
                </c:pt>
                <c:pt idx="72">
                  <c:v>1.0421876783317381</c:v>
                </c:pt>
                <c:pt idx="73">
                  <c:v>1.0752537731632306</c:v>
                </c:pt>
                <c:pt idx="74">
                  <c:v>1.06796699861835</c:v>
                </c:pt>
                <c:pt idx="75">
                  <c:v>1.0950345454416408</c:v>
                </c:pt>
                <c:pt idx="76">
                  <c:v>1.0924209319354121</c:v>
                </c:pt>
                <c:pt idx="77">
                  <c:v>1.4560563329822314</c:v>
                </c:pt>
                <c:pt idx="78">
                  <c:v>1.4717090555756429</c:v>
                </c:pt>
                <c:pt idx="79">
                  <c:v>1.5025957280975217</c:v>
                </c:pt>
                <c:pt idx="80">
                  <c:v>1.505483073612959</c:v>
                </c:pt>
                <c:pt idx="81">
                  <c:v>1.538953429767242</c:v>
                </c:pt>
                <c:pt idx="82">
                  <c:v>1.5316132814805647</c:v>
                </c:pt>
                <c:pt idx="83">
                  <c:v>1.5576450152066268</c:v>
                </c:pt>
                <c:pt idx="84">
                  <c:v>1.5757858776693017</c:v>
                </c:pt>
                <c:pt idx="85">
                  <c:v>1.5804561305185092</c:v>
                </c:pt>
                <c:pt idx="86">
                  <c:v>1.8438641498122914</c:v>
                </c:pt>
                <c:pt idx="87">
                  <c:v>1.7567408202870629</c:v>
                </c:pt>
                <c:pt idx="88">
                  <c:v>1.7751161577400709</c:v>
                </c:pt>
                <c:pt idx="89">
                  <c:v>1.6607179778512695</c:v>
                </c:pt>
                <c:pt idx="90">
                  <c:v>1.4517647745839988</c:v>
                </c:pt>
                <c:pt idx="91">
                  <c:v>1.4006510127821705</c:v>
                </c:pt>
                <c:pt idx="92">
                  <c:v>1.3666730289517897</c:v>
                </c:pt>
                <c:pt idx="93">
                  <c:v>1.3778505687046825</c:v>
                </c:pt>
                <c:pt idx="94">
                  <c:v>1.3789308119567498</c:v>
                </c:pt>
                <c:pt idx="95">
                  <c:v>1.3715360224749624</c:v>
                </c:pt>
                <c:pt idx="96">
                  <c:v>1.2598317035533357</c:v>
                </c:pt>
                <c:pt idx="97">
                  <c:v>1.2398863657487649</c:v>
                </c:pt>
                <c:pt idx="98">
                  <c:v>1.2417715464825623</c:v>
                </c:pt>
                <c:pt idx="99">
                  <c:v>1.1671936400807152</c:v>
                </c:pt>
                <c:pt idx="100">
                  <c:v>1.2053340041727936</c:v>
                </c:pt>
                <c:pt idx="101">
                  <c:v>1.1934505362653918</c:v>
                </c:pt>
                <c:pt idx="102">
                  <c:v>1.2036132225145022</c:v>
                </c:pt>
                <c:pt idx="103">
                  <c:v>1.43161714886979</c:v>
                </c:pt>
                <c:pt idx="104">
                  <c:v>1.6261293283911282</c:v>
                </c:pt>
                <c:pt idx="105">
                  <c:v>1.8809711316685418</c:v>
                </c:pt>
                <c:pt idx="106">
                  <c:v>2.0036958266565894</c:v>
                </c:pt>
                <c:pt idx="107">
                  <c:v>1.9125362964937618</c:v>
                </c:pt>
                <c:pt idx="108">
                  <c:v>1.918865061876833</c:v>
                </c:pt>
                <c:pt idx="109">
                  <c:v>2.0491926184645246</c:v>
                </c:pt>
                <c:pt idx="110">
                  <c:v>2.0422997671781054</c:v>
                </c:pt>
                <c:pt idx="111">
                  <c:v>2.3191242871000295</c:v>
                </c:pt>
                <c:pt idx="112">
                  <c:v>2.2593543472344195</c:v>
                </c:pt>
                <c:pt idx="113">
                  <c:v>2.2786769313140249</c:v>
                </c:pt>
                <c:pt idx="114">
                  <c:v>2.3183759472338559</c:v>
                </c:pt>
                <c:pt idx="115">
                  <c:v>2.291153425410354</c:v>
                </c:pt>
                <c:pt idx="116">
                  <c:v>2.3102077619246368</c:v>
                </c:pt>
                <c:pt idx="117">
                  <c:v>2.2684748890887003</c:v>
                </c:pt>
                <c:pt idx="118">
                  <c:v>2.424645632318597</c:v>
                </c:pt>
                <c:pt idx="119">
                  <c:v>2.5343720023329621</c:v>
                </c:pt>
                <c:pt idx="120">
                  <c:v>2.6246586042985172</c:v>
                </c:pt>
                <c:pt idx="121">
                  <c:v>2.5697317458476823</c:v>
                </c:pt>
                <c:pt idx="122">
                  <c:v>2.5591979231973019</c:v>
                </c:pt>
                <c:pt idx="123">
                  <c:v>2.6884570583800396</c:v>
                </c:pt>
                <c:pt idx="124">
                  <c:v>2.7551457258603329</c:v>
                </c:pt>
                <c:pt idx="125">
                  <c:v>2.7542442224858457</c:v>
                </c:pt>
                <c:pt idx="126">
                  <c:v>2.7369206465007054</c:v>
                </c:pt>
                <c:pt idx="127">
                  <c:v>2.7856186986584546</c:v>
                </c:pt>
                <c:pt idx="128">
                  <c:v>2.7848044470562199</c:v>
                </c:pt>
                <c:pt idx="129">
                  <c:v>2.7930519464303103</c:v>
                </c:pt>
                <c:pt idx="130">
                  <c:v>2.8000449925258906</c:v>
                </c:pt>
                <c:pt idx="131">
                  <c:v>2.7999458111005961</c:v>
                </c:pt>
                <c:pt idx="132">
                  <c:v>2.7823731572329846</c:v>
                </c:pt>
                <c:pt idx="133">
                  <c:v>2.792027573590095</c:v>
                </c:pt>
                <c:pt idx="134">
                  <c:v>2.7879549354329298</c:v>
                </c:pt>
                <c:pt idx="135">
                  <c:v>2.7809290866220961</c:v>
                </c:pt>
                <c:pt idx="136">
                  <c:v>2.7759454666876464</c:v>
                </c:pt>
                <c:pt idx="137">
                  <c:v>2.7622677878385269</c:v>
                </c:pt>
                <c:pt idx="138">
                  <c:v>2.7777388800478557</c:v>
                </c:pt>
                <c:pt idx="139">
                  <c:v>2.8277832662990479</c:v>
                </c:pt>
                <c:pt idx="140">
                  <c:v>2.702191975823427</c:v>
                </c:pt>
                <c:pt idx="141">
                  <c:v>2.6901615222329123</c:v>
                </c:pt>
                <c:pt idx="142">
                  <c:v>2.6721575825671104</c:v>
                </c:pt>
                <c:pt idx="143">
                  <c:v>2.6662526654091812</c:v>
                </c:pt>
                <c:pt idx="144">
                  <c:v>2.6526054937064987</c:v>
                </c:pt>
                <c:pt idx="145">
                  <c:v>2.6426566728598804</c:v>
                </c:pt>
                <c:pt idx="146">
                  <c:v>2.6695681860429334</c:v>
                </c:pt>
                <c:pt idx="147">
                  <c:v>2.6893970168609784</c:v>
                </c:pt>
                <c:pt idx="148">
                  <c:v>2.6879188206861575</c:v>
                </c:pt>
                <c:pt idx="149">
                  <c:v>2.7173994608792031</c:v>
                </c:pt>
                <c:pt idx="150">
                  <c:v>2.7200388595560159</c:v>
                </c:pt>
                <c:pt idx="151">
                  <c:v>2.7536317086815725</c:v>
                </c:pt>
                <c:pt idx="152">
                  <c:v>2.7490872120409202</c:v>
                </c:pt>
                <c:pt idx="153">
                  <c:v>2.7774235243052776</c:v>
                </c:pt>
                <c:pt idx="154">
                  <c:v>2.8284267779293413</c:v>
                </c:pt>
                <c:pt idx="155">
                  <c:v>2.872296916483891</c:v>
                </c:pt>
                <c:pt idx="156">
                  <c:v>2.4729929904061283</c:v>
                </c:pt>
                <c:pt idx="157">
                  <c:v>2.470074349333427</c:v>
                </c:pt>
                <c:pt idx="158">
                  <c:v>2.4354753032949517</c:v>
                </c:pt>
                <c:pt idx="159">
                  <c:v>2.4748795049104229</c:v>
                </c:pt>
                <c:pt idx="160">
                  <c:v>2.3969840638784117</c:v>
                </c:pt>
                <c:pt idx="161">
                  <c:v>2.3978453710268246</c:v>
                </c:pt>
                <c:pt idx="162">
                  <c:v>2.3679362406179449</c:v>
                </c:pt>
                <c:pt idx="163">
                  <c:v>2.3328508060442115</c:v>
                </c:pt>
                <c:pt idx="164">
                  <c:v>2.3467830290468066</c:v>
                </c:pt>
                <c:pt idx="165">
                  <c:v>2.1898633372620466</c:v>
                </c:pt>
                <c:pt idx="166">
                  <c:v>2.1864416566503433</c:v>
                </c:pt>
                <c:pt idx="167">
                  <c:v>2.1844415706610514</c:v>
                </c:pt>
                <c:pt idx="168">
                  <c:v>2.122171102154546</c:v>
                </c:pt>
                <c:pt idx="169">
                  <c:v>2.11551621515087</c:v>
                </c:pt>
                <c:pt idx="170">
                  <c:v>2.1161311289588722</c:v>
                </c:pt>
                <c:pt idx="171">
                  <c:v>2.1039903190935716</c:v>
                </c:pt>
                <c:pt idx="172">
                  <c:v>2.1093640823763673</c:v>
                </c:pt>
                <c:pt idx="173">
                  <c:v>2.1023144660059789</c:v>
                </c:pt>
                <c:pt idx="174">
                  <c:v>2.0821482393621475</c:v>
                </c:pt>
                <c:pt idx="175">
                  <c:v>2.123034252580696</c:v>
                </c:pt>
                <c:pt idx="176">
                  <c:v>2.2594533580988569</c:v>
                </c:pt>
                <c:pt idx="177">
                  <c:v>2.2229476332404419</c:v>
                </c:pt>
                <c:pt idx="178">
                  <c:v>2.243690464383457</c:v>
                </c:pt>
                <c:pt idx="179">
                  <c:v>2.2349544551092078</c:v>
                </c:pt>
                <c:pt idx="180">
                  <c:v>2.3140991773601503</c:v>
                </c:pt>
                <c:pt idx="181">
                  <c:v>2.350649448500675</c:v>
                </c:pt>
                <c:pt idx="182">
                  <c:v>2.3333656389246622</c:v>
                </c:pt>
                <c:pt idx="183">
                  <c:v>2.3170769961783027</c:v>
                </c:pt>
                <c:pt idx="184">
                  <c:v>2.305142635920653</c:v>
                </c:pt>
                <c:pt idx="185">
                  <c:v>2.3087904500622729</c:v>
                </c:pt>
                <c:pt idx="186">
                  <c:v>2.2877057119117854</c:v>
                </c:pt>
                <c:pt idx="187">
                  <c:v>2.3264922306163567</c:v>
                </c:pt>
                <c:pt idx="188">
                  <c:v>2.3204982990590151</c:v>
                </c:pt>
                <c:pt idx="189">
                  <c:v>2.2514175644582708</c:v>
                </c:pt>
                <c:pt idx="190">
                  <c:v>2.04945774607847</c:v>
                </c:pt>
                <c:pt idx="191">
                  <c:v>2.0371139891253902</c:v>
                </c:pt>
                <c:pt idx="192">
                  <c:v>1.9841844328758269</c:v>
                </c:pt>
                <c:pt idx="193">
                  <c:v>2.0010548243898341</c:v>
                </c:pt>
                <c:pt idx="194">
                  <c:v>1.992893473375422</c:v>
                </c:pt>
                <c:pt idx="195">
                  <c:v>1.9960640137203569</c:v>
                </c:pt>
                <c:pt idx="196">
                  <c:v>1.9963470227841764</c:v>
                </c:pt>
                <c:pt idx="197">
                  <c:v>1.9847897478589736</c:v>
                </c:pt>
                <c:pt idx="198">
                  <c:v>1.9512924602446098</c:v>
                </c:pt>
                <c:pt idx="199">
                  <c:v>1.9326666753037405</c:v>
                </c:pt>
                <c:pt idx="200">
                  <c:v>2.0217176918576021</c:v>
                </c:pt>
                <c:pt idx="201">
                  <c:v>1.9596626799240207</c:v>
                </c:pt>
                <c:pt idx="202">
                  <c:v>1.9757229849548803</c:v>
                </c:pt>
                <c:pt idx="203">
                  <c:v>1.9888948214336692</c:v>
                </c:pt>
                <c:pt idx="204">
                  <c:v>1.8792905515240586</c:v>
                </c:pt>
                <c:pt idx="205">
                  <c:v>1.8409322031704056</c:v>
                </c:pt>
                <c:pt idx="206">
                  <c:v>1.8396322038670374</c:v>
                </c:pt>
                <c:pt idx="207">
                  <c:v>1.8383768190651169</c:v>
                </c:pt>
                <c:pt idx="208">
                  <c:v>1.9181282866609224</c:v>
                </c:pt>
                <c:pt idx="209">
                  <c:v>1.9034133943594147</c:v>
                </c:pt>
                <c:pt idx="210">
                  <c:v>1.9660794996811066</c:v>
                </c:pt>
                <c:pt idx="211">
                  <c:v>1.9726301053444011</c:v>
                </c:pt>
                <c:pt idx="212">
                  <c:v>2.0133776097977281</c:v>
                </c:pt>
                <c:pt idx="213">
                  <c:v>1.9411804847260639</c:v>
                </c:pt>
                <c:pt idx="214">
                  <c:v>1.934623976382136</c:v>
                </c:pt>
                <c:pt idx="215">
                  <c:v>1.93960029790665</c:v>
                </c:pt>
                <c:pt idx="216">
                  <c:v>1.8792024258260187</c:v>
                </c:pt>
                <c:pt idx="217">
                  <c:v>1.8351560518603249</c:v>
                </c:pt>
                <c:pt idx="218">
                  <c:v>1.8442994106916593</c:v>
                </c:pt>
                <c:pt idx="219">
                  <c:v>1.8509056008893785</c:v>
                </c:pt>
                <c:pt idx="220">
                  <c:v>1.8489604041950891</c:v>
                </c:pt>
                <c:pt idx="221">
                  <c:v>1.7770074359848673</c:v>
                </c:pt>
                <c:pt idx="222">
                  <c:v>1.9295233839171817</c:v>
                </c:pt>
                <c:pt idx="223">
                  <c:v>1.8868362878911127</c:v>
                </c:pt>
                <c:pt idx="224">
                  <c:v>1.8761912687203852</c:v>
                </c:pt>
                <c:pt idx="225">
                  <c:v>1.8912969287896311</c:v>
                </c:pt>
                <c:pt idx="226">
                  <c:v>1.8546361202779775</c:v>
                </c:pt>
                <c:pt idx="227">
                  <c:v>1.8694479597735005</c:v>
                </c:pt>
                <c:pt idx="228">
                  <c:v>1.9134040882883956</c:v>
                </c:pt>
                <c:pt idx="229">
                  <c:v>1.8501814367163318</c:v>
                </c:pt>
                <c:pt idx="230">
                  <c:v>1.8612763396409497</c:v>
                </c:pt>
                <c:pt idx="231">
                  <c:v>1.8817517715889978</c:v>
                </c:pt>
                <c:pt idx="232">
                  <c:v>1.9110085888425907</c:v>
                </c:pt>
                <c:pt idx="233">
                  <c:v>1.8965847370094486</c:v>
                </c:pt>
                <c:pt idx="234">
                  <c:v>1.9069669458820049</c:v>
                </c:pt>
                <c:pt idx="235">
                  <c:v>1.9149455664871606</c:v>
                </c:pt>
                <c:pt idx="236">
                  <c:v>1.9222963806183309</c:v>
                </c:pt>
                <c:pt idx="237">
                  <c:v>1.8820746756076838</c:v>
                </c:pt>
                <c:pt idx="238">
                  <c:v>1.9645421544904325</c:v>
                </c:pt>
                <c:pt idx="239">
                  <c:v>1.9610585718678359</c:v>
                </c:pt>
                <c:pt idx="240">
                  <c:v>1.9577477515261763</c:v>
                </c:pt>
                <c:pt idx="241">
                  <c:v>1.9713833080192762</c:v>
                </c:pt>
                <c:pt idx="242">
                  <c:v>1.948373555569108</c:v>
                </c:pt>
                <c:pt idx="243">
                  <c:v>1.8279868488145345</c:v>
                </c:pt>
                <c:pt idx="244">
                  <c:v>1.7789005371596212</c:v>
                </c:pt>
                <c:pt idx="245">
                  <c:v>1.7717399424873099</c:v>
                </c:pt>
                <c:pt idx="246">
                  <c:v>1.7351083482018561</c:v>
                </c:pt>
                <c:pt idx="247">
                  <c:v>1.7649187417373031</c:v>
                </c:pt>
                <c:pt idx="248">
                  <c:v>1.6559057951887621</c:v>
                </c:pt>
                <c:pt idx="249">
                  <c:v>1.5367542172080588</c:v>
                </c:pt>
                <c:pt idx="250">
                  <c:v>1.5022644391646076</c:v>
                </c:pt>
                <c:pt idx="251">
                  <c:v>1.4659570840478431</c:v>
                </c:pt>
                <c:pt idx="252">
                  <c:v>1.4864595139812009</c:v>
                </c:pt>
                <c:pt idx="253">
                  <c:v>1.3963719592314205</c:v>
                </c:pt>
                <c:pt idx="254">
                  <c:v>1.3473703488074831</c:v>
                </c:pt>
                <c:pt idx="255">
                  <c:v>1.358982687934023</c:v>
                </c:pt>
                <c:pt idx="256">
                  <c:v>1.3273963304877612</c:v>
                </c:pt>
                <c:pt idx="257">
                  <c:v>1.2691951089404667</c:v>
                </c:pt>
                <c:pt idx="258">
                  <c:v>1.2715969708822892</c:v>
                </c:pt>
                <c:pt idx="259">
                  <c:v>1.2948336508223375</c:v>
                </c:pt>
                <c:pt idx="260">
                  <c:v>1.2538205470465973</c:v>
                </c:pt>
                <c:pt idx="261">
                  <c:v>1.1685798453315219</c:v>
                </c:pt>
                <c:pt idx="262">
                  <c:v>0.97293186766808004</c:v>
                </c:pt>
                <c:pt idx="263">
                  <c:v>0.95323308464584711</c:v>
                </c:pt>
                <c:pt idx="264">
                  <c:v>0.95536991991333819</c:v>
                </c:pt>
                <c:pt idx="265">
                  <c:v>0.92508109394164306</c:v>
                </c:pt>
                <c:pt idx="266">
                  <c:v>0.9251791369654383</c:v>
                </c:pt>
                <c:pt idx="267">
                  <c:v>0.95628629094225359</c:v>
                </c:pt>
                <c:pt idx="268">
                  <c:v>0.95205791696957964</c:v>
                </c:pt>
                <c:pt idx="269">
                  <c:v>0.96075511166488947</c:v>
                </c:pt>
                <c:pt idx="270">
                  <c:v>0.96312333636716696</c:v>
                </c:pt>
                <c:pt idx="271">
                  <c:v>0.94679652204797116</c:v>
                </c:pt>
                <c:pt idx="272">
                  <c:v>0.95459693623894637</c:v>
                </c:pt>
                <c:pt idx="273">
                  <c:v>1.0946214164655113</c:v>
                </c:pt>
                <c:pt idx="274">
                  <c:v>1.1089562004891966</c:v>
                </c:pt>
                <c:pt idx="275">
                  <c:v>1.1532104952533997</c:v>
                </c:pt>
                <c:pt idx="276">
                  <c:v>1.1353415544786165</c:v>
                </c:pt>
                <c:pt idx="277">
                  <c:v>1.0286492205842841</c:v>
                </c:pt>
                <c:pt idx="278">
                  <c:v>1.0156009403213999</c:v>
                </c:pt>
                <c:pt idx="279">
                  <c:v>1.0088234532425497</c:v>
                </c:pt>
                <c:pt idx="280">
                  <c:v>0.98579853342069634</c:v>
                </c:pt>
                <c:pt idx="281">
                  <c:v>0.9869452184155677</c:v>
                </c:pt>
                <c:pt idx="282">
                  <c:v>1.046727051708414</c:v>
                </c:pt>
                <c:pt idx="283">
                  <c:v>1.0095082251949614</c:v>
                </c:pt>
                <c:pt idx="284">
                  <c:v>1.0026425729521247</c:v>
                </c:pt>
                <c:pt idx="285">
                  <c:v>1.0005111604614072</c:v>
                </c:pt>
                <c:pt idx="286">
                  <c:v>0.97288641180015989</c:v>
                </c:pt>
                <c:pt idx="287">
                  <c:v>0.97073561416512688</c:v>
                </c:pt>
                <c:pt idx="288">
                  <c:v>0.96415900703717017</c:v>
                </c:pt>
                <c:pt idx="289">
                  <c:v>0.97154471099309103</c:v>
                </c:pt>
                <c:pt idx="290">
                  <c:v>0.97766721190654271</c:v>
                </c:pt>
                <c:pt idx="291">
                  <c:v>0.91662741629143896</c:v>
                </c:pt>
                <c:pt idx="292">
                  <c:v>0.92384389532042699</c:v>
                </c:pt>
                <c:pt idx="293">
                  <c:v>0.86533830851787907</c:v>
                </c:pt>
                <c:pt idx="294">
                  <c:v>0.90034446063188323</c:v>
                </c:pt>
                <c:pt idx="295">
                  <c:v>0.88930241398145649</c:v>
                </c:pt>
                <c:pt idx="296">
                  <c:v>0.91000968417429984</c:v>
                </c:pt>
                <c:pt idx="297">
                  <c:v>0.90291664509448455</c:v>
                </c:pt>
                <c:pt idx="298">
                  <c:v>0.87862556202040043</c:v>
                </c:pt>
                <c:pt idx="299">
                  <c:v>0.85458541558719048</c:v>
                </c:pt>
                <c:pt idx="300">
                  <c:v>0.85887407910874924</c:v>
                </c:pt>
                <c:pt idx="301">
                  <c:v>0.83857117956176874</c:v>
                </c:pt>
                <c:pt idx="302">
                  <c:v>0.82576084215091761</c:v>
                </c:pt>
                <c:pt idx="303">
                  <c:v>0.82559592198396803</c:v>
                </c:pt>
                <c:pt idx="304">
                  <c:v>0.81145472133588881</c:v>
                </c:pt>
                <c:pt idx="305">
                  <c:v>0.80262883648269068</c:v>
                </c:pt>
                <c:pt idx="306">
                  <c:v>0.78741008433698467</c:v>
                </c:pt>
                <c:pt idx="307">
                  <c:v>0.78593243440290705</c:v>
                </c:pt>
                <c:pt idx="308">
                  <c:v>0.76938494276961655</c:v>
                </c:pt>
                <c:pt idx="309">
                  <c:v>0.76038816394607711</c:v>
                </c:pt>
                <c:pt idx="310">
                  <c:v>0.74183781526308246</c:v>
                </c:pt>
                <c:pt idx="311">
                  <c:v>0.75359700874054569</c:v>
                </c:pt>
                <c:pt idx="312">
                  <c:v>0.74712278781383257</c:v>
                </c:pt>
                <c:pt idx="313">
                  <c:v>0.79839530076155696</c:v>
                </c:pt>
                <c:pt idx="314">
                  <c:v>0.76805657016182927</c:v>
                </c:pt>
                <c:pt idx="315">
                  <c:v>0.72748875102072286</c:v>
                </c:pt>
                <c:pt idx="316">
                  <c:v>0.71105100493894358</c:v>
                </c:pt>
                <c:pt idx="317">
                  <c:v>0.70249307264130734</c:v>
                </c:pt>
                <c:pt idx="318">
                  <c:v>0.70120054401592113</c:v>
                </c:pt>
                <c:pt idx="319">
                  <c:v>0.72274658809203751</c:v>
                </c:pt>
                <c:pt idx="320">
                  <c:v>0.71831167040461141</c:v>
                </c:pt>
                <c:pt idx="321">
                  <c:v>0.61363030615867109</c:v>
                </c:pt>
                <c:pt idx="322">
                  <c:v>0.62438703900161252</c:v>
                </c:pt>
                <c:pt idx="323">
                  <c:v>0.64569791834927381</c:v>
                </c:pt>
                <c:pt idx="324">
                  <c:v>0.56381059507352449</c:v>
                </c:pt>
                <c:pt idx="325">
                  <c:v>0.55109877208850755</c:v>
                </c:pt>
                <c:pt idx="326">
                  <c:v>0.98862667713216901</c:v>
                </c:pt>
                <c:pt idx="327">
                  <c:v>0.96982923268429921</c:v>
                </c:pt>
                <c:pt idx="328">
                  <c:v>1.0309961411208741</c:v>
                </c:pt>
                <c:pt idx="329">
                  <c:v>0.97806964565259535</c:v>
                </c:pt>
                <c:pt idx="330">
                  <c:v>1.1919929128873412</c:v>
                </c:pt>
                <c:pt idx="331">
                  <c:v>1.2781914129596077</c:v>
                </c:pt>
                <c:pt idx="332">
                  <c:v>1.3137316502208325</c:v>
                </c:pt>
                <c:pt idx="333">
                  <c:v>1.2649792200514853</c:v>
                </c:pt>
                <c:pt idx="334">
                  <c:v>1.297754318270111</c:v>
                </c:pt>
                <c:pt idx="335">
                  <c:v>1.125153858220777</c:v>
                </c:pt>
                <c:pt idx="336">
                  <c:v>1.1349450885525969</c:v>
                </c:pt>
                <c:pt idx="337">
                  <c:v>1.1277217432640003</c:v>
                </c:pt>
                <c:pt idx="338">
                  <c:v>1.1202300151074176</c:v>
                </c:pt>
                <c:pt idx="339">
                  <c:v>1.1146641301193383</c:v>
                </c:pt>
                <c:pt idx="340">
                  <c:v>1.0919072343087306</c:v>
                </c:pt>
                <c:pt idx="341">
                  <c:v>1.0918652831296474</c:v>
                </c:pt>
                <c:pt idx="342">
                  <c:v>1.1518805328901711</c:v>
                </c:pt>
                <c:pt idx="343">
                  <c:v>1.219659791803007</c:v>
                </c:pt>
                <c:pt idx="344">
                  <c:v>1.2053261263615782</c:v>
                </c:pt>
                <c:pt idx="345">
                  <c:v>1.2349369998058339</c:v>
                </c:pt>
                <c:pt idx="346">
                  <c:v>1.103438176923798</c:v>
                </c:pt>
                <c:pt idx="347">
                  <c:v>1.089609723568518</c:v>
                </c:pt>
                <c:pt idx="348">
                  <c:v>1.0967584560777586</c:v>
                </c:pt>
                <c:pt idx="349">
                  <c:v>1.1543924519771969</c:v>
                </c:pt>
                <c:pt idx="350">
                  <c:v>1.1664042114352682</c:v>
                </c:pt>
                <c:pt idx="351">
                  <c:v>1.1538348491868886</c:v>
                </c:pt>
                <c:pt idx="352">
                  <c:v>1.1104768801363898</c:v>
                </c:pt>
                <c:pt idx="353">
                  <c:v>1.0584068408458474</c:v>
                </c:pt>
                <c:pt idx="354">
                  <c:v>1.0996921483985524</c:v>
                </c:pt>
                <c:pt idx="355">
                  <c:v>1.0875009179445474</c:v>
                </c:pt>
                <c:pt idx="356">
                  <c:v>1.0762542264352108</c:v>
                </c:pt>
                <c:pt idx="357">
                  <c:v>1.1181337157001159</c:v>
                </c:pt>
                <c:pt idx="358">
                  <c:v>1.1052710971756639</c:v>
                </c:pt>
                <c:pt idx="359">
                  <c:v>1.0785356505768249</c:v>
                </c:pt>
                <c:pt idx="360">
                  <c:v>1.0792513475093797</c:v>
                </c:pt>
                <c:pt idx="361">
                  <c:v>1.0159885562975397</c:v>
                </c:pt>
                <c:pt idx="362">
                  <c:v>1.0131896507247675</c:v>
                </c:pt>
                <c:pt idx="363">
                  <c:v>1.0547085431218337</c:v>
                </c:pt>
                <c:pt idx="364">
                  <c:v>1.1345895881275787</c:v>
                </c:pt>
                <c:pt idx="365">
                  <c:v>1.1218407507695243</c:v>
                </c:pt>
                <c:pt idx="366">
                  <c:v>1.1564481635982939</c:v>
                </c:pt>
                <c:pt idx="367">
                  <c:v>1.1665561263137039</c:v>
                </c:pt>
                <c:pt idx="368">
                  <c:v>1.2081670331197019</c:v>
                </c:pt>
                <c:pt idx="369">
                  <c:v>1.2076670586917568</c:v>
                </c:pt>
                <c:pt idx="370">
                  <c:v>1.2024747624366412</c:v>
                </c:pt>
                <c:pt idx="371">
                  <c:v>1.1852397917451201</c:v>
                </c:pt>
                <c:pt idx="372">
                  <c:v>1.170631789291614</c:v>
                </c:pt>
                <c:pt idx="373">
                  <c:v>1.1597611319659704</c:v>
                </c:pt>
                <c:pt idx="374">
                  <c:v>1.1449439640511023</c:v>
                </c:pt>
                <c:pt idx="375">
                  <c:v>1.1246399702270091</c:v>
                </c:pt>
                <c:pt idx="376">
                  <c:v>1.3003476467526691</c:v>
                </c:pt>
                <c:pt idx="377">
                  <c:v>1.2718324066826694</c:v>
                </c:pt>
                <c:pt idx="378">
                  <c:v>1.2742916206989903</c:v>
                </c:pt>
                <c:pt idx="379">
                  <c:v>1.2784888342107548</c:v>
                </c:pt>
                <c:pt idx="380">
                  <c:v>1.2561489262154373</c:v>
                </c:pt>
                <c:pt idx="381">
                  <c:v>1.2521295355467583</c:v>
                </c:pt>
                <c:pt idx="382">
                  <c:v>1.2724314957696619</c:v>
                </c:pt>
                <c:pt idx="383">
                  <c:v>1.3458650893533317</c:v>
                </c:pt>
                <c:pt idx="384">
                  <c:v>1.3449131130724372</c:v>
                </c:pt>
                <c:pt idx="385">
                  <c:v>1.3581187936491101</c:v>
                </c:pt>
                <c:pt idx="386">
                  <c:v>1.3239577878289364</c:v>
                </c:pt>
                <c:pt idx="387">
                  <c:v>1.3048527564675245</c:v>
                </c:pt>
                <c:pt idx="388">
                  <c:v>1.2796374989521897</c:v>
                </c:pt>
                <c:pt idx="389">
                  <c:v>1.2981175943133065</c:v>
                </c:pt>
                <c:pt idx="390">
                  <c:v>1.2975498707148714</c:v>
                </c:pt>
                <c:pt idx="391">
                  <c:v>1.3234057399034069</c:v>
                </c:pt>
                <c:pt idx="392">
                  <c:v>1.3229884280003934</c:v>
                </c:pt>
                <c:pt idx="393">
                  <c:v>1.3243402006803995</c:v>
                </c:pt>
                <c:pt idx="394">
                  <c:v>1.2657211027452531</c:v>
                </c:pt>
                <c:pt idx="395">
                  <c:v>1.1647014918297616</c:v>
                </c:pt>
                <c:pt idx="396">
                  <c:v>1.163284684417162</c:v>
                </c:pt>
                <c:pt idx="397">
                  <c:v>1.1757350352213474</c:v>
                </c:pt>
                <c:pt idx="398">
                  <c:v>1.1722773721672319</c:v>
                </c:pt>
                <c:pt idx="399">
                  <c:v>1.1005044982619676</c:v>
                </c:pt>
                <c:pt idx="400">
                  <c:v>1.1130978947064691</c:v>
                </c:pt>
                <c:pt idx="401">
                  <c:v>1.0555800376249691</c:v>
                </c:pt>
                <c:pt idx="402">
                  <c:v>1.0823956367120726</c:v>
                </c:pt>
                <c:pt idx="403">
                  <c:v>0.95931918065883837</c:v>
                </c:pt>
                <c:pt idx="404">
                  <c:v>0.94954518358536566</c:v>
                </c:pt>
                <c:pt idx="405">
                  <c:v>0.91312536505413044</c:v>
                </c:pt>
                <c:pt idx="406">
                  <c:v>0.80185310458188042</c:v>
                </c:pt>
                <c:pt idx="407">
                  <c:v>0.84589144587610898</c:v>
                </c:pt>
                <c:pt idx="408">
                  <c:v>0.88449339039471275</c:v>
                </c:pt>
                <c:pt idx="409">
                  <c:v>0.74310086407698273</c:v>
                </c:pt>
                <c:pt idx="410">
                  <c:v>0.71609417966583944</c:v>
                </c:pt>
                <c:pt idx="411">
                  <c:v>0.6111228434163638</c:v>
                </c:pt>
                <c:pt idx="412">
                  <c:v>1.1116969293698675</c:v>
                </c:pt>
                <c:pt idx="413">
                  <c:v>1.1209962382890248</c:v>
                </c:pt>
                <c:pt idx="414">
                  <c:v>1.1095449228875292</c:v>
                </c:pt>
                <c:pt idx="415">
                  <c:v>1.0542803929425193</c:v>
                </c:pt>
                <c:pt idx="416">
                  <c:v>1.0394907861828784</c:v>
                </c:pt>
                <c:pt idx="417">
                  <c:v>1.0565211504852496</c:v>
                </c:pt>
                <c:pt idx="418">
                  <c:v>1.1016874154115444</c:v>
                </c:pt>
                <c:pt idx="419">
                  <c:v>1.1176020180200541</c:v>
                </c:pt>
                <c:pt idx="420">
                  <c:v>1.1102143027501414</c:v>
                </c:pt>
                <c:pt idx="421">
                  <c:v>1.0961171172616442</c:v>
                </c:pt>
                <c:pt idx="422">
                  <c:v>1.0923803377262016</c:v>
                </c:pt>
                <c:pt idx="423">
                  <c:v>1.0912729546803837</c:v>
                </c:pt>
                <c:pt idx="424">
                  <c:v>1.0810200499607538</c:v>
                </c:pt>
                <c:pt idx="425">
                  <c:v>1.0889695725285748</c:v>
                </c:pt>
                <c:pt idx="426">
                  <c:v>1.0775634589509022</c:v>
                </c:pt>
                <c:pt idx="427">
                  <c:v>1.0928030031181033</c:v>
                </c:pt>
                <c:pt idx="428">
                  <c:v>1.0884187706032362</c:v>
                </c:pt>
                <c:pt idx="429">
                  <c:v>1.0756742524789737</c:v>
                </c:pt>
                <c:pt idx="430">
                  <c:v>1.0796741559209808</c:v>
                </c:pt>
                <c:pt idx="431">
                  <c:v>1.0867056536779554</c:v>
                </c:pt>
                <c:pt idx="432">
                  <c:v>1.1933743877997092</c:v>
                </c:pt>
                <c:pt idx="433">
                  <c:v>1.1157028760846326</c:v>
                </c:pt>
                <c:pt idx="434">
                  <c:v>1.0170004008510274</c:v>
                </c:pt>
                <c:pt idx="435">
                  <c:v>0.97723401692377598</c:v>
                </c:pt>
                <c:pt idx="436">
                  <c:v>0.97192405695561812</c:v>
                </c:pt>
                <c:pt idx="437">
                  <c:v>1.0987729870640177</c:v>
                </c:pt>
                <c:pt idx="438">
                  <c:v>1.100732795560766</c:v>
                </c:pt>
                <c:pt idx="439">
                  <c:v>1.1470847758696199</c:v>
                </c:pt>
                <c:pt idx="440">
                  <c:v>1.1454753268924565</c:v>
                </c:pt>
                <c:pt idx="441">
                  <c:v>1.1437844284383332</c:v>
                </c:pt>
                <c:pt idx="442">
                  <c:v>1.2074577954009575</c:v>
                </c:pt>
                <c:pt idx="443">
                  <c:v>1.26810460418158</c:v>
                </c:pt>
                <c:pt idx="444">
                  <c:v>1.2619129897864043</c:v>
                </c:pt>
                <c:pt idx="445">
                  <c:v>1.3068067721753478</c:v>
                </c:pt>
                <c:pt idx="446">
                  <c:v>1.4523511661616868</c:v>
                </c:pt>
                <c:pt idx="447">
                  <c:v>1.4316910031797132</c:v>
                </c:pt>
                <c:pt idx="448">
                  <c:v>1.4332865119154861</c:v>
                </c:pt>
                <c:pt idx="449">
                  <c:v>1.3371983755718611</c:v>
                </c:pt>
                <c:pt idx="450">
                  <c:v>1.4585661733035511</c:v>
                </c:pt>
                <c:pt idx="451">
                  <c:v>1.4847880962498474</c:v>
                </c:pt>
                <c:pt idx="452">
                  <c:v>1.4914139882480475</c:v>
                </c:pt>
                <c:pt idx="453">
                  <c:v>1.5016230954607654</c:v>
                </c:pt>
                <c:pt idx="454">
                  <c:v>1.511451037924499</c:v>
                </c:pt>
                <c:pt idx="455">
                  <c:v>1.4880043862352434</c:v>
                </c:pt>
                <c:pt idx="456">
                  <c:v>1.5162397862110317</c:v>
                </c:pt>
                <c:pt idx="457">
                  <c:v>1.5304301079865974</c:v>
                </c:pt>
                <c:pt idx="458">
                  <c:v>1.5451744599292596</c:v>
                </c:pt>
                <c:pt idx="459">
                  <c:v>1.4815733351452609</c:v>
                </c:pt>
                <c:pt idx="460">
                  <c:v>1.5194858470937573</c:v>
                </c:pt>
                <c:pt idx="461">
                  <c:v>1.4938949633141703</c:v>
                </c:pt>
                <c:pt idx="462">
                  <c:v>1.450630511504081</c:v>
                </c:pt>
                <c:pt idx="463">
                  <c:v>1.6291998409280204</c:v>
                </c:pt>
                <c:pt idx="464">
                  <c:v>1.61553903161357</c:v>
                </c:pt>
                <c:pt idx="465">
                  <c:v>1.6850531183138899</c:v>
                </c:pt>
                <c:pt idx="466">
                  <c:v>1.5854822342299595</c:v>
                </c:pt>
                <c:pt idx="467">
                  <c:v>1.6438525176863577</c:v>
                </c:pt>
                <c:pt idx="468">
                  <c:v>1.5668910175467849</c:v>
                </c:pt>
                <c:pt idx="469">
                  <c:v>1.538900533598377</c:v>
                </c:pt>
                <c:pt idx="470">
                  <c:v>1.5529126045403447</c:v>
                </c:pt>
                <c:pt idx="471">
                  <c:v>1.5473860253890614</c:v>
                </c:pt>
                <c:pt idx="472">
                  <c:v>1.5900298907827966</c:v>
                </c:pt>
                <c:pt idx="473">
                  <c:v>1.5879282088570894</c:v>
                </c:pt>
                <c:pt idx="474">
                  <c:v>1.5794645960023219</c:v>
                </c:pt>
                <c:pt idx="475">
                  <c:v>1.6156110144791782</c:v>
                </c:pt>
                <c:pt idx="476">
                  <c:v>1.612409142773606</c:v>
                </c:pt>
                <c:pt idx="477">
                  <c:v>1.5935348205866338</c:v>
                </c:pt>
                <c:pt idx="478">
                  <c:v>1.5020861717662319</c:v>
                </c:pt>
                <c:pt idx="479">
                  <c:v>1.5291073796729739</c:v>
                </c:pt>
                <c:pt idx="480">
                  <c:v>1.4376598498250874</c:v>
                </c:pt>
                <c:pt idx="481">
                  <c:v>1.3439259463587996</c:v>
                </c:pt>
                <c:pt idx="482">
                  <c:v>1.3184964134136925</c:v>
                </c:pt>
                <c:pt idx="483">
                  <c:v>1.2707098106307488</c:v>
                </c:pt>
                <c:pt idx="484">
                  <c:v>1.3296758439090062</c:v>
                </c:pt>
                <c:pt idx="485">
                  <c:v>1.388638581324646</c:v>
                </c:pt>
                <c:pt idx="486">
                  <c:v>1.4162113416315334</c:v>
                </c:pt>
                <c:pt idx="487">
                  <c:v>1.4377525127751445</c:v>
                </c:pt>
                <c:pt idx="488">
                  <c:v>1.4624366861484068</c:v>
                </c:pt>
                <c:pt idx="489">
                  <c:v>1.580214162901926</c:v>
                </c:pt>
                <c:pt idx="490">
                  <c:v>1.5878589650371189</c:v>
                </c:pt>
                <c:pt idx="491">
                  <c:v>1.5848508323403665</c:v>
                </c:pt>
                <c:pt idx="492">
                  <c:v>1.604378460112434</c:v>
                </c:pt>
                <c:pt idx="493">
                  <c:v>1.6075358584472788</c:v>
                </c:pt>
                <c:pt idx="494">
                  <c:v>1.6577983513603363</c:v>
                </c:pt>
                <c:pt idx="495">
                  <c:v>1.6296103404367914</c:v>
                </c:pt>
                <c:pt idx="496">
                  <c:v>1.6552340553544691</c:v>
                </c:pt>
                <c:pt idx="497">
                  <c:v>1.673581688596592</c:v>
                </c:pt>
                <c:pt idx="498">
                  <c:v>1.5870805458280226</c:v>
                </c:pt>
                <c:pt idx="499">
                  <c:v>1.600516630029527</c:v>
                </c:pt>
                <c:pt idx="500">
                  <c:v>1.6156072348021877</c:v>
                </c:pt>
                <c:pt idx="501">
                  <c:v>1.6098802131752215</c:v>
                </c:pt>
                <c:pt idx="502">
                  <c:v>1.7244748247585955</c:v>
                </c:pt>
                <c:pt idx="503">
                  <c:v>1.7265962904787124</c:v>
                </c:pt>
                <c:pt idx="504">
                  <c:v>1.7854080245742929</c:v>
                </c:pt>
                <c:pt idx="505">
                  <c:v>1.7799098523096948</c:v>
                </c:pt>
                <c:pt idx="506">
                  <c:v>1.7871137197166715</c:v>
                </c:pt>
                <c:pt idx="507">
                  <c:v>1.7895431667484971</c:v>
                </c:pt>
                <c:pt idx="508">
                  <c:v>1.8492411947379914</c:v>
                </c:pt>
                <c:pt idx="509">
                  <c:v>1.8277015477135752</c:v>
                </c:pt>
                <c:pt idx="510">
                  <c:v>1.9188783756372598</c:v>
                </c:pt>
                <c:pt idx="511">
                  <c:v>1.8877798988079626</c:v>
                </c:pt>
                <c:pt idx="512">
                  <c:v>1.8796806988752983</c:v>
                </c:pt>
                <c:pt idx="513">
                  <c:v>1.8890897518368961</c:v>
                </c:pt>
                <c:pt idx="514">
                  <c:v>1.8409627209202775</c:v>
                </c:pt>
                <c:pt idx="515">
                  <c:v>1.8415405633204411</c:v>
                </c:pt>
                <c:pt idx="516">
                  <c:v>1.8361886809833148</c:v>
                </c:pt>
                <c:pt idx="517">
                  <c:v>1.779270191677818</c:v>
                </c:pt>
                <c:pt idx="518">
                  <c:v>1.7423633686128781</c:v>
                </c:pt>
                <c:pt idx="519">
                  <c:v>1.7022872619989344</c:v>
                </c:pt>
                <c:pt idx="520">
                  <c:v>1.7607817944401931</c:v>
                </c:pt>
                <c:pt idx="521">
                  <c:v>1.7527889623122102</c:v>
                </c:pt>
                <c:pt idx="522">
                  <c:v>1.7701109382407394</c:v>
                </c:pt>
                <c:pt idx="523">
                  <c:v>1.7548235527886984</c:v>
                </c:pt>
                <c:pt idx="524">
                  <c:v>1.7418899996115098</c:v>
                </c:pt>
                <c:pt idx="525">
                  <c:v>1.7199076045790158</c:v>
                </c:pt>
                <c:pt idx="526">
                  <c:v>1.6009942081864894</c:v>
                </c:pt>
                <c:pt idx="527">
                  <c:v>1.5861593230852962</c:v>
                </c:pt>
                <c:pt idx="528">
                  <c:v>1.5729526627268895</c:v>
                </c:pt>
                <c:pt idx="529">
                  <c:v>1.5643151960219599</c:v>
                </c:pt>
                <c:pt idx="530">
                  <c:v>1.5600794923356689</c:v>
                </c:pt>
                <c:pt idx="531">
                  <c:v>1.5532006388959818</c:v>
                </c:pt>
                <c:pt idx="532">
                  <c:v>1.5449566097620857</c:v>
                </c:pt>
                <c:pt idx="533">
                  <c:v>1.521944042073416</c:v>
                </c:pt>
                <c:pt idx="534">
                  <c:v>1.4929055624091676</c:v>
                </c:pt>
                <c:pt idx="535">
                  <c:v>1.5589044609279799</c:v>
                </c:pt>
                <c:pt idx="536">
                  <c:v>1.5302922285087348</c:v>
                </c:pt>
                <c:pt idx="537">
                  <c:v>1.5832694649780956</c:v>
                </c:pt>
                <c:pt idx="538">
                  <c:v>1.577817229964368</c:v>
                </c:pt>
                <c:pt idx="539">
                  <c:v>1.580566797549785</c:v>
                </c:pt>
                <c:pt idx="540">
                  <c:v>1.5987002055226722</c:v>
                </c:pt>
                <c:pt idx="541">
                  <c:v>1.5941500926977947</c:v>
                </c:pt>
                <c:pt idx="542">
                  <c:v>1.603038670424626</c:v>
                </c:pt>
                <c:pt idx="543">
                  <c:v>1.6095296792711848</c:v>
                </c:pt>
                <c:pt idx="544">
                  <c:v>1.6176998965746694</c:v>
                </c:pt>
                <c:pt idx="545">
                  <c:v>1.6242096617906747</c:v>
                </c:pt>
                <c:pt idx="546">
                  <c:v>1.6345195400229846</c:v>
                </c:pt>
                <c:pt idx="547">
                  <c:v>1.5956280652600867</c:v>
                </c:pt>
                <c:pt idx="548">
                  <c:v>1.5801317563113346</c:v>
                </c:pt>
                <c:pt idx="549">
                  <c:v>1.5759583840012061</c:v>
                </c:pt>
                <c:pt idx="550">
                  <c:v>1.5681044097399457</c:v>
                </c:pt>
                <c:pt idx="551">
                  <c:v>1.5607453275090779</c:v>
                </c:pt>
                <c:pt idx="552">
                  <c:v>1.5436464658343043</c:v>
                </c:pt>
                <c:pt idx="553">
                  <c:v>1.494772328131019</c:v>
                </c:pt>
                <c:pt idx="554">
                  <c:v>1.4954342414987156</c:v>
                </c:pt>
                <c:pt idx="555">
                  <c:v>1.483532302126801</c:v>
                </c:pt>
                <c:pt idx="556">
                  <c:v>1.4866545362466075</c:v>
                </c:pt>
                <c:pt idx="557">
                  <c:v>1.428232321207116</c:v>
                </c:pt>
                <c:pt idx="558">
                  <c:v>1.4432527813052605</c:v>
                </c:pt>
                <c:pt idx="559">
                  <c:v>1.5323624291027877</c:v>
                </c:pt>
                <c:pt idx="560">
                  <c:v>1.5043253411951527</c:v>
                </c:pt>
                <c:pt idx="561">
                  <c:v>1.5034867556483167</c:v>
                </c:pt>
                <c:pt idx="562">
                  <c:v>1.4780537815897161</c:v>
                </c:pt>
                <c:pt idx="563">
                  <c:v>1.5377646710829245</c:v>
                </c:pt>
                <c:pt idx="564">
                  <c:v>1.5202922741961005</c:v>
                </c:pt>
                <c:pt idx="565">
                  <c:v>1.5234597162925763</c:v>
                </c:pt>
                <c:pt idx="566">
                  <c:v>1.515494354677116</c:v>
                </c:pt>
                <c:pt idx="567">
                  <c:v>1.5000051410528228</c:v>
                </c:pt>
                <c:pt idx="568">
                  <c:v>1.4878199693809409</c:v>
                </c:pt>
                <c:pt idx="569">
                  <c:v>1.4735839227924219</c:v>
                </c:pt>
                <c:pt idx="570">
                  <c:v>1.4692987165280857</c:v>
                </c:pt>
                <c:pt idx="571">
                  <c:v>1.4693297679251571</c:v>
                </c:pt>
                <c:pt idx="572">
                  <c:v>1.4326247365598803</c:v>
                </c:pt>
                <c:pt idx="573">
                  <c:v>1.429242993055674</c:v>
                </c:pt>
                <c:pt idx="574">
                  <c:v>1.3457071510618521</c:v>
                </c:pt>
                <c:pt idx="575">
                  <c:v>1.3132758098012716</c:v>
                </c:pt>
              </c:numCache>
            </c:numRef>
          </c:val>
          <c:smooth val="0"/>
          <c:extLst>
            <c:ext xmlns:c16="http://schemas.microsoft.com/office/drawing/2014/chart" uri="{C3380CC4-5D6E-409C-BE32-E72D297353CC}">
              <c16:uniqueId val="{00000001-3B0A-44D2-AD8C-905F17A71F2C}"/>
            </c:ext>
          </c:extLst>
        </c:ser>
        <c:ser>
          <c:idx val="2"/>
          <c:order val="2"/>
          <c:tx>
            <c:v>Cumulative Net PnL</c:v>
          </c:tx>
          <c:spPr>
            <a:ln w="15875">
              <a:prstDash val="solid"/>
            </a:ln>
          </c:spPr>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Analysis!$O$2:$O$577</c:f>
              <c:numCache>
                <c:formatCode>0.00000;[Red]\(0.00000\);\-</c:formatCode>
                <c:ptCount val="576"/>
                <c:pt idx="0">
                  <c:v>4.3599277322598426E-3</c:v>
                </c:pt>
                <c:pt idx="1">
                  <c:v>2.0047156343567202E-2</c:v>
                </c:pt>
                <c:pt idx="2">
                  <c:v>3.3441608957627232E-3</c:v>
                </c:pt>
                <c:pt idx="3">
                  <c:v>-6.4672995300827998E-3</c:v>
                </c:pt>
                <c:pt idx="4">
                  <c:v>-7.823737213569229E-3</c:v>
                </c:pt>
                <c:pt idx="5">
                  <c:v>-2.0643850775385369E-2</c:v>
                </c:pt>
                <c:pt idx="6">
                  <c:v>5.7052885973147935E-2</c:v>
                </c:pt>
                <c:pt idx="7">
                  <c:v>5.0257459360469825E-2</c:v>
                </c:pt>
                <c:pt idx="8">
                  <c:v>4.6348134114699895E-2</c:v>
                </c:pt>
                <c:pt idx="10">
                  <c:v>4.5883419374634221E-3</c:v>
                </c:pt>
                <c:pt idx="11">
                  <c:v>-2.0650717847997418E-2</c:v>
                </c:pt>
                <c:pt idx="12">
                  <c:v>7.731510527486482E-3</c:v>
                </c:pt>
                <c:pt idx="13">
                  <c:v>3.249970128046854E-3</c:v>
                </c:pt>
                <c:pt idx="14">
                  <c:v>5.6623456938211334E-3</c:v>
                </c:pt>
                <c:pt idx="15">
                  <c:v>2.5828677857518162E-2</c:v>
                </c:pt>
                <c:pt idx="16">
                  <c:v>8.1295922191233216E-2</c:v>
                </c:pt>
                <c:pt idx="17">
                  <c:v>0.1205241872095765</c:v>
                </c:pt>
                <c:pt idx="18">
                  <c:v>0.10344111225926454</c:v>
                </c:pt>
                <c:pt idx="19">
                  <c:v>7.0510116212814528E-2</c:v>
                </c:pt>
                <c:pt idx="20">
                  <c:v>2.7202671196473946E-2</c:v>
                </c:pt>
                <c:pt idx="21">
                  <c:v>4.0097030531189584E-2</c:v>
                </c:pt>
                <c:pt idx="22">
                  <c:v>-7.9451103604167211E-2</c:v>
                </c:pt>
                <c:pt idx="23">
                  <c:v>-9.5244820967159777E-2</c:v>
                </c:pt>
                <c:pt idx="24">
                  <c:v>-0.22446447268594658</c:v>
                </c:pt>
                <c:pt idx="25">
                  <c:v>-0.18125744693053886</c:v>
                </c:pt>
                <c:pt idx="26">
                  <c:v>-0.18374347299147065</c:v>
                </c:pt>
                <c:pt idx="27">
                  <c:v>-0.21388364949814134</c:v>
                </c:pt>
                <c:pt idx="28">
                  <c:v>-0.2771725926157792</c:v>
                </c:pt>
                <c:pt idx="29">
                  <c:v>-0.25379982675573254</c:v>
                </c:pt>
                <c:pt idx="30">
                  <c:v>-0.23596638220856225</c:v>
                </c:pt>
                <c:pt idx="31">
                  <c:v>-0.13431111760779346</c:v>
                </c:pt>
                <c:pt idx="32">
                  <c:v>-0.11964694176403755</c:v>
                </c:pt>
                <c:pt idx="33">
                  <c:v>3.3810774962786852E-2</c:v>
                </c:pt>
                <c:pt idx="34">
                  <c:v>0.10566297544402355</c:v>
                </c:pt>
                <c:pt idx="35">
                  <c:v>8.1926607134590809E-2</c:v>
                </c:pt>
                <c:pt idx="36">
                  <c:v>8.8945553588997028E-2</c:v>
                </c:pt>
                <c:pt idx="37">
                  <c:v>6.1818983823821963E-2</c:v>
                </c:pt>
                <c:pt idx="38">
                  <c:v>5.1098923093066476E-2</c:v>
                </c:pt>
                <c:pt idx="39">
                  <c:v>4.9850776476838055E-2</c:v>
                </c:pt>
                <c:pt idx="40">
                  <c:v>9.1811578470366501E-2</c:v>
                </c:pt>
                <c:pt idx="41">
                  <c:v>8.1136260417496886E-2</c:v>
                </c:pt>
                <c:pt idx="42">
                  <c:v>5.1740041152178548E-2</c:v>
                </c:pt>
                <c:pt idx="43">
                  <c:v>0.10427844834682944</c:v>
                </c:pt>
                <c:pt idx="44">
                  <c:v>6.5229365037476505E-2</c:v>
                </c:pt>
                <c:pt idx="45">
                  <c:v>6.9913933330265327E-2</c:v>
                </c:pt>
                <c:pt idx="46">
                  <c:v>0.1329896181685144</c:v>
                </c:pt>
                <c:pt idx="47">
                  <c:v>0.11140155632267422</c:v>
                </c:pt>
                <c:pt idx="48">
                  <c:v>9.4562143066892493E-2</c:v>
                </c:pt>
                <c:pt idx="49">
                  <c:v>5.2946306818868485E-2</c:v>
                </c:pt>
                <c:pt idx="50">
                  <c:v>3.8602519071179148E-2</c:v>
                </c:pt>
                <c:pt idx="51">
                  <c:v>1.3191193167597228E-2</c:v>
                </c:pt>
                <c:pt idx="52">
                  <c:v>-5.9859070538610629E-2</c:v>
                </c:pt>
                <c:pt idx="53">
                  <c:v>-2.9663439069688852E-4</c:v>
                </c:pt>
                <c:pt idx="54">
                  <c:v>8.5404016108677223E-3</c:v>
                </c:pt>
                <c:pt idx="55">
                  <c:v>-3.7843027410150769E-2</c:v>
                </c:pt>
                <c:pt idx="56">
                  <c:v>-5.0837160756590685E-2</c:v>
                </c:pt>
                <c:pt idx="57">
                  <c:v>-8.2676546505458526E-2</c:v>
                </c:pt>
                <c:pt idx="58">
                  <c:v>-8.8391333161366853E-2</c:v>
                </c:pt>
                <c:pt idx="59">
                  <c:v>-6.6515100180491948E-2</c:v>
                </c:pt>
                <c:pt idx="60">
                  <c:v>-4.7207021134058939E-2</c:v>
                </c:pt>
                <c:pt idx="61">
                  <c:v>-9.1504334148290623E-2</c:v>
                </c:pt>
                <c:pt idx="62">
                  <c:v>-6.1638590069507879E-2</c:v>
                </c:pt>
                <c:pt idx="63">
                  <c:v>-9.8453196032149665E-2</c:v>
                </c:pt>
                <c:pt idx="64">
                  <c:v>-0.10433812001644531</c:v>
                </c:pt>
                <c:pt idx="65">
                  <c:v>-2.7166342989483644E-2</c:v>
                </c:pt>
                <c:pt idx="66">
                  <c:v>-9.5109155931205336E-3</c:v>
                </c:pt>
                <c:pt idx="67">
                  <c:v>0.42223315635879355</c:v>
                </c:pt>
                <c:pt idx="68">
                  <c:v>0.48378784019946075</c:v>
                </c:pt>
                <c:pt idx="69">
                  <c:v>0.43818985561377249</c:v>
                </c:pt>
                <c:pt idx="70">
                  <c:v>0.53566650979083008</c:v>
                </c:pt>
                <c:pt idx="71">
                  <c:v>0.52209700529907366</c:v>
                </c:pt>
                <c:pt idx="72">
                  <c:v>0.79297865752298669</c:v>
                </c:pt>
                <c:pt idx="73">
                  <c:v>0.82261997777105822</c:v>
                </c:pt>
                <c:pt idx="74">
                  <c:v>0.81190842864275692</c:v>
                </c:pt>
                <c:pt idx="75">
                  <c:v>0.83555062594467921</c:v>
                </c:pt>
                <c:pt idx="76">
                  <c:v>0.8295122378550297</c:v>
                </c:pt>
                <c:pt idx="77">
                  <c:v>1.1897222893804806</c:v>
                </c:pt>
                <c:pt idx="78">
                  <c:v>1.2019496624525237</c:v>
                </c:pt>
                <c:pt idx="79">
                  <c:v>1.2294115603909817</c:v>
                </c:pt>
                <c:pt idx="80">
                  <c:v>1.2288741313229981</c:v>
                </c:pt>
                <c:pt idx="81">
                  <c:v>1.2589191379559126</c:v>
                </c:pt>
                <c:pt idx="82">
                  <c:v>1.2481488656880668</c:v>
                </c:pt>
                <c:pt idx="83">
                  <c:v>1.2707504754329604</c:v>
                </c:pt>
                <c:pt idx="84">
                  <c:v>1.2854612139144668</c:v>
                </c:pt>
                <c:pt idx="85">
                  <c:v>1.286701912943605</c:v>
                </c:pt>
                <c:pt idx="86">
                  <c:v>1.5466798082562185</c:v>
                </c:pt>
                <c:pt idx="87">
                  <c:v>1.4561269249109208</c:v>
                </c:pt>
                <c:pt idx="88">
                  <c:v>1.4710727085438597</c:v>
                </c:pt>
                <c:pt idx="89">
                  <c:v>1.3532444046738896</c:v>
                </c:pt>
                <c:pt idx="90">
                  <c:v>1.1408616475865498</c:v>
                </c:pt>
                <c:pt idx="91">
                  <c:v>1.0863177618035531</c:v>
                </c:pt>
                <c:pt idx="92">
                  <c:v>1.0490030864716966</c:v>
                </c:pt>
                <c:pt idx="93">
                  <c:v>1.0568439347231136</c:v>
                </c:pt>
                <c:pt idx="94">
                  <c:v>1.0545874864737053</c:v>
                </c:pt>
                <c:pt idx="95">
                  <c:v>1.0438560054904422</c:v>
                </c:pt>
                <c:pt idx="96">
                  <c:v>0.92881433209032982</c:v>
                </c:pt>
                <c:pt idx="97">
                  <c:v>0.90553230278428321</c:v>
                </c:pt>
                <c:pt idx="98">
                  <c:v>0.90408012903959478</c:v>
                </c:pt>
                <c:pt idx="99">
                  <c:v>0.826165531136272</c:v>
                </c:pt>
                <c:pt idx="100">
                  <c:v>0.86096854074986451</c:v>
                </c:pt>
                <c:pt idx="101">
                  <c:v>0.84574838134098684</c:v>
                </c:pt>
                <c:pt idx="102">
                  <c:v>0.84983919010439413</c:v>
                </c:pt>
                <c:pt idx="103">
                  <c:v>1.0717691660600359</c:v>
                </c:pt>
                <c:pt idx="104">
                  <c:v>1.260209468095671</c:v>
                </c:pt>
                <c:pt idx="105">
                  <c:v>1.5089773209734387</c:v>
                </c:pt>
                <c:pt idx="106">
                  <c:v>1.6256301384757832</c:v>
                </c:pt>
                <c:pt idx="107">
                  <c:v>1.5283966579133097</c:v>
                </c:pt>
                <c:pt idx="108">
                  <c:v>1.5286514728967349</c:v>
                </c:pt>
                <c:pt idx="109">
                  <c:v>1.6529071519987233</c:v>
                </c:pt>
                <c:pt idx="110">
                  <c:v>1.6399424232266007</c:v>
                </c:pt>
                <c:pt idx="111">
                  <c:v>1.9106929927488792</c:v>
                </c:pt>
                <c:pt idx="112">
                  <c:v>1.8456396915809907</c:v>
                </c:pt>
                <c:pt idx="113">
                  <c:v>1.8596801970782597</c:v>
                </c:pt>
                <c:pt idx="114">
                  <c:v>1.894095851695812</c:v>
                </c:pt>
                <c:pt idx="115">
                  <c:v>1.8615912512899742</c:v>
                </c:pt>
                <c:pt idx="116">
                  <c:v>1.8753622265019785</c:v>
                </c:pt>
                <c:pt idx="117">
                  <c:v>1.8283459923637637</c:v>
                </c:pt>
                <c:pt idx="118">
                  <c:v>1.9792346570113244</c:v>
                </c:pt>
                <c:pt idx="119">
                  <c:v>2.0836776657234108</c:v>
                </c:pt>
                <c:pt idx="120">
                  <c:v>2.1686821891066299</c:v>
                </c:pt>
                <c:pt idx="121">
                  <c:v>2.108473252073459</c:v>
                </c:pt>
                <c:pt idx="122">
                  <c:v>2.0926524591996452</c:v>
                </c:pt>
                <c:pt idx="123">
                  <c:v>2.2166233365449184</c:v>
                </c:pt>
                <c:pt idx="124">
                  <c:v>2.2780237461877477</c:v>
                </c:pt>
                <c:pt idx="125">
                  <c:v>2.271835272589827</c:v>
                </c:pt>
                <c:pt idx="126">
                  <c:v>2.2492247263812533</c:v>
                </c:pt>
                <c:pt idx="127">
                  <c:v>2.2926358083155689</c:v>
                </c:pt>
                <c:pt idx="128">
                  <c:v>2.2865332988758702</c:v>
                </c:pt>
                <c:pt idx="129">
                  <c:v>2.291994679016367</c:v>
                </c:pt>
                <c:pt idx="130">
                  <c:v>2.2962016058783541</c:v>
                </c:pt>
                <c:pt idx="131">
                  <c:v>2.2933150919453369</c:v>
                </c:pt>
                <c:pt idx="132">
                  <c:v>2.272955105570003</c:v>
                </c:pt>
                <c:pt idx="133">
                  <c:v>2.2798221894193911</c:v>
                </c:pt>
                <c:pt idx="134">
                  <c:v>2.2729634320286327</c:v>
                </c:pt>
                <c:pt idx="135">
                  <c:v>2.2631502507100763</c:v>
                </c:pt>
                <c:pt idx="136">
                  <c:v>2.2553805115420329</c:v>
                </c:pt>
                <c:pt idx="137">
                  <c:v>2.238915500185191</c:v>
                </c:pt>
                <c:pt idx="138">
                  <c:v>2.2515992598867975</c:v>
                </c:pt>
                <c:pt idx="139">
                  <c:v>2.2988563136302669</c:v>
                </c:pt>
                <c:pt idx="140">
                  <c:v>2.1704789039210528</c:v>
                </c:pt>
                <c:pt idx="141">
                  <c:v>2.1556611178228158</c:v>
                </c:pt>
                <c:pt idx="142">
                  <c:v>2.1348710589234208</c:v>
                </c:pt>
                <c:pt idx="143">
                  <c:v>2.1261788092577687</c:v>
                </c:pt>
                <c:pt idx="144">
                  <c:v>2.1094775458757042</c:v>
                </c:pt>
                <c:pt idx="145">
                  <c:v>2.0964755797312158</c:v>
                </c:pt>
                <c:pt idx="146">
                  <c:v>2.1203330012348869</c:v>
                </c:pt>
                <c:pt idx="147">
                  <c:v>2.1371077403735499</c:v>
                </c:pt>
                <c:pt idx="148">
                  <c:v>2.1325763989008584</c:v>
                </c:pt>
                <c:pt idx="149">
                  <c:v>2.159002947414522</c:v>
                </c:pt>
                <c:pt idx="150">
                  <c:v>2.1585882544119528</c:v>
                </c:pt>
                <c:pt idx="151">
                  <c:v>2.1891279582396388</c:v>
                </c:pt>
                <c:pt idx="152">
                  <c:v>2.1815293699196046</c:v>
                </c:pt>
                <c:pt idx="153">
                  <c:v>2.2068125368860914</c:v>
                </c:pt>
                <c:pt idx="154">
                  <c:v>2.2547626452122844</c:v>
                </c:pt>
                <c:pt idx="155">
                  <c:v>2.2955796384689635</c:v>
                </c:pt>
                <c:pt idx="156">
                  <c:v>1.89322256709333</c:v>
                </c:pt>
                <c:pt idx="157">
                  <c:v>1.8873183642177795</c:v>
                </c:pt>
                <c:pt idx="158">
                  <c:v>1.8497337563764553</c:v>
                </c:pt>
                <c:pt idx="159">
                  <c:v>1.8861523961890774</c:v>
                </c:pt>
                <c:pt idx="160">
                  <c:v>1.805271393354217</c:v>
                </c:pt>
                <c:pt idx="161">
                  <c:v>1.8031461247685494</c:v>
                </c:pt>
                <c:pt idx="162">
                  <c:v>1.770250418625589</c:v>
                </c:pt>
                <c:pt idx="163">
                  <c:v>1.7321784083177747</c:v>
                </c:pt>
                <c:pt idx="164">
                  <c:v>1.7431240555862888</c:v>
                </c:pt>
                <c:pt idx="165">
                  <c:v>1.5832177880674481</c:v>
                </c:pt>
                <c:pt idx="166">
                  <c:v>1.5768095317216642</c:v>
                </c:pt>
                <c:pt idx="167">
                  <c:v>1.5718228699982915</c:v>
                </c:pt>
                <c:pt idx="168">
                  <c:v>1.5062141756931353</c:v>
                </c:pt>
                <c:pt idx="169">
                  <c:v>1.4962217249960621</c:v>
                </c:pt>
                <c:pt idx="170">
                  <c:v>1.4934984130054134</c:v>
                </c:pt>
                <c:pt idx="171">
                  <c:v>1.478020039446716</c:v>
                </c:pt>
                <c:pt idx="172">
                  <c:v>1.4800562390361145</c:v>
                </c:pt>
                <c:pt idx="173">
                  <c:v>1.4696683968670754</c:v>
                </c:pt>
                <c:pt idx="174">
                  <c:v>1.4461639444245931</c:v>
                </c:pt>
                <c:pt idx="175">
                  <c:v>1.4837123939497445</c:v>
                </c:pt>
                <c:pt idx="176">
                  <c:v>1.6167939357745087</c:v>
                </c:pt>
                <c:pt idx="177">
                  <c:v>1.5769506472226966</c:v>
                </c:pt>
                <c:pt idx="178">
                  <c:v>1.5943559146723147</c:v>
                </c:pt>
                <c:pt idx="179">
                  <c:v>1.5822823417046687</c:v>
                </c:pt>
                <c:pt idx="180">
                  <c:v>1.6580888381569603</c:v>
                </c:pt>
                <c:pt idx="181">
                  <c:v>1.6910360354278791</c:v>
                </c:pt>
                <c:pt idx="182">
                  <c:v>1.6701495491069531</c:v>
                </c:pt>
                <c:pt idx="183">
                  <c:v>1.6502582296156807</c:v>
                </c:pt>
                <c:pt idx="184">
                  <c:v>1.634721192613118</c:v>
                </c:pt>
                <c:pt idx="185">
                  <c:v>1.6347663300098247</c:v>
                </c:pt>
                <c:pt idx="186">
                  <c:v>1.6100785179897317</c:v>
                </c:pt>
                <c:pt idx="187">
                  <c:v>1.6452619628246974</c:v>
                </c:pt>
                <c:pt idx="188">
                  <c:v>1.6356649573977502</c:v>
                </c:pt>
                <c:pt idx="189">
                  <c:v>1.5629811489274001</c:v>
                </c:pt>
                <c:pt idx="190">
                  <c:v>1.3574182566779933</c:v>
                </c:pt>
                <c:pt idx="191">
                  <c:v>1.3408813346123603</c:v>
                </c:pt>
                <c:pt idx="192">
                  <c:v>1.2837586132502439</c:v>
                </c:pt>
                <c:pt idx="193">
                  <c:v>1.296435839651698</c:v>
                </c:pt>
                <c:pt idx="194">
                  <c:v>1.2840811302629895</c:v>
                </c:pt>
                <c:pt idx="195">
                  <c:v>1.2830583122336281</c:v>
                </c:pt>
                <c:pt idx="196">
                  <c:v>1.279147962923151</c:v>
                </c:pt>
                <c:pt idx="197">
                  <c:v>1.2633975228853951</c:v>
                </c:pt>
                <c:pt idx="198">
                  <c:v>1.2256364000863977</c:v>
                </c:pt>
                <c:pt idx="199">
                  <c:v>1.2027467799608946</c:v>
                </c:pt>
                <c:pt idx="200">
                  <c:v>1.2875339613301227</c:v>
                </c:pt>
                <c:pt idx="201">
                  <c:v>1.2212151142119076</c:v>
                </c:pt>
                <c:pt idx="202">
                  <c:v>1.2330115840581335</c:v>
                </c:pt>
                <c:pt idx="203">
                  <c:v>1.2419193213851205</c:v>
                </c:pt>
                <c:pt idx="204">
                  <c:v>1.1280509523237079</c:v>
                </c:pt>
                <c:pt idx="205">
                  <c:v>1.085428504818253</c:v>
                </c:pt>
                <c:pt idx="206">
                  <c:v>1.0798644063630829</c:v>
                </c:pt>
                <c:pt idx="207">
                  <c:v>1.0743449224093604</c:v>
                </c:pt>
                <c:pt idx="208">
                  <c:v>1.1498325548205321</c:v>
                </c:pt>
                <c:pt idx="209">
                  <c:v>1.1316525986526651</c:v>
                </c:pt>
                <c:pt idx="210">
                  <c:v>1.1908531054391984</c:v>
                </c:pt>
                <c:pt idx="211">
                  <c:v>1.1939381125673345</c:v>
                </c:pt>
                <c:pt idx="212">
                  <c:v>1.2312205531543021</c:v>
                </c:pt>
                <c:pt idx="213">
                  <c:v>1.1555583642162786</c:v>
                </c:pt>
                <c:pt idx="214">
                  <c:v>1.1455362573371921</c:v>
                </c:pt>
                <c:pt idx="215">
                  <c:v>1.1470469803265475</c:v>
                </c:pt>
                <c:pt idx="216">
                  <c:v>1.0826668492155644</c:v>
                </c:pt>
                <c:pt idx="217">
                  <c:v>1.0346382339693636</c:v>
                </c:pt>
                <c:pt idx="218">
                  <c:v>1.0397993515201909</c:v>
                </c:pt>
                <c:pt idx="219">
                  <c:v>1.0424233004374031</c:v>
                </c:pt>
                <c:pt idx="220">
                  <c:v>1.0364958447127619</c:v>
                </c:pt>
                <c:pt idx="221">
                  <c:v>0.96056061747218835</c:v>
                </c:pt>
                <c:pt idx="222">
                  <c:v>1.1090943241239959</c:v>
                </c:pt>
                <c:pt idx="223">
                  <c:v>1.0624249868174198</c:v>
                </c:pt>
                <c:pt idx="224">
                  <c:v>1.0477977263661853</c:v>
                </c:pt>
                <c:pt idx="225">
                  <c:v>1.0589211274050794</c:v>
                </c:pt>
                <c:pt idx="226">
                  <c:v>1.0180957505560433</c:v>
                </c:pt>
                <c:pt idx="227">
                  <c:v>1.0287428570635209</c:v>
                </c:pt>
                <c:pt idx="228">
                  <c:v>1.0685344172410334</c:v>
                </c:pt>
                <c:pt idx="229">
                  <c:v>1.0011470326809242</c:v>
                </c:pt>
                <c:pt idx="230">
                  <c:v>1.0080772026174967</c:v>
                </c:pt>
                <c:pt idx="231">
                  <c:v>1.0243879015774993</c:v>
                </c:pt>
                <c:pt idx="232">
                  <c:v>1.0494799858430468</c:v>
                </c:pt>
                <c:pt idx="233">
                  <c:v>1.0308914010218593</c:v>
                </c:pt>
                <c:pt idx="234">
                  <c:v>1.0369713238153218</c:v>
                </c:pt>
                <c:pt idx="235">
                  <c:v>1.0406476583413837</c:v>
                </c:pt>
                <c:pt idx="236">
                  <c:v>1.0436961863934602</c:v>
                </c:pt>
                <c:pt idx="237">
                  <c:v>0.99917219530371948</c:v>
                </c:pt>
                <c:pt idx="238">
                  <c:v>1.0773370856700768</c:v>
                </c:pt>
                <c:pt idx="239">
                  <c:v>1.0695512169683865</c:v>
                </c:pt>
                <c:pt idx="240">
                  <c:v>1.0619378081103354</c:v>
                </c:pt>
                <c:pt idx="241">
                  <c:v>1.0712707760870439</c:v>
                </c:pt>
                <c:pt idx="242">
                  <c:v>1.0439584351204843</c:v>
                </c:pt>
                <c:pt idx="243">
                  <c:v>0.91926944228681706</c:v>
                </c:pt>
                <c:pt idx="244">
                  <c:v>0.86588054211551213</c:v>
                </c:pt>
                <c:pt idx="245">
                  <c:v>0.85514512996603287</c:v>
                </c:pt>
                <c:pt idx="246">
                  <c:v>0.81493829323337308</c:v>
                </c:pt>
                <c:pt idx="247">
                  <c:v>0.84117386929165205</c:v>
                </c:pt>
                <c:pt idx="248">
                  <c:v>0.72858610526594303</c:v>
                </c:pt>
                <c:pt idx="249">
                  <c:v>0.60585970980807158</c:v>
                </c:pt>
                <c:pt idx="250">
                  <c:v>0.56779511428745233</c:v>
                </c:pt>
                <c:pt idx="251">
                  <c:v>0.52791294169351977</c:v>
                </c:pt>
                <c:pt idx="252">
                  <c:v>0.54484055414970955</c:v>
                </c:pt>
                <c:pt idx="253">
                  <c:v>0.45117818192276105</c:v>
                </c:pt>
                <c:pt idx="254">
                  <c:v>0.39838365311101637</c:v>
                </c:pt>
                <c:pt idx="255">
                  <c:v>0.40620328103495396</c:v>
                </c:pt>
                <c:pt idx="256">
                  <c:v>0.37082421238608959</c:v>
                </c:pt>
                <c:pt idx="257">
                  <c:v>0.30883027963619269</c:v>
                </c:pt>
                <c:pt idx="258">
                  <c:v>0.30743922319020789</c:v>
                </c:pt>
                <c:pt idx="259">
                  <c:v>0.32688319192765375</c:v>
                </c:pt>
                <c:pt idx="260">
                  <c:v>0.28207716976410624</c:v>
                </c:pt>
                <c:pt idx="261">
                  <c:v>0.19304375684642849</c:v>
                </c:pt>
                <c:pt idx="262">
                  <c:v>-6.3971392048207121E-3</c:v>
                </c:pt>
                <c:pt idx="263">
                  <c:v>-2.9888633429656083E-2</c:v>
                </c:pt>
                <c:pt idx="264">
                  <c:v>-3.1544716549972235E-2</c:v>
                </c:pt>
                <c:pt idx="265">
                  <c:v>-6.5626460909474577E-2</c:v>
                </c:pt>
                <c:pt idx="266">
                  <c:v>-6.914643992815335E-2</c:v>
                </c:pt>
                <c:pt idx="267">
                  <c:v>-4.1657307993812093E-2</c:v>
                </c:pt>
                <c:pt idx="268">
                  <c:v>-4.9504085796023979E-2</c:v>
                </c:pt>
                <c:pt idx="269">
                  <c:v>-4.4425294930252122E-2</c:v>
                </c:pt>
                <c:pt idx="270">
                  <c:v>-4.5675092270448615E-2</c:v>
                </c:pt>
                <c:pt idx="271">
                  <c:v>-6.5620310419182343E-2</c:v>
                </c:pt>
                <c:pt idx="272">
                  <c:v>-6.1438300057745074E-2</c:v>
                </c:pt>
                <c:pt idx="273">
                  <c:v>7.4968158126345733E-2</c:v>
                </c:pt>
                <c:pt idx="274">
                  <c:v>8.5684920107557239E-2</c:v>
                </c:pt>
                <c:pt idx="275">
                  <c:v>0.12632119282928631</c:v>
                </c:pt>
                <c:pt idx="276">
                  <c:v>0.10528947874771455</c:v>
                </c:pt>
                <c:pt idx="277">
                  <c:v>-4.5656284534065505E-3</c:v>
                </c:pt>
                <c:pt idx="278">
                  <c:v>-2.0777518831368441E-2</c:v>
                </c:pt>
                <c:pt idx="279">
                  <c:v>-3.0718616025296294E-2</c:v>
                </c:pt>
                <c:pt idx="280">
                  <c:v>-5.6907145962227443E-2</c:v>
                </c:pt>
                <c:pt idx="281">
                  <c:v>-5.8924071082433818E-2</c:v>
                </c:pt>
                <c:pt idx="282">
                  <c:v>-2.305011096376125E-3</c:v>
                </c:pt>
                <c:pt idx="283">
                  <c:v>-4.2687447724906395E-2</c:v>
                </c:pt>
                <c:pt idx="284">
                  <c:v>-5.2716710082820924E-2</c:v>
                </c:pt>
                <c:pt idx="285">
                  <c:v>-5.8011732688616126E-2</c:v>
                </c:pt>
                <c:pt idx="286">
                  <c:v>-8.879925465665213E-2</c:v>
                </c:pt>
                <c:pt idx="287">
                  <c:v>-9.411366240676286E-2</c:v>
                </c:pt>
                <c:pt idx="288">
                  <c:v>-0.10385387964979724</c:v>
                </c:pt>
                <c:pt idx="289">
                  <c:v>-9.9630949000665062E-2</c:v>
                </c:pt>
                <c:pt idx="290">
                  <c:v>-9.6671221394001999E-2</c:v>
                </c:pt>
                <c:pt idx="291">
                  <c:v>-0.16087379031589441</c:v>
                </c:pt>
                <c:pt idx="292">
                  <c:v>-0.15682092140198406</c:v>
                </c:pt>
                <c:pt idx="293">
                  <c:v>-0.21747012826105833</c:v>
                </c:pt>
                <c:pt idx="294">
                  <c:v>-0.1846075962035805</c:v>
                </c:pt>
                <c:pt idx="295">
                  <c:v>-0.19779511836275096</c:v>
                </c:pt>
                <c:pt idx="296">
                  <c:v>-0.17923146822643396</c:v>
                </c:pt>
                <c:pt idx="297">
                  <c:v>-0.18846998281499289</c:v>
                </c:pt>
                <c:pt idx="298">
                  <c:v>-0.21490654139782076</c:v>
                </c:pt>
                <c:pt idx="299">
                  <c:v>-0.241090307887557</c:v>
                </c:pt>
                <c:pt idx="300">
                  <c:v>-0.23894526442252459</c:v>
                </c:pt>
                <c:pt idx="301">
                  <c:v>-0.26139363947824884</c:v>
                </c:pt>
                <c:pt idx="302">
                  <c:v>-0.27634759694562638</c:v>
                </c:pt>
                <c:pt idx="303">
                  <c:v>-0.27865799262131963</c:v>
                </c:pt>
                <c:pt idx="304">
                  <c:v>-0.29494281332592515</c:v>
                </c:pt>
                <c:pt idx="305">
                  <c:v>-0.30591231823564968</c:v>
                </c:pt>
                <c:pt idx="306">
                  <c:v>-0.32327469043788198</c:v>
                </c:pt>
                <c:pt idx="307">
                  <c:v>-0.32689596042848595</c:v>
                </c:pt>
                <c:pt idx="308">
                  <c:v>-0.34558892757052018</c:v>
                </c:pt>
                <c:pt idx="309">
                  <c:v>-0.35672932645058597</c:v>
                </c:pt>
                <c:pt idx="310">
                  <c:v>-0.37742515064232429</c:v>
                </c:pt>
                <c:pt idx="311">
                  <c:v>-0.36781143267360472</c:v>
                </c:pt>
                <c:pt idx="312">
                  <c:v>-0.37643112910906151</c:v>
                </c:pt>
                <c:pt idx="313">
                  <c:v>-0.32730223621786353</c:v>
                </c:pt>
                <c:pt idx="314">
                  <c:v>-0.35978458687411757</c:v>
                </c:pt>
                <c:pt idx="315">
                  <c:v>-0.40249602607175033</c:v>
                </c:pt>
                <c:pt idx="316">
                  <c:v>-0.42107739221005597</c:v>
                </c:pt>
                <c:pt idx="317">
                  <c:v>-0.43177894456421856</c:v>
                </c:pt>
                <c:pt idx="318">
                  <c:v>-0.43521509324613111</c:v>
                </c:pt>
                <c:pt idx="319">
                  <c:v>-0.41581266922654103</c:v>
                </c:pt>
                <c:pt idx="320">
                  <c:v>-0.42239306242271085</c:v>
                </c:pt>
                <c:pt idx="321">
                  <c:v>-0.5292199021773949</c:v>
                </c:pt>
                <c:pt idx="322">
                  <c:v>-0.52060864484319713</c:v>
                </c:pt>
                <c:pt idx="323">
                  <c:v>-0.50144138555206219</c:v>
                </c:pt>
                <c:pt idx="324">
                  <c:v>-0.58883135881946524</c:v>
                </c:pt>
                <c:pt idx="325">
                  <c:v>-0.60704733519782839</c:v>
                </c:pt>
                <c:pt idx="326">
                  <c:v>-0.17502208014582071</c:v>
                </c:pt>
                <c:pt idx="327">
                  <c:v>-0.19932367798703673</c:v>
                </c:pt>
                <c:pt idx="328">
                  <c:v>-0.14365941954211556</c:v>
                </c:pt>
                <c:pt idx="329">
                  <c:v>-0.20208856500204803</c:v>
                </c:pt>
                <c:pt idx="330">
                  <c:v>6.3320522410441615E-3</c:v>
                </c:pt>
                <c:pt idx="331">
                  <c:v>8.7027902321657011E-2</c:v>
                </c:pt>
                <c:pt idx="332">
                  <c:v>0.11706398618953567</c:v>
                </c:pt>
                <c:pt idx="333">
                  <c:v>6.2807402626842423E-2</c:v>
                </c:pt>
                <c:pt idx="334">
                  <c:v>9.0079850853814494E-2</c:v>
                </c:pt>
                <c:pt idx="335">
                  <c:v>-8.80232591871732E-2</c:v>
                </c:pt>
                <c:pt idx="336">
                  <c:v>-8.3736182248699498E-2</c:v>
                </c:pt>
                <c:pt idx="337">
                  <c:v>-9.6463680930642323E-2</c:v>
                </c:pt>
                <c:pt idx="338">
                  <c:v>-0.10945956248057127</c:v>
                </c:pt>
                <c:pt idx="339">
                  <c:v>-0.12052960086199678</c:v>
                </c:pt>
                <c:pt idx="340">
                  <c:v>-0.14700628709385885</c:v>
                </c:pt>
                <c:pt idx="341">
                  <c:v>-0.15076830876374053</c:v>
                </c:pt>
                <c:pt idx="342">
                  <c:v>-9.4472849424471178E-2</c:v>
                </c:pt>
                <c:pt idx="343">
                  <c:v>-3.04133809328897E-2</c:v>
                </c:pt>
                <c:pt idx="344">
                  <c:v>-4.846683679557303E-2</c:v>
                </c:pt>
                <c:pt idx="345">
                  <c:v>-2.2576033842115661E-2</c:v>
                </c:pt>
                <c:pt idx="346">
                  <c:v>-0.15779464714540606</c:v>
                </c:pt>
                <c:pt idx="347">
                  <c:v>-0.17534289092194036</c:v>
                </c:pt>
                <c:pt idx="348">
                  <c:v>-0.1723054811608111</c:v>
                </c:pt>
                <c:pt idx="349">
                  <c:v>-0.11878291938792154</c:v>
                </c:pt>
                <c:pt idx="350">
                  <c:v>-0.11088259405639893</c:v>
                </c:pt>
                <c:pt idx="351">
                  <c:v>-0.12756339043132711</c:v>
                </c:pt>
                <c:pt idx="352">
                  <c:v>-0.17503268222993729</c:v>
                </c:pt>
                <c:pt idx="353">
                  <c:v>-0.23121415564702844</c:v>
                </c:pt>
                <c:pt idx="354">
                  <c:v>-0.19404017084243466</c:v>
                </c:pt>
                <c:pt idx="355">
                  <c:v>-0.21034283542298832</c:v>
                </c:pt>
                <c:pt idx="356">
                  <c:v>-0.22570084968043627</c:v>
                </c:pt>
                <c:pt idx="357">
                  <c:v>-0.1879327945420799</c:v>
                </c:pt>
                <c:pt idx="358">
                  <c:v>-0.20490684719308067</c:v>
                </c:pt>
                <c:pt idx="359">
                  <c:v>-0.23537605674177609</c:v>
                </c:pt>
                <c:pt idx="360">
                  <c:v>-0.23839412275907779</c:v>
                </c:pt>
                <c:pt idx="361">
                  <c:v>-0.30539094302477254</c:v>
                </c:pt>
                <c:pt idx="362">
                  <c:v>-0.31192361154740139</c:v>
                </c:pt>
                <c:pt idx="363">
                  <c:v>-0.27413848210019165</c:v>
                </c:pt>
                <c:pt idx="364">
                  <c:v>-0.19799120004430312</c:v>
                </c:pt>
                <c:pt idx="365">
                  <c:v>-0.21447406645621228</c:v>
                </c:pt>
                <c:pt idx="366">
                  <c:v>-0.18360068268129726</c:v>
                </c:pt>
                <c:pt idx="367">
                  <c:v>-0.17619204811358927</c:v>
                </c:pt>
                <c:pt idx="368">
                  <c:v>-0.13728176947713447</c:v>
                </c:pt>
                <c:pt idx="369">
                  <c:v>-0.14048237207462283</c:v>
                </c:pt>
                <c:pt idx="370">
                  <c:v>-0.14837529649928177</c:v>
                </c:pt>
                <c:pt idx="371">
                  <c:v>-0.16831089536034613</c:v>
                </c:pt>
                <c:pt idx="372">
                  <c:v>-0.18561822596155395</c:v>
                </c:pt>
                <c:pt idx="373">
                  <c:v>-0.19918951145674074</c:v>
                </c:pt>
                <c:pt idx="374">
                  <c:v>-0.21670730754115217</c:v>
                </c:pt>
                <c:pt idx="375">
                  <c:v>-0.2397106295129473</c:v>
                </c:pt>
                <c:pt idx="376">
                  <c:v>-6.6702281134989105E-2</c:v>
                </c:pt>
                <c:pt idx="377">
                  <c:v>-9.7918149374532026E-2</c:v>
                </c:pt>
                <c:pt idx="378">
                  <c:v>-9.8158263505913085E-2</c:v>
                </c:pt>
                <c:pt idx="379">
                  <c:v>-9.666167816369188E-2</c:v>
                </c:pt>
                <c:pt idx="380">
                  <c:v>-0.12170221432855274</c:v>
                </c:pt>
                <c:pt idx="381">
                  <c:v>-0.12842223316677506</c:v>
                </c:pt>
                <c:pt idx="382">
                  <c:v>-0.11081960109157332</c:v>
                </c:pt>
                <c:pt idx="383">
                  <c:v>-4.0086635677446747E-2</c:v>
                </c:pt>
                <c:pt idx="384">
                  <c:v>-4.3739240127884528E-2</c:v>
                </c:pt>
                <c:pt idx="385">
                  <c:v>-3.3000701564917745E-2</c:v>
                </c:pt>
                <c:pt idx="386">
                  <c:v>-6.962884939879771E-2</c:v>
                </c:pt>
                <c:pt idx="387">
                  <c:v>-9.1202554865855934E-2</c:v>
                </c:pt>
                <c:pt idx="388">
                  <c:v>-0.11888648648683728</c:v>
                </c:pt>
                <c:pt idx="389">
                  <c:v>-0.1028735331394266</c:v>
                </c:pt>
                <c:pt idx="390">
                  <c:v>-0.10590839875156796</c:v>
                </c:pt>
                <c:pt idx="391">
                  <c:v>-8.2521203668678905E-2</c:v>
                </c:pt>
                <c:pt idx="392">
                  <c:v>-8.5405657585398601E-2</c:v>
                </c:pt>
                <c:pt idx="393">
                  <c:v>-8.6522559011039044E-2</c:v>
                </c:pt>
                <c:pt idx="394">
                  <c:v>-0.14761033105183186</c:v>
                </c:pt>
                <c:pt idx="395">
                  <c:v>-0.25109708398102959</c:v>
                </c:pt>
                <c:pt idx="396">
                  <c:v>-0.25531585053763661</c:v>
                </c:pt>
                <c:pt idx="397">
                  <c:v>-0.24566626023728275</c:v>
                </c:pt>
                <c:pt idx="398">
                  <c:v>-0.25192468379522953</c:v>
                </c:pt>
                <c:pt idx="399">
                  <c:v>-0.32649831820432529</c:v>
                </c:pt>
                <c:pt idx="400">
                  <c:v>-0.31670568226365525</c:v>
                </c:pt>
                <c:pt idx="401">
                  <c:v>-0.37702429984898661</c:v>
                </c:pt>
                <c:pt idx="402">
                  <c:v>-0.35300946126571442</c:v>
                </c:pt>
                <c:pt idx="403">
                  <c:v>-0.47888787646295622</c:v>
                </c:pt>
                <c:pt idx="404">
                  <c:v>-0.49146383268043636</c:v>
                </c:pt>
                <c:pt idx="405">
                  <c:v>-0.53043804411420759</c:v>
                </c:pt>
                <c:pt idx="406">
                  <c:v>-0.64426725315973155</c:v>
                </c:pt>
                <c:pt idx="407">
                  <c:v>-0.60278586043877691</c:v>
                </c:pt>
                <c:pt idx="408">
                  <c:v>-0.56673830882270915</c:v>
                </c:pt>
                <c:pt idx="409">
                  <c:v>-0.71068522804297518</c:v>
                </c:pt>
                <c:pt idx="410">
                  <c:v>-0.7399190202027347</c:v>
                </c:pt>
                <c:pt idx="411">
                  <c:v>-0.84711746420082645</c:v>
                </c:pt>
                <c:pt idx="412">
                  <c:v>-0.34876826000118777</c:v>
                </c:pt>
                <c:pt idx="413">
                  <c:v>-0.34169605883064658</c:v>
                </c:pt>
                <c:pt idx="414">
                  <c:v>-0.35537448198075849</c:v>
                </c:pt>
                <c:pt idx="415">
                  <c:v>-0.41286389367963328</c:v>
                </c:pt>
                <c:pt idx="416">
                  <c:v>-0.42987838219313923</c:v>
                </c:pt>
                <c:pt idx="417">
                  <c:v>-0.41507289964463295</c:v>
                </c:pt>
                <c:pt idx="418">
                  <c:v>-0.37213151647220316</c:v>
                </c:pt>
                <c:pt idx="419">
                  <c:v>-0.3584417956175584</c:v>
                </c:pt>
                <c:pt idx="420">
                  <c:v>-0.36897961318676709</c:v>
                </c:pt>
                <c:pt idx="421">
                  <c:v>-0.38622605065169846</c:v>
                </c:pt>
                <c:pt idx="422">
                  <c:v>-0.39311293248643719</c:v>
                </c:pt>
                <c:pt idx="423">
                  <c:v>-0.39736956750868924</c:v>
                </c:pt>
                <c:pt idx="424">
                  <c:v>-0.41077172420475311</c:v>
                </c:pt>
                <c:pt idx="425">
                  <c:v>-0.40597230393622824</c:v>
                </c:pt>
                <c:pt idx="426">
                  <c:v>-0.42052766949033477</c:v>
                </c:pt>
                <c:pt idx="427">
                  <c:v>-0.40843737729956764</c:v>
                </c:pt>
                <c:pt idx="428">
                  <c:v>-0.41597171211373085</c:v>
                </c:pt>
                <c:pt idx="429">
                  <c:v>-0.43235328604133583</c:v>
                </c:pt>
                <c:pt idx="430">
                  <c:v>-0.43199043840267115</c:v>
                </c:pt>
                <c:pt idx="431">
                  <c:v>-0.42859563332327955</c:v>
                </c:pt>
                <c:pt idx="432">
                  <c:v>-0.32556359187910877</c:v>
                </c:pt>
                <c:pt idx="433">
                  <c:v>-0.40687215939752769</c:v>
                </c:pt>
                <c:pt idx="434">
                  <c:v>-0.50921132730871566</c:v>
                </c:pt>
                <c:pt idx="435">
                  <c:v>-0.55261440391354999</c:v>
                </c:pt>
                <c:pt idx="436">
                  <c:v>-0.56156105655929078</c:v>
                </c:pt>
                <c:pt idx="437">
                  <c:v>-0.43834881912847407</c:v>
                </c:pt>
                <c:pt idx="438">
                  <c:v>-0.43991337231165772</c:v>
                </c:pt>
                <c:pt idx="439">
                  <c:v>-0.3970857536827358</c:v>
                </c:pt>
                <c:pt idx="440">
                  <c:v>-0.4022200397404509</c:v>
                </c:pt>
                <c:pt idx="441">
                  <c:v>-0.40743577527512581</c:v>
                </c:pt>
                <c:pt idx="442">
                  <c:v>-0.34728676999243335</c:v>
                </c:pt>
                <c:pt idx="443">
                  <c:v>-0.29016479829236252</c:v>
                </c:pt>
                <c:pt idx="444">
                  <c:v>-0.29988077436747024</c:v>
                </c:pt>
                <c:pt idx="445">
                  <c:v>-0.25851182905907844</c:v>
                </c:pt>
                <c:pt idx="446">
                  <c:v>-0.11649179675267132</c:v>
                </c:pt>
                <c:pt idx="447">
                  <c:v>-0.13932643325845939</c:v>
                </c:pt>
                <c:pt idx="448">
                  <c:v>-0.13990722266067016</c:v>
                </c:pt>
                <c:pt idx="449">
                  <c:v>-0.23816983252810964</c:v>
                </c:pt>
                <c:pt idx="450">
                  <c:v>-0.11897650832023424</c:v>
                </c:pt>
                <c:pt idx="451">
                  <c:v>-9.4930883511921471E-2</c:v>
                </c:pt>
                <c:pt idx="452">
                  <c:v>-9.0481289651705057E-2</c:v>
                </c:pt>
                <c:pt idx="453">
                  <c:v>-8.4067710684407493E-2</c:v>
                </c:pt>
                <c:pt idx="454">
                  <c:v>-7.8035091892052863E-2</c:v>
                </c:pt>
                <c:pt idx="455">
                  <c:v>-0.10527727182672877</c:v>
                </c:pt>
                <c:pt idx="456">
                  <c:v>-8.0837195522319494E-2</c:v>
                </c:pt>
                <c:pt idx="457">
                  <c:v>-7.0442401992174219E-2</c:v>
                </c:pt>
                <c:pt idx="458">
                  <c:v>-5.9493373720890835E-2</c:v>
                </c:pt>
                <c:pt idx="459">
                  <c:v>-0.12689002675031003</c:v>
                </c:pt>
                <c:pt idx="460">
                  <c:v>-9.2772838473192593E-2</c:v>
                </c:pt>
                <c:pt idx="461">
                  <c:v>-0.12215925049820026</c:v>
                </c:pt>
                <c:pt idx="462">
                  <c:v>-0.16921923055371013</c:v>
                </c:pt>
                <c:pt idx="463">
                  <c:v>5.554570624808769E-3</c:v>
                </c:pt>
                <c:pt idx="464">
                  <c:v>-1.2178381026597771E-2</c:v>
                </c:pt>
                <c:pt idx="465">
                  <c:v>5.3263563336765865E-2</c:v>
                </c:pt>
                <c:pt idx="466">
                  <c:v>-5.0379463084120737E-2</c:v>
                </c:pt>
                <c:pt idx="467">
                  <c:v>3.9186058568949633E-3</c:v>
                </c:pt>
                <c:pt idx="468">
                  <c:v>-7.7115108798060092E-2</c:v>
                </c:pt>
                <c:pt idx="469">
                  <c:v>-0.10917773508342427</c:v>
                </c:pt>
                <c:pt idx="470">
                  <c:v>-9.9237878656838835E-2</c:v>
                </c:pt>
                <c:pt idx="471">
                  <c:v>-0.10883667232350444</c:v>
                </c:pt>
                <c:pt idx="472">
                  <c:v>-7.026502144515176E-2</c:v>
                </c:pt>
                <c:pt idx="473">
                  <c:v>-7.6438845707815187E-2</c:v>
                </c:pt>
                <c:pt idx="474">
                  <c:v>-8.8974673077965125E-2</c:v>
                </c:pt>
                <c:pt idx="475">
                  <c:v>-5.6900469116491187E-2</c:v>
                </c:pt>
                <c:pt idx="476">
                  <c:v>-6.4174555337445705E-2</c:v>
                </c:pt>
                <c:pt idx="477">
                  <c:v>-8.6971717307339463E-2</c:v>
                </c:pt>
                <c:pt idx="478">
                  <c:v>-0.18234320591066264</c:v>
                </c:pt>
                <c:pt idx="479">
                  <c:v>-0.15924491490849835</c:v>
                </c:pt>
                <c:pt idx="480">
                  <c:v>-0.25461528453930632</c:v>
                </c:pt>
                <c:pt idx="481">
                  <c:v>-0.35227202778851546</c:v>
                </c:pt>
                <c:pt idx="482">
                  <c:v>-0.38162447763820018</c:v>
                </c:pt>
                <c:pt idx="483">
                  <c:v>-0.43333392020406525</c:v>
                </c:pt>
                <c:pt idx="484">
                  <c:v>-0.37829080383038544</c:v>
                </c:pt>
                <c:pt idx="485">
                  <c:v>-0.32325090619766705</c:v>
                </c:pt>
                <c:pt idx="486">
                  <c:v>-0.29960098567370097</c:v>
                </c:pt>
                <c:pt idx="487">
                  <c:v>-0.28176966793404157</c:v>
                </c:pt>
                <c:pt idx="488">
                  <c:v>-0.2607956379663261</c:v>
                </c:pt>
                <c:pt idx="489">
                  <c:v>-0.1467283046183539</c:v>
                </c:pt>
                <c:pt idx="490">
                  <c:v>-0.14279335588711267</c:v>
                </c:pt>
                <c:pt idx="491">
                  <c:v>-0.14951163198941209</c:v>
                </c:pt>
                <c:pt idx="492">
                  <c:v>-0.13369414762289145</c:v>
                </c:pt>
                <c:pt idx="493">
                  <c:v>-0.13424689269359369</c:v>
                </c:pt>
                <c:pt idx="494">
                  <c:v>-8.7694253184488008E-2</c:v>
                </c:pt>
                <c:pt idx="495">
                  <c:v>-0.11959240751357982</c:v>
                </c:pt>
                <c:pt idx="496">
                  <c:v>-9.76785459998539E-2</c:v>
                </c:pt>
                <c:pt idx="497">
                  <c:v>-8.304076616168285E-2</c:v>
                </c:pt>
                <c:pt idx="498">
                  <c:v>-0.17314050112484941</c:v>
                </c:pt>
                <c:pt idx="499">
                  <c:v>-0.16330341032514384</c:v>
                </c:pt>
                <c:pt idx="500">
                  <c:v>-0.15181179895428226</c:v>
                </c:pt>
                <c:pt idx="501">
                  <c:v>-0.16113741277584578</c:v>
                </c:pt>
                <c:pt idx="502">
                  <c:v>-5.0141393387068786E-2</c:v>
                </c:pt>
                <c:pt idx="503">
                  <c:v>-5.1618519861549035E-2</c:v>
                </c:pt>
                <c:pt idx="504">
                  <c:v>3.5942208322325073E-3</c:v>
                </c:pt>
                <c:pt idx="505">
                  <c:v>-5.5025436269628483E-3</c:v>
                </c:pt>
                <c:pt idx="506">
                  <c:v>-1.8972684145833123E-3</c:v>
                </c:pt>
                <c:pt idx="507">
                  <c:v>-3.0668147845567461E-3</c:v>
                </c:pt>
                <c:pt idx="508">
                  <c:v>5.3032219803138485E-2</c:v>
                </c:pt>
                <c:pt idx="509">
                  <c:v>2.7893980584125063E-2</c:v>
                </c:pt>
                <c:pt idx="510">
                  <c:v>0.11547221631321263</c:v>
                </c:pt>
                <c:pt idx="511">
                  <c:v>8.0649636329272745E-2</c:v>
                </c:pt>
                <c:pt idx="512">
                  <c:v>6.8826609276828432E-2</c:v>
                </c:pt>
                <c:pt idx="513">
                  <c:v>7.4511559083783513E-2</c:v>
                </c:pt>
                <c:pt idx="514">
                  <c:v>2.2660701047385004E-2</c:v>
                </c:pt>
                <c:pt idx="515">
                  <c:v>1.9514440292906034E-2</c:v>
                </c:pt>
                <c:pt idx="516">
                  <c:v>1.0438730835999662E-2</c:v>
                </c:pt>
                <c:pt idx="517">
                  <c:v>-5.0203585589277025E-2</c:v>
                </c:pt>
                <c:pt idx="518">
                  <c:v>-9.0834235773996796E-2</c:v>
                </c:pt>
                <c:pt idx="519">
                  <c:v>-0.13463416950772034</c:v>
                </c:pt>
                <c:pt idx="520">
                  <c:v>-7.9863740221104429E-2</c:v>
                </c:pt>
                <c:pt idx="521">
                  <c:v>-9.1580675503730197E-2</c:v>
                </c:pt>
                <c:pt idx="522">
                  <c:v>-7.7982526694980972E-2</c:v>
                </c:pt>
                <c:pt idx="523">
                  <c:v>-9.6993739266801937E-2</c:v>
                </c:pt>
                <c:pt idx="524">
                  <c:v>-0.11365139559863316</c:v>
                </c:pt>
                <c:pt idx="525">
                  <c:v>-0.1393576177509071</c:v>
                </c:pt>
                <c:pt idx="526">
                  <c:v>-0.26199511729807629</c:v>
                </c:pt>
                <c:pt idx="527">
                  <c:v>-0.28035629272016166</c:v>
                </c:pt>
                <c:pt idx="528">
                  <c:v>-0.29708924339946047</c:v>
                </c:pt>
                <c:pt idx="529">
                  <c:v>-0.30925300042528225</c:v>
                </c:pt>
                <c:pt idx="530">
                  <c:v>-0.31701499443246534</c:v>
                </c:pt>
                <c:pt idx="531">
                  <c:v>-0.32742013819304455</c:v>
                </c:pt>
                <c:pt idx="532">
                  <c:v>-0.33919093112077531</c:v>
                </c:pt>
                <c:pt idx="533">
                  <c:v>-0.36571310794359962</c:v>
                </c:pt>
                <c:pt idx="534">
                  <c:v>-0.39826168688779573</c:v>
                </c:pt>
                <c:pt idx="535">
                  <c:v>-0.3357728876489311</c:v>
                </c:pt>
                <c:pt idx="536">
                  <c:v>-0.36789521934812375</c:v>
                </c:pt>
                <c:pt idx="537">
                  <c:v>-0.3184280821587106</c:v>
                </c:pt>
                <c:pt idx="538">
                  <c:v>-0.3273904164523857</c:v>
                </c:pt>
                <c:pt idx="539">
                  <c:v>-0.32815094814691631</c:v>
                </c:pt>
                <c:pt idx="540">
                  <c:v>-0.31352763945397655</c:v>
                </c:pt>
                <c:pt idx="541">
                  <c:v>-0.32148215420954551</c:v>
                </c:pt>
                <c:pt idx="542">
                  <c:v>-0.31599857371382478</c:v>
                </c:pt>
                <c:pt idx="543">
                  <c:v>-0.3129119667979573</c:v>
                </c:pt>
                <c:pt idx="544">
                  <c:v>-0.30814615142516411</c:v>
                </c:pt>
                <c:pt idx="545">
                  <c:v>-0.30504138344026932</c:v>
                </c:pt>
                <c:pt idx="546">
                  <c:v>-0.29813590713865079</c:v>
                </c:pt>
                <c:pt idx="547">
                  <c:v>-0.34043178383223999</c:v>
                </c:pt>
                <c:pt idx="548">
                  <c:v>-0.35933249471168355</c:v>
                </c:pt>
                <c:pt idx="549">
                  <c:v>-0.36691026895250334</c:v>
                </c:pt>
                <c:pt idx="550">
                  <c:v>-0.37816924044487427</c:v>
                </c:pt>
                <c:pt idx="551">
                  <c:v>-0.38893331990685259</c:v>
                </c:pt>
                <c:pt idx="552">
                  <c:v>-0.40943717881273667</c:v>
                </c:pt>
                <c:pt idx="553">
                  <c:v>-0.46171631374713251</c:v>
                </c:pt>
                <c:pt idx="554">
                  <c:v>-0.46445939761054628</c:v>
                </c:pt>
                <c:pt idx="555">
                  <c:v>-0.48080794809034016</c:v>
                </c:pt>
                <c:pt idx="556">
                  <c:v>-0.48213232507841297</c:v>
                </c:pt>
                <c:pt idx="557">
                  <c:v>-0.5450015980603089</c:v>
                </c:pt>
                <c:pt idx="558">
                  <c:v>-0.53442774907004365</c:v>
                </c:pt>
                <c:pt idx="559">
                  <c:v>-0.44976515921492066</c:v>
                </c:pt>
                <c:pt idx="560">
                  <c:v>-0.48224885823043506</c:v>
                </c:pt>
                <c:pt idx="561">
                  <c:v>-0.48753450171967538</c:v>
                </c:pt>
                <c:pt idx="562">
                  <c:v>-0.51741453372068036</c:v>
                </c:pt>
                <c:pt idx="563">
                  <c:v>-0.46215025533535115</c:v>
                </c:pt>
                <c:pt idx="564">
                  <c:v>-0.48382952833334814</c:v>
                </c:pt>
                <c:pt idx="565">
                  <c:v>-0.48486896234804538</c:v>
                </c:pt>
                <c:pt idx="566">
                  <c:v>-0.49704120007467867</c:v>
                </c:pt>
                <c:pt idx="567">
                  <c:v>-0.51673708303742016</c:v>
                </c:pt>
                <c:pt idx="568">
                  <c:v>-0.53312892404775036</c:v>
                </c:pt>
                <c:pt idx="569">
                  <c:v>-0.55157184674744231</c:v>
                </c:pt>
                <c:pt idx="570">
                  <c:v>-0.56006392912295155</c:v>
                </c:pt>
                <c:pt idx="571">
                  <c:v>-0.56423954706432844</c:v>
                </c:pt>
                <c:pt idx="572">
                  <c:v>-0.60515124776805362</c:v>
                </c:pt>
                <c:pt idx="573">
                  <c:v>-0.61273986738343311</c:v>
                </c:pt>
                <c:pt idx="574">
                  <c:v>-0.70048258548842823</c:v>
                </c:pt>
                <c:pt idx="575">
                  <c:v>-0.73712059608745717</c:v>
                </c:pt>
              </c:numCache>
            </c:numRef>
          </c:val>
          <c:smooth val="0"/>
          <c:extLst>
            <c:ext xmlns:c16="http://schemas.microsoft.com/office/drawing/2014/chart" uri="{C3380CC4-5D6E-409C-BE32-E72D297353CC}">
              <c16:uniqueId val="{00000002-3B0A-44D2-AD8C-905F17A71F2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None</a:t>
            </a:r>
          </a:p>
        </c:rich>
      </c:tx>
      <c:overlay val="0"/>
      <c:spPr>
        <a:noFill/>
        <a:ln>
          <a:noFill/>
          <a:prstDash val="solid"/>
        </a:ln>
      </c:spPr>
    </c:title>
    <c:autoTitleDeleted val="0"/>
    <c:plotArea>
      <c:layout/>
      <c:scatterChart>
        <c:scatterStyle val="lineMarker"/>
        <c:varyColors val="0"/>
        <c:ser>
          <c:idx val="2"/>
          <c:order val="0"/>
          <c:tx>
            <c:strRef>
              <c:f>Analysis!$S$1</c:f>
              <c:strCache>
                <c:ptCount val="1"/>
                <c:pt idx="0">
                  <c:v>Mean Net PnL</c:v>
                </c:pt>
              </c:strCache>
            </c:strRef>
          </c:tx>
          <c:spPr>
            <a:ln w="25400" cap="rnd">
              <a:noFill/>
              <a:prstDash val="solid"/>
              <a:round/>
            </a:ln>
          </c:spPr>
          <c:marker>
            <c:symbol val="circle"/>
            <c:size val="5"/>
            <c:spPr>
              <a:solidFill>
                <a:schemeClr val="accent3"/>
              </a:solidFill>
              <a:ln w="9525">
                <a:solidFill>
                  <a:schemeClr val="accent3"/>
                </a:solidFill>
                <a:prstDash val="solid"/>
              </a:ln>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4.1925103197397499E-2</c:v>
                </c:pt>
                <c:pt idx="1">
                  <c:v>2.6221145727723827E-2</c:v>
                </c:pt>
                <c:pt idx="2">
                  <c:v>2.26157224957103E-2</c:v>
                </c:pt>
                <c:pt idx="3">
                  <c:v>6.3197381679716697E-3</c:v>
                </c:pt>
                <c:pt idx="4">
                  <c:v>-1.0115723558960822E-2</c:v>
                </c:pt>
                <c:pt idx="5">
                  <c:v>-1.5753091432530598E-2</c:v>
                </c:pt>
                <c:pt idx="6">
                  <c:v>-1.6174578472587769E-2</c:v>
                </c:pt>
                <c:pt idx="7">
                  <c:v>-6.0487258352572418E-2</c:v>
                </c:pt>
                <c:pt idx="8">
                  <c:v>-7.3627930904446498E-2</c:v>
                </c:pt>
                <c:pt idx="10">
                  <c:v>-5.0185327989821935E-2</c:v>
                </c:pt>
              </c:numCache>
            </c:numRef>
          </c:yVal>
          <c:smooth val="0"/>
          <c:extLst>
            <c:ext xmlns:c16="http://schemas.microsoft.com/office/drawing/2014/chart" uri="{C3380CC4-5D6E-409C-BE32-E72D297353CC}">
              <c16:uniqueId val="{00000000-FD85-4DC0-9C0A-9A09681F3E92}"/>
            </c:ext>
          </c:extLst>
        </c:ser>
        <c:dLbls>
          <c:showLegendKey val="0"/>
          <c:showVal val="0"/>
          <c:showCatName val="0"/>
          <c:showSerName val="0"/>
          <c:showPercent val="0"/>
          <c:showBubbleSize val="0"/>
        </c:dLbls>
        <c:axId val="677142816"/>
        <c:axId val="677145216"/>
      </c:scatterChart>
      <c:valAx>
        <c:axId val="677142816"/>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PnL</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7</xdr:row>
      <xdr:rowOff>168088</xdr:rowOff>
    </xdr:from>
    <xdr:to>
      <xdr:col>35</xdr:col>
      <xdr:colOff>381000</xdr:colOff>
      <xdr:row>35</xdr:row>
      <xdr:rowOff>71557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36</xdr:row>
      <xdr:rowOff>17527</xdr:rowOff>
    </xdr:from>
    <xdr:to>
      <xdr:col>30</xdr:col>
      <xdr:colOff>515471</xdr:colOff>
      <xdr:row>52</xdr:row>
      <xdr:rowOff>69914</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560294</xdr:colOff>
      <xdr:row>10</xdr:row>
      <xdr:rowOff>33618</xdr:rowOff>
    </xdr:from>
    <xdr:to>
      <xdr:col>25</xdr:col>
      <xdr:colOff>11206</xdr:colOff>
      <xdr:row>28</xdr:row>
      <xdr:rowOff>145676</xdr:rowOff>
    </xdr:to>
    <xdr:cxnSp macro="">
      <xdr:nvCxnSpPr>
        <xdr:cNvPr id="5" name="Straight Connector 4">
          <a:extLst>
            <a:ext uri="{FF2B5EF4-FFF2-40B4-BE49-F238E27FC236}">
              <a16:creationId xmlns:a16="http://schemas.microsoft.com/office/drawing/2014/main" id="{402B1917-BA5B-4AE3-D171-8183D2CECB4A}"/>
            </a:ext>
          </a:extLst>
        </xdr:cNvPr>
        <xdr:cNvCxnSpPr/>
      </xdr:nvCxnSpPr>
      <xdr:spPr>
        <a:xfrm flipV="1">
          <a:off x="11463618" y="1938618"/>
          <a:ext cx="56029" cy="354105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29</xdr:col>
      <xdr:colOff>268941</xdr:colOff>
      <xdr:row>10</xdr:row>
      <xdr:rowOff>22412</xdr:rowOff>
    </xdr:from>
    <xdr:to>
      <xdr:col>29</xdr:col>
      <xdr:colOff>291353</xdr:colOff>
      <xdr:row>28</xdr:row>
      <xdr:rowOff>123265</xdr:rowOff>
    </xdr:to>
    <xdr:cxnSp macro="">
      <xdr:nvCxnSpPr>
        <xdr:cNvPr id="13" name="Straight Connector 12">
          <a:extLst>
            <a:ext uri="{FF2B5EF4-FFF2-40B4-BE49-F238E27FC236}">
              <a16:creationId xmlns:a16="http://schemas.microsoft.com/office/drawing/2014/main" id="{6D0EB6BF-E21C-854F-D8C8-931B7DAA339D}"/>
            </a:ext>
          </a:extLst>
        </xdr:cNvPr>
        <xdr:cNvCxnSpPr/>
      </xdr:nvCxnSpPr>
      <xdr:spPr>
        <a:xfrm flipV="1">
          <a:off x="14197853" y="1927412"/>
          <a:ext cx="22412" cy="352985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571500</xdr:colOff>
      <xdr:row>11</xdr:row>
      <xdr:rowOff>123265</xdr:rowOff>
    </xdr:from>
    <xdr:to>
      <xdr:col>24</xdr:col>
      <xdr:colOff>358588</xdr:colOff>
      <xdr:row>15</xdr:row>
      <xdr:rowOff>33618</xdr:rowOff>
    </xdr:to>
    <xdr:sp macro="" textlink="">
      <xdr:nvSpPr>
        <xdr:cNvPr id="16" name="TextBox 15">
          <a:extLst>
            <a:ext uri="{FF2B5EF4-FFF2-40B4-BE49-F238E27FC236}">
              <a16:creationId xmlns:a16="http://schemas.microsoft.com/office/drawing/2014/main" id="{87ECA5FC-2DA6-E07D-52FB-A9E48EE8AD8E}"/>
            </a:ext>
          </a:extLst>
        </xdr:cNvPr>
        <xdr:cNvSpPr txBox="1"/>
      </xdr:nvSpPr>
      <xdr:spPr>
        <a:xfrm>
          <a:off x="9659471" y="2218765"/>
          <a:ext cx="1602441" cy="672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Phase 1: great performance: Aug 2022 - June 2023</a:t>
          </a:r>
        </a:p>
      </xdr:txBody>
    </xdr:sp>
    <xdr:clientData/>
  </xdr:twoCellAnchor>
  <xdr:twoCellAnchor>
    <xdr:from>
      <xdr:col>25</xdr:col>
      <xdr:colOff>246530</xdr:colOff>
      <xdr:row>11</xdr:row>
      <xdr:rowOff>123265</xdr:rowOff>
    </xdr:from>
    <xdr:to>
      <xdr:col>28</xdr:col>
      <xdr:colOff>459441</xdr:colOff>
      <xdr:row>15</xdr:row>
      <xdr:rowOff>89647</xdr:rowOff>
    </xdr:to>
    <xdr:sp macro="" textlink="">
      <xdr:nvSpPr>
        <xdr:cNvPr id="17" name="TextBox 16">
          <a:extLst>
            <a:ext uri="{FF2B5EF4-FFF2-40B4-BE49-F238E27FC236}">
              <a16:creationId xmlns:a16="http://schemas.microsoft.com/office/drawing/2014/main" id="{68217A88-7103-DE11-A0D0-3D947D7DC477}"/>
            </a:ext>
          </a:extLst>
        </xdr:cNvPr>
        <xdr:cNvSpPr txBox="1"/>
      </xdr:nvSpPr>
      <xdr:spPr>
        <a:xfrm>
          <a:off x="11754971" y="2218765"/>
          <a:ext cx="2028264" cy="728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Phase 2: stagnation: June 2023 - April 2024</a:t>
          </a:r>
        </a:p>
      </xdr:txBody>
    </xdr:sp>
    <xdr:clientData/>
  </xdr:twoCellAnchor>
  <xdr:twoCellAnchor>
    <xdr:from>
      <xdr:col>29</xdr:col>
      <xdr:colOff>582706</xdr:colOff>
      <xdr:row>10</xdr:row>
      <xdr:rowOff>78441</xdr:rowOff>
    </xdr:from>
    <xdr:to>
      <xdr:col>33</xdr:col>
      <xdr:colOff>246530</xdr:colOff>
      <xdr:row>14</xdr:row>
      <xdr:rowOff>0</xdr:rowOff>
    </xdr:to>
    <xdr:sp macro="" textlink="">
      <xdr:nvSpPr>
        <xdr:cNvPr id="18" name="TextBox 17">
          <a:extLst>
            <a:ext uri="{FF2B5EF4-FFF2-40B4-BE49-F238E27FC236}">
              <a16:creationId xmlns:a16="http://schemas.microsoft.com/office/drawing/2014/main" id="{A4E70C85-8BBF-F019-3A0A-0293AE606A88}"/>
            </a:ext>
          </a:extLst>
        </xdr:cNvPr>
        <xdr:cNvSpPr txBox="1"/>
      </xdr:nvSpPr>
      <xdr:spPr>
        <a:xfrm>
          <a:off x="14511618" y="1983441"/>
          <a:ext cx="2084294" cy="683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Phase 3: Recovery: April 2024 - Aug 2025</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 val="Baseline Analysis"/>
    </sheetNames>
    <sheetDataSet>
      <sheetData sheetId="0">
        <row r="1">
          <cell r="N1" t="str">
            <v>holding_minutes</v>
          </cell>
        </row>
      </sheetData>
      <sheetData sheetId="1">
        <row r="1">
          <cell r="S1" t="str">
            <v>Mean Net PnL</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s>
    <sheetDataSet>
      <sheetData sheetId="0">
        <row r="1">
          <cell r="N1" t="str">
            <v>holding_minutes</v>
          </cell>
        </row>
      </sheetData>
      <sheetData sheetId="1">
        <row r="1">
          <cell r="S1" t="str">
            <v>Mean Net PnL</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4:E11" totalsRowShown="0">
  <autoFilter ref="B4:E11" xr:uid="{00000000-0009-0000-0100-000001000000}"/>
  <tableColumns count="4">
    <tableColumn id="1" xr3:uid="{00000000-0010-0000-0000-000001000000}" name="Column1"/>
    <tableColumn id="2" xr3:uid="{00000000-0010-0000-0000-000002000000}" name="Gross" dataDxfId="2"/>
    <tableColumn id="3" xr3:uid="{00000000-0010-0000-0000-000003000000}" name="Slipped" dataDxfId="1"/>
    <tableColumn id="4" xr3:uid="{00000000-0010-0000-0000-000004000000}" name="Net (Transaction costs)"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B13:C17" totalsRowShown="0">
  <autoFilter ref="B13:C17" xr:uid="{00000000-0009-0000-0100-000002000000}"/>
  <tableColumns count="2">
    <tableColumn id="1" xr3:uid="{00000000-0010-0000-0100-000001000000}" name="Column1"/>
    <tableColumn id="2" xr3:uid="{00000000-0010-0000-0100-000002000000}" name="Column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B19:D25" totalsRowShown="0">
  <autoFilter ref="B19:D25" xr:uid="{00000000-0009-0000-0100-000003000000}"/>
  <tableColumns count="3">
    <tableColumn id="1" xr3:uid="{00000000-0010-0000-0200-000001000000}" name="Column1"/>
    <tableColumn id="2" xr3:uid="{00000000-0010-0000-0200-000002000000}" name="Positive"/>
    <tableColumn id="3" xr3:uid="{00000000-0010-0000-0200-000003000000}" name="Negativ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 displayName="Table5" ref="B27:F29" totalsRowShown="0">
  <autoFilter ref="B27:F29" xr:uid="{00000000-0009-0000-0100-000004000000}"/>
  <tableColumns count="5">
    <tableColumn id="1" xr3:uid="{00000000-0010-0000-0300-000001000000}" name="Column1"/>
    <tableColumn id="2" xr3:uid="{00000000-0010-0000-0300-000002000000}" name="Long">
      <calculatedColumnFormula>COUNTIF([1]Trades!M:M,"LONG")</calculatedColumnFormula>
    </tableColumn>
    <tableColumn id="3" xr3:uid="{00000000-0010-0000-0300-000003000000}" name="Short">
      <calculatedColumnFormula>COUNTIF([1]Trades!M:M,"SHORT")</calculatedColumnFormula>
    </tableColumn>
    <tableColumn id="4" xr3:uid="{00000000-0010-0000-0300-000004000000}" name="Signal">
      <calculatedColumnFormula>COUNTIF([1]Trades!O:O,"Signal")</calculatedColumnFormula>
    </tableColumn>
    <tableColumn id="5" xr3:uid="{00000000-0010-0000-0300-000005000000}" name="Forced">
      <calculatedColumnFormula>COUNTIF([1]Trades!O:O,"Forced")</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B31:D36" totalsRowShown="0">
  <autoFilter ref="B31:D36" xr:uid="{00000000-0009-0000-0100-000005000000}"/>
  <tableColumns count="3">
    <tableColumn id="1" xr3:uid="{00000000-0010-0000-0400-000001000000}" name="min Holding time"/>
    <tableColumn id="2" xr3:uid="{00000000-0010-0000-0400-000002000000}" name="Max Holding time"/>
    <tableColumn id="3" xr3:uid="{00000000-0010-0000-0400-000003000000}" name="Win rate">
      <calculatedColumnFormula>COUNTIFS([2]Trades!N:N,"&gt;="&amp;B32,[2]Trades!N:N,"&lt;="&amp;C32,[2]Trades!T:T,"&gt;0")/(COUNTIFS([2]Trades!N:N,"&gt;="&amp;B32,[2]Trades!N:N,"&lt;="&amp;C32,[2]Trades!T:T,"&gt;0")+COUNTIFS([2]Trades!N:N,"&gt;="&amp;B32,[2]Trades!N:N,"&lt;="&amp;C32,[2]Trades!T:T,"&lt;0"))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76"/>
  <sheetViews>
    <sheetView topLeftCell="A134" workbookViewId="0">
      <selection activeCell="L144" sqref="L144"/>
    </sheetView>
  </sheetViews>
  <sheetFormatPr defaultRowHeight="15" x14ac:dyDescent="0.25"/>
  <cols>
    <col min="1" max="1" width="10.85546875" bestFit="1" customWidth="1"/>
    <col min="2" max="3" width="6.5703125" bestFit="1" customWidth="1"/>
    <col min="4" max="4" width="16.42578125" bestFit="1" customWidth="1"/>
    <col min="5" max="6" width="13.28515625" bestFit="1" customWidth="1"/>
    <col min="7" max="8" width="21" bestFit="1" customWidth="1"/>
    <col min="9" max="9" width="12.7109375" bestFit="1" customWidth="1"/>
    <col min="10" max="10" width="17.7109375" bestFit="1" customWidth="1"/>
    <col min="11" max="12" width="14.85546875" bestFit="1" customWidth="1"/>
    <col min="13" max="13" width="9" bestFit="1" customWidth="1"/>
    <col min="14" max="14" width="16.140625" bestFit="1" customWidth="1"/>
    <col min="15" max="15" width="11.42578125" bestFit="1" customWidth="1"/>
    <col min="16" max="16" width="15.140625" bestFit="1" customWidth="1"/>
    <col min="17" max="18" width="11.85546875" bestFit="1" customWidth="1"/>
    <col min="19" max="20" width="12.7109375" bestFit="1" customWidth="1"/>
    <col min="21" max="21" width="17.28515625" bestFit="1" customWidth="1"/>
    <col min="22" max="22" width="16.42578125" bestFit="1" customWidth="1"/>
    <col min="23" max="23" width="12.7109375" bestFit="1" customWidth="1"/>
  </cols>
  <sheetData>
    <row r="1" spans="1:23"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row>
    <row r="2" spans="1:23" x14ac:dyDescent="0.25">
      <c r="A2">
        <v>0</v>
      </c>
      <c r="B2" t="s">
        <v>23</v>
      </c>
      <c r="C2" t="s">
        <v>24</v>
      </c>
      <c r="D2">
        <v>24221</v>
      </c>
      <c r="E2">
        <v>125.96</v>
      </c>
      <c r="F2">
        <v>42.884999999999991</v>
      </c>
      <c r="G2">
        <v>125.89702</v>
      </c>
      <c r="H2">
        <v>42.90644249999999</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7.2463717407999714E-3</v>
      </c>
      <c r="V2">
        <v>2.886444008540128E-3</v>
      </c>
      <c r="W2">
        <v>4.3599277322598426E-3</v>
      </c>
    </row>
    <row r="3" spans="1:23" x14ac:dyDescent="0.25">
      <c r="A3">
        <v>0</v>
      </c>
      <c r="B3" t="s">
        <v>23</v>
      </c>
      <c r="C3" t="s">
        <v>24</v>
      </c>
      <c r="D3">
        <v>24611</v>
      </c>
      <c r="E3">
        <v>124.9</v>
      </c>
      <c r="F3">
        <v>42.029999999999987</v>
      </c>
      <c r="G3">
        <v>124.83754999999999</v>
      </c>
      <c r="H3">
        <v>42.051014999999992</v>
      </c>
      <c r="I3">
        <v>3.8158805131011548</v>
      </c>
      <c r="J3">
        <v>0.44350025414299238</v>
      </c>
      <c r="K3">
        <v>-8.006405124099282E-2</v>
      </c>
      <c r="L3">
        <v>0.1055199272288823</v>
      </c>
      <c r="M3" t="s">
        <v>25</v>
      </c>
      <c r="N3">
        <v>9</v>
      </c>
      <c r="O3" t="s">
        <v>26</v>
      </c>
      <c r="P3">
        <v>24620</v>
      </c>
      <c r="Q3">
        <v>124.85</v>
      </c>
      <c r="R3">
        <v>42.305</v>
      </c>
      <c r="S3">
        <v>0.10836648666885269</v>
      </c>
      <c r="T3">
        <v>3.3021182549989238E-2</v>
      </c>
      <c r="U3">
        <v>1.8573672619847489E-2</v>
      </c>
      <c r="V3">
        <v>2.886444008540128E-3</v>
      </c>
      <c r="W3">
        <v>1.568722861130736E-2</v>
      </c>
    </row>
    <row r="4" spans="1:23" x14ac:dyDescent="0.25">
      <c r="A4">
        <v>0</v>
      </c>
      <c r="B4" t="s">
        <v>23</v>
      </c>
      <c r="C4" t="s">
        <v>24</v>
      </c>
      <c r="D4">
        <v>25001</v>
      </c>
      <c r="E4">
        <v>126.03</v>
      </c>
      <c r="F4">
        <v>42.510000000000012</v>
      </c>
      <c r="G4">
        <v>125.96698499999999</v>
      </c>
      <c r="H4">
        <v>42.531255000000002</v>
      </c>
      <c r="I4">
        <v>4.0339977754012004</v>
      </c>
      <c r="J4">
        <v>0.44350025414299238</v>
      </c>
      <c r="K4">
        <v>-7.9346187415694686E-2</v>
      </c>
      <c r="L4">
        <v>0.10432845310350319</v>
      </c>
      <c r="M4" t="s">
        <v>25</v>
      </c>
      <c r="N4">
        <v>14</v>
      </c>
      <c r="O4" t="s">
        <v>26</v>
      </c>
      <c r="P4">
        <v>25015</v>
      </c>
      <c r="Q4">
        <v>126.39</v>
      </c>
      <c r="R4">
        <v>42.790000000000013</v>
      </c>
      <c r="S4">
        <v>0.45918779881623312</v>
      </c>
      <c r="T4">
        <v>6.4733939933324033E-4</v>
      </c>
      <c r="U4">
        <v>-1.381655143926435E-2</v>
      </c>
      <c r="V4">
        <v>2.886444008540128E-3</v>
      </c>
      <c r="W4">
        <v>-1.6702995447804479E-2</v>
      </c>
    </row>
    <row r="5" spans="1:23" x14ac:dyDescent="0.25">
      <c r="A5">
        <v>0</v>
      </c>
      <c r="B5" t="s">
        <v>23</v>
      </c>
      <c r="C5" t="s">
        <v>24</v>
      </c>
      <c r="D5">
        <v>25391</v>
      </c>
      <c r="E5">
        <v>127.51</v>
      </c>
      <c r="F5">
        <v>42.82</v>
      </c>
      <c r="G5">
        <v>127.4462450000001</v>
      </c>
      <c r="H5">
        <v>42.841410000000003</v>
      </c>
      <c r="I5">
        <v>4.1961130564722344</v>
      </c>
      <c r="J5">
        <v>0.44350025414299238</v>
      </c>
      <c r="K5">
        <v>-7.8425221551250854E-2</v>
      </c>
      <c r="L5">
        <v>0.1035731560352621</v>
      </c>
      <c r="M5" t="s">
        <v>25</v>
      </c>
      <c r="N5">
        <v>17</v>
      </c>
      <c r="O5" t="s">
        <v>26</v>
      </c>
      <c r="P5">
        <v>25408</v>
      </c>
      <c r="Q5">
        <v>127.19</v>
      </c>
      <c r="R5">
        <v>42.649999999999991</v>
      </c>
      <c r="S5">
        <v>0.45998302629528509</v>
      </c>
      <c r="T5">
        <v>7.4886343704109563E-3</v>
      </c>
      <c r="U5">
        <v>-6.9250164173053942E-3</v>
      </c>
      <c r="V5">
        <v>2.886444008540128E-3</v>
      </c>
      <c r="W5">
        <v>-9.8114604258455231E-3</v>
      </c>
    </row>
    <row r="6" spans="1:23" x14ac:dyDescent="0.25">
      <c r="A6">
        <v>0</v>
      </c>
      <c r="B6" t="s">
        <v>23</v>
      </c>
      <c r="C6" t="s">
        <v>24</v>
      </c>
      <c r="D6">
        <v>25759</v>
      </c>
      <c r="E6">
        <v>127.95</v>
      </c>
      <c r="F6">
        <v>42.93</v>
      </c>
      <c r="G6">
        <v>128.01397499999999</v>
      </c>
      <c r="H6">
        <v>42.908535000000001</v>
      </c>
      <c r="I6">
        <v>-3.5120796309313582</v>
      </c>
      <c r="J6">
        <v>0.44350025414299238</v>
      </c>
      <c r="K6">
        <v>7.8155529503712379E-2</v>
      </c>
      <c r="L6">
        <v>-0.1033077694253418</v>
      </c>
      <c r="M6" t="s">
        <v>27</v>
      </c>
      <c r="N6">
        <v>8</v>
      </c>
      <c r="O6" t="s">
        <v>26</v>
      </c>
      <c r="P6">
        <v>25767</v>
      </c>
      <c r="Q6">
        <v>128.07499999999999</v>
      </c>
      <c r="R6">
        <v>42.87</v>
      </c>
      <c r="S6">
        <v>0.48964695842688361</v>
      </c>
      <c r="T6">
        <v>1.596790735348479E-2</v>
      </c>
      <c r="U6">
        <v>1.531119324545413E-3</v>
      </c>
      <c r="V6">
        <v>2.8875570080318419E-3</v>
      </c>
      <c r="W6">
        <v>-1.356437683486429E-3</v>
      </c>
    </row>
    <row r="7" spans="1:23" x14ac:dyDescent="0.25">
      <c r="A7">
        <v>0</v>
      </c>
      <c r="B7" t="s">
        <v>23</v>
      </c>
      <c r="C7" t="s">
        <v>24</v>
      </c>
      <c r="D7">
        <v>26055</v>
      </c>
      <c r="E7">
        <v>129.52000000000001</v>
      </c>
      <c r="F7">
        <v>42.94</v>
      </c>
      <c r="G7">
        <v>129.45524</v>
      </c>
      <c r="H7">
        <v>42.961470000000013</v>
      </c>
      <c r="I7">
        <v>3.966550053335185</v>
      </c>
      <c r="J7">
        <v>0.44350025414299238</v>
      </c>
      <c r="K7">
        <v>-7.7208153180975903E-2</v>
      </c>
      <c r="L7">
        <v>0.1032837107924994</v>
      </c>
      <c r="M7" t="s">
        <v>25</v>
      </c>
      <c r="N7">
        <v>16</v>
      </c>
      <c r="O7" t="s">
        <v>26</v>
      </c>
      <c r="P7">
        <v>26071</v>
      </c>
      <c r="Q7">
        <v>129.435</v>
      </c>
      <c r="R7">
        <v>42.920000000000009</v>
      </c>
      <c r="S7">
        <v>0.41542634465565731</v>
      </c>
      <c r="T7">
        <v>4.4970188045361844E-3</v>
      </c>
      <c r="U7">
        <v>-9.9336695532760109E-3</v>
      </c>
      <c r="V7">
        <v>2.886444008540128E-3</v>
      </c>
      <c r="W7">
        <v>-1.282011356181614E-2</v>
      </c>
    </row>
    <row r="8" spans="1:23" x14ac:dyDescent="0.25">
      <c r="A8">
        <v>0</v>
      </c>
      <c r="B8" t="s">
        <v>23</v>
      </c>
      <c r="C8" t="s">
        <v>24</v>
      </c>
      <c r="D8">
        <v>26566</v>
      </c>
      <c r="E8">
        <v>127.19</v>
      </c>
      <c r="F8">
        <v>42.099999999999987</v>
      </c>
      <c r="G8">
        <v>127.253595</v>
      </c>
      <c r="H8">
        <v>42.078949999999999</v>
      </c>
      <c r="I8">
        <v>-3.6898053328775888</v>
      </c>
      <c r="J8">
        <v>0.44350025414299238</v>
      </c>
      <c r="K8">
        <v>7.8622533218020305E-2</v>
      </c>
      <c r="L8">
        <v>-0.1053444784187631</v>
      </c>
      <c r="M8" t="s">
        <v>27</v>
      </c>
      <c r="N8">
        <v>10</v>
      </c>
      <c r="O8" t="s">
        <v>26</v>
      </c>
      <c r="P8">
        <v>26576</v>
      </c>
      <c r="Q8">
        <v>129.1100000000001</v>
      </c>
      <c r="R8">
        <v>42.63</v>
      </c>
      <c r="S8">
        <v>0.22009333008937301</v>
      </c>
      <c r="T8">
        <v>9.5122690216662392E-2</v>
      </c>
      <c r="U8">
        <v>8.0584293756565145E-2</v>
      </c>
      <c r="V8">
        <v>2.8875570080318419E-3</v>
      </c>
      <c r="W8">
        <v>7.7696736748533307E-2</v>
      </c>
    </row>
    <row r="9" spans="1:23" x14ac:dyDescent="0.25">
      <c r="A9">
        <v>0</v>
      </c>
      <c r="B9" t="s">
        <v>23</v>
      </c>
      <c r="C9" t="s">
        <v>24</v>
      </c>
      <c r="D9">
        <v>26956</v>
      </c>
      <c r="E9">
        <v>131.65999999999991</v>
      </c>
      <c r="F9">
        <v>43.11999999999999</v>
      </c>
      <c r="G9">
        <v>131.59416999999991</v>
      </c>
      <c r="H9">
        <v>43.141559999999991</v>
      </c>
      <c r="I9">
        <v>4.3572878347745094</v>
      </c>
      <c r="J9">
        <v>0.44350025414299238</v>
      </c>
      <c r="K9">
        <v>-7.5953212820902352E-2</v>
      </c>
      <c r="L9">
        <v>0.1028525635767608</v>
      </c>
      <c r="M9" t="s">
        <v>25</v>
      </c>
      <c r="N9">
        <v>19</v>
      </c>
      <c r="O9" t="s">
        <v>26</v>
      </c>
      <c r="P9">
        <v>26975</v>
      </c>
      <c r="Q9">
        <v>131.65</v>
      </c>
      <c r="R9">
        <v>43.215000000000003</v>
      </c>
      <c r="S9">
        <v>7.3755511502625101E-3</v>
      </c>
      <c r="T9">
        <v>1.05305256679969E-2</v>
      </c>
      <c r="U9">
        <v>-3.908982604137981E-3</v>
      </c>
      <c r="V9">
        <v>2.886444008540128E-3</v>
      </c>
      <c r="W9">
        <v>-6.795426612678109E-3</v>
      </c>
    </row>
    <row r="10" spans="1:23" x14ac:dyDescent="0.25">
      <c r="A10">
        <v>0</v>
      </c>
      <c r="B10" t="s">
        <v>23</v>
      </c>
      <c r="C10" t="s">
        <v>24</v>
      </c>
      <c r="D10">
        <v>27303</v>
      </c>
      <c r="E10">
        <v>131.2649999999999</v>
      </c>
      <c r="F10">
        <v>43.27</v>
      </c>
      <c r="G10">
        <v>131.19936749999991</v>
      </c>
      <c r="H10">
        <v>43.291634999999999</v>
      </c>
      <c r="I10">
        <v>3.8577795069898859</v>
      </c>
      <c r="J10">
        <v>0.44350025414299238</v>
      </c>
      <c r="K10">
        <v>-7.6181769702510227E-2</v>
      </c>
      <c r="L10">
        <v>0.1024960143616807</v>
      </c>
      <c r="M10" t="s">
        <v>25</v>
      </c>
      <c r="N10">
        <v>8</v>
      </c>
      <c r="O10" t="s">
        <v>26</v>
      </c>
      <c r="P10">
        <v>27311</v>
      </c>
      <c r="Q10">
        <v>131.21000000000009</v>
      </c>
      <c r="R10">
        <v>43.36</v>
      </c>
      <c r="S10">
        <v>6.8480924539201751E-2</v>
      </c>
      <c r="T10">
        <v>1.341463862617864E-2</v>
      </c>
      <c r="U10">
        <v>-1.0228812372298E-3</v>
      </c>
      <c r="V10">
        <v>2.886444008540128E-3</v>
      </c>
      <c r="W10">
        <v>-3.9093252457699278E-3</v>
      </c>
    </row>
    <row r="11" spans="1:23" x14ac:dyDescent="0.25">
      <c r="A11">
        <v>0</v>
      </c>
      <c r="B11" t="s">
        <v>23</v>
      </c>
      <c r="C11" t="s">
        <v>24</v>
      </c>
      <c r="D11">
        <v>27346</v>
      </c>
      <c r="E11">
        <v>130.86000000000001</v>
      </c>
      <c r="F11">
        <v>43.58</v>
      </c>
      <c r="G11">
        <v>130.92543000000001</v>
      </c>
      <c r="H11">
        <v>43.558210000000003</v>
      </c>
      <c r="I11">
        <v>-3.888171657915799</v>
      </c>
      <c r="J11">
        <v>0.44350025414299238</v>
      </c>
      <c r="K11">
        <v>7.6417545468439541E-2</v>
      </c>
      <c r="L11">
        <v>-0.1017669238510767</v>
      </c>
      <c r="M11" t="s">
        <v>27</v>
      </c>
      <c r="N11">
        <v>23</v>
      </c>
      <c r="O11" t="s">
        <v>26</v>
      </c>
      <c r="P11">
        <v>27369</v>
      </c>
      <c r="Q11">
        <v>130.80000000000001</v>
      </c>
      <c r="R11">
        <v>43.774999999999991</v>
      </c>
      <c r="S11">
        <v>-0.39608722139664032</v>
      </c>
      <c r="T11">
        <v>-2.4429602879065811E-2</v>
      </c>
      <c r="U11">
        <v>-3.8872235169204621E-2</v>
      </c>
      <c r="V11">
        <v>2.8875570080318419E-3</v>
      </c>
      <c r="W11">
        <v>-4.1759792177236472E-2</v>
      </c>
    </row>
    <row r="12" spans="1:23" x14ac:dyDescent="0.25">
      <c r="A12">
        <v>1</v>
      </c>
      <c r="B12" t="s">
        <v>23</v>
      </c>
      <c r="C12" t="s">
        <v>24</v>
      </c>
      <c r="D12">
        <v>27901</v>
      </c>
      <c r="E12">
        <v>130.29</v>
      </c>
      <c r="F12">
        <v>43.52</v>
      </c>
      <c r="G12">
        <v>130.22485499999999</v>
      </c>
      <c r="H12">
        <v>43.541759999999996</v>
      </c>
      <c r="I12">
        <v>5.2941174368715993</v>
      </c>
      <c r="J12">
        <v>0.35667904371168502</v>
      </c>
      <c r="K12">
        <v>-7.6751861232634916E-2</v>
      </c>
      <c r="L12">
        <v>8.1957500852868792E-2</v>
      </c>
      <c r="M12" t="s">
        <v>25</v>
      </c>
      <c r="N12">
        <v>24</v>
      </c>
      <c r="O12" t="s">
        <v>26</v>
      </c>
      <c r="P12">
        <v>27925</v>
      </c>
      <c r="Q12">
        <v>130.30000000000001</v>
      </c>
      <c r="R12">
        <v>43.42</v>
      </c>
      <c r="S12">
        <v>0.45023069989112852</v>
      </c>
      <c r="T12">
        <v>-8.9632686976142458E-3</v>
      </c>
      <c r="U12">
        <v>-2.2526345018993761E-2</v>
      </c>
      <c r="V12">
        <v>2.7127147664670818E-3</v>
      </c>
      <c r="W12">
        <v>-2.523905978546084E-2</v>
      </c>
    </row>
    <row r="13" spans="1:23" x14ac:dyDescent="0.25">
      <c r="A13">
        <v>1</v>
      </c>
      <c r="B13" t="s">
        <v>23</v>
      </c>
      <c r="C13" t="s">
        <v>24</v>
      </c>
      <c r="D13">
        <v>28128</v>
      </c>
      <c r="E13">
        <v>133.71</v>
      </c>
      <c r="F13">
        <v>44.19</v>
      </c>
      <c r="G13">
        <v>133.643145</v>
      </c>
      <c r="H13">
        <v>44.212094999999998</v>
      </c>
      <c r="I13">
        <v>5.0567268377995571</v>
      </c>
      <c r="J13">
        <v>0.35667904371168502</v>
      </c>
      <c r="K13">
        <v>-7.4788721860743382E-2</v>
      </c>
      <c r="L13">
        <v>8.0714877508867383E-2</v>
      </c>
      <c r="M13" t="s">
        <v>25</v>
      </c>
      <c r="N13">
        <v>21</v>
      </c>
      <c r="O13" t="s">
        <v>26</v>
      </c>
      <c r="P13">
        <v>28149</v>
      </c>
      <c r="Q13">
        <v>133.07</v>
      </c>
      <c r="R13">
        <v>44.149999999999991</v>
      </c>
      <c r="S13">
        <v>0.44059942373961047</v>
      </c>
      <c r="T13">
        <v>4.4636186890521672E-2</v>
      </c>
      <c r="U13">
        <v>3.1094943141950979E-2</v>
      </c>
      <c r="V13">
        <v>2.7127147664670818E-3</v>
      </c>
      <c r="W13">
        <v>2.83822283754839E-2</v>
      </c>
    </row>
    <row r="14" spans="1:23" x14ac:dyDescent="0.25">
      <c r="A14">
        <v>1</v>
      </c>
      <c r="B14" t="s">
        <v>23</v>
      </c>
      <c r="C14" t="s">
        <v>24</v>
      </c>
      <c r="D14">
        <v>28519</v>
      </c>
      <c r="E14">
        <v>135.20500000000001</v>
      </c>
      <c r="F14">
        <v>44.6</v>
      </c>
      <c r="G14">
        <v>135.13739749999999</v>
      </c>
      <c r="H14">
        <v>44.622300000000003</v>
      </c>
      <c r="I14">
        <v>3.5041480856115581</v>
      </c>
      <c r="J14">
        <v>0.35667904371168502</v>
      </c>
      <c r="K14">
        <v>-7.3961761769165343E-2</v>
      </c>
      <c r="L14">
        <v>7.9972879755983176E-2</v>
      </c>
      <c r="M14" t="s">
        <v>25</v>
      </c>
      <c r="N14">
        <v>11</v>
      </c>
      <c r="O14" t="s">
        <v>26</v>
      </c>
      <c r="P14">
        <v>28530</v>
      </c>
      <c r="Q14">
        <v>135.24</v>
      </c>
      <c r="R14">
        <v>44.78</v>
      </c>
      <c r="S14">
        <v>0.29558136752259162</v>
      </c>
      <c r="T14">
        <v>1.180645669415221E-2</v>
      </c>
      <c r="U14">
        <v>-1.768825632972546E-3</v>
      </c>
      <c r="V14">
        <v>2.7127147664670818E-3</v>
      </c>
      <c r="W14">
        <v>-4.4815403994396281E-3</v>
      </c>
    </row>
    <row r="15" spans="1:23" x14ac:dyDescent="0.25">
      <c r="A15">
        <v>1</v>
      </c>
      <c r="B15" t="s">
        <v>23</v>
      </c>
      <c r="C15" t="s">
        <v>24</v>
      </c>
      <c r="D15">
        <v>29063</v>
      </c>
      <c r="E15">
        <v>135.44999999999999</v>
      </c>
      <c r="F15">
        <v>44.78</v>
      </c>
      <c r="G15">
        <v>135.38227499999999</v>
      </c>
      <c r="H15">
        <v>44.802390000000003</v>
      </c>
      <c r="I15">
        <v>3.6899054579012609</v>
      </c>
      <c r="J15">
        <v>0.35667904371168502</v>
      </c>
      <c r="K15">
        <v>-7.3827980804724996E-2</v>
      </c>
      <c r="L15">
        <v>7.9651416639500885E-2</v>
      </c>
      <c r="M15" t="s">
        <v>25</v>
      </c>
      <c r="N15">
        <v>5</v>
      </c>
      <c r="O15" t="s">
        <v>26</v>
      </c>
      <c r="P15">
        <v>29068</v>
      </c>
      <c r="Q15">
        <v>135.16999999999999</v>
      </c>
      <c r="R15">
        <v>44.755000000000003</v>
      </c>
      <c r="S15">
        <v>0.15927447181561741</v>
      </c>
      <c r="T15">
        <v>1.8680549209335109E-2</v>
      </c>
      <c r="U15">
        <v>5.1250903322413617E-3</v>
      </c>
      <c r="V15">
        <v>2.7127147664670818E-3</v>
      </c>
      <c r="W15">
        <v>2.4123755657742799E-3</v>
      </c>
    </row>
    <row r="16" spans="1:23" x14ac:dyDescent="0.25">
      <c r="A16">
        <v>1</v>
      </c>
      <c r="B16" t="s">
        <v>23</v>
      </c>
      <c r="C16" t="s">
        <v>24</v>
      </c>
      <c r="D16">
        <v>29304</v>
      </c>
      <c r="E16">
        <v>135.43</v>
      </c>
      <c r="F16">
        <v>44.404999999999987</v>
      </c>
      <c r="G16">
        <v>135.36228500000001</v>
      </c>
      <c r="H16">
        <v>44.427202499999993</v>
      </c>
      <c r="I16">
        <v>3.961208408914604</v>
      </c>
      <c r="J16">
        <v>0.35667904371168502</v>
      </c>
      <c r="K16">
        <v>-7.3838883556080606E-2</v>
      </c>
      <c r="L16">
        <v>8.0324072449427991E-2</v>
      </c>
      <c r="M16" t="s">
        <v>25</v>
      </c>
      <c r="N16">
        <v>6</v>
      </c>
      <c r="O16" t="s">
        <v>26</v>
      </c>
      <c r="P16">
        <v>29310</v>
      </c>
      <c r="Q16">
        <v>134.54</v>
      </c>
      <c r="R16">
        <v>44.04</v>
      </c>
      <c r="S16">
        <v>0.2835212189729594</v>
      </c>
      <c r="T16">
        <v>3.6398319920874132E-2</v>
      </c>
      <c r="U16">
        <v>2.2879046930164109E-2</v>
      </c>
      <c r="V16">
        <v>2.7127147664670818E-3</v>
      </c>
      <c r="W16">
        <v>2.016633216369703E-2</v>
      </c>
    </row>
    <row r="17" spans="1:23" x14ac:dyDescent="0.25">
      <c r="A17">
        <v>1</v>
      </c>
      <c r="B17" t="s">
        <v>23</v>
      </c>
      <c r="C17" t="s">
        <v>24</v>
      </c>
      <c r="D17">
        <v>30081</v>
      </c>
      <c r="E17">
        <v>131.8899999999999</v>
      </c>
      <c r="F17">
        <v>42.965000000000003</v>
      </c>
      <c r="G17">
        <v>131.9559449999999</v>
      </c>
      <c r="H17">
        <v>42.943517499999999</v>
      </c>
      <c r="I17">
        <v>-4.7804810560466056</v>
      </c>
      <c r="J17">
        <v>0.35667904371168502</v>
      </c>
      <c r="K17">
        <v>7.5820759724012476E-2</v>
      </c>
      <c r="L17">
        <v>-8.3016186130963565E-2</v>
      </c>
      <c r="M17" t="s">
        <v>27</v>
      </c>
      <c r="N17">
        <v>5</v>
      </c>
      <c r="O17" t="s">
        <v>26</v>
      </c>
      <c r="P17">
        <v>30086</v>
      </c>
      <c r="Q17">
        <v>132.36000000000001</v>
      </c>
      <c r="R17">
        <v>42.53</v>
      </c>
      <c r="S17">
        <v>-0.46914740046072689</v>
      </c>
      <c r="T17">
        <v>7.1747798037263152E-2</v>
      </c>
      <c r="U17">
        <v>5.8181245742094698E-2</v>
      </c>
      <c r="V17">
        <v>2.714001408379658E-3</v>
      </c>
      <c r="W17">
        <v>5.5467244333715048E-2</v>
      </c>
    </row>
    <row r="18" spans="1:23" x14ac:dyDescent="0.25">
      <c r="A18">
        <v>1</v>
      </c>
      <c r="B18" t="s">
        <v>23</v>
      </c>
      <c r="C18" t="s">
        <v>24</v>
      </c>
      <c r="D18">
        <v>30471</v>
      </c>
      <c r="E18">
        <v>134.25</v>
      </c>
      <c r="F18">
        <v>43.350000000000009</v>
      </c>
      <c r="G18">
        <v>134.182875</v>
      </c>
      <c r="H18">
        <v>43.371675000000003</v>
      </c>
      <c r="I18">
        <v>4.9042577951300848</v>
      </c>
      <c r="J18">
        <v>0.35667904371168502</v>
      </c>
      <c r="K18">
        <v>-7.4487895716946001E-2</v>
      </c>
      <c r="L18">
        <v>8.2278902816997665E-2</v>
      </c>
      <c r="M18" t="s">
        <v>25</v>
      </c>
      <c r="N18">
        <v>14</v>
      </c>
      <c r="O18" t="s">
        <v>26</v>
      </c>
      <c r="P18">
        <v>30485</v>
      </c>
      <c r="Q18">
        <v>133.28999999999991</v>
      </c>
      <c r="R18">
        <v>43.155000000000001</v>
      </c>
      <c r="S18">
        <v>-6.9694345489047543E-2</v>
      </c>
      <c r="T18">
        <v>5.5463993838957837E-2</v>
      </c>
      <c r="U18">
        <v>4.1940979784810373E-2</v>
      </c>
      <c r="V18">
        <v>2.7127147664670818E-3</v>
      </c>
      <c r="W18">
        <v>3.922826501834329E-2</v>
      </c>
    </row>
    <row r="19" spans="1:23" x14ac:dyDescent="0.25">
      <c r="A19">
        <v>1</v>
      </c>
      <c r="B19" t="s">
        <v>23</v>
      </c>
      <c r="C19" t="s">
        <v>24</v>
      </c>
      <c r="D19">
        <v>31251</v>
      </c>
      <c r="E19">
        <v>133.97999999999999</v>
      </c>
      <c r="F19">
        <v>43.63</v>
      </c>
      <c r="G19">
        <v>133.91301000000001</v>
      </c>
      <c r="H19">
        <v>43.651814999999992</v>
      </c>
      <c r="I19">
        <v>3.5021011592821378</v>
      </c>
      <c r="J19">
        <v>0.35667904371168502</v>
      </c>
      <c r="K19">
        <v>-7.4638005672488433E-2</v>
      </c>
      <c r="L19">
        <v>8.1750869519066002E-2</v>
      </c>
      <c r="M19" t="s">
        <v>25</v>
      </c>
      <c r="N19">
        <v>17</v>
      </c>
      <c r="O19" t="s">
        <v>26</v>
      </c>
      <c r="P19">
        <v>31268</v>
      </c>
      <c r="Q19">
        <v>134.04</v>
      </c>
      <c r="R19">
        <v>43.674999999999997</v>
      </c>
      <c r="S19">
        <v>0.46005963823937318</v>
      </c>
      <c r="T19">
        <v>-7.9949121199502813E-4</v>
      </c>
      <c r="U19">
        <v>-1.4370360183844881E-2</v>
      </c>
      <c r="V19">
        <v>2.7127147664670818E-3</v>
      </c>
      <c r="W19">
        <v>-1.7083074950311961E-2</v>
      </c>
    </row>
    <row r="20" spans="1:23" x14ac:dyDescent="0.25">
      <c r="A20">
        <v>2</v>
      </c>
      <c r="B20" t="s">
        <v>28</v>
      </c>
      <c r="C20" t="s">
        <v>29</v>
      </c>
      <c r="D20">
        <v>31801</v>
      </c>
      <c r="E20">
        <v>46.469999999999992</v>
      </c>
      <c r="F20">
        <v>101.065</v>
      </c>
      <c r="G20">
        <v>46.493234999999991</v>
      </c>
      <c r="H20">
        <v>101.01446749999999</v>
      </c>
      <c r="I20">
        <v>-5.2946487199378947</v>
      </c>
      <c r="J20">
        <v>0.49371906620036032</v>
      </c>
      <c r="K20">
        <v>0.21519259737465041</v>
      </c>
      <c r="L20">
        <v>-4.8851636689295021E-2</v>
      </c>
      <c r="M20" t="s">
        <v>27</v>
      </c>
      <c r="N20">
        <v>23</v>
      </c>
      <c r="O20" t="s">
        <v>26</v>
      </c>
      <c r="P20">
        <v>31824</v>
      </c>
      <c r="Q20">
        <v>46.439999999999991</v>
      </c>
      <c r="R20">
        <v>101.24</v>
      </c>
      <c r="S20">
        <v>-0.49273463315535732</v>
      </c>
      <c r="T20">
        <v>-1.500481434186416E-2</v>
      </c>
      <c r="U20">
        <v>-2.9943051633115489E-2</v>
      </c>
      <c r="V20">
        <v>2.98794441333452E-3</v>
      </c>
      <c r="W20">
        <v>-3.2930996046450008E-2</v>
      </c>
    </row>
    <row r="21" spans="1:23" x14ac:dyDescent="0.25">
      <c r="A21">
        <v>2</v>
      </c>
      <c r="B21" t="s">
        <v>28</v>
      </c>
      <c r="C21" t="s">
        <v>29</v>
      </c>
      <c r="D21">
        <v>32031</v>
      </c>
      <c r="E21">
        <v>46.75</v>
      </c>
      <c r="F21">
        <v>101.67</v>
      </c>
      <c r="G21">
        <v>46.726625000000013</v>
      </c>
      <c r="H21">
        <v>101.72083499999999</v>
      </c>
      <c r="I21">
        <v>5.0655025051825353</v>
      </c>
      <c r="J21">
        <v>0.49371906620036032</v>
      </c>
      <c r="K21">
        <v>-0.21390374331550799</v>
      </c>
      <c r="L21">
        <v>4.8560938939742303E-2</v>
      </c>
      <c r="M21" t="s">
        <v>25</v>
      </c>
      <c r="N21">
        <v>29</v>
      </c>
      <c r="O21" t="s">
        <v>26</v>
      </c>
      <c r="P21">
        <v>32060</v>
      </c>
      <c r="Q21">
        <v>46.854999999999997</v>
      </c>
      <c r="R21">
        <v>101.61</v>
      </c>
      <c r="S21">
        <v>0.45288814582155917</v>
      </c>
      <c r="T21">
        <v>-2.5373549384516601E-2</v>
      </c>
      <c r="U21">
        <v>-4.0320513164873659E-2</v>
      </c>
      <c r="V21">
        <v>2.9869318514669208E-3</v>
      </c>
      <c r="W21">
        <v>-4.3307445016340582E-2</v>
      </c>
    </row>
    <row r="22" spans="1:23" x14ac:dyDescent="0.25">
      <c r="A22">
        <v>2</v>
      </c>
      <c r="B22" t="s">
        <v>28</v>
      </c>
      <c r="C22" t="s">
        <v>29</v>
      </c>
      <c r="D22">
        <v>32631</v>
      </c>
      <c r="E22">
        <v>45.45</v>
      </c>
      <c r="F22">
        <v>99.660000000000011</v>
      </c>
      <c r="G22">
        <v>45.427275000000009</v>
      </c>
      <c r="H22">
        <v>99.709830000000011</v>
      </c>
      <c r="I22">
        <v>3.8891153399716152</v>
      </c>
      <c r="J22">
        <v>0.49371906620036032</v>
      </c>
      <c r="K22">
        <v>-0.22002200220022</v>
      </c>
      <c r="L22">
        <v>4.9540343788918341E-2</v>
      </c>
      <c r="M22" t="s">
        <v>25</v>
      </c>
      <c r="N22">
        <v>1</v>
      </c>
      <c r="O22" t="s">
        <v>26</v>
      </c>
      <c r="P22">
        <v>32632</v>
      </c>
      <c r="Q22">
        <v>45.31</v>
      </c>
      <c r="R22">
        <v>99.660000000000011</v>
      </c>
      <c r="S22">
        <v>-0.32716602801208522</v>
      </c>
      <c r="T22">
        <v>3.080308030803092E-2</v>
      </c>
      <c r="U22">
        <v>1.5881291186182561E-2</v>
      </c>
      <c r="V22">
        <v>2.9869318514669208E-3</v>
      </c>
      <c r="W22">
        <v>1.289435933471564E-2</v>
      </c>
    </row>
    <row r="23" spans="1:23" x14ac:dyDescent="0.25">
      <c r="A23">
        <v>2</v>
      </c>
      <c r="B23" t="s">
        <v>28</v>
      </c>
      <c r="C23" t="s">
        <v>29</v>
      </c>
      <c r="D23">
        <v>33031</v>
      </c>
      <c r="E23">
        <v>45.3</v>
      </c>
      <c r="F23">
        <v>101.3</v>
      </c>
      <c r="G23">
        <v>45.322650000000003</v>
      </c>
      <c r="H23">
        <v>101.24935000000001</v>
      </c>
      <c r="I23">
        <v>-4.3570641649084036</v>
      </c>
      <c r="J23">
        <v>0.49371906620036032</v>
      </c>
      <c r="K23">
        <v>0.22075055187637971</v>
      </c>
      <c r="L23">
        <v>-4.8738308608130353E-2</v>
      </c>
      <c r="M23" t="s">
        <v>27</v>
      </c>
      <c r="N23">
        <v>29</v>
      </c>
      <c r="O23" t="s">
        <v>26</v>
      </c>
      <c r="P23">
        <v>33060</v>
      </c>
      <c r="Q23">
        <v>44.330000000000013</v>
      </c>
      <c r="R23">
        <v>98.995000000000019</v>
      </c>
      <c r="S23">
        <v>-0.29233070050163962</v>
      </c>
      <c r="T23">
        <v>-0.10178623397835</v>
      </c>
      <c r="U23">
        <v>-0.1165601897220223</v>
      </c>
      <c r="V23">
        <v>2.98794441333452E-3</v>
      </c>
      <c r="W23">
        <v>-0.1195481341353568</v>
      </c>
    </row>
    <row r="24" spans="1:23" x14ac:dyDescent="0.25">
      <c r="A24">
        <v>2</v>
      </c>
      <c r="B24" t="s">
        <v>28</v>
      </c>
      <c r="C24" t="s">
        <v>29</v>
      </c>
      <c r="D24">
        <v>33411</v>
      </c>
      <c r="E24">
        <v>47.07</v>
      </c>
      <c r="F24">
        <v>101.43</v>
      </c>
      <c r="G24">
        <v>47.046464999999998</v>
      </c>
      <c r="H24">
        <v>101.480715</v>
      </c>
      <c r="I24">
        <v>4.108557515319351</v>
      </c>
      <c r="J24">
        <v>0.49371906620036032</v>
      </c>
      <c r="K24">
        <v>-0.21244954323348211</v>
      </c>
      <c r="L24">
        <v>4.867584207831608E-2</v>
      </c>
      <c r="M24" t="s">
        <v>25</v>
      </c>
      <c r="N24">
        <v>17</v>
      </c>
      <c r="O24" t="s">
        <v>26</v>
      </c>
      <c r="P24">
        <v>33428</v>
      </c>
      <c r="Q24">
        <v>46.87</v>
      </c>
      <c r="R24">
        <v>100.6</v>
      </c>
      <c r="S24">
        <v>0.48433148107120788</v>
      </c>
      <c r="T24">
        <v>2.088959721690473E-3</v>
      </c>
      <c r="U24">
        <v>-1.2806785511525641E-2</v>
      </c>
      <c r="V24">
        <v>2.9869318514669208E-3</v>
      </c>
      <c r="W24">
        <v>-1.5793717362992558E-2</v>
      </c>
    </row>
    <row r="25" spans="1:23" x14ac:dyDescent="0.25">
      <c r="A25">
        <v>2</v>
      </c>
      <c r="B25" t="s">
        <v>28</v>
      </c>
      <c r="C25" t="s">
        <v>29</v>
      </c>
      <c r="D25">
        <v>33801</v>
      </c>
      <c r="E25">
        <v>45.79999999999999</v>
      </c>
      <c r="F25">
        <v>98.470000000000027</v>
      </c>
      <c r="G25">
        <v>45.82289999999999</v>
      </c>
      <c r="H25">
        <v>98.420765000000031</v>
      </c>
      <c r="I25">
        <v>-4.7303001245764236</v>
      </c>
      <c r="J25">
        <v>0.49371906620036032</v>
      </c>
      <c r="K25">
        <v>0.2183406113537118</v>
      </c>
      <c r="L25">
        <v>-5.0139033837753637E-2</v>
      </c>
      <c r="M25" t="s">
        <v>27</v>
      </c>
      <c r="N25">
        <v>28</v>
      </c>
      <c r="O25" t="s">
        <v>26</v>
      </c>
      <c r="P25">
        <v>33829</v>
      </c>
      <c r="Q25">
        <v>45.490000000000009</v>
      </c>
      <c r="R25">
        <v>99.339999999999975</v>
      </c>
      <c r="S25">
        <v>-0.37895945030731748</v>
      </c>
      <c r="T25">
        <v>-0.1113065489584896</v>
      </c>
      <c r="U25">
        <v>-0.12623170730545219</v>
      </c>
      <c r="V25">
        <v>2.98794441333452E-3</v>
      </c>
      <c r="W25">
        <v>-0.1292196517187868</v>
      </c>
    </row>
    <row r="26" spans="1:23" x14ac:dyDescent="0.25">
      <c r="A26">
        <v>2</v>
      </c>
      <c r="B26" t="s">
        <v>28</v>
      </c>
      <c r="C26" t="s">
        <v>29</v>
      </c>
      <c r="D26">
        <v>34973</v>
      </c>
      <c r="E26">
        <v>41.55</v>
      </c>
      <c r="F26">
        <v>94</v>
      </c>
      <c r="G26">
        <v>41.570774999999998</v>
      </c>
      <c r="H26">
        <v>93.953000000000003</v>
      </c>
      <c r="I26">
        <v>-4.1072214387243919</v>
      </c>
      <c r="J26">
        <v>0.49371906620036032</v>
      </c>
      <c r="K26">
        <v>0.24067388688327321</v>
      </c>
      <c r="L26">
        <v>-5.2523304914931943E-2</v>
      </c>
      <c r="M26" t="s">
        <v>27</v>
      </c>
      <c r="N26">
        <v>6</v>
      </c>
      <c r="O26" t="s">
        <v>26</v>
      </c>
      <c r="P26">
        <v>34979</v>
      </c>
      <c r="Q26">
        <v>41.624999999999993</v>
      </c>
      <c r="R26">
        <v>93.179999999999978</v>
      </c>
      <c r="S26">
        <v>-6.9171354317501779E-2</v>
      </c>
      <c r="T26">
        <v>6.1119651546488067E-2</v>
      </c>
      <c r="U26">
        <v>4.6194970168742251E-2</v>
      </c>
      <c r="V26">
        <v>2.98794441333452E-3</v>
      </c>
      <c r="W26">
        <v>4.3207025755407732E-2</v>
      </c>
    </row>
    <row r="27" spans="1:23" x14ac:dyDescent="0.25">
      <c r="A27">
        <v>2</v>
      </c>
      <c r="B27" t="s">
        <v>28</v>
      </c>
      <c r="C27" t="s">
        <v>29</v>
      </c>
      <c r="D27">
        <v>35436</v>
      </c>
      <c r="E27">
        <v>41.95000000000001</v>
      </c>
      <c r="F27">
        <v>94.239999999999981</v>
      </c>
      <c r="G27">
        <v>41.97097500000001</v>
      </c>
      <c r="H27">
        <v>94.192879999999988</v>
      </c>
      <c r="I27">
        <v>-3.6538089935019622</v>
      </c>
      <c r="J27">
        <v>0.49371906620036032</v>
      </c>
      <c r="K27">
        <v>0.2383790226460071</v>
      </c>
      <c r="L27">
        <v>-5.2389544376099363E-2</v>
      </c>
      <c r="M27" t="s">
        <v>27</v>
      </c>
      <c r="N27">
        <v>16</v>
      </c>
      <c r="O27" t="s">
        <v>26</v>
      </c>
      <c r="P27">
        <v>35452</v>
      </c>
      <c r="Q27">
        <v>41.994999999999997</v>
      </c>
      <c r="R27">
        <v>94.149999999999977</v>
      </c>
      <c r="S27">
        <v>-0.45945615656626959</v>
      </c>
      <c r="T27">
        <v>1.544211501291815E-2</v>
      </c>
      <c r="U27">
        <v>5.0191835240273824E-4</v>
      </c>
      <c r="V27">
        <v>2.98794441333452E-3</v>
      </c>
      <c r="W27">
        <v>-2.4860260609317819E-3</v>
      </c>
    </row>
    <row r="28" spans="1:23" x14ac:dyDescent="0.25">
      <c r="A28">
        <v>3</v>
      </c>
      <c r="B28" t="s">
        <v>30</v>
      </c>
      <c r="C28" t="s">
        <v>29</v>
      </c>
      <c r="D28">
        <v>35701</v>
      </c>
      <c r="E28">
        <v>153.94999999999999</v>
      </c>
      <c r="F28">
        <v>93.179999999999978</v>
      </c>
      <c r="G28">
        <v>153.87302500000001</v>
      </c>
      <c r="H28">
        <v>93.226589999999973</v>
      </c>
      <c r="I28">
        <v>5.2946241853295968</v>
      </c>
      <c r="J28">
        <v>0.53007103440598191</v>
      </c>
      <c r="K28">
        <v>-6.4956154595647936E-2</v>
      </c>
      <c r="L28">
        <v>5.6886781971021899E-2</v>
      </c>
      <c r="M28" t="s">
        <v>25</v>
      </c>
      <c r="N28">
        <v>23</v>
      </c>
      <c r="O28" t="s">
        <v>26</v>
      </c>
      <c r="P28">
        <v>35724</v>
      </c>
      <c r="Q28">
        <v>154.21000000000009</v>
      </c>
      <c r="R28">
        <v>93.269999999999982</v>
      </c>
      <c r="S28">
        <v>0.4913464067523306</v>
      </c>
      <c r="T28">
        <v>-1.17687898174794E-2</v>
      </c>
      <c r="U28">
        <v>-2.708050436682433E-2</v>
      </c>
      <c r="V28">
        <v>3.05967213984637E-3</v>
      </c>
      <c r="W28">
        <v>-3.01401765066707E-2</v>
      </c>
    </row>
    <row r="29" spans="1:23" x14ac:dyDescent="0.25">
      <c r="A29">
        <v>3</v>
      </c>
      <c r="B29" t="s">
        <v>30</v>
      </c>
      <c r="C29" t="s">
        <v>29</v>
      </c>
      <c r="D29">
        <v>36144</v>
      </c>
      <c r="E29">
        <v>153.16999999999999</v>
      </c>
      <c r="F29">
        <v>94.235000000000028</v>
      </c>
      <c r="G29">
        <v>153.24658500000001</v>
      </c>
      <c r="H29">
        <v>94.187882500000029</v>
      </c>
      <c r="I29">
        <v>-3.5505093002851882</v>
      </c>
      <c r="J29">
        <v>0.53007103440598191</v>
      </c>
      <c r="K29">
        <v>6.5286936084089559E-2</v>
      </c>
      <c r="L29">
        <v>-5.6249910798109169E-2</v>
      </c>
      <c r="M29" t="s">
        <v>27</v>
      </c>
      <c r="N29">
        <v>20</v>
      </c>
      <c r="O29" t="s">
        <v>26</v>
      </c>
      <c r="P29">
        <v>36164</v>
      </c>
      <c r="Q29">
        <v>153.39999999999989</v>
      </c>
      <c r="R29">
        <v>95.30000000000004</v>
      </c>
      <c r="S29">
        <v>-0.27691105740747479</v>
      </c>
      <c r="T29">
        <v>-4.4890159700652577E-2</v>
      </c>
      <c r="U29">
        <v>-6.0228331119860298E-2</v>
      </c>
      <c r="V29">
        <v>3.060611997777558E-3</v>
      </c>
      <c r="W29">
        <v>-6.3288943117637858E-2</v>
      </c>
    </row>
    <row r="30" spans="1:23" x14ac:dyDescent="0.25">
      <c r="A30">
        <v>3</v>
      </c>
      <c r="B30" t="s">
        <v>30</v>
      </c>
      <c r="C30" t="s">
        <v>29</v>
      </c>
      <c r="D30">
        <v>36923</v>
      </c>
      <c r="E30">
        <v>154.12499999999989</v>
      </c>
      <c r="F30">
        <v>98.020000000000024</v>
      </c>
      <c r="G30">
        <v>154.04793749999999</v>
      </c>
      <c r="H30">
        <v>98.06901000000002</v>
      </c>
      <c r="I30">
        <v>4.4662264308478719</v>
      </c>
      <c r="J30">
        <v>0.53007103440598191</v>
      </c>
      <c r="K30">
        <v>-6.4882400648824029E-2</v>
      </c>
      <c r="L30">
        <v>5.4077844766984483E-2</v>
      </c>
      <c r="M30" t="s">
        <v>25</v>
      </c>
      <c r="N30">
        <v>3</v>
      </c>
      <c r="O30" t="s">
        <v>26</v>
      </c>
      <c r="P30">
        <v>36926</v>
      </c>
      <c r="Q30">
        <v>154.01499999999999</v>
      </c>
      <c r="R30">
        <v>98.660000000000025</v>
      </c>
      <c r="S30">
        <v>0.1212453732032604</v>
      </c>
      <c r="T30">
        <v>4.174688472223978E-2</v>
      </c>
      <c r="U30">
        <v>2.643243799989306E-2</v>
      </c>
      <c r="V30">
        <v>3.05967213984637E-3</v>
      </c>
      <c r="W30">
        <v>2.337276586004669E-2</v>
      </c>
    </row>
    <row r="31" spans="1:23" x14ac:dyDescent="0.25">
      <c r="A31">
        <v>3</v>
      </c>
      <c r="B31" t="s">
        <v>30</v>
      </c>
      <c r="C31" t="s">
        <v>29</v>
      </c>
      <c r="D31">
        <v>37313</v>
      </c>
      <c r="E31">
        <v>147.465</v>
      </c>
      <c r="F31">
        <v>94.830000000000013</v>
      </c>
      <c r="G31">
        <v>147.53873250000001</v>
      </c>
      <c r="H31">
        <v>94.782585000000012</v>
      </c>
      <c r="I31">
        <v>-3.6786498149839999</v>
      </c>
      <c r="J31">
        <v>0.53007103440598191</v>
      </c>
      <c r="K31">
        <v>6.7812701318957044E-2</v>
      </c>
      <c r="L31">
        <v>-5.5896977159757659E-2</v>
      </c>
      <c r="M31" t="s">
        <v>27</v>
      </c>
      <c r="N31">
        <v>4</v>
      </c>
      <c r="O31" t="s">
        <v>26</v>
      </c>
      <c r="P31">
        <v>37317</v>
      </c>
      <c r="Q31">
        <v>147.9</v>
      </c>
      <c r="R31">
        <v>94.710000000000022</v>
      </c>
      <c r="S31">
        <v>-0.4340307217642479</v>
      </c>
      <c r="T31">
        <v>3.6206162332914918E-2</v>
      </c>
      <c r="U31">
        <v>2.0894056544947859E-2</v>
      </c>
      <c r="V31">
        <v>3.060611997777558E-3</v>
      </c>
      <c r="W31">
        <v>1.7833444547170299E-2</v>
      </c>
    </row>
    <row r="32" spans="1:23" x14ac:dyDescent="0.25">
      <c r="A32">
        <v>3</v>
      </c>
      <c r="B32" t="s">
        <v>30</v>
      </c>
      <c r="C32" t="s">
        <v>29</v>
      </c>
      <c r="D32">
        <v>37705</v>
      </c>
      <c r="E32">
        <v>150.22</v>
      </c>
      <c r="F32">
        <v>92.14500000000001</v>
      </c>
      <c r="G32">
        <v>150.14489</v>
      </c>
      <c r="H32">
        <v>92.191072500000004</v>
      </c>
      <c r="I32">
        <v>3.9877036875130361</v>
      </c>
      <c r="J32">
        <v>0.53007103440598191</v>
      </c>
      <c r="K32">
        <v>-6.6569032086273475E-2</v>
      </c>
      <c r="L32">
        <v>5.7525751197132977E-2</v>
      </c>
      <c r="M32" t="s">
        <v>25</v>
      </c>
      <c r="N32">
        <v>4</v>
      </c>
      <c r="O32" t="s">
        <v>26</v>
      </c>
      <c r="P32">
        <v>37709</v>
      </c>
      <c r="Q32">
        <v>148.595</v>
      </c>
      <c r="R32">
        <v>92.349999999999952</v>
      </c>
      <c r="S32">
        <v>-0.43159414422301268</v>
      </c>
      <c r="T32">
        <v>0.11996745613560141</v>
      </c>
      <c r="U32">
        <v>0.10471493674061511</v>
      </c>
      <c r="V32">
        <v>3.05967213984637E-3</v>
      </c>
      <c r="W32">
        <v>0.1016552646007688</v>
      </c>
    </row>
    <row r="33" spans="1:23" x14ac:dyDescent="0.25">
      <c r="A33">
        <v>3</v>
      </c>
      <c r="B33" t="s">
        <v>30</v>
      </c>
      <c r="C33" t="s">
        <v>29</v>
      </c>
      <c r="D33">
        <v>37808</v>
      </c>
      <c r="E33">
        <v>150.43000000000009</v>
      </c>
      <c r="F33">
        <v>90.46999999999997</v>
      </c>
      <c r="G33">
        <v>150.35478500000011</v>
      </c>
      <c r="H33">
        <v>90.515234999999961</v>
      </c>
      <c r="I33">
        <v>3.534238896480101</v>
      </c>
      <c r="J33">
        <v>0.53007103440598191</v>
      </c>
      <c r="K33">
        <v>-6.6476101841387997E-2</v>
      </c>
      <c r="L33">
        <v>5.8590807384324317E-2</v>
      </c>
      <c r="M33" t="s">
        <v>25</v>
      </c>
      <c r="N33">
        <v>5</v>
      </c>
      <c r="O33" t="s">
        <v>26</v>
      </c>
      <c r="P33">
        <v>37813</v>
      </c>
      <c r="Q33">
        <v>150.18</v>
      </c>
      <c r="R33">
        <v>90.750000000000028</v>
      </c>
      <c r="S33">
        <v>0.47347898063639338</v>
      </c>
      <c r="T33">
        <v>3.30244515279631E-2</v>
      </c>
      <c r="U33">
        <v>1.772384798360228E-2</v>
      </c>
      <c r="V33">
        <v>3.05967213984637E-3</v>
      </c>
      <c r="W33">
        <v>1.466417584375591E-2</v>
      </c>
    </row>
    <row r="34" spans="1:23" x14ac:dyDescent="0.25">
      <c r="A34">
        <v>3</v>
      </c>
      <c r="B34" t="s">
        <v>30</v>
      </c>
      <c r="C34" t="s">
        <v>29</v>
      </c>
      <c r="D34">
        <v>38890</v>
      </c>
      <c r="E34">
        <v>151.72999999999999</v>
      </c>
      <c r="F34">
        <v>89.619999999999976</v>
      </c>
      <c r="G34">
        <v>151.80586500000001</v>
      </c>
      <c r="H34">
        <v>89.575189999999978</v>
      </c>
      <c r="I34">
        <v>-4.1522765630547394</v>
      </c>
      <c r="J34">
        <v>0.53007103440598191</v>
      </c>
      <c r="K34">
        <v>6.5906544519870838E-2</v>
      </c>
      <c r="L34">
        <v>-5.9146511315106232E-2</v>
      </c>
      <c r="M34" t="s">
        <v>27</v>
      </c>
      <c r="N34">
        <v>26</v>
      </c>
      <c r="O34" t="s">
        <v>26</v>
      </c>
      <c r="P34">
        <v>38916</v>
      </c>
      <c r="Q34">
        <v>153.96999999999991</v>
      </c>
      <c r="R34">
        <v>89.21</v>
      </c>
      <c r="S34">
        <v>0.45420739696477302</v>
      </c>
      <c r="T34">
        <v>0.17188072936370191</v>
      </c>
      <c r="U34">
        <v>0.15651832872460189</v>
      </c>
      <c r="V34">
        <v>3.060611997777558E-3</v>
      </c>
      <c r="W34">
        <v>0.1534577167268244</v>
      </c>
    </row>
    <row r="35" spans="1:23" x14ac:dyDescent="0.25">
      <c r="A35">
        <v>3</v>
      </c>
      <c r="B35" t="s">
        <v>30</v>
      </c>
      <c r="C35" t="s">
        <v>29</v>
      </c>
      <c r="D35">
        <v>39280</v>
      </c>
      <c r="E35">
        <v>153.9</v>
      </c>
      <c r="F35">
        <v>88.409999999999982</v>
      </c>
      <c r="G35">
        <v>153.82304999999999</v>
      </c>
      <c r="H35">
        <v>88.454204999999973</v>
      </c>
      <c r="I35">
        <v>4.5836934933923894</v>
      </c>
      <c r="J35">
        <v>0.53007103440598191</v>
      </c>
      <c r="K35">
        <v>-6.4977257959714096E-2</v>
      </c>
      <c r="L35">
        <v>5.9956004344076691E-2</v>
      </c>
      <c r="M35" t="s">
        <v>25</v>
      </c>
      <c r="N35">
        <v>10</v>
      </c>
      <c r="O35" t="s">
        <v>26</v>
      </c>
      <c r="P35">
        <v>39290</v>
      </c>
      <c r="Q35">
        <v>152.245</v>
      </c>
      <c r="R35">
        <v>88.120000000000033</v>
      </c>
      <c r="S35">
        <v>-0.19300578818404709</v>
      </c>
      <c r="T35">
        <v>9.0150120663549535E-2</v>
      </c>
      <c r="U35">
        <v>7.4911872621083064E-2</v>
      </c>
      <c r="V35">
        <v>3.05967213984637E-3</v>
      </c>
      <c r="W35">
        <v>7.1852200481236694E-2</v>
      </c>
    </row>
    <row r="36" spans="1:23" x14ac:dyDescent="0.25">
      <c r="A36">
        <v>4</v>
      </c>
      <c r="B36" t="s">
        <v>31</v>
      </c>
      <c r="C36" t="s">
        <v>30</v>
      </c>
      <c r="D36">
        <v>39601</v>
      </c>
      <c r="E36">
        <v>40.360000000000007</v>
      </c>
      <c r="F36">
        <v>152.6750000000001</v>
      </c>
      <c r="G36">
        <v>40.380180000000003</v>
      </c>
      <c r="H36">
        <v>152.5986625000001</v>
      </c>
      <c r="I36">
        <v>-5.2946487115832603</v>
      </c>
      <c r="J36">
        <v>1.327318274829866</v>
      </c>
      <c r="K36">
        <v>0.24777006937561941</v>
      </c>
      <c r="L36">
        <v>-8.6937499579490082E-2</v>
      </c>
      <c r="M36" t="s">
        <v>27</v>
      </c>
      <c r="N36">
        <v>23</v>
      </c>
      <c r="O36" t="s">
        <v>26</v>
      </c>
      <c r="P36">
        <v>39624</v>
      </c>
      <c r="Q36">
        <v>40.470000000000013</v>
      </c>
      <c r="R36">
        <v>152.94</v>
      </c>
      <c r="S36">
        <v>-0.49144633438328961</v>
      </c>
      <c r="T36">
        <v>4.2162702427592479E-3</v>
      </c>
      <c r="U36">
        <v>-1.9082059078047831E-2</v>
      </c>
      <c r="V36">
        <v>4.6543092313849014E-3</v>
      </c>
      <c r="W36">
        <v>-2.3736368309432741E-2</v>
      </c>
    </row>
    <row r="37" spans="1:23" x14ac:dyDescent="0.25">
      <c r="A37">
        <v>4</v>
      </c>
      <c r="B37" t="s">
        <v>31</v>
      </c>
      <c r="C37" t="s">
        <v>30</v>
      </c>
      <c r="D37">
        <v>39675</v>
      </c>
      <c r="E37">
        <v>40.659999999999997</v>
      </c>
      <c r="F37">
        <v>155.32499999999999</v>
      </c>
      <c r="G37">
        <v>40.680329999999998</v>
      </c>
      <c r="H37">
        <v>155.24733749999999</v>
      </c>
      <c r="I37">
        <v>-3.619321371411421</v>
      </c>
      <c r="J37">
        <v>1.327318274829866</v>
      </c>
      <c r="K37">
        <v>0.2459419576979833</v>
      </c>
      <c r="L37">
        <v>-8.5454258801214558E-2</v>
      </c>
      <c r="M37" t="s">
        <v>27</v>
      </c>
      <c r="N37">
        <v>12</v>
      </c>
      <c r="O37" t="s">
        <v>26</v>
      </c>
      <c r="P37">
        <v>39687</v>
      </c>
      <c r="Q37">
        <v>40.630000000000003</v>
      </c>
      <c r="R37">
        <v>154.83000000000001</v>
      </c>
      <c r="S37">
        <v>-0.48597015130377752</v>
      </c>
      <c r="T37">
        <v>3.4921599375670853E-2</v>
      </c>
      <c r="U37">
        <v>1.1673255685791129E-2</v>
      </c>
      <c r="V37">
        <v>4.6543092313849014E-3</v>
      </c>
      <c r="W37">
        <v>7.0189464544062243E-3</v>
      </c>
    </row>
    <row r="38" spans="1:23" x14ac:dyDescent="0.25">
      <c r="A38">
        <v>4</v>
      </c>
      <c r="B38" t="s">
        <v>31</v>
      </c>
      <c r="C38" t="s">
        <v>30</v>
      </c>
      <c r="D38">
        <v>39866</v>
      </c>
      <c r="E38">
        <v>40.920000000000009</v>
      </c>
      <c r="F38">
        <v>154.8950000000001</v>
      </c>
      <c r="G38">
        <v>40.899540000000009</v>
      </c>
      <c r="H38">
        <v>154.9724475000001</v>
      </c>
      <c r="I38">
        <v>3.51216898980966</v>
      </c>
      <c r="J38">
        <v>1.327318274829866</v>
      </c>
      <c r="K38">
        <v>-0.2443792766373411</v>
      </c>
      <c r="L38">
        <v>8.5691486157065427E-2</v>
      </c>
      <c r="M38" t="s">
        <v>25</v>
      </c>
      <c r="N38">
        <v>24</v>
      </c>
      <c r="O38" t="s">
        <v>26</v>
      </c>
      <c r="P38">
        <v>39890</v>
      </c>
      <c r="Q38">
        <v>40.950000000000003</v>
      </c>
      <c r="R38">
        <v>154.99</v>
      </c>
      <c r="S38">
        <v>0.25517233262125438</v>
      </c>
      <c r="T38">
        <v>8.0931288579990865E-4</v>
      </c>
      <c r="U38">
        <v>-2.247160589724051E-2</v>
      </c>
      <c r="V38">
        <v>4.6549638679345608E-3</v>
      </c>
      <c r="W38">
        <v>-2.7126569765175069E-2</v>
      </c>
    </row>
    <row r="39" spans="1:23" x14ac:dyDescent="0.25">
      <c r="A39">
        <v>4</v>
      </c>
      <c r="B39" t="s">
        <v>31</v>
      </c>
      <c r="C39" t="s">
        <v>30</v>
      </c>
      <c r="D39">
        <v>41084</v>
      </c>
      <c r="E39">
        <v>41.194999999999993</v>
      </c>
      <c r="F39">
        <v>157.06999999999991</v>
      </c>
      <c r="G39">
        <v>41.174402499999992</v>
      </c>
      <c r="H39">
        <v>157.1485349999999</v>
      </c>
      <c r="I39">
        <v>3.5863696828588232</v>
      </c>
      <c r="J39">
        <v>1.327318274829866</v>
      </c>
      <c r="K39">
        <v>-0.2427479062993082</v>
      </c>
      <c r="L39">
        <v>8.4504887937216916E-2</v>
      </c>
      <c r="M39" t="s">
        <v>25</v>
      </c>
      <c r="N39">
        <v>10</v>
      </c>
      <c r="O39" t="s">
        <v>26</v>
      </c>
      <c r="P39">
        <v>41094</v>
      </c>
      <c r="Q39">
        <v>41.225000000000009</v>
      </c>
      <c r="R39">
        <v>157.3600000000001</v>
      </c>
      <c r="S39">
        <v>0.218615312074326</v>
      </c>
      <c r="T39">
        <v>1.7223980312821269E-2</v>
      </c>
      <c r="U39">
        <v>-6.0650968628209274E-3</v>
      </c>
      <c r="V39">
        <v>4.6549638679345608E-3</v>
      </c>
      <c r="W39">
        <v>-1.0720060730755491E-2</v>
      </c>
    </row>
    <row r="40" spans="1:23" x14ac:dyDescent="0.25">
      <c r="A40">
        <v>4</v>
      </c>
      <c r="B40" t="s">
        <v>31</v>
      </c>
      <c r="C40" t="s">
        <v>30</v>
      </c>
      <c r="D40">
        <v>41232</v>
      </c>
      <c r="E40">
        <v>41.25</v>
      </c>
      <c r="F40">
        <v>156.83000000000001</v>
      </c>
      <c r="G40">
        <v>41.229374999999997</v>
      </c>
      <c r="H40">
        <v>156.90841499999999</v>
      </c>
      <c r="I40">
        <v>4.0604075362045551</v>
      </c>
      <c r="J40">
        <v>1.327318274829866</v>
      </c>
      <c r="K40">
        <v>-0.2424242424242424</v>
      </c>
      <c r="L40">
        <v>8.4634207411200993E-2</v>
      </c>
      <c r="M40" t="s">
        <v>25</v>
      </c>
      <c r="N40">
        <v>10</v>
      </c>
      <c r="O40" t="s">
        <v>26</v>
      </c>
      <c r="P40">
        <v>41242</v>
      </c>
      <c r="Q40">
        <v>41.14</v>
      </c>
      <c r="R40">
        <v>156.83000000000001</v>
      </c>
      <c r="S40">
        <v>0.40475351412108229</v>
      </c>
      <c r="T40">
        <v>2.666666666666653E-2</v>
      </c>
      <c r="U40">
        <v>3.406817251706142E-3</v>
      </c>
      <c r="V40">
        <v>4.6549638679345608E-3</v>
      </c>
      <c r="W40">
        <v>-1.2481466162284191E-3</v>
      </c>
    </row>
    <row r="41" spans="1:23" x14ac:dyDescent="0.25">
      <c r="A41">
        <v>4</v>
      </c>
      <c r="B41" t="s">
        <v>31</v>
      </c>
      <c r="C41" t="s">
        <v>30</v>
      </c>
      <c r="D41">
        <v>41621</v>
      </c>
      <c r="E41">
        <v>41.294999999999987</v>
      </c>
      <c r="F41">
        <v>159.61000000000001</v>
      </c>
      <c r="G41">
        <v>41.31564749999999</v>
      </c>
      <c r="H41">
        <v>159.53019499999999</v>
      </c>
      <c r="I41">
        <v>-5.0570829925026546</v>
      </c>
      <c r="J41">
        <v>1.327318274829866</v>
      </c>
      <c r="K41">
        <v>0.242160067804819</v>
      </c>
      <c r="L41">
        <v>-8.3160094908205362E-2</v>
      </c>
      <c r="M41" t="s">
        <v>27</v>
      </c>
      <c r="N41">
        <v>20</v>
      </c>
      <c r="O41" t="s">
        <v>26</v>
      </c>
      <c r="P41">
        <v>41641</v>
      </c>
      <c r="Q41">
        <v>41.79</v>
      </c>
      <c r="R41">
        <v>160.21</v>
      </c>
      <c r="S41">
        <v>-0.38400670096739842</v>
      </c>
      <c r="T41">
        <v>6.9973176618463778E-2</v>
      </c>
      <c r="U41">
        <v>4.6615111224913353E-2</v>
      </c>
      <c r="V41">
        <v>4.6543092313849014E-3</v>
      </c>
      <c r="W41">
        <v>4.1960801993528453E-2</v>
      </c>
    </row>
    <row r="42" spans="1:23" x14ac:dyDescent="0.25">
      <c r="A42">
        <v>4</v>
      </c>
      <c r="B42" t="s">
        <v>31</v>
      </c>
      <c r="C42" t="s">
        <v>30</v>
      </c>
      <c r="D42">
        <v>42010</v>
      </c>
      <c r="E42">
        <v>42.240000000000009</v>
      </c>
      <c r="F42">
        <v>161.70500000000001</v>
      </c>
      <c r="G42">
        <v>42.261120000000012</v>
      </c>
      <c r="H42">
        <v>161.62414749999999</v>
      </c>
      <c r="I42">
        <v>-3.7864319908509931</v>
      </c>
      <c r="J42">
        <v>1.327318274829866</v>
      </c>
      <c r="K42">
        <v>0.2367424242424242</v>
      </c>
      <c r="L42">
        <v>-8.208269842180918E-2</v>
      </c>
      <c r="M42" t="s">
        <v>27</v>
      </c>
      <c r="N42">
        <v>24</v>
      </c>
      <c r="O42" t="s">
        <v>26</v>
      </c>
      <c r="P42">
        <v>42034</v>
      </c>
      <c r="Q42">
        <v>42.45</v>
      </c>
      <c r="R42">
        <v>162.1</v>
      </c>
      <c r="S42">
        <v>-0.3153296010952707</v>
      </c>
      <c r="T42">
        <v>1.7293243214296799E-2</v>
      </c>
      <c r="U42">
        <v>-6.0210088214847149E-3</v>
      </c>
      <c r="V42">
        <v>4.6543092313849014E-3</v>
      </c>
      <c r="W42">
        <v>-1.067531805286962E-2</v>
      </c>
    </row>
    <row r="43" spans="1:23" x14ac:dyDescent="0.25">
      <c r="A43">
        <v>4</v>
      </c>
      <c r="B43" t="s">
        <v>31</v>
      </c>
      <c r="C43" t="s">
        <v>30</v>
      </c>
      <c r="D43">
        <v>42174</v>
      </c>
      <c r="E43">
        <v>42.829999999999991</v>
      </c>
      <c r="F43">
        <v>164.81</v>
      </c>
      <c r="G43">
        <v>42.808584999999987</v>
      </c>
      <c r="H43">
        <v>164.892405</v>
      </c>
      <c r="I43">
        <v>3.757050320476325</v>
      </c>
      <c r="J43">
        <v>1.327318274829866</v>
      </c>
      <c r="K43">
        <v>-0.23348120476301659</v>
      </c>
      <c r="L43">
        <v>8.0536270543648161E-2</v>
      </c>
      <c r="M43" t="s">
        <v>25</v>
      </c>
      <c r="N43">
        <v>17</v>
      </c>
      <c r="O43" t="s">
        <v>26</v>
      </c>
      <c r="P43">
        <v>42191</v>
      </c>
      <c r="Q43">
        <v>42.95000000000001</v>
      </c>
      <c r="R43">
        <v>165.14</v>
      </c>
      <c r="S43">
        <v>0.48018370961946988</v>
      </c>
      <c r="T43">
        <v>-1.4407752921614741E-3</v>
      </c>
      <c r="U43">
        <v>-2.4741255397383779E-2</v>
      </c>
      <c r="V43">
        <v>4.6549638679345617E-3</v>
      </c>
      <c r="W43">
        <v>-2.9396219265318341E-2</v>
      </c>
    </row>
    <row r="44" spans="1:23" x14ac:dyDescent="0.25">
      <c r="A44">
        <v>4</v>
      </c>
      <c r="B44" t="s">
        <v>31</v>
      </c>
      <c r="C44" t="s">
        <v>30</v>
      </c>
      <c r="D44">
        <v>42400</v>
      </c>
      <c r="E44">
        <v>42.64</v>
      </c>
      <c r="F44">
        <v>159.68</v>
      </c>
      <c r="G44">
        <v>42.618679999999998</v>
      </c>
      <c r="H44">
        <v>159.75984</v>
      </c>
      <c r="I44">
        <v>5.2274492783818687</v>
      </c>
      <c r="J44">
        <v>1.327318274829866</v>
      </c>
      <c r="K44">
        <v>-0.2345215759849906</v>
      </c>
      <c r="L44">
        <v>8.312363945577815E-2</v>
      </c>
      <c r="M44" t="s">
        <v>25</v>
      </c>
      <c r="N44">
        <v>21</v>
      </c>
      <c r="O44" t="s">
        <v>26</v>
      </c>
      <c r="P44">
        <v>42421</v>
      </c>
      <c r="Q44">
        <v>42.204999999999991</v>
      </c>
      <c r="R44">
        <v>159.41999999999999</v>
      </c>
      <c r="S44">
        <v>0.42165620351039101</v>
      </c>
      <c r="T44">
        <v>8.0404739294973909E-2</v>
      </c>
      <c r="U44">
        <v>5.7193371062585457E-2</v>
      </c>
      <c r="V44">
        <v>4.6549638679345608E-3</v>
      </c>
      <c r="W44">
        <v>5.2538407194650888E-2</v>
      </c>
    </row>
    <row r="45" spans="1:23" x14ac:dyDescent="0.25">
      <c r="A45">
        <v>4</v>
      </c>
      <c r="B45" t="s">
        <v>31</v>
      </c>
      <c r="C45" t="s">
        <v>30</v>
      </c>
      <c r="D45">
        <v>42484</v>
      </c>
      <c r="E45">
        <v>42.32500000000001</v>
      </c>
      <c r="F45">
        <v>158.72000000000011</v>
      </c>
      <c r="G45">
        <v>42.303837500000007</v>
      </c>
      <c r="H45">
        <v>158.79936000000001</v>
      </c>
      <c r="I45">
        <v>3.5045938079844761</v>
      </c>
      <c r="J45">
        <v>1.327318274829866</v>
      </c>
      <c r="K45">
        <v>-0.2362669816893089</v>
      </c>
      <c r="L45">
        <v>8.3626403404099367E-2</v>
      </c>
      <c r="M45" t="s">
        <v>25</v>
      </c>
      <c r="N45">
        <v>21</v>
      </c>
      <c r="O45" t="s">
        <v>26</v>
      </c>
      <c r="P45">
        <v>42505</v>
      </c>
      <c r="Q45">
        <v>42.220000000000013</v>
      </c>
      <c r="R45">
        <v>158.28999999999991</v>
      </c>
      <c r="S45">
        <v>0.41003836456574699</v>
      </c>
      <c r="T45">
        <v>-1.115132038639443E-2</v>
      </c>
      <c r="U45">
        <v>-3.4394119441418368E-2</v>
      </c>
      <c r="V45">
        <v>4.6549638679345608E-3</v>
      </c>
      <c r="W45">
        <v>-3.9049083309352937E-2</v>
      </c>
    </row>
    <row r="46" spans="1:23" x14ac:dyDescent="0.25">
      <c r="A46">
        <v>4</v>
      </c>
      <c r="B46" t="s">
        <v>31</v>
      </c>
      <c r="C46" t="s">
        <v>30</v>
      </c>
      <c r="D46">
        <v>42634</v>
      </c>
      <c r="E46">
        <v>42.38</v>
      </c>
      <c r="F46">
        <v>159.80000000000001</v>
      </c>
      <c r="G46">
        <v>42.40119</v>
      </c>
      <c r="H46">
        <v>159.7201</v>
      </c>
      <c r="I46">
        <v>-3.678608198601748</v>
      </c>
      <c r="J46">
        <v>1.327318274829866</v>
      </c>
      <c r="K46">
        <v>0.23596035865974521</v>
      </c>
      <c r="L46">
        <v>-8.3061218700241926E-2</v>
      </c>
      <c r="M46" t="s">
        <v>27</v>
      </c>
      <c r="N46">
        <v>2</v>
      </c>
      <c r="O46" t="s">
        <v>26</v>
      </c>
      <c r="P46">
        <v>42636</v>
      </c>
      <c r="Q46">
        <v>42.365000000000009</v>
      </c>
      <c r="R46">
        <v>159.36500000000001</v>
      </c>
      <c r="S46">
        <v>-0.24996464561549869</v>
      </c>
      <c r="T46">
        <v>3.2592224754710797E-2</v>
      </c>
      <c r="U46">
        <v>9.3388775241737242E-3</v>
      </c>
      <c r="V46">
        <v>4.6543092313849014E-3</v>
      </c>
      <c r="W46">
        <v>4.6845682927888228E-3</v>
      </c>
    </row>
    <row r="47" spans="1:23" x14ac:dyDescent="0.25">
      <c r="A47">
        <v>4</v>
      </c>
      <c r="B47" t="s">
        <v>31</v>
      </c>
      <c r="C47" t="s">
        <v>30</v>
      </c>
      <c r="D47">
        <v>42792</v>
      </c>
      <c r="E47">
        <v>42.760000000000012</v>
      </c>
      <c r="F47">
        <v>162.30500000000009</v>
      </c>
      <c r="G47">
        <v>42.781380000000013</v>
      </c>
      <c r="H47">
        <v>162.22384750000009</v>
      </c>
      <c r="I47">
        <v>-4.5814628938488573</v>
      </c>
      <c r="J47">
        <v>1.327318274829866</v>
      </c>
      <c r="K47">
        <v>0.2338634237605238</v>
      </c>
      <c r="L47">
        <v>-8.1779259716574654E-2</v>
      </c>
      <c r="M47" t="s">
        <v>27</v>
      </c>
      <c r="N47">
        <v>9</v>
      </c>
      <c r="O47" t="s">
        <v>26</v>
      </c>
      <c r="P47">
        <v>42801</v>
      </c>
      <c r="Q47">
        <v>42.465000000000003</v>
      </c>
      <c r="R47">
        <v>160.35</v>
      </c>
      <c r="S47">
        <v>-0.31642565346587392</v>
      </c>
      <c r="T47">
        <v>9.0888742736554187E-2</v>
      </c>
      <c r="U47">
        <v>6.7729994069633981E-2</v>
      </c>
      <c r="V47">
        <v>4.6543092313849014E-3</v>
      </c>
      <c r="W47">
        <v>6.3075684838249074E-2</v>
      </c>
    </row>
    <row r="48" spans="1:23" x14ac:dyDescent="0.25">
      <c r="A48">
        <v>4</v>
      </c>
      <c r="B48" t="s">
        <v>31</v>
      </c>
      <c r="C48" t="s">
        <v>30</v>
      </c>
      <c r="D48">
        <v>42922</v>
      </c>
      <c r="E48">
        <v>42.784999999999989</v>
      </c>
      <c r="F48">
        <v>161.66</v>
      </c>
      <c r="G48">
        <v>42.763607499999992</v>
      </c>
      <c r="H48">
        <v>161.74082999999999</v>
      </c>
      <c r="I48">
        <v>3.5074614253094212</v>
      </c>
      <c r="J48">
        <v>1.327318274829866</v>
      </c>
      <c r="K48">
        <v>-0.23372677340189321</v>
      </c>
      <c r="L48">
        <v>8.2105547125440159E-2</v>
      </c>
      <c r="M48" t="s">
        <v>25</v>
      </c>
      <c r="N48">
        <v>10</v>
      </c>
      <c r="O48" t="s">
        <v>26</v>
      </c>
      <c r="P48">
        <v>42932</v>
      </c>
      <c r="Q48">
        <v>42.8</v>
      </c>
      <c r="R48">
        <v>161.77999999999989</v>
      </c>
      <c r="S48">
        <v>0.49845525510006661</v>
      </c>
      <c r="T48">
        <v>6.3467640540183336E-3</v>
      </c>
      <c r="U48">
        <v>-1.6933097977905619E-2</v>
      </c>
      <c r="V48">
        <v>4.6549638679345617E-3</v>
      </c>
      <c r="W48">
        <v>-2.1588061845840181E-2</v>
      </c>
    </row>
    <row r="49" spans="1:23" x14ac:dyDescent="0.25">
      <c r="A49">
        <v>4</v>
      </c>
      <c r="B49" t="s">
        <v>31</v>
      </c>
      <c r="C49" t="s">
        <v>30</v>
      </c>
      <c r="D49">
        <v>43244</v>
      </c>
      <c r="E49">
        <v>42.795000000000002</v>
      </c>
      <c r="F49">
        <v>165.2600000000001</v>
      </c>
      <c r="G49">
        <v>42.816397500000001</v>
      </c>
      <c r="H49">
        <v>165.17737000000011</v>
      </c>
      <c r="I49">
        <v>-3.5046394009649848</v>
      </c>
      <c r="J49">
        <v>1.327318274829866</v>
      </c>
      <c r="K49">
        <v>0.23367215796237881</v>
      </c>
      <c r="L49">
        <v>-8.0316971731203252E-2</v>
      </c>
      <c r="M49" t="s">
        <v>27</v>
      </c>
      <c r="N49">
        <v>25</v>
      </c>
      <c r="O49" t="s">
        <v>26</v>
      </c>
      <c r="P49">
        <v>43269</v>
      </c>
      <c r="Q49">
        <v>42.87</v>
      </c>
      <c r="R49">
        <v>165.33999999999989</v>
      </c>
      <c r="S49">
        <v>-0.2492264867073101</v>
      </c>
      <c r="T49">
        <v>1.1100054108691561E-2</v>
      </c>
      <c r="U49">
        <v>-1.218510402439683E-2</v>
      </c>
      <c r="V49">
        <v>4.6543092313849014E-3</v>
      </c>
      <c r="W49">
        <v>-1.683941325578173E-2</v>
      </c>
    </row>
    <row r="50" spans="1:23" x14ac:dyDescent="0.25">
      <c r="A50">
        <v>5</v>
      </c>
      <c r="B50" t="s">
        <v>23</v>
      </c>
      <c r="C50" t="s">
        <v>32</v>
      </c>
      <c r="D50">
        <v>43501</v>
      </c>
      <c r="E50">
        <v>137.595</v>
      </c>
      <c r="F50">
        <v>47.914999999999992</v>
      </c>
      <c r="G50">
        <v>137.52620250000001</v>
      </c>
      <c r="H50">
        <v>47.938957499999987</v>
      </c>
      <c r="I50">
        <v>5.2946419644922349</v>
      </c>
      <c r="J50">
        <v>1.1159496913460429</v>
      </c>
      <c r="K50">
        <v>-7.2677059486173173E-2</v>
      </c>
      <c r="L50">
        <v>0.23290194956611571</v>
      </c>
      <c r="M50" t="s">
        <v>25</v>
      </c>
      <c r="N50">
        <v>23</v>
      </c>
      <c r="O50" t="s">
        <v>26</v>
      </c>
      <c r="P50">
        <v>43524</v>
      </c>
      <c r="Q50">
        <v>137.53</v>
      </c>
      <c r="R50">
        <v>47.825000000000003</v>
      </c>
      <c r="S50">
        <v>0.49234117308195458</v>
      </c>
      <c r="T50">
        <v>-1.623716659434846E-2</v>
      </c>
      <c r="U50">
        <v>-3.7383820915640582E-2</v>
      </c>
      <c r="V50">
        <v>4.2320153323834328E-3</v>
      </c>
      <c r="W50">
        <v>-4.1615836248024007E-2</v>
      </c>
    </row>
    <row r="51" spans="1:23" x14ac:dyDescent="0.25">
      <c r="A51">
        <v>5</v>
      </c>
      <c r="B51" t="s">
        <v>23</v>
      </c>
      <c r="C51" t="s">
        <v>32</v>
      </c>
      <c r="D51">
        <v>44351</v>
      </c>
      <c r="E51">
        <v>140.35</v>
      </c>
      <c r="F51">
        <v>49.08</v>
      </c>
      <c r="G51">
        <v>140.420175</v>
      </c>
      <c r="H51">
        <v>49.055459999999997</v>
      </c>
      <c r="I51">
        <v>-3.8214185112220869</v>
      </c>
      <c r="J51">
        <v>1.1159496913460429</v>
      </c>
      <c r="K51">
        <v>7.1250445315283226E-2</v>
      </c>
      <c r="L51">
        <v>-0.22737361274369261</v>
      </c>
      <c r="M51" t="s">
        <v>27</v>
      </c>
      <c r="N51">
        <v>10</v>
      </c>
      <c r="O51" t="s">
        <v>26</v>
      </c>
      <c r="P51">
        <v>44361</v>
      </c>
      <c r="Q51">
        <v>140.01</v>
      </c>
      <c r="R51">
        <v>48.924999999999997</v>
      </c>
      <c r="S51">
        <v>-0.35376291537602611</v>
      </c>
      <c r="T51">
        <v>1.1017758568078091E-2</v>
      </c>
      <c r="U51">
        <v>-1.0112004314688601E-2</v>
      </c>
      <c r="V51">
        <v>4.2317834330007414E-3</v>
      </c>
      <c r="W51">
        <v>-1.4343787747689339E-2</v>
      </c>
    </row>
    <row r="52" spans="1:23" x14ac:dyDescent="0.25">
      <c r="A52">
        <v>5</v>
      </c>
      <c r="B52" t="s">
        <v>23</v>
      </c>
      <c r="C52" t="s">
        <v>32</v>
      </c>
      <c r="D52">
        <v>44560</v>
      </c>
      <c r="E52">
        <v>140.52000000000001</v>
      </c>
      <c r="F52">
        <v>49.364999999999988</v>
      </c>
      <c r="G52">
        <v>140.59026</v>
      </c>
      <c r="H52">
        <v>49.340317499999998</v>
      </c>
      <c r="I52">
        <v>-3.5209409714129061</v>
      </c>
      <c r="J52">
        <v>1.1159496913460429</v>
      </c>
      <c r="K52">
        <v>7.1164247082265875E-2</v>
      </c>
      <c r="L52">
        <v>-0.22606091184969981</v>
      </c>
      <c r="M52" t="s">
        <v>27</v>
      </c>
      <c r="N52">
        <v>18</v>
      </c>
      <c r="O52" t="s">
        <v>26</v>
      </c>
      <c r="P52">
        <v>44578</v>
      </c>
      <c r="Q52">
        <v>140.79</v>
      </c>
      <c r="R52">
        <v>49.45</v>
      </c>
      <c r="S52">
        <v>-0.41357691395746671</v>
      </c>
      <c r="T52">
        <v>-8.3079501377036902E-7</v>
      </c>
      <c r="U52">
        <v>-2.1179542470581181E-2</v>
      </c>
      <c r="V52">
        <v>4.2317834330007414E-3</v>
      </c>
      <c r="W52">
        <v>-2.541132590358192E-2</v>
      </c>
    </row>
    <row r="53" spans="1:23" x14ac:dyDescent="0.25">
      <c r="A53">
        <v>5</v>
      </c>
      <c r="B53" t="s">
        <v>23</v>
      </c>
      <c r="C53" t="s">
        <v>32</v>
      </c>
      <c r="D53">
        <v>45160</v>
      </c>
      <c r="E53">
        <v>141.01</v>
      </c>
      <c r="F53">
        <v>49.909999999999989</v>
      </c>
      <c r="G53">
        <v>141.08050499999999</v>
      </c>
      <c r="H53">
        <v>49.885044999999991</v>
      </c>
      <c r="I53">
        <v>-5.1798712469898112</v>
      </c>
      <c r="J53">
        <v>1.1159496913460429</v>
      </c>
      <c r="K53">
        <v>7.0916956244237994E-2</v>
      </c>
      <c r="L53">
        <v>-0.22359240459748411</v>
      </c>
      <c r="M53" t="s">
        <v>27</v>
      </c>
      <c r="N53">
        <v>19</v>
      </c>
      <c r="O53" t="s">
        <v>26</v>
      </c>
      <c r="P53">
        <v>45179</v>
      </c>
      <c r="Q53">
        <v>139.88</v>
      </c>
      <c r="R53">
        <v>49.765000000000008</v>
      </c>
      <c r="S53">
        <v>-0.2285980322692768</v>
      </c>
      <c r="T53">
        <v>-4.7715261889359067E-2</v>
      </c>
      <c r="U53">
        <v>-6.8818480273207125E-2</v>
      </c>
      <c r="V53">
        <v>4.2317834330007414E-3</v>
      </c>
      <c r="W53">
        <v>-7.305026370620786E-2</v>
      </c>
    </row>
    <row r="54" spans="1:23" x14ac:dyDescent="0.25">
      <c r="A54">
        <v>5</v>
      </c>
      <c r="B54" t="s">
        <v>23</v>
      </c>
      <c r="C54" t="s">
        <v>32</v>
      </c>
      <c r="D54">
        <v>45550</v>
      </c>
      <c r="E54">
        <v>139.31</v>
      </c>
      <c r="F54">
        <v>50.19</v>
      </c>
      <c r="G54">
        <v>139.37965500000001</v>
      </c>
      <c r="H54">
        <v>50.164904999999997</v>
      </c>
      <c r="I54">
        <v>-4.836234579692456</v>
      </c>
      <c r="J54">
        <v>1.1159496913460429</v>
      </c>
      <c r="K54">
        <v>7.1782355896920544E-2</v>
      </c>
      <c r="L54">
        <v>-0.2223450271659779</v>
      </c>
      <c r="M54" t="s">
        <v>27</v>
      </c>
      <c r="N54">
        <v>4</v>
      </c>
      <c r="O54" t="s">
        <v>26</v>
      </c>
      <c r="P54">
        <v>45554</v>
      </c>
      <c r="Q54">
        <v>140.06000000000009</v>
      </c>
      <c r="R54">
        <v>50.05</v>
      </c>
      <c r="S54">
        <v>3.1306515765331762E-3</v>
      </c>
      <c r="T54">
        <v>8.4965070725933567E-2</v>
      </c>
      <c r="U54">
        <v>6.3794219580914482E-2</v>
      </c>
      <c r="V54">
        <v>4.2317834330007414E-3</v>
      </c>
      <c r="W54">
        <v>5.956243614791374E-2</v>
      </c>
    </row>
    <row r="55" spans="1:23" x14ac:dyDescent="0.25">
      <c r="A55">
        <v>5</v>
      </c>
      <c r="B55" t="s">
        <v>23</v>
      </c>
      <c r="C55" t="s">
        <v>32</v>
      </c>
      <c r="D55">
        <v>45917</v>
      </c>
      <c r="E55">
        <v>136.95500000000001</v>
      </c>
      <c r="F55">
        <v>49.439999999999991</v>
      </c>
      <c r="G55">
        <v>137.02347750000001</v>
      </c>
      <c r="H55">
        <v>49.415280000000003</v>
      </c>
      <c r="I55">
        <v>-3.529616848511278</v>
      </c>
      <c r="J55">
        <v>1.1159496913460429</v>
      </c>
      <c r="K55">
        <v>7.3016684312365396E-2</v>
      </c>
      <c r="L55">
        <v>-0.22571797964119</v>
      </c>
      <c r="M55" t="s">
        <v>27</v>
      </c>
      <c r="N55">
        <v>44</v>
      </c>
      <c r="O55" t="s">
        <v>26</v>
      </c>
      <c r="P55">
        <v>45961</v>
      </c>
      <c r="Q55">
        <v>135.49</v>
      </c>
      <c r="R55">
        <v>48.814999999999998</v>
      </c>
      <c r="S55">
        <v>0.37942000310580393</v>
      </c>
      <c r="T55">
        <v>3.4104294758127068E-2</v>
      </c>
      <c r="U55">
        <v>1.306881943456535E-2</v>
      </c>
      <c r="V55">
        <v>4.2317834330007414E-3</v>
      </c>
      <c r="W55">
        <v>8.8370360015646108E-3</v>
      </c>
    </row>
    <row r="56" spans="1:23" x14ac:dyDescent="0.25">
      <c r="A56">
        <v>5</v>
      </c>
      <c r="B56" t="s">
        <v>23</v>
      </c>
      <c r="C56" t="s">
        <v>32</v>
      </c>
      <c r="D56">
        <v>46331</v>
      </c>
      <c r="E56">
        <v>135</v>
      </c>
      <c r="F56">
        <v>49.71</v>
      </c>
      <c r="G56">
        <v>135.0675</v>
      </c>
      <c r="H56">
        <v>49.685145000000013</v>
      </c>
      <c r="I56">
        <v>-5.0362208001742328</v>
      </c>
      <c r="J56">
        <v>1.1159496913460429</v>
      </c>
      <c r="K56">
        <v>7.4074074074074056E-2</v>
      </c>
      <c r="L56">
        <v>-0.2244919918217749</v>
      </c>
      <c r="M56" t="s">
        <v>27</v>
      </c>
      <c r="N56">
        <v>32</v>
      </c>
      <c r="O56" t="s">
        <v>26</v>
      </c>
      <c r="P56">
        <v>46363</v>
      </c>
      <c r="Q56">
        <v>135.035</v>
      </c>
      <c r="R56">
        <v>49.814999999999991</v>
      </c>
      <c r="S56">
        <v>-0.47947128504363851</v>
      </c>
      <c r="T56">
        <v>-2.0979066548693831E-2</v>
      </c>
      <c r="U56">
        <v>-4.2151645588017747E-2</v>
      </c>
      <c r="V56">
        <v>4.2317834330007414E-3</v>
      </c>
      <c r="W56">
        <v>-4.6383429021018489E-2</v>
      </c>
    </row>
    <row r="57" spans="1:23" x14ac:dyDescent="0.25">
      <c r="A57">
        <v>5</v>
      </c>
      <c r="B57" t="s">
        <v>23</v>
      </c>
      <c r="C57" t="s">
        <v>32</v>
      </c>
      <c r="D57">
        <v>47111</v>
      </c>
      <c r="E57">
        <v>136.41499999999999</v>
      </c>
      <c r="F57">
        <v>51.250000000000007</v>
      </c>
      <c r="G57">
        <v>136.34679249999999</v>
      </c>
      <c r="H57">
        <v>51.275625000000012</v>
      </c>
      <c r="I57">
        <v>4.9579070614550993</v>
      </c>
      <c r="J57">
        <v>1.1159496913460429</v>
      </c>
      <c r="K57">
        <v>-7.3305721511563976E-2</v>
      </c>
      <c r="L57">
        <v>0.21774628123825229</v>
      </c>
      <c r="M57" t="s">
        <v>25</v>
      </c>
      <c r="N57">
        <v>15</v>
      </c>
      <c r="O57" t="s">
        <v>26</v>
      </c>
      <c r="P57">
        <v>47126</v>
      </c>
      <c r="Q57">
        <v>137.69999999999999</v>
      </c>
      <c r="R57">
        <v>51.739999999999988</v>
      </c>
      <c r="S57">
        <v>0.35658382390005172</v>
      </c>
      <c r="T57">
        <v>1.2497825664377351E-2</v>
      </c>
      <c r="U57">
        <v>-8.7621180140564914E-3</v>
      </c>
      <c r="V57">
        <v>4.232015332383432E-3</v>
      </c>
      <c r="W57">
        <v>-1.299413334643992E-2</v>
      </c>
    </row>
    <row r="58" spans="1:23" x14ac:dyDescent="0.25">
      <c r="A58">
        <v>6</v>
      </c>
      <c r="B58" t="s">
        <v>23</v>
      </c>
      <c r="C58" t="s">
        <v>32</v>
      </c>
      <c r="D58">
        <v>47401</v>
      </c>
      <c r="E58">
        <v>138.55000000000001</v>
      </c>
      <c r="F58">
        <v>51.635000000000012</v>
      </c>
      <c r="G58">
        <v>138.48072500000001</v>
      </c>
      <c r="H58">
        <v>51.6608175</v>
      </c>
      <c r="I58">
        <v>5.2946454138516126</v>
      </c>
      <c r="J58">
        <v>0.45865236878287818</v>
      </c>
      <c r="K58">
        <v>-7.2176109707686759E-2</v>
      </c>
      <c r="L58">
        <v>8.8825867876997811E-2</v>
      </c>
      <c r="M58" t="s">
        <v>25</v>
      </c>
      <c r="N58">
        <v>23</v>
      </c>
      <c r="O58" t="s">
        <v>26</v>
      </c>
      <c r="P58">
        <v>47424</v>
      </c>
      <c r="Q58">
        <v>138.80999999999989</v>
      </c>
      <c r="R58">
        <v>51.685000000000002</v>
      </c>
      <c r="S58">
        <v>0.49207474379560562</v>
      </c>
      <c r="T58">
        <v>-1.4324495130146841E-2</v>
      </c>
      <c r="U58">
        <v>-2.8922622358933309E-2</v>
      </c>
      <c r="V58">
        <v>2.9167633899345388E-3</v>
      </c>
      <c r="W58">
        <v>-3.1839385748867848E-2</v>
      </c>
    </row>
    <row r="59" spans="1:23" x14ac:dyDescent="0.25">
      <c r="A59">
        <v>6</v>
      </c>
      <c r="B59" t="s">
        <v>23</v>
      </c>
      <c r="C59" t="s">
        <v>32</v>
      </c>
      <c r="D59">
        <v>47891</v>
      </c>
      <c r="E59">
        <v>139.715</v>
      </c>
      <c r="F59">
        <v>52.11999999999999</v>
      </c>
      <c r="G59">
        <v>139.64514249999999</v>
      </c>
      <c r="H59">
        <v>52.146059999999977</v>
      </c>
      <c r="I59">
        <v>4.4170928965408347</v>
      </c>
      <c r="J59">
        <v>0.45865236878287818</v>
      </c>
      <c r="K59">
        <v>-7.1574276205131862E-2</v>
      </c>
      <c r="L59">
        <v>8.7999303296791689E-2</v>
      </c>
      <c r="M59" t="s">
        <v>25</v>
      </c>
      <c r="N59">
        <v>15</v>
      </c>
      <c r="O59" t="s">
        <v>26</v>
      </c>
      <c r="P59">
        <v>47906</v>
      </c>
      <c r="Q59">
        <v>139.36000000000001</v>
      </c>
      <c r="R59">
        <v>51.965000000000003</v>
      </c>
      <c r="S59">
        <v>0.27610536928058682</v>
      </c>
      <c r="T59">
        <v>1.176897604182155E-2</v>
      </c>
      <c r="U59">
        <v>-2.7980232659737922E-3</v>
      </c>
      <c r="V59">
        <v>2.9167633899345388E-3</v>
      </c>
      <c r="W59">
        <v>-5.7147866559083306E-3</v>
      </c>
    </row>
    <row r="60" spans="1:23" x14ac:dyDescent="0.25">
      <c r="A60">
        <v>6</v>
      </c>
      <c r="B60" t="s">
        <v>23</v>
      </c>
      <c r="C60" t="s">
        <v>32</v>
      </c>
      <c r="D60">
        <v>48281</v>
      </c>
      <c r="E60">
        <v>140.75</v>
      </c>
      <c r="F60">
        <v>52.070000000000007</v>
      </c>
      <c r="G60">
        <v>140.67962499999999</v>
      </c>
      <c r="H60">
        <v>52.096035000000008</v>
      </c>
      <c r="I60">
        <v>4.9926565418277384</v>
      </c>
      <c r="J60">
        <v>0.45865236878287818</v>
      </c>
      <c r="K60">
        <v>-7.1047957371225573E-2</v>
      </c>
      <c r="L60">
        <v>8.8083804260203222E-2</v>
      </c>
      <c r="M60" t="s">
        <v>25</v>
      </c>
      <c r="N60">
        <v>9</v>
      </c>
      <c r="O60" t="s">
        <v>26</v>
      </c>
      <c r="P60">
        <v>48290</v>
      </c>
      <c r="Q60">
        <v>140.035</v>
      </c>
      <c r="R60">
        <v>51.94</v>
      </c>
      <c r="S60">
        <v>0.32760767843015731</v>
      </c>
      <c r="T60">
        <v>3.9348394966599878E-2</v>
      </c>
      <c r="U60">
        <v>2.479299637080945E-2</v>
      </c>
      <c r="V60">
        <v>2.9167633899345401E-3</v>
      </c>
      <c r="W60">
        <v>2.1876232980874911E-2</v>
      </c>
    </row>
    <row r="61" spans="1:23" x14ac:dyDescent="0.25">
      <c r="A61">
        <v>6</v>
      </c>
      <c r="B61" t="s">
        <v>23</v>
      </c>
      <c r="C61" t="s">
        <v>32</v>
      </c>
      <c r="D61">
        <v>48671</v>
      </c>
      <c r="E61">
        <v>139.22000000000011</v>
      </c>
      <c r="F61">
        <v>51.489999999999988</v>
      </c>
      <c r="G61">
        <v>139.28961000000001</v>
      </c>
      <c r="H61">
        <v>51.464254999999987</v>
      </c>
      <c r="I61">
        <v>-3.5709240997467782</v>
      </c>
      <c r="J61">
        <v>0.45865236878287818</v>
      </c>
      <c r="K61">
        <v>7.182876023559831E-2</v>
      </c>
      <c r="L61">
        <v>-8.9076008697393336E-2</v>
      </c>
      <c r="M61" t="s">
        <v>27</v>
      </c>
      <c r="N61">
        <v>11</v>
      </c>
      <c r="O61" t="s">
        <v>26</v>
      </c>
      <c r="P61">
        <v>48682</v>
      </c>
      <c r="Q61">
        <v>139.77000000000001</v>
      </c>
      <c r="R61">
        <v>51.52000000000001</v>
      </c>
      <c r="S61">
        <v>-0.40259270169092298</v>
      </c>
      <c r="T61">
        <v>3.6833537868652642E-2</v>
      </c>
      <c r="U61">
        <v>2.2225925131629978E-2</v>
      </c>
      <c r="V61">
        <v>2.9178460851969732E-3</v>
      </c>
      <c r="W61">
        <v>1.9308079046433009E-2</v>
      </c>
    </row>
    <row r="62" spans="1:23" x14ac:dyDescent="0.25">
      <c r="A62">
        <v>6</v>
      </c>
      <c r="B62" t="s">
        <v>23</v>
      </c>
      <c r="C62" t="s">
        <v>32</v>
      </c>
      <c r="D62">
        <v>48950</v>
      </c>
      <c r="E62">
        <v>139.49999999999989</v>
      </c>
      <c r="F62">
        <v>51.814999999999998</v>
      </c>
      <c r="G62">
        <v>139.56974999999991</v>
      </c>
      <c r="H62">
        <v>51.78909250000001</v>
      </c>
      <c r="I62">
        <v>-3.9985212205911629</v>
      </c>
      <c r="J62">
        <v>0.45865236878287818</v>
      </c>
      <c r="K62">
        <v>7.1684587813620096E-2</v>
      </c>
      <c r="L62">
        <v>-8.8517295914865998E-2</v>
      </c>
      <c r="M62" t="s">
        <v>27</v>
      </c>
      <c r="N62">
        <v>53</v>
      </c>
      <c r="O62" t="s">
        <v>26</v>
      </c>
      <c r="P62">
        <v>49003</v>
      </c>
      <c r="Q62">
        <v>139.3300000000001</v>
      </c>
      <c r="R62">
        <v>51.98</v>
      </c>
      <c r="S62">
        <v>-0.4136405248084889</v>
      </c>
      <c r="T62">
        <v>-2.679173375425856E-2</v>
      </c>
      <c r="U62">
        <v>-4.1379466929034707E-2</v>
      </c>
      <c r="V62">
        <v>2.917846085196974E-3</v>
      </c>
      <c r="W62">
        <v>-4.429731301423169E-2</v>
      </c>
    </row>
    <row r="63" spans="1:23" x14ac:dyDescent="0.25">
      <c r="A63">
        <v>6</v>
      </c>
      <c r="B63" t="s">
        <v>23</v>
      </c>
      <c r="C63" t="s">
        <v>32</v>
      </c>
      <c r="D63">
        <v>49061</v>
      </c>
      <c r="E63">
        <v>140.02000000000001</v>
      </c>
      <c r="F63">
        <v>51.920000000000009</v>
      </c>
      <c r="G63">
        <v>139.94999000000001</v>
      </c>
      <c r="H63">
        <v>51.945960000000007</v>
      </c>
      <c r="I63">
        <v>4.2925774353338149</v>
      </c>
      <c r="J63">
        <v>0.45865236878287818</v>
      </c>
      <c r="K63">
        <v>-7.1418368804456484E-2</v>
      </c>
      <c r="L63">
        <v>8.8338283663882536E-2</v>
      </c>
      <c r="M63" t="s">
        <v>25</v>
      </c>
      <c r="N63">
        <v>2</v>
      </c>
      <c r="O63" t="s">
        <v>26</v>
      </c>
      <c r="P63">
        <v>49063</v>
      </c>
      <c r="Q63">
        <v>139.31999999999991</v>
      </c>
      <c r="R63">
        <v>51.889999999999993</v>
      </c>
      <c r="S63">
        <v>-9.6619164379646988E-2</v>
      </c>
      <c r="T63">
        <v>4.7342709653209011E-2</v>
      </c>
      <c r="U63">
        <v>3.2782507468717283E-2</v>
      </c>
      <c r="V63">
        <v>2.9167633899345388E-3</v>
      </c>
      <c r="W63">
        <v>2.986574407878274E-2</v>
      </c>
    </row>
    <row r="64" spans="1:23" x14ac:dyDescent="0.25">
      <c r="A64">
        <v>6</v>
      </c>
      <c r="B64" t="s">
        <v>23</v>
      </c>
      <c r="C64" t="s">
        <v>32</v>
      </c>
      <c r="D64">
        <v>50233</v>
      </c>
      <c r="E64">
        <v>138.96</v>
      </c>
      <c r="F64">
        <v>51.02000000000001</v>
      </c>
      <c r="G64">
        <v>138.89052000000001</v>
      </c>
      <c r="H64">
        <v>51.045510000000007</v>
      </c>
      <c r="I64">
        <v>5.100744966733334</v>
      </c>
      <c r="J64">
        <v>0.45865236878287818</v>
      </c>
      <c r="K64">
        <v>-7.1963154864709292E-2</v>
      </c>
      <c r="L64">
        <v>8.9896583454111736E-2</v>
      </c>
      <c r="M64" t="s">
        <v>25</v>
      </c>
      <c r="N64">
        <v>22</v>
      </c>
      <c r="O64" t="s">
        <v>26</v>
      </c>
      <c r="P64">
        <v>50255</v>
      </c>
      <c r="Q64">
        <v>139.66499999999999</v>
      </c>
      <c r="R64">
        <v>51.36999999999999</v>
      </c>
      <c r="S64">
        <v>0.40572635982445499</v>
      </c>
      <c r="T64">
        <v>-1.9270219970685679E-2</v>
      </c>
      <c r="U64">
        <v>-3.3897842572707247E-2</v>
      </c>
      <c r="V64">
        <v>2.9167633899345388E-3</v>
      </c>
      <c r="W64">
        <v>-3.6814605962641793E-2</v>
      </c>
    </row>
    <row r="65" spans="1:23" x14ac:dyDescent="0.25">
      <c r="A65">
        <v>9</v>
      </c>
      <c r="B65" t="s">
        <v>33</v>
      </c>
      <c r="C65" t="s">
        <v>24</v>
      </c>
      <c r="D65">
        <v>59101</v>
      </c>
      <c r="E65">
        <v>32.494999999999997</v>
      </c>
      <c r="F65">
        <v>45.32500000000001</v>
      </c>
      <c r="G65">
        <v>32.511247500000003</v>
      </c>
      <c r="H65">
        <v>45.302337500000007</v>
      </c>
      <c r="I65">
        <v>-5.2946393252693902</v>
      </c>
      <c r="J65">
        <v>0.71217966780612751</v>
      </c>
      <c r="K65">
        <v>0.30773965225419297</v>
      </c>
      <c r="L65">
        <v>-0.15712733983588029</v>
      </c>
      <c r="M65" t="s">
        <v>27</v>
      </c>
      <c r="N65">
        <v>23</v>
      </c>
      <c r="O65" t="s">
        <v>26</v>
      </c>
      <c r="P65">
        <v>59124</v>
      </c>
      <c r="Q65">
        <v>32.534999999999989</v>
      </c>
      <c r="R65">
        <v>45.31</v>
      </c>
      <c r="S65">
        <v>-0.49156318864996162</v>
      </c>
      <c r="T65">
        <v>1.4666496187704679E-2</v>
      </c>
      <c r="U65">
        <v>-2.460276828351194E-3</v>
      </c>
      <c r="V65">
        <v>3.424647155944449E-3</v>
      </c>
      <c r="W65">
        <v>-5.8849239842956426E-3</v>
      </c>
    </row>
    <row r="66" spans="1:23" x14ac:dyDescent="0.25">
      <c r="A66">
        <v>9</v>
      </c>
      <c r="B66" t="s">
        <v>33</v>
      </c>
      <c r="C66" t="s">
        <v>24</v>
      </c>
      <c r="D66">
        <v>59602</v>
      </c>
      <c r="E66">
        <v>30.065000000000001</v>
      </c>
      <c r="F66">
        <v>40.78</v>
      </c>
      <c r="G66">
        <v>30.049967500000001</v>
      </c>
      <c r="H66">
        <v>40.80039</v>
      </c>
      <c r="I66">
        <v>4.3597412801789126</v>
      </c>
      <c r="J66">
        <v>0.71217966780612751</v>
      </c>
      <c r="K66">
        <v>-0.3326126725428239</v>
      </c>
      <c r="L66">
        <v>0.1746394477209729</v>
      </c>
      <c r="M66" t="s">
        <v>25</v>
      </c>
      <c r="N66">
        <v>8</v>
      </c>
      <c r="O66" t="s">
        <v>26</v>
      </c>
      <c r="P66">
        <v>59610</v>
      </c>
      <c r="Q66">
        <v>29.474999999999991</v>
      </c>
      <c r="R66">
        <v>40.215000000000003</v>
      </c>
      <c r="S66">
        <v>-0.2167385189171937</v>
      </c>
      <c r="T66">
        <v>9.7570188837919111E-2</v>
      </c>
      <c r="U66">
        <v>8.0595848542241721E-2</v>
      </c>
      <c r="V66">
        <v>3.424071515280062E-3</v>
      </c>
      <c r="W66">
        <v>7.7171777026961666E-2</v>
      </c>
    </row>
    <row r="67" spans="1:23" x14ac:dyDescent="0.25">
      <c r="A67">
        <v>9</v>
      </c>
      <c r="B67" t="s">
        <v>33</v>
      </c>
      <c r="C67" t="s">
        <v>24</v>
      </c>
      <c r="D67">
        <v>59877</v>
      </c>
      <c r="E67">
        <v>30.265000000000001</v>
      </c>
      <c r="F67">
        <v>40.46</v>
      </c>
      <c r="G67">
        <v>30.249867500000001</v>
      </c>
      <c r="H67">
        <v>40.480229999999999</v>
      </c>
      <c r="I67">
        <v>3.753279114180565</v>
      </c>
      <c r="J67">
        <v>0.71217966780612751</v>
      </c>
      <c r="K67">
        <v>-0.33041467041136618</v>
      </c>
      <c r="L67">
        <v>0.17602067914140571</v>
      </c>
      <c r="M67" t="s">
        <v>25</v>
      </c>
      <c r="N67">
        <v>6</v>
      </c>
      <c r="O67" t="s">
        <v>26</v>
      </c>
      <c r="P67">
        <v>59883</v>
      </c>
      <c r="Q67">
        <v>30.2</v>
      </c>
      <c r="R67">
        <v>40.554999999999993</v>
      </c>
      <c r="S67">
        <v>0.22285079047124509</v>
      </c>
      <c r="T67">
        <v>3.8198918095173673E-2</v>
      </c>
      <c r="U67">
        <v>2.1079498911643169E-2</v>
      </c>
      <c r="V67">
        <v>3.4240715152800611E-3</v>
      </c>
      <c r="W67">
        <v>1.765542739636311E-2</v>
      </c>
    </row>
    <row r="68" spans="1:23" x14ac:dyDescent="0.25">
      <c r="A68">
        <v>9</v>
      </c>
      <c r="B68" t="s">
        <v>33</v>
      </c>
      <c r="C68" t="s">
        <v>24</v>
      </c>
      <c r="D68">
        <v>59992</v>
      </c>
      <c r="E68">
        <v>28.78</v>
      </c>
      <c r="F68">
        <v>40.630000000000003</v>
      </c>
      <c r="G68">
        <v>28.79439</v>
      </c>
      <c r="H68">
        <v>40.609685000000013</v>
      </c>
      <c r="I68">
        <v>-5.2461463013025051</v>
      </c>
      <c r="J68">
        <v>0.71217966780612751</v>
      </c>
      <c r="K68">
        <v>0.34746351633078532</v>
      </c>
      <c r="L68">
        <v>-0.17528419094416131</v>
      </c>
      <c r="M68" t="s">
        <v>27</v>
      </c>
      <c r="N68">
        <v>6</v>
      </c>
      <c r="O68" t="s">
        <v>26</v>
      </c>
      <c r="P68">
        <v>59998</v>
      </c>
      <c r="Q68">
        <v>28.574999999999999</v>
      </c>
      <c r="R68">
        <v>37.64500000000001</v>
      </c>
      <c r="S68">
        <v>0.28305722064000788</v>
      </c>
      <c r="T68">
        <v>0.45199328912050979</v>
      </c>
      <c r="U68">
        <v>0.43516871910785848</v>
      </c>
      <c r="V68">
        <v>3.424647155944449E-3</v>
      </c>
      <c r="W68">
        <v>0.43174407195191411</v>
      </c>
    </row>
    <row r="69" spans="1:23" x14ac:dyDescent="0.25">
      <c r="A69">
        <v>9</v>
      </c>
      <c r="B69" t="s">
        <v>33</v>
      </c>
      <c r="C69" t="s">
        <v>24</v>
      </c>
      <c r="D69">
        <v>60390</v>
      </c>
      <c r="E69">
        <v>29.855000000000011</v>
      </c>
      <c r="F69">
        <v>38.439999999999991</v>
      </c>
      <c r="G69">
        <v>29.840072500000009</v>
      </c>
      <c r="H69">
        <v>38.459219999999988</v>
      </c>
      <c r="I69">
        <v>4.260208470781869</v>
      </c>
      <c r="J69">
        <v>0.71217966780612751</v>
      </c>
      <c r="K69">
        <v>-0.33495226930162442</v>
      </c>
      <c r="L69">
        <v>0.18527046509004361</v>
      </c>
      <c r="M69" t="s">
        <v>25</v>
      </c>
      <c r="N69">
        <v>2</v>
      </c>
      <c r="O69" t="s">
        <v>26</v>
      </c>
      <c r="P69">
        <v>60392</v>
      </c>
      <c r="Q69">
        <v>29.715</v>
      </c>
      <c r="R69">
        <v>38.630000000000003</v>
      </c>
      <c r="S69">
        <v>-0.15234855615916071</v>
      </c>
      <c r="T69">
        <v>8.2094706069339163E-2</v>
      </c>
      <c r="U69">
        <v>6.4978755355947257E-2</v>
      </c>
      <c r="V69">
        <v>3.4240715152800611E-3</v>
      </c>
      <c r="W69">
        <v>6.1554683840667188E-2</v>
      </c>
    </row>
    <row r="70" spans="1:23" x14ac:dyDescent="0.25">
      <c r="A70">
        <v>9</v>
      </c>
      <c r="B70" t="s">
        <v>33</v>
      </c>
      <c r="C70" t="s">
        <v>24</v>
      </c>
      <c r="D70">
        <v>61563</v>
      </c>
      <c r="E70">
        <v>28.484999999999999</v>
      </c>
      <c r="F70">
        <v>35.299999999999997</v>
      </c>
      <c r="G70">
        <v>28.470757500000001</v>
      </c>
      <c r="H70">
        <v>35.317649999999993</v>
      </c>
      <c r="I70">
        <v>3.8740131915724549</v>
      </c>
      <c r="J70">
        <v>0.71217966780612751</v>
      </c>
      <c r="K70">
        <v>-0.35106196243637</v>
      </c>
      <c r="L70">
        <v>0.20175061410938461</v>
      </c>
      <c r="M70" t="s">
        <v>25</v>
      </c>
      <c r="N70">
        <v>22</v>
      </c>
      <c r="O70" t="s">
        <v>26</v>
      </c>
      <c r="P70">
        <v>61585</v>
      </c>
      <c r="Q70">
        <v>28.12</v>
      </c>
      <c r="R70">
        <v>34.539999999999992</v>
      </c>
      <c r="S70">
        <v>0.39764978695563391</v>
      </c>
      <c r="T70">
        <v>-2.5192850433856301E-2</v>
      </c>
      <c r="U70">
        <v>-4.21739130704082E-2</v>
      </c>
      <c r="V70">
        <v>3.4240715152800611E-3</v>
      </c>
      <c r="W70">
        <v>-4.5597984585688263E-2</v>
      </c>
    </row>
    <row r="71" spans="1:23" x14ac:dyDescent="0.25">
      <c r="A71">
        <v>9</v>
      </c>
      <c r="B71" t="s">
        <v>33</v>
      </c>
      <c r="C71" t="s">
        <v>24</v>
      </c>
      <c r="D71">
        <v>61953</v>
      </c>
      <c r="E71">
        <v>27.82</v>
      </c>
      <c r="F71">
        <v>34.94</v>
      </c>
      <c r="G71">
        <v>27.833909999999999</v>
      </c>
      <c r="H71">
        <v>34.922530000000009</v>
      </c>
      <c r="I71">
        <v>-4.8774214008696379</v>
      </c>
      <c r="J71">
        <v>0.71217966780612751</v>
      </c>
      <c r="K71">
        <v>0.35945363048166779</v>
      </c>
      <c r="L71">
        <v>-0.2038293267905345</v>
      </c>
      <c r="M71" t="s">
        <v>27</v>
      </c>
      <c r="N71">
        <v>47</v>
      </c>
      <c r="O71" t="s">
        <v>26</v>
      </c>
      <c r="P71">
        <v>62000</v>
      </c>
      <c r="Q71">
        <v>28.245000000000001</v>
      </c>
      <c r="R71">
        <v>35.11</v>
      </c>
      <c r="S71">
        <v>-0.24594805159207911</v>
      </c>
      <c r="T71">
        <v>0.1181168074003168</v>
      </c>
      <c r="U71">
        <v>0.1009013013330021</v>
      </c>
      <c r="V71">
        <v>3.424647155944449E-3</v>
      </c>
      <c r="W71">
        <v>9.7476654177057614E-2</v>
      </c>
    </row>
    <row r="72" spans="1:23" x14ac:dyDescent="0.25">
      <c r="A72">
        <v>9</v>
      </c>
      <c r="B72" t="s">
        <v>33</v>
      </c>
      <c r="C72" t="s">
        <v>24</v>
      </c>
      <c r="D72">
        <v>62279</v>
      </c>
      <c r="E72">
        <v>27.739999999999991</v>
      </c>
      <c r="F72">
        <v>34.615000000000002</v>
      </c>
      <c r="G72">
        <v>27.726129999999991</v>
      </c>
      <c r="H72">
        <v>34.632307500000003</v>
      </c>
      <c r="I72">
        <v>3.579292933500636</v>
      </c>
      <c r="J72">
        <v>0.71217966780612751</v>
      </c>
      <c r="K72">
        <v>-0.3604902667627975</v>
      </c>
      <c r="L72">
        <v>0.20574307895598079</v>
      </c>
      <c r="M72" t="s">
        <v>25</v>
      </c>
      <c r="N72">
        <v>14</v>
      </c>
      <c r="O72" t="s">
        <v>26</v>
      </c>
      <c r="P72">
        <v>62293</v>
      </c>
      <c r="Q72">
        <v>27.695</v>
      </c>
      <c r="R72">
        <v>34.570000000000007</v>
      </c>
      <c r="S72">
        <v>0.31838346827004738</v>
      </c>
      <c r="T72">
        <v>6.9636234513046347E-3</v>
      </c>
      <c r="U72">
        <v>-1.014543297647637E-2</v>
      </c>
      <c r="V72">
        <v>3.424071515280062E-3</v>
      </c>
      <c r="W72">
        <v>-1.3569504491756441E-2</v>
      </c>
    </row>
    <row r="73" spans="1:23" x14ac:dyDescent="0.25">
      <c r="A73">
        <v>9</v>
      </c>
      <c r="B73" t="s">
        <v>33</v>
      </c>
      <c r="C73" t="s">
        <v>24</v>
      </c>
      <c r="D73">
        <v>62344</v>
      </c>
      <c r="E73">
        <v>28.55</v>
      </c>
      <c r="F73">
        <v>34.445000000000007</v>
      </c>
      <c r="G73">
        <v>28.535724999999999</v>
      </c>
      <c r="H73">
        <v>34.462222500000003</v>
      </c>
      <c r="I73">
        <v>5.0862808774053274</v>
      </c>
      <c r="J73">
        <v>0.71217966780612751</v>
      </c>
      <c r="K73">
        <v>-0.35026269702276708</v>
      </c>
      <c r="L73">
        <v>0.2067585042259043</v>
      </c>
      <c r="M73" t="s">
        <v>25</v>
      </c>
      <c r="N73">
        <v>1</v>
      </c>
      <c r="O73" t="s">
        <v>26</v>
      </c>
      <c r="P73">
        <v>62345</v>
      </c>
      <c r="Q73">
        <v>28.6</v>
      </c>
      <c r="R73">
        <v>35.94</v>
      </c>
      <c r="S73">
        <v>3.027791547125799E-2</v>
      </c>
      <c r="T73">
        <v>0.29159082896658628</v>
      </c>
      <c r="U73">
        <v>0.27430572373919321</v>
      </c>
      <c r="V73">
        <v>3.4240715152800611E-3</v>
      </c>
      <c r="W73">
        <v>0.27088165222391308</v>
      </c>
    </row>
    <row r="74" spans="1:23" x14ac:dyDescent="0.25">
      <c r="A74">
        <v>10</v>
      </c>
      <c r="B74" t="s">
        <v>33</v>
      </c>
      <c r="C74" t="s">
        <v>24</v>
      </c>
      <c r="D74">
        <v>63127</v>
      </c>
      <c r="E74">
        <v>27.99</v>
      </c>
      <c r="F74">
        <v>35.210000000000008</v>
      </c>
      <c r="G74">
        <v>27.976005000000001</v>
      </c>
      <c r="H74">
        <v>35.227604999999997</v>
      </c>
      <c r="I74">
        <v>3.525003979084524</v>
      </c>
      <c r="J74">
        <v>0.7125310261973401</v>
      </c>
      <c r="K74">
        <v>-0.35727045373347632</v>
      </c>
      <c r="L74">
        <v>0.20236609661952279</v>
      </c>
      <c r="M74" t="s">
        <v>25</v>
      </c>
      <c r="N74">
        <v>7</v>
      </c>
      <c r="O74" t="s">
        <v>26</v>
      </c>
      <c r="P74">
        <v>63134</v>
      </c>
      <c r="Q74">
        <v>28.024999999999999</v>
      </c>
      <c r="R74">
        <v>35.52000000000001</v>
      </c>
      <c r="S74">
        <v>4.5576285842169606E-3</v>
      </c>
      <c r="T74">
        <v>5.0229024071379552E-2</v>
      </c>
      <c r="U74">
        <v>3.3066094831492372E-2</v>
      </c>
      <c r="V74">
        <v>3.4247745834208769E-3</v>
      </c>
      <c r="W74">
        <v>2.9641320248071489E-2</v>
      </c>
    </row>
    <row r="75" spans="1:23" x14ac:dyDescent="0.25">
      <c r="A75">
        <v>10</v>
      </c>
      <c r="B75" t="s">
        <v>33</v>
      </c>
      <c r="C75" t="s">
        <v>24</v>
      </c>
      <c r="D75">
        <v>63427</v>
      </c>
      <c r="E75">
        <v>26.954999999999998</v>
      </c>
      <c r="F75">
        <v>35.064999999999991</v>
      </c>
      <c r="G75">
        <v>26.941522500000001</v>
      </c>
      <c r="H75">
        <v>35.082532499999992</v>
      </c>
      <c r="I75">
        <v>3.716481483809484</v>
      </c>
      <c r="J75">
        <v>0.7125310261973401</v>
      </c>
      <c r="K75">
        <v>-0.37098868484511222</v>
      </c>
      <c r="L75">
        <v>0.2032029163545816</v>
      </c>
      <c r="M75" t="s">
        <v>25</v>
      </c>
      <c r="N75">
        <v>17</v>
      </c>
      <c r="O75" t="s">
        <v>26</v>
      </c>
      <c r="P75">
        <v>63444</v>
      </c>
      <c r="Q75">
        <v>26.829999999999991</v>
      </c>
      <c r="R75">
        <v>34.884999999999991</v>
      </c>
      <c r="S75">
        <v>0.35995741141144022</v>
      </c>
      <c r="T75">
        <v>9.7970606618170419E-3</v>
      </c>
      <c r="U75">
        <v>-7.2867745448804769E-3</v>
      </c>
      <c r="V75">
        <v>3.4247745834208778E-3</v>
      </c>
      <c r="W75">
        <v>-1.0711549128301349E-2</v>
      </c>
    </row>
    <row r="76" spans="1:23" x14ac:dyDescent="0.25">
      <c r="A76">
        <v>10</v>
      </c>
      <c r="B76" t="s">
        <v>33</v>
      </c>
      <c r="C76" t="s">
        <v>24</v>
      </c>
      <c r="D76">
        <v>63517</v>
      </c>
      <c r="E76">
        <v>26.545000000000002</v>
      </c>
      <c r="F76">
        <v>34.46</v>
      </c>
      <c r="G76">
        <v>26.558272500000001</v>
      </c>
      <c r="H76">
        <v>34.442770000000003</v>
      </c>
      <c r="I76">
        <v>-3.6528408786473809</v>
      </c>
      <c r="J76">
        <v>0.7125310261973401</v>
      </c>
      <c r="K76">
        <v>0.37671877943115473</v>
      </c>
      <c r="L76">
        <v>-0.2067704661048578</v>
      </c>
      <c r="M76" t="s">
        <v>27</v>
      </c>
      <c r="N76">
        <v>6</v>
      </c>
      <c r="O76" t="s">
        <v>26</v>
      </c>
      <c r="P76">
        <v>63523</v>
      </c>
      <c r="Q76">
        <v>26.774999999999999</v>
      </c>
      <c r="R76">
        <v>34.664999999999999</v>
      </c>
      <c r="S76">
        <v>0.22748619399193021</v>
      </c>
      <c r="T76">
        <v>4.4257373717671571E-2</v>
      </c>
      <c r="U76">
        <v>2.7067546823290791E-2</v>
      </c>
      <c r="V76">
        <v>3.425349521368483E-3</v>
      </c>
      <c r="W76">
        <v>2.364219730192231E-2</v>
      </c>
    </row>
    <row r="77" spans="1:23" x14ac:dyDescent="0.25">
      <c r="A77">
        <v>10</v>
      </c>
      <c r="B77" t="s">
        <v>33</v>
      </c>
      <c r="C77" t="s">
        <v>24</v>
      </c>
      <c r="D77">
        <v>63668</v>
      </c>
      <c r="E77">
        <v>26.954999999999998</v>
      </c>
      <c r="F77">
        <v>34.445000000000007</v>
      </c>
      <c r="G77">
        <v>26.941522500000001</v>
      </c>
      <c r="H77">
        <v>34.462222500000003</v>
      </c>
      <c r="I77">
        <v>3.537747759364434</v>
      </c>
      <c r="J77">
        <v>0.7125310261973401</v>
      </c>
      <c r="K77">
        <v>-0.37098868484511222</v>
      </c>
      <c r="L77">
        <v>0.2068605098555204</v>
      </c>
      <c r="M77" t="s">
        <v>25</v>
      </c>
      <c r="N77">
        <v>18</v>
      </c>
      <c r="O77" t="s">
        <v>26</v>
      </c>
      <c r="P77">
        <v>63686</v>
      </c>
      <c r="Q77">
        <v>26.785</v>
      </c>
      <c r="R77">
        <v>34.21</v>
      </c>
      <c r="S77">
        <v>0.44094169227515301</v>
      </c>
      <c r="T77">
        <v>1.4455856607622389E-2</v>
      </c>
      <c r="U77">
        <v>-2.6136135062286361E-3</v>
      </c>
      <c r="V77">
        <v>3.4247745834208769E-3</v>
      </c>
      <c r="W77">
        <v>-6.0383880896495139E-3</v>
      </c>
    </row>
    <row r="78" spans="1:23" x14ac:dyDescent="0.25">
      <c r="A78">
        <v>10</v>
      </c>
      <c r="B78" t="s">
        <v>33</v>
      </c>
      <c r="C78" t="s">
        <v>24</v>
      </c>
      <c r="D78">
        <v>63907</v>
      </c>
      <c r="E78">
        <v>27.15</v>
      </c>
      <c r="F78">
        <v>36.969999999999992</v>
      </c>
      <c r="G78">
        <v>27.163575000000002</v>
      </c>
      <c r="H78">
        <v>36.951514999999993</v>
      </c>
      <c r="I78">
        <v>-5.2721883740794082</v>
      </c>
      <c r="J78">
        <v>0.7125310261973401</v>
      </c>
      <c r="K78">
        <v>0.36832412523020258</v>
      </c>
      <c r="L78">
        <v>-0.1927322223958183</v>
      </c>
      <c r="M78" t="s">
        <v>27</v>
      </c>
      <c r="N78">
        <v>3</v>
      </c>
      <c r="O78" t="s">
        <v>26</v>
      </c>
      <c r="P78">
        <v>63910</v>
      </c>
      <c r="Q78">
        <v>28.09</v>
      </c>
      <c r="R78">
        <v>36.790000000000013</v>
      </c>
      <c r="S78">
        <v>-0.37133348649306031</v>
      </c>
      <c r="T78">
        <v>0.3809164777476341</v>
      </c>
      <c r="U78">
        <v>0.36363540104681918</v>
      </c>
      <c r="V78">
        <v>3.425349521368483E-3</v>
      </c>
      <c r="W78">
        <v>0.36021005152545083</v>
      </c>
    </row>
    <row r="79" spans="1:23" x14ac:dyDescent="0.25">
      <c r="A79">
        <v>10</v>
      </c>
      <c r="B79" t="s">
        <v>33</v>
      </c>
      <c r="C79" t="s">
        <v>24</v>
      </c>
      <c r="D79">
        <v>65024</v>
      </c>
      <c r="E79">
        <v>28.44</v>
      </c>
      <c r="F79">
        <v>35.880000000000003</v>
      </c>
      <c r="G79">
        <v>28.454219999999999</v>
      </c>
      <c r="H79">
        <v>35.862060000000007</v>
      </c>
      <c r="I79">
        <v>-4.4571503796384766</v>
      </c>
      <c r="J79">
        <v>0.7125310261973401</v>
      </c>
      <c r="K79">
        <v>0.35161744022503522</v>
      </c>
      <c r="L79">
        <v>-0.19858724252991641</v>
      </c>
      <c r="M79" t="s">
        <v>27</v>
      </c>
      <c r="N79">
        <v>5</v>
      </c>
      <c r="O79" t="s">
        <v>26</v>
      </c>
      <c r="P79">
        <v>65029</v>
      </c>
      <c r="Q79">
        <v>28.504999999999999</v>
      </c>
      <c r="R79">
        <v>35.83</v>
      </c>
      <c r="S79">
        <v>-0.3135951572425355</v>
      </c>
      <c r="T79">
        <v>3.2784495741125658E-2</v>
      </c>
      <c r="U79">
        <v>1.5652722593411439E-2</v>
      </c>
      <c r="V79">
        <v>3.425349521368483E-3</v>
      </c>
      <c r="W79">
        <v>1.222737307204296E-2</v>
      </c>
    </row>
    <row r="80" spans="1:23" x14ac:dyDescent="0.25">
      <c r="A80">
        <v>10</v>
      </c>
      <c r="B80" t="s">
        <v>33</v>
      </c>
      <c r="C80" t="s">
        <v>24</v>
      </c>
      <c r="D80">
        <v>65085</v>
      </c>
      <c r="E80">
        <v>28.984999999999999</v>
      </c>
      <c r="F80">
        <v>36.179999999999993</v>
      </c>
      <c r="G80">
        <v>28.9705075</v>
      </c>
      <c r="H80">
        <v>36.198089999999993</v>
      </c>
      <c r="I80">
        <v>4.2128368160534766</v>
      </c>
      <c r="J80">
        <v>0.7125310261973401</v>
      </c>
      <c r="K80">
        <v>-0.34500603760565812</v>
      </c>
      <c r="L80">
        <v>0.19694058214409629</v>
      </c>
      <c r="M80" t="s">
        <v>25</v>
      </c>
      <c r="N80">
        <v>14</v>
      </c>
      <c r="O80" t="s">
        <v>26</v>
      </c>
      <c r="P80">
        <v>65099</v>
      </c>
      <c r="Q80">
        <v>28.94</v>
      </c>
      <c r="R80">
        <v>36.345000000000013</v>
      </c>
      <c r="S80">
        <v>0.30113911755907302</v>
      </c>
      <c r="T80">
        <v>4.802046774603249E-2</v>
      </c>
      <c r="U80">
        <v>3.0886672521878902E-2</v>
      </c>
      <c r="V80">
        <v>3.4247745834208778E-3</v>
      </c>
      <c r="W80">
        <v>2.7461897938458019E-2</v>
      </c>
    </row>
    <row r="81" spans="1:23" x14ac:dyDescent="0.25">
      <c r="A81">
        <v>10</v>
      </c>
      <c r="B81" t="s">
        <v>33</v>
      </c>
      <c r="C81" t="s">
        <v>24</v>
      </c>
      <c r="D81">
        <v>66086</v>
      </c>
      <c r="E81">
        <v>28.51</v>
      </c>
      <c r="F81">
        <v>35.625</v>
      </c>
      <c r="G81">
        <v>28.495744999999999</v>
      </c>
      <c r="H81">
        <v>35.642812499999998</v>
      </c>
      <c r="I81">
        <v>3.9772725663532031</v>
      </c>
      <c r="J81">
        <v>0.7125310261973401</v>
      </c>
      <c r="K81">
        <v>-0.35075412136092599</v>
      </c>
      <c r="L81">
        <v>0.20000870910802529</v>
      </c>
      <c r="M81" t="s">
        <v>25</v>
      </c>
      <c r="N81">
        <v>6</v>
      </c>
      <c r="O81" t="s">
        <v>26</v>
      </c>
      <c r="P81">
        <v>66092</v>
      </c>
      <c r="Q81">
        <v>28.489999999999991</v>
      </c>
      <c r="R81">
        <v>35.69</v>
      </c>
      <c r="S81">
        <v>2.99288405232471E-2</v>
      </c>
      <c r="T81">
        <v>2.0015648519242049E-2</v>
      </c>
      <c r="U81">
        <v>2.8873455154372701E-3</v>
      </c>
      <c r="V81">
        <v>3.4247745834208778E-3</v>
      </c>
      <c r="W81">
        <v>-5.3742906798360818E-4</v>
      </c>
    </row>
    <row r="82" spans="1:23" x14ac:dyDescent="0.25">
      <c r="A82">
        <v>10</v>
      </c>
      <c r="B82" t="s">
        <v>33</v>
      </c>
      <c r="C82" t="s">
        <v>24</v>
      </c>
      <c r="D82">
        <v>66253</v>
      </c>
      <c r="E82">
        <v>28.65</v>
      </c>
      <c r="F82">
        <v>36.149999999999991</v>
      </c>
      <c r="G82">
        <v>28.664325000000002</v>
      </c>
      <c r="H82">
        <v>36.131925000000003</v>
      </c>
      <c r="I82">
        <v>-4.9903909516927971</v>
      </c>
      <c r="J82">
        <v>0.7125310261973401</v>
      </c>
      <c r="K82">
        <v>0.34904013961605579</v>
      </c>
      <c r="L82">
        <v>-0.1971040183118507</v>
      </c>
      <c r="M82" t="s">
        <v>27</v>
      </c>
      <c r="N82">
        <v>7</v>
      </c>
      <c r="O82" t="s">
        <v>26</v>
      </c>
      <c r="P82">
        <v>66260</v>
      </c>
      <c r="Q82">
        <v>28.47000000000001</v>
      </c>
      <c r="R82">
        <v>35.575000000000003</v>
      </c>
      <c r="S82">
        <v>-0.3429110846688368</v>
      </c>
      <c r="T82">
        <v>5.0507585398424593E-2</v>
      </c>
      <c r="U82">
        <v>3.3470356154283051E-2</v>
      </c>
      <c r="V82">
        <v>3.425349521368483E-3</v>
      </c>
      <c r="W82">
        <v>3.0045006632914571E-2</v>
      </c>
    </row>
    <row r="83" spans="1:23" x14ac:dyDescent="0.25">
      <c r="A83">
        <v>11</v>
      </c>
      <c r="B83" t="s">
        <v>33</v>
      </c>
      <c r="C83" t="s">
        <v>24</v>
      </c>
      <c r="D83">
        <v>66901</v>
      </c>
      <c r="E83">
        <v>27.585000000000001</v>
      </c>
      <c r="F83">
        <v>35.009999999999991</v>
      </c>
      <c r="G83">
        <v>27.598792499999991</v>
      </c>
      <c r="H83">
        <v>34.992494999999991</v>
      </c>
      <c r="I83">
        <v>-4.9301635261567904</v>
      </c>
      <c r="J83">
        <v>0.7149194503094275</v>
      </c>
      <c r="K83">
        <v>0.36251586006887798</v>
      </c>
      <c r="L83">
        <v>-0.20420435598669739</v>
      </c>
      <c r="M83" t="s">
        <v>27</v>
      </c>
      <c r="N83">
        <v>27</v>
      </c>
      <c r="O83" t="s">
        <v>26</v>
      </c>
      <c r="P83">
        <v>66928</v>
      </c>
      <c r="Q83">
        <v>27.66</v>
      </c>
      <c r="R83">
        <v>35.094999999999992</v>
      </c>
      <c r="S83">
        <v>-0.21515025845910671</v>
      </c>
      <c r="T83">
        <v>9.8313192462974285E-3</v>
      </c>
      <c r="U83">
        <v>-7.3401482866772604E-3</v>
      </c>
      <c r="V83">
        <v>3.4301239811685459E-3</v>
      </c>
      <c r="W83">
        <v>-1.0770272267845811E-2</v>
      </c>
    </row>
    <row r="84" spans="1:23" x14ac:dyDescent="0.25">
      <c r="A84">
        <v>11</v>
      </c>
      <c r="B84" t="s">
        <v>33</v>
      </c>
      <c r="C84" t="s">
        <v>24</v>
      </c>
      <c r="D84">
        <v>67033</v>
      </c>
      <c r="E84">
        <v>27.645</v>
      </c>
      <c r="F84">
        <v>35.539999999999992</v>
      </c>
      <c r="G84">
        <v>27.658822499999999</v>
      </c>
      <c r="H84">
        <v>35.522229999999993</v>
      </c>
      <c r="I84">
        <v>-5.057924854130774</v>
      </c>
      <c r="J84">
        <v>0.7149194503094275</v>
      </c>
      <c r="K84">
        <v>0.36172906493036722</v>
      </c>
      <c r="L84">
        <v>-0.2011591025068733</v>
      </c>
      <c r="M84" t="s">
        <v>27</v>
      </c>
      <c r="N84">
        <v>17</v>
      </c>
      <c r="O84" t="s">
        <v>26</v>
      </c>
      <c r="P84">
        <v>67050</v>
      </c>
      <c r="Q84">
        <v>27.77</v>
      </c>
      <c r="R84">
        <v>35.549999999999997</v>
      </c>
      <c r="S84">
        <v>-0.19635227278117739</v>
      </c>
      <c r="T84">
        <v>4.3204542091226143E-2</v>
      </c>
      <c r="U84">
        <v>2.603173372606201E-2</v>
      </c>
      <c r="V84">
        <v>3.4301239811685459E-3</v>
      </c>
      <c r="W84">
        <v>2.2601609744893461E-2</v>
      </c>
    </row>
    <row r="85" spans="1:23" x14ac:dyDescent="0.25">
      <c r="A85">
        <v>11</v>
      </c>
      <c r="B85" t="s">
        <v>33</v>
      </c>
      <c r="C85" t="s">
        <v>24</v>
      </c>
      <c r="D85">
        <v>67423</v>
      </c>
      <c r="E85">
        <v>27.7</v>
      </c>
      <c r="F85">
        <v>35.650000000000013</v>
      </c>
      <c r="G85">
        <v>27.71384999999999</v>
      </c>
      <c r="H85">
        <v>35.632175000000011</v>
      </c>
      <c r="I85">
        <v>-4.3903205810532633</v>
      </c>
      <c r="J85">
        <v>0.7149194503094275</v>
      </c>
      <c r="K85">
        <v>0.36101083032490983</v>
      </c>
      <c r="L85">
        <v>-0.20053841523406099</v>
      </c>
      <c r="M85" t="s">
        <v>27</v>
      </c>
      <c r="N85">
        <v>4</v>
      </c>
      <c r="O85" t="s">
        <v>26</v>
      </c>
      <c r="P85">
        <v>67427</v>
      </c>
      <c r="Q85">
        <v>27.77</v>
      </c>
      <c r="R85">
        <v>35.600000000000009</v>
      </c>
      <c r="S85">
        <v>-0.2060860718134129</v>
      </c>
      <c r="T85">
        <v>3.5297678884447549E-2</v>
      </c>
      <c r="U85">
        <v>1.8140862462674889E-2</v>
      </c>
      <c r="V85">
        <v>3.4301239811685459E-3</v>
      </c>
      <c r="W85">
        <v>1.471073848150635E-2</v>
      </c>
    </row>
    <row r="86" spans="1:23" x14ac:dyDescent="0.25">
      <c r="A86">
        <v>11</v>
      </c>
      <c r="B86" t="s">
        <v>33</v>
      </c>
      <c r="C86" t="s">
        <v>24</v>
      </c>
      <c r="D86">
        <v>68593</v>
      </c>
      <c r="E86">
        <v>28.47999999999999</v>
      </c>
      <c r="F86">
        <v>35.130000000000003</v>
      </c>
      <c r="G86">
        <v>28.46576</v>
      </c>
      <c r="H86">
        <v>35.147565</v>
      </c>
      <c r="I86">
        <v>4.4088580273794591</v>
      </c>
      <c r="J86">
        <v>0.7149194503094275</v>
      </c>
      <c r="K86">
        <v>-0.35112359550561811</v>
      </c>
      <c r="L86">
        <v>0.2035068176229512</v>
      </c>
      <c r="M86" t="s">
        <v>25</v>
      </c>
      <c r="N86">
        <v>14</v>
      </c>
      <c r="O86" t="s">
        <v>26</v>
      </c>
      <c r="P86">
        <v>68607</v>
      </c>
      <c r="Q86">
        <v>28.47000000000001</v>
      </c>
      <c r="R86">
        <v>35.219999999999992</v>
      </c>
      <c r="S86">
        <v>0.33304159719952903</v>
      </c>
      <c r="T86">
        <v>2.1826849541115152E-2</v>
      </c>
      <c r="U86">
        <v>4.6702528492074836E-3</v>
      </c>
      <c r="V86">
        <v>3.429553820069165E-3</v>
      </c>
      <c r="W86">
        <v>1.240699029138319E-3</v>
      </c>
    </row>
    <row r="87" spans="1:23" x14ac:dyDescent="0.25">
      <c r="A87">
        <v>11</v>
      </c>
      <c r="B87" t="s">
        <v>33</v>
      </c>
      <c r="C87" t="s">
        <v>24</v>
      </c>
      <c r="D87">
        <v>68979</v>
      </c>
      <c r="E87">
        <v>28.53</v>
      </c>
      <c r="F87">
        <v>35.295000000000002</v>
      </c>
      <c r="G87">
        <v>28.544264999999999</v>
      </c>
      <c r="H87">
        <v>35.277352500000013</v>
      </c>
      <c r="I87">
        <v>-3.5258050640559082</v>
      </c>
      <c r="J87">
        <v>0.7149194503094275</v>
      </c>
      <c r="K87">
        <v>0.3505082369435682</v>
      </c>
      <c r="L87">
        <v>-0.20255544703482861</v>
      </c>
      <c r="M87" t="s">
        <v>27</v>
      </c>
      <c r="N87">
        <v>20</v>
      </c>
      <c r="O87" t="s">
        <v>26</v>
      </c>
      <c r="P87">
        <v>68999</v>
      </c>
      <c r="Q87">
        <v>29.38</v>
      </c>
      <c r="R87">
        <v>35.380000000000003</v>
      </c>
      <c r="S87">
        <v>0.47083414249505351</v>
      </c>
      <c r="T87">
        <v>0.2807147884040731</v>
      </c>
      <c r="U87">
        <v>0.2634080192937821</v>
      </c>
      <c r="V87">
        <v>3.4301239811685459E-3</v>
      </c>
      <c r="W87">
        <v>0.25997789531261362</v>
      </c>
    </row>
    <row r="88" spans="1:23" x14ac:dyDescent="0.25">
      <c r="A88">
        <v>11</v>
      </c>
      <c r="B88" t="s">
        <v>33</v>
      </c>
      <c r="C88" t="s">
        <v>24</v>
      </c>
      <c r="D88">
        <v>69393</v>
      </c>
      <c r="E88">
        <v>29.774999999999999</v>
      </c>
      <c r="F88">
        <v>34.814999999999998</v>
      </c>
      <c r="G88">
        <v>29.760112500000002</v>
      </c>
      <c r="H88">
        <v>34.832407500000002</v>
      </c>
      <c r="I88">
        <v>4.5818776053662509</v>
      </c>
      <c r="J88">
        <v>0.7149194503094275</v>
      </c>
      <c r="K88">
        <v>-0.33585222502099082</v>
      </c>
      <c r="L88">
        <v>0.2053481115350933</v>
      </c>
      <c r="M88" t="s">
        <v>25</v>
      </c>
      <c r="N88">
        <v>26</v>
      </c>
      <c r="O88" t="s">
        <v>26</v>
      </c>
      <c r="P88">
        <v>69419</v>
      </c>
      <c r="Q88">
        <v>29.8</v>
      </c>
      <c r="R88">
        <v>34.515000000000001</v>
      </c>
      <c r="S88">
        <v>0.41273211404049898</v>
      </c>
      <c r="T88">
        <v>-7.0000739086054364E-2</v>
      </c>
      <c r="U88">
        <v>-8.7123329525228499E-2</v>
      </c>
      <c r="V88">
        <v>3.429553820069165E-3</v>
      </c>
      <c r="W88">
        <v>-9.0552883345297666E-2</v>
      </c>
    </row>
    <row r="89" spans="1:23" x14ac:dyDescent="0.25">
      <c r="A89">
        <v>11</v>
      </c>
      <c r="B89" t="s">
        <v>33</v>
      </c>
      <c r="C89" t="s">
        <v>24</v>
      </c>
      <c r="D89">
        <v>69783</v>
      </c>
      <c r="E89">
        <v>30.98</v>
      </c>
      <c r="F89">
        <v>35.61</v>
      </c>
      <c r="G89">
        <v>30.964510000000001</v>
      </c>
      <c r="H89">
        <v>35.627805000000002</v>
      </c>
      <c r="I89">
        <v>5.1089213167564269</v>
      </c>
      <c r="J89">
        <v>0.7149194503094275</v>
      </c>
      <c r="K89">
        <v>-0.32278889606197553</v>
      </c>
      <c r="L89">
        <v>0.2007636760206199</v>
      </c>
      <c r="M89" t="s">
        <v>25</v>
      </c>
      <c r="N89">
        <v>16</v>
      </c>
      <c r="O89" t="s">
        <v>26</v>
      </c>
      <c r="P89">
        <v>69799</v>
      </c>
      <c r="Q89">
        <v>30.87</v>
      </c>
      <c r="R89">
        <v>35.61</v>
      </c>
      <c r="S89">
        <v>0.40184658197542972</v>
      </c>
      <c r="T89">
        <v>3.5506778566815972E-2</v>
      </c>
      <c r="U89">
        <v>1.837533745300805E-2</v>
      </c>
      <c r="V89">
        <v>3.429553820069165E-3</v>
      </c>
      <c r="W89">
        <v>1.4945783632938889E-2</v>
      </c>
    </row>
    <row r="90" spans="1:23" x14ac:dyDescent="0.25">
      <c r="A90">
        <v>11</v>
      </c>
      <c r="B90" t="s">
        <v>33</v>
      </c>
      <c r="C90" t="s">
        <v>24</v>
      </c>
      <c r="D90">
        <v>70194</v>
      </c>
      <c r="E90">
        <v>30.12</v>
      </c>
      <c r="F90">
        <v>35.170000000000009</v>
      </c>
      <c r="G90">
        <v>30.135059999999999</v>
      </c>
      <c r="H90">
        <v>35.152415000000012</v>
      </c>
      <c r="I90">
        <v>-4.7472636219800197</v>
      </c>
      <c r="J90">
        <v>0.7149194503094275</v>
      </c>
      <c r="K90">
        <v>0.33200531208499329</v>
      </c>
      <c r="L90">
        <v>-0.20327536261285961</v>
      </c>
      <c r="M90" t="s">
        <v>27</v>
      </c>
      <c r="N90">
        <v>18</v>
      </c>
      <c r="O90" t="s">
        <v>26</v>
      </c>
      <c r="P90">
        <v>70212</v>
      </c>
      <c r="Q90">
        <v>29.925000000000001</v>
      </c>
      <c r="R90">
        <v>35.329999999999991</v>
      </c>
      <c r="S90">
        <v>-0.42123426433851591</v>
      </c>
      <c r="T90">
        <v>-9.7265093874627756E-2</v>
      </c>
      <c r="U90">
        <v>-0.11439817988880149</v>
      </c>
      <c r="V90">
        <v>3.4301239811685459E-3</v>
      </c>
      <c r="W90">
        <v>-0.11782830386997011</v>
      </c>
    </row>
    <row r="91" spans="1:23" x14ac:dyDescent="0.25">
      <c r="A91">
        <v>11</v>
      </c>
      <c r="B91" t="s">
        <v>33</v>
      </c>
      <c r="C91" t="s">
        <v>24</v>
      </c>
      <c r="D91">
        <v>70584</v>
      </c>
      <c r="E91">
        <v>29.895</v>
      </c>
      <c r="F91">
        <v>34.97999999999999</v>
      </c>
      <c r="G91">
        <v>29.880052500000001</v>
      </c>
      <c r="H91">
        <v>34.997489999999978</v>
      </c>
      <c r="I91">
        <v>5.1261464349730739</v>
      </c>
      <c r="J91">
        <v>0.7149194503094275</v>
      </c>
      <c r="K91">
        <v>-0.33450409767519662</v>
      </c>
      <c r="L91">
        <v>0.20437948836747499</v>
      </c>
      <c r="M91" t="s">
        <v>25</v>
      </c>
      <c r="N91">
        <v>56</v>
      </c>
      <c r="O91" t="s">
        <v>26</v>
      </c>
      <c r="P91">
        <v>70640</v>
      </c>
      <c r="Q91">
        <v>30.05</v>
      </c>
      <c r="R91">
        <v>34.295000000000009</v>
      </c>
      <c r="S91">
        <v>0.29661739677660132</v>
      </c>
      <c r="T91">
        <v>-0.19184808467137471</v>
      </c>
      <c r="U91">
        <v>-0.20895320326727071</v>
      </c>
      <c r="V91">
        <v>3.429553820069165E-3</v>
      </c>
      <c r="W91">
        <v>-0.21238275708733981</v>
      </c>
    </row>
    <row r="92" spans="1:23" x14ac:dyDescent="0.25">
      <c r="A92">
        <v>11</v>
      </c>
      <c r="B92" t="s">
        <v>33</v>
      </c>
      <c r="C92" t="s">
        <v>24</v>
      </c>
      <c r="D92">
        <v>70727</v>
      </c>
      <c r="E92">
        <v>29.984999999999999</v>
      </c>
      <c r="F92">
        <v>34.539999999999992</v>
      </c>
      <c r="G92">
        <v>29.999992499999991</v>
      </c>
      <c r="H92">
        <v>34.522730000000003</v>
      </c>
      <c r="I92">
        <v>-3.599795211660052</v>
      </c>
      <c r="J92">
        <v>0.7149194503094275</v>
      </c>
      <c r="K92">
        <v>0.33350008337502091</v>
      </c>
      <c r="L92">
        <v>-0.20698304872884421</v>
      </c>
      <c r="M92" t="s">
        <v>27</v>
      </c>
      <c r="N92">
        <v>37</v>
      </c>
      <c r="O92" t="s">
        <v>26</v>
      </c>
      <c r="P92">
        <v>70764</v>
      </c>
      <c r="Q92">
        <v>29.88</v>
      </c>
      <c r="R92">
        <v>34.534999999999997</v>
      </c>
      <c r="S92">
        <v>-0.40882003788624183</v>
      </c>
      <c r="T92">
        <v>-3.3982593510735529E-2</v>
      </c>
      <c r="U92">
        <v>-5.1113761801828278E-2</v>
      </c>
      <c r="V92">
        <v>3.4301239811685459E-3</v>
      </c>
      <c r="W92">
        <v>-5.454388578299682E-2</v>
      </c>
    </row>
    <row r="93" spans="1:23" x14ac:dyDescent="0.25">
      <c r="A93">
        <v>12</v>
      </c>
      <c r="B93" t="s">
        <v>33</v>
      </c>
      <c r="C93" t="s">
        <v>24</v>
      </c>
      <c r="D93">
        <v>70801</v>
      </c>
      <c r="E93">
        <v>29.984999999999999</v>
      </c>
      <c r="F93">
        <v>34.775000000000013</v>
      </c>
      <c r="G93">
        <v>29.970007500000001</v>
      </c>
      <c r="H93">
        <v>34.792387499999997</v>
      </c>
      <c r="I93">
        <v>5.2928234480456444</v>
      </c>
      <c r="J93">
        <v>0.66851149499037077</v>
      </c>
      <c r="K93">
        <v>-0.33350008337502091</v>
      </c>
      <c r="L93">
        <v>0.19223910711441289</v>
      </c>
      <c r="M93" t="s">
        <v>25</v>
      </c>
      <c r="N93">
        <v>23</v>
      </c>
      <c r="O93" t="s">
        <v>26</v>
      </c>
      <c r="P93">
        <v>70824</v>
      </c>
      <c r="Q93">
        <v>29.984999999999999</v>
      </c>
      <c r="R93">
        <v>34.685000000000002</v>
      </c>
      <c r="S93">
        <v>0.49530396313304698</v>
      </c>
      <c r="T93">
        <v>-1.730151964029918E-2</v>
      </c>
      <c r="U93">
        <v>-3.3977983830380788E-2</v>
      </c>
      <c r="V93">
        <v>3.336691501475733E-3</v>
      </c>
      <c r="W93">
        <v>-3.731467533185652E-2</v>
      </c>
    </row>
    <row r="94" spans="1:23" x14ac:dyDescent="0.25">
      <c r="A94">
        <v>12</v>
      </c>
      <c r="B94" t="s">
        <v>33</v>
      </c>
      <c r="C94" t="s">
        <v>24</v>
      </c>
      <c r="D94">
        <v>70974</v>
      </c>
      <c r="E94">
        <v>29.6</v>
      </c>
      <c r="F94">
        <v>34.020000000000003</v>
      </c>
      <c r="G94">
        <v>29.5852</v>
      </c>
      <c r="H94">
        <v>34.037010000000002</v>
      </c>
      <c r="I94">
        <v>3.929769728415879</v>
      </c>
      <c r="J94">
        <v>0.66851149499037077</v>
      </c>
      <c r="K94">
        <v>-0.33783783783783788</v>
      </c>
      <c r="L94">
        <v>0.19650543650510599</v>
      </c>
      <c r="M94" t="s">
        <v>25</v>
      </c>
      <c r="N94">
        <v>4</v>
      </c>
      <c r="O94" t="s">
        <v>26</v>
      </c>
      <c r="P94">
        <v>70978</v>
      </c>
      <c r="Q94">
        <v>29.535</v>
      </c>
      <c r="R94">
        <v>34.049999999999997</v>
      </c>
      <c r="S94">
        <v>-0.1959803893857939</v>
      </c>
      <c r="T94">
        <v>2.7854622554611901E-2</v>
      </c>
      <c r="U94">
        <v>1.1177539752892761E-2</v>
      </c>
      <c r="V94">
        <v>3.336691501475733E-3</v>
      </c>
      <c r="W94">
        <v>7.8408482514170236E-3</v>
      </c>
    </row>
    <row r="95" spans="1:23" x14ac:dyDescent="0.25">
      <c r="A95">
        <v>12</v>
      </c>
      <c r="B95" t="s">
        <v>33</v>
      </c>
      <c r="C95" t="s">
        <v>24</v>
      </c>
      <c r="D95">
        <v>71365</v>
      </c>
      <c r="E95">
        <v>29.870000000000012</v>
      </c>
      <c r="F95">
        <v>33.27000000000001</v>
      </c>
      <c r="G95">
        <v>29.85506500000001</v>
      </c>
      <c r="H95">
        <v>33.286635000000011</v>
      </c>
      <c r="I95">
        <v>4.3891490305304952</v>
      </c>
      <c r="J95">
        <v>0.66851149499037077</v>
      </c>
      <c r="K95">
        <v>-0.33478406427854018</v>
      </c>
      <c r="L95">
        <v>0.2009352254254195</v>
      </c>
      <c r="M95" t="s">
        <v>25</v>
      </c>
      <c r="N95">
        <v>9</v>
      </c>
      <c r="O95" t="s">
        <v>26</v>
      </c>
      <c r="P95">
        <v>71374</v>
      </c>
      <c r="Q95">
        <v>29.76</v>
      </c>
      <c r="R95">
        <v>33.174999999999997</v>
      </c>
      <c r="S95">
        <v>0.39811544295224249</v>
      </c>
      <c r="T95">
        <v>1.7737400655226759E-2</v>
      </c>
      <c r="U95">
        <v>1.080243252067351E-3</v>
      </c>
      <c r="V95">
        <v>3.336691501475733E-3</v>
      </c>
      <c r="W95">
        <v>-2.256448249408381E-3</v>
      </c>
    </row>
    <row r="96" spans="1:23" x14ac:dyDescent="0.25">
      <c r="A96">
        <v>12</v>
      </c>
      <c r="B96" t="s">
        <v>33</v>
      </c>
      <c r="C96" t="s">
        <v>24</v>
      </c>
      <c r="D96">
        <v>71714</v>
      </c>
      <c r="E96">
        <v>29.78</v>
      </c>
      <c r="F96">
        <v>32.64</v>
      </c>
      <c r="G96">
        <v>29.76511</v>
      </c>
      <c r="H96">
        <v>32.656320000000001</v>
      </c>
      <c r="I96">
        <v>3.6638670254429782</v>
      </c>
      <c r="J96">
        <v>0.66851149499037077</v>
      </c>
      <c r="K96">
        <v>-0.335795836131632</v>
      </c>
      <c r="L96">
        <v>0.20481357076910869</v>
      </c>
      <c r="M96" t="s">
        <v>25</v>
      </c>
      <c r="N96">
        <v>7</v>
      </c>
      <c r="O96" t="s">
        <v>26</v>
      </c>
      <c r="P96">
        <v>71721</v>
      </c>
      <c r="Q96">
        <v>29.795000000000002</v>
      </c>
      <c r="R96">
        <v>32.71</v>
      </c>
      <c r="S96">
        <v>0.351814100345966</v>
      </c>
      <c r="T96">
        <v>9.300012411862995E-3</v>
      </c>
      <c r="U96">
        <v>-7.3947894817873259E-3</v>
      </c>
      <c r="V96">
        <v>3.336691501475733E-3</v>
      </c>
      <c r="W96">
        <v>-1.0731480983263059E-2</v>
      </c>
    </row>
    <row r="97" spans="1:23" x14ac:dyDescent="0.25">
      <c r="A97">
        <v>12</v>
      </c>
      <c r="B97" t="s">
        <v>33</v>
      </c>
      <c r="C97" t="s">
        <v>24</v>
      </c>
      <c r="D97">
        <v>71754</v>
      </c>
      <c r="E97">
        <v>29.47</v>
      </c>
      <c r="F97">
        <v>32.409999999999989</v>
      </c>
      <c r="G97">
        <v>29.48473499999999</v>
      </c>
      <c r="H97">
        <v>32.39379499999999</v>
      </c>
      <c r="I97">
        <v>-3.6695872460861709</v>
      </c>
      <c r="J97">
        <v>0.66851149499037077</v>
      </c>
      <c r="K97">
        <v>0.3393281303020021</v>
      </c>
      <c r="L97">
        <v>-0.20626704566194731</v>
      </c>
      <c r="M97" t="s">
        <v>27</v>
      </c>
      <c r="N97">
        <v>33</v>
      </c>
      <c r="O97" t="s">
        <v>26</v>
      </c>
      <c r="P97">
        <v>71787</v>
      </c>
      <c r="Q97">
        <v>29.344999999999999</v>
      </c>
      <c r="R97">
        <v>32.664999999999999</v>
      </c>
      <c r="S97">
        <v>-0.24920852166065821</v>
      </c>
      <c r="T97">
        <v>-9.5014112931546407E-2</v>
      </c>
      <c r="U97">
        <v>-0.1117043189216267</v>
      </c>
      <c r="V97">
        <v>3.3373544784857522E-3</v>
      </c>
      <c r="W97">
        <v>-0.1150416734001124</v>
      </c>
    </row>
    <row r="98" spans="1:23" x14ac:dyDescent="0.25">
      <c r="A98">
        <v>12</v>
      </c>
      <c r="B98" t="s">
        <v>33</v>
      </c>
      <c r="C98" t="s">
        <v>24</v>
      </c>
      <c r="D98">
        <v>72533</v>
      </c>
      <c r="E98">
        <v>28.434999999999999</v>
      </c>
      <c r="F98">
        <v>31.510000000000009</v>
      </c>
      <c r="G98">
        <v>28.420782500000001</v>
      </c>
      <c r="H98">
        <v>31.525755</v>
      </c>
      <c r="I98">
        <v>3.5449716601927528</v>
      </c>
      <c r="J98">
        <v>0.66851149499037077</v>
      </c>
      <c r="K98">
        <v>-0.3516792685071215</v>
      </c>
      <c r="L98">
        <v>0.2121585195145575</v>
      </c>
      <c r="M98" t="s">
        <v>25</v>
      </c>
      <c r="N98">
        <v>12</v>
      </c>
      <c r="O98" t="s">
        <v>26</v>
      </c>
      <c r="P98">
        <v>72545</v>
      </c>
      <c r="Q98">
        <v>28.609999999999989</v>
      </c>
      <c r="R98">
        <v>31.784999999999989</v>
      </c>
      <c r="S98">
        <v>0.1144076926687617</v>
      </c>
      <c r="T98">
        <v>-3.200279122242015E-3</v>
      </c>
      <c r="U98">
        <v>-1.9945337804570879E-2</v>
      </c>
      <c r="V98">
        <v>3.336691501475733E-3</v>
      </c>
      <c r="W98">
        <v>-2.3282029306046611E-2</v>
      </c>
    </row>
    <row r="99" spans="1:23" x14ac:dyDescent="0.25">
      <c r="A99">
        <v>12</v>
      </c>
      <c r="B99" t="s">
        <v>33</v>
      </c>
      <c r="C99" t="s">
        <v>24</v>
      </c>
      <c r="D99">
        <v>72927</v>
      </c>
      <c r="E99">
        <v>28.635000000000002</v>
      </c>
      <c r="F99">
        <v>32.319999999999993</v>
      </c>
      <c r="G99">
        <v>28.649317499999999</v>
      </c>
      <c r="H99">
        <v>32.303839999999987</v>
      </c>
      <c r="I99">
        <v>-3.6963571797485471</v>
      </c>
      <c r="J99">
        <v>0.66851149499037077</v>
      </c>
      <c r="K99">
        <v>0.34922297887200981</v>
      </c>
      <c r="L99">
        <v>-0.20684142790543661</v>
      </c>
      <c r="M99" t="s">
        <v>27</v>
      </c>
      <c r="N99">
        <v>13</v>
      </c>
      <c r="O99" t="s">
        <v>26</v>
      </c>
      <c r="P99">
        <v>72940</v>
      </c>
      <c r="Q99">
        <v>28.955000000000009</v>
      </c>
      <c r="R99">
        <v>32.770000000000003</v>
      </c>
      <c r="S99">
        <v>-0.12212897371123579</v>
      </c>
      <c r="T99">
        <v>1.867271068159743E-2</v>
      </c>
      <c r="U99">
        <v>1.885180733797343E-3</v>
      </c>
      <c r="V99">
        <v>3.3373544784857522E-3</v>
      </c>
      <c r="W99">
        <v>-1.452173744688409E-3</v>
      </c>
    </row>
    <row r="100" spans="1:23" x14ac:dyDescent="0.25">
      <c r="A100">
        <v>12</v>
      </c>
      <c r="B100" t="s">
        <v>33</v>
      </c>
      <c r="C100" t="s">
        <v>24</v>
      </c>
      <c r="D100">
        <v>73317</v>
      </c>
      <c r="E100">
        <v>29.43</v>
      </c>
      <c r="F100">
        <v>34.295000000000009</v>
      </c>
      <c r="G100">
        <v>29.415285000000001</v>
      </c>
      <c r="H100">
        <v>34.312147500000009</v>
      </c>
      <c r="I100">
        <v>4.3078134358289173</v>
      </c>
      <c r="J100">
        <v>0.66851149499037077</v>
      </c>
      <c r="K100">
        <v>-0.33978933061501881</v>
      </c>
      <c r="L100">
        <v>0.1949297259047589</v>
      </c>
      <c r="M100" t="s">
        <v>25</v>
      </c>
      <c r="N100">
        <v>21</v>
      </c>
      <c r="O100" t="s">
        <v>26</v>
      </c>
      <c r="P100">
        <v>73338</v>
      </c>
      <c r="Q100">
        <v>29.5</v>
      </c>
      <c r="R100">
        <v>34.119999999999997</v>
      </c>
      <c r="S100">
        <v>0.21882205387928019</v>
      </c>
      <c r="T100">
        <v>-5.7897955176388849E-2</v>
      </c>
      <c r="U100">
        <v>-7.4577906401846999E-2</v>
      </c>
      <c r="V100">
        <v>3.336691501475733E-3</v>
      </c>
      <c r="W100">
        <v>-7.7914597903322738E-2</v>
      </c>
    </row>
    <row r="101" spans="1:23" x14ac:dyDescent="0.25">
      <c r="A101">
        <v>12</v>
      </c>
      <c r="B101" t="s">
        <v>33</v>
      </c>
      <c r="C101" t="s">
        <v>24</v>
      </c>
      <c r="D101">
        <v>74098</v>
      </c>
      <c r="E101">
        <v>28.1</v>
      </c>
      <c r="F101">
        <v>30.75</v>
      </c>
      <c r="G101">
        <v>28.114049999999999</v>
      </c>
      <c r="H101">
        <v>30.734625000000001</v>
      </c>
      <c r="I101">
        <v>-4.0727868664096398</v>
      </c>
      <c r="J101">
        <v>0.66851149499037077</v>
      </c>
      <c r="K101">
        <v>0.35587188612099652</v>
      </c>
      <c r="L101">
        <v>-0.21740211219199049</v>
      </c>
      <c r="M101" t="s">
        <v>27</v>
      </c>
      <c r="N101">
        <v>9</v>
      </c>
      <c r="O101" t="s">
        <v>26</v>
      </c>
      <c r="P101">
        <v>74107</v>
      </c>
      <c r="Q101">
        <v>28.3</v>
      </c>
      <c r="R101">
        <v>30.824999999999999</v>
      </c>
      <c r="S101">
        <v>9.3072551349176139E-3</v>
      </c>
      <c r="T101">
        <v>5.4869218809799142E-2</v>
      </c>
      <c r="U101">
        <v>3.8140364092078272E-2</v>
      </c>
      <c r="V101">
        <v>3.3373544784857522E-3</v>
      </c>
      <c r="W101">
        <v>3.480300961359252E-2</v>
      </c>
    </row>
    <row r="102" spans="1:23" x14ac:dyDescent="0.25">
      <c r="A102">
        <v>12</v>
      </c>
      <c r="B102" t="s">
        <v>33</v>
      </c>
      <c r="C102" t="s">
        <v>24</v>
      </c>
      <c r="D102">
        <v>74488</v>
      </c>
      <c r="E102">
        <v>27.864999999999998</v>
      </c>
      <c r="F102">
        <v>28.75</v>
      </c>
      <c r="G102">
        <v>27.851067499999999</v>
      </c>
      <c r="H102">
        <v>28.76437499999999</v>
      </c>
      <c r="I102">
        <v>4.8438836994175043</v>
      </c>
      <c r="J102">
        <v>0.66851149499037077</v>
      </c>
      <c r="K102">
        <v>-0.35887313834559481</v>
      </c>
      <c r="L102">
        <v>0.23252573738795509</v>
      </c>
      <c r="M102" t="s">
        <v>25</v>
      </c>
      <c r="N102">
        <v>28</v>
      </c>
      <c r="O102" t="s">
        <v>26</v>
      </c>
      <c r="P102">
        <v>74516</v>
      </c>
      <c r="Q102">
        <v>27.405000000000008</v>
      </c>
      <c r="R102">
        <v>28.059999999999992</v>
      </c>
      <c r="S102">
        <v>0.47198199631523141</v>
      </c>
      <c r="T102">
        <v>4.6388848412812489E-3</v>
      </c>
      <c r="U102">
        <v>-1.1883467907401911E-2</v>
      </c>
      <c r="V102">
        <v>3.336691501475733E-3</v>
      </c>
      <c r="W102">
        <v>-1.5220159408877641E-2</v>
      </c>
    </row>
    <row r="103" spans="1:23" x14ac:dyDescent="0.25">
      <c r="A103">
        <v>13</v>
      </c>
      <c r="B103" t="s">
        <v>28</v>
      </c>
      <c r="C103" t="s">
        <v>29</v>
      </c>
      <c r="D103">
        <v>74701</v>
      </c>
      <c r="E103">
        <v>26.12</v>
      </c>
      <c r="F103">
        <v>84.244999999999976</v>
      </c>
      <c r="G103">
        <v>26.13306</v>
      </c>
      <c r="H103">
        <v>84.202877499999985</v>
      </c>
      <c r="I103">
        <v>-5.2946477778351522</v>
      </c>
      <c r="J103">
        <v>2.0364569713372882</v>
      </c>
      <c r="K103">
        <v>0.38284839203675342</v>
      </c>
      <c r="L103">
        <v>-0.24173030700187409</v>
      </c>
      <c r="M103" t="s">
        <v>27</v>
      </c>
      <c r="N103">
        <v>23</v>
      </c>
      <c r="O103" t="s">
        <v>26</v>
      </c>
      <c r="P103">
        <v>74724</v>
      </c>
      <c r="Q103">
        <v>26.425000000000001</v>
      </c>
      <c r="R103">
        <v>84.559999999999988</v>
      </c>
      <c r="S103">
        <v>-0.49197532310059428</v>
      </c>
      <c r="T103">
        <v>4.0623712865616432E-2</v>
      </c>
      <c r="U103">
        <v>1.016268624911054E-2</v>
      </c>
      <c r="V103">
        <v>6.0718774857032387E-3</v>
      </c>
      <c r="W103">
        <v>4.0908087634073031E-3</v>
      </c>
    </row>
    <row r="104" spans="1:23" x14ac:dyDescent="0.25">
      <c r="A104">
        <v>13</v>
      </c>
      <c r="B104" t="s">
        <v>28</v>
      </c>
      <c r="C104" t="s">
        <v>29</v>
      </c>
      <c r="D104">
        <v>75269</v>
      </c>
      <c r="E104">
        <v>29.69</v>
      </c>
      <c r="F104">
        <v>87.989999999999981</v>
      </c>
      <c r="G104">
        <v>29.675155</v>
      </c>
      <c r="H104">
        <v>88.033994999999976</v>
      </c>
      <c r="I104">
        <v>5.1650232956039686</v>
      </c>
      <c r="J104">
        <v>2.0364569713372882</v>
      </c>
      <c r="K104">
        <v>-0.33681374200067371</v>
      </c>
      <c r="L104">
        <v>0.2314418651366392</v>
      </c>
      <c r="M104" t="s">
        <v>25</v>
      </c>
      <c r="N104">
        <v>9</v>
      </c>
      <c r="O104" t="s">
        <v>26</v>
      </c>
      <c r="P104">
        <v>75278</v>
      </c>
      <c r="Q104">
        <v>29.445000000000011</v>
      </c>
      <c r="R104">
        <v>88.75</v>
      </c>
      <c r="S104">
        <v>7.5772484098460642E-3</v>
      </c>
      <c r="T104">
        <v>0.25841518429401211</v>
      </c>
      <c r="U104">
        <v>0.22800392635528771</v>
      </c>
      <c r="V104">
        <v>6.0739503996459134E-3</v>
      </c>
      <c r="W104">
        <v>0.22192997595564179</v>
      </c>
    </row>
    <row r="105" spans="1:23" x14ac:dyDescent="0.25">
      <c r="A105">
        <v>13</v>
      </c>
      <c r="B105" t="s">
        <v>28</v>
      </c>
      <c r="C105" t="s">
        <v>29</v>
      </c>
      <c r="D105">
        <v>75659</v>
      </c>
      <c r="E105">
        <v>28.28</v>
      </c>
      <c r="F105">
        <v>89.050000000000026</v>
      </c>
      <c r="G105">
        <v>28.294139999999999</v>
      </c>
      <c r="H105">
        <v>89.005475000000033</v>
      </c>
      <c r="I105">
        <v>-4.0438606336828933</v>
      </c>
      <c r="J105">
        <v>2.0364569713372882</v>
      </c>
      <c r="K105">
        <v>0.35360678925035349</v>
      </c>
      <c r="L105">
        <v>-0.2286869142433787</v>
      </c>
      <c r="M105" t="s">
        <v>27</v>
      </c>
      <c r="N105">
        <v>10</v>
      </c>
      <c r="O105" t="s">
        <v>26</v>
      </c>
      <c r="P105">
        <v>75669</v>
      </c>
      <c r="Q105">
        <v>28.12</v>
      </c>
      <c r="R105">
        <v>87.819999999999979</v>
      </c>
      <c r="S105">
        <v>0.31014527647705847</v>
      </c>
      <c r="T105">
        <v>0.2247078182393073</v>
      </c>
      <c r="U105">
        <v>0.19451217952133831</v>
      </c>
      <c r="V105">
        <v>6.0718774857032379E-3</v>
      </c>
      <c r="W105">
        <v>0.18844030203563511</v>
      </c>
    </row>
    <row r="106" spans="1:23" x14ac:dyDescent="0.25">
      <c r="A106">
        <v>13</v>
      </c>
      <c r="B106" t="s">
        <v>28</v>
      </c>
      <c r="C106" t="s">
        <v>29</v>
      </c>
      <c r="D106">
        <v>76049</v>
      </c>
      <c r="E106">
        <v>29.09</v>
      </c>
      <c r="F106">
        <v>89.050000000000026</v>
      </c>
      <c r="G106">
        <v>29.075455000000009</v>
      </c>
      <c r="H106">
        <v>89.094525000000019</v>
      </c>
      <c r="I106">
        <v>5.0047903614214952</v>
      </c>
      <c r="J106">
        <v>2.0364569713372882</v>
      </c>
      <c r="K106">
        <v>-0.34376074252320382</v>
      </c>
      <c r="L106">
        <v>0.2286869142433787</v>
      </c>
      <c r="M106" t="s">
        <v>25</v>
      </c>
      <c r="N106">
        <v>11</v>
      </c>
      <c r="O106" t="s">
        <v>26</v>
      </c>
      <c r="P106">
        <v>76060</v>
      </c>
      <c r="Q106">
        <v>28.5</v>
      </c>
      <c r="R106">
        <v>89.41</v>
      </c>
      <c r="S106">
        <v>-0.49989707574875619</v>
      </c>
      <c r="T106">
        <v>0.28514612721630112</v>
      </c>
      <c r="U106">
        <v>0.25484180327741351</v>
      </c>
      <c r="V106">
        <v>6.0739503996459134E-3</v>
      </c>
      <c r="W106">
        <v>0.24876785287776759</v>
      </c>
    </row>
    <row r="107" spans="1:23" x14ac:dyDescent="0.25">
      <c r="A107">
        <v>13</v>
      </c>
      <c r="B107" t="s">
        <v>28</v>
      </c>
      <c r="C107" t="s">
        <v>29</v>
      </c>
      <c r="D107">
        <v>76439</v>
      </c>
      <c r="E107">
        <v>26.82</v>
      </c>
      <c r="F107">
        <v>86.299999999999969</v>
      </c>
      <c r="G107">
        <v>26.83340999999999</v>
      </c>
      <c r="H107">
        <v>86.256849999999972</v>
      </c>
      <c r="I107">
        <v>-4.281721227075387</v>
      </c>
      <c r="J107">
        <v>2.0364569713372882</v>
      </c>
      <c r="K107">
        <v>0.37285607755406419</v>
      </c>
      <c r="L107">
        <v>-0.23597415658601259</v>
      </c>
      <c r="M107" t="s">
        <v>27</v>
      </c>
      <c r="N107">
        <v>2</v>
      </c>
      <c r="O107" t="s">
        <v>26</v>
      </c>
      <c r="P107">
        <v>76441</v>
      </c>
      <c r="Q107">
        <v>26.8</v>
      </c>
      <c r="R107">
        <v>85.62</v>
      </c>
      <c r="S107">
        <v>-0.15948395444014291</v>
      </c>
      <c r="T107">
        <v>0.1530053049274003</v>
      </c>
      <c r="U107">
        <v>0.12272469498804781</v>
      </c>
      <c r="V107">
        <v>6.0718774857032379E-3</v>
      </c>
      <c r="W107">
        <v>0.11665281750234451</v>
      </c>
    </row>
    <row r="108" spans="1:23" x14ac:dyDescent="0.25">
      <c r="A108">
        <v>13</v>
      </c>
      <c r="B108" t="s">
        <v>28</v>
      </c>
      <c r="C108" t="s">
        <v>29</v>
      </c>
      <c r="D108">
        <v>76829</v>
      </c>
      <c r="E108">
        <v>27.125</v>
      </c>
      <c r="F108">
        <v>87.490000000000009</v>
      </c>
      <c r="G108">
        <v>27.111437500000001</v>
      </c>
      <c r="H108">
        <v>87.53374500000001</v>
      </c>
      <c r="I108">
        <v>4.1176028393689919</v>
      </c>
      <c r="J108">
        <v>2.0364569713372882</v>
      </c>
      <c r="K108">
        <v>-0.36866359447004621</v>
      </c>
      <c r="L108">
        <v>0.23276454124326071</v>
      </c>
      <c r="M108" t="s">
        <v>25</v>
      </c>
      <c r="N108">
        <v>21</v>
      </c>
      <c r="O108" t="s">
        <v>26</v>
      </c>
      <c r="P108">
        <v>76850</v>
      </c>
      <c r="Q108">
        <v>26.760000000000009</v>
      </c>
      <c r="R108">
        <v>86.650000000000034</v>
      </c>
      <c r="S108">
        <v>0.27660973170751452</v>
      </c>
      <c r="T108">
        <v>-6.0960002662769457E-2</v>
      </c>
      <c r="U108">
        <v>-9.1159530162827615E-2</v>
      </c>
      <c r="V108">
        <v>6.0739503996459134E-3</v>
      </c>
      <c r="W108">
        <v>-9.7233480562473523E-2</v>
      </c>
    </row>
    <row r="109" spans="1:23" x14ac:dyDescent="0.25">
      <c r="A109">
        <v>13</v>
      </c>
      <c r="B109" t="s">
        <v>28</v>
      </c>
      <c r="C109" t="s">
        <v>29</v>
      </c>
      <c r="D109">
        <v>76901</v>
      </c>
      <c r="E109">
        <v>26.844999999999999</v>
      </c>
      <c r="F109">
        <v>86.440000000000012</v>
      </c>
      <c r="G109">
        <v>26.831577500000002</v>
      </c>
      <c r="H109">
        <v>86.483220000000003</v>
      </c>
      <c r="I109">
        <v>3.84221644035956</v>
      </c>
      <c r="J109">
        <v>2.0364569713372882</v>
      </c>
      <c r="K109">
        <v>-0.37250884708511828</v>
      </c>
      <c r="L109">
        <v>0.23559196799367049</v>
      </c>
      <c r="M109" t="s">
        <v>25</v>
      </c>
      <c r="N109">
        <v>13</v>
      </c>
      <c r="O109" t="s">
        <v>26</v>
      </c>
      <c r="P109">
        <v>76914</v>
      </c>
      <c r="Q109">
        <v>26.835000000000001</v>
      </c>
      <c r="R109">
        <v>86.580000000000013</v>
      </c>
      <c r="S109">
        <v>0.24131156557719299</v>
      </c>
      <c r="T109">
        <v>3.670796398996444E-2</v>
      </c>
      <c r="U109">
        <v>6.3287653830711521E-3</v>
      </c>
      <c r="V109">
        <v>6.0739503996459134E-3</v>
      </c>
      <c r="W109">
        <v>2.5481498342523872E-4</v>
      </c>
    </row>
    <row r="110" spans="1:23" x14ac:dyDescent="0.25">
      <c r="A110">
        <v>13</v>
      </c>
      <c r="B110" t="s">
        <v>28</v>
      </c>
      <c r="C110" t="s">
        <v>29</v>
      </c>
      <c r="D110">
        <v>77219</v>
      </c>
      <c r="E110">
        <v>27.26</v>
      </c>
      <c r="F110">
        <v>87</v>
      </c>
      <c r="G110">
        <v>27.273630000000001</v>
      </c>
      <c r="H110">
        <v>86.956500000000005</v>
      </c>
      <c r="I110">
        <v>-4.9131465809871591</v>
      </c>
      <c r="J110">
        <v>2.0364569713372882</v>
      </c>
      <c r="K110">
        <v>0.36683785766691118</v>
      </c>
      <c r="L110">
        <v>-0.2340755139468147</v>
      </c>
      <c r="M110" t="s">
        <v>27</v>
      </c>
      <c r="N110">
        <v>6</v>
      </c>
      <c r="O110" t="s">
        <v>26</v>
      </c>
      <c r="P110">
        <v>77225</v>
      </c>
      <c r="Q110">
        <v>27.43</v>
      </c>
      <c r="R110">
        <v>86.580000000000013</v>
      </c>
      <c r="S110">
        <v>-0.18694542467867761</v>
      </c>
      <c r="T110">
        <v>0.1606741516610348</v>
      </c>
      <c r="U110">
        <v>0.13032755658769171</v>
      </c>
      <c r="V110">
        <v>6.0718774857032379E-3</v>
      </c>
      <c r="W110">
        <v>0.12425567910198849</v>
      </c>
    </row>
    <row r="111" spans="1:23" x14ac:dyDescent="0.25">
      <c r="A111">
        <v>13</v>
      </c>
      <c r="B111" t="s">
        <v>28</v>
      </c>
      <c r="C111" t="s">
        <v>29</v>
      </c>
      <c r="D111">
        <v>77609</v>
      </c>
      <c r="E111">
        <v>27.85</v>
      </c>
      <c r="F111">
        <v>93.580000000000027</v>
      </c>
      <c r="G111">
        <v>27.863924999999991</v>
      </c>
      <c r="H111">
        <v>93.533210000000025</v>
      </c>
      <c r="I111">
        <v>-5.2733277895564727</v>
      </c>
      <c r="J111">
        <v>2.0364569713372882</v>
      </c>
      <c r="K111">
        <v>0.35906642728904847</v>
      </c>
      <c r="L111">
        <v>-0.21761668853785929</v>
      </c>
      <c r="M111" t="s">
        <v>27</v>
      </c>
      <c r="N111">
        <v>20</v>
      </c>
      <c r="O111" t="s">
        <v>26</v>
      </c>
      <c r="P111">
        <v>77629</v>
      </c>
      <c r="Q111">
        <v>27.515000000000001</v>
      </c>
      <c r="R111">
        <v>92.92</v>
      </c>
      <c r="S111">
        <v>-0.49200519846161778</v>
      </c>
      <c r="T111">
        <v>2.3339761293162269E-2</v>
      </c>
      <c r="U111">
        <v>-6.8928512864194352E-3</v>
      </c>
      <c r="V111">
        <v>6.0718774857032379E-3</v>
      </c>
      <c r="W111">
        <v>-1.296472877212267E-2</v>
      </c>
    </row>
    <row r="112" spans="1:23" x14ac:dyDescent="0.25">
      <c r="A112">
        <v>13</v>
      </c>
      <c r="B112" t="s">
        <v>28</v>
      </c>
      <c r="C112" t="s">
        <v>29</v>
      </c>
      <c r="D112">
        <v>77999</v>
      </c>
      <c r="E112">
        <v>27.85</v>
      </c>
      <c r="F112">
        <v>90.91500000000002</v>
      </c>
      <c r="G112">
        <v>27.836075000000001</v>
      </c>
      <c r="H112">
        <v>90.960457500000018</v>
      </c>
      <c r="I112">
        <v>4.5345470408442239</v>
      </c>
      <c r="J112">
        <v>2.0364569713372882</v>
      </c>
      <c r="K112">
        <v>-0.35906642728904847</v>
      </c>
      <c r="L112">
        <v>0.22399570712613839</v>
      </c>
      <c r="M112" t="s">
        <v>25</v>
      </c>
      <c r="N112">
        <v>1</v>
      </c>
      <c r="O112" t="s">
        <v>26</v>
      </c>
      <c r="P112">
        <v>78000</v>
      </c>
      <c r="Q112">
        <v>27.829999999999991</v>
      </c>
      <c r="R112">
        <v>92.254999999999967</v>
      </c>
      <c r="S112">
        <v>-0.31501327397701923</v>
      </c>
      <c r="T112">
        <v>0.30733557609479562</v>
      </c>
      <c r="U112">
        <v>0.27682451992192431</v>
      </c>
      <c r="V112">
        <v>6.0739503996459134E-3</v>
      </c>
      <c r="W112">
        <v>0.27075056952227838</v>
      </c>
    </row>
    <row r="113" spans="1:23" x14ac:dyDescent="0.25">
      <c r="A113">
        <v>14</v>
      </c>
      <c r="B113" t="s">
        <v>28</v>
      </c>
      <c r="C113" t="s">
        <v>30</v>
      </c>
      <c r="D113">
        <v>78601</v>
      </c>
      <c r="E113">
        <v>29.145</v>
      </c>
      <c r="F113">
        <v>118.11</v>
      </c>
      <c r="G113">
        <v>29.1304275</v>
      </c>
      <c r="H113">
        <v>118.169055</v>
      </c>
      <c r="I113">
        <v>5.2945541344330609</v>
      </c>
      <c r="J113">
        <v>1.6413599711536511</v>
      </c>
      <c r="K113">
        <v>-0.34311202607651398</v>
      </c>
      <c r="L113">
        <v>0.13896875549518681</v>
      </c>
      <c r="M113" t="s">
        <v>25</v>
      </c>
      <c r="N113">
        <v>23</v>
      </c>
      <c r="O113" t="s">
        <v>26</v>
      </c>
      <c r="P113">
        <v>78624</v>
      </c>
      <c r="Q113">
        <v>29.315000000000001</v>
      </c>
      <c r="R113">
        <v>118.29</v>
      </c>
      <c r="S113">
        <v>0.49449143670691798</v>
      </c>
      <c r="T113">
        <v>-3.3314668443866713E-2</v>
      </c>
      <c r="U113">
        <v>-5.9769939865609988E-2</v>
      </c>
      <c r="V113">
        <v>5.2833613022784552E-3</v>
      </c>
      <c r="W113">
        <v>-6.5053301167888447E-2</v>
      </c>
    </row>
    <row r="114" spans="1:23" x14ac:dyDescent="0.25">
      <c r="A114">
        <v>14</v>
      </c>
      <c r="B114" t="s">
        <v>28</v>
      </c>
      <c r="C114" t="s">
        <v>30</v>
      </c>
      <c r="D114">
        <v>78770</v>
      </c>
      <c r="E114">
        <v>29.875</v>
      </c>
      <c r="F114">
        <v>120.34</v>
      </c>
      <c r="G114">
        <v>29.889937499999998</v>
      </c>
      <c r="H114">
        <v>120.27983</v>
      </c>
      <c r="I114">
        <v>-3.7248035492502791</v>
      </c>
      <c r="J114">
        <v>1.6413599711536511</v>
      </c>
      <c r="K114">
        <v>0.33472803347280328</v>
      </c>
      <c r="L114">
        <v>-0.13639354920671859</v>
      </c>
      <c r="M114" t="s">
        <v>27</v>
      </c>
      <c r="N114">
        <v>20</v>
      </c>
      <c r="O114" t="s">
        <v>26</v>
      </c>
      <c r="P114">
        <v>78790</v>
      </c>
      <c r="Q114">
        <v>29.82</v>
      </c>
      <c r="R114">
        <v>119.86999999999991</v>
      </c>
      <c r="S114">
        <v>0.48584975981234862</v>
      </c>
      <c r="T114">
        <v>4.569492628615543E-2</v>
      </c>
      <c r="U114">
        <v>1.9322584079605201E-2</v>
      </c>
      <c r="V114">
        <v>5.2820785823361489E-3</v>
      </c>
      <c r="W114">
        <v>1.4040505497269051E-2</v>
      </c>
    </row>
    <row r="115" spans="1:23" x14ac:dyDescent="0.25">
      <c r="A115">
        <v>14</v>
      </c>
      <c r="B115" t="s">
        <v>28</v>
      </c>
      <c r="C115" t="s">
        <v>30</v>
      </c>
      <c r="D115">
        <v>79260</v>
      </c>
      <c r="E115">
        <v>30.009999999999991</v>
      </c>
      <c r="F115">
        <v>118.67</v>
      </c>
      <c r="G115">
        <v>29.994994999999999</v>
      </c>
      <c r="H115">
        <v>118.72933500000001</v>
      </c>
      <c r="I115">
        <v>3.6590846453963071</v>
      </c>
      <c r="J115">
        <v>1.6413599711536511</v>
      </c>
      <c r="K115">
        <v>-0.33322225924691767</v>
      </c>
      <c r="L115">
        <v>0.13831296630602941</v>
      </c>
      <c r="M115" t="s">
        <v>25</v>
      </c>
      <c r="N115">
        <v>11</v>
      </c>
      <c r="O115" t="s">
        <v>26</v>
      </c>
      <c r="P115">
        <v>79271</v>
      </c>
      <c r="Q115">
        <v>29.99</v>
      </c>
      <c r="R115">
        <v>119.1</v>
      </c>
      <c r="S115">
        <v>0.25026868611591718</v>
      </c>
      <c r="T115">
        <v>6.613902069652669E-2</v>
      </c>
      <c r="U115">
        <v>3.9699015919830771E-2</v>
      </c>
      <c r="V115">
        <v>5.2833613022784552E-3</v>
      </c>
      <c r="W115">
        <v>3.4415654617552319E-2</v>
      </c>
    </row>
    <row r="116" spans="1:23" x14ac:dyDescent="0.25">
      <c r="A116">
        <v>14</v>
      </c>
      <c r="B116" t="s">
        <v>28</v>
      </c>
      <c r="C116" t="s">
        <v>30</v>
      </c>
      <c r="D116">
        <v>79473</v>
      </c>
      <c r="E116">
        <v>30.350000000000009</v>
      </c>
      <c r="F116">
        <v>119.76</v>
      </c>
      <c r="G116">
        <v>30.365175000000011</v>
      </c>
      <c r="H116">
        <v>119.70012</v>
      </c>
      <c r="I116">
        <v>-3.7977766009264622</v>
      </c>
      <c r="J116">
        <v>1.6413599711536511</v>
      </c>
      <c r="K116">
        <v>0.32948929159802298</v>
      </c>
      <c r="L116">
        <v>-0.13705410580775301</v>
      </c>
      <c r="M116" t="s">
        <v>27</v>
      </c>
      <c r="N116">
        <v>27</v>
      </c>
      <c r="O116" t="s">
        <v>26</v>
      </c>
      <c r="P116">
        <v>79500</v>
      </c>
      <c r="Q116">
        <v>30.41</v>
      </c>
      <c r="R116">
        <v>119.91</v>
      </c>
      <c r="S116">
        <v>-0.27298544214802489</v>
      </c>
      <c r="T116">
        <v>-7.8875837528511947E-4</v>
      </c>
      <c r="U116">
        <v>-2.7222521823501631E-2</v>
      </c>
      <c r="V116">
        <v>5.2820785823361489E-3</v>
      </c>
      <c r="W116">
        <v>-3.2504600405837768E-2</v>
      </c>
    </row>
    <row r="117" spans="1:23" x14ac:dyDescent="0.25">
      <c r="A117">
        <v>14</v>
      </c>
      <c r="B117" t="s">
        <v>28</v>
      </c>
      <c r="C117" t="s">
        <v>30</v>
      </c>
      <c r="D117">
        <v>80299</v>
      </c>
      <c r="E117">
        <v>30.45</v>
      </c>
      <c r="F117">
        <v>119.51</v>
      </c>
      <c r="G117">
        <v>30.434774999999998</v>
      </c>
      <c r="H117">
        <v>119.569755</v>
      </c>
      <c r="I117">
        <v>4.1525691478491424</v>
      </c>
      <c r="J117">
        <v>1.6413599711536511</v>
      </c>
      <c r="K117">
        <v>-0.32840722495894908</v>
      </c>
      <c r="L117">
        <v>0.13734080588684219</v>
      </c>
      <c r="M117" t="s">
        <v>25</v>
      </c>
      <c r="N117">
        <v>8</v>
      </c>
      <c r="O117" t="s">
        <v>26</v>
      </c>
      <c r="P117">
        <v>80307</v>
      </c>
      <c r="Q117">
        <v>30.48500000000001</v>
      </c>
      <c r="R117">
        <v>119.925</v>
      </c>
      <c r="S117">
        <v>-0.4939374757191019</v>
      </c>
      <c r="T117">
        <v>4.5502181569475567E-2</v>
      </c>
      <c r="U117">
        <v>1.9054336514282771E-2</v>
      </c>
      <c r="V117">
        <v>5.283361302278456E-3</v>
      </c>
      <c r="W117">
        <v>1.3770975212004309E-2</v>
      </c>
    </row>
    <row r="118" spans="1:23" x14ac:dyDescent="0.25">
      <c r="A118">
        <v>14</v>
      </c>
      <c r="B118" t="s">
        <v>28</v>
      </c>
      <c r="C118" t="s">
        <v>30</v>
      </c>
      <c r="D118">
        <v>81124</v>
      </c>
      <c r="E118">
        <v>31.02</v>
      </c>
      <c r="F118">
        <v>119.255</v>
      </c>
      <c r="G118">
        <v>31.004490000000001</v>
      </c>
      <c r="H118">
        <v>119.3146274999999</v>
      </c>
      <c r="I118">
        <v>3.5606290265475322</v>
      </c>
      <c r="J118">
        <v>1.6413599711536511</v>
      </c>
      <c r="K118">
        <v>-0.32237266279819471</v>
      </c>
      <c r="L118">
        <v>0.13763447831568079</v>
      </c>
      <c r="M118" t="s">
        <v>25</v>
      </c>
      <c r="N118">
        <v>28</v>
      </c>
      <c r="O118" t="s">
        <v>26</v>
      </c>
      <c r="P118">
        <v>81152</v>
      </c>
      <c r="Q118">
        <v>30.4</v>
      </c>
      <c r="R118">
        <v>117.69</v>
      </c>
      <c r="S118">
        <v>-0.38066444995057919</v>
      </c>
      <c r="T118">
        <v>-1.552690762915326E-2</v>
      </c>
      <c r="U118">
        <v>-4.1732872835936352E-2</v>
      </c>
      <c r="V118">
        <v>5.2833613022784552E-3</v>
      </c>
      <c r="W118">
        <v>-4.7016234138214798E-2</v>
      </c>
    </row>
    <row r="119" spans="1:23" x14ac:dyDescent="0.25">
      <c r="A119">
        <v>14</v>
      </c>
      <c r="B119" t="s">
        <v>28</v>
      </c>
      <c r="C119" t="s">
        <v>30</v>
      </c>
      <c r="D119">
        <v>81514</v>
      </c>
      <c r="E119">
        <v>30.53</v>
      </c>
      <c r="F119">
        <v>118.94</v>
      </c>
      <c r="G119">
        <v>30.545265000000001</v>
      </c>
      <c r="H119">
        <v>118.88052999999999</v>
      </c>
      <c r="I119">
        <v>-3.665245371310673</v>
      </c>
      <c r="J119">
        <v>1.6413599711536511</v>
      </c>
      <c r="K119">
        <v>0.32754667540124471</v>
      </c>
      <c r="L119">
        <v>-0.1379989886626577</v>
      </c>
      <c r="M119" t="s">
        <v>27</v>
      </c>
      <c r="N119">
        <v>16</v>
      </c>
      <c r="O119" t="s">
        <v>26</v>
      </c>
      <c r="P119">
        <v>81530</v>
      </c>
      <c r="Q119">
        <v>30.55</v>
      </c>
      <c r="R119">
        <v>117.66500000000001</v>
      </c>
      <c r="S119">
        <v>0.35325027814977189</v>
      </c>
      <c r="T119">
        <v>0.18249964405291211</v>
      </c>
      <c r="U119">
        <v>0.15617074322989671</v>
      </c>
      <c r="V119">
        <v>5.2820785823361489E-3</v>
      </c>
      <c r="W119">
        <v>0.15088866464756059</v>
      </c>
    </row>
    <row r="120" spans="1:23" x14ac:dyDescent="0.25">
      <c r="A120">
        <v>14</v>
      </c>
      <c r="B120" t="s">
        <v>28</v>
      </c>
      <c r="C120" t="s">
        <v>30</v>
      </c>
      <c r="D120">
        <v>82151</v>
      </c>
      <c r="E120">
        <v>31</v>
      </c>
      <c r="F120">
        <v>117.35</v>
      </c>
      <c r="G120">
        <v>30.984500000000001</v>
      </c>
      <c r="H120">
        <v>117.408675</v>
      </c>
      <c r="I120">
        <v>4.9027217802400109</v>
      </c>
      <c r="J120">
        <v>1.6413599711536511</v>
      </c>
      <c r="K120">
        <v>-0.32258064516129031</v>
      </c>
      <c r="L120">
        <v>0.13986876618267161</v>
      </c>
      <c r="M120" t="s">
        <v>25</v>
      </c>
      <c r="N120">
        <v>7</v>
      </c>
      <c r="O120" t="s">
        <v>26</v>
      </c>
      <c r="P120">
        <v>82158</v>
      </c>
      <c r="Q120">
        <v>31.02</v>
      </c>
      <c r="R120">
        <v>118.37</v>
      </c>
      <c r="S120">
        <v>0.46025244132739351</v>
      </c>
      <c r="T120">
        <v>0.13621452860310479</v>
      </c>
      <c r="U120">
        <v>0.109726370014365</v>
      </c>
      <c r="V120">
        <v>5.2833613022784552E-3</v>
      </c>
      <c r="W120">
        <v>0.1044430087120865</v>
      </c>
    </row>
    <row r="121" spans="1:23" x14ac:dyDescent="0.25">
      <c r="A121">
        <v>14</v>
      </c>
      <c r="B121" t="s">
        <v>28</v>
      </c>
      <c r="C121" t="s">
        <v>30</v>
      </c>
      <c r="D121">
        <v>82295</v>
      </c>
      <c r="E121">
        <v>31.375000000000011</v>
      </c>
      <c r="F121">
        <v>121.855</v>
      </c>
      <c r="G121">
        <v>31.390687500000009</v>
      </c>
      <c r="H121">
        <v>121.7940725000001</v>
      </c>
      <c r="I121">
        <v>-4.6118771583175091</v>
      </c>
      <c r="J121">
        <v>1.6413599711536511</v>
      </c>
      <c r="K121">
        <v>0.31872509960159362</v>
      </c>
      <c r="L121">
        <v>-0.1346977941942186</v>
      </c>
      <c r="M121" t="s">
        <v>27</v>
      </c>
      <c r="N121">
        <v>12</v>
      </c>
      <c r="O121" t="s">
        <v>26</v>
      </c>
      <c r="P121">
        <v>82307</v>
      </c>
      <c r="Q121">
        <v>31.57</v>
      </c>
      <c r="R121">
        <v>121.45</v>
      </c>
      <c r="S121">
        <v>-0.41264339841519759</v>
      </c>
      <c r="T121">
        <v>0.11670400107097489</v>
      </c>
      <c r="U121">
        <v>9.0286601965555269E-2</v>
      </c>
      <c r="V121">
        <v>5.2820785823361489E-3</v>
      </c>
      <c r="W121">
        <v>8.5004523383219122E-2</v>
      </c>
    </row>
    <row r="122" spans="1:23" x14ac:dyDescent="0.25">
      <c r="A122">
        <v>14</v>
      </c>
      <c r="B122" t="s">
        <v>28</v>
      </c>
      <c r="C122" t="s">
        <v>30</v>
      </c>
      <c r="D122">
        <v>82380</v>
      </c>
      <c r="E122">
        <v>32.064999999999998</v>
      </c>
      <c r="F122">
        <v>123.29</v>
      </c>
      <c r="G122">
        <v>32.081032499999999</v>
      </c>
      <c r="H122">
        <v>123.22835499999999</v>
      </c>
      <c r="I122">
        <v>-3.6419364620286259</v>
      </c>
      <c r="J122">
        <v>1.6413599711536511</v>
      </c>
      <c r="K122">
        <v>0.31186652112895691</v>
      </c>
      <c r="L122">
        <v>-0.13313001631548799</v>
      </c>
      <c r="M122" t="s">
        <v>27</v>
      </c>
      <c r="N122">
        <v>21</v>
      </c>
      <c r="O122" t="s">
        <v>26</v>
      </c>
      <c r="P122">
        <v>82401</v>
      </c>
      <c r="Q122">
        <v>32.200000000000003</v>
      </c>
      <c r="R122">
        <v>123.82</v>
      </c>
      <c r="S122">
        <v>-0.34079316509944579</v>
      </c>
      <c r="T122">
        <v>-2.8456928294798019E-2</v>
      </c>
      <c r="U122">
        <v>-5.4926858450834747E-2</v>
      </c>
      <c r="V122">
        <v>5.2820785823361489E-3</v>
      </c>
      <c r="W122">
        <v>-6.0208937033170901E-2</v>
      </c>
    </row>
    <row r="123" spans="1:23" x14ac:dyDescent="0.25">
      <c r="A123">
        <v>15</v>
      </c>
      <c r="B123" t="s">
        <v>28</v>
      </c>
      <c r="C123" t="s">
        <v>30</v>
      </c>
      <c r="D123">
        <v>82501</v>
      </c>
      <c r="E123">
        <v>32.35</v>
      </c>
      <c r="F123">
        <v>123.93</v>
      </c>
      <c r="G123">
        <v>32.366174999999998</v>
      </c>
      <c r="H123">
        <v>123.86803500000001</v>
      </c>
      <c r="I123">
        <v>-4.7139738011812344</v>
      </c>
      <c r="J123">
        <v>1.643807015224438</v>
      </c>
      <c r="K123">
        <v>0.30911901081916537</v>
      </c>
      <c r="L123">
        <v>-0.13263995926930031</v>
      </c>
      <c r="M123" t="s">
        <v>27</v>
      </c>
      <c r="N123">
        <v>18</v>
      </c>
      <c r="O123" t="s">
        <v>26</v>
      </c>
      <c r="P123">
        <v>82519</v>
      </c>
      <c r="Q123">
        <v>32.380000000000003</v>
      </c>
      <c r="R123">
        <v>123.8799999999999</v>
      </c>
      <c r="S123">
        <v>-0.47943788828159328</v>
      </c>
      <c r="T123">
        <v>1.590556828804152E-2</v>
      </c>
      <c r="U123">
        <v>-1.053382265038025E-2</v>
      </c>
      <c r="V123">
        <v>5.286970223433652E-3</v>
      </c>
      <c r="W123">
        <v>-1.58207928738139E-2</v>
      </c>
    </row>
    <row r="124" spans="1:23" x14ac:dyDescent="0.25">
      <c r="A124">
        <v>15</v>
      </c>
      <c r="B124" t="s">
        <v>28</v>
      </c>
      <c r="C124" t="s">
        <v>30</v>
      </c>
      <c r="D124">
        <v>83854</v>
      </c>
      <c r="E124">
        <v>33.600000000000009</v>
      </c>
      <c r="F124">
        <v>126.6699999999999</v>
      </c>
      <c r="G124">
        <v>33.583200000000012</v>
      </c>
      <c r="H124">
        <v>126.7333349999999</v>
      </c>
      <c r="I124">
        <v>4.4588281596724277</v>
      </c>
      <c r="J124">
        <v>1.643807015224438</v>
      </c>
      <c r="K124">
        <v>-0.29761904761904762</v>
      </c>
      <c r="L124">
        <v>0.12977082302237611</v>
      </c>
      <c r="M124" t="s">
        <v>25</v>
      </c>
      <c r="N124">
        <v>11</v>
      </c>
      <c r="O124" t="s">
        <v>26</v>
      </c>
      <c r="P124">
        <v>83865</v>
      </c>
      <c r="Q124">
        <v>32.99</v>
      </c>
      <c r="R124">
        <v>126.47</v>
      </c>
      <c r="S124">
        <v>-0.49796364775890312</v>
      </c>
      <c r="T124">
        <v>0.1555934544431527</v>
      </c>
      <c r="U124">
        <v>0.12925913518273749</v>
      </c>
      <c r="V124">
        <v>5.2882578374641E-3</v>
      </c>
      <c r="W124">
        <v>0.1239708773452734</v>
      </c>
    </row>
    <row r="125" spans="1:23" x14ac:dyDescent="0.25">
      <c r="A125">
        <v>15</v>
      </c>
      <c r="B125" t="s">
        <v>28</v>
      </c>
      <c r="C125" t="s">
        <v>30</v>
      </c>
      <c r="D125">
        <v>84241</v>
      </c>
      <c r="E125">
        <v>33.369999999999997</v>
      </c>
      <c r="F125">
        <v>128.61000000000001</v>
      </c>
      <c r="G125">
        <v>33.353315000000002</v>
      </c>
      <c r="H125">
        <v>128.674305</v>
      </c>
      <c r="I125">
        <v>4.5548603775231387</v>
      </c>
      <c r="J125">
        <v>1.643807015224438</v>
      </c>
      <c r="K125">
        <v>-0.29967036260113877</v>
      </c>
      <c r="L125">
        <v>0.1278133127458547</v>
      </c>
      <c r="M125" t="s">
        <v>25</v>
      </c>
      <c r="N125">
        <v>5</v>
      </c>
      <c r="O125" t="s">
        <v>26</v>
      </c>
      <c r="P125">
        <v>84246</v>
      </c>
      <c r="Q125">
        <v>33.20000000000001</v>
      </c>
      <c r="R125">
        <v>128.94</v>
      </c>
      <c r="S125">
        <v>0.34103163301030198</v>
      </c>
      <c r="T125">
        <v>9.3122354848316241E-2</v>
      </c>
      <c r="U125">
        <v>6.6688667480293451E-2</v>
      </c>
      <c r="V125">
        <v>5.2882578374641E-3</v>
      </c>
      <c r="W125">
        <v>6.1400409642829348E-2</v>
      </c>
    </row>
    <row r="126" spans="1:23" x14ac:dyDescent="0.25">
      <c r="A126">
        <v>15</v>
      </c>
      <c r="B126" t="s">
        <v>28</v>
      </c>
      <c r="C126" t="s">
        <v>30</v>
      </c>
      <c r="D126">
        <v>84317</v>
      </c>
      <c r="E126">
        <v>33.03</v>
      </c>
      <c r="F126">
        <v>130.25</v>
      </c>
      <c r="G126">
        <v>33.046514999999999</v>
      </c>
      <c r="H126">
        <v>130.18487500000001</v>
      </c>
      <c r="I126">
        <v>-3.5113420971178622</v>
      </c>
      <c r="J126">
        <v>1.643807015224438</v>
      </c>
      <c r="K126">
        <v>0.30275507114744171</v>
      </c>
      <c r="L126">
        <v>-0.12620399349131961</v>
      </c>
      <c r="M126" t="s">
        <v>27</v>
      </c>
      <c r="N126">
        <v>12</v>
      </c>
      <c r="O126" t="s">
        <v>26</v>
      </c>
      <c r="P126">
        <v>84329</v>
      </c>
      <c r="Q126">
        <v>32.96</v>
      </c>
      <c r="R126">
        <v>129.88</v>
      </c>
      <c r="S126">
        <v>-0.37564320007513169</v>
      </c>
      <c r="T126">
        <v>2.550262261146783E-2</v>
      </c>
      <c r="U126">
        <v>-9.0150337448704349E-4</v>
      </c>
      <c r="V126">
        <v>5.286970223433652E-3</v>
      </c>
      <c r="W126">
        <v>-6.1884735979206946E-3</v>
      </c>
    </row>
    <row r="127" spans="1:23" x14ac:dyDescent="0.25">
      <c r="A127">
        <v>15</v>
      </c>
      <c r="B127" t="s">
        <v>28</v>
      </c>
      <c r="C127" t="s">
        <v>30</v>
      </c>
      <c r="D127">
        <v>84937</v>
      </c>
      <c r="E127">
        <v>31.35</v>
      </c>
      <c r="F127">
        <v>126.985</v>
      </c>
      <c r="G127">
        <v>31.365675</v>
      </c>
      <c r="H127">
        <v>126.9215075</v>
      </c>
      <c r="I127">
        <v>-3.717654798184415</v>
      </c>
      <c r="J127">
        <v>1.643807015224438</v>
      </c>
      <c r="K127">
        <v>0.31897926634768742</v>
      </c>
      <c r="L127">
        <v>-0.1294489124876512</v>
      </c>
      <c r="M127" t="s">
        <v>27</v>
      </c>
      <c r="N127">
        <v>8</v>
      </c>
      <c r="O127" t="s">
        <v>26</v>
      </c>
      <c r="P127">
        <v>84945</v>
      </c>
      <c r="Q127">
        <v>31.274999999999999</v>
      </c>
      <c r="R127">
        <v>126.73</v>
      </c>
      <c r="S127">
        <v>-0.25492213638953493</v>
      </c>
      <c r="T127">
        <v>9.0860277082704492E-3</v>
      </c>
      <c r="U127">
        <v>-1.7323575985140251E-2</v>
      </c>
      <c r="V127">
        <v>5.2869702234336511E-3</v>
      </c>
      <c r="W127">
        <v>-2.261054620857391E-2</v>
      </c>
    </row>
    <row r="128" spans="1:23" x14ac:dyDescent="0.25">
      <c r="A128">
        <v>15</v>
      </c>
      <c r="B128" t="s">
        <v>28</v>
      </c>
      <c r="C128" t="s">
        <v>30</v>
      </c>
      <c r="D128">
        <v>86191</v>
      </c>
      <c r="E128">
        <v>32.13000000000001</v>
      </c>
      <c r="F128">
        <v>129.28000000000009</v>
      </c>
      <c r="G128">
        <v>32.146065000000007</v>
      </c>
      <c r="H128">
        <v>129.21536000000009</v>
      </c>
      <c r="I128">
        <v>-4.6578283527110251</v>
      </c>
      <c r="J128">
        <v>1.643807015224438</v>
      </c>
      <c r="K128">
        <v>0.31123560535325229</v>
      </c>
      <c r="L128">
        <v>-0.12715091392515759</v>
      </c>
      <c r="M128" t="s">
        <v>27</v>
      </c>
      <c r="N128">
        <v>4</v>
      </c>
      <c r="O128" t="s">
        <v>26</v>
      </c>
      <c r="P128">
        <v>86195</v>
      </c>
      <c r="Q128">
        <v>32.21</v>
      </c>
      <c r="R128">
        <v>128.88499999999999</v>
      </c>
      <c r="S128">
        <v>-0.28533332428906261</v>
      </c>
      <c r="T128">
        <v>7.5123459428703215E-2</v>
      </c>
      <c r="U128">
        <v>4.8698052157749312E-2</v>
      </c>
      <c r="V128">
        <v>5.286970223433652E-3</v>
      </c>
      <c r="W128">
        <v>4.3411081934315657E-2</v>
      </c>
    </row>
    <row r="129" spans="1:23" x14ac:dyDescent="0.25">
      <c r="A129">
        <v>15</v>
      </c>
      <c r="B129" t="s">
        <v>28</v>
      </c>
      <c r="C129" t="s">
        <v>30</v>
      </c>
      <c r="D129">
        <v>86284</v>
      </c>
      <c r="E129">
        <v>31.405000000000001</v>
      </c>
      <c r="F129">
        <v>127.57</v>
      </c>
      <c r="G129">
        <v>31.389297500000001</v>
      </c>
      <c r="H129">
        <v>127.6337849999999</v>
      </c>
      <c r="I129">
        <v>3.843003931952762</v>
      </c>
      <c r="J129">
        <v>1.643807015224438</v>
      </c>
      <c r="K129">
        <v>-0.31842063365706103</v>
      </c>
      <c r="L129">
        <v>0.12885529632550269</v>
      </c>
      <c r="M129" t="s">
        <v>25</v>
      </c>
      <c r="N129">
        <v>15</v>
      </c>
      <c r="O129" t="s">
        <v>26</v>
      </c>
      <c r="P129">
        <v>86299</v>
      </c>
      <c r="Q129">
        <v>31.555</v>
      </c>
      <c r="R129">
        <v>128.13999999999999</v>
      </c>
      <c r="S129">
        <v>5.5853435966292143E-2</v>
      </c>
      <c r="T129">
        <v>2.5684423856983871E-2</v>
      </c>
      <c r="U129">
        <v>-8.1425160223479176E-4</v>
      </c>
      <c r="V129">
        <v>5.2882578374641E-3</v>
      </c>
      <c r="W129">
        <v>-6.1025094396988918E-3</v>
      </c>
    </row>
    <row r="130" spans="1:23" x14ac:dyDescent="0.25">
      <c r="A130">
        <v>16</v>
      </c>
      <c r="B130" t="s">
        <v>34</v>
      </c>
      <c r="C130" t="s">
        <v>31</v>
      </c>
      <c r="D130">
        <v>86401</v>
      </c>
      <c r="E130">
        <v>339.55</v>
      </c>
      <c r="F130">
        <v>42.390000000000008</v>
      </c>
      <c r="G130">
        <v>339.38022500000011</v>
      </c>
      <c r="H130">
        <v>42.411195000000014</v>
      </c>
      <c r="I130">
        <v>5.2946490174794079</v>
      </c>
      <c r="J130">
        <v>0.39336293532895111</v>
      </c>
      <c r="K130">
        <v>-2.9450743631276689E-2</v>
      </c>
      <c r="L130">
        <v>9.2796163087744993E-2</v>
      </c>
      <c r="M130" t="s">
        <v>25</v>
      </c>
      <c r="N130">
        <v>23</v>
      </c>
      <c r="O130" t="s">
        <v>26</v>
      </c>
      <c r="P130">
        <v>86424</v>
      </c>
      <c r="Q130">
        <v>338.75000000000011</v>
      </c>
      <c r="R130">
        <v>42.374999999999993</v>
      </c>
      <c r="S130">
        <v>0.49139608184439898</v>
      </c>
      <c r="T130">
        <v>2.2168652458702469E-2</v>
      </c>
      <c r="U130">
        <v>8.2474993740902294E-3</v>
      </c>
      <c r="V130">
        <v>2.7861192335932308E-3</v>
      </c>
      <c r="W130">
        <v>5.4613801404969978E-3</v>
      </c>
    </row>
    <row r="131" spans="1:23" x14ac:dyDescent="0.25">
      <c r="A131">
        <v>16</v>
      </c>
      <c r="B131" t="s">
        <v>34</v>
      </c>
      <c r="C131" t="s">
        <v>31</v>
      </c>
      <c r="D131">
        <v>86576</v>
      </c>
      <c r="E131">
        <v>338.74000000000012</v>
      </c>
      <c r="F131">
        <v>42.279999999999987</v>
      </c>
      <c r="G131">
        <v>338.57063000000011</v>
      </c>
      <c r="H131">
        <v>42.30113999999999</v>
      </c>
      <c r="I131">
        <v>4.1060369344778529</v>
      </c>
      <c r="J131">
        <v>0.39336293532895111</v>
      </c>
      <c r="K131">
        <v>-2.952116667650705E-2</v>
      </c>
      <c r="L131">
        <v>9.3037591137405673E-2</v>
      </c>
      <c r="M131" t="s">
        <v>25</v>
      </c>
      <c r="N131">
        <v>2</v>
      </c>
      <c r="O131" t="s">
        <v>26</v>
      </c>
      <c r="P131">
        <v>86578</v>
      </c>
      <c r="Q131">
        <v>338.00000000000011</v>
      </c>
      <c r="R131">
        <v>42.27</v>
      </c>
      <c r="S131">
        <v>0.35008788200091701</v>
      </c>
      <c r="T131">
        <v>2.0915287429241609E-2</v>
      </c>
      <c r="U131">
        <v>6.9930460955801724E-3</v>
      </c>
      <c r="V131">
        <v>2.7861192335932308E-3</v>
      </c>
      <c r="W131">
        <v>4.2069268619869416E-3</v>
      </c>
    </row>
    <row r="132" spans="1:23" x14ac:dyDescent="0.25">
      <c r="A132">
        <v>16</v>
      </c>
      <c r="B132" t="s">
        <v>34</v>
      </c>
      <c r="C132" t="s">
        <v>31</v>
      </c>
      <c r="D132">
        <v>86582</v>
      </c>
      <c r="E132">
        <v>333.83</v>
      </c>
      <c r="F132">
        <v>42.029999999999987</v>
      </c>
      <c r="G132">
        <v>333.99691499999989</v>
      </c>
      <c r="H132">
        <v>42.008985000000003</v>
      </c>
      <c r="I132">
        <v>-4.8824635346672327</v>
      </c>
      <c r="J132">
        <v>0.39336293532895111</v>
      </c>
      <c r="K132">
        <v>2.9955366503909179E-2</v>
      </c>
      <c r="L132">
        <v>-9.3590991037104734E-2</v>
      </c>
      <c r="M132" t="s">
        <v>27</v>
      </c>
      <c r="N132">
        <v>27</v>
      </c>
      <c r="O132" t="s">
        <v>26</v>
      </c>
      <c r="P132">
        <v>86609</v>
      </c>
      <c r="Q132">
        <v>333.2600000000001</v>
      </c>
      <c r="R132">
        <v>41.70000000000001</v>
      </c>
      <c r="S132">
        <v>-0.24394220041042161</v>
      </c>
      <c r="T132">
        <v>1.3810468135018451E-2</v>
      </c>
      <c r="U132">
        <v>-9.9181425294535969E-5</v>
      </c>
      <c r="V132">
        <v>2.7873325077225741E-3</v>
      </c>
      <c r="W132">
        <v>-2.88651393301711E-3</v>
      </c>
    </row>
    <row r="133" spans="1:23" x14ac:dyDescent="0.25">
      <c r="A133">
        <v>16</v>
      </c>
      <c r="B133" t="s">
        <v>34</v>
      </c>
      <c r="C133" t="s">
        <v>31</v>
      </c>
      <c r="D133">
        <v>86971</v>
      </c>
      <c r="E133">
        <v>328.95999999999992</v>
      </c>
      <c r="F133">
        <v>41.850000000000009</v>
      </c>
      <c r="G133">
        <v>329.12447999999978</v>
      </c>
      <c r="H133">
        <v>41.82907500000001</v>
      </c>
      <c r="I133">
        <v>-4.7093131202575904</v>
      </c>
      <c r="J133">
        <v>0.39336293532895111</v>
      </c>
      <c r="K133">
        <v>3.039883268482492E-2</v>
      </c>
      <c r="L133">
        <v>-9.3993532934038476E-2</v>
      </c>
      <c r="M133" t="s">
        <v>27</v>
      </c>
      <c r="N133">
        <v>21</v>
      </c>
      <c r="O133" t="s">
        <v>26</v>
      </c>
      <c r="P133">
        <v>86992</v>
      </c>
      <c r="Q133">
        <v>328.67000000000007</v>
      </c>
      <c r="R133">
        <v>41.795000000000002</v>
      </c>
      <c r="S133">
        <v>-0.4492626902807173</v>
      </c>
      <c r="T133">
        <v>-3.6460171672184501E-3</v>
      </c>
      <c r="U133">
        <v>-1.757265386761139E-2</v>
      </c>
      <c r="V133">
        <v>2.7873325077225732E-3</v>
      </c>
      <c r="W133">
        <v>-2.0359986375333958E-2</v>
      </c>
    </row>
    <row r="134" spans="1:23" x14ac:dyDescent="0.25">
      <c r="A134">
        <v>16</v>
      </c>
      <c r="B134" t="s">
        <v>34</v>
      </c>
      <c r="C134" t="s">
        <v>31</v>
      </c>
      <c r="D134">
        <v>87366</v>
      </c>
      <c r="E134">
        <v>321.78000000000009</v>
      </c>
      <c r="F134">
        <v>41.424999999999997</v>
      </c>
      <c r="G134">
        <v>321.94089000000008</v>
      </c>
      <c r="H134">
        <v>41.404287500000009</v>
      </c>
      <c r="I134">
        <v>-4.9359961550935951</v>
      </c>
      <c r="J134">
        <v>0.39336293532895111</v>
      </c>
      <c r="K134">
        <v>3.107713344521101E-2</v>
      </c>
      <c r="L134">
        <v>-9.495786006733882E-2</v>
      </c>
      <c r="M134" t="s">
        <v>27</v>
      </c>
      <c r="N134">
        <v>19</v>
      </c>
      <c r="O134" t="s">
        <v>26</v>
      </c>
      <c r="P134">
        <v>87385</v>
      </c>
      <c r="Q134">
        <v>322.31</v>
      </c>
      <c r="R134">
        <v>41.35</v>
      </c>
      <c r="S134">
        <v>-0.31358976496409829</v>
      </c>
      <c r="T134">
        <v>2.35927202310099E-2</v>
      </c>
      <c r="U134">
        <v>9.6544163571106161E-3</v>
      </c>
      <c r="V134">
        <v>2.7873325077225741E-3</v>
      </c>
      <c r="W134">
        <v>6.8670838493880421E-3</v>
      </c>
    </row>
    <row r="135" spans="1:23" x14ac:dyDescent="0.25">
      <c r="A135">
        <v>16</v>
      </c>
      <c r="B135" t="s">
        <v>34</v>
      </c>
      <c r="C135" t="s">
        <v>31</v>
      </c>
      <c r="D135">
        <v>87698</v>
      </c>
      <c r="E135">
        <v>320.51499999999999</v>
      </c>
      <c r="F135">
        <v>41.11999999999999</v>
      </c>
      <c r="G135">
        <v>320.35474249999999</v>
      </c>
      <c r="H135">
        <v>41.140559999999986</v>
      </c>
      <c r="I135">
        <v>3.7290298800630359</v>
      </c>
      <c r="J135">
        <v>0.39336293532895111</v>
      </c>
      <c r="K135">
        <v>-3.1199787841442679E-2</v>
      </c>
      <c r="L135">
        <v>9.5662192443811092E-2</v>
      </c>
      <c r="M135" t="s">
        <v>25</v>
      </c>
      <c r="N135">
        <v>5</v>
      </c>
      <c r="O135" t="s">
        <v>26</v>
      </c>
      <c r="P135">
        <v>87703</v>
      </c>
      <c r="Q135">
        <v>319.99999999999989</v>
      </c>
      <c r="R135">
        <v>41.055</v>
      </c>
      <c r="S135">
        <v>0.48404170810169689</v>
      </c>
      <c r="T135">
        <v>9.8498482294992768E-3</v>
      </c>
      <c r="U135">
        <v>-4.0726381571652851E-3</v>
      </c>
      <c r="V135">
        <v>2.7861192335932308E-3</v>
      </c>
      <c r="W135">
        <v>-6.8587573907585159E-3</v>
      </c>
    </row>
    <row r="136" spans="1:23" x14ac:dyDescent="0.25">
      <c r="A136">
        <v>16</v>
      </c>
      <c r="B136" t="s">
        <v>34</v>
      </c>
      <c r="C136" t="s">
        <v>31</v>
      </c>
      <c r="D136">
        <v>87752</v>
      </c>
      <c r="E136">
        <v>315.4500000000001</v>
      </c>
      <c r="F136">
        <v>40.51</v>
      </c>
      <c r="G136">
        <v>315.60772500000007</v>
      </c>
      <c r="H136">
        <v>40.489744999999999</v>
      </c>
      <c r="I136">
        <v>-4.4769941430361371</v>
      </c>
      <c r="J136">
        <v>0.39336293532895111</v>
      </c>
      <c r="K136">
        <v>3.1700744967506717E-2</v>
      </c>
      <c r="L136">
        <v>-9.7102674729437455E-2</v>
      </c>
      <c r="M136" t="s">
        <v>27</v>
      </c>
      <c r="N136">
        <v>17</v>
      </c>
      <c r="O136" t="s">
        <v>26</v>
      </c>
      <c r="P136">
        <v>87769</v>
      </c>
      <c r="Q136">
        <v>315.7600000000001</v>
      </c>
      <c r="R136">
        <v>40.539999999999992</v>
      </c>
      <c r="S136">
        <v>-0.42291089270346471</v>
      </c>
      <c r="T136">
        <v>6.9141506980446134E-3</v>
      </c>
      <c r="U136">
        <v>-7.0258488108336974E-3</v>
      </c>
      <c r="V136">
        <v>2.7873325077225732E-3</v>
      </c>
      <c r="W136">
        <v>-9.8131813185562706E-3</v>
      </c>
    </row>
    <row r="137" spans="1:23" x14ac:dyDescent="0.25">
      <c r="A137">
        <v>16</v>
      </c>
      <c r="B137" t="s">
        <v>34</v>
      </c>
      <c r="C137" t="s">
        <v>31</v>
      </c>
      <c r="D137">
        <v>87935</v>
      </c>
      <c r="E137">
        <v>316.02999999999992</v>
      </c>
      <c r="F137">
        <v>40.705000000000013</v>
      </c>
      <c r="G137">
        <v>315.87198499999988</v>
      </c>
      <c r="H137">
        <v>40.7253525</v>
      </c>
      <c r="I137">
        <v>3.6901268752157739</v>
      </c>
      <c r="J137">
        <v>0.39336293532895111</v>
      </c>
      <c r="K137">
        <v>-3.1642565579217172E-2</v>
      </c>
      <c r="L137">
        <v>9.6637497931200356E-2</v>
      </c>
      <c r="M137" t="s">
        <v>25</v>
      </c>
      <c r="N137">
        <v>9</v>
      </c>
      <c r="O137" t="s">
        <v>26</v>
      </c>
      <c r="P137">
        <v>87944</v>
      </c>
      <c r="Q137">
        <v>315.61</v>
      </c>
      <c r="R137">
        <v>40.659999999999997</v>
      </c>
      <c r="S137">
        <v>0.43253561073315522</v>
      </c>
      <c r="T137">
        <v>8.9411901363632505E-3</v>
      </c>
      <c r="U137">
        <v>-4.9836199344499106E-3</v>
      </c>
      <c r="V137">
        <v>2.7861192335932308E-3</v>
      </c>
      <c r="W137">
        <v>-7.7697391680431431E-3</v>
      </c>
    </row>
    <row r="138" spans="1:23" x14ac:dyDescent="0.25">
      <c r="A138">
        <v>16</v>
      </c>
      <c r="B138" t="s">
        <v>34</v>
      </c>
      <c r="C138" t="s">
        <v>31</v>
      </c>
      <c r="D138">
        <v>88069</v>
      </c>
      <c r="E138">
        <v>315.27999999999997</v>
      </c>
      <c r="F138">
        <v>40.46</v>
      </c>
      <c r="G138">
        <v>315.43763999999999</v>
      </c>
      <c r="H138">
        <v>40.439770000000003</v>
      </c>
      <c r="I138">
        <v>-3.5674588822354569</v>
      </c>
      <c r="J138">
        <v>0.39336293532895111</v>
      </c>
      <c r="K138">
        <v>3.171783811215427E-2</v>
      </c>
      <c r="L138">
        <v>-9.722267309168342E-2</v>
      </c>
      <c r="M138" t="s">
        <v>27</v>
      </c>
      <c r="N138">
        <v>20</v>
      </c>
      <c r="O138" t="s">
        <v>26</v>
      </c>
      <c r="P138">
        <v>88089</v>
      </c>
      <c r="Q138">
        <v>315.14999999999998</v>
      </c>
      <c r="R138">
        <v>40.414999999999992</v>
      </c>
      <c r="S138">
        <v>-0.48403698207829288</v>
      </c>
      <c r="T138">
        <v>2.5170133454669938E-4</v>
      </c>
      <c r="U138">
        <v>-1.3677678849119501E-2</v>
      </c>
      <c r="V138">
        <v>2.7873325077225732E-3</v>
      </c>
      <c r="W138">
        <v>-1.6465011356842071E-2</v>
      </c>
    </row>
    <row r="139" spans="1:23" x14ac:dyDescent="0.25">
      <c r="A139">
        <v>16</v>
      </c>
      <c r="B139" t="s">
        <v>34</v>
      </c>
      <c r="C139" t="s">
        <v>31</v>
      </c>
      <c r="D139">
        <v>88143</v>
      </c>
      <c r="E139">
        <v>314.63</v>
      </c>
      <c r="F139">
        <v>40.86999999999999</v>
      </c>
      <c r="G139">
        <v>314.78731499999998</v>
      </c>
      <c r="H139">
        <v>40.849564999999991</v>
      </c>
      <c r="I139">
        <v>-3.8139068561966281</v>
      </c>
      <c r="J139">
        <v>0.39336293532895111</v>
      </c>
      <c r="K139">
        <v>3.1783364586975178E-2</v>
      </c>
      <c r="L139">
        <v>-9.6247353885233963E-2</v>
      </c>
      <c r="M139" t="s">
        <v>27</v>
      </c>
      <c r="N139">
        <v>5</v>
      </c>
      <c r="O139" t="s">
        <v>26</v>
      </c>
      <c r="P139">
        <v>88148</v>
      </c>
      <c r="Q139">
        <v>315.98000000000008</v>
      </c>
      <c r="R139">
        <v>41.01</v>
      </c>
      <c r="S139">
        <v>-0.22556128723962759</v>
      </c>
      <c r="T139">
        <v>2.9432912648485521E-2</v>
      </c>
      <c r="U139">
        <v>1.547109220932899E-2</v>
      </c>
      <c r="V139">
        <v>2.7873325077225732E-3</v>
      </c>
      <c r="W139">
        <v>1.2683759701606409E-2</v>
      </c>
    </row>
    <row r="140" spans="1:23" x14ac:dyDescent="0.25">
      <c r="A140">
        <v>16</v>
      </c>
      <c r="B140" t="s">
        <v>34</v>
      </c>
      <c r="C140" t="s">
        <v>31</v>
      </c>
      <c r="D140">
        <v>88922</v>
      </c>
      <c r="E140">
        <v>311.62999999999988</v>
      </c>
      <c r="F140">
        <v>40.920000000000009</v>
      </c>
      <c r="G140">
        <v>311.7858149999999</v>
      </c>
      <c r="H140">
        <v>40.899540000000009</v>
      </c>
      <c r="I140">
        <v>-4.7549943107457029</v>
      </c>
      <c r="J140">
        <v>0.39336293532895111</v>
      </c>
      <c r="K140">
        <v>3.208933671341014E-2</v>
      </c>
      <c r="L140">
        <v>-9.6129749591630259E-2</v>
      </c>
      <c r="M140" t="s">
        <v>27</v>
      </c>
      <c r="N140">
        <v>8</v>
      </c>
      <c r="O140" t="s">
        <v>26</v>
      </c>
      <c r="P140">
        <v>88930</v>
      </c>
      <c r="Q140">
        <v>313.04000000000002</v>
      </c>
      <c r="R140">
        <v>40.725000000000001</v>
      </c>
      <c r="S140">
        <v>0.45345279489468471</v>
      </c>
      <c r="T140">
        <v>6.3991265936277714E-2</v>
      </c>
      <c r="U140">
        <v>5.0044386251191911E-2</v>
      </c>
      <c r="V140">
        <v>2.7873325077225732E-3</v>
      </c>
      <c r="W140">
        <v>4.7257053743469328E-2</v>
      </c>
    </row>
    <row r="141" spans="1:23" x14ac:dyDescent="0.25">
      <c r="A141">
        <v>16</v>
      </c>
      <c r="B141" t="s">
        <v>34</v>
      </c>
      <c r="C141" t="s">
        <v>31</v>
      </c>
      <c r="D141">
        <v>89313</v>
      </c>
      <c r="E141">
        <v>318.84999999999991</v>
      </c>
      <c r="F141">
        <v>41.71</v>
      </c>
      <c r="G141">
        <v>318.69057499999991</v>
      </c>
      <c r="H141">
        <v>41.730854999999998</v>
      </c>
      <c r="I141">
        <v>4.6714159659668182</v>
      </c>
      <c r="J141">
        <v>0.39336293532895111</v>
      </c>
      <c r="K141">
        <v>-3.1362709738121393E-2</v>
      </c>
      <c r="L141">
        <v>9.4309023094929542E-2</v>
      </c>
      <c r="M141" t="s">
        <v>25</v>
      </c>
      <c r="N141">
        <v>39</v>
      </c>
      <c r="O141" t="s">
        <v>26</v>
      </c>
      <c r="P141">
        <v>89352</v>
      </c>
      <c r="Q141">
        <v>323.5800000000001</v>
      </c>
      <c r="R141">
        <v>42.099999999999987</v>
      </c>
      <c r="S141">
        <v>0.13470425158484831</v>
      </c>
      <c r="T141">
        <v>-0.11156509805429821</v>
      </c>
      <c r="U141">
        <v>-0.12559129047562101</v>
      </c>
      <c r="V141">
        <v>2.7861192335932321E-3</v>
      </c>
      <c r="W141">
        <v>-0.12837740970921421</v>
      </c>
    </row>
    <row r="142" spans="1:23" x14ac:dyDescent="0.25">
      <c r="A142">
        <v>16</v>
      </c>
      <c r="B142" t="s">
        <v>34</v>
      </c>
      <c r="C142" t="s">
        <v>31</v>
      </c>
      <c r="D142">
        <v>89453</v>
      </c>
      <c r="E142">
        <v>323.94</v>
      </c>
      <c r="F142">
        <v>41.9</v>
      </c>
      <c r="G142">
        <v>324.10196999999999</v>
      </c>
      <c r="H142">
        <v>41.879049999999999</v>
      </c>
      <c r="I142">
        <v>-3.8300695446419599</v>
      </c>
      <c r="J142">
        <v>0.39336293532895111</v>
      </c>
      <c r="K142">
        <v>3.0869914181638571E-2</v>
      </c>
      <c r="L142">
        <v>-9.3881368813592159E-2</v>
      </c>
      <c r="M142" t="s">
        <v>27</v>
      </c>
      <c r="N142">
        <v>18</v>
      </c>
      <c r="O142" t="s">
        <v>26</v>
      </c>
      <c r="P142">
        <v>89471</v>
      </c>
      <c r="Q142">
        <v>324.23000000000008</v>
      </c>
      <c r="R142">
        <v>41.974999999999987</v>
      </c>
      <c r="S142">
        <v>-0.29166222949470538</v>
      </c>
      <c r="T142">
        <v>1.911172451660317E-3</v>
      </c>
      <c r="U142">
        <v>-1.2030453590514681E-2</v>
      </c>
      <c r="V142">
        <v>2.7873325077225732E-3</v>
      </c>
      <c r="W142">
        <v>-1.4817786098237249E-2</v>
      </c>
    </row>
    <row r="143" spans="1:23" x14ac:dyDescent="0.25">
      <c r="A143">
        <v>16</v>
      </c>
      <c r="B143" t="s">
        <v>34</v>
      </c>
      <c r="C143" t="s">
        <v>31</v>
      </c>
      <c r="D143">
        <v>89799</v>
      </c>
      <c r="E143">
        <v>324.19500000000011</v>
      </c>
      <c r="F143">
        <v>42.749999999999993</v>
      </c>
      <c r="G143">
        <v>324.03290250000009</v>
      </c>
      <c r="H143">
        <v>42.771374999999992</v>
      </c>
      <c r="I143">
        <v>3.5467035313094439</v>
      </c>
      <c r="J143">
        <v>0.39336293532895111</v>
      </c>
      <c r="K143">
        <v>-3.0845633029503841E-2</v>
      </c>
      <c r="L143">
        <v>9.2014721714374553E-2</v>
      </c>
      <c r="M143" t="s">
        <v>25</v>
      </c>
      <c r="N143">
        <v>34</v>
      </c>
      <c r="O143" t="s">
        <v>26</v>
      </c>
      <c r="P143">
        <v>89833</v>
      </c>
      <c r="Q143">
        <v>324.61000000000013</v>
      </c>
      <c r="R143">
        <v>42.844999999999999</v>
      </c>
      <c r="S143">
        <v>0.40196656478089021</v>
      </c>
      <c r="T143">
        <v>-4.0595391443785933E-3</v>
      </c>
      <c r="U143">
        <v>-1.80039396658019E-2</v>
      </c>
      <c r="V143">
        <v>2.7861192335932321E-3</v>
      </c>
      <c r="W143">
        <v>-2.0790058899395131E-2</v>
      </c>
    </row>
    <row r="144" spans="1:23" x14ac:dyDescent="0.25">
      <c r="A144" s="29">
        <v>16</v>
      </c>
      <c r="B144" s="29" t="s">
        <v>34</v>
      </c>
      <c r="C144" s="29" t="s">
        <v>31</v>
      </c>
      <c r="D144" s="29">
        <v>89994</v>
      </c>
      <c r="E144" s="29">
        <v>323.92000000000007</v>
      </c>
      <c r="F144" s="29">
        <v>42.795000000000002</v>
      </c>
      <c r="G144" s="29">
        <v>324.08195999999998</v>
      </c>
      <c r="H144" s="29">
        <v>42.773602500000003</v>
      </c>
      <c r="I144" s="29">
        <v>-3.7058095984317809</v>
      </c>
      <c r="J144" s="29">
        <v>0.39336293532895111</v>
      </c>
      <c r="K144" s="29">
        <v>3.0871820202519131E-2</v>
      </c>
      <c r="L144" s="29">
        <v>-9.1917965960731651E-2</v>
      </c>
      <c r="M144" s="29" t="s">
        <v>27</v>
      </c>
      <c r="N144" s="29">
        <v>9</v>
      </c>
      <c r="O144" s="29" t="s">
        <v>26</v>
      </c>
      <c r="P144" s="29">
        <v>90003</v>
      </c>
      <c r="Q144" s="29">
        <v>324.20999999999992</v>
      </c>
      <c r="R144" s="29">
        <v>42.805000000000007</v>
      </c>
      <c r="S144" s="29">
        <v>0.1291398872970777</v>
      </c>
      <c r="T144" s="29">
        <v>8.0336481991181291E-3</v>
      </c>
      <c r="U144" s="29">
        <v>-5.9049171579293458E-3</v>
      </c>
      <c r="V144" s="29">
        <v>2.7873325077225732E-3</v>
      </c>
      <c r="W144" s="29">
        <v>-8.6922496656519181E-3</v>
      </c>
    </row>
    <row r="145" spans="1:23" x14ac:dyDescent="0.25">
      <c r="A145">
        <v>17</v>
      </c>
      <c r="B145" t="s">
        <v>35</v>
      </c>
      <c r="C145" t="s">
        <v>30</v>
      </c>
      <c r="D145">
        <v>90301</v>
      </c>
      <c r="E145">
        <v>86.305000000000021</v>
      </c>
      <c r="F145">
        <v>127.63</v>
      </c>
      <c r="G145">
        <v>86.348152500000012</v>
      </c>
      <c r="H145">
        <v>127.566185</v>
      </c>
      <c r="I145">
        <v>-5.2946439294487284</v>
      </c>
      <c r="J145">
        <v>0.52680924431310061</v>
      </c>
      <c r="K145">
        <v>0.11586814205434209</v>
      </c>
      <c r="L145">
        <v>-4.1276286477560167E-2</v>
      </c>
      <c r="M145" t="s">
        <v>27</v>
      </c>
      <c r="N145">
        <v>23</v>
      </c>
      <c r="O145" t="s">
        <v>26</v>
      </c>
      <c r="P145">
        <v>90324</v>
      </c>
      <c r="Q145">
        <v>85.67</v>
      </c>
      <c r="R145">
        <v>125.81</v>
      </c>
      <c r="S145">
        <v>-0.4893451479429371</v>
      </c>
      <c r="T145">
        <v>1.5465711846491541E-3</v>
      </c>
      <c r="U145">
        <v>-1.364717170268263E-2</v>
      </c>
      <c r="V145">
        <v>3.0540916793818881E-3</v>
      </c>
      <c r="W145">
        <v>-1.670126338206452E-2</v>
      </c>
    </row>
    <row r="146" spans="1:23" x14ac:dyDescent="0.25">
      <c r="A146">
        <v>17</v>
      </c>
      <c r="B146" t="s">
        <v>35</v>
      </c>
      <c r="C146" t="s">
        <v>30</v>
      </c>
      <c r="D146">
        <v>90555</v>
      </c>
      <c r="E146">
        <v>86.069999999999965</v>
      </c>
      <c r="F146">
        <v>127.24</v>
      </c>
      <c r="G146">
        <v>86.026964999999976</v>
      </c>
      <c r="H146">
        <v>127.30362</v>
      </c>
      <c r="I146">
        <v>3.529201991827136</v>
      </c>
      <c r="J146">
        <v>0.52680924431310061</v>
      </c>
      <c r="K146">
        <v>-0.1161845009875683</v>
      </c>
      <c r="L146">
        <v>4.1402801344946609E-2</v>
      </c>
      <c r="M146" t="s">
        <v>25</v>
      </c>
      <c r="N146">
        <v>20</v>
      </c>
      <c r="O146" t="s">
        <v>26</v>
      </c>
      <c r="P146">
        <v>90575</v>
      </c>
      <c r="Q146">
        <v>86.009999999999991</v>
      </c>
      <c r="R146">
        <v>127.2</v>
      </c>
      <c r="S146">
        <v>0.17713185539014359</v>
      </c>
      <c r="T146">
        <v>5.3149580054535246E-3</v>
      </c>
      <c r="U146">
        <v>-9.9488208466181286E-3</v>
      </c>
      <c r="V146">
        <v>3.0531452978705149E-3</v>
      </c>
      <c r="W146">
        <v>-1.300196614448864E-2</v>
      </c>
    </row>
    <row r="147" spans="1:23" x14ac:dyDescent="0.25">
      <c r="A147">
        <v>17</v>
      </c>
      <c r="B147" t="s">
        <v>35</v>
      </c>
      <c r="C147" t="s">
        <v>30</v>
      </c>
      <c r="D147">
        <v>90693</v>
      </c>
      <c r="E147">
        <v>84.510000000000019</v>
      </c>
      <c r="F147">
        <v>124.47</v>
      </c>
      <c r="G147">
        <v>84.552255000000017</v>
      </c>
      <c r="H147">
        <v>124.407765</v>
      </c>
      <c r="I147">
        <v>-4.8810028276553457</v>
      </c>
      <c r="J147">
        <v>0.52680924431310061</v>
      </c>
      <c r="K147">
        <v>0.1183291918116199</v>
      </c>
      <c r="L147">
        <v>-4.2324194128151423E-2</v>
      </c>
      <c r="M147" t="s">
        <v>27</v>
      </c>
      <c r="N147">
        <v>12</v>
      </c>
      <c r="O147" t="s">
        <v>26</v>
      </c>
      <c r="P147">
        <v>90705</v>
      </c>
      <c r="Q147">
        <v>84.069999999999979</v>
      </c>
      <c r="R147">
        <v>122.245</v>
      </c>
      <c r="S147">
        <v>-0.47855242520358449</v>
      </c>
      <c r="T147">
        <v>4.210648753801674E-2</v>
      </c>
      <c r="U147">
        <v>2.6911513183053081E-2</v>
      </c>
      <c r="V147">
        <v>3.0540916793818881E-3</v>
      </c>
      <c r="W147">
        <v>2.3857421503671188E-2</v>
      </c>
    </row>
    <row r="148" spans="1:23" x14ac:dyDescent="0.25">
      <c r="A148">
        <v>17</v>
      </c>
      <c r="B148" t="s">
        <v>35</v>
      </c>
      <c r="C148" t="s">
        <v>30</v>
      </c>
      <c r="D148">
        <v>91084</v>
      </c>
      <c r="E148">
        <v>82.97499999999998</v>
      </c>
      <c r="F148">
        <v>124.08</v>
      </c>
      <c r="G148">
        <v>83.016487499999982</v>
      </c>
      <c r="H148">
        <v>124.01796</v>
      </c>
      <c r="I148">
        <v>-4.6736235288174406</v>
      </c>
      <c r="J148">
        <v>0.52680924431310061</v>
      </c>
      <c r="K148">
        <v>0.12051822838204281</v>
      </c>
      <c r="L148">
        <v>-4.2457224718979732E-2</v>
      </c>
      <c r="M148" t="s">
        <v>27</v>
      </c>
      <c r="N148">
        <v>9</v>
      </c>
      <c r="O148" t="s">
        <v>26</v>
      </c>
      <c r="P148">
        <v>91093</v>
      </c>
      <c r="Q148">
        <v>83.484999999999985</v>
      </c>
      <c r="R148">
        <v>124.7</v>
      </c>
      <c r="S148">
        <v>-0.49086538536504998</v>
      </c>
      <c r="T148">
        <v>3.5140817149076027E-2</v>
      </c>
      <c r="U148">
        <v>1.9828830818045051E-2</v>
      </c>
      <c r="V148">
        <v>3.0540916793818881E-3</v>
      </c>
      <c r="W148">
        <v>1.6774739138663161E-2</v>
      </c>
    </row>
    <row r="149" spans="1:23" x14ac:dyDescent="0.25">
      <c r="A149">
        <v>17</v>
      </c>
      <c r="B149" t="s">
        <v>35</v>
      </c>
      <c r="C149" t="s">
        <v>30</v>
      </c>
      <c r="D149">
        <v>91484</v>
      </c>
      <c r="E149">
        <v>83.625000000000014</v>
      </c>
      <c r="F149">
        <v>124.9</v>
      </c>
      <c r="G149">
        <v>83.583187500000022</v>
      </c>
      <c r="H149">
        <v>124.96245</v>
      </c>
      <c r="I149">
        <v>3.6529188356005098</v>
      </c>
      <c r="J149">
        <v>0.52680924431310061</v>
      </c>
      <c r="K149">
        <v>-0.1195814648729447</v>
      </c>
      <c r="L149">
        <v>4.2178482330912787E-2</v>
      </c>
      <c r="M149" t="s">
        <v>25</v>
      </c>
      <c r="N149">
        <v>17</v>
      </c>
      <c r="O149" t="s">
        <v>26</v>
      </c>
      <c r="P149">
        <v>91501</v>
      </c>
      <c r="Q149">
        <v>84.069999999999979</v>
      </c>
      <c r="R149">
        <v>126.49</v>
      </c>
      <c r="S149">
        <v>0.29693650329989002</v>
      </c>
      <c r="T149">
        <v>1.3850035037695911E-2</v>
      </c>
      <c r="U149">
        <v>-1.4781961748209639E-3</v>
      </c>
      <c r="V149">
        <v>3.053145297870514E-3</v>
      </c>
      <c r="W149">
        <v>-4.5313414726914792E-3</v>
      </c>
    </row>
    <row r="150" spans="1:23" x14ac:dyDescent="0.25">
      <c r="A150">
        <v>17</v>
      </c>
      <c r="B150" t="s">
        <v>35</v>
      </c>
      <c r="C150" t="s">
        <v>30</v>
      </c>
      <c r="D150">
        <v>91864</v>
      </c>
      <c r="E150">
        <v>83.42</v>
      </c>
      <c r="F150">
        <v>126.47499999999999</v>
      </c>
      <c r="G150">
        <v>83.461709999999997</v>
      </c>
      <c r="H150">
        <v>126.41176249999999</v>
      </c>
      <c r="I150">
        <v>-4.0683758416373834</v>
      </c>
      <c r="J150">
        <v>0.52680924431310061</v>
      </c>
      <c r="K150">
        <v>0.1198753296571566</v>
      </c>
      <c r="L150">
        <v>-4.1653231414358602E-2</v>
      </c>
      <c r="M150" t="s">
        <v>27</v>
      </c>
      <c r="N150">
        <v>5</v>
      </c>
      <c r="O150" t="s">
        <v>26</v>
      </c>
      <c r="P150">
        <v>91869</v>
      </c>
      <c r="Q150">
        <v>83.910000000000039</v>
      </c>
      <c r="R150">
        <v>126.81</v>
      </c>
      <c r="S150">
        <v>0.2510480371318074</v>
      </c>
      <c r="T150">
        <v>4.4785079008203707E-2</v>
      </c>
      <c r="U150">
        <v>2.948064019304571E-2</v>
      </c>
      <c r="V150">
        <v>3.0540916793818881E-3</v>
      </c>
      <c r="W150">
        <v>2.6426548513663821E-2</v>
      </c>
    </row>
    <row r="151" spans="1:23" x14ac:dyDescent="0.25">
      <c r="A151">
        <v>17</v>
      </c>
      <c r="B151" t="s">
        <v>35</v>
      </c>
      <c r="C151" t="s">
        <v>30</v>
      </c>
      <c r="D151">
        <v>92045</v>
      </c>
      <c r="E151">
        <v>84.550000000000011</v>
      </c>
      <c r="F151">
        <v>127.41</v>
      </c>
      <c r="G151">
        <v>84.592275000000001</v>
      </c>
      <c r="H151">
        <v>127.346295</v>
      </c>
      <c r="I151">
        <v>-3.6853709359788032</v>
      </c>
      <c r="J151">
        <v>0.52680924431310061</v>
      </c>
      <c r="K151">
        <v>0.1182732111176818</v>
      </c>
      <c r="L151">
        <v>-4.1347558614951777E-2</v>
      </c>
      <c r="M151" t="s">
        <v>27</v>
      </c>
      <c r="N151">
        <v>13</v>
      </c>
      <c r="O151" t="s">
        <v>26</v>
      </c>
      <c r="P151">
        <v>92058</v>
      </c>
      <c r="Q151">
        <v>84.600000000000023</v>
      </c>
      <c r="R151">
        <v>127.12</v>
      </c>
      <c r="S151">
        <v>1.1690780317653681E-2</v>
      </c>
      <c r="T151">
        <v>1.7904452554220539E-2</v>
      </c>
      <c r="U151">
        <v>2.639398676812565E-3</v>
      </c>
      <c r="V151">
        <v>3.0540916793818881E-3</v>
      </c>
      <c r="W151">
        <v>-4.1469300256932349E-4</v>
      </c>
    </row>
    <row r="152" spans="1:23" x14ac:dyDescent="0.25">
      <c r="A152">
        <v>17</v>
      </c>
      <c r="B152" t="s">
        <v>35</v>
      </c>
      <c r="C152" t="s">
        <v>30</v>
      </c>
      <c r="D152">
        <v>92255</v>
      </c>
      <c r="E152">
        <v>86.40000000000002</v>
      </c>
      <c r="F152">
        <v>126.52</v>
      </c>
      <c r="G152">
        <v>86.356800000000021</v>
      </c>
      <c r="H152">
        <v>126.58326</v>
      </c>
      <c r="I152">
        <v>4.6570878226787729</v>
      </c>
      <c r="J152">
        <v>0.52680924431310061</v>
      </c>
      <c r="K152">
        <v>-0.1157407407407407</v>
      </c>
      <c r="L152">
        <v>4.1638416401604532E-2</v>
      </c>
      <c r="M152" t="s">
        <v>25</v>
      </c>
      <c r="N152">
        <v>20</v>
      </c>
      <c r="O152" t="s">
        <v>26</v>
      </c>
      <c r="P152">
        <v>92275</v>
      </c>
      <c r="Q152">
        <v>87.199999999999989</v>
      </c>
      <c r="R152">
        <v>129.91999999999999</v>
      </c>
      <c r="S152">
        <v>0.35643916510228651</v>
      </c>
      <c r="T152">
        <v>4.8978023172865509E-2</v>
      </c>
      <c r="U152">
        <v>3.359284912555649E-2</v>
      </c>
      <c r="V152">
        <v>3.053145297870514E-3</v>
      </c>
      <c r="W152">
        <v>3.053970382768598E-2</v>
      </c>
    </row>
    <row r="153" spans="1:23" x14ac:dyDescent="0.25">
      <c r="A153">
        <v>17</v>
      </c>
      <c r="B153" t="s">
        <v>35</v>
      </c>
      <c r="C153" t="s">
        <v>30</v>
      </c>
      <c r="D153">
        <v>92475</v>
      </c>
      <c r="E153">
        <v>86.180000000000021</v>
      </c>
      <c r="F153">
        <v>127.85</v>
      </c>
      <c r="G153">
        <v>86.223090000000013</v>
      </c>
      <c r="H153">
        <v>127.786075</v>
      </c>
      <c r="I153">
        <v>-3.6553722108500128</v>
      </c>
      <c r="J153">
        <v>0.52680924431310061</v>
      </c>
      <c r="K153">
        <v>0.1160362032954281</v>
      </c>
      <c r="L153">
        <v>-4.1205259625584703E-2</v>
      </c>
      <c r="M153" t="s">
        <v>27</v>
      </c>
      <c r="N153">
        <v>9</v>
      </c>
      <c r="O153" t="s">
        <v>26</v>
      </c>
      <c r="P153">
        <v>92484</v>
      </c>
      <c r="Q153">
        <v>86.339999999999989</v>
      </c>
      <c r="R153">
        <v>128.04</v>
      </c>
      <c r="S153">
        <v>0.1013535390588992</v>
      </c>
      <c r="T153">
        <v>1.07367931984044E-2</v>
      </c>
      <c r="U153">
        <v>-4.5444966406524047E-3</v>
      </c>
      <c r="V153">
        <v>3.0540916793818881E-3</v>
      </c>
      <c r="W153">
        <v>-7.5985883200342923E-3</v>
      </c>
    </row>
    <row r="154" spans="1:23" x14ac:dyDescent="0.25">
      <c r="A154">
        <v>17</v>
      </c>
      <c r="B154" t="s">
        <v>35</v>
      </c>
      <c r="C154" t="s">
        <v>30</v>
      </c>
      <c r="D154">
        <v>92648</v>
      </c>
      <c r="E154">
        <v>86.250000000000028</v>
      </c>
      <c r="F154">
        <v>127.21</v>
      </c>
      <c r="G154">
        <v>86.206875000000039</v>
      </c>
      <c r="H154">
        <v>127.2736049999999</v>
      </c>
      <c r="I154">
        <v>4.9407964416336432</v>
      </c>
      <c r="J154">
        <v>0.52680924431310061</v>
      </c>
      <c r="K154">
        <v>-0.11594202898550721</v>
      </c>
      <c r="L154">
        <v>4.1412565388971062E-2</v>
      </c>
      <c r="M154" t="s">
        <v>25</v>
      </c>
      <c r="N154">
        <v>9</v>
      </c>
      <c r="O154" t="s">
        <v>26</v>
      </c>
      <c r="P154">
        <v>92657</v>
      </c>
      <c r="Q154">
        <v>86.470000000000027</v>
      </c>
      <c r="R154">
        <v>128.88000000000011</v>
      </c>
      <c r="S154">
        <v>-6.1409494436870563E-2</v>
      </c>
      <c r="T154">
        <v>4.36517378227744E-2</v>
      </c>
      <c r="U154">
        <v>2.8336312264357531E-2</v>
      </c>
      <c r="V154">
        <v>3.0531452978705149E-3</v>
      </c>
      <c r="W154">
        <v>2.5283166966487022E-2</v>
      </c>
    </row>
    <row r="155" spans="1:23" x14ac:dyDescent="0.25">
      <c r="A155">
        <v>17</v>
      </c>
      <c r="B155" t="s">
        <v>35</v>
      </c>
      <c r="C155" t="s">
        <v>30</v>
      </c>
      <c r="D155">
        <v>93044</v>
      </c>
      <c r="E155">
        <v>87.350000000000009</v>
      </c>
      <c r="F155">
        <v>129.86000000000001</v>
      </c>
      <c r="G155">
        <v>87.306325000000015</v>
      </c>
      <c r="H155">
        <v>129.92492999999999</v>
      </c>
      <c r="I155">
        <v>4.9998296645481437</v>
      </c>
      <c r="J155">
        <v>0.52680924431310061</v>
      </c>
      <c r="K155">
        <v>-0.1144819690898683</v>
      </c>
      <c r="L155">
        <v>4.0567476075242609E-2</v>
      </c>
      <c r="M155" t="s">
        <v>25</v>
      </c>
      <c r="N155">
        <v>16</v>
      </c>
      <c r="O155" t="s">
        <v>26</v>
      </c>
      <c r="P155">
        <v>93060</v>
      </c>
      <c r="Q155">
        <v>86.890000000000015</v>
      </c>
      <c r="R155">
        <v>130.19499999999999</v>
      </c>
      <c r="S155">
        <v>0.37081527061123992</v>
      </c>
      <c r="T155">
        <v>6.625181026654417E-2</v>
      </c>
      <c r="U155">
        <v>5.1003253624063688E-2</v>
      </c>
      <c r="V155">
        <v>3.0531452978705149E-3</v>
      </c>
      <c r="W155">
        <v>4.7950108326193168E-2</v>
      </c>
    </row>
    <row r="156" spans="1:23" x14ac:dyDescent="0.25">
      <c r="A156">
        <v>17</v>
      </c>
      <c r="B156" t="s">
        <v>35</v>
      </c>
      <c r="C156" t="s">
        <v>30</v>
      </c>
      <c r="D156">
        <v>93440</v>
      </c>
      <c r="E156">
        <v>86.470000000000027</v>
      </c>
      <c r="F156">
        <v>126.02</v>
      </c>
      <c r="G156">
        <v>86.426765000000032</v>
      </c>
      <c r="H156">
        <v>126.08301</v>
      </c>
      <c r="I156">
        <v>3.7885675811780271</v>
      </c>
      <c r="J156">
        <v>0.52680924431310061</v>
      </c>
      <c r="K156">
        <v>-0.1156470452179946</v>
      </c>
      <c r="L156">
        <v>4.1803621989612801E-2</v>
      </c>
      <c r="M156" t="s">
        <v>25</v>
      </c>
      <c r="N156">
        <v>7</v>
      </c>
      <c r="O156" t="s">
        <v>26</v>
      </c>
      <c r="P156">
        <v>93447</v>
      </c>
      <c r="Q156">
        <v>86.124999999999986</v>
      </c>
      <c r="R156">
        <v>126.48</v>
      </c>
      <c r="S156">
        <v>0.1114338357463947</v>
      </c>
      <c r="T156">
        <v>5.9127896715435772E-2</v>
      </c>
      <c r="U156">
        <v>4.3870138554549472E-2</v>
      </c>
      <c r="V156">
        <v>3.053145297870514E-3</v>
      </c>
      <c r="W156">
        <v>4.0816993256678959E-2</v>
      </c>
    </row>
    <row r="157" spans="1:23" x14ac:dyDescent="0.25">
      <c r="A157">
        <v>17</v>
      </c>
      <c r="B157" t="s">
        <v>35</v>
      </c>
      <c r="C157" t="s">
        <v>30</v>
      </c>
      <c r="D157">
        <v>93831</v>
      </c>
      <c r="E157">
        <v>86.40000000000002</v>
      </c>
      <c r="F157">
        <v>124.88</v>
      </c>
      <c r="G157">
        <v>86.356800000000021</v>
      </c>
      <c r="H157">
        <v>124.94244</v>
      </c>
      <c r="I157">
        <v>4.4477587351429309</v>
      </c>
      <c r="J157">
        <v>0.52680924431310061</v>
      </c>
      <c r="K157">
        <v>-0.1157407407407407</v>
      </c>
      <c r="L157">
        <v>4.2185237372926052E-2</v>
      </c>
      <c r="M157" t="s">
        <v>25</v>
      </c>
      <c r="N157">
        <v>38</v>
      </c>
      <c r="O157" t="s">
        <v>26</v>
      </c>
      <c r="P157">
        <v>93869</v>
      </c>
      <c r="Q157">
        <v>91.059999999999988</v>
      </c>
      <c r="R157">
        <v>128.56999999999991</v>
      </c>
      <c r="S157">
        <v>0.47081045158427931</v>
      </c>
      <c r="T157">
        <v>-0.38368832594575408</v>
      </c>
      <c r="U157">
        <v>-0.39930392607776288</v>
      </c>
      <c r="V157">
        <v>3.053145297870514E-3</v>
      </c>
      <c r="W157">
        <v>-0.40235707137563342</v>
      </c>
    </row>
    <row r="158" spans="1:23" x14ac:dyDescent="0.25">
      <c r="A158">
        <v>18</v>
      </c>
      <c r="B158" t="s">
        <v>35</v>
      </c>
      <c r="C158" t="s">
        <v>30</v>
      </c>
      <c r="D158">
        <v>94201</v>
      </c>
      <c r="E158">
        <v>91.769999999999982</v>
      </c>
      <c r="F158">
        <v>129.88</v>
      </c>
      <c r="G158">
        <v>91.724114999999983</v>
      </c>
      <c r="H158">
        <v>129.94493999999989</v>
      </c>
      <c r="I158">
        <v>5.2906873026797614</v>
      </c>
      <c r="J158">
        <v>0.49303438423246859</v>
      </c>
      <c r="K158">
        <v>-0.10896807235480011</v>
      </c>
      <c r="L158">
        <v>3.7960762567944929E-2</v>
      </c>
      <c r="M158" t="s">
        <v>25</v>
      </c>
      <c r="N158">
        <v>23</v>
      </c>
      <c r="O158" t="s">
        <v>26</v>
      </c>
      <c r="P158">
        <v>94224</v>
      </c>
      <c r="Q158">
        <v>91.980000000000018</v>
      </c>
      <c r="R158">
        <v>130.80000000000001</v>
      </c>
      <c r="S158">
        <v>0.48894314265712741</v>
      </c>
      <c r="T158">
        <v>1.204060636799904E-2</v>
      </c>
      <c r="U158">
        <v>-2.9186410727013242E-3</v>
      </c>
      <c r="V158">
        <v>2.9855618028491689E-3</v>
      </c>
      <c r="W158">
        <v>-5.9042028755504931E-3</v>
      </c>
    </row>
    <row r="159" spans="1:23" x14ac:dyDescent="0.25">
      <c r="A159">
        <v>18</v>
      </c>
      <c r="B159" t="s">
        <v>35</v>
      </c>
      <c r="C159" t="s">
        <v>30</v>
      </c>
      <c r="D159">
        <v>94614</v>
      </c>
      <c r="E159">
        <v>93.49499999999999</v>
      </c>
      <c r="F159">
        <v>131.94</v>
      </c>
      <c r="G159">
        <v>93.448252499999995</v>
      </c>
      <c r="H159">
        <v>132.00596999999999</v>
      </c>
      <c r="I159">
        <v>4.3672884752087473</v>
      </c>
      <c r="J159">
        <v>0.49303438423246859</v>
      </c>
      <c r="K159">
        <v>-0.10695759131504359</v>
      </c>
      <c r="L159">
        <v>3.7368075203309731E-2</v>
      </c>
      <c r="M159" t="s">
        <v>25</v>
      </c>
      <c r="N159">
        <v>18</v>
      </c>
      <c r="O159" t="s">
        <v>26</v>
      </c>
      <c r="P159">
        <v>94632</v>
      </c>
      <c r="Q159">
        <v>93.965000000000018</v>
      </c>
      <c r="R159">
        <v>132.76</v>
      </c>
      <c r="S159">
        <v>0.3746826911999171</v>
      </c>
      <c r="T159">
        <v>-1.9628246251359682E-2</v>
      </c>
      <c r="U159">
        <v>-3.4599046038475113E-2</v>
      </c>
      <c r="V159">
        <v>2.9855618028491698E-3</v>
      </c>
      <c r="W159">
        <v>-3.7584607841324273E-2</v>
      </c>
    </row>
    <row r="160" spans="1:23" x14ac:dyDescent="0.25">
      <c r="A160">
        <v>18</v>
      </c>
      <c r="B160" t="s">
        <v>35</v>
      </c>
      <c r="C160" t="s">
        <v>30</v>
      </c>
      <c r="D160">
        <v>95001</v>
      </c>
      <c r="E160">
        <v>94.329999999999984</v>
      </c>
      <c r="F160">
        <v>133.97499999999999</v>
      </c>
      <c r="G160">
        <v>94.282834999999992</v>
      </c>
      <c r="H160">
        <v>134.0419875</v>
      </c>
      <c r="I160">
        <v>5.0186004115326206</v>
      </c>
      <c r="J160">
        <v>0.49303438423246859</v>
      </c>
      <c r="K160">
        <v>-0.1060108131029365</v>
      </c>
      <c r="L160">
        <v>3.6800476524162608E-2</v>
      </c>
      <c r="M160" t="s">
        <v>25</v>
      </c>
      <c r="N160">
        <v>4</v>
      </c>
      <c r="O160" t="s">
        <v>26</v>
      </c>
      <c r="P160">
        <v>95005</v>
      </c>
      <c r="Q160">
        <v>93.489999999999966</v>
      </c>
      <c r="R160">
        <v>133.03</v>
      </c>
      <c r="S160">
        <v>-8.477106371639509E-2</v>
      </c>
      <c r="T160">
        <v>5.4272632691133027E-2</v>
      </c>
      <c r="U160">
        <v>3.9404201615471243E-2</v>
      </c>
      <c r="V160">
        <v>2.9855618028491698E-3</v>
      </c>
      <c r="W160">
        <v>3.6418639812622083E-2</v>
      </c>
    </row>
    <row r="161" spans="1:23" x14ac:dyDescent="0.25">
      <c r="A161">
        <v>18</v>
      </c>
      <c r="B161" t="s">
        <v>35</v>
      </c>
      <c r="C161" t="s">
        <v>30</v>
      </c>
      <c r="D161">
        <v>95782</v>
      </c>
      <c r="E161">
        <v>94.729999999999976</v>
      </c>
      <c r="F161">
        <v>135.12</v>
      </c>
      <c r="G161">
        <v>94.682634999999976</v>
      </c>
      <c r="H161">
        <v>135.18755999999999</v>
      </c>
      <c r="I161">
        <v>3.675916826914857</v>
      </c>
      <c r="J161">
        <v>0.49303438423246859</v>
      </c>
      <c r="K161">
        <v>-0.1055631795629685</v>
      </c>
      <c r="L161">
        <v>3.6488631159892579E-2</v>
      </c>
      <c r="M161" t="s">
        <v>25</v>
      </c>
      <c r="N161">
        <v>25</v>
      </c>
      <c r="O161" t="s">
        <v>26</v>
      </c>
      <c r="P161">
        <v>95807</v>
      </c>
      <c r="Q161">
        <v>94.860000000000042</v>
      </c>
      <c r="R161">
        <v>133.77000000000001</v>
      </c>
      <c r="S161">
        <v>0.49871675345447769</v>
      </c>
      <c r="T161">
        <v>-6.2982865409049765E-2</v>
      </c>
      <c r="U161">
        <v>-7.7895441032011084E-2</v>
      </c>
      <c r="V161">
        <v>2.9855618028491698E-3</v>
      </c>
      <c r="W161">
        <v>-8.0881002834860258E-2</v>
      </c>
    </row>
    <row r="162" spans="1:23" x14ac:dyDescent="0.25">
      <c r="A162">
        <v>18</v>
      </c>
      <c r="B162" t="s">
        <v>35</v>
      </c>
      <c r="C162" t="s">
        <v>30</v>
      </c>
      <c r="D162">
        <v>96103</v>
      </c>
      <c r="E162">
        <v>94.54000000000002</v>
      </c>
      <c r="F162">
        <v>134.46</v>
      </c>
      <c r="G162">
        <v>94.587270000000018</v>
      </c>
      <c r="H162">
        <v>134.39277000000001</v>
      </c>
      <c r="I162">
        <v>-3.645440413575967</v>
      </c>
      <c r="J162">
        <v>0.49303438423246859</v>
      </c>
      <c r="K162">
        <v>0.10577533319229949</v>
      </c>
      <c r="L162">
        <v>-3.6667736444479293E-2</v>
      </c>
      <c r="M162" t="s">
        <v>27</v>
      </c>
      <c r="N162">
        <v>9</v>
      </c>
      <c r="O162" t="s">
        <v>26</v>
      </c>
      <c r="P162">
        <v>96112</v>
      </c>
      <c r="Q162">
        <v>94.789999999999964</v>
      </c>
      <c r="R162">
        <v>134.75</v>
      </c>
      <c r="S162">
        <v>8.1313042746926675E-2</v>
      </c>
      <c r="T162">
        <v>1.5810189729170171E-2</v>
      </c>
      <c r="U162">
        <v>8.6130714841308603E-4</v>
      </c>
      <c r="V162">
        <v>2.9865757340807051E-3</v>
      </c>
      <c r="W162">
        <v>-2.125268585667619E-3</v>
      </c>
    </row>
    <row r="163" spans="1:23" x14ac:dyDescent="0.25">
      <c r="A163">
        <v>18</v>
      </c>
      <c r="B163" t="s">
        <v>35</v>
      </c>
      <c r="C163" t="s">
        <v>30</v>
      </c>
      <c r="D163">
        <v>96173</v>
      </c>
      <c r="E163">
        <v>94.729999999999976</v>
      </c>
      <c r="F163">
        <v>135.85</v>
      </c>
      <c r="G163">
        <v>94.777364999999975</v>
      </c>
      <c r="H163">
        <v>135.78207499999999</v>
      </c>
      <c r="I163">
        <v>-3.8478141393687841</v>
      </c>
      <c r="J163">
        <v>0.49303438423246859</v>
      </c>
      <c r="K163">
        <v>0.1055631795629685</v>
      </c>
      <c r="L163">
        <v>-3.6292556807689988E-2</v>
      </c>
      <c r="M163" t="s">
        <v>27</v>
      </c>
      <c r="N163">
        <v>32</v>
      </c>
      <c r="O163" t="s">
        <v>26</v>
      </c>
      <c r="P163">
        <v>96205</v>
      </c>
      <c r="Q163">
        <v>94.119999999999962</v>
      </c>
      <c r="R163">
        <v>134.49</v>
      </c>
      <c r="S163">
        <v>-3.1671397166641392E-2</v>
      </c>
      <c r="T163">
        <v>-1.503566227495126E-2</v>
      </c>
      <c r="U163">
        <v>-2.990913040887969E-2</v>
      </c>
      <c r="V163">
        <v>2.9865757340807051E-3</v>
      </c>
      <c r="W163">
        <v>-3.2895706142960397E-2</v>
      </c>
    </row>
    <row r="164" spans="1:23" x14ac:dyDescent="0.25">
      <c r="A164">
        <v>18</v>
      </c>
      <c r="B164" t="s">
        <v>35</v>
      </c>
      <c r="C164" t="s">
        <v>30</v>
      </c>
      <c r="D164">
        <v>96470</v>
      </c>
      <c r="E164">
        <v>93.78000000000003</v>
      </c>
      <c r="F164">
        <v>134.86000000000001</v>
      </c>
      <c r="G164">
        <v>93.82689000000002</v>
      </c>
      <c r="H164">
        <v>134.79257000000001</v>
      </c>
      <c r="I164">
        <v>-3.567284579023418</v>
      </c>
      <c r="J164">
        <v>0.49303438423246859</v>
      </c>
      <c r="K164">
        <v>0.1066325442525058</v>
      </c>
      <c r="L164">
        <v>-3.6558978513456082E-2</v>
      </c>
      <c r="M164" t="s">
        <v>27</v>
      </c>
      <c r="N164">
        <v>21</v>
      </c>
      <c r="O164" t="s">
        <v>26</v>
      </c>
      <c r="P164">
        <v>96491</v>
      </c>
      <c r="Q164">
        <v>94.139999999999972</v>
      </c>
      <c r="R164">
        <v>136.46</v>
      </c>
      <c r="S164">
        <v>-0.45886229141611129</v>
      </c>
      <c r="T164">
        <v>-2.0106649690634571E-2</v>
      </c>
      <c r="U164">
        <v>-3.5085434573733552E-2</v>
      </c>
      <c r="V164">
        <v>2.9865757340807051E-3</v>
      </c>
      <c r="W164">
        <v>-3.807201030781425E-2</v>
      </c>
    </row>
    <row r="165" spans="1:23" x14ac:dyDescent="0.25">
      <c r="A165">
        <v>18</v>
      </c>
      <c r="B165" t="s">
        <v>35</v>
      </c>
      <c r="C165" t="s">
        <v>30</v>
      </c>
      <c r="D165">
        <v>96562</v>
      </c>
      <c r="E165">
        <v>93.500000000000014</v>
      </c>
      <c r="F165">
        <v>136.91999999999999</v>
      </c>
      <c r="G165">
        <v>93.546750000000003</v>
      </c>
      <c r="H165">
        <v>136.85154</v>
      </c>
      <c r="I165">
        <v>-3.6936227426917569</v>
      </c>
      <c r="J165">
        <v>0.49303438423246859</v>
      </c>
      <c r="K165">
        <v>0.10695187165775399</v>
      </c>
      <c r="L165">
        <v>-3.6008938375143767E-2</v>
      </c>
      <c r="M165" t="s">
        <v>27</v>
      </c>
      <c r="N165">
        <v>2</v>
      </c>
      <c r="O165" t="s">
        <v>26</v>
      </c>
      <c r="P165">
        <v>96564</v>
      </c>
      <c r="Q165">
        <v>93.769999999999982</v>
      </c>
      <c r="R165">
        <v>136.91999999999999</v>
      </c>
      <c r="S165">
        <v>-0.48466775157034658</v>
      </c>
      <c r="T165">
        <v>2.887700534759011E-2</v>
      </c>
      <c r="U165">
        <v>1.3932223002594909E-2</v>
      </c>
      <c r="V165">
        <v>2.9865757340807051E-3</v>
      </c>
      <c r="W165">
        <v>1.094564726851421E-2</v>
      </c>
    </row>
    <row r="166" spans="1:23" x14ac:dyDescent="0.25">
      <c r="A166">
        <v>18</v>
      </c>
      <c r="B166" t="s">
        <v>35</v>
      </c>
      <c r="C166" t="s">
        <v>30</v>
      </c>
      <c r="D166">
        <v>96952</v>
      </c>
      <c r="E166">
        <v>92.429999999999978</v>
      </c>
      <c r="F166">
        <v>133.19</v>
      </c>
      <c r="G166">
        <v>92.476214999999968</v>
      </c>
      <c r="H166">
        <v>133.12340499999999</v>
      </c>
      <c r="I166">
        <v>-3.6183705773684309</v>
      </c>
      <c r="J166">
        <v>0.49303438423246859</v>
      </c>
      <c r="K166">
        <v>0.1081899816077032</v>
      </c>
      <c r="L166">
        <v>-3.7017372492864971E-2</v>
      </c>
      <c r="M166" t="s">
        <v>27</v>
      </c>
      <c r="N166">
        <v>30</v>
      </c>
      <c r="O166" t="s">
        <v>26</v>
      </c>
      <c r="P166">
        <v>96982</v>
      </c>
      <c r="Q166">
        <v>91.72999999999999</v>
      </c>
      <c r="R166">
        <v>134.97999999999999</v>
      </c>
      <c r="S166">
        <v>-0.35012951406174431</v>
      </c>
      <c r="T166">
        <v>-0.141994083887619</v>
      </c>
      <c r="U166">
        <v>-0.15691969178476009</v>
      </c>
      <c r="V166">
        <v>2.9865757340807051E-3</v>
      </c>
      <c r="W166">
        <v>-0.15990626751884079</v>
      </c>
    </row>
    <row r="167" spans="1:23" x14ac:dyDescent="0.25">
      <c r="A167">
        <v>18</v>
      </c>
      <c r="B167" t="s">
        <v>35</v>
      </c>
      <c r="C167" t="s">
        <v>30</v>
      </c>
      <c r="D167">
        <v>97211</v>
      </c>
      <c r="E167">
        <v>91.189999999999984</v>
      </c>
      <c r="F167">
        <v>134.79</v>
      </c>
      <c r="G167">
        <v>91.235594999999975</v>
      </c>
      <c r="H167">
        <v>134.72260499999999</v>
      </c>
      <c r="I167">
        <v>-3.5775125145867981</v>
      </c>
      <c r="J167">
        <v>0.49303438423246859</v>
      </c>
      <c r="K167">
        <v>0.10966114705559819</v>
      </c>
      <c r="L167">
        <v>-3.6577964554675317E-2</v>
      </c>
      <c r="M167" t="s">
        <v>27</v>
      </c>
      <c r="N167">
        <v>2</v>
      </c>
      <c r="O167" t="s">
        <v>26</v>
      </c>
      <c r="P167">
        <v>97213</v>
      </c>
      <c r="Q167">
        <v>91.295000000000016</v>
      </c>
      <c r="R167">
        <v>134.79</v>
      </c>
      <c r="S167">
        <v>0.12687052098834509</v>
      </c>
      <c r="T167">
        <v>1.151442044084137E-2</v>
      </c>
      <c r="U167">
        <v>-3.4216806117032968E-3</v>
      </c>
      <c r="V167">
        <v>2.9865757340807051E-3</v>
      </c>
      <c r="W167">
        <v>-6.4082563457840006E-3</v>
      </c>
    </row>
    <row r="168" spans="1:23" x14ac:dyDescent="0.25">
      <c r="A168">
        <v>18</v>
      </c>
      <c r="B168" t="s">
        <v>35</v>
      </c>
      <c r="C168" t="s">
        <v>30</v>
      </c>
      <c r="D168">
        <v>97326</v>
      </c>
      <c r="E168">
        <v>91.46999999999997</v>
      </c>
      <c r="F168">
        <v>135.4199999999999</v>
      </c>
      <c r="G168">
        <v>91.515734999999964</v>
      </c>
      <c r="H168">
        <v>135.3522899999999</v>
      </c>
      <c r="I168">
        <v>-4.151787680729746</v>
      </c>
      <c r="J168">
        <v>0.49303438423246859</v>
      </c>
      <c r="K168">
        <v>0.1093254619000766</v>
      </c>
      <c r="L168">
        <v>-3.6407796797553453E-2</v>
      </c>
      <c r="M168" t="s">
        <v>27</v>
      </c>
      <c r="N168">
        <v>7</v>
      </c>
      <c r="O168" t="s">
        <v>26</v>
      </c>
      <c r="P168">
        <v>97333</v>
      </c>
      <c r="Q168">
        <v>91.604999999999976</v>
      </c>
      <c r="R168">
        <v>135.47</v>
      </c>
      <c r="S168">
        <v>-0.45676765334203873</v>
      </c>
      <c r="T168">
        <v>1.2938547516629701E-2</v>
      </c>
      <c r="U168">
        <v>-2.0000859892919092E-3</v>
      </c>
      <c r="V168">
        <v>2.9865757340807051E-3</v>
      </c>
      <c r="W168">
        <v>-4.9866617233726134E-3</v>
      </c>
    </row>
    <row r="169" spans="1:23" x14ac:dyDescent="0.25">
      <c r="A169">
        <v>19</v>
      </c>
      <c r="B169" t="s">
        <v>35</v>
      </c>
      <c r="C169" t="s">
        <v>30</v>
      </c>
      <c r="D169">
        <v>98101</v>
      </c>
      <c r="E169">
        <v>91.135000000000005</v>
      </c>
      <c r="F169">
        <v>135.36500000000001</v>
      </c>
      <c r="G169">
        <v>91.180567499999995</v>
      </c>
      <c r="H169">
        <v>135.29731749999999</v>
      </c>
      <c r="I169">
        <v>-5.2946285950132186</v>
      </c>
      <c r="J169">
        <v>0.66894737301196627</v>
      </c>
      <c r="K169">
        <v>0.10972732759093649</v>
      </c>
      <c r="L169">
        <v>-4.9418045507477283E-2</v>
      </c>
      <c r="M169" t="s">
        <v>27</v>
      </c>
      <c r="N169">
        <v>24</v>
      </c>
      <c r="O169" t="s">
        <v>26</v>
      </c>
      <c r="P169">
        <v>98125</v>
      </c>
      <c r="Q169">
        <v>89.819999999999951</v>
      </c>
      <c r="R169">
        <v>133.37</v>
      </c>
      <c r="S169">
        <v>-0.44583419145773839</v>
      </c>
      <c r="T169">
        <v>-4.5702434994671498E-2</v>
      </c>
      <c r="U169">
        <v>-6.2270468506505319E-2</v>
      </c>
      <c r="V169">
        <v>3.3382257986509199E-3</v>
      </c>
      <c r="W169">
        <v>-6.5608694305156243E-2</v>
      </c>
    </row>
    <row r="170" spans="1:23" x14ac:dyDescent="0.25">
      <c r="A170">
        <v>19</v>
      </c>
      <c r="B170" t="s">
        <v>35</v>
      </c>
      <c r="C170" t="s">
        <v>30</v>
      </c>
      <c r="D170">
        <v>98463</v>
      </c>
      <c r="E170">
        <v>89.515000000000029</v>
      </c>
      <c r="F170">
        <v>133.86000000000001</v>
      </c>
      <c r="G170">
        <v>89.47024250000004</v>
      </c>
      <c r="H170">
        <v>133.92693</v>
      </c>
      <c r="I170">
        <v>3.7023675164209351</v>
      </c>
      <c r="J170">
        <v>0.66894737301196627</v>
      </c>
      <c r="K170">
        <v>-0.1117131207060269</v>
      </c>
      <c r="L170">
        <v>4.9973657030626513E-2</v>
      </c>
      <c r="M170" t="s">
        <v>25</v>
      </c>
      <c r="N170">
        <v>13</v>
      </c>
      <c r="O170" t="s">
        <v>26</v>
      </c>
      <c r="P170">
        <v>98476</v>
      </c>
      <c r="Q170">
        <v>89.385000000000019</v>
      </c>
      <c r="R170">
        <v>133.77000000000001</v>
      </c>
      <c r="S170">
        <v>0.14241365337890979</v>
      </c>
      <c r="T170">
        <v>1.0025076559028019E-2</v>
      </c>
      <c r="U170">
        <v>-6.6548870036762164E-3</v>
      </c>
      <c r="V170">
        <v>3.3375636933969449E-3</v>
      </c>
      <c r="W170">
        <v>-9.9924506970731596E-3</v>
      </c>
    </row>
    <row r="171" spans="1:23" x14ac:dyDescent="0.25">
      <c r="A171">
        <v>19</v>
      </c>
      <c r="B171" t="s">
        <v>35</v>
      </c>
      <c r="C171" t="s">
        <v>30</v>
      </c>
      <c r="D171">
        <v>98507</v>
      </c>
      <c r="E171">
        <v>89.234999999999999</v>
      </c>
      <c r="F171">
        <v>134.22499999999991</v>
      </c>
      <c r="G171">
        <v>89.279617500000001</v>
      </c>
      <c r="H171">
        <v>134.15788749999999</v>
      </c>
      <c r="I171">
        <v>-3.9406958998227721</v>
      </c>
      <c r="J171">
        <v>0.66894737301196627</v>
      </c>
      <c r="K171">
        <v>0.1120636521544237</v>
      </c>
      <c r="L171">
        <v>-4.983776293626125E-2</v>
      </c>
      <c r="M171" t="s">
        <v>27</v>
      </c>
      <c r="N171">
        <v>10</v>
      </c>
      <c r="O171" t="s">
        <v>26</v>
      </c>
      <c r="P171">
        <v>98517</v>
      </c>
      <c r="Q171">
        <v>89.02000000000001</v>
      </c>
      <c r="R171">
        <v>133.39500000000001</v>
      </c>
      <c r="S171">
        <v>-6.9101034231925887E-2</v>
      </c>
      <c r="T171">
        <v>1.7271658023894739E-2</v>
      </c>
      <c r="U171">
        <v>6.1491380800227785E-4</v>
      </c>
      <c r="V171">
        <v>3.3382257986509199E-3</v>
      </c>
      <c r="W171">
        <v>-2.7233119906486429E-3</v>
      </c>
    </row>
    <row r="172" spans="1:23" x14ac:dyDescent="0.25">
      <c r="A172">
        <v>19</v>
      </c>
      <c r="B172" t="s">
        <v>35</v>
      </c>
      <c r="C172" t="s">
        <v>30</v>
      </c>
      <c r="D172">
        <v>98903</v>
      </c>
      <c r="E172">
        <v>89.510000000000034</v>
      </c>
      <c r="F172">
        <v>132.72999999999999</v>
      </c>
      <c r="G172">
        <v>89.465245000000039</v>
      </c>
      <c r="H172">
        <v>132.79636500000001</v>
      </c>
      <c r="I172">
        <v>4.2570599457951808</v>
      </c>
      <c r="J172">
        <v>0.66894737301196627</v>
      </c>
      <c r="K172">
        <v>-0.1117193609652552</v>
      </c>
      <c r="L172">
        <v>5.0399108943868488E-2</v>
      </c>
      <c r="M172" t="s">
        <v>25</v>
      </c>
      <c r="N172">
        <v>30</v>
      </c>
      <c r="O172" t="s">
        <v>26</v>
      </c>
      <c r="P172">
        <v>98933</v>
      </c>
      <c r="Q172">
        <v>89.599999999999966</v>
      </c>
      <c r="R172">
        <v>133.02000000000001</v>
      </c>
      <c r="S172">
        <v>2.041154380437981E-2</v>
      </c>
      <c r="T172">
        <v>4.5609991068574791E-3</v>
      </c>
      <c r="U172">
        <v>-1.214080986530058E-2</v>
      </c>
      <c r="V172">
        <v>3.3375636933969449E-3</v>
      </c>
      <c r="W172">
        <v>-1.5478373558697521E-2</v>
      </c>
    </row>
    <row r="173" spans="1:23" x14ac:dyDescent="0.25">
      <c r="A173">
        <v>19</v>
      </c>
      <c r="B173" t="s">
        <v>35</v>
      </c>
      <c r="C173" t="s">
        <v>30</v>
      </c>
      <c r="D173">
        <v>98969</v>
      </c>
      <c r="E173">
        <v>89.990000000000038</v>
      </c>
      <c r="F173">
        <v>133.4199999999999</v>
      </c>
      <c r="G173">
        <v>89.945005000000037</v>
      </c>
      <c r="H173">
        <v>133.4867099999999</v>
      </c>
      <c r="I173">
        <v>3.5708829227928129</v>
      </c>
      <c r="J173">
        <v>0.66894737301196627</v>
      </c>
      <c r="K173">
        <v>-0.11112345816201789</v>
      </c>
      <c r="L173">
        <v>5.0138462974963771E-2</v>
      </c>
      <c r="M173" t="s">
        <v>25</v>
      </c>
      <c r="N173">
        <v>10</v>
      </c>
      <c r="O173" t="s">
        <v>26</v>
      </c>
      <c r="P173">
        <v>98979</v>
      </c>
      <c r="Q173">
        <v>89.760000000000034</v>
      </c>
      <c r="R173">
        <v>133.35</v>
      </c>
      <c r="S173">
        <v>0.32848602615860217</v>
      </c>
      <c r="T173">
        <v>2.204870296902172E-2</v>
      </c>
      <c r="U173">
        <v>5.3737632827954851E-3</v>
      </c>
      <c r="V173">
        <v>3.3375636933969449E-3</v>
      </c>
      <c r="W173">
        <v>2.0361995893985402E-3</v>
      </c>
    </row>
    <row r="174" spans="1:23" x14ac:dyDescent="0.25">
      <c r="A174">
        <v>19</v>
      </c>
      <c r="B174" t="s">
        <v>35</v>
      </c>
      <c r="C174" t="s">
        <v>30</v>
      </c>
      <c r="D174">
        <v>99148</v>
      </c>
      <c r="E174">
        <v>89.779999999999987</v>
      </c>
      <c r="F174">
        <v>132.63</v>
      </c>
      <c r="G174">
        <v>89.824889999999982</v>
      </c>
      <c r="H174">
        <v>132.56368499999999</v>
      </c>
      <c r="I174">
        <v>-3.5515030912159</v>
      </c>
      <c r="J174">
        <v>0.66894737301196627</v>
      </c>
      <c r="K174">
        <v>0.1113833815994654</v>
      </c>
      <c r="L174">
        <v>-5.0437108724418783E-2</v>
      </c>
      <c r="M174" t="s">
        <v>27</v>
      </c>
      <c r="N174">
        <v>10</v>
      </c>
      <c r="O174" t="s">
        <v>26</v>
      </c>
      <c r="P174">
        <v>99158</v>
      </c>
      <c r="Q174">
        <v>89.785000000000025</v>
      </c>
      <c r="R174">
        <v>132.44999999999999</v>
      </c>
      <c r="S174">
        <v>-9.9213176192610872E-2</v>
      </c>
      <c r="T174">
        <v>9.6355964783987284E-3</v>
      </c>
      <c r="U174">
        <v>-7.0496163703882651E-3</v>
      </c>
      <c r="V174">
        <v>3.3382257986509199E-3</v>
      </c>
      <c r="W174">
        <v>-1.038784216903918E-2</v>
      </c>
    </row>
    <row r="175" spans="1:23" x14ac:dyDescent="0.25">
      <c r="A175">
        <v>19</v>
      </c>
      <c r="B175" t="s">
        <v>35</v>
      </c>
      <c r="C175" t="s">
        <v>30</v>
      </c>
      <c r="D175">
        <v>99173</v>
      </c>
      <c r="E175">
        <v>89.43</v>
      </c>
      <c r="F175">
        <v>132.38999999999999</v>
      </c>
      <c r="G175">
        <v>89.474715000000003</v>
      </c>
      <c r="H175">
        <v>132.32380499999999</v>
      </c>
      <c r="I175">
        <v>-3.6597220862333382</v>
      </c>
      <c r="J175">
        <v>0.66894737301196627</v>
      </c>
      <c r="K175">
        <v>0.1118193000111819</v>
      </c>
      <c r="L175">
        <v>-5.0528542413472807E-2</v>
      </c>
      <c r="M175" t="s">
        <v>27</v>
      </c>
      <c r="N175">
        <v>23</v>
      </c>
      <c r="O175" t="s">
        <v>26</v>
      </c>
      <c r="P175">
        <v>99196</v>
      </c>
      <c r="Q175">
        <v>89.080000000000027</v>
      </c>
      <c r="R175">
        <v>131.685</v>
      </c>
      <c r="S175">
        <v>-0.4899391548750644</v>
      </c>
      <c r="T175">
        <v>-3.5141326024153638E-3</v>
      </c>
      <c r="U175">
        <v>-2.0166226643831459E-2</v>
      </c>
      <c r="V175">
        <v>3.3382257986509208E-3</v>
      </c>
      <c r="W175">
        <v>-2.3504452442482379E-2</v>
      </c>
    </row>
    <row r="176" spans="1:23" x14ac:dyDescent="0.25">
      <c r="A176">
        <v>19</v>
      </c>
      <c r="B176" t="s">
        <v>35</v>
      </c>
      <c r="C176" t="s">
        <v>30</v>
      </c>
      <c r="D176">
        <v>99293</v>
      </c>
      <c r="E176">
        <v>89.450000000000017</v>
      </c>
      <c r="F176">
        <v>131.41999999999999</v>
      </c>
      <c r="G176">
        <v>89.405275000000017</v>
      </c>
      <c r="H176">
        <v>131.48571000000001</v>
      </c>
      <c r="I176">
        <v>4.1198510845771832</v>
      </c>
      <c r="J176">
        <v>0.66894737301196627</v>
      </c>
      <c r="K176">
        <v>-0.11179429849077691</v>
      </c>
      <c r="L176">
        <v>5.0901489348041867E-2</v>
      </c>
      <c r="M176" t="s">
        <v>25</v>
      </c>
      <c r="N176">
        <v>12</v>
      </c>
      <c r="O176" t="s">
        <v>26</v>
      </c>
      <c r="P176">
        <v>99305</v>
      </c>
      <c r="Q176">
        <v>89.239999999999981</v>
      </c>
      <c r="R176">
        <v>132.09000000000009</v>
      </c>
      <c r="S176">
        <v>0.46480790894422008</v>
      </c>
      <c r="T176">
        <v>5.7580800546257527E-2</v>
      </c>
      <c r="U176">
        <v>4.0886013218548518E-2</v>
      </c>
      <c r="V176">
        <v>3.3375636933969449E-3</v>
      </c>
      <c r="W176">
        <v>3.7548449525151573E-2</v>
      </c>
    </row>
    <row r="177" spans="1:23" x14ac:dyDescent="0.25">
      <c r="A177">
        <v>19</v>
      </c>
      <c r="B177" t="s">
        <v>35</v>
      </c>
      <c r="C177" t="s">
        <v>30</v>
      </c>
      <c r="D177">
        <v>99683</v>
      </c>
      <c r="E177">
        <v>89.060000000000045</v>
      </c>
      <c r="F177">
        <v>127.87</v>
      </c>
      <c r="G177">
        <v>89.01547000000005</v>
      </c>
      <c r="H177">
        <v>127.93393500000001</v>
      </c>
      <c r="I177">
        <v>5.1097241411483516</v>
      </c>
      <c r="J177">
        <v>0.66894737301196627</v>
      </c>
      <c r="K177">
        <v>-0.1122838535818549</v>
      </c>
      <c r="L177">
        <v>5.231464557847549E-2</v>
      </c>
      <c r="M177" t="s">
        <v>25</v>
      </c>
      <c r="N177">
        <v>14</v>
      </c>
      <c r="O177" t="s">
        <v>26</v>
      </c>
      <c r="P177">
        <v>99697</v>
      </c>
      <c r="Q177">
        <v>86.715000000000003</v>
      </c>
      <c r="R177">
        <v>125.76</v>
      </c>
      <c r="S177">
        <v>0.40190793356959498</v>
      </c>
      <c r="T177">
        <v>0.15292173447886889</v>
      </c>
      <c r="U177">
        <v>0.136419105518161</v>
      </c>
      <c r="V177">
        <v>3.3375636933969449E-3</v>
      </c>
      <c r="W177">
        <v>0.13308154182476409</v>
      </c>
    </row>
    <row r="178" spans="1:23" x14ac:dyDescent="0.25">
      <c r="A178">
        <v>19</v>
      </c>
      <c r="B178" t="s">
        <v>35</v>
      </c>
      <c r="C178" t="s">
        <v>30</v>
      </c>
      <c r="D178">
        <v>100073</v>
      </c>
      <c r="E178">
        <v>88.450000000000031</v>
      </c>
      <c r="F178">
        <v>128.1699999999999</v>
      </c>
      <c r="G178">
        <v>88.405775000000034</v>
      </c>
      <c r="H178">
        <v>128.23408499999991</v>
      </c>
      <c r="I178">
        <v>5.022938893746173</v>
      </c>
      <c r="J178">
        <v>0.66894737301196627</v>
      </c>
      <c r="K178">
        <v>-0.11305822498586771</v>
      </c>
      <c r="L178">
        <v>5.2192195756570699E-2</v>
      </c>
      <c r="M178" t="s">
        <v>25</v>
      </c>
      <c r="N178">
        <v>36</v>
      </c>
      <c r="O178" t="s">
        <v>26</v>
      </c>
      <c r="P178">
        <v>100109</v>
      </c>
      <c r="Q178">
        <v>88.865000000000038</v>
      </c>
      <c r="R178">
        <v>128.69</v>
      </c>
      <c r="S178">
        <v>0.29095973282298782</v>
      </c>
      <c r="T178">
        <v>-1.9779221575714039E-2</v>
      </c>
      <c r="U178">
        <v>-3.6505724858415037E-2</v>
      </c>
      <c r="V178">
        <v>3.3375636933969449E-3</v>
      </c>
      <c r="W178">
        <v>-3.9843288551811989E-2</v>
      </c>
    </row>
    <row r="179" spans="1:23" x14ac:dyDescent="0.25">
      <c r="A179">
        <v>19</v>
      </c>
      <c r="B179" t="s">
        <v>35</v>
      </c>
      <c r="C179" t="s">
        <v>30</v>
      </c>
      <c r="D179">
        <v>100464</v>
      </c>
      <c r="E179">
        <v>87.950000000000031</v>
      </c>
      <c r="F179">
        <v>127.38</v>
      </c>
      <c r="G179">
        <v>87.906025000000042</v>
      </c>
      <c r="H179">
        <v>127.44369</v>
      </c>
      <c r="I179">
        <v>3.868320751812564</v>
      </c>
      <c r="J179">
        <v>0.66894737301196627</v>
      </c>
      <c r="K179">
        <v>-0.1137009664582149</v>
      </c>
      <c r="L179">
        <v>5.2515887345891521E-2</v>
      </c>
      <c r="M179" t="s">
        <v>25</v>
      </c>
      <c r="N179">
        <v>6</v>
      </c>
      <c r="O179" t="s">
        <v>26</v>
      </c>
      <c r="P179">
        <v>100470</v>
      </c>
      <c r="Q179">
        <v>88.289999999999978</v>
      </c>
      <c r="R179">
        <v>128.83000000000001</v>
      </c>
      <c r="S179">
        <v>-0.1324827746215462</v>
      </c>
      <c r="T179">
        <v>3.7489708055756632E-2</v>
      </c>
      <c r="U179">
        <v>2.0742831143014999E-2</v>
      </c>
      <c r="V179">
        <v>3.3375636933969449E-3</v>
      </c>
      <c r="W179">
        <v>1.740526744961805E-2</v>
      </c>
    </row>
    <row r="180" spans="1:23" x14ac:dyDescent="0.25">
      <c r="A180">
        <v>19</v>
      </c>
      <c r="B180" t="s">
        <v>35</v>
      </c>
      <c r="C180" t="s">
        <v>30</v>
      </c>
      <c r="D180">
        <v>101469</v>
      </c>
      <c r="E180">
        <v>87.279999999999973</v>
      </c>
      <c r="F180">
        <v>127.31</v>
      </c>
      <c r="G180">
        <v>87.236359999999976</v>
      </c>
      <c r="H180">
        <v>127.373655</v>
      </c>
      <c r="I180">
        <v>3.5639640221835021</v>
      </c>
      <c r="J180">
        <v>0.66894737301196627</v>
      </c>
      <c r="K180">
        <v>-0.11457378551787351</v>
      </c>
      <c r="L180">
        <v>5.2544762627599259E-2</v>
      </c>
      <c r="M180" t="s">
        <v>25</v>
      </c>
      <c r="N180">
        <v>13</v>
      </c>
      <c r="O180" t="s">
        <v>26</v>
      </c>
      <c r="P180">
        <v>101482</v>
      </c>
      <c r="Q180">
        <v>87.190000000000012</v>
      </c>
      <c r="R180">
        <v>127.265</v>
      </c>
      <c r="S180">
        <v>0.17765258234954079</v>
      </c>
      <c r="T180">
        <v>7.9471263783620696E-3</v>
      </c>
      <c r="U180">
        <v>-8.7360092742490222E-3</v>
      </c>
      <c r="V180">
        <v>3.3375636933969449E-3</v>
      </c>
      <c r="W180">
        <v>-1.207357296764597E-2</v>
      </c>
    </row>
    <row r="181" spans="1:23" x14ac:dyDescent="0.25">
      <c r="A181">
        <v>19</v>
      </c>
      <c r="B181" t="s">
        <v>35</v>
      </c>
      <c r="C181" t="s">
        <v>30</v>
      </c>
      <c r="D181">
        <v>101632</v>
      </c>
      <c r="E181">
        <v>86.385000000000019</v>
      </c>
      <c r="F181">
        <v>127.31</v>
      </c>
      <c r="G181">
        <v>86.428192500000009</v>
      </c>
      <c r="H181">
        <v>127.24634500000001</v>
      </c>
      <c r="I181">
        <v>-4.8759511779733176</v>
      </c>
      <c r="J181">
        <v>0.66894737301196627</v>
      </c>
      <c r="K181">
        <v>0.11576083810846791</v>
      </c>
      <c r="L181">
        <v>-5.2544762627599259E-2</v>
      </c>
      <c r="M181" t="s">
        <v>27</v>
      </c>
      <c r="N181">
        <v>3</v>
      </c>
      <c r="O181" t="s">
        <v>26</v>
      </c>
      <c r="P181">
        <v>101635</v>
      </c>
      <c r="Q181">
        <v>86.325000000000003</v>
      </c>
      <c r="R181">
        <v>125.355</v>
      </c>
      <c r="S181">
        <v>-0.49088798242434512</v>
      </c>
      <c r="T181">
        <v>9.5779360650447981E-2</v>
      </c>
      <c r="U181">
        <v>7.9144722250942531E-2</v>
      </c>
      <c r="V181">
        <v>3.3382257986509199E-3</v>
      </c>
      <c r="W181">
        <v>7.5806496452291608E-2</v>
      </c>
    </row>
    <row r="182" spans="1:23" x14ac:dyDescent="0.25">
      <c r="A182">
        <v>20</v>
      </c>
      <c r="B182" t="s">
        <v>31</v>
      </c>
      <c r="C182" t="s">
        <v>28</v>
      </c>
      <c r="D182">
        <v>102001</v>
      </c>
      <c r="E182">
        <v>42.55</v>
      </c>
      <c r="F182">
        <v>29.59</v>
      </c>
      <c r="G182">
        <v>42.571275</v>
      </c>
      <c r="H182">
        <v>29.575205</v>
      </c>
      <c r="I182">
        <v>-5.293496650680285</v>
      </c>
      <c r="J182">
        <v>0.80143765362967578</v>
      </c>
      <c r="K182">
        <v>0.23501762632197409</v>
      </c>
      <c r="L182">
        <v>-0.2708474665865751</v>
      </c>
      <c r="M182" t="s">
        <v>27</v>
      </c>
      <c r="N182">
        <v>23</v>
      </c>
      <c r="O182" t="s">
        <v>26</v>
      </c>
      <c r="P182">
        <v>102024</v>
      </c>
      <c r="Q182">
        <v>42.689999999999991</v>
      </c>
      <c r="R182">
        <v>29.510000000000009</v>
      </c>
      <c r="S182">
        <v>-0.45253704112154552</v>
      </c>
      <c r="T182">
        <v>5.4570265011997757E-2</v>
      </c>
      <c r="U182">
        <v>3.6550271140524573E-2</v>
      </c>
      <c r="V182">
        <v>3.6030738696057221E-3</v>
      </c>
      <c r="W182">
        <v>3.2947197270918847E-2</v>
      </c>
    </row>
    <row r="183" spans="1:23" x14ac:dyDescent="0.25">
      <c r="A183">
        <v>20</v>
      </c>
      <c r="B183" t="s">
        <v>31</v>
      </c>
      <c r="C183" t="s">
        <v>28</v>
      </c>
      <c r="D183">
        <v>102414</v>
      </c>
      <c r="E183">
        <v>42.55</v>
      </c>
      <c r="F183">
        <v>29.164999999999999</v>
      </c>
      <c r="G183">
        <v>42.528725000000009</v>
      </c>
      <c r="H183">
        <v>29.179582499999999</v>
      </c>
      <c r="I183">
        <v>3.703695403666174</v>
      </c>
      <c r="J183">
        <v>0.80143765362967578</v>
      </c>
      <c r="K183">
        <v>-0.23501762632197409</v>
      </c>
      <c r="L183">
        <v>0.27479432663455372</v>
      </c>
      <c r="M183" t="s">
        <v>25</v>
      </c>
      <c r="N183">
        <v>23</v>
      </c>
      <c r="O183" t="s">
        <v>26</v>
      </c>
      <c r="P183">
        <v>102437</v>
      </c>
      <c r="Q183">
        <v>42.359999999999992</v>
      </c>
      <c r="R183">
        <v>29.004999999999999</v>
      </c>
      <c r="S183">
        <v>4.923492974469907E-2</v>
      </c>
      <c r="T183">
        <v>6.8625673965120454E-4</v>
      </c>
      <c r="U183">
        <v>-1.728380957601303E-2</v>
      </c>
      <c r="V183">
        <v>3.602676744912982E-3</v>
      </c>
      <c r="W183">
        <v>-2.0886486320926011E-2</v>
      </c>
    </row>
    <row r="184" spans="1:23" x14ac:dyDescent="0.25">
      <c r="A184">
        <v>20</v>
      </c>
      <c r="B184" t="s">
        <v>31</v>
      </c>
      <c r="C184" t="s">
        <v>28</v>
      </c>
      <c r="D184">
        <v>102803</v>
      </c>
      <c r="E184">
        <v>42.35</v>
      </c>
      <c r="F184">
        <v>28.57</v>
      </c>
      <c r="G184">
        <v>42.328825000000002</v>
      </c>
      <c r="H184">
        <v>28.584284999999991</v>
      </c>
      <c r="I184">
        <v>4.6488601650864041</v>
      </c>
      <c r="J184">
        <v>0.80143765362967578</v>
      </c>
      <c r="K184">
        <v>-0.23612750885478159</v>
      </c>
      <c r="L184">
        <v>0.28051720463061808</v>
      </c>
      <c r="M184" t="s">
        <v>25</v>
      </c>
      <c r="N184">
        <v>19</v>
      </c>
      <c r="O184" t="s">
        <v>26</v>
      </c>
      <c r="P184">
        <v>102822</v>
      </c>
      <c r="Q184">
        <v>42.67499999999999</v>
      </c>
      <c r="R184">
        <v>28.85</v>
      </c>
      <c r="S184">
        <v>0.38834874987918971</v>
      </c>
      <c r="T184">
        <v>1.803376918772068E-3</v>
      </c>
      <c r="U184">
        <v>-1.628864274635947E-2</v>
      </c>
      <c r="V184">
        <v>3.602676744912982E-3</v>
      </c>
      <c r="W184">
        <v>-1.9891319491272451E-2</v>
      </c>
    </row>
    <row r="185" spans="1:23" x14ac:dyDescent="0.25">
      <c r="A185">
        <v>20</v>
      </c>
      <c r="B185" t="s">
        <v>31</v>
      </c>
      <c r="C185" t="s">
        <v>28</v>
      </c>
      <c r="D185">
        <v>103195</v>
      </c>
      <c r="E185">
        <v>42.784999999999989</v>
      </c>
      <c r="F185">
        <v>28.89</v>
      </c>
      <c r="G185">
        <v>42.763607499999992</v>
      </c>
      <c r="H185">
        <v>28.904444999999999</v>
      </c>
      <c r="I185">
        <v>3.7668470098668991</v>
      </c>
      <c r="J185">
        <v>0.80143765362967578</v>
      </c>
      <c r="K185">
        <v>-0.23372677340189321</v>
      </c>
      <c r="L185">
        <v>0.2774100566388632</v>
      </c>
      <c r="M185" t="s">
        <v>25</v>
      </c>
      <c r="N185">
        <v>19</v>
      </c>
      <c r="O185" t="s">
        <v>26</v>
      </c>
      <c r="P185">
        <v>103214</v>
      </c>
      <c r="Q185">
        <v>42.510000000000012</v>
      </c>
      <c r="R185">
        <v>28.68</v>
      </c>
      <c r="S185">
        <v>6.3849628496058145E-2</v>
      </c>
      <c r="T185">
        <v>6.0187507913544991E-3</v>
      </c>
      <c r="U185">
        <v>-1.1934360257649801E-2</v>
      </c>
      <c r="V185">
        <v>3.602676744912982E-3</v>
      </c>
      <c r="W185">
        <v>-1.553703700256279E-2</v>
      </c>
    </row>
    <row r="186" spans="1:23" x14ac:dyDescent="0.25">
      <c r="A186">
        <v>20</v>
      </c>
      <c r="B186" t="s">
        <v>31</v>
      </c>
      <c r="C186" t="s">
        <v>28</v>
      </c>
      <c r="D186">
        <v>103750</v>
      </c>
      <c r="E186">
        <v>41.9</v>
      </c>
      <c r="F186">
        <v>28.074999999999999</v>
      </c>
      <c r="G186">
        <v>41.879049999999999</v>
      </c>
      <c r="H186">
        <v>28.089037499999989</v>
      </c>
      <c r="I186">
        <v>3.7959168881762491</v>
      </c>
      <c r="J186">
        <v>0.80143765362967578</v>
      </c>
      <c r="K186">
        <v>-0.2386634844868735</v>
      </c>
      <c r="L186">
        <v>0.28546310013523629</v>
      </c>
      <c r="M186" t="s">
        <v>25</v>
      </c>
      <c r="N186">
        <v>10</v>
      </c>
      <c r="O186" t="s">
        <v>26</v>
      </c>
      <c r="P186">
        <v>103760</v>
      </c>
      <c r="Q186">
        <v>41.875</v>
      </c>
      <c r="R186">
        <v>28.13</v>
      </c>
      <c r="S186">
        <v>0.10247023427111709</v>
      </c>
      <c r="T186">
        <v>2.1667057619611449E-2</v>
      </c>
      <c r="U186">
        <v>3.647814141619638E-3</v>
      </c>
      <c r="V186">
        <v>3.602676744912982E-3</v>
      </c>
      <c r="W186">
        <v>4.5137396706656462E-5</v>
      </c>
    </row>
    <row r="187" spans="1:23" x14ac:dyDescent="0.25">
      <c r="A187">
        <v>20</v>
      </c>
      <c r="B187" t="s">
        <v>31</v>
      </c>
      <c r="C187" t="s">
        <v>28</v>
      </c>
      <c r="D187">
        <v>103820</v>
      </c>
      <c r="E187">
        <v>41.750000000000007</v>
      </c>
      <c r="F187">
        <v>28.184999999999999</v>
      </c>
      <c r="G187">
        <v>41.770874999999997</v>
      </c>
      <c r="H187">
        <v>28.170907499999998</v>
      </c>
      <c r="I187">
        <v>-3.8061385132819101</v>
      </c>
      <c r="J187">
        <v>0.80143765362967578</v>
      </c>
      <c r="K187">
        <v>0.23952095808383231</v>
      </c>
      <c r="L187">
        <v>-0.28434899898161292</v>
      </c>
      <c r="M187" t="s">
        <v>27</v>
      </c>
      <c r="N187">
        <v>15</v>
      </c>
      <c r="O187" t="s">
        <v>26</v>
      </c>
      <c r="P187">
        <v>103835</v>
      </c>
      <c r="Q187">
        <v>41.75500000000001</v>
      </c>
      <c r="R187">
        <v>28.2</v>
      </c>
      <c r="S187">
        <v>-0.32001102422713612</v>
      </c>
      <c r="T187">
        <v>-3.067630194305592E-3</v>
      </c>
      <c r="U187">
        <v>-2.1084738150487319E-2</v>
      </c>
      <c r="V187">
        <v>3.6030738696057221E-3</v>
      </c>
      <c r="W187">
        <v>-2.4687812020093049E-2</v>
      </c>
    </row>
    <row r="188" spans="1:23" x14ac:dyDescent="0.25">
      <c r="A188">
        <v>20</v>
      </c>
      <c r="B188" t="s">
        <v>31</v>
      </c>
      <c r="C188" t="s">
        <v>28</v>
      </c>
      <c r="D188">
        <v>104364</v>
      </c>
      <c r="E188">
        <v>41.57</v>
      </c>
      <c r="F188">
        <v>28.69</v>
      </c>
      <c r="G188">
        <v>41.590784999999997</v>
      </c>
      <c r="H188">
        <v>28.67565500000001</v>
      </c>
      <c r="I188">
        <v>-4.8919696095007046</v>
      </c>
      <c r="J188">
        <v>0.80143765362967578</v>
      </c>
      <c r="K188">
        <v>0.24055809477988929</v>
      </c>
      <c r="L188">
        <v>-0.27934390157883432</v>
      </c>
      <c r="M188" t="s">
        <v>27</v>
      </c>
      <c r="N188">
        <v>3</v>
      </c>
      <c r="O188" t="s">
        <v>26</v>
      </c>
      <c r="P188">
        <v>104367</v>
      </c>
      <c r="Q188">
        <v>41.69</v>
      </c>
      <c r="R188">
        <v>28.59</v>
      </c>
      <c r="S188">
        <v>-0.1550106975107651</v>
      </c>
      <c r="T188">
        <v>5.6801361531472638E-2</v>
      </c>
      <c r="U188">
        <v>3.8786518704571428E-2</v>
      </c>
      <c r="V188">
        <v>3.6030738696057221E-3</v>
      </c>
      <c r="W188">
        <v>3.5183444834965723E-2</v>
      </c>
    </row>
    <row r="189" spans="1:23" x14ac:dyDescent="0.25">
      <c r="A189">
        <v>20</v>
      </c>
      <c r="B189" t="s">
        <v>31</v>
      </c>
      <c r="C189" t="s">
        <v>28</v>
      </c>
      <c r="D189">
        <v>104526</v>
      </c>
      <c r="E189">
        <v>41.575000000000003</v>
      </c>
      <c r="F189">
        <v>28.684999999999999</v>
      </c>
      <c r="G189">
        <v>41.595787499999993</v>
      </c>
      <c r="H189">
        <v>28.670657500000001</v>
      </c>
      <c r="I189">
        <v>-3.7165704792645489</v>
      </c>
      <c r="J189">
        <v>0.80143765362967578</v>
      </c>
      <c r="K189">
        <v>0.24052916416115461</v>
      </c>
      <c r="L189">
        <v>-0.27939259321236742</v>
      </c>
      <c r="M189" t="s">
        <v>27</v>
      </c>
      <c r="N189">
        <v>8</v>
      </c>
      <c r="O189" t="s">
        <v>26</v>
      </c>
      <c r="P189">
        <v>104534</v>
      </c>
      <c r="Q189">
        <v>41.624999999999993</v>
      </c>
      <c r="R189">
        <v>28.684999999999999</v>
      </c>
      <c r="S189">
        <v>-0.38382922228232852</v>
      </c>
      <c r="T189">
        <v>1.2026458208057041E-2</v>
      </c>
      <c r="U189">
        <v>-5.9939315573414829E-3</v>
      </c>
      <c r="V189">
        <v>3.6030738696057221E-3</v>
      </c>
      <c r="W189">
        <v>-9.5970054269472055E-3</v>
      </c>
    </row>
    <row r="190" spans="1:23" x14ac:dyDescent="0.25">
      <c r="A190">
        <v>20</v>
      </c>
      <c r="B190" t="s">
        <v>31</v>
      </c>
      <c r="C190" t="s">
        <v>28</v>
      </c>
      <c r="D190">
        <v>104754</v>
      </c>
      <c r="E190">
        <v>41.57</v>
      </c>
      <c r="F190">
        <v>29.14</v>
      </c>
      <c r="G190">
        <v>41.590784999999997</v>
      </c>
      <c r="H190">
        <v>29.125430000000001</v>
      </c>
      <c r="I190">
        <v>-3.760320539192846</v>
      </c>
      <c r="J190">
        <v>0.80143765362967578</v>
      </c>
      <c r="K190">
        <v>0.24055809477988929</v>
      </c>
      <c r="L190">
        <v>-0.27503008017490588</v>
      </c>
      <c r="M190" t="s">
        <v>27</v>
      </c>
      <c r="N190">
        <v>26</v>
      </c>
      <c r="O190" t="s">
        <v>26</v>
      </c>
      <c r="P190">
        <v>104780</v>
      </c>
      <c r="Q190">
        <v>41.02</v>
      </c>
      <c r="R190">
        <v>28.844999999999999</v>
      </c>
      <c r="S190">
        <v>-0.47968116459588123</v>
      </c>
      <c r="T190">
        <v>-5.1173078477340733E-2</v>
      </c>
      <c r="U190">
        <v>-6.9080734600744376E-2</v>
      </c>
      <c r="V190">
        <v>3.6030738696057221E-3</v>
      </c>
      <c r="W190">
        <v>-7.2683808470350095E-2</v>
      </c>
    </row>
    <row r="191" spans="1:23" x14ac:dyDescent="0.25">
      <c r="A191">
        <v>20</v>
      </c>
      <c r="B191" t="s">
        <v>31</v>
      </c>
      <c r="C191" t="s">
        <v>28</v>
      </c>
      <c r="D191">
        <v>105535</v>
      </c>
      <c r="E191">
        <v>41.77</v>
      </c>
      <c r="F191">
        <v>29.39</v>
      </c>
      <c r="G191">
        <v>41.790885000000003</v>
      </c>
      <c r="H191">
        <v>29.375305000000001</v>
      </c>
      <c r="I191">
        <v>-3.7774757001248931</v>
      </c>
      <c r="J191">
        <v>0.80143765362967578</v>
      </c>
      <c r="K191">
        <v>0.2394062724443381</v>
      </c>
      <c r="L191">
        <v>-0.2726905932731119</v>
      </c>
      <c r="M191" t="s">
        <v>27</v>
      </c>
      <c r="N191">
        <v>83</v>
      </c>
      <c r="O191" t="s">
        <v>26</v>
      </c>
      <c r="P191">
        <v>105618</v>
      </c>
      <c r="Q191">
        <v>41.844999999999999</v>
      </c>
      <c r="R191">
        <v>30.13</v>
      </c>
      <c r="S191">
        <v>-0.47519756310900002</v>
      </c>
      <c r="T191">
        <v>-0.18383556858877731</v>
      </c>
      <c r="U191">
        <v>-0.20195981837980101</v>
      </c>
      <c r="V191">
        <v>3.603073869605723E-3</v>
      </c>
      <c r="W191">
        <v>-0.2055628922494068</v>
      </c>
    </row>
    <row r="192" spans="1:23" x14ac:dyDescent="0.25">
      <c r="A192">
        <v>21</v>
      </c>
      <c r="B192" t="s">
        <v>33</v>
      </c>
      <c r="C192" t="s">
        <v>35</v>
      </c>
      <c r="D192">
        <v>105901</v>
      </c>
      <c r="E192">
        <v>29.114999999999998</v>
      </c>
      <c r="F192">
        <v>85.450000000000031</v>
      </c>
      <c r="G192">
        <v>29.129557500000001</v>
      </c>
      <c r="H192">
        <v>85.407275000000041</v>
      </c>
      <c r="I192">
        <v>-5.2946474665465999</v>
      </c>
      <c r="J192">
        <v>1.0966308717123949</v>
      </c>
      <c r="K192">
        <v>0.34346556757685037</v>
      </c>
      <c r="L192">
        <v>-0.12833597094352189</v>
      </c>
      <c r="M192" t="s">
        <v>27</v>
      </c>
      <c r="N192">
        <v>23</v>
      </c>
      <c r="O192" t="s">
        <v>26</v>
      </c>
      <c r="P192">
        <v>105924</v>
      </c>
      <c r="Q192">
        <v>29.185000000000009</v>
      </c>
      <c r="R192">
        <v>85.57</v>
      </c>
      <c r="S192">
        <v>-0.49175663505550199</v>
      </c>
      <c r="T192">
        <v>8.6422732171630955E-3</v>
      </c>
      <c r="U192">
        <v>-1.234375695307998E-2</v>
      </c>
      <c r="V192">
        <v>4.1931651125530784E-3</v>
      </c>
      <c r="W192">
        <v>-1.6536922065633061E-2</v>
      </c>
    </row>
    <row r="193" spans="1:23" x14ac:dyDescent="0.25">
      <c r="A193">
        <v>21</v>
      </c>
      <c r="B193" t="s">
        <v>33</v>
      </c>
      <c r="C193" t="s">
        <v>35</v>
      </c>
      <c r="D193">
        <v>106315</v>
      </c>
      <c r="E193">
        <v>28.94</v>
      </c>
      <c r="F193">
        <v>85.259999999999991</v>
      </c>
      <c r="G193">
        <v>28.954470000000001</v>
      </c>
      <c r="H193">
        <v>85.217370000000003</v>
      </c>
      <c r="I193">
        <v>-3.939614233951672</v>
      </c>
      <c r="J193">
        <v>1.0966308717123949</v>
      </c>
      <c r="K193">
        <v>0.34554250172771239</v>
      </c>
      <c r="L193">
        <v>-0.128621964779779</v>
      </c>
      <c r="M193" t="s">
        <v>27</v>
      </c>
      <c r="N193">
        <v>18</v>
      </c>
      <c r="O193" t="s">
        <v>26</v>
      </c>
      <c r="P193">
        <v>106333</v>
      </c>
      <c r="Q193">
        <v>28.84</v>
      </c>
      <c r="R193">
        <v>85.239999999999981</v>
      </c>
      <c r="S193">
        <v>-0.41256014749273329</v>
      </c>
      <c r="T193">
        <v>-3.1981810877176067E-2</v>
      </c>
      <c r="U193">
        <v>-5.2929556249563227E-2</v>
      </c>
      <c r="V193">
        <v>4.1931651125530784E-3</v>
      </c>
      <c r="W193">
        <v>-5.7122721362116297E-2</v>
      </c>
    </row>
    <row r="194" spans="1:23" x14ac:dyDescent="0.25">
      <c r="A194">
        <v>21</v>
      </c>
      <c r="B194" t="s">
        <v>33</v>
      </c>
      <c r="C194" t="s">
        <v>35</v>
      </c>
      <c r="D194">
        <v>106705</v>
      </c>
      <c r="E194">
        <v>28.79</v>
      </c>
      <c r="F194">
        <v>85.81</v>
      </c>
      <c r="G194">
        <v>28.804394999999989</v>
      </c>
      <c r="H194">
        <v>85.767095000000012</v>
      </c>
      <c r="I194">
        <v>-3.701288321744205</v>
      </c>
      <c r="J194">
        <v>1.0966308717123949</v>
      </c>
      <c r="K194">
        <v>0.34734282737061478</v>
      </c>
      <c r="L194">
        <v>-0.12779756108989579</v>
      </c>
      <c r="M194" t="s">
        <v>27</v>
      </c>
      <c r="N194">
        <v>7</v>
      </c>
      <c r="O194" t="s">
        <v>26</v>
      </c>
      <c r="P194">
        <v>106712</v>
      </c>
      <c r="Q194">
        <v>29.015000000000011</v>
      </c>
      <c r="R194">
        <v>86.124999999999986</v>
      </c>
      <c r="S194">
        <v>8.8302122739853606E-2</v>
      </c>
      <c r="T194">
        <v>3.7895904415077467E-2</v>
      </c>
      <c r="U194">
        <v>1.6870391514007221E-2</v>
      </c>
      <c r="V194">
        <v>4.1931651125530793E-3</v>
      </c>
      <c r="W194">
        <v>1.2677226401454141E-2</v>
      </c>
    </row>
    <row r="195" spans="1:23" x14ac:dyDescent="0.25">
      <c r="A195">
        <v>21</v>
      </c>
      <c r="B195" t="s">
        <v>33</v>
      </c>
      <c r="C195" t="s">
        <v>35</v>
      </c>
      <c r="D195">
        <v>107393</v>
      </c>
      <c r="E195">
        <v>28.594999999999999</v>
      </c>
      <c r="F195">
        <v>84.935000000000031</v>
      </c>
      <c r="G195">
        <v>28.580702500000001</v>
      </c>
      <c r="H195">
        <v>84.977467500000031</v>
      </c>
      <c r="I195">
        <v>3.626491633432475</v>
      </c>
      <c r="J195">
        <v>1.0966308717123949</v>
      </c>
      <c r="K195">
        <v>-0.34971148802238161</v>
      </c>
      <c r="L195">
        <v>0.12911413100752281</v>
      </c>
      <c r="M195" t="s">
        <v>25</v>
      </c>
      <c r="N195">
        <v>18</v>
      </c>
      <c r="O195" t="s">
        <v>26</v>
      </c>
      <c r="P195">
        <v>107411</v>
      </c>
      <c r="Q195">
        <v>28.574999999999999</v>
      </c>
      <c r="R195">
        <v>84.97999999999999</v>
      </c>
      <c r="S195">
        <v>0.13130309956256991</v>
      </c>
      <c r="T195">
        <v>1.2804365655778241E-2</v>
      </c>
      <c r="U195">
        <v>-8.1613510144119914E-3</v>
      </c>
      <c r="V195">
        <v>4.1933583742965038E-3</v>
      </c>
      <c r="W195">
        <v>-1.2354709388708489E-2</v>
      </c>
    </row>
    <row r="196" spans="1:23" x14ac:dyDescent="0.25">
      <c r="A196">
        <v>21</v>
      </c>
      <c r="B196" t="s">
        <v>33</v>
      </c>
      <c r="C196" t="s">
        <v>35</v>
      </c>
      <c r="D196">
        <v>108655</v>
      </c>
      <c r="E196">
        <v>28.59</v>
      </c>
      <c r="F196">
        <v>84.924999999999997</v>
      </c>
      <c r="G196">
        <v>28.575704999999999</v>
      </c>
      <c r="H196">
        <v>84.967462499999996</v>
      </c>
      <c r="I196">
        <v>4.367926339583895</v>
      </c>
      <c r="J196">
        <v>1.0966308717123949</v>
      </c>
      <c r="K196">
        <v>-0.34977264777894368</v>
      </c>
      <c r="L196">
        <v>0.12912933431997589</v>
      </c>
      <c r="M196" t="s">
        <v>25</v>
      </c>
      <c r="N196">
        <v>24</v>
      </c>
      <c r="O196" t="s">
        <v>26</v>
      </c>
      <c r="P196">
        <v>108679</v>
      </c>
      <c r="Q196">
        <v>28.545000000000009</v>
      </c>
      <c r="R196">
        <v>84.99</v>
      </c>
      <c r="S196">
        <v>0.49451528215839119</v>
      </c>
      <c r="T196">
        <v>2.4133175880847482E-2</v>
      </c>
      <c r="U196">
        <v>3.170540344935014E-3</v>
      </c>
      <c r="V196">
        <v>4.1933583742965038E-3</v>
      </c>
      <c r="W196">
        <v>-1.02281802936149E-3</v>
      </c>
    </row>
    <row r="197" spans="1:23" x14ac:dyDescent="0.25">
      <c r="A197">
        <v>21</v>
      </c>
      <c r="B197" t="s">
        <v>33</v>
      </c>
      <c r="C197" t="s">
        <v>35</v>
      </c>
      <c r="D197">
        <v>108884</v>
      </c>
      <c r="E197">
        <v>28.52000000000001</v>
      </c>
      <c r="F197">
        <v>84.1</v>
      </c>
      <c r="G197">
        <v>28.50574000000001</v>
      </c>
      <c r="H197">
        <v>84.142049999999983</v>
      </c>
      <c r="I197">
        <v>3.5449505065789189</v>
      </c>
      <c r="J197">
        <v>1.0966308717123949</v>
      </c>
      <c r="K197">
        <v>-0.35063113604488072</v>
      </c>
      <c r="L197">
        <v>0.13039606084570701</v>
      </c>
      <c r="M197" t="s">
        <v>25</v>
      </c>
      <c r="N197">
        <v>6</v>
      </c>
      <c r="O197" t="s">
        <v>26</v>
      </c>
      <c r="P197">
        <v>108890</v>
      </c>
      <c r="Q197">
        <v>28.465</v>
      </c>
      <c r="R197">
        <v>84.114999999999995</v>
      </c>
      <c r="S197">
        <v>0.49363981284564867</v>
      </c>
      <c r="T197">
        <v>2.124065339515651E-2</v>
      </c>
      <c r="U197">
        <v>2.8300906381952678E-4</v>
      </c>
      <c r="V197">
        <v>4.193358374296503E-3</v>
      </c>
      <c r="W197">
        <v>-3.9103493104769762E-3</v>
      </c>
    </row>
    <row r="198" spans="1:23" x14ac:dyDescent="0.25">
      <c r="A198">
        <v>21</v>
      </c>
      <c r="B198" t="s">
        <v>33</v>
      </c>
      <c r="C198" t="s">
        <v>35</v>
      </c>
      <c r="D198">
        <v>109152</v>
      </c>
      <c r="E198">
        <v>28.74</v>
      </c>
      <c r="F198">
        <v>85.139999999999986</v>
      </c>
      <c r="G198">
        <v>28.754370000000002</v>
      </c>
      <c r="H198">
        <v>85.097429999999989</v>
      </c>
      <c r="I198">
        <v>-3.8032512644658141</v>
      </c>
      <c r="J198">
        <v>1.0966308717123949</v>
      </c>
      <c r="K198">
        <v>0.34794711203897011</v>
      </c>
      <c r="L198">
        <v>-0.12880325014240021</v>
      </c>
      <c r="M198" t="s">
        <v>27</v>
      </c>
      <c r="N198">
        <v>16</v>
      </c>
      <c r="O198" t="s">
        <v>26</v>
      </c>
      <c r="P198">
        <v>109168</v>
      </c>
      <c r="Q198">
        <v>28.73</v>
      </c>
      <c r="R198">
        <v>85.039999999999978</v>
      </c>
      <c r="S198">
        <v>-0.46016232401705681</v>
      </c>
      <c r="T198">
        <v>9.4008538938521145E-3</v>
      </c>
      <c r="U198">
        <v>-1.1557274925202881E-2</v>
      </c>
      <c r="V198">
        <v>4.1931651125530784E-3</v>
      </c>
      <c r="W198">
        <v>-1.5750440037755959E-2</v>
      </c>
    </row>
    <row r="199" spans="1:23" x14ac:dyDescent="0.25">
      <c r="A199">
        <v>22</v>
      </c>
      <c r="B199" t="s">
        <v>33</v>
      </c>
      <c r="C199" t="s">
        <v>35</v>
      </c>
      <c r="D199">
        <v>109801</v>
      </c>
      <c r="E199">
        <v>28.805</v>
      </c>
      <c r="F199">
        <v>86.960000000000008</v>
      </c>
      <c r="G199">
        <v>28.819402499999999</v>
      </c>
      <c r="H199">
        <v>86.91652000000002</v>
      </c>
      <c r="I199">
        <v>-5.2932992414904954</v>
      </c>
      <c r="J199">
        <v>1.1319835841088941</v>
      </c>
      <c r="K199">
        <v>0.3471619510501649</v>
      </c>
      <c r="L199">
        <v>-0.1301729052563125</v>
      </c>
      <c r="M199" t="s">
        <v>27</v>
      </c>
      <c r="N199">
        <v>23</v>
      </c>
      <c r="O199" t="s">
        <v>26</v>
      </c>
      <c r="P199">
        <v>109824</v>
      </c>
      <c r="Q199">
        <v>28.875</v>
      </c>
      <c r="R199">
        <v>87.24</v>
      </c>
      <c r="S199">
        <v>-0.49596669734602178</v>
      </c>
      <c r="T199">
        <v>-1.214707689825539E-2</v>
      </c>
      <c r="U199">
        <v>-3.3497287614363727E-2</v>
      </c>
      <c r="V199">
        <v>4.2638351846336804E-3</v>
      </c>
      <c r="W199">
        <v>-3.7761122798997411E-2</v>
      </c>
    </row>
    <row r="200" spans="1:23" x14ac:dyDescent="0.25">
      <c r="A200">
        <v>22</v>
      </c>
      <c r="B200" t="s">
        <v>33</v>
      </c>
      <c r="C200" t="s">
        <v>35</v>
      </c>
      <c r="D200">
        <v>110070</v>
      </c>
      <c r="E200">
        <v>29.335000000000012</v>
      </c>
      <c r="F200">
        <v>88.905000000000001</v>
      </c>
      <c r="G200">
        <v>29.34966750000001</v>
      </c>
      <c r="H200">
        <v>88.86054750000001</v>
      </c>
      <c r="I200">
        <v>-3.6692186124881978</v>
      </c>
      <c r="J200">
        <v>1.1319835841088941</v>
      </c>
      <c r="K200">
        <v>0.34088972217487629</v>
      </c>
      <c r="L200">
        <v>-0.12732507554230851</v>
      </c>
      <c r="M200" t="s">
        <v>27</v>
      </c>
      <c r="N200">
        <v>16</v>
      </c>
      <c r="O200" t="s">
        <v>26</v>
      </c>
      <c r="P200">
        <v>110086</v>
      </c>
      <c r="Q200">
        <v>29.27</v>
      </c>
      <c r="R200">
        <v>88.710000000000008</v>
      </c>
      <c r="S200">
        <v>-0.1268526872305204</v>
      </c>
      <c r="T200">
        <v>2.6705577893806759E-3</v>
      </c>
      <c r="U200">
        <v>-1.8625784940869371E-2</v>
      </c>
      <c r="V200">
        <v>4.2638351846336787E-3</v>
      </c>
      <c r="W200">
        <v>-2.2889620125503041E-2</v>
      </c>
    </row>
    <row r="201" spans="1:23" x14ac:dyDescent="0.25">
      <c r="A201">
        <v>22</v>
      </c>
      <c r="B201" t="s">
        <v>33</v>
      </c>
      <c r="C201" t="s">
        <v>35</v>
      </c>
      <c r="D201">
        <v>110217</v>
      </c>
      <c r="E201">
        <v>28.93</v>
      </c>
      <c r="F201">
        <v>89.060000000000045</v>
      </c>
      <c r="G201">
        <v>28.94446499999999</v>
      </c>
      <c r="H201">
        <v>89.01547000000005</v>
      </c>
      <c r="I201">
        <v>-5.1355203131921616</v>
      </c>
      <c r="J201">
        <v>1.1319835841088941</v>
      </c>
      <c r="K201">
        <v>0.34566194262011762</v>
      </c>
      <c r="L201">
        <v>-0.12710347901514629</v>
      </c>
      <c r="M201" t="s">
        <v>27</v>
      </c>
      <c r="N201">
        <v>4</v>
      </c>
      <c r="O201" t="s">
        <v>26</v>
      </c>
      <c r="P201">
        <v>110221</v>
      </c>
      <c r="Q201">
        <v>28.955000000000009</v>
      </c>
      <c r="R201">
        <v>88.260000000000034</v>
      </c>
      <c r="S201">
        <v>0.44706968551764492</v>
      </c>
      <c r="T201">
        <v>0.1103243317776246</v>
      </c>
      <c r="U201">
        <v>8.9051016553861689E-2</v>
      </c>
      <c r="V201">
        <v>4.2638351846336804E-3</v>
      </c>
      <c r="W201">
        <v>8.4787181369228012E-2</v>
      </c>
    </row>
    <row r="202" spans="1:23" x14ac:dyDescent="0.25">
      <c r="A202">
        <v>22</v>
      </c>
      <c r="B202" t="s">
        <v>33</v>
      </c>
      <c r="C202" t="s">
        <v>35</v>
      </c>
      <c r="D202">
        <v>110597</v>
      </c>
      <c r="E202">
        <v>28.84</v>
      </c>
      <c r="F202">
        <v>88.31500000000004</v>
      </c>
      <c r="G202">
        <v>28.854420000000001</v>
      </c>
      <c r="H202">
        <v>88.270842500000043</v>
      </c>
      <c r="I202">
        <v>-3.620827184709734</v>
      </c>
      <c r="J202">
        <v>1.1319835841088941</v>
      </c>
      <c r="K202">
        <v>0.34674063800277388</v>
      </c>
      <c r="L202">
        <v>-0.1281756874946377</v>
      </c>
      <c r="M202" t="s">
        <v>27</v>
      </c>
      <c r="N202">
        <v>23</v>
      </c>
      <c r="O202" t="s">
        <v>26</v>
      </c>
      <c r="P202">
        <v>110620</v>
      </c>
      <c r="Q202">
        <v>28.58</v>
      </c>
      <c r="R202">
        <v>87.929999999999978</v>
      </c>
      <c r="S202">
        <v>-0.26188600404610912</v>
      </c>
      <c r="T202">
        <v>-4.0804926195277057E-2</v>
      </c>
      <c r="U202">
        <v>-6.2055011933581421E-2</v>
      </c>
      <c r="V202">
        <v>4.2638351846336787E-3</v>
      </c>
      <c r="W202">
        <v>-6.6318847118215105E-2</v>
      </c>
    </row>
    <row r="203" spans="1:23" x14ac:dyDescent="0.25">
      <c r="A203">
        <v>22</v>
      </c>
      <c r="B203" t="s">
        <v>33</v>
      </c>
      <c r="C203" t="s">
        <v>35</v>
      </c>
      <c r="D203">
        <v>111000</v>
      </c>
      <c r="E203">
        <v>28.844999999999999</v>
      </c>
      <c r="F203">
        <v>89.265000000000029</v>
      </c>
      <c r="G203">
        <v>28.859422500000001</v>
      </c>
      <c r="H203">
        <v>89.220367500000037</v>
      </c>
      <c r="I203">
        <v>-4.5651053919810138</v>
      </c>
      <c r="J203">
        <v>1.1319835841088941</v>
      </c>
      <c r="K203">
        <v>0.34668053388802222</v>
      </c>
      <c r="L203">
        <v>-0.12681158170715209</v>
      </c>
      <c r="M203" t="s">
        <v>27</v>
      </c>
      <c r="N203">
        <v>3</v>
      </c>
      <c r="O203" t="s">
        <v>26</v>
      </c>
      <c r="P203">
        <v>111003</v>
      </c>
      <c r="Q203">
        <v>28.864999999999998</v>
      </c>
      <c r="R203">
        <v>89.025000000000006</v>
      </c>
      <c r="S203">
        <v>-0.23440673814574109</v>
      </c>
      <c r="T203">
        <v>3.7368390287479757E-2</v>
      </c>
      <c r="U203">
        <v>1.6060305030859551E-2</v>
      </c>
      <c r="V203">
        <v>4.2638351846336804E-3</v>
      </c>
      <c r="W203">
        <v>1.1796469846225869E-2</v>
      </c>
    </row>
    <row r="204" spans="1:23" x14ac:dyDescent="0.25">
      <c r="A204">
        <v>22</v>
      </c>
      <c r="B204" t="s">
        <v>33</v>
      </c>
      <c r="C204" t="s">
        <v>35</v>
      </c>
      <c r="D204">
        <v>111386</v>
      </c>
      <c r="E204">
        <v>28.77000000000001</v>
      </c>
      <c r="F204">
        <v>88.460000000000022</v>
      </c>
      <c r="G204">
        <v>28.755615000000009</v>
      </c>
      <c r="H204">
        <v>88.504230000000021</v>
      </c>
      <c r="I204">
        <v>4.7977347903364986</v>
      </c>
      <c r="J204">
        <v>1.1319835841088941</v>
      </c>
      <c r="K204">
        <v>-0.34758428919012851</v>
      </c>
      <c r="L204">
        <v>0.12796558717034739</v>
      </c>
      <c r="M204" t="s">
        <v>25</v>
      </c>
      <c r="N204">
        <v>2</v>
      </c>
      <c r="O204" t="s">
        <v>26</v>
      </c>
      <c r="P204">
        <v>111388</v>
      </c>
      <c r="Q204">
        <v>28.84</v>
      </c>
      <c r="R204">
        <v>88.919999999999973</v>
      </c>
      <c r="S204">
        <v>0.48462670007898778</v>
      </c>
      <c r="T204">
        <v>3.4533269855046941E-2</v>
      </c>
      <c r="U204">
        <v>1.317183647878899E-2</v>
      </c>
      <c r="V204">
        <v>4.2640991518018969E-3</v>
      </c>
      <c r="W204">
        <v>8.907737326987096E-3</v>
      </c>
    </row>
    <row r="205" spans="1:23" x14ac:dyDescent="0.25">
      <c r="A205">
        <v>22</v>
      </c>
      <c r="B205" t="s">
        <v>33</v>
      </c>
      <c r="C205" t="s">
        <v>35</v>
      </c>
      <c r="D205">
        <v>111777</v>
      </c>
      <c r="E205">
        <v>28.33</v>
      </c>
      <c r="F205">
        <v>86.105000000000032</v>
      </c>
      <c r="G205">
        <v>28.315835</v>
      </c>
      <c r="H205">
        <v>86.148052500000034</v>
      </c>
      <c r="I205">
        <v>4.0098329141655293</v>
      </c>
      <c r="J205">
        <v>1.1319835841088941</v>
      </c>
      <c r="K205">
        <v>-0.35298270384751151</v>
      </c>
      <c r="L205">
        <v>0.13146548796340429</v>
      </c>
      <c r="M205" t="s">
        <v>25</v>
      </c>
      <c r="N205">
        <v>26</v>
      </c>
      <c r="O205" t="s">
        <v>26</v>
      </c>
      <c r="P205">
        <v>111803</v>
      </c>
      <c r="Q205">
        <v>28.34</v>
      </c>
      <c r="R205">
        <v>85.460000000000008</v>
      </c>
      <c r="S205">
        <v>0.41781001457263101</v>
      </c>
      <c r="T205">
        <v>-8.8325066774872174E-2</v>
      </c>
      <c r="U205">
        <v>-0.1096042699096107</v>
      </c>
      <c r="V205">
        <v>4.2640991518018969E-3</v>
      </c>
      <c r="W205">
        <v>-0.11386836906141259</v>
      </c>
    </row>
    <row r="206" spans="1:23" x14ac:dyDescent="0.25">
      <c r="A206">
        <v>22</v>
      </c>
      <c r="B206" t="s">
        <v>33</v>
      </c>
      <c r="C206" t="s">
        <v>35</v>
      </c>
      <c r="D206">
        <v>112167</v>
      </c>
      <c r="E206">
        <v>28.16</v>
      </c>
      <c r="F206">
        <v>84.780000000000015</v>
      </c>
      <c r="G206">
        <v>28.14592</v>
      </c>
      <c r="H206">
        <v>84.822390000000013</v>
      </c>
      <c r="I206">
        <v>3.5108557030565821</v>
      </c>
      <c r="J206">
        <v>1.1319835841088941</v>
      </c>
      <c r="K206">
        <v>-0.35511363636363641</v>
      </c>
      <c r="L206">
        <v>0.1335201207960478</v>
      </c>
      <c r="M206" t="s">
        <v>25</v>
      </c>
      <c r="N206">
        <v>25</v>
      </c>
      <c r="O206" t="s">
        <v>26</v>
      </c>
      <c r="P206">
        <v>112192</v>
      </c>
      <c r="Q206">
        <v>27.93</v>
      </c>
      <c r="R206">
        <v>84.039999999999992</v>
      </c>
      <c r="S206">
        <v>0.34594071286229239</v>
      </c>
      <c r="T206">
        <v>-1.712875302544201E-2</v>
      </c>
      <c r="U206">
        <v>-3.8358348353652968E-2</v>
      </c>
      <c r="V206">
        <v>4.2640991518018969E-3</v>
      </c>
      <c r="W206">
        <v>-4.2622447505454873E-2</v>
      </c>
    </row>
    <row r="207" spans="1:23" x14ac:dyDescent="0.25">
      <c r="A207">
        <v>22</v>
      </c>
      <c r="B207" t="s">
        <v>33</v>
      </c>
      <c r="C207" t="s">
        <v>35</v>
      </c>
      <c r="D207">
        <v>112557</v>
      </c>
      <c r="E207">
        <v>27.515000000000001</v>
      </c>
      <c r="F207">
        <v>82.66</v>
      </c>
      <c r="G207">
        <v>27.5012425</v>
      </c>
      <c r="H207">
        <v>82.701329999999999</v>
      </c>
      <c r="I207">
        <v>3.5998825015701561</v>
      </c>
      <c r="J207">
        <v>1.1319835841088941</v>
      </c>
      <c r="K207">
        <v>-0.36343812465927677</v>
      </c>
      <c r="L207">
        <v>0.13694454199236561</v>
      </c>
      <c r="M207" t="s">
        <v>25</v>
      </c>
      <c r="N207">
        <v>4</v>
      </c>
      <c r="O207" t="s">
        <v>26</v>
      </c>
      <c r="P207">
        <v>112561</v>
      </c>
      <c r="Q207">
        <v>27.474999999999991</v>
      </c>
      <c r="R207">
        <v>82.699999999999974</v>
      </c>
      <c r="S207">
        <v>0.44353962780161599</v>
      </c>
      <c r="T207">
        <v>2.0015306666064929E-2</v>
      </c>
      <c r="U207">
        <v>-1.299999303368244E-3</v>
      </c>
      <c r="V207">
        <v>4.2640991518018969E-3</v>
      </c>
      <c r="W207">
        <v>-5.5640984551701411E-3</v>
      </c>
    </row>
    <row r="208" spans="1:23" x14ac:dyDescent="0.25">
      <c r="A208">
        <v>22</v>
      </c>
      <c r="B208" t="s">
        <v>33</v>
      </c>
      <c r="C208" t="s">
        <v>35</v>
      </c>
      <c r="D208">
        <v>112858</v>
      </c>
      <c r="E208">
        <v>27.545000000000002</v>
      </c>
      <c r="F208">
        <v>82.799999999999969</v>
      </c>
      <c r="G208">
        <v>27.5312275</v>
      </c>
      <c r="H208">
        <v>82.841399999999965</v>
      </c>
      <c r="I208">
        <v>4.0895452943180732</v>
      </c>
      <c r="J208">
        <v>1.1319835841088941</v>
      </c>
      <c r="K208">
        <v>-0.36304229442730079</v>
      </c>
      <c r="L208">
        <v>0.13671299324986641</v>
      </c>
      <c r="M208" t="s">
        <v>25</v>
      </c>
      <c r="N208">
        <v>8</v>
      </c>
      <c r="O208" t="s">
        <v>26</v>
      </c>
      <c r="P208">
        <v>112866</v>
      </c>
      <c r="Q208">
        <v>27.565000000000001</v>
      </c>
      <c r="R208">
        <v>83.000000000000028</v>
      </c>
      <c r="S208">
        <v>0.48158155630892269</v>
      </c>
      <c r="T208">
        <v>2.008175276143559E-2</v>
      </c>
      <c r="U208">
        <v>-1.2553848019204901E-3</v>
      </c>
      <c r="V208">
        <v>4.2640991518018969E-3</v>
      </c>
      <c r="W208">
        <v>-5.519483953722387E-3</v>
      </c>
    </row>
    <row r="209" spans="1:23" x14ac:dyDescent="0.25">
      <c r="A209">
        <v>22</v>
      </c>
      <c r="B209" t="s">
        <v>33</v>
      </c>
      <c r="C209" t="s">
        <v>35</v>
      </c>
      <c r="D209">
        <v>112946</v>
      </c>
      <c r="E209">
        <v>27.36</v>
      </c>
      <c r="F209">
        <v>83.039999999999978</v>
      </c>
      <c r="G209">
        <v>27.37367999999999</v>
      </c>
      <c r="H209">
        <v>82.998479999999986</v>
      </c>
      <c r="I209">
        <v>-5.019799989469786</v>
      </c>
      <c r="J209">
        <v>1.1319835841088941</v>
      </c>
      <c r="K209">
        <v>0.36549707602339188</v>
      </c>
      <c r="L209">
        <v>-0.13631786899191881</v>
      </c>
      <c r="M209" t="s">
        <v>27</v>
      </c>
      <c r="N209">
        <v>12</v>
      </c>
      <c r="O209" t="s">
        <v>26</v>
      </c>
      <c r="P209">
        <v>112958</v>
      </c>
      <c r="Q209">
        <v>27.45</v>
      </c>
      <c r="R209">
        <v>82.539999999999992</v>
      </c>
      <c r="S209">
        <v>0.32052647654456168</v>
      </c>
      <c r="T209">
        <v>0.10105367133806401</v>
      </c>
      <c r="U209">
        <v>7.9751467595805522E-2</v>
      </c>
      <c r="V209">
        <v>4.2638351846336804E-3</v>
      </c>
      <c r="W209">
        <v>7.5487632411171846E-2</v>
      </c>
    </row>
    <row r="210" spans="1:23" x14ac:dyDescent="0.25">
      <c r="A210">
        <v>25</v>
      </c>
      <c r="B210" t="s">
        <v>34</v>
      </c>
      <c r="C210" t="s">
        <v>35</v>
      </c>
      <c r="D210">
        <v>121501</v>
      </c>
      <c r="E210">
        <v>297.42</v>
      </c>
      <c r="F210">
        <v>71.440000000000026</v>
      </c>
      <c r="G210">
        <v>297.27129000000002</v>
      </c>
      <c r="H210">
        <v>71.475720000000024</v>
      </c>
      <c r="I210">
        <v>5.2946478731684659</v>
      </c>
      <c r="J210">
        <v>0.73266560037946904</v>
      </c>
      <c r="K210">
        <v>-3.3622486719117738E-2</v>
      </c>
      <c r="L210">
        <v>0.1025567749691306</v>
      </c>
      <c r="M210" t="s">
        <v>25</v>
      </c>
      <c r="N210">
        <v>23</v>
      </c>
      <c r="O210" t="s">
        <v>26</v>
      </c>
      <c r="P210">
        <v>121524</v>
      </c>
      <c r="Q210">
        <v>297.19</v>
      </c>
      <c r="R210">
        <v>71.39</v>
      </c>
      <c r="S210">
        <v>0.49159387386209202</v>
      </c>
      <c r="T210">
        <v>2.605333196938541E-3</v>
      </c>
      <c r="U210">
        <v>-1.471489230150776E-2</v>
      </c>
      <c r="V210">
        <v>3.4650638663593181E-3</v>
      </c>
      <c r="W210">
        <v>-1.8179956167867072E-2</v>
      </c>
    </row>
    <row r="211" spans="1:23" x14ac:dyDescent="0.25">
      <c r="A211">
        <v>25</v>
      </c>
      <c r="B211" t="s">
        <v>34</v>
      </c>
      <c r="C211" t="s">
        <v>35</v>
      </c>
      <c r="D211">
        <v>121537</v>
      </c>
      <c r="E211">
        <v>296.69999999999987</v>
      </c>
      <c r="F211">
        <v>72.02000000000001</v>
      </c>
      <c r="G211">
        <v>296.84834999999993</v>
      </c>
      <c r="H211">
        <v>71.98399000000002</v>
      </c>
      <c r="I211">
        <v>-4.456159423245837</v>
      </c>
      <c r="J211">
        <v>0.73266560037946904</v>
      </c>
      <c r="K211">
        <v>3.3704078193461433E-2</v>
      </c>
      <c r="L211">
        <v>-0.1017308525936502</v>
      </c>
      <c r="M211" t="s">
        <v>27</v>
      </c>
      <c r="N211">
        <v>2</v>
      </c>
      <c r="O211" t="s">
        <v>26</v>
      </c>
      <c r="P211">
        <v>121539</v>
      </c>
      <c r="Q211">
        <v>299.13499999999988</v>
      </c>
      <c r="R211">
        <v>72.039999999999978</v>
      </c>
      <c r="S211">
        <v>0.33378197934658999</v>
      </c>
      <c r="T211">
        <v>8.0034813349210865E-2</v>
      </c>
      <c r="U211">
        <v>6.2666105321691909E-2</v>
      </c>
      <c r="V211">
        <v>3.4655985351585588E-3</v>
      </c>
      <c r="W211">
        <v>5.9200506786533352E-2</v>
      </c>
    </row>
    <row r="212" spans="1:23" x14ac:dyDescent="0.25">
      <c r="A212">
        <v>25</v>
      </c>
      <c r="B212" t="s">
        <v>34</v>
      </c>
      <c r="C212" t="s">
        <v>35</v>
      </c>
      <c r="D212">
        <v>121709</v>
      </c>
      <c r="E212">
        <v>295.89999999999998</v>
      </c>
      <c r="F212">
        <v>72.144999999999996</v>
      </c>
      <c r="G212">
        <v>296.04795000000001</v>
      </c>
      <c r="H212">
        <v>72.108927499999993</v>
      </c>
      <c r="I212">
        <v>-3.6757757417941481</v>
      </c>
      <c r="J212">
        <v>0.73266560037946904</v>
      </c>
      <c r="K212">
        <v>3.3795201081446437E-2</v>
      </c>
      <c r="L212">
        <v>-0.10155459150037691</v>
      </c>
      <c r="M212" t="s">
        <v>27</v>
      </c>
      <c r="N212">
        <v>3</v>
      </c>
      <c r="O212" t="s">
        <v>26</v>
      </c>
      <c r="P212">
        <v>121712</v>
      </c>
      <c r="Q212">
        <v>295.89999999999998</v>
      </c>
      <c r="R212">
        <v>71.910000000000011</v>
      </c>
      <c r="S212">
        <v>-0.30639071957387831</v>
      </c>
      <c r="T212">
        <v>2.3865329002587071E-2</v>
      </c>
      <c r="U212">
        <v>6.5506056632945626E-3</v>
      </c>
      <c r="V212">
        <v>3.4655985351585588E-3</v>
      </c>
      <c r="W212">
        <v>3.0850071281360038E-3</v>
      </c>
    </row>
    <row r="213" spans="1:23" x14ac:dyDescent="0.25">
      <c r="A213">
        <v>25</v>
      </c>
      <c r="B213" t="s">
        <v>34</v>
      </c>
      <c r="C213" t="s">
        <v>35</v>
      </c>
      <c r="D213">
        <v>121926</v>
      </c>
      <c r="E213">
        <v>297.81500000000011</v>
      </c>
      <c r="F213">
        <v>71.649999999999991</v>
      </c>
      <c r="G213">
        <v>297.66609249999999</v>
      </c>
      <c r="H213">
        <v>71.685824999999994</v>
      </c>
      <c r="I213">
        <v>4.3228022779238984</v>
      </c>
      <c r="J213">
        <v>0.73266560037946904</v>
      </c>
      <c r="K213">
        <v>-3.357789231569934E-2</v>
      </c>
      <c r="L213">
        <v>0.1022561898645456</v>
      </c>
      <c r="M213" t="s">
        <v>25</v>
      </c>
      <c r="N213">
        <v>6</v>
      </c>
      <c r="O213" t="s">
        <v>26</v>
      </c>
      <c r="P213">
        <v>121932</v>
      </c>
      <c r="Q213">
        <v>296.71000000000009</v>
      </c>
      <c r="R213">
        <v>71.85499999999999</v>
      </c>
      <c r="S213">
        <v>0.1389563020462263</v>
      </c>
      <c r="T213">
        <v>5.8066089931078153E-2</v>
      </c>
      <c r="U213">
        <v>4.0747504453326928E-2</v>
      </c>
      <c r="V213">
        <v>3.4650638663593181E-3</v>
      </c>
      <c r="W213">
        <v>3.7282440586967613E-2</v>
      </c>
    </row>
    <row r="214" spans="1:23" x14ac:dyDescent="0.25">
      <c r="A214">
        <v>25</v>
      </c>
      <c r="B214" t="s">
        <v>34</v>
      </c>
      <c r="C214" t="s">
        <v>35</v>
      </c>
      <c r="D214">
        <v>122316</v>
      </c>
      <c r="E214">
        <v>293.87</v>
      </c>
      <c r="F214">
        <v>70.419999999999987</v>
      </c>
      <c r="G214">
        <v>293.72306500000002</v>
      </c>
      <c r="H214">
        <v>70.45520999999998</v>
      </c>
      <c r="I214">
        <v>4.9150392620090608</v>
      </c>
      <c r="J214">
        <v>0.73266560037946904</v>
      </c>
      <c r="K214">
        <v>-3.4028652125089327E-2</v>
      </c>
      <c r="L214">
        <v>0.1040422607752725</v>
      </c>
      <c r="M214" t="s">
        <v>25</v>
      </c>
      <c r="N214">
        <v>23</v>
      </c>
      <c r="O214" t="s">
        <v>26</v>
      </c>
      <c r="P214">
        <v>122339</v>
      </c>
      <c r="Q214">
        <v>293.9849999999999</v>
      </c>
      <c r="R214">
        <v>69.930000000000007</v>
      </c>
      <c r="S214">
        <v>0.48519972857459148</v>
      </c>
      <c r="T214">
        <v>-5.4894002774263248E-2</v>
      </c>
      <c r="U214">
        <v>-7.2197125071664189E-2</v>
      </c>
      <c r="V214">
        <v>3.4650638663593181E-3</v>
      </c>
      <c r="W214">
        <v>-7.5662188938023511E-2</v>
      </c>
    </row>
    <row r="215" spans="1:23" x14ac:dyDescent="0.25">
      <c r="A215">
        <v>25</v>
      </c>
      <c r="B215" t="s">
        <v>34</v>
      </c>
      <c r="C215" t="s">
        <v>35</v>
      </c>
      <c r="D215">
        <v>123042</v>
      </c>
      <c r="E215">
        <v>303.69999999999987</v>
      </c>
      <c r="F215">
        <v>70.819999999999993</v>
      </c>
      <c r="G215">
        <v>303.8518499999999</v>
      </c>
      <c r="H215">
        <v>70.784589999999994</v>
      </c>
      <c r="I215">
        <v>-3.5873269267443328</v>
      </c>
      <c r="J215">
        <v>0.73266560037946904</v>
      </c>
      <c r="K215">
        <v>3.2927230819888062E-2</v>
      </c>
      <c r="L215">
        <v>-0.1034546173933167</v>
      </c>
      <c r="M215" t="s">
        <v>27</v>
      </c>
      <c r="N215">
        <v>1</v>
      </c>
      <c r="O215" t="s">
        <v>26</v>
      </c>
      <c r="P215">
        <v>123043</v>
      </c>
      <c r="Q215">
        <v>303.87</v>
      </c>
      <c r="R215">
        <v>70.77</v>
      </c>
      <c r="S215">
        <v>0.10195389472742911</v>
      </c>
      <c r="T215">
        <v>1.077036010904891E-2</v>
      </c>
      <c r="U215">
        <v>-6.5565083439278679E-3</v>
      </c>
      <c r="V215">
        <v>3.4655985351585588E-3</v>
      </c>
      <c r="W215">
        <v>-1.002210687908643E-2</v>
      </c>
    </row>
    <row r="216" spans="1:23" x14ac:dyDescent="0.25">
      <c r="A216">
        <v>25</v>
      </c>
      <c r="B216" t="s">
        <v>34</v>
      </c>
      <c r="C216" t="s">
        <v>35</v>
      </c>
      <c r="D216">
        <v>123489</v>
      </c>
      <c r="E216">
        <v>309.23500000000001</v>
      </c>
      <c r="F216">
        <v>72</v>
      </c>
      <c r="G216">
        <v>309.38961749999999</v>
      </c>
      <c r="H216">
        <v>71.963999999999999</v>
      </c>
      <c r="I216">
        <v>-3.8434764010951681</v>
      </c>
      <c r="J216">
        <v>0.73266560037946904</v>
      </c>
      <c r="K216">
        <v>3.2337866024221062E-2</v>
      </c>
      <c r="L216">
        <v>-0.1017591111638151</v>
      </c>
      <c r="M216" t="s">
        <v>27</v>
      </c>
      <c r="N216">
        <v>7</v>
      </c>
      <c r="O216" t="s">
        <v>26</v>
      </c>
      <c r="P216">
        <v>123496</v>
      </c>
      <c r="Q216">
        <v>310.86999999999989</v>
      </c>
      <c r="R216">
        <v>72.3</v>
      </c>
      <c r="S216">
        <v>-0.38442437244708461</v>
      </c>
      <c r="T216">
        <v>2.2344677600455051E-2</v>
      </c>
      <c r="U216">
        <v>4.9763215245140283E-3</v>
      </c>
      <c r="V216">
        <v>3.4655985351585588E-3</v>
      </c>
      <c r="W216">
        <v>1.510722989355469E-3</v>
      </c>
    </row>
    <row r="217" spans="1:23" x14ac:dyDescent="0.25">
      <c r="A217">
        <v>26</v>
      </c>
      <c r="B217" t="s">
        <v>34</v>
      </c>
      <c r="C217" t="s">
        <v>30</v>
      </c>
      <c r="D217">
        <v>125401</v>
      </c>
      <c r="E217">
        <v>324.57999999999993</v>
      </c>
      <c r="F217">
        <v>119.84</v>
      </c>
      <c r="G217">
        <v>324.74228999999991</v>
      </c>
      <c r="H217">
        <v>119.78008</v>
      </c>
      <c r="I217">
        <v>-5.2946402411141307</v>
      </c>
      <c r="J217">
        <v>0.99112507771468461</v>
      </c>
      <c r="K217">
        <v>3.0809045535769311E-2</v>
      </c>
      <c r="L217">
        <v>-8.2704028514242731E-2</v>
      </c>
      <c r="M217" t="s">
        <v>27</v>
      </c>
      <c r="N217">
        <v>23</v>
      </c>
      <c r="O217" t="s">
        <v>26</v>
      </c>
      <c r="P217">
        <v>125424</v>
      </c>
      <c r="Q217">
        <v>324.76999999999992</v>
      </c>
      <c r="R217">
        <v>120.39999999999991</v>
      </c>
      <c r="S217">
        <v>-0.49696701219611888</v>
      </c>
      <c r="T217">
        <v>-4.0460537316177089E-2</v>
      </c>
      <c r="U217">
        <v>-6.0397872080631319E-2</v>
      </c>
      <c r="V217">
        <v>3.9822590303516554E-3</v>
      </c>
      <c r="W217">
        <v>-6.438013111098298E-2</v>
      </c>
    </row>
    <row r="218" spans="1:23" x14ac:dyDescent="0.25">
      <c r="A218">
        <v>26</v>
      </c>
      <c r="B218" t="s">
        <v>34</v>
      </c>
      <c r="C218" t="s">
        <v>30</v>
      </c>
      <c r="D218">
        <v>125826</v>
      </c>
      <c r="E218">
        <v>322.37500000000011</v>
      </c>
      <c r="F218">
        <v>119.34</v>
      </c>
      <c r="G218">
        <v>322.21381250000007</v>
      </c>
      <c r="H218">
        <v>119.39967</v>
      </c>
      <c r="I218">
        <v>3.5713634320382979</v>
      </c>
      <c r="J218">
        <v>0.99112507771468461</v>
      </c>
      <c r="K218">
        <v>-3.1019775106630461E-2</v>
      </c>
      <c r="L218">
        <v>8.3050534415508984E-2</v>
      </c>
      <c r="M218" t="s">
        <v>25</v>
      </c>
      <c r="N218">
        <v>21</v>
      </c>
      <c r="O218" t="s">
        <v>26</v>
      </c>
      <c r="P218">
        <v>125847</v>
      </c>
      <c r="Q218">
        <v>324.49</v>
      </c>
      <c r="R218">
        <v>119.84</v>
      </c>
      <c r="S218">
        <v>0.18232940089637159</v>
      </c>
      <c r="T218">
        <v>-2.4081557142769831E-2</v>
      </c>
      <c r="U218">
        <v>-4.4046373965693802E-2</v>
      </c>
      <c r="V218">
        <v>3.9822412805070838E-3</v>
      </c>
      <c r="W218">
        <v>-4.802861524620089E-2</v>
      </c>
    </row>
    <row r="219" spans="1:23" x14ac:dyDescent="0.25">
      <c r="A219">
        <v>26</v>
      </c>
      <c r="B219" t="s">
        <v>34</v>
      </c>
      <c r="C219" t="s">
        <v>30</v>
      </c>
      <c r="D219">
        <v>126219</v>
      </c>
      <c r="E219">
        <v>324.81</v>
      </c>
      <c r="F219">
        <v>119.2</v>
      </c>
      <c r="G219">
        <v>324.64759500000002</v>
      </c>
      <c r="H219">
        <v>119.25960000000001</v>
      </c>
      <c r="I219">
        <v>4.065184450021099</v>
      </c>
      <c r="J219">
        <v>0.99112507771468461</v>
      </c>
      <c r="K219">
        <v>-3.0787229457221149E-2</v>
      </c>
      <c r="L219">
        <v>8.3148076989486952E-2</v>
      </c>
      <c r="M219" t="s">
        <v>25</v>
      </c>
      <c r="N219">
        <v>17</v>
      </c>
      <c r="O219" t="s">
        <v>26</v>
      </c>
      <c r="P219">
        <v>126236</v>
      </c>
      <c r="Q219">
        <v>325.57999999999993</v>
      </c>
      <c r="R219">
        <v>119.83499999999999</v>
      </c>
      <c r="S219">
        <v>0.4612328702976296</v>
      </c>
      <c r="T219">
        <v>2.9092862206263691E-2</v>
      </c>
      <c r="U219">
        <v>9.1433588313342903E-3</v>
      </c>
      <c r="V219">
        <v>3.9822412805070838E-3</v>
      </c>
      <c r="W219">
        <v>5.1611175508272074E-3</v>
      </c>
    </row>
    <row r="220" spans="1:23" x14ac:dyDescent="0.25">
      <c r="A220">
        <v>26</v>
      </c>
      <c r="B220" t="s">
        <v>34</v>
      </c>
      <c r="C220" t="s">
        <v>30</v>
      </c>
      <c r="D220">
        <v>126338</v>
      </c>
      <c r="E220">
        <v>328.24999999999989</v>
      </c>
      <c r="F220">
        <v>119.43</v>
      </c>
      <c r="G220">
        <v>328.08587499999987</v>
      </c>
      <c r="H220">
        <v>119.489715</v>
      </c>
      <c r="I220">
        <v>3.565632930658273</v>
      </c>
      <c r="J220">
        <v>0.99112507771468461</v>
      </c>
      <c r="K220">
        <v>-3.0464584920030471E-2</v>
      </c>
      <c r="L220">
        <v>8.2987949235090411E-2</v>
      </c>
      <c r="M220" t="s">
        <v>25</v>
      </c>
      <c r="N220">
        <v>7</v>
      </c>
      <c r="O220" t="s">
        <v>26</v>
      </c>
      <c r="P220">
        <v>126345</v>
      </c>
      <c r="Q220">
        <v>327.38</v>
      </c>
      <c r="R220">
        <v>119.43</v>
      </c>
      <c r="S220">
        <v>-4.074383598625244E-2</v>
      </c>
      <c r="T220">
        <v>2.6504188880423191E-2</v>
      </c>
      <c r="U220">
        <v>6.6061901977191671E-3</v>
      </c>
      <c r="V220">
        <v>3.9822412805070838E-3</v>
      </c>
      <c r="W220">
        <v>2.6239489172120828E-3</v>
      </c>
    </row>
    <row r="221" spans="1:23" x14ac:dyDescent="0.25">
      <c r="A221">
        <v>26</v>
      </c>
      <c r="B221" t="s">
        <v>34</v>
      </c>
      <c r="C221" t="s">
        <v>30</v>
      </c>
      <c r="D221">
        <v>126471</v>
      </c>
      <c r="E221">
        <v>327.13999999999987</v>
      </c>
      <c r="F221">
        <v>119.75</v>
      </c>
      <c r="G221">
        <v>327.30356999999992</v>
      </c>
      <c r="H221">
        <v>119.69012500000009</v>
      </c>
      <c r="I221">
        <v>-3.757923176733565</v>
      </c>
      <c r="J221">
        <v>0.99112507771468461</v>
      </c>
      <c r="K221">
        <v>3.0567952558537639E-2</v>
      </c>
      <c r="L221">
        <v>-8.2766186030453798E-2</v>
      </c>
      <c r="M221" t="s">
        <v>27</v>
      </c>
      <c r="N221">
        <v>4</v>
      </c>
      <c r="O221" t="s">
        <v>26</v>
      </c>
      <c r="P221">
        <v>126475</v>
      </c>
      <c r="Q221">
        <v>327.85</v>
      </c>
      <c r="R221">
        <v>119.795</v>
      </c>
      <c r="S221">
        <v>0.1254309382601059</v>
      </c>
      <c r="T221">
        <v>1.797876794519989E-2</v>
      </c>
      <c r="U221">
        <v>-1.9451966942894069E-3</v>
      </c>
      <c r="V221">
        <v>3.9822590303516554E-3</v>
      </c>
      <c r="W221">
        <v>-5.9274557246410623E-3</v>
      </c>
    </row>
    <row r="222" spans="1:23" x14ac:dyDescent="0.25">
      <c r="A222">
        <v>26</v>
      </c>
      <c r="B222" t="s">
        <v>34</v>
      </c>
      <c r="C222" t="s">
        <v>30</v>
      </c>
      <c r="D222">
        <v>126606</v>
      </c>
      <c r="E222">
        <v>332.66500000000008</v>
      </c>
      <c r="F222">
        <v>123.075</v>
      </c>
      <c r="G222">
        <v>332.83133250000009</v>
      </c>
      <c r="H222">
        <v>123.0134625</v>
      </c>
      <c r="I222">
        <v>-5.171198950707363</v>
      </c>
      <c r="J222">
        <v>0.99112507771468461</v>
      </c>
      <c r="K222">
        <v>3.006027084304028E-2</v>
      </c>
      <c r="L222">
        <v>-8.0530170848237617E-2</v>
      </c>
      <c r="M222" t="s">
        <v>27</v>
      </c>
      <c r="N222">
        <v>36</v>
      </c>
      <c r="O222" t="s">
        <v>26</v>
      </c>
      <c r="P222">
        <v>126642</v>
      </c>
      <c r="Q222">
        <v>336.68500000000012</v>
      </c>
      <c r="R222">
        <v>125.22</v>
      </c>
      <c r="S222">
        <v>-9.7136396559789565E-3</v>
      </c>
      <c r="T222">
        <v>-5.1894927680446248E-2</v>
      </c>
      <c r="U222">
        <v>-7.1952968210221846E-2</v>
      </c>
      <c r="V222">
        <v>3.9822590303516554E-3</v>
      </c>
      <c r="W222">
        <v>-7.59352272405735E-2</v>
      </c>
    </row>
    <row r="223" spans="1:23" x14ac:dyDescent="0.25">
      <c r="A223">
        <v>26</v>
      </c>
      <c r="B223" t="s">
        <v>34</v>
      </c>
      <c r="C223" t="s">
        <v>30</v>
      </c>
      <c r="D223">
        <v>127778</v>
      </c>
      <c r="E223">
        <v>336.66000000000008</v>
      </c>
      <c r="F223">
        <v>127.33</v>
      </c>
      <c r="G223">
        <v>336.49167000000011</v>
      </c>
      <c r="H223">
        <v>127.393665</v>
      </c>
      <c r="I223">
        <v>5.2265122549879859</v>
      </c>
      <c r="J223">
        <v>0.99112507771468461</v>
      </c>
      <c r="K223">
        <v>-2.9703558486306649E-2</v>
      </c>
      <c r="L223">
        <v>7.78390856604637E-2</v>
      </c>
      <c r="M223" t="s">
        <v>25</v>
      </c>
      <c r="N223">
        <v>2</v>
      </c>
      <c r="O223" t="s">
        <v>26</v>
      </c>
      <c r="P223">
        <v>127780</v>
      </c>
      <c r="Q223">
        <v>339.34</v>
      </c>
      <c r="R223">
        <v>130.57</v>
      </c>
      <c r="S223">
        <v>-0.35889851319294153</v>
      </c>
      <c r="T223">
        <v>0.17259310079660001</v>
      </c>
      <c r="U223">
        <v>0.15251594793231449</v>
      </c>
      <c r="V223">
        <v>3.9822412805070838E-3</v>
      </c>
      <c r="W223">
        <v>0.14853370665180751</v>
      </c>
    </row>
    <row r="224" spans="1:23" x14ac:dyDescent="0.25">
      <c r="A224">
        <v>26</v>
      </c>
      <c r="B224" t="s">
        <v>34</v>
      </c>
      <c r="C224" t="s">
        <v>30</v>
      </c>
      <c r="D224">
        <v>128171</v>
      </c>
      <c r="E224">
        <v>339.15</v>
      </c>
      <c r="F224">
        <v>129.15</v>
      </c>
      <c r="G224">
        <v>338.98042500000003</v>
      </c>
      <c r="H224">
        <v>129.214575</v>
      </c>
      <c r="I224">
        <v>4.6377772898020444</v>
      </c>
      <c r="J224">
        <v>0.99112507771468461</v>
      </c>
      <c r="K224">
        <v>-2.9485478401887071E-2</v>
      </c>
      <c r="L224">
        <v>7.6742166296142833E-2</v>
      </c>
      <c r="M224" t="s">
        <v>25</v>
      </c>
      <c r="N224">
        <v>27</v>
      </c>
      <c r="O224" t="s">
        <v>26</v>
      </c>
      <c r="P224">
        <v>128198</v>
      </c>
      <c r="Q224">
        <v>338.57000000000011</v>
      </c>
      <c r="R224">
        <v>128.63</v>
      </c>
      <c r="S224">
        <v>-0.11970094308019411</v>
      </c>
      <c r="T224">
        <v>-2.280434900089667E-2</v>
      </c>
      <c r="U224">
        <v>-4.2687096026069078E-2</v>
      </c>
      <c r="V224">
        <v>3.9822412805070838E-3</v>
      </c>
      <c r="W224">
        <v>-4.6669337306576159E-2</v>
      </c>
    </row>
    <row r="225" spans="1:23" x14ac:dyDescent="0.25">
      <c r="A225">
        <v>26</v>
      </c>
      <c r="B225" t="s">
        <v>34</v>
      </c>
      <c r="C225" t="s">
        <v>30</v>
      </c>
      <c r="D225">
        <v>128950</v>
      </c>
      <c r="E225">
        <v>337.37499999999989</v>
      </c>
      <c r="F225">
        <v>127.98</v>
      </c>
      <c r="G225">
        <v>337.20631250000002</v>
      </c>
      <c r="H225">
        <v>128.04399000000001</v>
      </c>
      <c r="I225">
        <v>4.5955465377047284</v>
      </c>
      <c r="J225">
        <v>0.99112507771468461</v>
      </c>
      <c r="K225">
        <v>-2.9640607632456469E-2</v>
      </c>
      <c r="L225">
        <v>7.7443747281972536E-2</v>
      </c>
      <c r="M225" t="s">
        <v>25</v>
      </c>
      <c r="N225">
        <v>19</v>
      </c>
      <c r="O225" t="s">
        <v>26</v>
      </c>
      <c r="P225">
        <v>128969</v>
      </c>
      <c r="Q225">
        <v>336.41</v>
      </c>
      <c r="R225">
        <v>127.73</v>
      </c>
      <c r="S225">
        <v>0.37246945561670991</v>
      </c>
      <c r="T225">
        <v>9.242249544825519E-3</v>
      </c>
      <c r="U225">
        <v>-1.064501917072746E-2</v>
      </c>
      <c r="V225">
        <v>3.9822412805070838E-3</v>
      </c>
      <c r="W225">
        <v>-1.4627260451234549E-2</v>
      </c>
    </row>
    <row r="226" spans="1:23" x14ac:dyDescent="0.25">
      <c r="A226">
        <v>26</v>
      </c>
      <c r="B226" t="s">
        <v>34</v>
      </c>
      <c r="C226" t="s">
        <v>30</v>
      </c>
      <c r="D226">
        <v>129147</v>
      </c>
      <c r="E226">
        <v>337.87000000000012</v>
      </c>
      <c r="F226">
        <v>128</v>
      </c>
      <c r="G226">
        <v>338.03893499999998</v>
      </c>
      <c r="H226">
        <v>127.93600000000001</v>
      </c>
      <c r="I226">
        <v>-3.7711598927384982</v>
      </c>
      <c r="J226">
        <v>0.99112507771468461</v>
      </c>
      <c r="K226">
        <v>2.959718234824044E-2</v>
      </c>
      <c r="L226">
        <v>-7.7431646696459744E-2</v>
      </c>
      <c r="M226" t="s">
        <v>27</v>
      </c>
      <c r="N226">
        <v>36</v>
      </c>
      <c r="O226" t="s">
        <v>26</v>
      </c>
      <c r="P226">
        <v>129183</v>
      </c>
      <c r="Q226">
        <v>337.98</v>
      </c>
      <c r="R226">
        <v>127.59</v>
      </c>
      <c r="S226">
        <v>0.28165031499093879</v>
      </c>
      <c r="T226">
        <v>3.5002665203847899E-2</v>
      </c>
      <c r="U226">
        <v>1.510566006924577E-2</v>
      </c>
      <c r="V226">
        <v>3.9822590303516536E-3</v>
      </c>
      <c r="W226">
        <v>1.112340103889412E-2</v>
      </c>
    </row>
    <row r="227" spans="1:23" x14ac:dyDescent="0.25">
      <c r="A227">
        <v>29</v>
      </c>
      <c r="B227" t="s">
        <v>32</v>
      </c>
      <c r="C227" t="s">
        <v>31</v>
      </c>
      <c r="D227">
        <v>137101</v>
      </c>
      <c r="E227">
        <v>51</v>
      </c>
      <c r="F227">
        <v>49.500000000000007</v>
      </c>
      <c r="G227">
        <v>51.025499999999987</v>
      </c>
      <c r="H227">
        <v>49.475250000000017</v>
      </c>
      <c r="I227">
        <v>-5.29464369907849</v>
      </c>
      <c r="J227">
        <v>1.082325331357012</v>
      </c>
      <c r="K227">
        <v>0.19607843137254899</v>
      </c>
      <c r="L227">
        <v>-0.21865158209232571</v>
      </c>
      <c r="M227" t="s">
        <v>27</v>
      </c>
      <c r="N227">
        <v>23</v>
      </c>
      <c r="O227" t="s">
        <v>26</v>
      </c>
      <c r="P227">
        <v>137124</v>
      </c>
      <c r="Q227">
        <v>50.975000000000001</v>
      </c>
      <c r="R227">
        <v>49.55</v>
      </c>
      <c r="S227">
        <v>-0.49266403848183238</v>
      </c>
      <c r="T227">
        <v>-1.5834539888926E-2</v>
      </c>
      <c r="U227">
        <v>-3.6660808511653521E-2</v>
      </c>
      <c r="V227">
        <v>4.1645683373826682E-3</v>
      </c>
      <c r="W227">
        <v>-4.0825376849036192E-2</v>
      </c>
    </row>
    <row r="228" spans="1:23" x14ac:dyDescent="0.25">
      <c r="A228">
        <v>29</v>
      </c>
      <c r="B228" t="s">
        <v>32</v>
      </c>
      <c r="C228" t="s">
        <v>31</v>
      </c>
      <c r="D228">
        <v>137353</v>
      </c>
      <c r="E228">
        <v>50.99</v>
      </c>
      <c r="F228">
        <v>49.06</v>
      </c>
      <c r="G228">
        <v>50.964505000000003</v>
      </c>
      <c r="H228">
        <v>49.084529999999987</v>
      </c>
      <c r="I228">
        <v>3.574824766894626</v>
      </c>
      <c r="J228">
        <v>1.082325331357012</v>
      </c>
      <c r="K228">
        <v>-0.19611688566385571</v>
      </c>
      <c r="L228">
        <v>0.22061258282857979</v>
      </c>
      <c r="M228" t="s">
        <v>25</v>
      </c>
      <c r="N228">
        <v>7</v>
      </c>
      <c r="O228" t="s">
        <v>26</v>
      </c>
      <c r="P228">
        <v>137360</v>
      </c>
      <c r="Q228">
        <v>51.05</v>
      </c>
      <c r="R228">
        <v>49.274999999999999</v>
      </c>
      <c r="S228">
        <v>-0.10625606332266339</v>
      </c>
      <c r="T228">
        <v>3.5664692168315019E-2</v>
      </c>
      <c r="U228">
        <v>1.4811839495522989E-2</v>
      </c>
      <c r="V228">
        <v>4.1647329880453816E-3</v>
      </c>
      <c r="W228">
        <v>1.064710650747761E-2</v>
      </c>
    </row>
    <row r="229" spans="1:23" x14ac:dyDescent="0.25">
      <c r="A229">
        <v>29</v>
      </c>
      <c r="B229" t="s">
        <v>32</v>
      </c>
      <c r="C229" t="s">
        <v>31</v>
      </c>
      <c r="D229">
        <v>138131</v>
      </c>
      <c r="E229">
        <v>51.46</v>
      </c>
      <c r="F229">
        <v>49.47999999999999</v>
      </c>
      <c r="G229">
        <v>51.485729999999997</v>
      </c>
      <c r="H229">
        <v>49.455260000000003</v>
      </c>
      <c r="I229">
        <v>-4.6247735552416334</v>
      </c>
      <c r="J229">
        <v>1.082325331357012</v>
      </c>
      <c r="K229">
        <v>0.194325689856199</v>
      </c>
      <c r="L229">
        <v>-0.2187399618749015</v>
      </c>
      <c r="M229" t="s">
        <v>27</v>
      </c>
      <c r="N229">
        <v>14</v>
      </c>
      <c r="O229" t="s">
        <v>26</v>
      </c>
      <c r="P229">
        <v>138145</v>
      </c>
      <c r="Q229">
        <v>51.54</v>
      </c>
      <c r="R229">
        <v>49.25500000000001</v>
      </c>
      <c r="S229">
        <v>0.49480483369265221</v>
      </c>
      <c r="T229">
        <v>6.4762546610344071E-2</v>
      </c>
      <c r="U229">
        <v>4.3956128514895117E-2</v>
      </c>
      <c r="V229">
        <v>4.1645683373826682E-3</v>
      </c>
      <c r="W229">
        <v>3.9791560177512453E-2</v>
      </c>
    </row>
    <row r="230" spans="1:23" x14ac:dyDescent="0.25">
      <c r="A230">
        <v>29</v>
      </c>
      <c r="B230" t="s">
        <v>32</v>
      </c>
      <c r="C230" t="s">
        <v>31</v>
      </c>
      <c r="D230">
        <v>138910</v>
      </c>
      <c r="E230">
        <v>51.455000000000013</v>
      </c>
      <c r="F230">
        <v>49.209999999999987</v>
      </c>
      <c r="G230">
        <v>51.42927250000001</v>
      </c>
      <c r="H230">
        <v>49.234604999999988</v>
      </c>
      <c r="I230">
        <v>3.974891788898919</v>
      </c>
      <c r="J230">
        <v>1.082325331357012</v>
      </c>
      <c r="K230">
        <v>-0.194344572927801</v>
      </c>
      <c r="L230">
        <v>0.2199401201700899</v>
      </c>
      <c r="M230" t="s">
        <v>25</v>
      </c>
      <c r="N230">
        <v>17</v>
      </c>
      <c r="O230" t="s">
        <v>26</v>
      </c>
      <c r="P230">
        <v>138927</v>
      </c>
      <c r="Q230">
        <v>51.56</v>
      </c>
      <c r="R230">
        <v>49.109999999999992</v>
      </c>
      <c r="S230">
        <v>0.26837553209409781</v>
      </c>
      <c r="T230">
        <v>-4.2400192174426421E-2</v>
      </c>
      <c r="U230">
        <v>-6.3222651572063845E-2</v>
      </c>
      <c r="V230">
        <v>4.1647329880453816E-3</v>
      </c>
      <c r="W230">
        <v>-6.7387384560109231E-2</v>
      </c>
    </row>
    <row r="231" spans="1:23" x14ac:dyDescent="0.25">
      <c r="A231">
        <v>29</v>
      </c>
      <c r="B231" t="s">
        <v>32</v>
      </c>
      <c r="C231" t="s">
        <v>31</v>
      </c>
      <c r="D231">
        <v>139301</v>
      </c>
      <c r="E231">
        <v>53.100000000000009</v>
      </c>
      <c r="F231">
        <v>48.98</v>
      </c>
      <c r="G231">
        <v>53.073450000000008</v>
      </c>
      <c r="H231">
        <v>49.004489999999997</v>
      </c>
      <c r="I231">
        <v>4.8497503382067704</v>
      </c>
      <c r="J231">
        <v>1.082325331357012</v>
      </c>
      <c r="K231">
        <v>-0.1883239171374764</v>
      </c>
      <c r="L231">
        <v>0.22097291371110911</v>
      </c>
      <c r="M231" t="s">
        <v>25</v>
      </c>
      <c r="N231">
        <v>15</v>
      </c>
      <c r="O231" t="s">
        <v>26</v>
      </c>
      <c r="P231">
        <v>139316</v>
      </c>
      <c r="Q231">
        <v>52.45</v>
      </c>
      <c r="R231">
        <v>48.570000000000007</v>
      </c>
      <c r="S231">
        <v>0.38960292302517469</v>
      </c>
      <c r="T231">
        <v>3.181165151780678E-2</v>
      </c>
      <c r="U231">
        <v>1.10949029246179E-2</v>
      </c>
      <c r="V231">
        <v>4.1647329880453816E-3</v>
      </c>
      <c r="W231">
        <v>6.9301699365725182E-3</v>
      </c>
    </row>
    <row r="232" spans="1:23" x14ac:dyDescent="0.25">
      <c r="A232">
        <v>29</v>
      </c>
      <c r="B232" t="s">
        <v>32</v>
      </c>
      <c r="C232" t="s">
        <v>31</v>
      </c>
      <c r="D232">
        <v>140081</v>
      </c>
      <c r="E232">
        <v>54.064999999999998</v>
      </c>
      <c r="F232">
        <v>49.320000000000007</v>
      </c>
      <c r="G232">
        <v>54.037967500000001</v>
      </c>
      <c r="H232">
        <v>49.344659999999998</v>
      </c>
      <c r="I232">
        <v>3.5521151506947728</v>
      </c>
      <c r="J232">
        <v>1.082325331357012</v>
      </c>
      <c r="K232">
        <v>-0.1849625450846204</v>
      </c>
      <c r="L232">
        <v>0.21944958056711519</v>
      </c>
      <c r="M232" t="s">
        <v>25</v>
      </c>
      <c r="N232">
        <v>4</v>
      </c>
      <c r="O232" t="s">
        <v>26</v>
      </c>
      <c r="P232">
        <v>140085</v>
      </c>
      <c r="Q232">
        <v>54.150000000000013</v>
      </c>
      <c r="R232">
        <v>49.580000000000013</v>
      </c>
      <c r="S232">
        <v>-2.548048503770714E-2</v>
      </c>
      <c r="T232">
        <v>4.1335074615255318E-2</v>
      </c>
      <c r="U232">
        <v>2.047543194804808E-2</v>
      </c>
      <c r="V232">
        <v>4.1647329880453816E-3</v>
      </c>
      <c r="W232">
        <v>1.6310698960002701E-2</v>
      </c>
    </row>
    <row r="233" spans="1:23" x14ac:dyDescent="0.25">
      <c r="A233">
        <v>29</v>
      </c>
      <c r="B233" t="s">
        <v>32</v>
      </c>
      <c r="C233" t="s">
        <v>31</v>
      </c>
      <c r="D233">
        <v>140471</v>
      </c>
      <c r="E233">
        <v>54.04</v>
      </c>
      <c r="F233">
        <v>49.42</v>
      </c>
      <c r="G233">
        <v>54.012979999999999</v>
      </c>
      <c r="H233">
        <v>49.444710000000001</v>
      </c>
      <c r="I233">
        <v>4.2935337666529447</v>
      </c>
      <c r="J233">
        <v>1.082325331357012</v>
      </c>
      <c r="K233">
        <v>-0.1850481125092524</v>
      </c>
      <c r="L233">
        <v>0.21900553042432461</v>
      </c>
      <c r="M233" t="s">
        <v>25</v>
      </c>
      <c r="N233">
        <v>2</v>
      </c>
      <c r="O233" t="s">
        <v>26</v>
      </c>
      <c r="P233">
        <v>140473</v>
      </c>
      <c r="Q233">
        <v>53.87</v>
      </c>
      <c r="R233">
        <v>49.50500000000001</v>
      </c>
      <c r="S233">
        <v>0.29758087599499611</v>
      </c>
      <c r="T233">
        <v>5.007364921264125E-2</v>
      </c>
      <c r="U233">
        <v>2.925681725359297E-2</v>
      </c>
      <c r="V233">
        <v>4.1647329880453816E-3</v>
      </c>
      <c r="W233">
        <v>2.5092084265547581E-2</v>
      </c>
    </row>
    <row r="234" spans="1:23" x14ac:dyDescent="0.25">
      <c r="A234">
        <v>29</v>
      </c>
      <c r="B234" t="s">
        <v>32</v>
      </c>
      <c r="C234" t="s">
        <v>31</v>
      </c>
      <c r="D234">
        <v>140861</v>
      </c>
      <c r="E234">
        <v>53.749999999999993</v>
      </c>
      <c r="F234">
        <v>49.39</v>
      </c>
      <c r="G234">
        <v>53.723125000000003</v>
      </c>
      <c r="H234">
        <v>49.414694999999988</v>
      </c>
      <c r="I234">
        <v>4.5819279423328423</v>
      </c>
      <c r="J234">
        <v>1.082325331357012</v>
      </c>
      <c r="K234">
        <v>-0.186046511627907</v>
      </c>
      <c r="L234">
        <v>0.21913855666268731</v>
      </c>
      <c r="M234" t="s">
        <v>25</v>
      </c>
      <c r="N234">
        <v>16</v>
      </c>
      <c r="O234" t="s">
        <v>26</v>
      </c>
      <c r="P234">
        <v>140877</v>
      </c>
      <c r="Q234">
        <v>53.545000000000009</v>
      </c>
      <c r="R234">
        <v>49.24499999999999</v>
      </c>
      <c r="S234">
        <v>0.27899894082667659</v>
      </c>
      <c r="T234">
        <v>6.3644441676260844E-3</v>
      </c>
      <c r="U234">
        <v>-1.442385183314215E-2</v>
      </c>
      <c r="V234">
        <v>4.1647329880453816E-3</v>
      </c>
      <c r="W234">
        <v>-1.8588584821187529E-2</v>
      </c>
    </row>
    <row r="235" spans="1:23" x14ac:dyDescent="0.25">
      <c r="A235">
        <v>30</v>
      </c>
      <c r="B235" t="s">
        <v>32</v>
      </c>
      <c r="C235" t="s">
        <v>31</v>
      </c>
      <c r="D235">
        <v>141001</v>
      </c>
      <c r="E235">
        <v>53.745000000000012</v>
      </c>
      <c r="F235">
        <v>49.429999999999993</v>
      </c>
      <c r="G235">
        <v>53.771872500000008</v>
      </c>
      <c r="H235">
        <v>49.405284999999992</v>
      </c>
      <c r="I235">
        <v>-5.2943931992057838</v>
      </c>
      <c r="J235">
        <v>1.151218648871311</v>
      </c>
      <c r="K235">
        <v>0.1860638198902223</v>
      </c>
      <c r="L235">
        <v>-0.23289877581859431</v>
      </c>
      <c r="M235" t="s">
        <v>27</v>
      </c>
      <c r="N235">
        <v>23</v>
      </c>
      <c r="O235" t="s">
        <v>26</v>
      </c>
      <c r="P235">
        <v>141024</v>
      </c>
      <c r="Q235">
        <v>53.810000000000009</v>
      </c>
      <c r="R235">
        <v>49.345000000000013</v>
      </c>
      <c r="S235">
        <v>-0.47906795122513501</v>
      </c>
      <c r="T235">
        <v>3.1890544237441427E-2</v>
      </c>
      <c r="U235">
        <v>1.03822088725563E-2</v>
      </c>
      <c r="V235">
        <v>4.3022860790937513E-3</v>
      </c>
      <c r="W235">
        <v>6.0799227934625454E-3</v>
      </c>
    </row>
    <row r="236" spans="1:23" x14ac:dyDescent="0.25">
      <c r="A236">
        <v>30</v>
      </c>
      <c r="B236" t="s">
        <v>32</v>
      </c>
      <c r="C236" t="s">
        <v>31</v>
      </c>
      <c r="D236">
        <v>141251</v>
      </c>
      <c r="E236">
        <v>52.844999999999999</v>
      </c>
      <c r="F236">
        <v>48.914999999999992</v>
      </c>
      <c r="G236">
        <v>52.871422499999987</v>
      </c>
      <c r="H236">
        <v>48.890542500000002</v>
      </c>
      <c r="I236">
        <v>-4.275695800175094</v>
      </c>
      <c r="J236">
        <v>1.151218648871311</v>
      </c>
      <c r="K236">
        <v>0.1892326615573848</v>
      </c>
      <c r="L236">
        <v>-0.23535084306885651</v>
      </c>
      <c r="M236" t="s">
        <v>27</v>
      </c>
      <c r="N236">
        <v>1</v>
      </c>
      <c r="O236" t="s">
        <v>26</v>
      </c>
      <c r="P236">
        <v>141252</v>
      </c>
      <c r="Q236">
        <v>52.92</v>
      </c>
      <c r="R236">
        <v>48.850000000000009</v>
      </c>
      <c r="S236">
        <v>-6.1225905714662049E-2</v>
      </c>
      <c r="T236">
        <v>2.9490254416276191E-2</v>
      </c>
      <c r="U236">
        <v>7.9786206051557992E-3</v>
      </c>
      <c r="V236">
        <v>4.3022860790937513E-3</v>
      </c>
      <c r="W236">
        <v>3.6763345260620479E-3</v>
      </c>
    </row>
    <row r="237" spans="1:23" x14ac:dyDescent="0.25">
      <c r="A237">
        <v>30</v>
      </c>
      <c r="B237" t="s">
        <v>32</v>
      </c>
      <c r="C237" t="s">
        <v>31</v>
      </c>
      <c r="D237">
        <v>141641</v>
      </c>
      <c r="E237">
        <v>51.849999999999987</v>
      </c>
      <c r="F237">
        <v>49.06</v>
      </c>
      <c r="G237">
        <v>51.875924999999988</v>
      </c>
      <c r="H237">
        <v>49.035469999999997</v>
      </c>
      <c r="I237">
        <v>-5.2162971292203553</v>
      </c>
      <c r="J237">
        <v>1.151218648871311</v>
      </c>
      <c r="K237">
        <v>0.19286403085824499</v>
      </c>
      <c r="L237">
        <v>-0.23465524844502891</v>
      </c>
      <c r="M237" t="s">
        <v>27</v>
      </c>
      <c r="N237">
        <v>24</v>
      </c>
      <c r="O237" t="s">
        <v>26</v>
      </c>
      <c r="P237">
        <v>141665</v>
      </c>
      <c r="Q237">
        <v>51.609999999999992</v>
      </c>
      <c r="R237">
        <v>48.740000000000009</v>
      </c>
      <c r="S237">
        <v>-0.23646166404811639</v>
      </c>
      <c r="T237">
        <v>2.880231209642679E-2</v>
      </c>
      <c r="U237">
        <v>7.350814131170294E-3</v>
      </c>
      <c r="V237">
        <v>4.3022860790937513E-3</v>
      </c>
      <c r="W237">
        <v>3.0485280520765432E-3</v>
      </c>
    </row>
    <row r="238" spans="1:23" x14ac:dyDescent="0.25">
      <c r="A238">
        <v>30</v>
      </c>
      <c r="B238" t="s">
        <v>32</v>
      </c>
      <c r="C238" t="s">
        <v>31</v>
      </c>
      <c r="D238">
        <v>141984</v>
      </c>
      <c r="E238">
        <v>51.984999999999992</v>
      </c>
      <c r="F238">
        <v>48.95</v>
      </c>
      <c r="G238">
        <v>52.010992499999993</v>
      </c>
      <c r="H238">
        <v>48.925525000000007</v>
      </c>
      <c r="I238">
        <v>-3.6622104723510041</v>
      </c>
      <c r="J238">
        <v>1.151218648871311</v>
      </c>
      <c r="K238">
        <v>0.1923631816870251</v>
      </c>
      <c r="L238">
        <v>-0.23518256361007381</v>
      </c>
      <c r="M238" t="s">
        <v>27</v>
      </c>
      <c r="N238">
        <v>36</v>
      </c>
      <c r="O238" t="s">
        <v>26</v>
      </c>
      <c r="P238">
        <v>142020</v>
      </c>
      <c r="Q238">
        <v>51.954999999999998</v>
      </c>
      <c r="R238">
        <v>49.005000000000003</v>
      </c>
      <c r="S238">
        <v>-0.16891194430126941</v>
      </c>
      <c r="T238">
        <v>-1.8705936449163602E-2</v>
      </c>
      <c r="U238">
        <v>-4.022170501064698E-2</v>
      </c>
      <c r="V238">
        <v>4.3022860790937513E-3</v>
      </c>
      <c r="W238">
        <v>-4.4523991089740728E-2</v>
      </c>
    </row>
    <row r="239" spans="1:23" x14ac:dyDescent="0.25">
      <c r="A239">
        <v>30</v>
      </c>
      <c r="B239" t="s">
        <v>32</v>
      </c>
      <c r="C239" t="s">
        <v>31</v>
      </c>
      <c r="D239">
        <v>142034</v>
      </c>
      <c r="E239">
        <v>52.580000000000013</v>
      </c>
      <c r="F239">
        <v>47.42</v>
      </c>
      <c r="G239">
        <v>52.553710000000009</v>
      </c>
      <c r="H239">
        <v>47.443710000000003</v>
      </c>
      <c r="I239">
        <v>5.2170002865080924</v>
      </c>
      <c r="J239">
        <v>1.151218648871311</v>
      </c>
      <c r="K239">
        <v>-0.1901863826550019</v>
      </c>
      <c r="L239">
        <v>0.24277069777969451</v>
      </c>
      <c r="M239" t="s">
        <v>25</v>
      </c>
      <c r="N239">
        <v>17</v>
      </c>
      <c r="O239" t="s">
        <v>26</v>
      </c>
      <c r="P239">
        <v>142051</v>
      </c>
      <c r="Q239">
        <v>53.244999999999997</v>
      </c>
      <c r="R239">
        <v>48.37</v>
      </c>
      <c r="S239">
        <v>0.49434472894759468</v>
      </c>
      <c r="T239">
        <v>0.1041582184251358</v>
      </c>
      <c r="U239">
        <v>8.2467478882748718E-2</v>
      </c>
      <c r="V239">
        <v>4.3025885163914934E-3</v>
      </c>
      <c r="W239">
        <v>7.8164890366357223E-2</v>
      </c>
    </row>
    <row r="240" spans="1:23" x14ac:dyDescent="0.25">
      <c r="A240">
        <v>30</v>
      </c>
      <c r="B240" t="s">
        <v>32</v>
      </c>
      <c r="C240" t="s">
        <v>31</v>
      </c>
      <c r="D240">
        <v>142377</v>
      </c>
      <c r="E240">
        <v>52.395000000000003</v>
      </c>
      <c r="F240">
        <v>47.48</v>
      </c>
      <c r="G240">
        <v>52.421197499999998</v>
      </c>
      <c r="H240">
        <v>47.45626</v>
      </c>
      <c r="I240">
        <v>-3.6233291308005229</v>
      </c>
      <c r="J240">
        <v>1.151218648871311</v>
      </c>
      <c r="K240">
        <v>0.190857906288768</v>
      </c>
      <c r="L240">
        <v>-0.24246391088275299</v>
      </c>
      <c r="M240" t="s">
        <v>27</v>
      </c>
      <c r="N240">
        <v>16</v>
      </c>
      <c r="O240" t="s">
        <v>26</v>
      </c>
      <c r="P240">
        <v>142393</v>
      </c>
      <c r="Q240">
        <v>52.444999999999993</v>
      </c>
      <c r="R240">
        <v>47.445000000000007</v>
      </c>
      <c r="S240">
        <v>-0.23580436450780839</v>
      </c>
      <c r="T240">
        <v>1.8029132195330311E-2</v>
      </c>
      <c r="U240">
        <v>-3.483582622596521E-3</v>
      </c>
      <c r="V240">
        <v>4.3022860790937513E-3</v>
      </c>
      <c r="W240">
        <v>-7.7858687016902723E-3</v>
      </c>
    </row>
    <row r="241" spans="1:23" x14ac:dyDescent="0.25">
      <c r="A241">
        <v>30</v>
      </c>
      <c r="B241" t="s">
        <v>32</v>
      </c>
      <c r="C241" t="s">
        <v>31</v>
      </c>
      <c r="D241">
        <v>143165</v>
      </c>
      <c r="E241">
        <v>51.329999999999991</v>
      </c>
      <c r="F241">
        <v>46.570000000000007</v>
      </c>
      <c r="G241">
        <v>51.304334999999988</v>
      </c>
      <c r="H241">
        <v>46.593285000000002</v>
      </c>
      <c r="I241">
        <v>3.559782503083408</v>
      </c>
      <c r="J241">
        <v>1.151218648871311</v>
      </c>
      <c r="K241">
        <v>-0.19481784531463089</v>
      </c>
      <c r="L241">
        <v>0.24720177128436999</v>
      </c>
      <c r="M241" t="s">
        <v>25</v>
      </c>
      <c r="N241">
        <v>10</v>
      </c>
      <c r="O241" t="s">
        <v>26</v>
      </c>
      <c r="P241">
        <v>143175</v>
      </c>
      <c r="Q241">
        <v>51.3</v>
      </c>
      <c r="R241">
        <v>46.62</v>
      </c>
      <c r="S241">
        <v>0.28646895126613819</v>
      </c>
      <c r="T241">
        <v>1.8204623923652422E-2</v>
      </c>
      <c r="U241">
        <v>-3.3108203416595261E-3</v>
      </c>
      <c r="V241">
        <v>4.3025885163914942E-3</v>
      </c>
      <c r="W241">
        <v>-7.6134088580510186E-3</v>
      </c>
    </row>
    <row r="242" spans="1:23" x14ac:dyDescent="0.25">
      <c r="A242">
        <v>30</v>
      </c>
      <c r="B242" t="s">
        <v>32</v>
      </c>
      <c r="C242" t="s">
        <v>31</v>
      </c>
      <c r="D242">
        <v>143205</v>
      </c>
      <c r="E242">
        <v>51.509999999999977</v>
      </c>
      <c r="F242">
        <v>46.570000000000007</v>
      </c>
      <c r="G242">
        <v>51.484244999999987</v>
      </c>
      <c r="H242">
        <v>46.593285000000002</v>
      </c>
      <c r="I242">
        <v>3.9684071685793469</v>
      </c>
      <c r="J242">
        <v>1.151218648871311</v>
      </c>
      <c r="K242">
        <v>-0.19413706076490009</v>
      </c>
      <c r="L242">
        <v>0.24720177128436999</v>
      </c>
      <c r="M242" t="s">
        <v>25</v>
      </c>
      <c r="N242">
        <v>4</v>
      </c>
      <c r="O242" t="s">
        <v>26</v>
      </c>
      <c r="P242">
        <v>143209</v>
      </c>
      <c r="Q242">
        <v>51.239999999999988</v>
      </c>
      <c r="R242">
        <v>46.499999999999993</v>
      </c>
      <c r="S242">
        <v>-0.1335701724345793</v>
      </c>
      <c r="T242">
        <v>3.5112882416611389E-2</v>
      </c>
      <c r="U242">
        <v>1.363555649309992E-2</v>
      </c>
      <c r="V242">
        <v>4.3025885163914942E-3</v>
      </c>
      <c r="W242">
        <v>9.3329679767084235E-3</v>
      </c>
    </row>
    <row r="243" spans="1:23" x14ac:dyDescent="0.25">
      <c r="A243">
        <v>30</v>
      </c>
      <c r="B243" t="s">
        <v>32</v>
      </c>
      <c r="C243" t="s">
        <v>31</v>
      </c>
      <c r="D243">
        <v>143462</v>
      </c>
      <c r="E243">
        <v>50.845000000000013</v>
      </c>
      <c r="F243">
        <v>46.36999999999999</v>
      </c>
      <c r="G243">
        <v>50.819577500000022</v>
      </c>
      <c r="H243">
        <v>46.393184999999988</v>
      </c>
      <c r="I243">
        <v>3.850072303238981</v>
      </c>
      <c r="J243">
        <v>1.151218648871311</v>
      </c>
      <c r="K243">
        <v>-0.19667617268167961</v>
      </c>
      <c r="L243">
        <v>0.2482679855232503</v>
      </c>
      <c r="M243" t="s">
        <v>25</v>
      </c>
      <c r="N243">
        <v>18</v>
      </c>
      <c r="O243" t="s">
        <v>26</v>
      </c>
      <c r="P243">
        <v>143480</v>
      </c>
      <c r="Q243">
        <v>50.84</v>
      </c>
      <c r="R243">
        <v>46.360000000000007</v>
      </c>
      <c r="S243">
        <v>0.2861487101037109</v>
      </c>
      <c r="T243">
        <v>-1.499298991816785E-3</v>
      </c>
      <c r="U243">
        <v>-2.300975245016813E-2</v>
      </c>
      <c r="V243">
        <v>4.3025885163914934E-3</v>
      </c>
      <c r="W243">
        <v>-2.7312340966559621E-2</v>
      </c>
    </row>
    <row r="244" spans="1:23" x14ac:dyDescent="0.25">
      <c r="A244">
        <v>30</v>
      </c>
      <c r="B244" t="s">
        <v>32</v>
      </c>
      <c r="C244" t="s">
        <v>31</v>
      </c>
      <c r="D244">
        <v>143595</v>
      </c>
      <c r="E244">
        <v>51.09</v>
      </c>
      <c r="F244">
        <v>46.570000000000007</v>
      </c>
      <c r="G244">
        <v>51.11554499999999</v>
      </c>
      <c r="H244">
        <v>46.546715000000013</v>
      </c>
      <c r="I244">
        <v>-4.0681804913525381</v>
      </c>
      <c r="J244">
        <v>1.151218648871311</v>
      </c>
      <c r="K244">
        <v>0.19573302016050109</v>
      </c>
      <c r="L244">
        <v>-0.24720177128436999</v>
      </c>
      <c r="M244" t="s">
        <v>27</v>
      </c>
      <c r="N244">
        <v>34</v>
      </c>
      <c r="O244" t="s">
        <v>26</v>
      </c>
      <c r="P244">
        <v>143629</v>
      </c>
      <c r="Q244">
        <v>51.064999999999998</v>
      </c>
      <c r="R244">
        <v>46.95000000000001</v>
      </c>
      <c r="S244">
        <v>-0.2304050788324194</v>
      </c>
      <c r="T244">
        <v>-9.8829998592072116E-2</v>
      </c>
      <c r="U244">
        <v>-0.1203867067545735</v>
      </c>
      <c r="V244">
        <v>4.3022860790937513E-3</v>
      </c>
      <c r="W244">
        <v>-0.1246889928336672</v>
      </c>
    </row>
    <row r="245" spans="1:23" x14ac:dyDescent="0.25">
      <c r="A245">
        <v>30</v>
      </c>
      <c r="B245" t="s">
        <v>32</v>
      </c>
      <c r="C245" t="s">
        <v>31</v>
      </c>
      <c r="D245">
        <v>143985</v>
      </c>
      <c r="E245">
        <v>52.010000000000012</v>
      </c>
      <c r="F245">
        <v>48.210000000000008</v>
      </c>
      <c r="G245">
        <v>51.983995000000007</v>
      </c>
      <c r="H245">
        <v>48.234105000000007</v>
      </c>
      <c r="I245">
        <v>3.5541955501271119</v>
      </c>
      <c r="J245">
        <v>1.151218648871311</v>
      </c>
      <c r="K245">
        <v>-0.19227071716977501</v>
      </c>
      <c r="L245">
        <v>0.23879250132157459</v>
      </c>
      <c r="M245" t="s">
        <v>25</v>
      </c>
      <c r="N245">
        <v>21</v>
      </c>
      <c r="O245" t="s">
        <v>26</v>
      </c>
      <c r="P245">
        <v>144006</v>
      </c>
      <c r="Q245">
        <v>52.6</v>
      </c>
      <c r="R245">
        <v>48.570000000000007</v>
      </c>
      <c r="S245">
        <v>0.46456703648849429</v>
      </c>
      <c r="T245">
        <v>-2.747442265439845E-2</v>
      </c>
      <c r="U245">
        <v>-4.9086311654913388E-2</v>
      </c>
      <c r="V245">
        <v>4.3025885163914942E-3</v>
      </c>
      <c r="W245">
        <v>-5.338890017130489E-2</v>
      </c>
    </row>
    <row r="246" spans="1:23" x14ac:dyDescent="0.25">
      <c r="A246">
        <v>31</v>
      </c>
      <c r="B246" t="s">
        <v>33</v>
      </c>
      <c r="C246" t="s">
        <v>24</v>
      </c>
      <c r="D246">
        <v>144901</v>
      </c>
      <c r="E246">
        <v>33.335000000000001</v>
      </c>
      <c r="F246">
        <v>42.82500000000001</v>
      </c>
      <c r="G246">
        <v>33.318332499999997</v>
      </c>
      <c r="H246">
        <v>42.846412500000007</v>
      </c>
      <c r="I246">
        <v>5.2945658304373069</v>
      </c>
      <c r="J246">
        <v>0.7875149810935046</v>
      </c>
      <c r="K246">
        <v>-0.29998500074996248</v>
      </c>
      <c r="L246">
        <v>0.18389141414909621</v>
      </c>
      <c r="M246" t="s">
        <v>25</v>
      </c>
      <c r="N246">
        <v>23</v>
      </c>
      <c r="O246" t="s">
        <v>26</v>
      </c>
      <c r="P246">
        <v>144924</v>
      </c>
      <c r="Q246">
        <v>33.234999999999999</v>
      </c>
      <c r="R246">
        <v>42.72</v>
      </c>
      <c r="S246">
        <v>0.49016993083105548</v>
      </c>
      <c r="T246">
        <v>1.068990158933953E-2</v>
      </c>
      <c r="U246">
        <v>-7.1605946723111956E-3</v>
      </c>
      <c r="V246">
        <v>3.5748174771681029E-3</v>
      </c>
      <c r="W246">
        <v>-1.07354121494793E-2</v>
      </c>
    </row>
    <row r="247" spans="1:23" x14ac:dyDescent="0.25">
      <c r="A247">
        <v>31</v>
      </c>
      <c r="B247" t="s">
        <v>33</v>
      </c>
      <c r="C247" t="s">
        <v>24</v>
      </c>
      <c r="D247">
        <v>144961</v>
      </c>
      <c r="E247">
        <v>33.164999999999999</v>
      </c>
      <c r="F247">
        <v>42.73</v>
      </c>
      <c r="G247">
        <v>33.181582499999998</v>
      </c>
      <c r="H247">
        <v>42.708635000000001</v>
      </c>
      <c r="I247">
        <v>-4.1285768463075057</v>
      </c>
      <c r="J247">
        <v>0.7875149810935046</v>
      </c>
      <c r="K247">
        <v>0.30152268958239109</v>
      </c>
      <c r="L247">
        <v>-0.1843002530057348</v>
      </c>
      <c r="M247" t="s">
        <v>27</v>
      </c>
      <c r="N247">
        <v>39</v>
      </c>
      <c r="O247" t="s">
        <v>26</v>
      </c>
      <c r="P247">
        <v>145000</v>
      </c>
      <c r="Q247">
        <v>33.115000000000009</v>
      </c>
      <c r="R247">
        <v>42.749999999999993</v>
      </c>
      <c r="S247">
        <v>-0.3571089617945053</v>
      </c>
      <c r="T247">
        <v>-1.8762139539230518E-2</v>
      </c>
      <c r="U247">
        <v>-3.66315942854539E-2</v>
      </c>
      <c r="V247">
        <v>3.5752424472059161E-3</v>
      </c>
      <c r="W247">
        <v>-4.0206836732659818E-2</v>
      </c>
    </row>
    <row r="248" spans="1:23" x14ac:dyDescent="0.25">
      <c r="A248">
        <v>31</v>
      </c>
      <c r="B248" t="s">
        <v>33</v>
      </c>
      <c r="C248" t="s">
        <v>24</v>
      </c>
      <c r="D248">
        <v>145155</v>
      </c>
      <c r="E248">
        <v>33.109999999999992</v>
      </c>
      <c r="F248">
        <v>42.490000000000009</v>
      </c>
      <c r="G248">
        <v>33.093445000000003</v>
      </c>
      <c r="H248">
        <v>42.511245000000009</v>
      </c>
      <c r="I248">
        <v>4.5177057313943427</v>
      </c>
      <c r="J248">
        <v>0.7875149810935046</v>
      </c>
      <c r="K248">
        <v>-0.30202355783751139</v>
      </c>
      <c r="L248">
        <v>0.18534125231666379</v>
      </c>
      <c r="M248" t="s">
        <v>25</v>
      </c>
      <c r="N248">
        <v>10</v>
      </c>
      <c r="O248" t="s">
        <v>26</v>
      </c>
      <c r="P248">
        <v>145165</v>
      </c>
      <c r="Q248">
        <v>33.225000000000001</v>
      </c>
      <c r="R248">
        <v>42.935000000000002</v>
      </c>
      <c r="S248">
        <v>-6.301830171342164E-2</v>
      </c>
      <c r="T248">
        <v>4.7744148129597569E-2</v>
      </c>
      <c r="U248">
        <v>2.981039353544707E-2</v>
      </c>
      <c r="V248">
        <v>3.5748174771681029E-3</v>
      </c>
      <c r="W248">
        <v>2.6235576058278962E-2</v>
      </c>
    </row>
    <row r="249" spans="1:23" x14ac:dyDescent="0.25">
      <c r="A249">
        <v>31</v>
      </c>
      <c r="B249" t="s">
        <v>33</v>
      </c>
      <c r="C249" t="s">
        <v>24</v>
      </c>
      <c r="D249">
        <v>145539</v>
      </c>
      <c r="E249">
        <v>33.320000000000007</v>
      </c>
      <c r="F249">
        <v>42.72</v>
      </c>
      <c r="G249">
        <v>33.303340000000013</v>
      </c>
      <c r="H249">
        <v>42.741359999999993</v>
      </c>
      <c r="I249">
        <v>3.970465726566927</v>
      </c>
      <c r="J249">
        <v>0.7875149810935046</v>
      </c>
      <c r="K249">
        <v>-0.30012004801920761</v>
      </c>
      <c r="L249">
        <v>0.1843433944507267</v>
      </c>
      <c r="M249" t="s">
        <v>25</v>
      </c>
      <c r="N249">
        <v>48</v>
      </c>
      <c r="O249" t="s">
        <v>26</v>
      </c>
      <c r="P249">
        <v>145587</v>
      </c>
      <c r="Q249">
        <v>33.510000000000012</v>
      </c>
      <c r="R249">
        <v>42.534999999999997</v>
      </c>
      <c r="S249">
        <v>0.49296655120436561</v>
      </c>
      <c r="T249">
        <v>-9.1126337097032328E-2</v>
      </c>
      <c r="U249">
        <v>-0.10901294654854091</v>
      </c>
      <c r="V249">
        <v>3.574817477168102E-3</v>
      </c>
      <c r="W249">
        <v>-0.112587764025709</v>
      </c>
    </row>
    <row r="250" spans="1:23" x14ac:dyDescent="0.25">
      <c r="A250">
        <v>31</v>
      </c>
      <c r="B250" t="s">
        <v>33</v>
      </c>
      <c r="C250" t="s">
        <v>24</v>
      </c>
      <c r="D250">
        <v>146329</v>
      </c>
      <c r="E250">
        <v>34.020000000000003</v>
      </c>
      <c r="F250">
        <v>42.844999999999999</v>
      </c>
      <c r="G250">
        <v>34.002989999999997</v>
      </c>
      <c r="H250">
        <v>42.866422499999999</v>
      </c>
      <c r="I250">
        <v>4.931107206919223</v>
      </c>
      <c r="J250">
        <v>0.7875149810935046</v>
      </c>
      <c r="K250">
        <v>-0.29394473838918278</v>
      </c>
      <c r="L250">
        <v>0.18380557383440421</v>
      </c>
      <c r="M250" t="s">
        <v>25</v>
      </c>
      <c r="N250">
        <v>41</v>
      </c>
      <c r="O250" t="s">
        <v>26</v>
      </c>
      <c r="P250">
        <v>146370</v>
      </c>
      <c r="Q250">
        <v>34.354999999999997</v>
      </c>
      <c r="R250">
        <v>42.829999999999991</v>
      </c>
      <c r="S250">
        <v>4.5959716983912942E-2</v>
      </c>
      <c r="T250">
        <v>-0.10122857096789389</v>
      </c>
      <c r="U250">
        <v>-0.1191515779807033</v>
      </c>
      <c r="V250">
        <v>3.574817477168102E-3</v>
      </c>
      <c r="W250">
        <v>-0.1227263954578714</v>
      </c>
    </row>
    <row r="251" spans="1:23" x14ac:dyDescent="0.25">
      <c r="A251">
        <v>31</v>
      </c>
      <c r="B251" t="s">
        <v>33</v>
      </c>
      <c r="C251" t="s">
        <v>24</v>
      </c>
      <c r="D251">
        <v>146720</v>
      </c>
      <c r="E251">
        <v>34.674999999999997</v>
      </c>
      <c r="F251">
        <v>42.34</v>
      </c>
      <c r="G251">
        <v>34.657662500000008</v>
      </c>
      <c r="H251">
        <v>42.361170000000001</v>
      </c>
      <c r="I251">
        <v>5.1610799921158117</v>
      </c>
      <c r="J251">
        <v>0.7875149810935046</v>
      </c>
      <c r="K251">
        <v>-0.28839221341023791</v>
      </c>
      <c r="L251">
        <v>0.18599786988509789</v>
      </c>
      <c r="M251" t="s">
        <v>25</v>
      </c>
      <c r="N251">
        <v>22</v>
      </c>
      <c r="O251" t="s">
        <v>26</v>
      </c>
      <c r="P251">
        <v>146742</v>
      </c>
      <c r="Q251">
        <v>34.854999999999997</v>
      </c>
      <c r="R251">
        <v>42.53</v>
      </c>
      <c r="S251">
        <v>0.46182000348621371</v>
      </c>
      <c r="T251">
        <v>-1.6571003135672519E-2</v>
      </c>
      <c r="U251">
        <v>-3.4489778043451103E-2</v>
      </c>
      <c r="V251">
        <v>3.5748174771681029E-3</v>
      </c>
      <c r="W251">
        <v>-3.8064595520619207E-2</v>
      </c>
    </row>
    <row r="252" spans="1:23" x14ac:dyDescent="0.25">
      <c r="A252">
        <v>31</v>
      </c>
      <c r="B252" t="s">
        <v>33</v>
      </c>
      <c r="C252" t="s">
        <v>24</v>
      </c>
      <c r="D252">
        <v>147500</v>
      </c>
      <c r="E252">
        <v>33.44</v>
      </c>
      <c r="F252">
        <v>40.520000000000003</v>
      </c>
      <c r="G252">
        <v>33.423279999999998</v>
      </c>
      <c r="H252">
        <v>40.540260000000004</v>
      </c>
      <c r="I252">
        <v>3.5708381900939088</v>
      </c>
      <c r="J252">
        <v>0.7875149810935046</v>
      </c>
      <c r="K252">
        <v>-0.29904306220095689</v>
      </c>
      <c r="L252">
        <v>0.19435216710106229</v>
      </c>
      <c r="M252" t="s">
        <v>25</v>
      </c>
      <c r="N252">
        <v>20</v>
      </c>
      <c r="O252" t="s">
        <v>26</v>
      </c>
      <c r="P252">
        <v>147520</v>
      </c>
      <c r="Q252">
        <v>33.374999999999993</v>
      </c>
      <c r="R252">
        <v>40.325000000000003</v>
      </c>
      <c r="S252">
        <v>0.30501513387566442</v>
      </c>
      <c r="T252">
        <v>-1.846087354164494E-2</v>
      </c>
      <c r="U252">
        <v>-3.6307355116764438E-2</v>
      </c>
      <c r="V252">
        <v>3.574817477168102E-3</v>
      </c>
      <c r="W252">
        <v>-3.9882172593932549E-2</v>
      </c>
    </row>
    <row r="253" spans="1:23" x14ac:dyDescent="0.25">
      <c r="A253">
        <v>31</v>
      </c>
      <c r="B253" t="s">
        <v>33</v>
      </c>
      <c r="C253" t="s">
        <v>24</v>
      </c>
      <c r="D253">
        <v>147894</v>
      </c>
      <c r="E253">
        <v>33.215000000000003</v>
      </c>
      <c r="F253">
        <v>40.239999999999988</v>
      </c>
      <c r="G253">
        <v>33.198392499999997</v>
      </c>
      <c r="H253">
        <v>40.260119999999993</v>
      </c>
      <c r="I253">
        <v>3.521381772510161</v>
      </c>
      <c r="J253">
        <v>0.7875149810935046</v>
      </c>
      <c r="K253">
        <v>-0.30106879421947919</v>
      </c>
      <c r="L253">
        <v>0.1957045181643898</v>
      </c>
      <c r="M253" t="s">
        <v>25</v>
      </c>
      <c r="N253">
        <v>1</v>
      </c>
      <c r="O253" t="s">
        <v>26</v>
      </c>
      <c r="P253">
        <v>147895</v>
      </c>
      <c r="Q253">
        <v>33.185000000000002</v>
      </c>
      <c r="R253">
        <v>40.39</v>
      </c>
      <c r="S253">
        <v>0.2395966732270462</v>
      </c>
      <c r="T253">
        <v>3.8387741551242173E-2</v>
      </c>
      <c r="U253">
        <v>2.0502429933357911E-2</v>
      </c>
      <c r="V253">
        <v>3.5748174771681029E-3</v>
      </c>
      <c r="W253">
        <v>1.692761245618981E-2</v>
      </c>
    </row>
    <row r="254" spans="1:23" x14ac:dyDescent="0.25">
      <c r="A254">
        <v>31</v>
      </c>
      <c r="B254" t="s">
        <v>33</v>
      </c>
      <c r="C254" t="s">
        <v>24</v>
      </c>
      <c r="D254">
        <v>148671</v>
      </c>
      <c r="E254">
        <v>33.119999999999997</v>
      </c>
      <c r="F254">
        <v>40.099999999999987</v>
      </c>
      <c r="G254">
        <v>33.103440000000013</v>
      </c>
      <c r="H254">
        <v>40.120049999999992</v>
      </c>
      <c r="I254">
        <v>4.0545404449491871</v>
      </c>
      <c r="J254">
        <v>0.7875149810935046</v>
      </c>
      <c r="K254">
        <v>-0.30193236714975841</v>
      </c>
      <c r="L254">
        <v>0.19638777583379169</v>
      </c>
      <c r="M254" t="s">
        <v>25</v>
      </c>
      <c r="N254">
        <v>35</v>
      </c>
      <c r="O254" t="s">
        <v>26</v>
      </c>
      <c r="P254">
        <v>148706</v>
      </c>
      <c r="Q254">
        <v>32.744999999999997</v>
      </c>
      <c r="R254">
        <v>39.155000000000001</v>
      </c>
      <c r="S254">
        <v>0.41266677024773468</v>
      </c>
      <c r="T254">
        <v>-7.2361810481770247E-2</v>
      </c>
      <c r="U254">
        <v>-9.0087554749780391E-2</v>
      </c>
      <c r="V254">
        <v>3.5748174771681029E-3</v>
      </c>
      <c r="W254">
        <v>-9.3662372226948495E-2</v>
      </c>
    </row>
    <row r="255" spans="1:23" x14ac:dyDescent="0.25">
      <c r="A255">
        <v>32</v>
      </c>
      <c r="B255" t="s">
        <v>33</v>
      </c>
      <c r="C255" t="s">
        <v>31</v>
      </c>
      <c r="D255">
        <v>148801</v>
      </c>
      <c r="E255">
        <v>33</v>
      </c>
      <c r="F255">
        <v>47.98</v>
      </c>
      <c r="G255">
        <v>33.016500000000001</v>
      </c>
      <c r="H255">
        <v>47.956010000000013</v>
      </c>
      <c r="I255">
        <v>-5.2945820018250469</v>
      </c>
      <c r="J255">
        <v>0.8964073976024256</v>
      </c>
      <c r="K255">
        <v>0.30303030303030298</v>
      </c>
      <c r="L255">
        <v>-0.1868293867449824</v>
      </c>
      <c r="M255" t="s">
        <v>27</v>
      </c>
      <c r="N255">
        <v>24</v>
      </c>
      <c r="O255" t="s">
        <v>26</v>
      </c>
      <c r="P255">
        <v>148825</v>
      </c>
      <c r="Q255">
        <v>33.014999999999993</v>
      </c>
      <c r="R255">
        <v>48.164999999999999</v>
      </c>
      <c r="S255">
        <v>-0.44601877806262741</v>
      </c>
      <c r="T255">
        <v>-3.0017982002368271E-2</v>
      </c>
      <c r="U255">
        <v>-4.9001610423937449E-2</v>
      </c>
      <c r="V255">
        <v>3.79291838780725E-3</v>
      </c>
      <c r="W255">
        <v>-5.27945288117447E-2</v>
      </c>
    </row>
    <row r="256" spans="1:23" x14ac:dyDescent="0.25">
      <c r="A256">
        <v>32</v>
      </c>
      <c r="B256" t="s">
        <v>33</v>
      </c>
      <c r="C256" t="s">
        <v>31</v>
      </c>
      <c r="D256">
        <v>149062</v>
      </c>
      <c r="E256">
        <v>33.104999999999997</v>
      </c>
      <c r="F256">
        <v>48.155000000000001</v>
      </c>
      <c r="G256">
        <v>33.088447500000008</v>
      </c>
      <c r="H256">
        <v>48.179077499999998</v>
      </c>
      <c r="I256">
        <v>4.7223552566643967</v>
      </c>
      <c r="J256">
        <v>0.8964073976024256</v>
      </c>
      <c r="K256">
        <v>-0.3020691738408095</v>
      </c>
      <c r="L256">
        <v>0.18615043040233109</v>
      </c>
      <c r="M256" t="s">
        <v>25</v>
      </c>
      <c r="N256">
        <v>4</v>
      </c>
      <c r="O256" t="s">
        <v>26</v>
      </c>
      <c r="P256">
        <v>149066</v>
      </c>
      <c r="Q256">
        <v>33.04999999999999</v>
      </c>
      <c r="R256">
        <v>48.22999999999999</v>
      </c>
      <c r="S256">
        <v>0.37318103857810192</v>
      </c>
      <c r="T256">
        <v>3.0575086841421451E-2</v>
      </c>
      <c r="U256">
        <v>1.1612339126540021E-2</v>
      </c>
      <c r="V256">
        <v>3.7927112026024542E-3</v>
      </c>
      <c r="W256">
        <v>7.8196279239375662E-3</v>
      </c>
    </row>
    <row r="257" spans="1:23" x14ac:dyDescent="0.25">
      <c r="A257">
        <v>32</v>
      </c>
      <c r="B257" t="s">
        <v>33</v>
      </c>
      <c r="C257" t="s">
        <v>31</v>
      </c>
      <c r="D257">
        <v>149316</v>
      </c>
      <c r="E257">
        <v>33.094999999999999</v>
      </c>
      <c r="F257">
        <v>48.265000000000008</v>
      </c>
      <c r="G257">
        <v>33.078452499999997</v>
      </c>
      <c r="H257">
        <v>48.289132500000008</v>
      </c>
      <c r="I257">
        <v>3.545364341435798</v>
      </c>
      <c r="J257">
        <v>0.8964073976024256</v>
      </c>
      <c r="K257">
        <v>-0.30216044719746188</v>
      </c>
      <c r="L257">
        <v>0.18572617789338561</v>
      </c>
      <c r="M257" t="s">
        <v>25</v>
      </c>
      <c r="N257">
        <v>45</v>
      </c>
      <c r="O257" t="s">
        <v>26</v>
      </c>
      <c r="P257">
        <v>149361</v>
      </c>
      <c r="Q257">
        <v>33.234999999999999</v>
      </c>
      <c r="R257">
        <v>48.424999999999997</v>
      </c>
      <c r="S257">
        <v>0.1894541471749738</v>
      </c>
      <c r="T257">
        <v>-1.258627414470378E-2</v>
      </c>
      <c r="U257">
        <v>-3.1586357446261912E-2</v>
      </c>
      <c r="V257">
        <v>3.7927112026024529E-3</v>
      </c>
      <c r="W257">
        <v>-3.5379068648864358E-2</v>
      </c>
    </row>
    <row r="258" spans="1:23" x14ac:dyDescent="0.25">
      <c r="A258">
        <v>32</v>
      </c>
      <c r="B258" t="s">
        <v>33</v>
      </c>
      <c r="C258" t="s">
        <v>31</v>
      </c>
      <c r="D258">
        <v>149452</v>
      </c>
      <c r="E258">
        <v>33.064999999999998</v>
      </c>
      <c r="F258">
        <v>48.09</v>
      </c>
      <c r="G258">
        <v>33.048467500000008</v>
      </c>
      <c r="H258">
        <v>48.11404499999999</v>
      </c>
      <c r="I258">
        <v>3.9778208057544959</v>
      </c>
      <c r="J258">
        <v>0.8964073976024256</v>
      </c>
      <c r="K258">
        <v>-0.30243459851807042</v>
      </c>
      <c r="L258">
        <v>0.18640203734714611</v>
      </c>
      <c r="M258" t="s">
        <v>25</v>
      </c>
      <c r="N258">
        <v>49</v>
      </c>
      <c r="O258" t="s">
        <v>26</v>
      </c>
      <c r="P258">
        <v>149501</v>
      </c>
      <c r="Q258">
        <v>33.090000000000011</v>
      </c>
      <c r="R258">
        <v>47.920000000000009</v>
      </c>
      <c r="S258">
        <v>0.20962762098231641</v>
      </c>
      <c r="T258">
        <v>-3.9249211311965987E-2</v>
      </c>
      <c r="U258">
        <v>-5.8201221547294422E-2</v>
      </c>
      <c r="V258">
        <v>3.7927112026024529E-3</v>
      </c>
      <c r="W258">
        <v>-6.1993932749896868E-2</v>
      </c>
    </row>
    <row r="259" spans="1:23" x14ac:dyDescent="0.25">
      <c r="A259">
        <v>32</v>
      </c>
      <c r="B259" t="s">
        <v>33</v>
      </c>
      <c r="C259" t="s">
        <v>31</v>
      </c>
      <c r="D259">
        <v>150232</v>
      </c>
      <c r="E259">
        <v>33.150000000000013</v>
      </c>
      <c r="F259">
        <v>48.91</v>
      </c>
      <c r="G259">
        <v>33.166575000000002</v>
      </c>
      <c r="H259">
        <v>48.885545</v>
      </c>
      <c r="I259">
        <v>-4.9872251088665287</v>
      </c>
      <c r="J259">
        <v>0.8964073976024256</v>
      </c>
      <c r="K259">
        <v>0.30165912518853688</v>
      </c>
      <c r="L259">
        <v>-0.18327691629573209</v>
      </c>
      <c r="M259" t="s">
        <v>27</v>
      </c>
      <c r="N259">
        <v>30</v>
      </c>
      <c r="O259" t="s">
        <v>26</v>
      </c>
      <c r="P259">
        <v>150262</v>
      </c>
      <c r="Q259">
        <v>32.71</v>
      </c>
      <c r="R259">
        <v>48.069999999999993</v>
      </c>
      <c r="S259">
        <v>-0.49727719451198299</v>
      </c>
      <c r="T259">
        <v>2.1222594605457921E-2</v>
      </c>
      <c r="U259">
        <v>2.4018619418224581E-3</v>
      </c>
      <c r="V259">
        <v>3.7929183878072478E-3</v>
      </c>
      <c r="W259">
        <v>-1.39105644598479E-3</v>
      </c>
    </row>
    <row r="260" spans="1:23" x14ac:dyDescent="0.25">
      <c r="A260">
        <v>32</v>
      </c>
      <c r="B260" t="s">
        <v>33</v>
      </c>
      <c r="C260" t="s">
        <v>31</v>
      </c>
      <c r="D260">
        <v>150623</v>
      </c>
      <c r="E260">
        <v>32.89</v>
      </c>
      <c r="F260">
        <v>48.244999999999997</v>
      </c>
      <c r="G260">
        <v>32.873555000000003</v>
      </c>
      <c r="H260">
        <v>48.269122499999987</v>
      </c>
      <c r="I260">
        <v>4.3350895626581956</v>
      </c>
      <c r="J260">
        <v>0.8964073976024256</v>
      </c>
      <c r="K260">
        <v>-0.30404378230465179</v>
      </c>
      <c r="L260">
        <v>0.18580317081613129</v>
      </c>
      <c r="M260" t="s">
        <v>25</v>
      </c>
      <c r="N260">
        <v>4</v>
      </c>
      <c r="O260" t="s">
        <v>26</v>
      </c>
      <c r="P260">
        <v>150627</v>
      </c>
      <c r="Q260">
        <v>32.909999999999997</v>
      </c>
      <c r="R260">
        <v>48.505000000000003</v>
      </c>
      <c r="S260">
        <v>-0.25387420265005051</v>
      </c>
      <c r="T260">
        <v>4.2227948766099789E-2</v>
      </c>
      <c r="U260">
        <v>2.3236679940048331E-2</v>
      </c>
      <c r="V260">
        <v>3.7927112026024542E-3</v>
      </c>
      <c r="W260">
        <v>1.9443968737445881E-2</v>
      </c>
    </row>
    <row r="261" spans="1:23" x14ac:dyDescent="0.25">
      <c r="A261">
        <v>32</v>
      </c>
      <c r="B261" t="s">
        <v>33</v>
      </c>
      <c r="C261" t="s">
        <v>31</v>
      </c>
      <c r="D261">
        <v>150942</v>
      </c>
      <c r="E261">
        <v>33.03</v>
      </c>
      <c r="F261">
        <v>48.244999999999997</v>
      </c>
      <c r="G261">
        <v>33.046514999999999</v>
      </c>
      <c r="H261">
        <v>48.2208775</v>
      </c>
      <c r="I261">
        <v>-3.6092711682775831</v>
      </c>
      <c r="J261">
        <v>0.8964073976024256</v>
      </c>
      <c r="K261">
        <v>0.30275507114744171</v>
      </c>
      <c r="L261">
        <v>-0.18580317081613129</v>
      </c>
      <c r="M261" t="s">
        <v>27</v>
      </c>
      <c r="N261">
        <v>44</v>
      </c>
      <c r="O261" t="s">
        <v>26</v>
      </c>
      <c r="P261">
        <v>150986</v>
      </c>
      <c r="Q261">
        <v>33.08</v>
      </c>
      <c r="R261">
        <v>48.445000000000007</v>
      </c>
      <c r="S261">
        <v>-0.42830741792615318</v>
      </c>
      <c r="T261">
        <v>-2.2022880605856891E-2</v>
      </c>
      <c r="U261">
        <v>-4.1013103775740217E-2</v>
      </c>
      <c r="V261">
        <v>3.7929183878072491E-3</v>
      </c>
      <c r="W261">
        <v>-4.4806022163547482E-2</v>
      </c>
    </row>
    <row r="262" spans="1:23" x14ac:dyDescent="0.25">
      <c r="A262">
        <v>32</v>
      </c>
      <c r="B262" t="s">
        <v>33</v>
      </c>
      <c r="C262" t="s">
        <v>31</v>
      </c>
      <c r="D262">
        <v>151014</v>
      </c>
      <c r="E262">
        <v>33.42499999999999</v>
      </c>
      <c r="F262">
        <v>48.670000000000009</v>
      </c>
      <c r="G262">
        <v>33.408287499999993</v>
      </c>
      <c r="H262">
        <v>48.694335000000009</v>
      </c>
      <c r="I262">
        <v>4.5099327474330524</v>
      </c>
      <c r="J262">
        <v>0.8964073976024256</v>
      </c>
      <c r="K262">
        <v>-0.29917726252804788</v>
      </c>
      <c r="L262">
        <v>0.18418068576174759</v>
      </c>
      <c r="M262" t="s">
        <v>25</v>
      </c>
      <c r="N262">
        <v>34</v>
      </c>
      <c r="O262" t="s">
        <v>26</v>
      </c>
      <c r="P262">
        <v>151048</v>
      </c>
      <c r="Q262">
        <v>34.079999999999991</v>
      </c>
      <c r="R262">
        <v>49.374999999999993</v>
      </c>
      <c r="S262">
        <v>0.37037410678548438</v>
      </c>
      <c r="T262">
        <v>-6.6113723493842647E-2</v>
      </c>
      <c r="U262">
        <v>-8.5240701715075307E-2</v>
      </c>
      <c r="V262">
        <v>3.7927112026024542E-3</v>
      </c>
      <c r="W262">
        <v>-8.9033412917677759E-2</v>
      </c>
    </row>
    <row r="263" spans="1:23" x14ac:dyDescent="0.25">
      <c r="A263">
        <v>32</v>
      </c>
      <c r="B263" t="s">
        <v>33</v>
      </c>
      <c r="C263" t="s">
        <v>31</v>
      </c>
      <c r="D263">
        <v>151135</v>
      </c>
      <c r="E263">
        <v>33.914999999999992</v>
      </c>
      <c r="F263">
        <v>49.55</v>
      </c>
      <c r="G263">
        <v>33.931957499999989</v>
      </c>
      <c r="H263">
        <v>49.525224999999999</v>
      </c>
      <c r="I263">
        <v>-5.0943833612925538</v>
      </c>
      <c r="J263">
        <v>0.8964073976024256</v>
      </c>
      <c r="K263">
        <v>0.29485478401887077</v>
      </c>
      <c r="L263">
        <v>-0.18090966651915749</v>
      </c>
      <c r="M263" t="s">
        <v>27</v>
      </c>
      <c r="N263">
        <v>25</v>
      </c>
      <c r="O263" t="s">
        <v>26</v>
      </c>
      <c r="P263">
        <v>151160</v>
      </c>
      <c r="Q263">
        <v>33.945</v>
      </c>
      <c r="R263">
        <v>50.575000000000003</v>
      </c>
      <c r="S263">
        <v>-0.43450924596749863</v>
      </c>
      <c r="T263">
        <v>-0.1765867646615677</v>
      </c>
      <c r="U263">
        <v>-0.19564797766344191</v>
      </c>
      <c r="V263">
        <v>3.7929183878072491E-3</v>
      </c>
      <c r="W263">
        <v>-0.19944089605124921</v>
      </c>
    </row>
    <row r="264" spans="1:23" x14ac:dyDescent="0.25">
      <c r="A264">
        <v>32</v>
      </c>
      <c r="B264" t="s">
        <v>33</v>
      </c>
      <c r="C264" t="s">
        <v>31</v>
      </c>
      <c r="D264">
        <v>151491</v>
      </c>
      <c r="E264">
        <v>33.945</v>
      </c>
      <c r="F264">
        <v>51.794999999999987</v>
      </c>
      <c r="G264">
        <v>33.928027499999999</v>
      </c>
      <c r="H264">
        <v>51.820897499999987</v>
      </c>
      <c r="I264">
        <v>3.7542281029000608</v>
      </c>
      <c r="J264">
        <v>0.8964073976024256</v>
      </c>
      <c r="K264">
        <v>-0.29459419649432911</v>
      </c>
      <c r="L264">
        <v>0.17306832659569951</v>
      </c>
      <c r="M264" t="s">
        <v>25</v>
      </c>
      <c r="N264">
        <v>26</v>
      </c>
      <c r="O264" t="s">
        <v>26</v>
      </c>
      <c r="P264">
        <v>151517</v>
      </c>
      <c r="Q264">
        <v>33.880000000000003</v>
      </c>
      <c r="R264">
        <v>51.679999999999993</v>
      </c>
      <c r="S264">
        <v>-0.48082074274556819</v>
      </c>
      <c r="T264">
        <v>-7.5423478637507216E-4</v>
      </c>
      <c r="U264">
        <v>-1.9698783022232921E-2</v>
      </c>
      <c r="V264">
        <v>3.7927112026024529E-3</v>
      </c>
      <c r="W264">
        <v>-2.3491494224835371E-2</v>
      </c>
    </row>
    <row r="265" spans="1:23" x14ac:dyDescent="0.25">
      <c r="A265">
        <v>32</v>
      </c>
      <c r="B265" t="s">
        <v>33</v>
      </c>
      <c r="C265" t="s">
        <v>31</v>
      </c>
      <c r="D265">
        <v>152186</v>
      </c>
      <c r="E265">
        <v>33.5</v>
      </c>
      <c r="F265">
        <v>51.670000000000009</v>
      </c>
      <c r="G265">
        <v>33.516749999999988</v>
      </c>
      <c r="H265">
        <v>51.644165000000022</v>
      </c>
      <c r="I265">
        <v>-4.7058976401072199</v>
      </c>
      <c r="J265">
        <v>0.8964073976024256</v>
      </c>
      <c r="K265">
        <v>0.29850746268656708</v>
      </c>
      <c r="L265">
        <v>-0.1734870132770322</v>
      </c>
      <c r="M265" t="s">
        <v>27</v>
      </c>
      <c r="N265">
        <v>20</v>
      </c>
      <c r="O265" t="s">
        <v>26</v>
      </c>
      <c r="P265">
        <v>152206</v>
      </c>
      <c r="Q265">
        <v>33.529999999999987</v>
      </c>
      <c r="R265">
        <v>51.600000000000009</v>
      </c>
      <c r="S265">
        <v>-0.33318959928209652</v>
      </c>
      <c r="T265">
        <v>2.109931480998754E-2</v>
      </c>
      <c r="U265">
        <v>2.1368352674910941E-3</v>
      </c>
      <c r="V265">
        <v>3.7929183878072491E-3</v>
      </c>
      <c r="W265">
        <v>-1.6560831203161551E-3</v>
      </c>
    </row>
    <row r="266" spans="1:23" x14ac:dyDescent="0.25">
      <c r="A266">
        <v>32</v>
      </c>
      <c r="B266" t="s">
        <v>33</v>
      </c>
      <c r="C266" t="s">
        <v>31</v>
      </c>
      <c r="D266">
        <v>152576</v>
      </c>
      <c r="E266">
        <v>33.5</v>
      </c>
      <c r="F266">
        <v>52.680000000000007</v>
      </c>
      <c r="G266">
        <v>33.516749999999988</v>
      </c>
      <c r="H266">
        <v>52.653660000000023</v>
      </c>
      <c r="I266">
        <v>-4.7481337218477062</v>
      </c>
      <c r="J266">
        <v>0.8964073976024256</v>
      </c>
      <c r="K266">
        <v>0.29850746268656708</v>
      </c>
      <c r="L266">
        <v>-0.17016085755550969</v>
      </c>
      <c r="M266" t="s">
        <v>27</v>
      </c>
      <c r="N266">
        <v>18</v>
      </c>
      <c r="O266" t="s">
        <v>26</v>
      </c>
      <c r="P266">
        <v>152594</v>
      </c>
      <c r="Q266">
        <v>33.890000000000008</v>
      </c>
      <c r="R266">
        <v>53.43</v>
      </c>
      <c r="S266">
        <v>-0.32221825730892778</v>
      </c>
      <c r="T266">
        <v>-1.12027327188664E-2</v>
      </c>
      <c r="U266">
        <v>-3.0288825971695091E-2</v>
      </c>
      <c r="V266">
        <v>3.7929183878072478E-3</v>
      </c>
      <c r="W266">
        <v>-3.4081744359502342E-2</v>
      </c>
    </row>
    <row r="267" spans="1:23" x14ac:dyDescent="0.25">
      <c r="A267">
        <v>33</v>
      </c>
      <c r="B267" t="s">
        <v>34</v>
      </c>
      <c r="C267" t="s">
        <v>30</v>
      </c>
      <c r="D267">
        <v>152701</v>
      </c>
      <c r="E267">
        <v>390.05500000000012</v>
      </c>
      <c r="F267">
        <v>146.26</v>
      </c>
      <c r="G267">
        <v>389.85997250000008</v>
      </c>
      <c r="H267">
        <v>146.33313000000001</v>
      </c>
      <c r="I267">
        <v>5.2946438782153704</v>
      </c>
      <c r="J267">
        <v>0.80910646800298813</v>
      </c>
      <c r="K267">
        <v>-2.5637410108830801E-2</v>
      </c>
      <c r="L267">
        <v>5.5319736633596898E-2</v>
      </c>
      <c r="M267" t="s">
        <v>25</v>
      </c>
      <c r="N267">
        <v>23</v>
      </c>
      <c r="O267" t="s">
        <v>26</v>
      </c>
      <c r="P267">
        <v>152724</v>
      </c>
      <c r="Q267">
        <v>389.68000000000012</v>
      </c>
      <c r="R267">
        <v>146.41499999999991</v>
      </c>
      <c r="S267">
        <v>0.48914423863257889</v>
      </c>
      <c r="T267">
        <v>1.818858796901756E-2</v>
      </c>
      <c r="U267">
        <v>9.8043023795210996E-5</v>
      </c>
      <c r="V267">
        <v>3.618022042473979E-3</v>
      </c>
      <c r="W267">
        <v>-3.5199790186787681E-3</v>
      </c>
    </row>
    <row r="268" spans="1:23" x14ac:dyDescent="0.25">
      <c r="A268">
        <v>33</v>
      </c>
      <c r="B268" t="s">
        <v>34</v>
      </c>
      <c r="C268" t="s">
        <v>30</v>
      </c>
      <c r="D268">
        <v>153747</v>
      </c>
      <c r="E268">
        <v>393.38</v>
      </c>
      <c r="F268">
        <v>144.87</v>
      </c>
      <c r="G268">
        <v>393.18331000000001</v>
      </c>
      <c r="H268">
        <v>144.94243499999999</v>
      </c>
      <c r="I268">
        <v>5.1771363314013596</v>
      </c>
      <c r="J268">
        <v>0.80910646800298813</v>
      </c>
      <c r="K268">
        <v>-2.5420712796786819E-2</v>
      </c>
      <c r="L268">
        <v>5.5850518948228609E-2</v>
      </c>
      <c r="M268" t="s">
        <v>25</v>
      </c>
      <c r="N268">
        <v>11</v>
      </c>
      <c r="O268" t="s">
        <v>26</v>
      </c>
      <c r="P268">
        <v>153758</v>
      </c>
      <c r="Q268">
        <v>393.40999999999991</v>
      </c>
      <c r="R268">
        <v>145.76499999999999</v>
      </c>
      <c r="S268">
        <v>0.29761484035213143</v>
      </c>
      <c r="T268">
        <v>4.9223593074763573E-2</v>
      </c>
      <c r="U268">
        <v>3.1107153976815238E-2</v>
      </c>
      <c r="V268">
        <v>3.618022042473979E-3</v>
      </c>
      <c r="W268">
        <v>2.7489131934341261E-2</v>
      </c>
    </row>
    <row r="269" spans="1:23" x14ac:dyDescent="0.25">
      <c r="A269">
        <v>33</v>
      </c>
      <c r="B269" t="s">
        <v>34</v>
      </c>
      <c r="C269" t="s">
        <v>30</v>
      </c>
      <c r="D269">
        <v>154080</v>
      </c>
      <c r="E269">
        <v>389.34</v>
      </c>
      <c r="F269">
        <v>145.30999999999989</v>
      </c>
      <c r="G269">
        <v>389.53466999999989</v>
      </c>
      <c r="H269">
        <v>145.23734499999989</v>
      </c>
      <c r="I269">
        <v>-3.5543177989369998</v>
      </c>
      <c r="J269">
        <v>0.80910646800298813</v>
      </c>
      <c r="K269">
        <v>2.5684491703909181E-2</v>
      </c>
      <c r="L269">
        <v>-5.5681403069505767E-2</v>
      </c>
      <c r="M269" t="s">
        <v>27</v>
      </c>
      <c r="N269">
        <v>16</v>
      </c>
      <c r="O269" t="s">
        <v>26</v>
      </c>
      <c r="P269">
        <v>154096</v>
      </c>
      <c r="Q269">
        <v>389.88000000000011</v>
      </c>
      <c r="R269">
        <v>145.30999999999989</v>
      </c>
      <c r="S269">
        <v>-0.32911631083496778</v>
      </c>
      <c r="T269">
        <v>1.3869625520114399E-2</v>
      </c>
      <c r="U269">
        <v>-4.2283739726739151E-3</v>
      </c>
      <c r="V269">
        <v>3.6184038295379731E-3</v>
      </c>
      <c r="W269">
        <v>-7.8467778022118882E-3</v>
      </c>
    </row>
    <row r="270" spans="1:23" x14ac:dyDescent="0.25">
      <c r="A270">
        <v>33</v>
      </c>
      <c r="B270" t="s">
        <v>34</v>
      </c>
      <c r="C270" t="s">
        <v>30</v>
      </c>
      <c r="D270">
        <v>154138</v>
      </c>
      <c r="E270">
        <v>387.00000000000011</v>
      </c>
      <c r="F270">
        <v>145.5449999999999</v>
      </c>
      <c r="G270">
        <v>387.19349999999997</v>
      </c>
      <c r="H270">
        <v>145.47222749999989</v>
      </c>
      <c r="I270">
        <v>-4.9465853257900054</v>
      </c>
      <c r="J270">
        <v>0.80910646800298813</v>
      </c>
      <c r="K270">
        <v>2.5839793281653738E-2</v>
      </c>
      <c r="L270">
        <v>-5.5591498711943972E-2</v>
      </c>
      <c r="M270" t="s">
        <v>27</v>
      </c>
      <c r="N270">
        <v>15</v>
      </c>
      <c r="O270" t="s">
        <v>26</v>
      </c>
      <c r="P270">
        <v>154153</v>
      </c>
      <c r="Q270">
        <v>390.17999999999989</v>
      </c>
      <c r="R270">
        <v>146.54</v>
      </c>
      <c r="S270">
        <v>8.8699525237034595E-3</v>
      </c>
      <c r="T270">
        <v>2.685700141726385E-2</v>
      </c>
      <c r="U270">
        <v>8.6971946953098289E-3</v>
      </c>
      <c r="V270">
        <v>3.618403829537974E-3</v>
      </c>
      <c r="W270">
        <v>5.0787908657718549E-3</v>
      </c>
    </row>
    <row r="271" spans="1:23" x14ac:dyDescent="0.25">
      <c r="A271">
        <v>33</v>
      </c>
      <c r="B271" t="s">
        <v>34</v>
      </c>
      <c r="C271" t="s">
        <v>30</v>
      </c>
      <c r="D271">
        <v>155293</v>
      </c>
      <c r="E271">
        <v>388.87999999999988</v>
      </c>
      <c r="F271">
        <v>148.05000000000001</v>
      </c>
      <c r="G271">
        <v>388.68556000000001</v>
      </c>
      <c r="H271">
        <v>148.12402499999999</v>
      </c>
      <c r="I271">
        <v>3.6794925620198611</v>
      </c>
      <c r="J271">
        <v>0.80910646800298813</v>
      </c>
      <c r="K271">
        <v>-2.5714873482822469E-2</v>
      </c>
      <c r="L271">
        <v>5.4650892806686113E-2</v>
      </c>
      <c r="M271" t="s">
        <v>25</v>
      </c>
      <c r="N271">
        <v>4</v>
      </c>
      <c r="O271" t="s">
        <v>26</v>
      </c>
      <c r="P271">
        <v>155297</v>
      </c>
      <c r="Q271">
        <v>387.83</v>
      </c>
      <c r="R271">
        <v>147.93</v>
      </c>
      <c r="S271">
        <v>-0.43422934816709469</v>
      </c>
      <c r="T271">
        <v>2.044251002015984E-2</v>
      </c>
      <c r="U271">
        <v>2.368224702277487E-3</v>
      </c>
      <c r="V271">
        <v>3.618022042473979E-3</v>
      </c>
      <c r="W271">
        <v>-1.2497973401964929E-3</v>
      </c>
    </row>
    <row r="272" spans="1:23" x14ac:dyDescent="0.25">
      <c r="A272">
        <v>33</v>
      </c>
      <c r="B272" t="s">
        <v>34</v>
      </c>
      <c r="C272" t="s">
        <v>30</v>
      </c>
      <c r="D272">
        <v>155309</v>
      </c>
      <c r="E272">
        <v>388.7200000000002</v>
      </c>
      <c r="F272">
        <v>151.75</v>
      </c>
      <c r="G272">
        <v>388.91436000000022</v>
      </c>
      <c r="H272">
        <v>151.674125</v>
      </c>
      <c r="I272">
        <v>-5.1820696989150816</v>
      </c>
      <c r="J272">
        <v>0.80910646800298813</v>
      </c>
      <c r="K272">
        <v>2.572545791315084E-2</v>
      </c>
      <c r="L272">
        <v>-5.3318383393936609E-2</v>
      </c>
      <c r="M272" t="s">
        <v>27</v>
      </c>
      <c r="N272">
        <v>21</v>
      </c>
      <c r="O272" t="s">
        <v>26</v>
      </c>
      <c r="P272">
        <v>155330</v>
      </c>
      <c r="Q272">
        <v>391.05000000000018</v>
      </c>
      <c r="R272">
        <v>152.84</v>
      </c>
      <c r="S272">
        <v>-0.33767854581266171</v>
      </c>
      <c r="T272">
        <v>1.823279038249963E-3</v>
      </c>
      <c r="U272">
        <v>-1.6326814319195759E-2</v>
      </c>
      <c r="V272">
        <v>3.6184038295379731E-3</v>
      </c>
      <c r="W272">
        <v>-1.9945218148733731E-2</v>
      </c>
    </row>
    <row r="273" spans="1:23" x14ac:dyDescent="0.25">
      <c r="A273">
        <v>33</v>
      </c>
      <c r="B273" t="s">
        <v>34</v>
      </c>
      <c r="C273" t="s">
        <v>30</v>
      </c>
      <c r="D273">
        <v>155704</v>
      </c>
      <c r="E273">
        <v>391.39</v>
      </c>
      <c r="F273">
        <v>154.06</v>
      </c>
      <c r="G273">
        <v>391.58569499999999</v>
      </c>
      <c r="H273">
        <v>153.98296999999999</v>
      </c>
      <c r="I273">
        <v>-3.951517753085712</v>
      </c>
      <c r="J273">
        <v>0.80910646800298813</v>
      </c>
      <c r="K273">
        <v>2.5549962952553719E-2</v>
      </c>
      <c r="L273">
        <v>-5.2518919122613791E-2</v>
      </c>
      <c r="M273" t="s">
        <v>27</v>
      </c>
      <c r="N273">
        <v>5</v>
      </c>
      <c r="O273" t="s">
        <v>26</v>
      </c>
      <c r="P273">
        <v>155709</v>
      </c>
      <c r="Q273">
        <v>392.98</v>
      </c>
      <c r="R273">
        <v>154.34</v>
      </c>
      <c r="S273">
        <v>-0.29630004368271801</v>
      </c>
      <c r="T273">
        <v>2.5919143740227812E-2</v>
      </c>
      <c r="U273">
        <v>7.8004141909752411E-3</v>
      </c>
      <c r="V273">
        <v>3.618403829537974E-3</v>
      </c>
      <c r="W273">
        <v>4.1820103614372672E-3</v>
      </c>
    </row>
    <row r="274" spans="1:23" x14ac:dyDescent="0.25">
      <c r="A274">
        <v>33</v>
      </c>
      <c r="B274" t="s">
        <v>34</v>
      </c>
      <c r="C274" t="s">
        <v>30</v>
      </c>
      <c r="D274">
        <v>156089</v>
      </c>
      <c r="E274">
        <v>395.12999999999982</v>
      </c>
      <c r="F274">
        <v>149.60000000000011</v>
      </c>
      <c r="G274">
        <v>394.93243499999983</v>
      </c>
      <c r="H274">
        <v>149.6748</v>
      </c>
      <c r="I274">
        <v>5.2682039093146749</v>
      </c>
      <c r="J274">
        <v>0.80910646800298813</v>
      </c>
      <c r="K274">
        <v>-2.5308126439399701E-2</v>
      </c>
      <c r="L274">
        <v>5.4084656952071368E-2</v>
      </c>
      <c r="M274" t="s">
        <v>25</v>
      </c>
      <c r="N274">
        <v>16</v>
      </c>
      <c r="O274" t="s">
        <v>26</v>
      </c>
      <c r="P274">
        <v>156105</v>
      </c>
      <c r="Q274">
        <v>385.95000000000022</v>
      </c>
      <c r="R274">
        <v>148.22499999999999</v>
      </c>
      <c r="S274">
        <v>0.48373852340841522</v>
      </c>
      <c r="T274">
        <v>0.15796219740458109</v>
      </c>
      <c r="U274">
        <v>0.1400244802265648</v>
      </c>
      <c r="V274">
        <v>3.618022042473979E-3</v>
      </c>
      <c r="W274">
        <v>0.13640645818409081</v>
      </c>
    </row>
    <row r="275" spans="1:23" x14ac:dyDescent="0.25">
      <c r="A275">
        <v>33</v>
      </c>
      <c r="B275" t="s">
        <v>34</v>
      </c>
      <c r="C275" t="s">
        <v>30</v>
      </c>
      <c r="D275">
        <v>156369</v>
      </c>
      <c r="E275">
        <v>388.77</v>
      </c>
      <c r="F275">
        <v>148.63</v>
      </c>
      <c r="G275">
        <v>388.57561500000003</v>
      </c>
      <c r="H275">
        <v>148.70431500000001</v>
      </c>
      <c r="I275">
        <v>4.3785798643103924</v>
      </c>
      <c r="J275">
        <v>0.80910646800298813</v>
      </c>
      <c r="K275">
        <v>-2.572214934279908E-2</v>
      </c>
      <c r="L275">
        <v>5.4437628204466681E-2</v>
      </c>
      <c r="M275" t="s">
        <v>25</v>
      </c>
      <c r="N275">
        <v>16</v>
      </c>
      <c r="O275" t="s">
        <v>26</v>
      </c>
      <c r="P275">
        <v>156385</v>
      </c>
      <c r="Q275">
        <v>388.24999999999989</v>
      </c>
      <c r="R275">
        <v>148.9799999999999</v>
      </c>
      <c r="S275">
        <v>0.34343368070535191</v>
      </c>
      <c r="T275">
        <v>3.2428687529819457E-2</v>
      </c>
      <c r="U275">
        <v>1.433478402368548E-2</v>
      </c>
      <c r="V275">
        <v>3.618022042473979E-3</v>
      </c>
      <c r="W275">
        <v>1.0716761981211499E-2</v>
      </c>
    </row>
    <row r="276" spans="1:23" x14ac:dyDescent="0.25">
      <c r="A276">
        <v>33</v>
      </c>
      <c r="B276" t="s">
        <v>34</v>
      </c>
      <c r="C276" t="s">
        <v>30</v>
      </c>
      <c r="D276">
        <v>156479</v>
      </c>
      <c r="E276">
        <v>391.68999999999983</v>
      </c>
      <c r="F276">
        <v>150.1999999999999</v>
      </c>
      <c r="G276">
        <v>391.49415499999992</v>
      </c>
      <c r="H276">
        <v>150.2750999999999</v>
      </c>
      <c r="I276">
        <v>3.9039185606616389</v>
      </c>
      <c r="J276">
        <v>0.80910646800298813</v>
      </c>
      <c r="K276">
        <v>-2.553039393397841E-2</v>
      </c>
      <c r="L276">
        <v>5.3868606391677003E-2</v>
      </c>
      <c r="M276" t="s">
        <v>25</v>
      </c>
      <c r="N276">
        <v>2</v>
      </c>
      <c r="O276" t="s">
        <v>26</v>
      </c>
      <c r="P276">
        <v>156481</v>
      </c>
      <c r="Q276">
        <v>393.07499999999987</v>
      </c>
      <c r="R276">
        <v>152.0149999999999</v>
      </c>
      <c r="S276">
        <v>0.203591318623941</v>
      </c>
      <c r="T276">
        <v>6.2411925002330851E-2</v>
      </c>
      <c r="U276">
        <v>4.4254294764203048E-2</v>
      </c>
      <c r="V276">
        <v>3.618022042473979E-3</v>
      </c>
      <c r="W276">
        <v>4.0636272721729073E-2</v>
      </c>
    </row>
    <row r="277" spans="1:23" x14ac:dyDescent="0.25">
      <c r="A277">
        <v>34</v>
      </c>
      <c r="B277" t="s">
        <v>34</v>
      </c>
      <c r="C277" t="s">
        <v>30</v>
      </c>
      <c r="D277">
        <v>156601</v>
      </c>
      <c r="E277">
        <v>389.07000000000011</v>
      </c>
      <c r="F277">
        <v>150.63999999999999</v>
      </c>
      <c r="G277">
        <v>388.87546500000008</v>
      </c>
      <c r="H277">
        <v>150.71531999999999</v>
      </c>
      <c r="I277">
        <v>5.2945155729194804</v>
      </c>
      <c r="J277">
        <v>0.58159585546658943</v>
      </c>
      <c r="K277">
        <v>-2.570231577865165E-2</v>
      </c>
      <c r="L277">
        <v>3.8608328164271739E-2</v>
      </c>
      <c r="M277" t="s">
        <v>25</v>
      </c>
      <c r="N277">
        <v>23</v>
      </c>
      <c r="O277" t="s">
        <v>26</v>
      </c>
      <c r="P277">
        <v>156624</v>
      </c>
      <c r="Q277">
        <v>389.53999999999991</v>
      </c>
      <c r="R277">
        <v>150.9</v>
      </c>
      <c r="S277">
        <v>0.49135883710606298</v>
      </c>
      <c r="T277">
        <v>-2.0419230932486369E-3</v>
      </c>
      <c r="U277">
        <v>-1.7868940774783109E-2</v>
      </c>
      <c r="V277">
        <v>3.1627733067886459E-3</v>
      </c>
      <c r="W277">
        <v>-2.1031714081571749E-2</v>
      </c>
    </row>
    <row r="278" spans="1:23" x14ac:dyDescent="0.25">
      <c r="A278">
        <v>34</v>
      </c>
      <c r="B278" t="s">
        <v>34</v>
      </c>
      <c r="C278" t="s">
        <v>30</v>
      </c>
      <c r="D278">
        <v>156869</v>
      </c>
      <c r="E278">
        <v>389.53500000000008</v>
      </c>
      <c r="F278">
        <v>150.46</v>
      </c>
      <c r="G278">
        <v>389.34023250000018</v>
      </c>
      <c r="H278">
        <v>150.53523000000001</v>
      </c>
      <c r="I278">
        <v>3.5065118708303569</v>
      </c>
      <c r="J278">
        <v>0.58159585546658943</v>
      </c>
      <c r="K278">
        <v>-2.56716341278704E-2</v>
      </c>
      <c r="L278">
        <v>3.8654516513796977E-2</v>
      </c>
      <c r="M278" t="s">
        <v>25</v>
      </c>
      <c r="N278">
        <v>34</v>
      </c>
      <c r="O278" t="s">
        <v>26</v>
      </c>
      <c r="P278">
        <v>156903</v>
      </c>
      <c r="Q278">
        <v>393.72000000000008</v>
      </c>
      <c r="R278">
        <v>150.8899999999999</v>
      </c>
      <c r="S278">
        <v>0.34169469650368811</v>
      </c>
      <c r="T278">
        <v>-9.0814346724205464E-2</v>
      </c>
      <c r="U278">
        <v>-0.1066923338943324</v>
      </c>
      <c r="V278">
        <v>3.1627733067886459E-3</v>
      </c>
      <c r="W278">
        <v>-0.1098551072011211</v>
      </c>
    </row>
    <row r="279" spans="1:23" x14ac:dyDescent="0.25">
      <c r="A279">
        <v>34</v>
      </c>
      <c r="B279" t="s">
        <v>34</v>
      </c>
      <c r="C279" t="s">
        <v>30</v>
      </c>
      <c r="D279">
        <v>157071</v>
      </c>
      <c r="E279">
        <v>388.26999999999992</v>
      </c>
      <c r="F279">
        <v>150.71</v>
      </c>
      <c r="G279">
        <v>388.46413499999983</v>
      </c>
      <c r="H279">
        <v>150.63464500000001</v>
      </c>
      <c r="I279">
        <v>-3.897558873719051</v>
      </c>
      <c r="J279">
        <v>0.58159585546658943</v>
      </c>
      <c r="K279">
        <v>2.5755273392227069E-2</v>
      </c>
      <c r="L279">
        <v>-3.8590395824204711E-2</v>
      </c>
      <c r="M279" t="s">
        <v>27</v>
      </c>
      <c r="N279">
        <v>17</v>
      </c>
      <c r="O279" t="s">
        <v>26</v>
      </c>
      <c r="P279">
        <v>157088</v>
      </c>
      <c r="Q279">
        <v>388.51999999999981</v>
      </c>
      <c r="R279">
        <v>150.80500000000001</v>
      </c>
      <c r="S279">
        <v>-0.3479854758273811</v>
      </c>
      <c r="T279">
        <v>2.772730744755899E-3</v>
      </c>
      <c r="U279">
        <v>-1.304828026288418E-2</v>
      </c>
      <c r="V279">
        <v>3.163610115077712E-3</v>
      </c>
      <c r="W279">
        <v>-1.6211890377961891E-2</v>
      </c>
    </row>
    <row r="280" spans="1:23" x14ac:dyDescent="0.25">
      <c r="A280">
        <v>34</v>
      </c>
      <c r="B280" t="s">
        <v>34</v>
      </c>
      <c r="C280" t="s">
        <v>30</v>
      </c>
      <c r="D280">
        <v>157121</v>
      </c>
      <c r="E280">
        <v>387.04000000000008</v>
      </c>
      <c r="F280">
        <v>150.405</v>
      </c>
      <c r="G280">
        <v>387.23352000000011</v>
      </c>
      <c r="H280">
        <v>150.32979750000001</v>
      </c>
      <c r="I280">
        <v>-3.556901047290252</v>
      </c>
      <c r="J280">
        <v>0.58159585546658943</v>
      </c>
      <c r="K280">
        <v>2.583712277800743E-2</v>
      </c>
      <c r="L280">
        <v>-3.8668651671592648E-2</v>
      </c>
      <c r="M280" t="s">
        <v>27</v>
      </c>
      <c r="N280">
        <v>14</v>
      </c>
      <c r="O280" t="s">
        <v>26</v>
      </c>
      <c r="P280">
        <v>157135</v>
      </c>
      <c r="Q280">
        <v>387.39</v>
      </c>
      <c r="R280">
        <v>150.405</v>
      </c>
      <c r="S280">
        <v>-2.9247474208954408E-2</v>
      </c>
      <c r="T280">
        <v>9.0429929723002522E-3</v>
      </c>
      <c r="U280">
        <v>-6.7774870788501404E-3</v>
      </c>
      <c r="V280">
        <v>3.163610115077712E-3</v>
      </c>
      <c r="W280">
        <v>-9.9410971939278524E-3</v>
      </c>
    </row>
    <row r="281" spans="1:23" x14ac:dyDescent="0.25">
      <c r="A281">
        <v>34</v>
      </c>
      <c r="B281" t="s">
        <v>34</v>
      </c>
      <c r="C281" t="s">
        <v>30</v>
      </c>
      <c r="D281">
        <v>157260</v>
      </c>
      <c r="E281">
        <v>385.24</v>
      </c>
      <c r="F281">
        <v>150.4799999999999</v>
      </c>
      <c r="G281">
        <v>385.43261999999987</v>
      </c>
      <c r="H281">
        <v>150.40476000000001</v>
      </c>
      <c r="I281">
        <v>-4.0997189332222703</v>
      </c>
      <c r="J281">
        <v>0.58159585546658943</v>
      </c>
      <c r="K281">
        <v>2.5957844460596E-2</v>
      </c>
      <c r="L281">
        <v>-3.8649379018247582E-2</v>
      </c>
      <c r="M281" t="s">
        <v>27</v>
      </c>
      <c r="N281">
        <v>20</v>
      </c>
      <c r="O281" t="s">
        <v>26</v>
      </c>
      <c r="P281">
        <v>157280</v>
      </c>
      <c r="Q281">
        <v>383.74</v>
      </c>
      <c r="R281">
        <v>149.66</v>
      </c>
      <c r="S281">
        <v>-0.33320935452647282</v>
      </c>
      <c r="T281">
        <v>-7.2442758959323367E-3</v>
      </c>
      <c r="U281">
        <v>-2.3024919821853441E-2</v>
      </c>
      <c r="V281">
        <v>3.163610115077712E-3</v>
      </c>
      <c r="W281">
        <v>-2.6188529936931149E-2</v>
      </c>
    </row>
    <row r="282" spans="1:23" x14ac:dyDescent="0.25">
      <c r="A282">
        <v>34</v>
      </c>
      <c r="B282" t="s">
        <v>34</v>
      </c>
      <c r="C282" t="s">
        <v>30</v>
      </c>
      <c r="D282">
        <v>157482</v>
      </c>
      <c r="E282">
        <v>385.00000000000023</v>
      </c>
      <c r="F282">
        <v>152.14999999999989</v>
      </c>
      <c r="G282">
        <v>385.19250000000022</v>
      </c>
      <c r="H282">
        <v>152.07392499999989</v>
      </c>
      <c r="I282">
        <v>-3.5233692209427789</v>
      </c>
      <c r="J282">
        <v>0.58159585546658943</v>
      </c>
      <c r="K282">
        <v>2.5974025974025958E-2</v>
      </c>
      <c r="L282">
        <v>-3.8225163027708807E-2</v>
      </c>
      <c r="M282" t="s">
        <v>27</v>
      </c>
      <c r="N282">
        <v>6</v>
      </c>
      <c r="O282" t="s">
        <v>26</v>
      </c>
      <c r="P282">
        <v>157488</v>
      </c>
      <c r="Q282">
        <v>385.56500000000023</v>
      </c>
      <c r="R282">
        <v>152.09000000000009</v>
      </c>
      <c r="S282">
        <v>-0.47340445096142691</v>
      </c>
      <c r="T282">
        <v>1.6968834456982881E-2</v>
      </c>
      <c r="U282">
        <v>1.1466849948713359E-3</v>
      </c>
      <c r="V282">
        <v>3.163610115077712E-3</v>
      </c>
      <c r="W282">
        <v>-2.0169251202063758E-3</v>
      </c>
    </row>
    <row r="283" spans="1:23" x14ac:dyDescent="0.25">
      <c r="A283">
        <v>34</v>
      </c>
      <c r="B283" t="s">
        <v>34</v>
      </c>
      <c r="C283" t="s">
        <v>30</v>
      </c>
      <c r="D283">
        <v>158429</v>
      </c>
      <c r="E283">
        <v>395.57000000000011</v>
      </c>
      <c r="F283">
        <v>152.61500000000009</v>
      </c>
      <c r="G283">
        <v>395.3722150000001</v>
      </c>
      <c r="H283">
        <v>152.69130750000011</v>
      </c>
      <c r="I283">
        <v>4.6037000996824764</v>
      </c>
      <c r="J283">
        <v>0.58159585546658943</v>
      </c>
      <c r="K283">
        <v>-2.527997573122329E-2</v>
      </c>
      <c r="L283">
        <v>3.8108695440591631E-2</v>
      </c>
      <c r="M283" t="s">
        <v>25</v>
      </c>
      <c r="N283">
        <v>7</v>
      </c>
      <c r="O283" t="s">
        <v>26</v>
      </c>
      <c r="P283">
        <v>158436</v>
      </c>
      <c r="Q283">
        <v>392.31000000000012</v>
      </c>
      <c r="R283">
        <v>152.435</v>
      </c>
      <c r="S283">
        <v>-5.1244423538774793E-2</v>
      </c>
      <c r="T283">
        <v>7.5553155704477709E-2</v>
      </c>
      <c r="U283">
        <v>5.9781833292846337E-2</v>
      </c>
      <c r="V283">
        <v>3.1627733067886459E-3</v>
      </c>
      <c r="W283">
        <v>5.6619059986057693E-2</v>
      </c>
    </row>
    <row r="284" spans="1:23" x14ac:dyDescent="0.25">
      <c r="A284">
        <v>34</v>
      </c>
      <c r="B284" t="s">
        <v>34</v>
      </c>
      <c r="C284" t="s">
        <v>30</v>
      </c>
      <c r="D284">
        <v>159395</v>
      </c>
      <c r="E284">
        <v>385.31999999999988</v>
      </c>
      <c r="F284">
        <v>149.50999999999991</v>
      </c>
      <c r="G284">
        <v>385.51265999999993</v>
      </c>
      <c r="H284">
        <v>149.43524500000001</v>
      </c>
      <c r="I284">
        <v>-4.225092257318968</v>
      </c>
      <c r="J284">
        <v>0.58159585546658943</v>
      </c>
      <c r="K284">
        <v>2.5952455102252681E-2</v>
      </c>
      <c r="L284">
        <v>-3.8900130791692168E-2</v>
      </c>
      <c r="M284" t="s">
        <v>27</v>
      </c>
      <c r="N284">
        <v>32</v>
      </c>
      <c r="O284" t="s">
        <v>26</v>
      </c>
      <c r="P284">
        <v>159427</v>
      </c>
      <c r="Q284">
        <v>384.9</v>
      </c>
      <c r="R284">
        <v>149.78</v>
      </c>
      <c r="S284">
        <v>0.14137442198185149</v>
      </c>
      <c r="T284">
        <v>-2.140306645670419E-2</v>
      </c>
      <c r="U284">
        <v>-3.7218826513452548E-2</v>
      </c>
      <c r="V284">
        <v>3.163610115077712E-3</v>
      </c>
      <c r="W284">
        <v>-4.038243662853027E-2</v>
      </c>
    </row>
    <row r="285" spans="1:23" x14ac:dyDescent="0.25">
      <c r="A285">
        <v>34</v>
      </c>
      <c r="B285" t="s">
        <v>34</v>
      </c>
      <c r="C285" t="s">
        <v>30</v>
      </c>
      <c r="D285">
        <v>159475</v>
      </c>
      <c r="E285">
        <v>384.30499999999989</v>
      </c>
      <c r="F285">
        <v>149.53</v>
      </c>
      <c r="G285">
        <v>384.49715249999991</v>
      </c>
      <c r="H285">
        <v>149.45523499999999</v>
      </c>
      <c r="I285">
        <v>-3.9829591952909329</v>
      </c>
      <c r="J285">
        <v>0.58159585546658943</v>
      </c>
      <c r="K285">
        <v>2.6020998946149551E-2</v>
      </c>
      <c r="L285">
        <v>-3.8894927804894619E-2</v>
      </c>
      <c r="M285" t="s">
        <v>27</v>
      </c>
      <c r="N285">
        <v>6</v>
      </c>
      <c r="O285" t="s">
        <v>26</v>
      </c>
      <c r="P285">
        <v>159481</v>
      </c>
      <c r="Q285">
        <v>384.30499999999989</v>
      </c>
      <c r="R285">
        <v>149.30000000000001</v>
      </c>
      <c r="S285">
        <v>-0.20453080225137479</v>
      </c>
      <c r="T285">
        <v>8.94583339512868E-3</v>
      </c>
      <c r="U285">
        <v>-6.86565224283682E-3</v>
      </c>
      <c r="V285">
        <v>3.163610115077712E-3</v>
      </c>
      <c r="W285">
        <v>-1.002926235791453E-2</v>
      </c>
    </row>
    <row r="286" spans="1:23" x14ac:dyDescent="0.25">
      <c r="A286">
        <v>34</v>
      </c>
      <c r="B286" t="s">
        <v>34</v>
      </c>
      <c r="C286" t="s">
        <v>30</v>
      </c>
      <c r="D286">
        <v>159989</v>
      </c>
      <c r="E286">
        <v>387.26999999999992</v>
      </c>
      <c r="F286">
        <v>150.08000000000001</v>
      </c>
      <c r="G286">
        <v>387.46363499999978</v>
      </c>
      <c r="H286">
        <v>150.00496000000001</v>
      </c>
      <c r="I286">
        <v>-4.2166868934655</v>
      </c>
      <c r="J286">
        <v>0.58159585546658943</v>
      </c>
      <c r="K286">
        <v>2.5821778087639129E-2</v>
      </c>
      <c r="L286">
        <v>-3.8752389090257827E-2</v>
      </c>
      <c r="M286" t="s">
        <v>27</v>
      </c>
      <c r="N286">
        <v>13</v>
      </c>
      <c r="O286" t="s">
        <v>26</v>
      </c>
      <c r="P286">
        <v>160002</v>
      </c>
      <c r="Q286">
        <v>387.64999999999992</v>
      </c>
      <c r="R286">
        <v>149.97999999999999</v>
      </c>
      <c r="S286">
        <v>-0.35579353863065971</v>
      </c>
      <c r="T286">
        <v>1.368751458232942E-2</v>
      </c>
      <c r="U286">
        <v>-2.1314124907174901E-3</v>
      </c>
      <c r="V286">
        <v>3.163610115077712E-3</v>
      </c>
      <c r="W286">
        <v>-5.2950226057952021E-3</v>
      </c>
    </row>
    <row r="287" spans="1:23" x14ac:dyDescent="0.25">
      <c r="A287">
        <v>34</v>
      </c>
      <c r="B287" t="s">
        <v>34</v>
      </c>
      <c r="C287" t="s">
        <v>30</v>
      </c>
      <c r="D287">
        <v>160061</v>
      </c>
      <c r="E287">
        <v>389.55</v>
      </c>
      <c r="F287">
        <v>150.80500000000001</v>
      </c>
      <c r="G287">
        <v>389.35522500000002</v>
      </c>
      <c r="H287">
        <v>150.8804025</v>
      </c>
      <c r="I287">
        <v>3.9239264250377879</v>
      </c>
      <c r="J287">
        <v>0.58159585546658943</v>
      </c>
      <c r="K287">
        <v>-2.5670645616737261E-2</v>
      </c>
      <c r="L287">
        <v>3.8566085704491847E-2</v>
      </c>
      <c r="M287" t="s">
        <v>25</v>
      </c>
      <c r="N287">
        <v>26</v>
      </c>
      <c r="O287" t="s">
        <v>26</v>
      </c>
      <c r="P287">
        <v>160087</v>
      </c>
      <c r="Q287">
        <v>390.39999999999981</v>
      </c>
      <c r="R287">
        <v>151.065</v>
      </c>
      <c r="S287">
        <v>0.3760487037349623</v>
      </c>
      <c r="T287">
        <v>-1.1792866491053889E-2</v>
      </c>
      <c r="U287">
        <v>-2.762474866124735E-2</v>
      </c>
      <c r="V287">
        <v>3.1627733067886459E-3</v>
      </c>
      <c r="W287">
        <v>-3.0787521968036E-2</v>
      </c>
    </row>
    <row r="288" spans="1:23" x14ac:dyDescent="0.25">
      <c r="A288">
        <v>34</v>
      </c>
      <c r="B288" t="s">
        <v>34</v>
      </c>
      <c r="C288" t="s">
        <v>30</v>
      </c>
      <c r="D288">
        <v>160107</v>
      </c>
      <c r="E288">
        <v>389.30500000000012</v>
      </c>
      <c r="F288">
        <v>151.26499999999999</v>
      </c>
      <c r="G288">
        <v>389.49965250000002</v>
      </c>
      <c r="H288">
        <v>151.1893675</v>
      </c>
      <c r="I288">
        <v>-4.2631483281095193</v>
      </c>
      <c r="J288">
        <v>0.58159585546658943</v>
      </c>
      <c r="K288">
        <v>2.5686800837389698E-2</v>
      </c>
      <c r="L288">
        <v>-3.8448805438573978E-2</v>
      </c>
      <c r="M288" t="s">
        <v>27</v>
      </c>
      <c r="N288">
        <v>12</v>
      </c>
      <c r="O288" t="s">
        <v>26</v>
      </c>
      <c r="P288">
        <v>160119</v>
      </c>
      <c r="Q288">
        <v>389.62</v>
      </c>
      <c r="R288">
        <v>151.12000000000009</v>
      </c>
      <c r="S288">
        <v>-0.49697863354713889</v>
      </c>
      <c r="T288">
        <v>1.366641905236767E-2</v>
      </c>
      <c r="U288">
        <v>-2.1507976350330161E-3</v>
      </c>
      <c r="V288">
        <v>3.163610115077712E-3</v>
      </c>
      <c r="W288">
        <v>-5.314407750110728E-3</v>
      </c>
    </row>
    <row r="289" spans="1:23" x14ac:dyDescent="0.25">
      <c r="A289">
        <v>34</v>
      </c>
      <c r="B289" t="s">
        <v>34</v>
      </c>
      <c r="C289" t="s">
        <v>30</v>
      </c>
      <c r="D289">
        <v>160196</v>
      </c>
      <c r="E289">
        <v>388.73</v>
      </c>
      <c r="F289">
        <v>151.15000000000009</v>
      </c>
      <c r="G289">
        <v>388.92436500000002</v>
      </c>
      <c r="H289">
        <v>151.0744250000001</v>
      </c>
      <c r="I289">
        <v>-3.61214477155634</v>
      </c>
      <c r="J289">
        <v>0.58159585546658943</v>
      </c>
      <c r="K289">
        <v>2.572479613099066E-2</v>
      </c>
      <c r="L289">
        <v>-3.8478058581977448E-2</v>
      </c>
      <c r="M289" t="s">
        <v>27</v>
      </c>
      <c r="N289">
        <v>11</v>
      </c>
      <c r="O289" t="s">
        <v>26</v>
      </c>
      <c r="P289">
        <v>160207</v>
      </c>
      <c r="Q289">
        <v>388.73</v>
      </c>
      <c r="R289">
        <v>150.90999999999991</v>
      </c>
      <c r="S289">
        <v>-0.19665503600177689</v>
      </c>
      <c r="T289">
        <v>9.2347340596793115E-3</v>
      </c>
      <c r="U289">
        <v>-6.5766071279566634E-3</v>
      </c>
      <c r="V289">
        <v>3.163610115077712E-3</v>
      </c>
      <c r="W289">
        <v>-9.7402172430343745E-3</v>
      </c>
    </row>
    <row r="290" spans="1:23" x14ac:dyDescent="0.25">
      <c r="A290">
        <v>34</v>
      </c>
      <c r="B290" t="s">
        <v>34</v>
      </c>
      <c r="C290" t="s">
        <v>30</v>
      </c>
      <c r="D290">
        <v>160260</v>
      </c>
      <c r="E290">
        <v>389.85000000000008</v>
      </c>
      <c r="F290">
        <v>151.31</v>
      </c>
      <c r="G290">
        <v>389.65507500000012</v>
      </c>
      <c r="H290">
        <v>151.38565500000001</v>
      </c>
      <c r="I290">
        <v>5.0228363649228163</v>
      </c>
      <c r="J290">
        <v>0.58159585546658943</v>
      </c>
      <c r="K290">
        <v>-2.5650891368475051E-2</v>
      </c>
      <c r="L290">
        <v>3.8437370660669448E-2</v>
      </c>
      <c r="M290" t="s">
        <v>25</v>
      </c>
      <c r="N290">
        <v>16</v>
      </c>
      <c r="O290" t="s">
        <v>26</v>
      </c>
      <c r="P290">
        <v>160276</v>
      </c>
      <c r="Q290">
        <v>389.41</v>
      </c>
      <c r="R290">
        <v>151.61999999999989</v>
      </c>
      <c r="S290">
        <v>-0.37106751541590688</v>
      </c>
      <c r="T290">
        <v>2.3201977106935851E-2</v>
      </c>
      <c r="U290">
        <v>7.3857039559208229E-3</v>
      </c>
      <c r="V290">
        <v>3.1627733067886459E-3</v>
      </c>
      <c r="W290">
        <v>4.2229306491321766E-3</v>
      </c>
    </row>
    <row r="291" spans="1:23" x14ac:dyDescent="0.25">
      <c r="A291">
        <v>34</v>
      </c>
      <c r="B291" t="s">
        <v>34</v>
      </c>
      <c r="C291" t="s">
        <v>30</v>
      </c>
      <c r="D291">
        <v>160297</v>
      </c>
      <c r="E291">
        <v>392.49000000000012</v>
      </c>
      <c r="F291">
        <v>151.69999999999999</v>
      </c>
      <c r="G291">
        <v>392.29375500000009</v>
      </c>
      <c r="H291">
        <v>151.77584999999999</v>
      </c>
      <c r="I291">
        <v>3.5417786055784548</v>
      </c>
      <c r="J291">
        <v>0.58159585546658943</v>
      </c>
      <c r="K291">
        <v>-2.5478356136462071E-2</v>
      </c>
      <c r="L291">
        <v>3.8338553425615637E-2</v>
      </c>
      <c r="M291" t="s">
        <v>25</v>
      </c>
      <c r="N291">
        <v>13</v>
      </c>
      <c r="O291" t="s">
        <v>26</v>
      </c>
      <c r="P291">
        <v>160310</v>
      </c>
      <c r="Q291">
        <v>393.08000000000021</v>
      </c>
      <c r="R291">
        <v>152.66499999999999</v>
      </c>
      <c r="S291">
        <v>0.17031730429371811</v>
      </c>
      <c r="T291">
        <v>2.1964473935203611E-2</v>
      </c>
      <c r="U291">
        <v>6.1225009134517026E-3</v>
      </c>
      <c r="V291">
        <v>3.1627733067886459E-3</v>
      </c>
      <c r="W291">
        <v>2.9597276066630571E-3</v>
      </c>
    </row>
    <row r="292" spans="1:23" x14ac:dyDescent="0.25">
      <c r="A292">
        <v>34</v>
      </c>
      <c r="B292" t="s">
        <v>34</v>
      </c>
      <c r="C292" t="s">
        <v>30</v>
      </c>
      <c r="D292">
        <v>160379</v>
      </c>
      <c r="E292">
        <v>400.15000000000009</v>
      </c>
      <c r="F292">
        <v>154.72</v>
      </c>
      <c r="G292">
        <v>399.94992500000012</v>
      </c>
      <c r="H292">
        <v>154.79736</v>
      </c>
      <c r="I292">
        <v>4.0341588560761279</v>
      </c>
      <c r="J292">
        <v>0.58159585546658943</v>
      </c>
      <c r="K292">
        <v>-2.4990628514307129E-2</v>
      </c>
      <c r="L292">
        <v>3.7590218166144607E-2</v>
      </c>
      <c r="M292" t="s">
        <v>25</v>
      </c>
      <c r="N292">
        <v>19</v>
      </c>
      <c r="O292" t="s">
        <v>26</v>
      </c>
      <c r="P292">
        <v>160398</v>
      </c>
      <c r="Q292">
        <v>405.49000000000012</v>
      </c>
      <c r="R292">
        <v>157.06999999999991</v>
      </c>
      <c r="S292">
        <v>0.24963588533991479</v>
      </c>
      <c r="T292">
        <v>-4.5112943575960879E-2</v>
      </c>
      <c r="U292">
        <v>-6.1039795615103767E-2</v>
      </c>
      <c r="V292">
        <v>3.1627733067886459E-3</v>
      </c>
      <c r="W292">
        <v>-6.4202568921892411E-2</v>
      </c>
    </row>
    <row r="293" spans="1:23" x14ac:dyDescent="0.25">
      <c r="A293">
        <v>34</v>
      </c>
      <c r="B293" t="s">
        <v>34</v>
      </c>
      <c r="C293" t="s">
        <v>30</v>
      </c>
      <c r="D293">
        <v>160472</v>
      </c>
      <c r="E293">
        <v>409.61000000000013</v>
      </c>
      <c r="F293">
        <v>156.78000000000009</v>
      </c>
      <c r="G293">
        <v>409.81480500000009</v>
      </c>
      <c r="H293">
        <v>156.7016100000001</v>
      </c>
      <c r="I293">
        <v>-3.83659409318365</v>
      </c>
      <c r="J293">
        <v>0.58159585546658943</v>
      </c>
      <c r="K293">
        <v>2.44134664681038E-2</v>
      </c>
      <c r="L293">
        <v>-3.7096304086400633E-2</v>
      </c>
      <c r="M293" t="s">
        <v>27</v>
      </c>
      <c r="N293">
        <v>15</v>
      </c>
      <c r="O293" t="s">
        <v>26</v>
      </c>
      <c r="P293">
        <v>160487</v>
      </c>
      <c r="Q293">
        <v>410.99500000000018</v>
      </c>
      <c r="R293">
        <v>157.06999999999991</v>
      </c>
      <c r="S293">
        <v>-5.5482530095898397E-3</v>
      </c>
      <c r="T293">
        <v>2.3054722873273259E-2</v>
      </c>
      <c r="U293">
        <v>7.2164790289880737E-3</v>
      </c>
      <c r="V293">
        <v>3.163610115077712E-3</v>
      </c>
      <c r="W293">
        <v>4.0528689139103617E-3</v>
      </c>
    </row>
    <row r="294" spans="1:23" x14ac:dyDescent="0.25">
      <c r="A294">
        <v>35</v>
      </c>
      <c r="B294" t="s">
        <v>34</v>
      </c>
      <c r="C294" t="s">
        <v>30</v>
      </c>
      <c r="D294">
        <v>160501</v>
      </c>
      <c r="E294">
        <v>410.7700000000001</v>
      </c>
      <c r="F294">
        <v>156.88999999999999</v>
      </c>
      <c r="G294">
        <v>410.56461500000012</v>
      </c>
      <c r="H294">
        <v>156.96844499999989</v>
      </c>
      <c r="I294">
        <v>5.2946466704192723</v>
      </c>
      <c r="J294">
        <v>7.2273891317512148E-2</v>
      </c>
      <c r="K294">
        <v>-2.434452369939382E-2</v>
      </c>
      <c r="L294">
        <v>4.6066601642878562E-3</v>
      </c>
      <c r="M294" t="s">
        <v>25</v>
      </c>
      <c r="N294">
        <v>23</v>
      </c>
      <c r="O294" t="s">
        <v>26</v>
      </c>
      <c r="P294">
        <v>160524</v>
      </c>
      <c r="Q294">
        <v>412.78</v>
      </c>
      <c r="R294">
        <v>157.1450000000001</v>
      </c>
      <c r="S294">
        <v>0.49461127621804912</v>
      </c>
      <c r="T294">
        <v>-4.775779429388468E-2</v>
      </c>
      <c r="U294">
        <v>-5.8505586802547929E-2</v>
      </c>
      <c r="V294">
        <v>2.1436200565263419E-3</v>
      </c>
      <c r="W294">
        <v>-6.0649206859074267E-2</v>
      </c>
    </row>
    <row r="295" spans="1:23" x14ac:dyDescent="0.25">
      <c r="A295">
        <v>35</v>
      </c>
      <c r="B295" t="s">
        <v>34</v>
      </c>
      <c r="C295" t="s">
        <v>30</v>
      </c>
      <c r="D295">
        <v>160769</v>
      </c>
      <c r="E295">
        <v>415.69999999999987</v>
      </c>
      <c r="F295">
        <v>157.86000000000001</v>
      </c>
      <c r="G295">
        <v>415.49214999999998</v>
      </c>
      <c r="H295">
        <v>157.93893</v>
      </c>
      <c r="I295">
        <v>4.3935828912812616</v>
      </c>
      <c r="J295">
        <v>7.2273891317512148E-2</v>
      </c>
      <c r="K295">
        <v>-2.4055809477988941E-2</v>
      </c>
      <c r="L295">
        <v>4.578353687920444E-3</v>
      </c>
      <c r="M295" t="s">
        <v>25</v>
      </c>
      <c r="N295">
        <v>3</v>
      </c>
      <c r="O295" t="s">
        <v>26</v>
      </c>
      <c r="P295">
        <v>160772</v>
      </c>
      <c r="Q295">
        <v>413.80000000000018</v>
      </c>
      <c r="R295">
        <v>157.86000000000001</v>
      </c>
      <c r="S295">
        <v>0.35787766872587712</v>
      </c>
      <c r="T295">
        <v>4.5706038008172967E-2</v>
      </c>
      <c r="U295">
        <v>3.5006152114004173E-2</v>
      </c>
      <c r="V295">
        <v>2.1436200565263419E-3</v>
      </c>
      <c r="W295">
        <v>3.2862532057477821E-2</v>
      </c>
    </row>
    <row r="296" spans="1:23" x14ac:dyDescent="0.25">
      <c r="A296">
        <v>35</v>
      </c>
      <c r="B296" t="s">
        <v>34</v>
      </c>
      <c r="C296" t="s">
        <v>30</v>
      </c>
      <c r="D296">
        <v>160931</v>
      </c>
      <c r="E296">
        <v>407.69999999999987</v>
      </c>
      <c r="F296">
        <v>156.38</v>
      </c>
      <c r="G296">
        <v>407.90384999999992</v>
      </c>
      <c r="H296">
        <v>156.30180999999999</v>
      </c>
      <c r="I296">
        <v>-3.6696559092432279</v>
      </c>
      <c r="J296">
        <v>7.2273891317512148E-2</v>
      </c>
      <c r="K296">
        <v>2.452783909737553E-2</v>
      </c>
      <c r="L296">
        <v>-4.6216838033963517E-3</v>
      </c>
      <c r="M296" t="s">
        <v>27</v>
      </c>
      <c r="N296">
        <v>17</v>
      </c>
      <c r="O296" t="s">
        <v>26</v>
      </c>
      <c r="P296">
        <v>160948</v>
      </c>
      <c r="Q296">
        <v>407.67000000000007</v>
      </c>
      <c r="R296">
        <v>156.28999999999991</v>
      </c>
      <c r="S296">
        <v>-0.46421087903906189</v>
      </c>
      <c r="T296">
        <v>-3.1988363061046372E-4</v>
      </c>
      <c r="U296">
        <v>-1.104204665042674E-2</v>
      </c>
      <c r="V296">
        <v>2.1454755087437069E-3</v>
      </c>
      <c r="W296">
        <v>-1.318752215917045E-2</v>
      </c>
    </row>
    <row r="297" spans="1:23" x14ac:dyDescent="0.25">
      <c r="A297">
        <v>35</v>
      </c>
      <c r="B297" t="s">
        <v>34</v>
      </c>
      <c r="C297" t="s">
        <v>30</v>
      </c>
      <c r="D297">
        <v>161166</v>
      </c>
      <c r="E297">
        <v>409.58499999999992</v>
      </c>
      <c r="F297">
        <v>156.65</v>
      </c>
      <c r="G297">
        <v>409.38020749999993</v>
      </c>
      <c r="H297">
        <v>156.72832500000001</v>
      </c>
      <c r="I297">
        <v>3.7154005454770349</v>
      </c>
      <c r="J297">
        <v>7.2273891317512148E-2</v>
      </c>
      <c r="K297">
        <v>-2.4414956602414651E-2</v>
      </c>
      <c r="L297">
        <v>4.6137179264291199E-3</v>
      </c>
      <c r="M297" t="s">
        <v>25</v>
      </c>
      <c r="N297">
        <v>15</v>
      </c>
      <c r="O297" t="s">
        <v>26</v>
      </c>
      <c r="P297">
        <v>161181</v>
      </c>
      <c r="Q297">
        <v>408.27</v>
      </c>
      <c r="R297">
        <v>156.49999999999989</v>
      </c>
      <c r="S297">
        <v>0.2164440305188611</v>
      </c>
      <c r="T297">
        <v>3.1413610243206512E-2</v>
      </c>
      <c r="U297">
        <v>2.0707270192843359E-2</v>
      </c>
      <c r="V297">
        <v>2.1436200565263419E-3</v>
      </c>
      <c r="W297">
        <v>1.8563650136317011E-2</v>
      </c>
    </row>
    <row r="298" spans="1:23" x14ac:dyDescent="0.25">
      <c r="A298">
        <v>35</v>
      </c>
      <c r="B298" t="s">
        <v>34</v>
      </c>
      <c r="C298" t="s">
        <v>30</v>
      </c>
      <c r="D298">
        <v>161279</v>
      </c>
      <c r="E298">
        <v>406.75999999999982</v>
      </c>
      <c r="F298">
        <v>156.05000000000001</v>
      </c>
      <c r="G298">
        <v>406.9633799999998</v>
      </c>
      <c r="H298">
        <v>155.97197499999999</v>
      </c>
      <c r="I298">
        <v>-3.9778776200886479</v>
      </c>
      <c r="J298">
        <v>7.2273891317512148E-2</v>
      </c>
      <c r="K298">
        <v>2.4584521585209958E-2</v>
      </c>
      <c r="L298">
        <v>-4.6314573096771644E-3</v>
      </c>
      <c r="M298" t="s">
        <v>27</v>
      </c>
      <c r="N298">
        <v>12</v>
      </c>
      <c r="O298" t="s">
        <v>26</v>
      </c>
      <c r="P298">
        <v>161291</v>
      </c>
      <c r="Q298">
        <v>406.87000000000012</v>
      </c>
      <c r="R298">
        <v>155.85</v>
      </c>
      <c r="S298">
        <v>-0.30566201749030503</v>
      </c>
      <c r="T298">
        <v>3.6305888363145329E-3</v>
      </c>
      <c r="U298">
        <v>-7.0930390798152349E-3</v>
      </c>
      <c r="V298">
        <v>2.145475508743706E-3</v>
      </c>
      <c r="W298">
        <v>-9.2385145885589409E-3</v>
      </c>
    </row>
    <row r="299" spans="1:23" x14ac:dyDescent="0.25">
      <c r="A299">
        <v>35</v>
      </c>
      <c r="B299" t="s">
        <v>34</v>
      </c>
      <c r="C299" t="s">
        <v>30</v>
      </c>
      <c r="D299">
        <v>161329</v>
      </c>
      <c r="E299">
        <v>405.43999999999983</v>
      </c>
      <c r="F299">
        <v>155.51</v>
      </c>
      <c r="G299">
        <v>405.64271999999983</v>
      </c>
      <c r="H299">
        <v>155.43224499999999</v>
      </c>
      <c r="I299">
        <v>-4.4671003502865112</v>
      </c>
      <c r="J299">
        <v>7.2273891317512148E-2</v>
      </c>
      <c r="K299">
        <v>2.4664561957379649E-2</v>
      </c>
      <c r="L299">
        <v>-4.6475397927793821E-3</v>
      </c>
      <c r="M299" t="s">
        <v>27</v>
      </c>
      <c r="N299">
        <v>40</v>
      </c>
      <c r="O299" t="s">
        <v>26</v>
      </c>
      <c r="P299">
        <v>161369</v>
      </c>
      <c r="Q299">
        <v>404.85000000000008</v>
      </c>
      <c r="R299">
        <v>155.3000000000001</v>
      </c>
      <c r="S299">
        <v>-0.48372207468026379</v>
      </c>
      <c r="T299">
        <v>-1.357610819836459E-2</v>
      </c>
      <c r="U299">
        <v>-2.429108307408416E-2</v>
      </c>
      <c r="V299">
        <v>2.145475508743706E-3</v>
      </c>
      <c r="W299">
        <v>-2.6436558582827872E-2</v>
      </c>
    </row>
    <row r="300" spans="1:23" x14ac:dyDescent="0.25">
      <c r="A300">
        <v>35</v>
      </c>
      <c r="B300" t="s">
        <v>34</v>
      </c>
      <c r="C300" t="s">
        <v>30</v>
      </c>
      <c r="D300">
        <v>161441</v>
      </c>
      <c r="E300">
        <v>404.9799999999999</v>
      </c>
      <c r="F300">
        <v>154.97999999999999</v>
      </c>
      <c r="G300">
        <v>404.77750999999989</v>
      </c>
      <c r="H300">
        <v>155.05749</v>
      </c>
      <c r="I300">
        <v>3.5014542439416072</v>
      </c>
      <c r="J300">
        <v>7.2273891317512148E-2</v>
      </c>
      <c r="K300">
        <v>-2.4692577411230189E-2</v>
      </c>
      <c r="L300">
        <v>4.6634334312499774E-3</v>
      </c>
      <c r="M300" t="s">
        <v>25</v>
      </c>
      <c r="N300">
        <v>29</v>
      </c>
      <c r="O300" t="s">
        <v>26</v>
      </c>
      <c r="P300">
        <v>161470</v>
      </c>
      <c r="Q300">
        <v>405.56999999999982</v>
      </c>
      <c r="R300">
        <v>155.25</v>
      </c>
      <c r="S300">
        <v>0.47532368275594289</v>
      </c>
      <c r="T300">
        <v>-1.3309493646186381E-2</v>
      </c>
      <c r="U300">
        <v>-2.40401464332099E-2</v>
      </c>
      <c r="V300">
        <v>2.1436200565263419E-3</v>
      </c>
      <c r="W300">
        <v>-2.6183766489736249E-2</v>
      </c>
    </row>
    <row r="301" spans="1:23" x14ac:dyDescent="0.25">
      <c r="A301">
        <v>35</v>
      </c>
      <c r="B301" t="s">
        <v>34</v>
      </c>
      <c r="C301" t="s">
        <v>30</v>
      </c>
      <c r="D301">
        <v>161485</v>
      </c>
      <c r="E301">
        <v>406.64000000000021</v>
      </c>
      <c r="F301">
        <v>155.05999999999989</v>
      </c>
      <c r="G301">
        <v>406.43668000000019</v>
      </c>
      <c r="H301">
        <v>155.13752999999991</v>
      </c>
      <c r="I301">
        <v>5.2151328050480528</v>
      </c>
      <c r="J301">
        <v>7.2273891317512148E-2</v>
      </c>
      <c r="K301">
        <v>-2.4591776509935069E-2</v>
      </c>
      <c r="L301">
        <v>4.6610274292217318E-3</v>
      </c>
      <c r="M301" t="s">
        <v>25</v>
      </c>
      <c r="N301">
        <v>8</v>
      </c>
      <c r="O301" t="s">
        <v>26</v>
      </c>
      <c r="P301">
        <v>161493</v>
      </c>
      <c r="Q301">
        <v>406.01000000000022</v>
      </c>
      <c r="R301">
        <v>154.9550000000001</v>
      </c>
      <c r="S301">
        <v>0.45352948222866402</v>
      </c>
      <c r="T301">
        <v>1.500341132119128E-2</v>
      </c>
      <c r="U301">
        <v>4.2886635215587674E-3</v>
      </c>
      <c r="V301">
        <v>2.1436200565263419E-3</v>
      </c>
      <c r="W301">
        <v>2.145043465032425E-3</v>
      </c>
    </row>
    <row r="302" spans="1:23" x14ac:dyDescent="0.25">
      <c r="A302">
        <v>35</v>
      </c>
      <c r="B302" t="s">
        <v>34</v>
      </c>
      <c r="C302" t="s">
        <v>30</v>
      </c>
      <c r="D302">
        <v>161653</v>
      </c>
      <c r="E302">
        <v>407.26999999999992</v>
      </c>
      <c r="F302">
        <v>155.4</v>
      </c>
      <c r="G302">
        <v>407.47363499999977</v>
      </c>
      <c r="H302">
        <v>155.32230000000001</v>
      </c>
      <c r="I302">
        <v>-4.0133143898331118</v>
      </c>
      <c r="J302">
        <v>7.2273891317512148E-2</v>
      </c>
      <c r="K302">
        <v>2.4553735850909721E-2</v>
      </c>
      <c r="L302">
        <v>-4.650829557111465E-3</v>
      </c>
      <c r="M302" t="s">
        <v>27</v>
      </c>
      <c r="N302">
        <v>25</v>
      </c>
      <c r="O302" t="s">
        <v>26</v>
      </c>
      <c r="P302">
        <v>161678</v>
      </c>
      <c r="Q302">
        <v>406.8</v>
      </c>
      <c r="R302">
        <v>154.97999999999999</v>
      </c>
      <c r="S302">
        <v>-0.4844212059746924</v>
      </c>
      <c r="T302">
        <v>-9.5869074359386918E-3</v>
      </c>
      <c r="U302">
        <v>-2.030289954698054E-2</v>
      </c>
      <c r="V302">
        <v>2.145475508743706E-3</v>
      </c>
      <c r="W302">
        <v>-2.2448375055724251E-2</v>
      </c>
    </row>
    <row r="303" spans="1:23" x14ac:dyDescent="0.25">
      <c r="A303">
        <v>35</v>
      </c>
      <c r="B303" t="s">
        <v>34</v>
      </c>
      <c r="C303" t="s">
        <v>30</v>
      </c>
      <c r="D303">
        <v>161689</v>
      </c>
      <c r="E303">
        <v>407.36999999999989</v>
      </c>
      <c r="F303">
        <v>154.99</v>
      </c>
      <c r="G303">
        <v>407.16631499999988</v>
      </c>
      <c r="H303">
        <v>155.06749500000001</v>
      </c>
      <c r="I303">
        <v>3.9133501227622838</v>
      </c>
      <c r="J303">
        <v>7.2273891317512148E-2</v>
      </c>
      <c r="K303">
        <v>-2.4547708471414201E-2</v>
      </c>
      <c r="L303">
        <v>4.6631325451649873E-3</v>
      </c>
      <c r="M303" t="s">
        <v>25</v>
      </c>
      <c r="N303">
        <v>16</v>
      </c>
      <c r="O303" t="s">
        <v>26</v>
      </c>
      <c r="P303">
        <v>161705</v>
      </c>
      <c r="Q303">
        <v>407.45499999999981</v>
      </c>
      <c r="R303">
        <v>154.99</v>
      </c>
      <c r="S303">
        <v>0.31454914533182338</v>
      </c>
      <c r="T303">
        <v>-2.086555220068309E-3</v>
      </c>
      <c r="U303">
        <v>-1.2810337410851179E-2</v>
      </c>
      <c r="V303">
        <v>2.1436200565263419E-3</v>
      </c>
      <c r="W303">
        <v>-1.4953957467377521E-2</v>
      </c>
    </row>
    <row r="304" spans="1:23" x14ac:dyDescent="0.25">
      <c r="A304">
        <v>35</v>
      </c>
      <c r="B304" t="s">
        <v>34</v>
      </c>
      <c r="C304" t="s">
        <v>30</v>
      </c>
      <c r="D304">
        <v>161908</v>
      </c>
      <c r="E304">
        <v>406.99499999999989</v>
      </c>
      <c r="F304">
        <v>155.26</v>
      </c>
      <c r="G304">
        <v>407.19849749999992</v>
      </c>
      <c r="H304">
        <v>155.18236999999999</v>
      </c>
      <c r="I304">
        <v>-3.558062477956025</v>
      </c>
      <c r="J304">
        <v>7.2273891317512148E-2</v>
      </c>
      <c r="K304">
        <v>2.4570326416786449E-2</v>
      </c>
      <c r="L304">
        <v>-4.6550232717707156E-3</v>
      </c>
      <c r="M304" t="s">
        <v>27</v>
      </c>
      <c r="N304">
        <v>13</v>
      </c>
      <c r="O304" t="s">
        <v>26</v>
      </c>
      <c r="P304">
        <v>161921</v>
      </c>
      <c r="Q304">
        <v>407.40499999999992</v>
      </c>
      <c r="R304">
        <v>155.155</v>
      </c>
      <c r="S304">
        <v>-0.12640269345815319</v>
      </c>
      <c r="T304">
        <v>1.056261127441754E-2</v>
      </c>
      <c r="U304">
        <v>-1.649201669495347E-4</v>
      </c>
      <c r="V304">
        <v>2.145475508743706E-3</v>
      </c>
      <c r="W304">
        <v>-2.3103956756932412E-3</v>
      </c>
    </row>
    <row r="305" spans="1:23" x14ac:dyDescent="0.25">
      <c r="A305">
        <v>35</v>
      </c>
      <c r="B305" t="s">
        <v>34</v>
      </c>
      <c r="C305" t="s">
        <v>30</v>
      </c>
      <c r="D305">
        <v>161939</v>
      </c>
      <c r="E305">
        <v>409.17999999999989</v>
      </c>
      <c r="F305">
        <v>155.0200000000001</v>
      </c>
      <c r="G305">
        <v>408.97541000000001</v>
      </c>
      <c r="H305">
        <v>155.09751000000011</v>
      </c>
      <c r="I305">
        <v>4.2931812466388948</v>
      </c>
      <c r="J305">
        <v>7.2273891317512148E-2</v>
      </c>
      <c r="K305">
        <v>-2.4439122146732491E-2</v>
      </c>
      <c r="L305">
        <v>4.6622301198240308E-3</v>
      </c>
      <c r="M305" t="s">
        <v>25</v>
      </c>
      <c r="N305">
        <v>16</v>
      </c>
      <c r="O305" t="s">
        <v>26</v>
      </c>
      <c r="P305">
        <v>161955</v>
      </c>
      <c r="Q305">
        <v>409.68000000000018</v>
      </c>
      <c r="R305">
        <v>156.91</v>
      </c>
      <c r="S305">
        <v>0.45493153794726199</v>
      </c>
      <c r="T305">
        <v>-3.4079461469045812E-3</v>
      </c>
      <c r="U305">
        <v>-1.4141200648079191E-2</v>
      </c>
      <c r="V305">
        <v>2.1436200565263411E-3</v>
      </c>
      <c r="W305">
        <v>-1.6284820704605529E-2</v>
      </c>
    </row>
    <row r="306" spans="1:23" x14ac:dyDescent="0.25">
      <c r="A306">
        <v>35</v>
      </c>
      <c r="B306" t="s">
        <v>34</v>
      </c>
      <c r="C306" t="s">
        <v>30</v>
      </c>
      <c r="D306">
        <v>162117</v>
      </c>
      <c r="E306">
        <v>410.09999999999991</v>
      </c>
      <c r="F306">
        <v>156.13999999999999</v>
      </c>
      <c r="G306">
        <v>409.89494999999988</v>
      </c>
      <c r="H306">
        <v>156.21807000000001</v>
      </c>
      <c r="I306">
        <v>3.5905340540575281</v>
      </c>
      <c r="J306">
        <v>7.2273891317512148E-2</v>
      </c>
      <c r="K306">
        <v>-2.4384296513045609E-2</v>
      </c>
      <c r="L306">
        <v>4.6287877108692286E-3</v>
      </c>
      <c r="M306" t="s">
        <v>25</v>
      </c>
      <c r="N306">
        <v>22</v>
      </c>
      <c r="O306" t="s">
        <v>26</v>
      </c>
      <c r="P306">
        <v>162139</v>
      </c>
      <c r="Q306">
        <v>410.09999999999991</v>
      </c>
      <c r="R306">
        <v>156.55000000000001</v>
      </c>
      <c r="S306">
        <v>0.45907683923106718</v>
      </c>
      <c r="T306">
        <v>1.897802961456237E-3</v>
      </c>
      <c r="U306">
        <v>-8.8258848531981692E-3</v>
      </c>
      <c r="V306">
        <v>2.1436200565263411E-3</v>
      </c>
      <c r="W306">
        <v>-1.0969504909724511E-2</v>
      </c>
    </row>
    <row r="307" spans="1:23" x14ac:dyDescent="0.25">
      <c r="A307">
        <v>35</v>
      </c>
      <c r="B307" t="s">
        <v>34</v>
      </c>
      <c r="C307" t="s">
        <v>30</v>
      </c>
      <c r="D307">
        <v>162228</v>
      </c>
      <c r="E307">
        <v>411.28999999999991</v>
      </c>
      <c r="F307">
        <v>157.56500000000011</v>
      </c>
      <c r="G307">
        <v>411.0843549999999</v>
      </c>
      <c r="H307">
        <v>157.64378249999999</v>
      </c>
      <c r="I307">
        <v>5.0211908305377557</v>
      </c>
      <c r="J307">
        <v>7.2273891317512148E-2</v>
      </c>
      <c r="K307">
        <v>-2.431374455979966E-2</v>
      </c>
      <c r="L307">
        <v>4.5869254794854266E-3</v>
      </c>
      <c r="M307" t="s">
        <v>25</v>
      </c>
      <c r="N307">
        <v>31</v>
      </c>
      <c r="O307" t="s">
        <v>26</v>
      </c>
      <c r="P307">
        <v>162259</v>
      </c>
      <c r="Q307">
        <v>411.57000000000011</v>
      </c>
      <c r="R307">
        <v>158.07</v>
      </c>
      <c r="S307">
        <v>0.32003933590630451</v>
      </c>
      <c r="T307">
        <v>-4.4914511096090411E-3</v>
      </c>
      <c r="U307">
        <v>-1.521875214570597E-2</v>
      </c>
      <c r="V307">
        <v>2.1436200565263411E-3</v>
      </c>
      <c r="W307">
        <v>-1.7362372202232319E-2</v>
      </c>
    </row>
    <row r="308" spans="1:23" x14ac:dyDescent="0.25">
      <c r="A308">
        <v>35</v>
      </c>
      <c r="B308" t="s">
        <v>34</v>
      </c>
      <c r="C308" t="s">
        <v>30</v>
      </c>
      <c r="D308">
        <v>162330</v>
      </c>
      <c r="E308">
        <v>417.67000000000007</v>
      </c>
      <c r="F308">
        <v>160.05000000000001</v>
      </c>
      <c r="G308">
        <v>417.46116500000011</v>
      </c>
      <c r="H308">
        <v>160.13002499999999</v>
      </c>
      <c r="I308">
        <v>3.5266385653897649</v>
      </c>
      <c r="J308">
        <v>7.2273891317512148E-2</v>
      </c>
      <c r="K308">
        <v>-2.3942346828836159E-2</v>
      </c>
      <c r="L308">
        <v>4.5157070488917308E-3</v>
      </c>
      <c r="M308" t="s">
        <v>25</v>
      </c>
      <c r="N308">
        <v>19</v>
      </c>
      <c r="O308" t="s">
        <v>26</v>
      </c>
      <c r="P308">
        <v>162349</v>
      </c>
      <c r="Q308">
        <v>417.35000000000019</v>
      </c>
      <c r="R308">
        <v>160.4</v>
      </c>
      <c r="S308">
        <v>0.30093530614404612</v>
      </c>
      <c r="T308">
        <v>9.2420484523367645E-3</v>
      </c>
      <c r="U308">
        <v>-1.477649934077624E-3</v>
      </c>
      <c r="V308">
        <v>2.1436200565263419E-3</v>
      </c>
      <c r="W308">
        <v>-3.6212699906039659E-3</v>
      </c>
    </row>
    <row r="309" spans="1:23" x14ac:dyDescent="0.25">
      <c r="A309">
        <v>35</v>
      </c>
      <c r="B309" t="s">
        <v>34</v>
      </c>
      <c r="C309" t="s">
        <v>30</v>
      </c>
      <c r="D309">
        <v>162410</v>
      </c>
      <c r="E309">
        <v>416.11</v>
      </c>
      <c r="F309">
        <v>160.59</v>
      </c>
      <c r="G309">
        <v>416.31805500000002</v>
      </c>
      <c r="H309">
        <v>160.509705</v>
      </c>
      <c r="I309">
        <v>-5.2212980092892458</v>
      </c>
      <c r="J309">
        <v>7.2273891317512148E-2</v>
      </c>
      <c r="K309">
        <v>2.4032106894811469E-2</v>
      </c>
      <c r="L309">
        <v>-4.5005225305132426E-3</v>
      </c>
      <c r="M309" t="s">
        <v>27</v>
      </c>
      <c r="N309">
        <v>30</v>
      </c>
      <c r="O309" t="s">
        <v>26</v>
      </c>
      <c r="P309">
        <v>162440</v>
      </c>
      <c r="Q309">
        <v>415.88999999999987</v>
      </c>
      <c r="R309">
        <v>160.71</v>
      </c>
      <c r="S309">
        <v>0.25211162871892168</v>
      </c>
      <c r="T309">
        <v>-5.8271262205221554E-3</v>
      </c>
      <c r="U309">
        <v>-1.654749163329049E-2</v>
      </c>
      <c r="V309">
        <v>2.1454755087437069E-3</v>
      </c>
      <c r="W309">
        <v>-1.8692967142034202E-2</v>
      </c>
    </row>
    <row r="310" spans="1:23" x14ac:dyDescent="0.25">
      <c r="A310">
        <v>35</v>
      </c>
      <c r="B310" t="s">
        <v>34</v>
      </c>
      <c r="C310" t="s">
        <v>30</v>
      </c>
      <c r="D310">
        <v>162654</v>
      </c>
      <c r="E310">
        <v>416.80999999999977</v>
      </c>
      <c r="F310">
        <v>161.59000000000009</v>
      </c>
      <c r="G310">
        <v>416.60159499999992</v>
      </c>
      <c r="H310">
        <v>161.67079500000011</v>
      </c>
      <c r="I310">
        <v>3.6428296147263541</v>
      </c>
      <c r="J310">
        <v>7.2273891317512148E-2</v>
      </c>
      <c r="K310">
        <v>-2.399174683908736E-2</v>
      </c>
      <c r="L310">
        <v>4.4726710388954842E-3</v>
      </c>
      <c r="M310" t="s">
        <v>25</v>
      </c>
      <c r="N310">
        <v>15</v>
      </c>
      <c r="O310" t="s">
        <v>26</v>
      </c>
      <c r="P310">
        <v>162669</v>
      </c>
      <c r="Q310">
        <v>416.77999999999992</v>
      </c>
      <c r="R310">
        <v>161.815</v>
      </c>
      <c r="S310">
        <v>0.49932636652452139</v>
      </c>
      <c r="T310">
        <v>1.726103388923044E-3</v>
      </c>
      <c r="U310">
        <v>-8.9967788235394627E-3</v>
      </c>
      <c r="V310">
        <v>2.1436200565263419E-3</v>
      </c>
      <c r="W310">
        <v>-1.1140398880065801E-2</v>
      </c>
    </row>
    <row r="311" spans="1:23" x14ac:dyDescent="0.25">
      <c r="A311">
        <v>35</v>
      </c>
      <c r="B311" t="s">
        <v>34</v>
      </c>
      <c r="C311" t="s">
        <v>30</v>
      </c>
      <c r="D311">
        <v>162722</v>
      </c>
      <c r="E311">
        <v>416.25999999999988</v>
      </c>
      <c r="F311">
        <v>161.32</v>
      </c>
      <c r="G311">
        <v>416.46812999999992</v>
      </c>
      <c r="H311">
        <v>161.23934</v>
      </c>
      <c r="I311">
        <v>-3.551490569598684</v>
      </c>
      <c r="J311">
        <v>7.2273891317512148E-2</v>
      </c>
      <c r="K311">
        <v>2.4023446884158941E-2</v>
      </c>
      <c r="L311">
        <v>-4.4801569128137967E-3</v>
      </c>
      <c r="M311" t="s">
        <v>27</v>
      </c>
      <c r="N311">
        <v>22</v>
      </c>
      <c r="O311" t="s">
        <v>26</v>
      </c>
      <c r="P311">
        <v>162744</v>
      </c>
      <c r="Q311">
        <v>415.85</v>
      </c>
      <c r="R311">
        <v>160.87</v>
      </c>
      <c r="S311">
        <v>-0.33610564012134592</v>
      </c>
      <c r="T311">
        <v>-7.8335426117368788E-3</v>
      </c>
      <c r="U311">
        <v>-1.8550348682994641E-2</v>
      </c>
      <c r="V311">
        <v>2.1454755087437069E-3</v>
      </c>
      <c r="W311">
        <v>-2.0695824191738349E-2</v>
      </c>
    </row>
    <row r="312" spans="1:23" x14ac:dyDescent="0.25">
      <c r="A312">
        <v>35</v>
      </c>
      <c r="B312" t="s">
        <v>34</v>
      </c>
      <c r="C312" t="s">
        <v>30</v>
      </c>
      <c r="D312">
        <v>163111</v>
      </c>
      <c r="E312">
        <v>409.84000000000009</v>
      </c>
      <c r="F312">
        <v>158.85499999999999</v>
      </c>
      <c r="G312">
        <v>410.0449200000001</v>
      </c>
      <c r="H312">
        <v>158.77557250000001</v>
      </c>
      <c r="I312">
        <v>-4.5353732685866524</v>
      </c>
      <c r="J312">
        <v>7.2273891317512148E-2</v>
      </c>
      <c r="K312">
        <v>2.4399765762248671E-2</v>
      </c>
      <c r="L312">
        <v>-4.5496768321747613E-3</v>
      </c>
      <c r="M312" t="s">
        <v>27</v>
      </c>
      <c r="N312">
        <v>13</v>
      </c>
      <c r="O312" t="s">
        <v>26</v>
      </c>
      <c r="P312">
        <v>163124</v>
      </c>
      <c r="Q312">
        <v>410.69</v>
      </c>
      <c r="R312">
        <v>158.46999999999991</v>
      </c>
      <c r="S312">
        <v>-0.1142740770522248</v>
      </c>
      <c r="T312">
        <v>2.2491426478295141E-2</v>
      </c>
      <c r="U312">
        <v>1.175919347746327E-2</v>
      </c>
      <c r="V312">
        <v>2.145475508743706E-3</v>
      </c>
      <c r="W312">
        <v>9.6137179687195654E-3</v>
      </c>
    </row>
    <row r="313" spans="1:23" x14ac:dyDescent="0.25">
      <c r="A313">
        <v>35</v>
      </c>
      <c r="B313" t="s">
        <v>34</v>
      </c>
      <c r="C313" t="s">
        <v>30</v>
      </c>
      <c r="D313">
        <v>163212</v>
      </c>
      <c r="E313">
        <v>411.67000000000007</v>
      </c>
      <c r="F313">
        <v>158.8899999999999</v>
      </c>
      <c r="G313">
        <v>411.87583500000011</v>
      </c>
      <c r="H313">
        <v>158.81055499999991</v>
      </c>
      <c r="I313">
        <v>-4.9377335810561549</v>
      </c>
      <c r="J313">
        <v>7.2273891317512148E-2</v>
      </c>
      <c r="K313">
        <v>2.4291301285009829E-2</v>
      </c>
      <c r="L313">
        <v>-4.5486746376431613E-3</v>
      </c>
      <c r="M313" t="s">
        <v>27</v>
      </c>
      <c r="N313">
        <v>17</v>
      </c>
      <c r="O313" t="s">
        <v>26</v>
      </c>
      <c r="P313">
        <v>163229</v>
      </c>
      <c r="Q313">
        <v>411.80000000000018</v>
      </c>
      <c r="R313">
        <v>158.65</v>
      </c>
      <c r="S313">
        <v>-0.43785368390477208</v>
      </c>
      <c r="T313">
        <v>4.2495510800880706E-3</v>
      </c>
      <c r="U313">
        <v>-6.4742209267130884E-3</v>
      </c>
      <c r="V313">
        <v>2.145475508743706E-3</v>
      </c>
      <c r="W313">
        <v>-8.6196964354567952E-3</v>
      </c>
    </row>
    <row r="314" spans="1:23" x14ac:dyDescent="0.25">
      <c r="A314">
        <v>35</v>
      </c>
      <c r="B314" t="s">
        <v>34</v>
      </c>
      <c r="C314" t="s">
        <v>30</v>
      </c>
      <c r="D314">
        <v>163301</v>
      </c>
      <c r="E314">
        <v>412.21</v>
      </c>
      <c r="F314">
        <v>158.37999999999991</v>
      </c>
      <c r="G314">
        <v>412.003895</v>
      </c>
      <c r="H314">
        <v>158.45918999999989</v>
      </c>
      <c r="I314">
        <v>5.2678401196726563</v>
      </c>
      <c r="J314">
        <v>7.2273891317512148E-2</v>
      </c>
      <c r="K314">
        <v>-2.4259479391572261E-2</v>
      </c>
      <c r="L314">
        <v>4.5633218409844786E-3</v>
      </c>
      <c r="M314" t="s">
        <v>25</v>
      </c>
      <c r="N314">
        <v>66</v>
      </c>
      <c r="O314" t="s">
        <v>26</v>
      </c>
      <c r="P314">
        <v>163367</v>
      </c>
      <c r="Q314">
        <v>409.59</v>
      </c>
      <c r="R314">
        <v>158.02999999999989</v>
      </c>
      <c r="S314">
        <v>-0.4459977667459798</v>
      </c>
      <c r="T314">
        <v>6.196267336157351E-2</v>
      </c>
      <c r="U314">
        <v>5.1272512947724343E-2</v>
      </c>
      <c r="V314">
        <v>2.1436200565263419E-3</v>
      </c>
      <c r="W314">
        <v>4.9128892891197991E-2</v>
      </c>
    </row>
    <row r="315" spans="1:23" x14ac:dyDescent="0.25">
      <c r="A315">
        <v>35</v>
      </c>
      <c r="B315" t="s">
        <v>34</v>
      </c>
      <c r="C315" t="s">
        <v>30</v>
      </c>
      <c r="D315">
        <v>163396</v>
      </c>
      <c r="E315">
        <v>409.86000000000013</v>
      </c>
      <c r="F315">
        <v>158.16999999999999</v>
      </c>
      <c r="G315">
        <v>409.65507000000008</v>
      </c>
      <c r="H315">
        <v>158.24908500000001</v>
      </c>
      <c r="I315">
        <v>3.555246631443155</v>
      </c>
      <c r="J315">
        <v>7.2273891317512148E-2</v>
      </c>
      <c r="K315">
        <v>-2.43985751232128E-2</v>
      </c>
      <c r="L315">
        <v>4.5693804967763896E-3</v>
      </c>
      <c r="M315" t="s">
        <v>25</v>
      </c>
      <c r="N315">
        <v>43</v>
      </c>
      <c r="O315" t="s">
        <v>26</v>
      </c>
      <c r="P315">
        <v>163439</v>
      </c>
      <c r="Q315">
        <v>410.58500000000009</v>
      </c>
      <c r="R315">
        <v>157.75000000000011</v>
      </c>
      <c r="S315">
        <v>0.16217951419026441</v>
      </c>
      <c r="T315">
        <v>-1.9608106772975469E-2</v>
      </c>
      <c r="U315">
        <v>-3.0338730599727699E-2</v>
      </c>
      <c r="V315">
        <v>2.1436200565263411E-3</v>
      </c>
      <c r="W315">
        <v>-3.2482350656254037E-2</v>
      </c>
    </row>
    <row r="316" spans="1:23" x14ac:dyDescent="0.25">
      <c r="A316">
        <v>35</v>
      </c>
      <c r="B316" t="s">
        <v>34</v>
      </c>
      <c r="C316" t="s">
        <v>30</v>
      </c>
      <c r="D316">
        <v>163500</v>
      </c>
      <c r="E316">
        <v>411.59999999999991</v>
      </c>
      <c r="F316">
        <v>157.61000000000001</v>
      </c>
      <c r="G316">
        <v>411.39420000000001</v>
      </c>
      <c r="H316">
        <v>157.68880499999989</v>
      </c>
      <c r="I316">
        <v>3.991506640261528</v>
      </c>
      <c r="J316">
        <v>7.2273891317512148E-2</v>
      </c>
      <c r="K316">
        <v>-2.4295432458697769E-2</v>
      </c>
      <c r="L316">
        <v>4.5856158440144767E-3</v>
      </c>
      <c r="M316" t="s">
        <v>25</v>
      </c>
      <c r="N316">
        <v>21</v>
      </c>
      <c r="O316" t="s">
        <v>26</v>
      </c>
      <c r="P316">
        <v>163521</v>
      </c>
      <c r="Q316">
        <v>412.94000000000023</v>
      </c>
      <c r="R316">
        <v>158.20500000000001</v>
      </c>
      <c r="S316">
        <v>0.19965729075952021</v>
      </c>
      <c r="T316">
        <v>-2.982743806747231E-2</v>
      </c>
      <c r="U316">
        <v>-4.0567819141106409E-2</v>
      </c>
      <c r="V316">
        <v>2.1436200565263419E-3</v>
      </c>
      <c r="W316">
        <v>-4.2711439197632747E-2</v>
      </c>
    </row>
    <row r="317" spans="1:23" x14ac:dyDescent="0.25">
      <c r="A317">
        <v>35</v>
      </c>
      <c r="B317" t="s">
        <v>34</v>
      </c>
      <c r="C317" t="s">
        <v>30</v>
      </c>
      <c r="D317">
        <v>163673</v>
      </c>
      <c r="E317">
        <v>413.89499999999998</v>
      </c>
      <c r="F317">
        <v>156.79</v>
      </c>
      <c r="G317">
        <v>413.68805250000003</v>
      </c>
      <c r="H317">
        <v>156.86839499999999</v>
      </c>
      <c r="I317">
        <v>4.5082513766861894</v>
      </c>
      <c r="J317">
        <v>7.2273891317512148E-2</v>
      </c>
      <c r="K317">
        <v>-2.4160717090083231E-2</v>
      </c>
      <c r="L317">
        <v>4.6095982726903611E-3</v>
      </c>
      <c r="M317" t="s">
        <v>25</v>
      </c>
      <c r="N317">
        <v>25</v>
      </c>
      <c r="O317" t="s">
        <v>26</v>
      </c>
      <c r="P317">
        <v>163698</v>
      </c>
      <c r="Q317">
        <v>414.14</v>
      </c>
      <c r="R317">
        <v>156.83500000000001</v>
      </c>
      <c r="S317">
        <v>0.47711121668340561</v>
      </c>
      <c r="T317">
        <v>-5.7119437648008656E-3</v>
      </c>
      <c r="U317">
        <v>-1.6437746081779291E-2</v>
      </c>
      <c r="V317">
        <v>2.1436200565263419E-3</v>
      </c>
      <c r="W317">
        <v>-1.8581366138305629E-2</v>
      </c>
    </row>
    <row r="318" spans="1:23" x14ac:dyDescent="0.25">
      <c r="A318">
        <v>35</v>
      </c>
      <c r="B318" t="s">
        <v>34</v>
      </c>
      <c r="C318" t="s">
        <v>30</v>
      </c>
      <c r="D318">
        <v>163710</v>
      </c>
      <c r="E318">
        <v>414.34499999999991</v>
      </c>
      <c r="F318">
        <v>156.83500000000001</v>
      </c>
      <c r="G318">
        <v>414.13782750000001</v>
      </c>
      <c r="H318">
        <v>156.91341750000001</v>
      </c>
      <c r="I318">
        <v>4.0591393143819392</v>
      </c>
      <c r="J318">
        <v>7.2273891317512148E-2</v>
      </c>
      <c r="K318">
        <v>-2.413447730755772E-2</v>
      </c>
      <c r="L318">
        <v>4.6082756602488072E-3</v>
      </c>
      <c r="M318" t="s">
        <v>25</v>
      </c>
      <c r="N318">
        <v>13</v>
      </c>
      <c r="O318" t="s">
        <v>26</v>
      </c>
      <c r="P318">
        <v>163723</v>
      </c>
      <c r="Q318">
        <v>414.34499999999991</v>
      </c>
      <c r="R318">
        <v>157.30499999999989</v>
      </c>
      <c r="S318">
        <v>0.49446880628488749</v>
      </c>
      <c r="T318">
        <v>2.1658895603169342E-3</v>
      </c>
      <c r="U318">
        <v>-8.5579322976362462E-3</v>
      </c>
      <c r="V318">
        <v>2.1436200565263419E-3</v>
      </c>
      <c r="W318">
        <v>-1.0701552354162589E-2</v>
      </c>
    </row>
    <row r="319" spans="1:23" x14ac:dyDescent="0.25">
      <c r="A319">
        <v>35</v>
      </c>
      <c r="B319" t="s">
        <v>34</v>
      </c>
      <c r="C319" t="s">
        <v>30</v>
      </c>
      <c r="D319">
        <v>163757</v>
      </c>
      <c r="E319">
        <v>414.99999999999977</v>
      </c>
      <c r="F319">
        <v>157.44999999999999</v>
      </c>
      <c r="G319">
        <v>414.79249999999979</v>
      </c>
      <c r="H319">
        <v>157.52872500000001</v>
      </c>
      <c r="I319">
        <v>4.2497779442006136</v>
      </c>
      <c r="J319">
        <v>7.2273891317512148E-2</v>
      </c>
      <c r="K319">
        <v>-2.4096385542168679E-2</v>
      </c>
      <c r="L319">
        <v>4.5902757267394182E-3</v>
      </c>
      <c r="M319" t="s">
        <v>25</v>
      </c>
      <c r="N319">
        <v>9</v>
      </c>
      <c r="O319" t="s">
        <v>26</v>
      </c>
      <c r="P319">
        <v>163766</v>
      </c>
      <c r="Q319">
        <v>414.64499999999992</v>
      </c>
      <c r="R319">
        <v>157.63999999999999</v>
      </c>
      <c r="S319">
        <v>0.42150559286894052</v>
      </c>
      <c r="T319">
        <v>9.4263692555480606E-3</v>
      </c>
      <c r="U319">
        <v>-1.292528625386199E-3</v>
      </c>
      <c r="V319">
        <v>2.1436200565263411E-3</v>
      </c>
      <c r="W319">
        <v>-3.4361486819125399E-3</v>
      </c>
    </row>
    <row r="320" spans="1:23" x14ac:dyDescent="0.25">
      <c r="A320">
        <v>35</v>
      </c>
      <c r="B320" t="s">
        <v>34</v>
      </c>
      <c r="C320" t="s">
        <v>30</v>
      </c>
      <c r="D320">
        <v>163890</v>
      </c>
      <c r="E320">
        <v>418.15000000000009</v>
      </c>
      <c r="F320">
        <v>157.08999999999989</v>
      </c>
      <c r="G320">
        <v>417.94092500000022</v>
      </c>
      <c r="H320">
        <v>157.16854499999991</v>
      </c>
      <c r="I320">
        <v>4.731917673027163</v>
      </c>
      <c r="J320">
        <v>7.2273891317512148E-2</v>
      </c>
      <c r="K320">
        <v>-2.3914863087408821E-2</v>
      </c>
      <c r="L320">
        <v>4.6007951694896033E-3</v>
      </c>
      <c r="M320" t="s">
        <v>25</v>
      </c>
      <c r="N320">
        <v>17</v>
      </c>
      <c r="O320" t="s">
        <v>26</v>
      </c>
      <c r="P320">
        <v>163907</v>
      </c>
      <c r="Q320">
        <v>417.13000000000011</v>
      </c>
      <c r="R320">
        <v>158.80000000000001</v>
      </c>
      <c r="S320">
        <v>0.47527453310299123</v>
      </c>
      <c r="T320">
        <v>3.226052008898557E-2</v>
      </c>
      <c r="U320">
        <v>2.1546044076116409E-2</v>
      </c>
      <c r="V320">
        <v>2.1436200565263419E-3</v>
      </c>
      <c r="W320">
        <v>1.9402424019590071E-2</v>
      </c>
    </row>
    <row r="321" spans="1:23" x14ac:dyDescent="0.25">
      <c r="A321">
        <v>35</v>
      </c>
      <c r="B321" t="s">
        <v>34</v>
      </c>
      <c r="C321" t="s">
        <v>30</v>
      </c>
      <c r="D321">
        <v>163989</v>
      </c>
      <c r="E321">
        <v>413.92000000000007</v>
      </c>
      <c r="F321">
        <v>158.685</v>
      </c>
      <c r="G321">
        <v>414.12696000000011</v>
      </c>
      <c r="H321">
        <v>158.60565750000001</v>
      </c>
      <c r="I321">
        <v>-4.6952973628251584</v>
      </c>
      <c r="J321">
        <v>7.2273891317512148E-2</v>
      </c>
      <c r="K321">
        <v>2.4159257827599531E-2</v>
      </c>
      <c r="L321">
        <v>-4.5545509227407858E-3</v>
      </c>
      <c r="M321" t="s">
        <v>27</v>
      </c>
      <c r="N321">
        <v>18</v>
      </c>
      <c r="O321" t="s">
        <v>26</v>
      </c>
      <c r="P321">
        <v>164007</v>
      </c>
      <c r="Q321">
        <v>414.06999999999988</v>
      </c>
      <c r="R321">
        <v>158.1</v>
      </c>
      <c r="S321">
        <v>-0.462625477159196</v>
      </c>
      <c r="T321">
        <v>6.2883009639397702E-3</v>
      </c>
      <c r="U321">
        <v>-4.4349176874260996E-3</v>
      </c>
      <c r="V321">
        <v>2.145475508743706E-3</v>
      </c>
      <c r="W321">
        <v>-6.5803931961698056E-3</v>
      </c>
    </row>
    <row r="322" spans="1:23" x14ac:dyDescent="0.25">
      <c r="A322">
        <v>35</v>
      </c>
      <c r="B322" t="s">
        <v>34</v>
      </c>
      <c r="C322" t="s">
        <v>30</v>
      </c>
      <c r="D322">
        <v>164172</v>
      </c>
      <c r="E322">
        <v>412.62000000000018</v>
      </c>
      <c r="F322">
        <v>157.71</v>
      </c>
      <c r="G322">
        <v>412.82631000000009</v>
      </c>
      <c r="H322">
        <v>157.63114499999989</v>
      </c>
      <c r="I322">
        <v>-5.2656179657510362</v>
      </c>
      <c r="J322">
        <v>7.2273891317512148E-2</v>
      </c>
      <c r="K322">
        <v>2.4235373951820061E-2</v>
      </c>
      <c r="L322">
        <v>-4.5827082187250134E-3</v>
      </c>
      <c r="M322" t="s">
        <v>27</v>
      </c>
      <c r="N322">
        <v>57</v>
      </c>
      <c r="O322" t="s">
        <v>26</v>
      </c>
      <c r="P322">
        <v>164229</v>
      </c>
      <c r="Q322">
        <v>408.62</v>
      </c>
      <c r="R322">
        <v>157.06999999999991</v>
      </c>
      <c r="S322">
        <v>-0.44834244036715359</v>
      </c>
      <c r="T322">
        <v>-9.400856254730032E-2</v>
      </c>
      <c r="U322">
        <v>-0.10468136424594029</v>
      </c>
      <c r="V322">
        <v>2.145475508743706E-3</v>
      </c>
      <c r="W322">
        <v>-0.106826839754684</v>
      </c>
    </row>
    <row r="323" spans="1:23" x14ac:dyDescent="0.25">
      <c r="A323">
        <v>35</v>
      </c>
      <c r="B323" t="s">
        <v>34</v>
      </c>
      <c r="C323" t="s">
        <v>30</v>
      </c>
      <c r="D323">
        <v>164288</v>
      </c>
      <c r="E323">
        <v>402.9799999999999</v>
      </c>
      <c r="F323">
        <v>156.32499999999999</v>
      </c>
      <c r="G323">
        <v>403.18148999999988</v>
      </c>
      <c r="H323">
        <v>156.2468375</v>
      </c>
      <c r="I323">
        <v>-3.8502889975883741</v>
      </c>
      <c r="J323">
        <v>7.2273891317512148E-2</v>
      </c>
      <c r="K323">
        <v>2.4815127301603061E-2</v>
      </c>
      <c r="L323">
        <v>-4.6233098555900944E-3</v>
      </c>
      <c r="M323" t="s">
        <v>27</v>
      </c>
      <c r="N323">
        <v>14</v>
      </c>
      <c r="O323" t="s">
        <v>26</v>
      </c>
      <c r="P323">
        <v>164302</v>
      </c>
      <c r="Q323">
        <v>403.86000000000018</v>
      </c>
      <c r="R323">
        <v>156.4</v>
      </c>
      <c r="S323">
        <v>-0.47189988967403401</v>
      </c>
      <c r="T323">
        <v>2.14905637862483E-2</v>
      </c>
      <c r="U323">
        <v>1.075673284294144E-2</v>
      </c>
      <c r="V323">
        <v>2.1454755087437069E-3</v>
      </c>
      <c r="W323">
        <v>8.6112573341977361E-3</v>
      </c>
    </row>
    <row r="324" spans="1:23" x14ac:dyDescent="0.25">
      <c r="A324">
        <v>35</v>
      </c>
      <c r="B324" t="s">
        <v>34</v>
      </c>
      <c r="C324" t="s">
        <v>30</v>
      </c>
      <c r="D324">
        <v>164365</v>
      </c>
      <c r="E324">
        <v>405.17500000000018</v>
      </c>
      <c r="F324">
        <v>157.1</v>
      </c>
      <c r="G324">
        <v>404.97241250000019</v>
      </c>
      <c r="H324">
        <v>157.17854999999989</v>
      </c>
      <c r="I324">
        <v>3.770660425132216</v>
      </c>
      <c r="J324">
        <v>7.2273891317512148E-2</v>
      </c>
      <c r="K324">
        <v>-2.4680693527488109E-2</v>
      </c>
      <c r="L324">
        <v>4.6005023117448862E-3</v>
      </c>
      <c r="M324" t="s">
        <v>25</v>
      </c>
      <c r="N324">
        <v>7</v>
      </c>
      <c r="O324" t="s">
        <v>26</v>
      </c>
      <c r="P324">
        <v>164372</v>
      </c>
      <c r="Q324">
        <v>403.81999999999988</v>
      </c>
      <c r="R324">
        <v>156.79</v>
      </c>
      <c r="S324">
        <v>0.46795460912347742</v>
      </c>
      <c r="T324">
        <v>3.201618401311293E-2</v>
      </c>
      <c r="U324">
        <v>2.1310879347661332E-2</v>
      </c>
      <c r="V324">
        <v>2.1436200565263419E-3</v>
      </c>
      <c r="W324">
        <v>1.916725929113499E-2</v>
      </c>
    </row>
    <row r="325" spans="1:23" x14ac:dyDescent="0.25">
      <c r="A325">
        <v>36</v>
      </c>
      <c r="B325" t="s">
        <v>23</v>
      </c>
      <c r="C325" t="s">
        <v>34</v>
      </c>
      <c r="D325">
        <v>164401</v>
      </c>
      <c r="E325">
        <v>196.89</v>
      </c>
      <c r="F325">
        <v>405.21000000000009</v>
      </c>
      <c r="G325">
        <v>196.98844500000001</v>
      </c>
      <c r="H325">
        <v>405.00739500000009</v>
      </c>
      <c r="I325">
        <v>-5.2946498421083747</v>
      </c>
      <c r="J325">
        <v>1.7517008462499679</v>
      </c>
      <c r="K325">
        <v>5.0789781096043478E-2</v>
      </c>
      <c r="L325">
        <v>-4.3229457472667703E-2</v>
      </c>
      <c r="M325" t="s">
        <v>27</v>
      </c>
      <c r="N325">
        <v>23</v>
      </c>
      <c r="O325" t="s">
        <v>26</v>
      </c>
      <c r="P325">
        <v>164424</v>
      </c>
      <c r="Q325">
        <v>197.54</v>
      </c>
      <c r="R325">
        <v>407.2299999999999</v>
      </c>
      <c r="S325">
        <v>-0.4924943095686346</v>
      </c>
      <c r="T325">
        <v>-5.4310146382347699E-2</v>
      </c>
      <c r="U325">
        <v>-8.1887323275749352E-2</v>
      </c>
      <c r="V325">
        <v>5.5026499916536863E-3</v>
      </c>
      <c r="W325">
        <v>-8.738997326740304E-2</v>
      </c>
    </row>
    <row r="326" spans="1:23" x14ac:dyDescent="0.25">
      <c r="A326">
        <v>36</v>
      </c>
      <c r="B326" t="s">
        <v>23</v>
      </c>
      <c r="C326" t="s">
        <v>34</v>
      </c>
      <c r="D326">
        <v>164958</v>
      </c>
      <c r="E326">
        <v>198.48</v>
      </c>
      <c r="F326">
        <v>410.88000000000011</v>
      </c>
      <c r="G326">
        <v>198.38076000000001</v>
      </c>
      <c r="H326">
        <v>411.08544000000001</v>
      </c>
      <c r="I326">
        <v>3.8376121929701341</v>
      </c>
      <c r="J326">
        <v>1.7517008462499679</v>
      </c>
      <c r="K326">
        <v>-5.0382910116888363E-2</v>
      </c>
      <c r="L326">
        <v>4.2632906110055678E-2</v>
      </c>
      <c r="M326" t="s">
        <v>25</v>
      </c>
      <c r="N326">
        <v>12</v>
      </c>
      <c r="O326" t="s">
        <v>26</v>
      </c>
      <c r="P326">
        <v>164970</v>
      </c>
      <c r="Q326">
        <v>198.33</v>
      </c>
      <c r="R326">
        <v>411.05</v>
      </c>
      <c r="S326">
        <v>0.46518433472093479</v>
      </c>
      <c r="T326">
        <v>1.480503055623884E-2</v>
      </c>
      <c r="U326">
        <v>-1.271182298501696E-2</v>
      </c>
      <c r="V326">
        <v>5.5041533933461867E-3</v>
      </c>
      <c r="W326">
        <v>-1.8215976378363152E-2</v>
      </c>
    </row>
    <row r="327" spans="1:23" x14ac:dyDescent="0.25">
      <c r="A327">
        <v>36</v>
      </c>
      <c r="B327" t="s">
        <v>23</v>
      </c>
      <c r="C327" t="s">
        <v>34</v>
      </c>
      <c r="D327">
        <v>165450</v>
      </c>
      <c r="E327">
        <v>195</v>
      </c>
      <c r="F327">
        <v>410.78999999999991</v>
      </c>
      <c r="G327">
        <v>195.0975</v>
      </c>
      <c r="H327">
        <v>410.58460500000001</v>
      </c>
      <c r="I327">
        <v>-4.5466022039799006</v>
      </c>
      <c r="J327">
        <v>1.7517008462499679</v>
      </c>
      <c r="K327">
        <v>5.128205128205128E-2</v>
      </c>
      <c r="L327">
        <v>-4.2642246555416853E-2</v>
      </c>
      <c r="M327" t="s">
        <v>27</v>
      </c>
      <c r="N327">
        <v>22</v>
      </c>
      <c r="O327" t="s">
        <v>26</v>
      </c>
      <c r="P327">
        <v>165472</v>
      </c>
      <c r="Q327">
        <v>195.2000000000001</v>
      </c>
      <c r="R327">
        <v>400.13000000000022</v>
      </c>
      <c r="S327">
        <v>0.4638344715221458</v>
      </c>
      <c r="T327">
        <v>0.46482275853714661</v>
      </c>
      <c r="U327">
        <v>0.4375279050436614</v>
      </c>
      <c r="V327">
        <v>5.5026499916536863E-3</v>
      </c>
      <c r="W327">
        <v>0.43202525505200767</v>
      </c>
    </row>
    <row r="328" spans="1:23" x14ac:dyDescent="0.25">
      <c r="A328">
        <v>36</v>
      </c>
      <c r="B328" t="s">
        <v>23</v>
      </c>
      <c r="C328" t="s">
        <v>34</v>
      </c>
      <c r="D328">
        <v>165584</v>
      </c>
      <c r="E328">
        <v>195.16</v>
      </c>
      <c r="F328">
        <v>401.21499999999992</v>
      </c>
      <c r="G328">
        <v>195.06242</v>
      </c>
      <c r="H328">
        <v>401.41560749999991</v>
      </c>
      <c r="I328">
        <v>3.9868849395580028</v>
      </c>
      <c r="J328">
        <v>1.7517008462499679</v>
      </c>
      <c r="K328">
        <v>-5.1240008198401313E-2</v>
      </c>
      <c r="L328">
        <v>4.3659904197250063E-2</v>
      </c>
      <c r="M328" t="s">
        <v>25</v>
      </c>
      <c r="N328">
        <v>17</v>
      </c>
      <c r="O328" t="s">
        <v>26</v>
      </c>
      <c r="P328">
        <v>165601</v>
      </c>
      <c r="Q328">
        <v>194.875</v>
      </c>
      <c r="R328">
        <v>401.0800000000001</v>
      </c>
      <c r="S328">
        <v>0.36261513818552921</v>
      </c>
      <c r="T328">
        <v>8.709315269926193E-3</v>
      </c>
      <c r="U328">
        <v>-1.8797444447869831E-2</v>
      </c>
      <c r="V328">
        <v>5.5041533933461867E-3</v>
      </c>
      <c r="W328">
        <v>-2.4301597841216022E-2</v>
      </c>
    </row>
    <row r="329" spans="1:23" x14ac:dyDescent="0.25">
      <c r="A329">
        <v>36</v>
      </c>
      <c r="B329" t="s">
        <v>23</v>
      </c>
      <c r="C329" t="s">
        <v>34</v>
      </c>
      <c r="D329">
        <v>166121</v>
      </c>
      <c r="E329">
        <v>196.00499999999991</v>
      </c>
      <c r="F329">
        <v>400.55999999999989</v>
      </c>
      <c r="G329">
        <v>196.10300249999989</v>
      </c>
      <c r="H329">
        <v>400.35971999999992</v>
      </c>
      <c r="I329">
        <v>-3.621005311589375</v>
      </c>
      <c r="J329">
        <v>1.7517008462499679</v>
      </c>
      <c r="K329">
        <v>5.1019106655442487E-2</v>
      </c>
      <c r="L329">
        <v>-4.3731297339973253E-2</v>
      </c>
      <c r="M329" t="s">
        <v>27</v>
      </c>
      <c r="N329">
        <v>19</v>
      </c>
      <c r="O329" t="s">
        <v>26</v>
      </c>
      <c r="P329">
        <v>166140</v>
      </c>
      <c r="Q329">
        <v>196.5</v>
      </c>
      <c r="R329">
        <v>399.11000000000018</v>
      </c>
      <c r="S329">
        <v>0.22237103513423029</v>
      </c>
      <c r="T329">
        <v>8.8664838937395463E-2</v>
      </c>
      <c r="U329">
        <v>6.1166908436574872E-2</v>
      </c>
      <c r="V329">
        <v>5.5026499916536863E-3</v>
      </c>
      <c r="W329">
        <v>5.5664258444921177E-2</v>
      </c>
    </row>
    <row r="330" spans="1:23" x14ac:dyDescent="0.25">
      <c r="A330">
        <v>36</v>
      </c>
      <c r="B330" t="s">
        <v>23</v>
      </c>
      <c r="C330" t="s">
        <v>34</v>
      </c>
      <c r="D330">
        <v>166233</v>
      </c>
      <c r="E330">
        <v>188.26</v>
      </c>
      <c r="F330">
        <v>392.55</v>
      </c>
      <c r="G330">
        <v>188.35413</v>
      </c>
      <c r="H330">
        <v>392.353725</v>
      </c>
      <c r="I330">
        <v>-4.358741334737231</v>
      </c>
      <c r="J330">
        <v>1.7517008462499679</v>
      </c>
      <c r="K330">
        <v>5.3118028258791028E-2</v>
      </c>
      <c r="L330">
        <v>-4.4623636383899337E-2</v>
      </c>
      <c r="M330" t="s">
        <v>27</v>
      </c>
      <c r="N330">
        <v>24</v>
      </c>
      <c r="O330" t="s">
        <v>26</v>
      </c>
      <c r="P330">
        <v>166257</v>
      </c>
      <c r="Q330">
        <v>185.78000000000009</v>
      </c>
      <c r="R330">
        <v>390.17</v>
      </c>
      <c r="S330">
        <v>-0.30458727450145301</v>
      </c>
      <c r="T330">
        <v>-2.5528455488120522E-2</v>
      </c>
      <c r="U330">
        <v>-5.2926495468278781E-2</v>
      </c>
      <c r="V330">
        <v>5.5026499916536872E-3</v>
      </c>
      <c r="W330">
        <v>-5.8429145459932469E-2</v>
      </c>
    </row>
    <row r="331" spans="1:23" x14ac:dyDescent="0.25">
      <c r="A331">
        <v>36</v>
      </c>
      <c r="B331" t="s">
        <v>23</v>
      </c>
      <c r="C331" t="s">
        <v>34</v>
      </c>
      <c r="D331">
        <v>166623</v>
      </c>
      <c r="E331">
        <v>185.02500000000001</v>
      </c>
      <c r="F331">
        <v>411.87000000000012</v>
      </c>
      <c r="G331">
        <v>185.1175125</v>
      </c>
      <c r="H331">
        <v>411.66406500000011</v>
      </c>
      <c r="I331">
        <v>-5.2040981371203729</v>
      </c>
      <c r="J331">
        <v>1.7517008462499679</v>
      </c>
      <c r="K331">
        <v>5.4046750439129862E-2</v>
      </c>
      <c r="L331">
        <v>-4.2530430627381648E-2</v>
      </c>
      <c r="M331" t="s">
        <v>27</v>
      </c>
      <c r="N331">
        <v>21</v>
      </c>
      <c r="O331" t="s">
        <v>26</v>
      </c>
      <c r="P331">
        <v>166644</v>
      </c>
      <c r="Q331">
        <v>185.74499999999989</v>
      </c>
      <c r="R331">
        <v>407.11000000000013</v>
      </c>
      <c r="S331">
        <v>-0.35971554536845429</v>
      </c>
      <c r="T331">
        <v>0.24135851010250811</v>
      </c>
      <c r="U331">
        <v>0.21392326723474589</v>
      </c>
      <c r="V331">
        <v>5.5026499916536863E-3</v>
      </c>
      <c r="W331">
        <v>0.20842061724309219</v>
      </c>
    </row>
    <row r="332" spans="1:23" x14ac:dyDescent="0.25">
      <c r="A332">
        <v>36</v>
      </c>
      <c r="B332" t="s">
        <v>23</v>
      </c>
      <c r="C332" t="s">
        <v>34</v>
      </c>
      <c r="D332">
        <v>167014</v>
      </c>
      <c r="E332">
        <v>182.26</v>
      </c>
      <c r="F332">
        <v>403.11000000000018</v>
      </c>
      <c r="G332">
        <v>182.35113000000001</v>
      </c>
      <c r="H332">
        <v>402.9084450000002</v>
      </c>
      <c r="I332">
        <v>-4.6961792960443001</v>
      </c>
      <c r="J332">
        <v>1.7517008462499679</v>
      </c>
      <c r="K332">
        <v>5.4866673982223189E-2</v>
      </c>
      <c r="L332">
        <v>-4.3454661165685977E-2</v>
      </c>
      <c r="M332" t="s">
        <v>27</v>
      </c>
      <c r="N332">
        <v>6</v>
      </c>
      <c r="O332" t="s">
        <v>26</v>
      </c>
      <c r="P332">
        <v>167020</v>
      </c>
      <c r="Q332">
        <v>182.09</v>
      </c>
      <c r="R332">
        <v>400.27999999999992</v>
      </c>
      <c r="S332">
        <v>-0.27057380432396172</v>
      </c>
      <c r="T332">
        <v>0.11364935652192509</v>
      </c>
      <c r="U332">
        <v>8.6198500072266537E-2</v>
      </c>
      <c r="V332">
        <v>5.5026499916536863E-3</v>
      </c>
      <c r="W332">
        <v>8.0695850080612849E-2</v>
      </c>
    </row>
    <row r="333" spans="1:23" x14ac:dyDescent="0.25">
      <c r="A333">
        <v>36</v>
      </c>
      <c r="B333" t="s">
        <v>23</v>
      </c>
      <c r="C333" t="s">
        <v>34</v>
      </c>
      <c r="D333">
        <v>167076</v>
      </c>
      <c r="E333">
        <v>179.96</v>
      </c>
      <c r="F333">
        <v>397.505</v>
      </c>
      <c r="G333">
        <v>179.87002000000001</v>
      </c>
      <c r="H333">
        <v>397.70375250000001</v>
      </c>
      <c r="I333">
        <v>3.643979497249652</v>
      </c>
      <c r="J333">
        <v>1.7517008462499679</v>
      </c>
      <c r="K333">
        <v>-5.556790397866191E-2</v>
      </c>
      <c r="L333">
        <v>4.4067391510797797E-2</v>
      </c>
      <c r="M333" t="s">
        <v>25</v>
      </c>
      <c r="N333">
        <v>2</v>
      </c>
      <c r="O333" t="s">
        <v>26</v>
      </c>
      <c r="P333">
        <v>167078</v>
      </c>
      <c r="Q333">
        <v>180.02999999999989</v>
      </c>
      <c r="R333">
        <v>399.02499999999992</v>
      </c>
      <c r="S333">
        <v>0.17735261359881679</v>
      </c>
      <c r="T333">
        <v>6.3092681817908142E-2</v>
      </c>
      <c r="U333">
        <v>3.554023726122485E-2</v>
      </c>
      <c r="V333">
        <v>5.504153393346185E-3</v>
      </c>
      <c r="W333">
        <v>3.0036083867878659E-2</v>
      </c>
    </row>
    <row r="334" spans="1:23" x14ac:dyDescent="0.25">
      <c r="A334">
        <v>36</v>
      </c>
      <c r="B334" t="s">
        <v>23</v>
      </c>
      <c r="C334" t="s">
        <v>34</v>
      </c>
      <c r="D334">
        <v>167254</v>
      </c>
      <c r="E334">
        <v>179.93</v>
      </c>
      <c r="F334">
        <v>396.96</v>
      </c>
      <c r="G334">
        <v>179.84003500000011</v>
      </c>
      <c r="H334">
        <v>397.15848</v>
      </c>
      <c r="I334">
        <v>3.7836789891168761</v>
      </c>
      <c r="J334">
        <v>1.7517008462499679</v>
      </c>
      <c r="K334">
        <v>-5.5577168899016267E-2</v>
      </c>
      <c r="L334">
        <v>4.4127893144144698E-2</v>
      </c>
      <c r="M334" t="s">
        <v>25</v>
      </c>
      <c r="N334">
        <v>30</v>
      </c>
      <c r="O334" t="s">
        <v>26</v>
      </c>
      <c r="P334">
        <v>167284</v>
      </c>
      <c r="Q334">
        <v>180.3</v>
      </c>
      <c r="R334">
        <v>396.94499999999988</v>
      </c>
      <c r="S334">
        <v>0.41247619069141661</v>
      </c>
      <c r="T334">
        <v>-2.1225470889803789E-2</v>
      </c>
      <c r="U334">
        <v>-4.875243016934705E-2</v>
      </c>
      <c r="V334">
        <v>5.5041533933461858E-3</v>
      </c>
      <c r="W334">
        <v>-5.4256583562693243E-2</v>
      </c>
    </row>
    <row r="335" spans="1:23" x14ac:dyDescent="0.25">
      <c r="A335">
        <v>36</v>
      </c>
      <c r="B335" t="s">
        <v>23</v>
      </c>
      <c r="C335" t="s">
        <v>34</v>
      </c>
      <c r="D335">
        <v>167392</v>
      </c>
      <c r="E335">
        <v>181.1450000000001</v>
      </c>
      <c r="F335">
        <v>398.85000000000008</v>
      </c>
      <c r="G335">
        <v>181.2355725000001</v>
      </c>
      <c r="H335">
        <v>398.65057500000012</v>
      </c>
      <c r="I335">
        <v>-3.5847676223257232</v>
      </c>
      <c r="J335">
        <v>1.7517008462499679</v>
      </c>
      <c r="K335">
        <v>5.5204394269783838E-2</v>
      </c>
      <c r="L335">
        <v>-4.3918787670802747E-2</v>
      </c>
      <c r="M335" t="s">
        <v>27</v>
      </c>
      <c r="N335">
        <v>6</v>
      </c>
      <c r="O335" t="s">
        <v>26</v>
      </c>
      <c r="P335">
        <v>167398</v>
      </c>
      <c r="Q335">
        <v>180.86</v>
      </c>
      <c r="R335">
        <v>397.11999999999989</v>
      </c>
      <c r="S335">
        <v>-0.40939268151882507</v>
      </c>
      <c r="T335">
        <v>6.0246250303603213E-2</v>
      </c>
      <c r="U335">
        <v>3.2775098218625759E-2</v>
      </c>
      <c r="V335">
        <v>5.5026499916536863E-3</v>
      </c>
      <c r="W335">
        <v>2.7272448226972071E-2</v>
      </c>
    </row>
    <row r="336" spans="1:23" x14ac:dyDescent="0.25">
      <c r="A336">
        <v>36</v>
      </c>
      <c r="B336" t="s">
        <v>23</v>
      </c>
      <c r="C336" t="s">
        <v>34</v>
      </c>
      <c r="D336">
        <v>167403</v>
      </c>
      <c r="E336">
        <v>181.7</v>
      </c>
      <c r="F336">
        <v>402.02000000000021</v>
      </c>
      <c r="G336">
        <v>181.79084999999989</v>
      </c>
      <c r="H336">
        <v>401.81899000000021</v>
      </c>
      <c r="I336">
        <v>-4.098817618300342</v>
      </c>
      <c r="J336">
        <v>1.7517008462499679</v>
      </c>
      <c r="K336">
        <v>5.503577325261421E-2</v>
      </c>
      <c r="L336">
        <v>-4.3572480131584677E-2</v>
      </c>
      <c r="M336" t="s">
        <v>27</v>
      </c>
      <c r="N336">
        <v>30</v>
      </c>
      <c r="O336" t="s">
        <v>26</v>
      </c>
      <c r="P336">
        <v>167433</v>
      </c>
      <c r="Q336">
        <v>181.02</v>
      </c>
      <c r="R336">
        <v>404.48999999999978</v>
      </c>
      <c r="S336">
        <v>-0.45418518285442588</v>
      </c>
      <c r="T336">
        <v>-0.14504835173677849</v>
      </c>
      <c r="U336">
        <v>-0.17260046004933399</v>
      </c>
      <c r="V336">
        <v>5.5026499916536863E-3</v>
      </c>
      <c r="W336">
        <v>-0.17810311004098769</v>
      </c>
    </row>
    <row r="337" spans="1:23" x14ac:dyDescent="0.25">
      <c r="A337">
        <v>36</v>
      </c>
      <c r="B337" t="s">
        <v>23</v>
      </c>
      <c r="C337" t="s">
        <v>34</v>
      </c>
      <c r="D337">
        <v>167768</v>
      </c>
      <c r="E337">
        <v>180.57499999999999</v>
      </c>
      <c r="F337">
        <v>403.47999999999979</v>
      </c>
      <c r="G337">
        <v>180.4847125</v>
      </c>
      <c r="H337">
        <v>403.68173999999982</v>
      </c>
      <c r="I337">
        <v>3.8544437968356631</v>
      </c>
      <c r="J337">
        <v>1.7517008462499679</v>
      </c>
      <c r="K337">
        <v>-5.5378651529835253E-2</v>
      </c>
      <c r="L337">
        <v>4.3414812289332028E-2</v>
      </c>
      <c r="M337" t="s">
        <v>25</v>
      </c>
      <c r="N337">
        <v>6</v>
      </c>
      <c r="O337" t="s">
        <v>26</v>
      </c>
      <c r="P337">
        <v>167774</v>
      </c>
      <c r="Q337">
        <v>180.63</v>
      </c>
      <c r="R337">
        <v>404.41000000000008</v>
      </c>
      <c r="S337">
        <v>0.19897056238841401</v>
      </c>
      <c r="T337">
        <v>3.7329949594949223E-2</v>
      </c>
      <c r="U337">
        <v>9.7912303318198942E-3</v>
      </c>
      <c r="V337">
        <v>5.5041533933461867E-3</v>
      </c>
      <c r="W337">
        <v>4.2870769384737084E-3</v>
      </c>
    </row>
    <row r="338" spans="1:23" x14ac:dyDescent="0.25">
      <c r="A338">
        <v>36</v>
      </c>
      <c r="B338" t="s">
        <v>23</v>
      </c>
      <c r="C338" t="s">
        <v>34</v>
      </c>
      <c r="D338">
        <v>167977</v>
      </c>
      <c r="E338">
        <v>182.03999999999991</v>
      </c>
      <c r="F338">
        <v>405.49000000000012</v>
      </c>
      <c r="G338">
        <v>181.94897999999989</v>
      </c>
      <c r="H338">
        <v>405.69274500000012</v>
      </c>
      <c r="I338">
        <v>3.8687770527607932</v>
      </c>
      <c r="J338">
        <v>1.7517008462499679</v>
      </c>
      <c r="K338">
        <v>-5.4932981762250067E-2</v>
      </c>
      <c r="L338">
        <v>4.3199606556264467E-2</v>
      </c>
      <c r="M338" t="s">
        <v>25</v>
      </c>
      <c r="N338">
        <v>2</v>
      </c>
      <c r="O338" t="s">
        <v>26</v>
      </c>
      <c r="P338">
        <v>167979</v>
      </c>
      <c r="Q338">
        <v>182.03999999999991</v>
      </c>
      <c r="R338">
        <v>405.96</v>
      </c>
      <c r="S338">
        <v>0.33035839774616332</v>
      </c>
      <c r="T338">
        <v>2.0303815081440569E-2</v>
      </c>
      <c r="U338">
        <v>-7.223345288596637E-3</v>
      </c>
      <c r="V338">
        <v>5.5041533933461867E-3</v>
      </c>
      <c r="W338">
        <v>-1.272749868194282E-2</v>
      </c>
    </row>
    <row r="339" spans="1:23" x14ac:dyDescent="0.25">
      <c r="A339">
        <v>36</v>
      </c>
      <c r="B339" t="s">
        <v>23</v>
      </c>
      <c r="C339" t="s">
        <v>34</v>
      </c>
      <c r="D339">
        <v>168148</v>
      </c>
      <c r="E339">
        <v>181.61</v>
      </c>
      <c r="F339">
        <v>403.57000000000011</v>
      </c>
      <c r="G339">
        <v>181.519195</v>
      </c>
      <c r="H339">
        <v>403.77178500000008</v>
      </c>
      <c r="I339">
        <v>3.684026703166678</v>
      </c>
      <c r="J339">
        <v>1.7517008462499679</v>
      </c>
      <c r="K339">
        <v>-5.506304718903144E-2</v>
      </c>
      <c r="L339">
        <v>4.3405130367717322E-2</v>
      </c>
      <c r="M339" t="s">
        <v>25</v>
      </c>
      <c r="N339">
        <v>1</v>
      </c>
      <c r="O339" t="s">
        <v>26</v>
      </c>
      <c r="P339">
        <v>168149</v>
      </c>
      <c r="Q339">
        <v>181.53</v>
      </c>
      <c r="R339">
        <v>403.92999999999978</v>
      </c>
      <c r="S339">
        <v>0.48986631171182698</v>
      </c>
      <c r="T339">
        <v>2.0030890707491259E-2</v>
      </c>
      <c r="U339">
        <v>-7.4917281565827594E-3</v>
      </c>
      <c r="V339">
        <v>5.5041533933461867E-3</v>
      </c>
      <c r="W339">
        <v>-1.299588154992895E-2</v>
      </c>
    </row>
    <row r="340" spans="1:23" x14ac:dyDescent="0.25">
      <c r="A340">
        <v>36</v>
      </c>
      <c r="B340" t="s">
        <v>23</v>
      </c>
      <c r="C340" t="s">
        <v>34</v>
      </c>
      <c r="D340">
        <v>168175</v>
      </c>
      <c r="E340">
        <v>181.39</v>
      </c>
      <c r="F340">
        <v>403.06499999999988</v>
      </c>
      <c r="G340">
        <v>181.299305</v>
      </c>
      <c r="H340">
        <v>403.26653249999993</v>
      </c>
      <c r="I340">
        <v>3.5750735773782201</v>
      </c>
      <c r="J340">
        <v>1.7517008462499679</v>
      </c>
      <c r="K340">
        <v>-5.5129830751419598E-2</v>
      </c>
      <c r="L340">
        <v>4.3459512640640303E-2</v>
      </c>
      <c r="M340" t="s">
        <v>25</v>
      </c>
      <c r="N340">
        <v>10</v>
      </c>
      <c r="O340" t="s">
        <v>26</v>
      </c>
      <c r="P340">
        <v>168185</v>
      </c>
      <c r="Q340">
        <v>182.12999999999991</v>
      </c>
      <c r="R340">
        <v>404.51</v>
      </c>
      <c r="S340">
        <v>0.35194693943637129</v>
      </c>
      <c r="T340">
        <v>2.2002921009677968E-2</v>
      </c>
      <c r="U340">
        <v>-5.5658849880793268E-3</v>
      </c>
      <c r="V340">
        <v>5.5041533933461867E-3</v>
      </c>
      <c r="W340">
        <v>-1.107003838142551E-2</v>
      </c>
    </row>
    <row r="341" spans="1:23" x14ac:dyDescent="0.25">
      <c r="A341">
        <v>37</v>
      </c>
      <c r="B341" t="s">
        <v>34</v>
      </c>
      <c r="C341" t="s">
        <v>29</v>
      </c>
      <c r="D341">
        <v>168301</v>
      </c>
      <c r="E341">
        <v>404.55999999999989</v>
      </c>
      <c r="F341">
        <v>144.49</v>
      </c>
      <c r="G341">
        <v>404.35771999999997</v>
      </c>
      <c r="H341">
        <v>144.56224499999999</v>
      </c>
      <c r="I341">
        <v>5.2946437980556951</v>
      </c>
      <c r="J341">
        <v>0.85996522801322495</v>
      </c>
      <c r="K341">
        <v>-2.471821237888076E-2</v>
      </c>
      <c r="L341">
        <v>5.9517283411531931E-2</v>
      </c>
      <c r="M341" t="s">
        <v>25</v>
      </c>
      <c r="N341">
        <v>23</v>
      </c>
      <c r="O341" t="s">
        <v>26</v>
      </c>
      <c r="P341">
        <v>168324</v>
      </c>
      <c r="Q341">
        <v>405.56999999999982</v>
      </c>
      <c r="R341">
        <v>144.84</v>
      </c>
      <c r="S341">
        <v>0.49148647350202201</v>
      </c>
      <c r="T341">
        <v>-4.1343453086290054E-3</v>
      </c>
      <c r="U341">
        <v>-2.2756895810607601E-2</v>
      </c>
      <c r="V341">
        <v>3.7197904212544629E-3</v>
      </c>
      <c r="W341">
        <v>-2.647668623186207E-2</v>
      </c>
    </row>
    <row r="342" spans="1:23" x14ac:dyDescent="0.25">
      <c r="A342">
        <v>37</v>
      </c>
      <c r="B342" t="s">
        <v>34</v>
      </c>
      <c r="C342" t="s">
        <v>29</v>
      </c>
      <c r="D342">
        <v>168468</v>
      </c>
      <c r="E342">
        <v>404.38500000000022</v>
      </c>
      <c r="F342">
        <v>143.97</v>
      </c>
      <c r="G342">
        <v>404.58719250000013</v>
      </c>
      <c r="H342">
        <v>143.89801499999999</v>
      </c>
      <c r="I342">
        <v>-3.5599221307605542</v>
      </c>
      <c r="J342">
        <v>0.85996522801322495</v>
      </c>
      <c r="K342">
        <v>2.4728909331453931E-2</v>
      </c>
      <c r="L342">
        <v>-5.9732251720026719E-2</v>
      </c>
      <c r="M342" t="s">
        <v>27</v>
      </c>
      <c r="N342">
        <v>3</v>
      </c>
      <c r="O342" t="s">
        <v>26</v>
      </c>
      <c r="P342">
        <v>168471</v>
      </c>
      <c r="Q342">
        <v>405.16</v>
      </c>
      <c r="R342">
        <v>143.97999999999999</v>
      </c>
      <c r="S342">
        <v>-0.45202371902487593</v>
      </c>
      <c r="T342">
        <v>1.8567582214670589E-2</v>
      </c>
      <c r="U342">
        <v>-4.195117908325878E-5</v>
      </c>
      <c r="V342">
        <v>3.720070490798436E-3</v>
      </c>
      <c r="W342">
        <v>-3.7620216698816952E-3</v>
      </c>
    </row>
    <row r="343" spans="1:23" x14ac:dyDescent="0.25">
      <c r="A343">
        <v>37</v>
      </c>
      <c r="B343" t="s">
        <v>34</v>
      </c>
      <c r="C343" t="s">
        <v>29</v>
      </c>
      <c r="D343">
        <v>169359</v>
      </c>
      <c r="E343">
        <v>423.92999999999978</v>
      </c>
      <c r="F343">
        <v>146.90000000000009</v>
      </c>
      <c r="G343">
        <v>423.71803499999987</v>
      </c>
      <c r="H343">
        <v>146.97345000000001</v>
      </c>
      <c r="I343">
        <v>4.4243609521944984</v>
      </c>
      <c r="J343">
        <v>0.85996522801322495</v>
      </c>
      <c r="K343">
        <v>-2.3588800037742091E-2</v>
      </c>
      <c r="L343">
        <v>5.8540859633303237E-2</v>
      </c>
      <c r="M343" t="s">
        <v>25</v>
      </c>
      <c r="N343">
        <v>2</v>
      </c>
      <c r="O343" t="s">
        <v>26</v>
      </c>
      <c r="P343">
        <v>169361</v>
      </c>
      <c r="Q343">
        <v>421.07000000000011</v>
      </c>
      <c r="R343">
        <v>147.09000000000009</v>
      </c>
      <c r="S343">
        <v>0.39475297804217269</v>
      </c>
      <c r="T343">
        <v>7.858673143826482E-2</v>
      </c>
      <c r="U343">
        <v>6.0015249760523817E-2</v>
      </c>
      <c r="V343">
        <v>3.7197904212544629E-3</v>
      </c>
      <c r="W343">
        <v>5.6295459339269362E-2</v>
      </c>
    </row>
    <row r="344" spans="1:23" x14ac:dyDescent="0.25">
      <c r="A344">
        <v>37</v>
      </c>
      <c r="B344" t="s">
        <v>34</v>
      </c>
      <c r="C344" t="s">
        <v>29</v>
      </c>
      <c r="D344">
        <v>170139</v>
      </c>
      <c r="E344">
        <v>420.9899999999999</v>
      </c>
      <c r="F344">
        <v>145.505</v>
      </c>
      <c r="G344">
        <v>420.77950499999992</v>
      </c>
      <c r="H344">
        <v>145.57775249999989</v>
      </c>
      <c r="I344">
        <v>4.1320693011318079</v>
      </c>
      <c r="J344">
        <v>0.85996522801322495</v>
      </c>
      <c r="K344">
        <v>-2.3753533338084051E-2</v>
      </c>
      <c r="L344">
        <v>5.9102108382064193E-2</v>
      </c>
      <c r="M344" t="s">
        <v>25</v>
      </c>
      <c r="N344">
        <v>1</v>
      </c>
      <c r="O344" t="s">
        <v>26</v>
      </c>
      <c r="P344">
        <v>170140</v>
      </c>
      <c r="Q344">
        <v>420.01499999999982</v>
      </c>
      <c r="R344">
        <v>146.57499999999999</v>
      </c>
      <c r="S344">
        <v>-0.27852573801161817</v>
      </c>
      <c r="T344">
        <v>8.6398950973447158E-2</v>
      </c>
      <c r="U344">
        <v>6.7779258912835941E-2</v>
      </c>
      <c r="V344">
        <v>3.7197904212544629E-3</v>
      </c>
      <c r="W344">
        <v>6.4059468491581478E-2</v>
      </c>
    </row>
    <row r="345" spans="1:23" x14ac:dyDescent="0.25">
      <c r="A345">
        <v>37</v>
      </c>
      <c r="B345" t="s">
        <v>34</v>
      </c>
      <c r="C345" t="s">
        <v>29</v>
      </c>
      <c r="D345">
        <v>170539</v>
      </c>
      <c r="E345">
        <v>429.39</v>
      </c>
      <c r="F345">
        <v>145.64500000000001</v>
      </c>
      <c r="G345">
        <v>429.17530500000009</v>
      </c>
      <c r="H345">
        <v>145.71782250000001</v>
      </c>
      <c r="I345">
        <v>4.371482317539745</v>
      </c>
      <c r="J345">
        <v>0.85996522801322495</v>
      </c>
      <c r="K345">
        <v>-2.3288851626726281E-2</v>
      </c>
      <c r="L345">
        <v>5.9045296990162713E-2</v>
      </c>
      <c r="M345" t="s">
        <v>25</v>
      </c>
      <c r="N345">
        <v>18</v>
      </c>
      <c r="O345" t="s">
        <v>26</v>
      </c>
      <c r="P345">
        <v>170557</v>
      </c>
      <c r="Q345">
        <v>430.41</v>
      </c>
      <c r="R345">
        <v>146.12</v>
      </c>
      <c r="S345">
        <v>0.30949163204453978</v>
      </c>
      <c r="T345">
        <v>4.29188741106621E-3</v>
      </c>
      <c r="U345">
        <v>-1.433366544142887E-2</v>
      </c>
      <c r="V345">
        <v>3.7197904212544629E-3</v>
      </c>
      <c r="W345">
        <v>-1.8053455862683331E-2</v>
      </c>
    </row>
    <row r="346" spans="1:23" x14ac:dyDescent="0.25">
      <c r="A346">
        <v>37</v>
      </c>
      <c r="B346" t="s">
        <v>34</v>
      </c>
      <c r="C346" t="s">
        <v>29</v>
      </c>
      <c r="D346">
        <v>170919</v>
      </c>
      <c r="E346">
        <v>428.20499999999998</v>
      </c>
      <c r="F346">
        <v>145.44999999999999</v>
      </c>
      <c r="G346">
        <v>428.41910250000001</v>
      </c>
      <c r="H346">
        <v>145.377275</v>
      </c>
      <c r="I346">
        <v>-3.9959542555300112</v>
      </c>
      <c r="J346">
        <v>0.85996522801322495</v>
      </c>
      <c r="K346">
        <v>2.3353300405179762E-2</v>
      </c>
      <c r="L346">
        <v>-5.9124457065192502E-2</v>
      </c>
      <c r="M346" t="s">
        <v>27</v>
      </c>
      <c r="N346">
        <v>1</v>
      </c>
      <c r="O346" t="s">
        <v>26</v>
      </c>
      <c r="P346">
        <v>170920</v>
      </c>
      <c r="Q346">
        <v>428.20499999999998</v>
      </c>
      <c r="R346">
        <v>144.63499999999999</v>
      </c>
      <c r="S346">
        <v>-1.1787110358387261E-2</v>
      </c>
      <c r="T346">
        <v>4.8186432508131753E-2</v>
      </c>
      <c r="U346">
        <v>2.9610873444255802E-2</v>
      </c>
      <c r="V346">
        <v>3.720070490798436E-3</v>
      </c>
      <c r="W346">
        <v>2.589080295345737E-2</v>
      </c>
    </row>
    <row r="347" spans="1:23" x14ac:dyDescent="0.25">
      <c r="A347">
        <v>37</v>
      </c>
      <c r="B347" t="s">
        <v>34</v>
      </c>
      <c r="C347" t="s">
        <v>29</v>
      </c>
      <c r="D347">
        <v>171302</v>
      </c>
      <c r="E347">
        <v>427.14</v>
      </c>
      <c r="F347">
        <v>143.78</v>
      </c>
      <c r="G347">
        <v>426.92642999999998</v>
      </c>
      <c r="H347">
        <v>143.85189</v>
      </c>
      <c r="I347">
        <v>3.5159019848790649</v>
      </c>
      <c r="J347">
        <v>0.85996522801322495</v>
      </c>
      <c r="K347">
        <v>-2.3411527836306591E-2</v>
      </c>
      <c r="L347">
        <v>5.9811185701295358E-2</v>
      </c>
      <c r="M347" t="s">
        <v>25</v>
      </c>
      <c r="N347">
        <v>49</v>
      </c>
      <c r="O347" t="s">
        <v>26</v>
      </c>
      <c r="P347">
        <v>171351</v>
      </c>
      <c r="Q347">
        <v>426.83</v>
      </c>
      <c r="R347">
        <v>141.77000000000001</v>
      </c>
      <c r="S347">
        <v>0.43052937352368809</v>
      </c>
      <c r="T347">
        <v>-0.112962909630348</v>
      </c>
      <c r="U347">
        <v>-0.1314988228820359</v>
      </c>
      <c r="V347">
        <v>3.7197904212544629E-3</v>
      </c>
      <c r="W347">
        <v>-0.13521861330329041</v>
      </c>
    </row>
    <row r="348" spans="1:23" x14ac:dyDescent="0.25">
      <c r="A348">
        <v>37</v>
      </c>
      <c r="B348" t="s">
        <v>34</v>
      </c>
      <c r="C348" t="s">
        <v>29</v>
      </c>
      <c r="D348">
        <v>172089</v>
      </c>
      <c r="E348">
        <v>437.25</v>
      </c>
      <c r="F348">
        <v>141.79</v>
      </c>
      <c r="G348">
        <v>437.03137500000003</v>
      </c>
      <c r="H348">
        <v>141.860895</v>
      </c>
      <c r="I348">
        <v>4.96001645581081</v>
      </c>
      <c r="J348">
        <v>0.85996522801322495</v>
      </c>
      <c r="K348">
        <v>-2.2870211549456829E-2</v>
      </c>
      <c r="L348">
        <v>6.065062613817792E-2</v>
      </c>
      <c r="M348" t="s">
        <v>25</v>
      </c>
      <c r="N348">
        <v>20</v>
      </c>
      <c r="O348" t="s">
        <v>26</v>
      </c>
      <c r="P348">
        <v>172109</v>
      </c>
      <c r="Q348">
        <v>439.80999999999989</v>
      </c>
      <c r="R348">
        <v>142.83500000000009</v>
      </c>
      <c r="S348">
        <v>0.28200005733941552</v>
      </c>
      <c r="T348">
        <v>4.8321627477903792E-3</v>
      </c>
      <c r="U348">
        <v>-1.382845335527984E-2</v>
      </c>
      <c r="V348">
        <v>3.7197904212544629E-3</v>
      </c>
      <c r="W348">
        <v>-1.7548243776534311E-2</v>
      </c>
    </row>
    <row r="349" spans="1:23" x14ac:dyDescent="0.25">
      <c r="A349">
        <v>38</v>
      </c>
      <c r="B349" t="s">
        <v>34</v>
      </c>
      <c r="C349" t="s">
        <v>29</v>
      </c>
      <c r="D349">
        <v>172201</v>
      </c>
      <c r="E349">
        <v>438.30000000000013</v>
      </c>
      <c r="F349">
        <v>142.63499999999991</v>
      </c>
      <c r="G349">
        <v>438.51915000000008</v>
      </c>
      <c r="H349">
        <v>142.56368249999991</v>
      </c>
      <c r="I349">
        <v>-5.2944870880776662</v>
      </c>
      <c r="J349">
        <v>1.055689218665008</v>
      </c>
      <c r="K349">
        <v>2.2815423226100841E-2</v>
      </c>
      <c r="L349">
        <v>-7.4013336044099168E-2</v>
      </c>
      <c r="M349" t="s">
        <v>27</v>
      </c>
      <c r="N349">
        <v>23</v>
      </c>
      <c r="O349" t="s">
        <v>26</v>
      </c>
      <c r="P349">
        <v>172224</v>
      </c>
      <c r="Q349">
        <v>439.44999999999987</v>
      </c>
      <c r="R349">
        <v>142.61500000000009</v>
      </c>
      <c r="S349">
        <v>-0.4871158688603916</v>
      </c>
      <c r="T349">
        <v>2.771800343088248E-2</v>
      </c>
      <c r="U349">
        <v>7.1487325092406163E-3</v>
      </c>
      <c r="V349">
        <v>4.1113227481113512E-3</v>
      </c>
      <c r="W349">
        <v>3.0374097611292651E-3</v>
      </c>
    </row>
    <row r="350" spans="1:23" x14ac:dyDescent="0.25">
      <c r="A350">
        <v>38</v>
      </c>
      <c r="B350" t="s">
        <v>34</v>
      </c>
      <c r="C350" t="s">
        <v>29</v>
      </c>
      <c r="D350">
        <v>172479</v>
      </c>
      <c r="E350">
        <v>441.94000000000023</v>
      </c>
      <c r="F350">
        <v>142.4</v>
      </c>
      <c r="G350">
        <v>441.7190300000002</v>
      </c>
      <c r="H350">
        <v>142.47120000000001</v>
      </c>
      <c r="I350">
        <v>4.6241071297622813</v>
      </c>
      <c r="J350">
        <v>1.055689218665008</v>
      </c>
      <c r="K350">
        <v>-2.2627505996289082E-2</v>
      </c>
      <c r="L350">
        <v>7.413547883883484E-2</v>
      </c>
      <c r="M350" t="s">
        <v>25</v>
      </c>
      <c r="N350">
        <v>6</v>
      </c>
      <c r="O350" t="s">
        <v>26</v>
      </c>
      <c r="P350">
        <v>172485</v>
      </c>
      <c r="Q350">
        <v>440.4500000000001</v>
      </c>
      <c r="R350">
        <v>142.99999999999989</v>
      </c>
      <c r="S350">
        <v>-0.14822035442248291</v>
      </c>
      <c r="T350">
        <v>7.8196271237770593E-2</v>
      </c>
      <c r="U350">
        <v>5.7633995899438233E-2</v>
      </c>
      <c r="V350">
        <v>4.1114341265486819E-3</v>
      </c>
      <c r="W350">
        <v>5.3522561772889547E-2</v>
      </c>
    </row>
    <row r="351" spans="1:23" x14ac:dyDescent="0.25">
      <c r="A351">
        <v>38</v>
      </c>
      <c r="B351" t="s">
        <v>34</v>
      </c>
      <c r="C351" t="s">
        <v>29</v>
      </c>
      <c r="D351">
        <v>172869</v>
      </c>
      <c r="E351">
        <v>445.34500000000008</v>
      </c>
      <c r="F351">
        <v>143.32</v>
      </c>
      <c r="G351">
        <v>445.1223275000001</v>
      </c>
      <c r="H351">
        <v>143.39166</v>
      </c>
      <c r="I351">
        <v>4.5778198429809649</v>
      </c>
      <c r="J351">
        <v>1.055689218665008</v>
      </c>
      <c r="K351">
        <v>-2.245450156620148E-2</v>
      </c>
      <c r="L351">
        <v>7.3659588240650845E-2</v>
      </c>
      <c r="M351" t="s">
        <v>25</v>
      </c>
      <c r="N351">
        <v>9</v>
      </c>
      <c r="O351" t="s">
        <v>26</v>
      </c>
      <c r="P351">
        <v>172878</v>
      </c>
      <c r="Q351">
        <v>446.73000000000019</v>
      </c>
      <c r="R351">
        <v>144.185</v>
      </c>
      <c r="S351">
        <v>-0.1689109837563893</v>
      </c>
      <c r="T351">
        <v>3.2616059158968057E-2</v>
      </c>
      <c r="U351">
        <v>1.201175945807129E-2</v>
      </c>
      <c r="V351">
        <v>4.1114341265486819E-3</v>
      </c>
      <c r="W351">
        <v>7.9003253315226112E-3</v>
      </c>
    </row>
    <row r="352" spans="1:23" x14ac:dyDescent="0.25">
      <c r="A352">
        <v>38</v>
      </c>
      <c r="B352" t="s">
        <v>34</v>
      </c>
      <c r="C352" t="s">
        <v>29</v>
      </c>
      <c r="D352">
        <v>173111</v>
      </c>
      <c r="E352">
        <v>444.66500000000008</v>
      </c>
      <c r="F352">
        <v>142</v>
      </c>
      <c r="G352">
        <v>444.44266750000008</v>
      </c>
      <c r="H352">
        <v>142.071</v>
      </c>
      <c r="I352">
        <v>3.8061972247278408</v>
      </c>
      <c r="J352">
        <v>1.055689218665008</v>
      </c>
      <c r="K352">
        <v>-2.248883991319307E-2</v>
      </c>
      <c r="L352">
        <v>7.4344311173592095E-2</v>
      </c>
      <c r="M352" t="s">
        <v>25</v>
      </c>
      <c r="N352">
        <v>4</v>
      </c>
      <c r="O352" t="s">
        <v>26</v>
      </c>
      <c r="P352">
        <v>173115</v>
      </c>
      <c r="Q352">
        <v>444.31000000000012</v>
      </c>
      <c r="R352">
        <v>142</v>
      </c>
      <c r="S352">
        <v>0.4777650382833562</v>
      </c>
      <c r="T352">
        <v>7.9835381691852267E-3</v>
      </c>
      <c r="U352">
        <v>-1.2569362248379489E-2</v>
      </c>
      <c r="V352">
        <v>4.111434126548681E-3</v>
      </c>
      <c r="W352">
        <v>-1.668079637492818E-2</v>
      </c>
    </row>
    <row r="353" spans="1:23" x14ac:dyDescent="0.25">
      <c r="A353">
        <v>38</v>
      </c>
      <c r="B353" t="s">
        <v>34</v>
      </c>
      <c r="C353" t="s">
        <v>29</v>
      </c>
      <c r="D353">
        <v>173233</v>
      </c>
      <c r="E353">
        <v>443.62500000000011</v>
      </c>
      <c r="F353">
        <v>142.04</v>
      </c>
      <c r="G353">
        <v>443.84681250000011</v>
      </c>
      <c r="H353">
        <v>141.96897999999999</v>
      </c>
      <c r="I353">
        <v>-3.717707247256242</v>
      </c>
      <c r="J353">
        <v>1.055689218665008</v>
      </c>
      <c r="K353">
        <v>2.254156100309946E-2</v>
      </c>
      <c r="L353">
        <v>-7.432337501161701E-2</v>
      </c>
      <c r="M353" t="s">
        <v>27</v>
      </c>
      <c r="N353">
        <v>29</v>
      </c>
      <c r="O353" t="s">
        <v>26</v>
      </c>
      <c r="P353">
        <v>173262</v>
      </c>
      <c r="Q353">
        <v>442.74500000000012</v>
      </c>
      <c r="R353">
        <v>142.08000000000001</v>
      </c>
      <c r="S353">
        <v>-0.16296102628751771</v>
      </c>
      <c r="T353">
        <v>-2.2809508683191509E-2</v>
      </c>
      <c r="U353">
        <v>-4.335796905049881E-2</v>
      </c>
      <c r="V353">
        <v>4.1113227481113512E-3</v>
      </c>
      <c r="W353">
        <v>-4.7469291798610161E-2</v>
      </c>
    </row>
    <row r="354" spans="1:23" x14ac:dyDescent="0.25">
      <c r="A354">
        <v>38</v>
      </c>
      <c r="B354" t="s">
        <v>34</v>
      </c>
      <c r="C354" t="s">
        <v>29</v>
      </c>
      <c r="D354">
        <v>173651</v>
      </c>
      <c r="E354">
        <v>447.16</v>
      </c>
      <c r="F354">
        <v>142.34</v>
      </c>
      <c r="G354">
        <v>446.93642</v>
      </c>
      <c r="H354">
        <v>142.41117</v>
      </c>
      <c r="I354">
        <v>3.7832641523747612</v>
      </c>
      <c r="J354">
        <v>1.055689218665008</v>
      </c>
      <c r="K354">
        <v>-2.2363359871187049E-2</v>
      </c>
      <c r="L354">
        <v>7.4166728865041998E-2</v>
      </c>
      <c r="M354" t="s">
        <v>25</v>
      </c>
      <c r="N354">
        <v>29</v>
      </c>
      <c r="O354" t="s">
        <v>26</v>
      </c>
      <c r="P354">
        <v>173680</v>
      </c>
      <c r="Q354">
        <v>450.22500000000008</v>
      </c>
      <c r="R354">
        <v>142.83999999999989</v>
      </c>
      <c r="S354">
        <v>0.40731222078778517</v>
      </c>
      <c r="T354">
        <v>-3.1460333572676108E-2</v>
      </c>
      <c r="U354">
        <v>-5.2070039290542457E-2</v>
      </c>
      <c r="V354">
        <v>4.1114341265486819E-3</v>
      </c>
      <c r="W354">
        <v>-5.6181473417091149E-2</v>
      </c>
    </row>
    <row r="355" spans="1:23" x14ac:dyDescent="0.25">
      <c r="A355">
        <v>38</v>
      </c>
      <c r="B355" t="s">
        <v>34</v>
      </c>
      <c r="C355" t="s">
        <v>29</v>
      </c>
      <c r="D355">
        <v>174429</v>
      </c>
      <c r="E355">
        <v>456.58499999999998</v>
      </c>
      <c r="F355">
        <v>144.12</v>
      </c>
      <c r="G355">
        <v>456.81329249999987</v>
      </c>
      <c r="H355">
        <v>144.04794000000001</v>
      </c>
      <c r="I355">
        <v>-4.695854514512809</v>
      </c>
      <c r="J355">
        <v>1.055689218665008</v>
      </c>
      <c r="K355">
        <v>2.1901726951170101E-2</v>
      </c>
      <c r="L355">
        <v>-7.3250709038648901E-2</v>
      </c>
      <c r="M355" t="s">
        <v>27</v>
      </c>
      <c r="N355">
        <v>7</v>
      </c>
      <c r="O355" t="s">
        <v>26</v>
      </c>
      <c r="P355">
        <v>174436</v>
      </c>
      <c r="Q355">
        <v>456.32999999999993</v>
      </c>
      <c r="R355">
        <v>143.19999999999999</v>
      </c>
      <c r="S355">
        <v>0.2428039915460046</v>
      </c>
      <c r="T355">
        <v>6.1805711943008643E-2</v>
      </c>
      <c r="U355">
        <v>4.1285307552705132E-2</v>
      </c>
      <c r="V355">
        <v>4.1113227481113512E-3</v>
      </c>
      <c r="W355">
        <v>3.7173984804593781E-2</v>
      </c>
    </row>
    <row r="356" spans="1:23" x14ac:dyDescent="0.25">
      <c r="A356">
        <v>38</v>
      </c>
      <c r="B356" t="s">
        <v>34</v>
      </c>
      <c r="C356" t="s">
        <v>29</v>
      </c>
      <c r="D356">
        <v>174744</v>
      </c>
      <c r="E356">
        <v>455.12499999999989</v>
      </c>
      <c r="F356">
        <v>142.42500000000001</v>
      </c>
      <c r="G356">
        <v>454.89743750000002</v>
      </c>
      <c r="H356">
        <v>142.49621250000001</v>
      </c>
      <c r="I356">
        <v>3.5830063625137969</v>
      </c>
      <c r="J356">
        <v>1.055689218665008</v>
      </c>
      <c r="K356">
        <v>-2.197198571820929E-2</v>
      </c>
      <c r="L356">
        <v>7.4122465765491183E-2</v>
      </c>
      <c r="M356" t="s">
        <v>25</v>
      </c>
      <c r="N356">
        <v>3</v>
      </c>
      <c r="O356" t="s">
        <v>26</v>
      </c>
      <c r="P356">
        <v>174747</v>
      </c>
      <c r="Q356">
        <v>454.79500000000002</v>
      </c>
      <c r="R356">
        <v>142.44</v>
      </c>
      <c r="S356">
        <v>0.31485544403208637</v>
      </c>
      <c r="T356">
        <v>8.3625922734930358E-3</v>
      </c>
      <c r="U356">
        <v>-1.219123045400497E-2</v>
      </c>
      <c r="V356">
        <v>4.1114341265486819E-3</v>
      </c>
      <c r="W356">
        <v>-1.6302664580553652E-2</v>
      </c>
    </row>
    <row r="357" spans="1:23" x14ac:dyDescent="0.25">
      <c r="A357">
        <v>38</v>
      </c>
      <c r="B357" t="s">
        <v>34</v>
      </c>
      <c r="C357" t="s">
        <v>29</v>
      </c>
      <c r="D357">
        <v>175179</v>
      </c>
      <c r="E357">
        <v>457.78000000000009</v>
      </c>
      <c r="F357">
        <v>143.23500000000001</v>
      </c>
      <c r="G357">
        <v>458.00889000000012</v>
      </c>
      <c r="H357">
        <v>143.16338250000001</v>
      </c>
      <c r="I357">
        <v>-3.634320109775167</v>
      </c>
      <c r="J357">
        <v>1.055689218665008</v>
      </c>
      <c r="K357">
        <v>2.1844554152649739E-2</v>
      </c>
      <c r="L357">
        <v>-7.3703300077844647E-2</v>
      </c>
      <c r="M357" t="s">
        <v>27</v>
      </c>
      <c r="N357">
        <v>12</v>
      </c>
      <c r="O357" t="s">
        <v>26</v>
      </c>
      <c r="P357">
        <v>175191</v>
      </c>
      <c r="Q357">
        <v>457.97</v>
      </c>
      <c r="R357">
        <v>143.16499999999991</v>
      </c>
      <c r="S357">
        <v>-0.45962661169858637</v>
      </c>
      <c r="T357">
        <v>9.3096962944545815E-3</v>
      </c>
      <c r="U357">
        <v>-1.12466915093366E-2</v>
      </c>
      <c r="V357">
        <v>4.1113227481113512E-3</v>
      </c>
      <c r="W357">
        <v>-1.535801425744795E-2</v>
      </c>
    </row>
    <row r="358" spans="1:23" x14ac:dyDescent="0.25">
      <c r="A358">
        <v>38</v>
      </c>
      <c r="B358" t="s">
        <v>34</v>
      </c>
      <c r="C358" t="s">
        <v>29</v>
      </c>
      <c r="D358">
        <v>175209</v>
      </c>
      <c r="E358">
        <v>461.03500000000008</v>
      </c>
      <c r="F358">
        <v>143.04</v>
      </c>
      <c r="G358">
        <v>460.80448250000018</v>
      </c>
      <c r="H358">
        <v>143.11152000000001</v>
      </c>
      <c r="I358">
        <v>4.8096148474327203</v>
      </c>
      <c r="J358">
        <v>1.055689218665008</v>
      </c>
      <c r="K358">
        <v>-2.1690327198585789E-2</v>
      </c>
      <c r="L358">
        <v>7.3803776472665519E-2</v>
      </c>
      <c r="M358" t="s">
        <v>25</v>
      </c>
      <c r="N358">
        <v>7</v>
      </c>
      <c r="O358" t="s">
        <v>26</v>
      </c>
      <c r="P358">
        <v>175216</v>
      </c>
      <c r="Q358">
        <v>462.0499999999999</v>
      </c>
      <c r="R358">
        <v>144.185</v>
      </c>
      <c r="S358">
        <v>4.7216340336198766E-3</v>
      </c>
      <c r="T358">
        <v>6.2489641954637153E-2</v>
      </c>
      <c r="U358">
        <v>4.1879489264905069E-2</v>
      </c>
      <c r="V358">
        <v>4.1114341265486819E-3</v>
      </c>
      <c r="W358">
        <v>3.7768055138356391E-2</v>
      </c>
    </row>
    <row r="359" spans="1:23" x14ac:dyDescent="0.25">
      <c r="A359">
        <v>38</v>
      </c>
      <c r="B359" t="s">
        <v>34</v>
      </c>
      <c r="C359" t="s">
        <v>29</v>
      </c>
      <c r="D359">
        <v>175638</v>
      </c>
      <c r="E359">
        <v>464.86000000000018</v>
      </c>
      <c r="F359">
        <v>141.22</v>
      </c>
      <c r="G359">
        <v>464.62757000000022</v>
      </c>
      <c r="H359">
        <v>141.29060999999999</v>
      </c>
      <c r="I359">
        <v>3.6699091334018878</v>
      </c>
      <c r="J359">
        <v>1.055689218665008</v>
      </c>
      <c r="K359">
        <v>-2.151185303102008E-2</v>
      </c>
      <c r="L359">
        <v>7.4754936883232384E-2</v>
      </c>
      <c r="M359" t="s">
        <v>25</v>
      </c>
      <c r="N359">
        <v>28</v>
      </c>
      <c r="O359" t="s">
        <v>26</v>
      </c>
      <c r="P359">
        <v>175666</v>
      </c>
      <c r="Q359">
        <v>466.03</v>
      </c>
      <c r="R359">
        <v>141.66</v>
      </c>
      <c r="S359">
        <v>0.32152580384012291</v>
      </c>
      <c r="T359">
        <v>7.723304182333128E-3</v>
      </c>
      <c r="U359">
        <v>-1.286261852445208E-2</v>
      </c>
      <c r="V359">
        <v>4.111434126548681E-3</v>
      </c>
      <c r="W359">
        <v>-1.697405265100076E-2</v>
      </c>
    </row>
    <row r="360" spans="1:23" x14ac:dyDescent="0.25">
      <c r="A360">
        <v>39</v>
      </c>
      <c r="B360" t="s">
        <v>35</v>
      </c>
      <c r="C360" t="s">
        <v>31</v>
      </c>
      <c r="D360">
        <v>176101</v>
      </c>
      <c r="E360">
        <v>99.80999999999996</v>
      </c>
      <c r="F360">
        <v>61.079999999999991</v>
      </c>
      <c r="G360">
        <v>99.760094999999964</v>
      </c>
      <c r="H360">
        <v>61.110539999999993</v>
      </c>
      <c r="I360">
        <v>5.2889523403218623</v>
      </c>
      <c r="J360">
        <v>0.86694800092781221</v>
      </c>
      <c r="K360">
        <v>-0.1001903616872057</v>
      </c>
      <c r="L360">
        <v>0.14193647690370209</v>
      </c>
      <c r="M360" t="s">
        <v>25</v>
      </c>
      <c r="N360">
        <v>23</v>
      </c>
      <c r="O360" t="s">
        <v>26</v>
      </c>
      <c r="P360">
        <v>176124</v>
      </c>
      <c r="Q360">
        <v>99.939999999999969</v>
      </c>
      <c r="R360">
        <v>61.114999999999988</v>
      </c>
      <c r="S360">
        <v>0.49279220569744309</v>
      </c>
      <c r="T360">
        <v>-8.0569703277086242E-3</v>
      </c>
      <c r="U360">
        <v>-2.673544659883887E-2</v>
      </c>
      <c r="V360">
        <v>3.7337629498565522E-3</v>
      </c>
      <c r="W360">
        <v>-3.046920954869542E-2</v>
      </c>
    </row>
    <row r="361" spans="1:23" x14ac:dyDescent="0.25">
      <c r="A361">
        <v>39</v>
      </c>
      <c r="B361" t="s">
        <v>35</v>
      </c>
      <c r="C361" t="s">
        <v>31</v>
      </c>
      <c r="D361">
        <v>176189</v>
      </c>
      <c r="E361">
        <v>100.19</v>
      </c>
      <c r="F361">
        <v>60.895000000000003</v>
      </c>
      <c r="G361">
        <v>100.139905</v>
      </c>
      <c r="H361">
        <v>60.925447499999997</v>
      </c>
      <c r="I361">
        <v>3.5111856638719718</v>
      </c>
      <c r="J361">
        <v>0.86694800092781221</v>
      </c>
      <c r="K361">
        <v>-9.981036031540079E-2</v>
      </c>
      <c r="L361">
        <v>0.1423676822280667</v>
      </c>
      <c r="M361" t="s">
        <v>25</v>
      </c>
      <c r="N361">
        <v>5</v>
      </c>
      <c r="O361" t="s">
        <v>26</v>
      </c>
      <c r="P361">
        <v>176194</v>
      </c>
      <c r="Q361">
        <v>100.06</v>
      </c>
      <c r="R361">
        <v>60.939999999999991</v>
      </c>
      <c r="S361">
        <v>0.2476427369041386</v>
      </c>
      <c r="T361">
        <v>1.9381892541260031E-2</v>
      </c>
      <c r="U361">
        <v>7.1569693255485109E-4</v>
      </c>
      <c r="V361">
        <v>3.7337629498565522E-3</v>
      </c>
      <c r="W361">
        <v>-3.0180660173017011E-3</v>
      </c>
    </row>
    <row r="362" spans="1:23" x14ac:dyDescent="0.25">
      <c r="A362">
        <v>39</v>
      </c>
      <c r="B362" t="s">
        <v>35</v>
      </c>
      <c r="C362" t="s">
        <v>31</v>
      </c>
      <c r="D362">
        <v>176386</v>
      </c>
      <c r="E362">
        <v>99.919999999999973</v>
      </c>
      <c r="F362">
        <v>61.065000000000019</v>
      </c>
      <c r="G362">
        <v>99.969959999999972</v>
      </c>
      <c r="H362">
        <v>61.034467500000019</v>
      </c>
      <c r="I362">
        <v>-4.0096916652851382</v>
      </c>
      <c r="J362">
        <v>0.86694800092781221</v>
      </c>
      <c r="K362">
        <v>0.10008006405124099</v>
      </c>
      <c r="L362">
        <v>-0.1419713421645479</v>
      </c>
      <c r="M362" t="s">
        <v>27</v>
      </c>
      <c r="N362">
        <v>23</v>
      </c>
      <c r="O362" t="s">
        <v>26</v>
      </c>
      <c r="P362">
        <v>176409</v>
      </c>
      <c r="Q362">
        <v>99.814999999999955</v>
      </c>
      <c r="R362">
        <v>61.304999999999971</v>
      </c>
      <c r="S362">
        <v>-0.23911662845204201</v>
      </c>
      <c r="T362">
        <v>-4.4581528844866852E-2</v>
      </c>
      <c r="U362">
        <v>-6.3262791211840058E-2</v>
      </c>
      <c r="V362">
        <v>3.734029053854697E-3</v>
      </c>
      <c r="W362">
        <v>-6.6996820265694756E-2</v>
      </c>
    </row>
    <row r="363" spans="1:23" x14ac:dyDescent="0.25">
      <c r="A363">
        <v>39</v>
      </c>
      <c r="B363" t="s">
        <v>35</v>
      </c>
      <c r="C363" t="s">
        <v>31</v>
      </c>
      <c r="D363">
        <v>177159</v>
      </c>
      <c r="E363">
        <v>101.575</v>
      </c>
      <c r="F363">
        <v>61.154999999999987</v>
      </c>
      <c r="G363">
        <v>101.5242125</v>
      </c>
      <c r="H363">
        <v>61.185577499999987</v>
      </c>
      <c r="I363">
        <v>3.521483744093135</v>
      </c>
      <c r="J363">
        <v>0.86694800092781221</v>
      </c>
      <c r="K363">
        <v>-9.8449421609648036E-2</v>
      </c>
      <c r="L363">
        <v>0.14176240715032501</v>
      </c>
      <c r="M363" t="s">
        <v>25</v>
      </c>
      <c r="N363">
        <v>11</v>
      </c>
      <c r="O363" t="s">
        <v>26</v>
      </c>
      <c r="P363">
        <v>177170</v>
      </c>
      <c r="Q363">
        <v>101.68</v>
      </c>
      <c r="R363">
        <v>61.340000000000011</v>
      </c>
      <c r="S363">
        <v>0.4542265806891182</v>
      </c>
      <c r="T363">
        <v>1.588885605380003E-2</v>
      </c>
      <c r="U363">
        <v>-2.7989055727722818E-3</v>
      </c>
      <c r="V363">
        <v>3.7337629498565522E-3</v>
      </c>
      <c r="W363">
        <v>-6.5326685226288336E-3</v>
      </c>
    </row>
    <row r="364" spans="1:23" x14ac:dyDescent="0.25">
      <c r="A364">
        <v>39</v>
      </c>
      <c r="B364" t="s">
        <v>35</v>
      </c>
      <c r="C364" t="s">
        <v>31</v>
      </c>
      <c r="D364">
        <v>177940</v>
      </c>
      <c r="E364">
        <v>99.570000000000007</v>
      </c>
      <c r="F364">
        <v>59.690000000000012</v>
      </c>
      <c r="G364">
        <v>99.520215000000007</v>
      </c>
      <c r="H364">
        <v>59.719845000000007</v>
      </c>
      <c r="I364">
        <v>4.4382921871269696</v>
      </c>
      <c r="J364">
        <v>0.86694800092781221</v>
      </c>
      <c r="K364">
        <v>-0.10043185698503571</v>
      </c>
      <c r="L364">
        <v>0.14524174919212801</v>
      </c>
      <c r="M364" t="s">
        <v>25</v>
      </c>
      <c r="N364">
        <v>4</v>
      </c>
      <c r="O364" t="s">
        <v>26</v>
      </c>
      <c r="P364">
        <v>177944</v>
      </c>
      <c r="Q364">
        <v>99.519999999999982</v>
      </c>
      <c r="R364">
        <v>60.070000000000022</v>
      </c>
      <c r="S364">
        <v>0.24122428671073731</v>
      </c>
      <c r="T364">
        <v>6.0213457542264391E-2</v>
      </c>
      <c r="U364">
        <v>4.151889239706627E-2</v>
      </c>
      <c r="V364">
        <v>3.7337629498565522E-3</v>
      </c>
      <c r="W364">
        <v>3.7785129447209721E-2</v>
      </c>
    </row>
    <row r="365" spans="1:23" x14ac:dyDescent="0.25">
      <c r="A365">
        <v>39</v>
      </c>
      <c r="B365" t="s">
        <v>35</v>
      </c>
      <c r="C365" t="s">
        <v>31</v>
      </c>
      <c r="D365">
        <v>178719</v>
      </c>
      <c r="E365">
        <v>98.670000000000044</v>
      </c>
      <c r="F365">
        <v>58.864999999999981</v>
      </c>
      <c r="G365">
        <v>98.620665000000045</v>
      </c>
      <c r="H365">
        <v>58.894432499999979</v>
      </c>
      <c r="I365">
        <v>4.4031379989029942</v>
      </c>
      <c r="J365">
        <v>0.86694800092781221</v>
      </c>
      <c r="K365">
        <v>-0.1013479274348839</v>
      </c>
      <c r="L365">
        <v>0.14727732964033169</v>
      </c>
      <c r="M365" t="s">
        <v>25</v>
      </c>
      <c r="N365">
        <v>11</v>
      </c>
      <c r="O365" t="s">
        <v>26</v>
      </c>
      <c r="P365">
        <v>178730</v>
      </c>
      <c r="Q365">
        <v>97.415000000000049</v>
      </c>
      <c r="R365">
        <v>58.669999999999987</v>
      </c>
      <c r="S365">
        <v>0.13385383348445759</v>
      </c>
      <c r="T365">
        <v>9.8472569650916233E-2</v>
      </c>
      <c r="U365">
        <v>7.9881045005745083E-2</v>
      </c>
      <c r="V365">
        <v>3.7337629498565522E-3</v>
      </c>
      <c r="W365">
        <v>7.6147282055888527E-2</v>
      </c>
    </row>
    <row r="366" spans="1:23" x14ac:dyDescent="0.25">
      <c r="A366">
        <v>39</v>
      </c>
      <c r="B366" t="s">
        <v>35</v>
      </c>
      <c r="C366" t="s">
        <v>31</v>
      </c>
      <c r="D366">
        <v>179367</v>
      </c>
      <c r="E366">
        <v>96.959999999999965</v>
      </c>
      <c r="F366">
        <v>59.304999999999971</v>
      </c>
      <c r="G366">
        <v>97.008479999999963</v>
      </c>
      <c r="H366">
        <v>59.275347499999967</v>
      </c>
      <c r="I366">
        <v>-3.7640985185425171</v>
      </c>
      <c r="J366">
        <v>0.86694800092781221</v>
      </c>
      <c r="K366">
        <v>0.1031353135313532</v>
      </c>
      <c r="L366">
        <v>-0.14618463888842639</v>
      </c>
      <c r="M366" t="s">
        <v>27</v>
      </c>
      <c r="N366">
        <v>15</v>
      </c>
      <c r="O366" t="s">
        <v>26</v>
      </c>
      <c r="P366">
        <v>179382</v>
      </c>
      <c r="Q366">
        <v>97.059999999999974</v>
      </c>
      <c r="R366">
        <v>59.33499999999998</v>
      </c>
      <c r="S366">
        <v>-0.41561060729824711</v>
      </c>
      <c r="T366">
        <v>5.9279921864822003E-3</v>
      </c>
      <c r="U366">
        <v>-1.274883735805445E-2</v>
      </c>
      <c r="V366">
        <v>3.734029053854697E-3</v>
      </c>
      <c r="W366">
        <v>-1.6482866411909151E-2</v>
      </c>
    </row>
    <row r="367" spans="1:23" x14ac:dyDescent="0.25">
      <c r="A367">
        <v>39</v>
      </c>
      <c r="B367" t="s">
        <v>35</v>
      </c>
      <c r="C367" t="s">
        <v>31</v>
      </c>
      <c r="D367">
        <v>179893</v>
      </c>
      <c r="E367">
        <v>97.219999999999956</v>
      </c>
      <c r="F367">
        <v>59.800000000000018</v>
      </c>
      <c r="G367">
        <v>97.268609999999953</v>
      </c>
      <c r="H367">
        <v>59.770100000000021</v>
      </c>
      <c r="I367">
        <v>-3.5638411432114658</v>
      </c>
      <c r="J367">
        <v>0.86694800092781221</v>
      </c>
      <c r="K367">
        <v>0.1028594939312899</v>
      </c>
      <c r="L367">
        <v>-0.14497458209495179</v>
      </c>
      <c r="M367" t="s">
        <v>27</v>
      </c>
      <c r="N367">
        <v>1</v>
      </c>
      <c r="O367" t="s">
        <v>26</v>
      </c>
      <c r="P367">
        <v>179894</v>
      </c>
      <c r="Q367">
        <v>97.71</v>
      </c>
      <c r="R367">
        <v>59.78</v>
      </c>
      <c r="S367">
        <v>0.24238460131500439</v>
      </c>
      <c r="T367">
        <v>5.330064366823746E-2</v>
      </c>
      <c r="U367">
        <v>3.460741282876971E-2</v>
      </c>
      <c r="V367">
        <v>3.734029053854697E-3</v>
      </c>
      <c r="W367">
        <v>3.0873383774915011E-2</v>
      </c>
    </row>
    <row r="368" spans="1:23" x14ac:dyDescent="0.25">
      <c r="A368">
        <v>40</v>
      </c>
      <c r="B368" t="s">
        <v>23</v>
      </c>
      <c r="C368" t="s">
        <v>31</v>
      </c>
      <c r="D368">
        <v>180001</v>
      </c>
      <c r="E368">
        <v>200.78</v>
      </c>
      <c r="F368">
        <v>59.174999999999969</v>
      </c>
      <c r="G368">
        <v>200.67961000000011</v>
      </c>
      <c r="H368">
        <v>59.204587499999967</v>
      </c>
      <c r="I368">
        <v>5.2946379815937554</v>
      </c>
      <c r="J368">
        <v>0.34998907931129231</v>
      </c>
      <c r="K368">
        <v>-4.980575754557226E-2</v>
      </c>
      <c r="L368">
        <v>5.9144753580277563E-2</v>
      </c>
      <c r="M368" t="s">
        <v>25</v>
      </c>
      <c r="N368">
        <v>23</v>
      </c>
      <c r="O368" t="s">
        <v>26</v>
      </c>
      <c r="P368">
        <v>180024</v>
      </c>
      <c r="Q368">
        <v>199.98</v>
      </c>
      <c r="R368">
        <v>58.899999999999977</v>
      </c>
      <c r="S368">
        <v>0.49032930131618457</v>
      </c>
      <c r="T368">
        <v>2.357979880188538E-2</v>
      </c>
      <c r="U368">
        <v>1.01079627154099E-2</v>
      </c>
      <c r="V368">
        <v>2.6993281477018958E-3</v>
      </c>
      <c r="W368">
        <v>7.4086345677079994E-3</v>
      </c>
    </row>
    <row r="369" spans="1:23" x14ac:dyDescent="0.25">
      <c r="A369">
        <v>40</v>
      </c>
      <c r="B369" t="s">
        <v>23</v>
      </c>
      <c r="C369" t="s">
        <v>31</v>
      </c>
      <c r="D369">
        <v>180270</v>
      </c>
      <c r="E369">
        <v>200.375</v>
      </c>
      <c r="F369">
        <v>59.340000000000018</v>
      </c>
      <c r="G369">
        <v>200.4751875</v>
      </c>
      <c r="H369">
        <v>59.310330000000022</v>
      </c>
      <c r="I369">
        <v>-4.1069200915301982</v>
      </c>
      <c r="J369">
        <v>0.34998907931129231</v>
      </c>
      <c r="K369">
        <v>4.990642545227697E-2</v>
      </c>
      <c r="L369">
        <v>-5.8980296479826798E-2</v>
      </c>
      <c r="M369" t="s">
        <v>27</v>
      </c>
      <c r="N369">
        <v>5</v>
      </c>
      <c r="O369" t="s">
        <v>26</v>
      </c>
      <c r="P369">
        <v>180275</v>
      </c>
      <c r="Q369">
        <v>201.19</v>
      </c>
      <c r="R369">
        <v>59.095000000000013</v>
      </c>
      <c r="S369">
        <v>0.48435742471805732</v>
      </c>
      <c r="T369">
        <v>5.5123909381162448E-2</v>
      </c>
      <c r="U369">
        <v>4.1610906805998063E-2</v>
      </c>
      <c r="V369">
        <v>2.7006281695432731E-3</v>
      </c>
      <c r="W369">
        <v>3.8910278636454791E-2</v>
      </c>
    </row>
    <row r="370" spans="1:23" x14ac:dyDescent="0.25">
      <c r="A370">
        <v>40</v>
      </c>
      <c r="B370" t="s">
        <v>23</v>
      </c>
      <c r="C370" t="s">
        <v>31</v>
      </c>
      <c r="D370">
        <v>180602</v>
      </c>
      <c r="E370">
        <v>198.73</v>
      </c>
      <c r="F370">
        <v>58.684999999999981</v>
      </c>
      <c r="G370">
        <v>198.829365</v>
      </c>
      <c r="H370">
        <v>58.655657499999982</v>
      </c>
      <c r="I370">
        <v>-3.896012719197576</v>
      </c>
      <c r="J370">
        <v>0.34998907931129231</v>
      </c>
      <c r="K370">
        <v>5.0319529009208469E-2</v>
      </c>
      <c r="L370">
        <v>-5.9638592367946233E-2</v>
      </c>
      <c r="M370" t="s">
        <v>27</v>
      </c>
      <c r="N370">
        <v>10</v>
      </c>
      <c r="O370" t="s">
        <v>26</v>
      </c>
      <c r="P370">
        <v>180612</v>
      </c>
      <c r="Q370">
        <v>199.03000000000009</v>
      </c>
      <c r="R370">
        <v>58.72000000000002</v>
      </c>
      <c r="S370">
        <v>0.39679528665127678</v>
      </c>
      <c r="T370">
        <v>1.300850796988409E-2</v>
      </c>
      <c r="U370">
        <v>-4.9997442794508674E-4</v>
      </c>
      <c r="V370">
        <v>2.700628169543274E-3</v>
      </c>
      <c r="W370">
        <v>-3.2006025974883599E-3</v>
      </c>
    </row>
    <row r="371" spans="1:23" x14ac:dyDescent="0.25">
      <c r="A371">
        <v>40</v>
      </c>
      <c r="B371" t="s">
        <v>23</v>
      </c>
      <c r="C371" t="s">
        <v>31</v>
      </c>
      <c r="D371">
        <v>180920</v>
      </c>
      <c r="E371">
        <v>197.4</v>
      </c>
      <c r="F371">
        <v>58.34999999999998</v>
      </c>
      <c r="G371">
        <v>197.49870000000001</v>
      </c>
      <c r="H371">
        <v>58.320824999999992</v>
      </c>
      <c r="I371">
        <v>-3.9627264084382881</v>
      </c>
      <c r="J371">
        <v>0.34998907931129231</v>
      </c>
      <c r="K371">
        <v>5.065856129685916E-2</v>
      </c>
      <c r="L371">
        <v>-5.9980990456091253E-2</v>
      </c>
      <c r="M371" t="s">
        <v>27</v>
      </c>
      <c r="N371">
        <v>9</v>
      </c>
      <c r="O371" t="s">
        <v>26</v>
      </c>
      <c r="P371">
        <v>180929</v>
      </c>
      <c r="Q371">
        <v>197.57</v>
      </c>
      <c r="R371">
        <v>58.355000000000011</v>
      </c>
      <c r="S371">
        <v>8.0960223886350643E-2</v>
      </c>
      <c r="T371">
        <v>8.3120504681816702E-3</v>
      </c>
      <c r="U371">
        <v>-5.1922962551156603E-3</v>
      </c>
      <c r="V371">
        <v>2.700628169543274E-3</v>
      </c>
      <c r="W371">
        <v>-7.8929244246589338E-3</v>
      </c>
    </row>
    <row r="372" spans="1:23" x14ac:dyDescent="0.25">
      <c r="A372">
        <v>40</v>
      </c>
      <c r="B372" t="s">
        <v>23</v>
      </c>
      <c r="C372" t="s">
        <v>31</v>
      </c>
      <c r="D372">
        <v>181015</v>
      </c>
      <c r="E372">
        <v>197.53000000000009</v>
      </c>
      <c r="F372">
        <v>58.655000000000001</v>
      </c>
      <c r="G372">
        <v>197.62876499999999</v>
      </c>
      <c r="H372">
        <v>58.625672500000007</v>
      </c>
      <c r="I372">
        <v>-3.5167805596353729</v>
      </c>
      <c r="J372">
        <v>0.34998907931129231</v>
      </c>
      <c r="K372">
        <v>5.0625221485343992E-2</v>
      </c>
      <c r="L372">
        <v>-5.9669095441359177E-2</v>
      </c>
      <c r="M372" t="s">
        <v>27</v>
      </c>
      <c r="N372">
        <v>16</v>
      </c>
      <c r="O372" t="s">
        <v>26</v>
      </c>
      <c r="P372">
        <v>181031</v>
      </c>
      <c r="Q372">
        <v>197.35000000000011</v>
      </c>
      <c r="R372">
        <v>58.564999999999984</v>
      </c>
      <c r="S372">
        <v>-0.1844380756171333</v>
      </c>
      <c r="T372">
        <v>-3.7423212776388848E-3</v>
      </c>
      <c r="U372">
        <v>-1.7234970691521089E-2</v>
      </c>
      <c r="V372">
        <v>2.700628169543274E-3</v>
      </c>
      <c r="W372">
        <v>-1.9935598861064361E-2</v>
      </c>
    </row>
    <row r="373" spans="1:23" x14ac:dyDescent="0.25">
      <c r="A373">
        <v>40</v>
      </c>
      <c r="B373" t="s">
        <v>23</v>
      </c>
      <c r="C373" t="s">
        <v>31</v>
      </c>
      <c r="D373">
        <v>181440</v>
      </c>
      <c r="E373">
        <v>197.73</v>
      </c>
      <c r="F373">
        <v>57.695000000000022</v>
      </c>
      <c r="G373">
        <v>197.631135</v>
      </c>
      <c r="H373">
        <v>57.723847500000019</v>
      </c>
      <c r="I373">
        <v>3.8590482489284348</v>
      </c>
      <c r="J373">
        <v>0.34998907931129231</v>
      </c>
      <c r="K373">
        <v>-5.0574015071056501E-2</v>
      </c>
      <c r="L373">
        <v>6.0661942856623997E-2</v>
      </c>
      <c r="M373" t="s">
        <v>25</v>
      </c>
      <c r="N373">
        <v>24</v>
      </c>
      <c r="O373" t="s">
        <v>26</v>
      </c>
      <c r="P373">
        <v>181464</v>
      </c>
      <c r="Q373">
        <v>198.375</v>
      </c>
      <c r="R373">
        <v>58.214999999999989</v>
      </c>
      <c r="S373">
        <v>0.48479911464981651</v>
      </c>
      <c r="T373">
        <v>-1.0760294353908751E-3</v>
      </c>
      <c r="U373">
        <v>-1.460800245350592E-2</v>
      </c>
      <c r="V373">
        <v>2.6993281477018958E-3</v>
      </c>
      <c r="W373">
        <v>-1.7307330601207819E-2</v>
      </c>
    </row>
    <row r="374" spans="1:23" x14ac:dyDescent="0.25">
      <c r="A374">
        <v>40</v>
      </c>
      <c r="B374" t="s">
        <v>23</v>
      </c>
      <c r="C374" t="s">
        <v>31</v>
      </c>
      <c r="D374">
        <v>181776</v>
      </c>
      <c r="E374">
        <v>200.36</v>
      </c>
      <c r="F374">
        <v>58.619999999999983</v>
      </c>
      <c r="G374">
        <v>200.46018000000001</v>
      </c>
      <c r="H374">
        <v>58.590689999999981</v>
      </c>
      <c r="I374">
        <v>-3.6767963662380261</v>
      </c>
      <c r="J374">
        <v>0.34998907931129231</v>
      </c>
      <c r="K374">
        <v>4.9910161708923928E-2</v>
      </c>
      <c r="L374">
        <v>-5.9704721820418361E-2</v>
      </c>
      <c r="M374" t="s">
        <v>27</v>
      </c>
      <c r="N374">
        <v>12</v>
      </c>
      <c r="O374" t="s">
        <v>26</v>
      </c>
      <c r="P374">
        <v>181788</v>
      </c>
      <c r="Q374">
        <v>200.27500000000009</v>
      </c>
      <c r="R374">
        <v>58.505000000000003</v>
      </c>
      <c r="S374">
        <v>-0.49885704289135002</v>
      </c>
      <c r="T374">
        <v>2.6236792640908632E-3</v>
      </c>
      <c r="U374">
        <v>-1.087065732564352E-2</v>
      </c>
      <c r="V374">
        <v>2.700628169543274E-3</v>
      </c>
      <c r="W374">
        <v>-1.357128549518679E-2</v>
      </c>
    </row>
    <row r="375" spans="1:23" x14ac:dyDescent="0.25">
      <c r="A375">
        <v>40</v>
      </c>
      <c r="B375" t="s">
        <v>23</v>
      </c>
      <c r="C375" t="s">
        <v>31</v>
      </c>
      <c r="D375">
        <v>182042</v>
      </c>
      <c r="E375">
        <v>199.2</v>
      </c>
      <c r="F375">
        <v>57.750000000000021</v>
      </c>
      <c r="G375">
        <v>199.29959999999991</v>
      </c>
      <c r="H375">
        <v>57.721125000000022</v>
      </c>
      <c r="I375">
        <v>-4.796498575641281</v>
      </c>
      <c r="J375">
        <v>0.34998907931129231</v>
      </c>
      <c r="K375">
        <v>5.0200803212851412E-2</v>
      </c>
      <c r="L375">
        <v>-6.0604169577712932E-2</v>
      </c>
      <c r="M375" t="s">
        <v>27</v>
      </c>
      <c r="N375">
        <v>23</v>
      </c>
      <c r="O375" t="s">
        <v>26</v>
      </c>
      <c r="P375">
        <v>182065</v>
      </c>
      <c r="Q375">
        <v>199.21000000000009</v>
      </c>
      <c r="R375">
        <v>57.780000000000008</v>
      </c>
      <c r="S375">
        <v>-0.27291303384104743</v>
      </c>
      <c r="T375">
        <v>-1.3161170551968309E-3</v>
      </c>
      <c r="U375">
        <v>-1.4817167914868151E-2</v>
      </c>
      <c r="V375">
        <v>2.700628169543274E-3</v>
      </c>
      <c r="W375">
        <v>-1.7517796084411421E-2</v>
      </c>
    </row>
    <row r="376" spans="1:23" x14ac:dyDescent="0.25">
      <c r="A376">
        <v>40</v>
      </c>
      <c r="B376" t="s">
        <v>23</v>
      </c>
      <c r="C376" t="s">
        <v>31</v>
      </c>
      <c r="D376">
        <v>182092</v>
      </c>
      <c r="E376">
        <v>199.58999999999989</v>
      </c>
      <c r="F376">
        <v>57.87</v>
      </c>
      <c r="G376">
        <v>199.49020499999989</v>
      </c>
      <c r="H376">
        <v>57.898934999999987</v>
      </c>
      <c r="I376">
        <v>4.289591634524438</v>
      </c>
      <c r="J376">
        <v>0.34998907931129231</v>
      </c>
      <c r="K376">
        <v>-5.0102710556641131E-2</v>
      </c>
      <c r="L376">
        <v>6.0478499967391103E-2</v>
      </c>
      <c r="M376" t="s">
        <v>25</v>
      </c>
      <c r="N376">
        <v>23</v>
      </c>
      <c r="O376" t="s">
        <v>26</v>
      </c>
      <c r="P376">
        <v>182115</v>
      </c>
      <c r="Q376">
        <v>199.78</v>
      </c>
      <c r="R376">
        <v>57.91500000000002</v>
      </c>
      <c r="S376">
        <v>0.49408430509541201</v>
      </c>
      <c r="T376">
        <v>-6.797982507229133E-3</v>
      </c>
      <c r="U376">
        <v>-2.0303993824093251E-2</v>
      </c>
      <c r="V376">
        <v>2.6993281477018958E-3</v>
      </c>
      <c r="W376">
        <v>-2.3003321971795151E-2</v>
      </c>
    </row>
    <row r="377" spans="1:23" x14ac:dyDescent="0.25">
      <c r="A377">
        <v>40</v>
      </c>
      <c r="B377" t="s">
        <v>23</v>
      </c>
      <c r="C377" t="s">
        <v>31</v>
      </c>
      <c r="D377">
        <v>182217</v>
      </c>
      <c r="E377">
        <v>199.7</v>
      </c>
      <c r="F377">
        <v>57.874999999999993</v>
      </c>
      <c r="G377">
        <v>199.60015000000001</v>
      </c>
      <c r="H377">
        <v>57.903937499999977</v>
      </c>
      <c r="I377">
        <v>3.6684703705671859</v>
      </c>
      <c r="J377">
        <v>0.34998907931129231</v>
      </c>
      <c r="K377">
        <v>-5.0075112669003517E-2</v>
      </c>
      <c r="L377">
        <v>6.0473275042987877E-2</v>
      </c>
      <c r="M377" t="s">
        <v>25</v>
      </c>
      <c r="N377">
        <v>26</v>
      </c>
      <c r="O377" t="s">
        <v>26</v>
      </c>
      <c r="P377">
        <v>182243</v>
      </c>
      <c r="Q377">
        <v>194.91000000000011</v>
      </c>
      <c r="R377">
        <v>57.034999999999989</v>
      </c>
      <c r="S377">
        <v>-0.38840265952574188</v>
      </c>
      <c r="T377">
        <v>0.18906223864841121</v>
      </c>
      <c r="U377">
        <v>0.17570767652566011</v>
      </c>
      <c r="V377">
        <v>2.6993281477018958E-3</v>
      </c>
      <c r="W377">
        <v>0.1730083483779582</v>
      </c>
    </row>
    <row r="378" spans="1:23" x14ac:dyDescent="0.25">
      <c r="A378">
        <v>40</v>
      </c>
      <c r="B378" t="s">
        <v>23</v>
      </c>
      <c r="C378" t="s">
        <v>31</v>
      </c>
      <c r="D378">
        <v>182387</v>
      </c>
      <c r="E378">
        <v>194.50000000000011</v>
      </c>
      <c r="F378">
        <v>57.134999999999977</v>
      </c>
      <c r="G378">
        <v>194.59725000000009</v>
      </c>
      <c r="H378">
        <v>57.10643249999999</v>
      </c>
      <c r="I378">
        <v>-3.6711593925280379</v>
      </c>
      <c r="J378">
        <v>0.34998907931129231</v>
      </c>
      <c r="K378">
        <v>5.141388174807196E-2</v>
      </c>
      <c r="L378">
        <v>-6.1256511649828017E-2</v>
      </c>
      <c r="M378" t="s">
        <v>27</v>
      </c>
      <c r="N378">
        <v>32</v>
      </c>
      <c r="O378" t="s">
        <v>26</v>
      </c>
      <c r="P378">
        <v>182419</v>
      </c>
      <c r="Q378">
        <v>194.50000000000011</v>
      </c>
      <c r="R378">
        <v>57.380000000000017</v>
      </c>
      <c r="S378">
        <v>-0.39090670164921082</v>
      </c>
      <c r="T378">
        <v>-1.5007845354209889E-2</v>
      </c>
      <c r="U378">
        <v>-2.8515240069999649E-2</v>
      </c>
      <c r="V378">
        <v>2.700628169543274E-3</v>
      </c>
      <c r="W378">
        <v>-3.1215868239542921E-2</v>
      </c>
    </row>
    <row r="379" spans="1:23" x14ac:dyDescent="0.25">
      <c r="A379">
        <v>40</v>
      </c>
      <c r="B379" t="s">
        <v>23</v>
      </c>
      <c r="C379" t="s">
        <v>31</v>
      </c>
      <c r="D379">
        <v>182434</v>
      </c>
      <c r="E379">
        <v>194.68000000000009</v>
      </c>
      <c r="F379">
        <v>57.235000000000028</v>
      </c>
      <c r="G379">
        <v>194.58266000000009</v>
      </c>
      <c r="H379">
        <v>57.263617500000016</v>
      </c>
      <c r="I379">
        <v>3.879472425820357</v>
      </c>
      <c r="J379">
        <v>0.34998907931129231</v>
      </c>
      <c r="K379">
        <v>-5.1366344770906083E-2</v>
      </c>
      <c r="L379">
        <v>6.1149485334374448E-2</v>
      </c>
      <c r="M379" t="s">
        <v>25</v>
      </c>
      <c r="N379">
        <v>8</v>
      </c>
      <c r="O379" t="s">
        <v>26</v>
      </c>
      <c r="P379">
        <v>182442</v>
      </c>
      <c r="Q379">
        <v>194.31</v>
      </c>
      <c r="R379">
        <v>57.185000000000002</v>
      </c>
      <c r="S379">
        <v>-0.29073988198425382</v>
      </c>
      <c r="T379">
        <v>1.5948073298516659E-2</v>
      </c>
      <c r="U379">
        <v>2.4592140163208422E-3</v>
      </c>
      <c r="V379">
        <v>2.6993281477018958E-3</v>
      </c>
      <c r="W379">
        <v>-2.4011413138105411E-4</v>
      </c>
    </row>
    <row r="380" spans="1:23" x14ac:dyDescent="0.25">
      <c r="A380">
        <v>40</v>
      </c>
      <c r="B380" t="s">
        <v>23</v>
      </c>
      <c r="C380" t="s">
        <v>31</v>
      </c>
      <c r="D380">
        <v>182610</v>
      </c>
      <c r="E380">
        <v>194.33</v>
      </c>
      <c r="F380">
        <v>58.090000000000018</v>
      </c>
      <c r="G380">
        <v>194.42716499999989</v>
      </c>
      <c r="H380">
        <v>58.060955000000028</v>
      </c>
      <c r="I380">
        <v>-4.8217217344676344</v>
      </c>
      <c r="J380">
        <v>0.34998907931129231</v>
      </c>
      <c r="K380">
        <v>5.1458858642515322E-2</v>
      </c>
      <c r="L380">
        <v>-6.0249454176500628E-2</v>
      </c>
      <c r="M380" t="s">
        <v>27</v>
      </c>
      <c r="N380">
        <v>20</v>
      </c>
      <c r="O380" t="s">
        <v>26</v>
      </c>
      <c r="P380">
        <v>182630</v>
      </c>
      <c r="Q380">
        <v>194.50999999999991</v>
      </c>
      <c r="R380">
        <v>57.950000000000031</v>
      </c>
      <c r="S380">
        <v>-0.49098692368202179</v>
      </c>
      <c r="T380">
        <v>1.7697518140361339E-2</v>
      </c>
      <c r="U380">
        <v>4.197213511764478E-3</v>
      </c>
      <c r="V380">
        <v>2.700628169543274E-3</v>
      </c>
      <c r="W380">
        <v>1.496585342221204E-3</v>
      </c>
    </row>
    <row r="381" spans="1:23" x14ac:dyDescent="0.25">
      <c r="A381">
        <v>40</v>
      </c>
      <c r="B381" t="s">
        <v>23</v>
      </c>
      <c r="C381" t="s">
        <v>31</v>
      </c>
      <c r="D381">
        <v>182919</v>
      </c>
      <c r="E381">
        <v>192.51499999999999</v>
      </c>
      <c r="F381">
        <v>57.370000000000012</v>
      </c>
      <c r="G381">
        <v>192.61125749999999</v>
      </c>
      <c r="H381">
        <v>57.341315000000023</v>
      </c>
      <c r="I381">
        <v>-3.905996731667301</v>
      </c>
      <c r="J381">
        <v>0.34998907931129231</v>
      </c>
      <c r="K381">
        <v>5.194400436329636E-2</v>
      </c>
      <c r="L381">
        <v>-6.1005591652656829E-2</v>
      </c>
      <c r="M381" t="s">
        <v>27</v>
      </c>
      <c r="N381">
        <v>25</v>
      </c>
      <c r="O381" t="s">
        <v>26</v>
      </c>
      <c r="P381">
        <v>182944</v>
      </c>
      <c r="Q381">
        <v>192.38</v>
      </c>
      <c r="R381">
        <v>57.400000000000013</v>
      </c>
      <c r="S381">
        <v>4.0793550650981912E-2</v>
      </c>
      <c r="T381">
        <v>-8.8426083386272634E-3</v>
      </c>
      <c r="U381">
        <v>-2.2339907995317591E-2</v>
      </c>
      <c r="V381">
        <v>2.700628169543274E-3</v>
      </c>
      <c r="W381">
        <v>-2.504053616486086E-2</v>
      </c>
    </row>
    <row r="382" spans="1:23" x14ac:dyDescent="0.25">
      <c r="A382">
        <v>40</v>
      </c>
      <c r="B382" t="s">
        <v>23</v>
      </c>
      <c r="C382" t="s">
        <v>31</v>
      </c>
      <c r="D382">
        <v>182966</v>
      </c>
      <c r="E382">
        <v>191.755</v>
      </c>
      <c r="F382">
        <v>57.314999999999998</v>
      </c>
      <c r="G382">
        <v>191.8508775</v>
      </c>
      <c r="H382">
        <v>57.286342500000011</v>
      </c>
      <c r="I382">
        <v>-3.6409576545146911</v>
      </c>
      <c r="J382">
        <v>0.34998907931129231</v>
      </c>
      <c r="K382">
        <v>5.214987875153191E-2</v>
      </c>
      <c r="L382">
        <v>-6.1064133178276588E-2</v>
      </c>
      <c r="M382" t="s">
        <v>27</v>
      </c>
      <c r="N382">
        <v>11</v>
      </c>
      <c r="O382" t="s">
        <v>26</v>
      </c>
      <c r="P382">
        <v>182977</v>
      </c>
      <c r="Q382">
        <v>191.8899999999999</v>
      </c>
      <c r="R382">
        <v>57.275000000000013</v>
      </c>
      <c r="S382">
        <v>-7.7663699997529631E-2</v>
      </c>
      <c r="T382">
        <v>9.4827989585854287E-3</v>
      </c>
      <c r="U382">
        <v>-4.0193906686790352E-3</v>
      </c>
      <c r="V382">
        <v>2.700628169543274E-3</v>
      </c>
      <c r="W382">
        <v>-6.7200188382223087E-3</v>
      </c>
    </row>
    <row r="383" spans="1:23" x14ac:dyDescent="0.25">
      <c r="A383">
        <v>40</v>
      </c>
      <c r="B383" t="s">
        <v>23</v>
      </c>
      <c r="C383" t="s">
        <v>31</v>
      </c>
      <c r="D383">
        <v>183005</v>
      </c>
      <c r="E383">
        <v>192.125</v>
      </c>
      <c r="F383">
        <v>56.864999999999988</v>
      </c>
      <c r="G383">
        <v>192.02893750000001</v>
      </c>
      <c r="H383">
        <v>56.893432499999989</v>
      </c>
      <c r="I383">
        <v>3.5159934249394751</v>
      </c>
      <c r="J383">
        <v>0.34998907931129231</v>
      </c>
      <c r="K383">
        <v>-5.2049446974625893E-2</v>
      </c>
      <c r="L383">
        <v>6.1547362931731707E-2</v>
      </c>
      <c r="M383" t="s">
        <v>25</v>
      </c>
      <c r="N383">
        <v>5</v>
      </c>
      <c r="O383" t="s">
        <v>26</v>
      </c>
      <c r="P383">
        <v>183010</v>
      </c>
      <c r="Q383">
        <v>191.47</v>
      </c>
      <c r="R383">
        <v>56.860000000000007</v>
      </c>
      <c r="S383">
        <v>0.14359981933086879</v>
      </c>
      <c r="T383">
        <v>3.3784650953723558E-2</v>
      </c>
      <c r="U383">
        <v>2.0301960222903641E-2</v>
      </c>
      <c r="V383">
        <v>2.6993281477018958E-3</v>
      </c>
      <c r="W383">
        <v>1.7602632075201741E-2</v>
      </c>
    </row>
    <row r="384" spans="1:23" x14ac:dyDescent="0.25">
      <c r="A384">
        <v>40</v>
      </c>
      <c r="B384" t="s">
        <v>23</v>
      </c>
      <c r="C384" t="s">
        <v>31</v>
      </c>
      <c r="D384">
        <v>183392</v>
      </c>
      <c r="E384">
        <v>191.46000000000009</v>
      </c>
      <c r="F384">
        <v>57.279999999999987</v>
      </c>
      <c r="G384">
        <v>191.5557300000001</v>
      </c>
      <c r="H384">
        <v>57.251359999999998</v>
      </c>
      <c r="I384">
        <v>-5.0908629761291344</v>
      </c>
      <c r="J384">
        <v>0.34998907931129231</v>
      </c>
      <c r="K384">
        <v>5.2230230857620373E-2</v>
      </c>
      <c r="L384">
        <v>-6.1101445410490979E-2</v>
      </c>
      <c r="M384" t="s">
        <v>27</v>
      </c>
      <c r="N384">
        <v>10</v>
      </c>
      <c r="O384" t="s">
        <v>26</v>
      </c>
      <c r="P384">
        <v>183402</v>
      </c>
      <c r="Q384">
        <v>193.05500000000001</v>
      </c>
      <c r="R384">
        <v>57.22000000000002</v>
      </c>
      <c r="S384">
        <v>-0.31399777816500068</v>
      </c>
      <c r="T384">
        <v>8.6973304942527821E-2</v>
      </c>
      <c r="U384">
        <v>7.3433593583669854E-2</v>
      </c>
      <c r="V384">
        <v>2.700628169543274E-3</v>
      </c>
      <c r="W384">
        <v>7.0732965414126575E-2</v>
      </c>
    </row>
    <row r="385" spans="1:23" x14ac:dyDescent="0.25">
      <c r="A385">
        <v>40</v>
      </c>
      <c r="B385" t="s">
        <v>23</v>
      </c>
      <c r="C385" t="s">
        <v>31</v>
      </c>
      <c r="D385">
        <v>183782</v>
      </c>
      <c r="E385">
        <v>193.24</v>
      </c>
      <c r="F385">
        <v>57.260000000000012</v>
      </c>
      <c r="G385">
        <v>193.33662000000001</v>
      </c>
      <c r="H385">
        <v>57.231370000000013</v>
      </c>
      <c r="I385">
        <v>-3.5579161349195552</v>
      </c>
      <c r="J385">
        <v>0.34998907931129231</v>
      </c>
      <c r="K385">
        <v>5.1749120264955498E-2</v>
      </c>
      <c r="L385">
        <v>-6.1122787165786278E-2</v>
      </c>
      <c r="M385" t="s">
        <v>27</v>
      </c>
      <c r="N385">
        <v>5</v>
      </c>
      <c r="O385" t="s">
        <v>26</v>
      </c>
      <c r="P385">
        <v>183787</v>
      </c>
      <c r="Q385">
        <v>193.79</v>
      </c>
      <c r="R385">
        <v>57.52</v>
      </c>
      <c r="S385">
        <v>-0.39815766700695399</v>
      </c>
      <c r="T385">
        <v>1.2570091482622239E-2</v>
      </c>
      <c r="U385">
        <v>-9.5197628089450578E-4</v>
      </c>
      <c r="V385">
        <v>2.700628169543274E-3</v>
      </c>
      <c r="W385">
        <v>-3.6526044504377789E-3</v>
      </c>
    </row>
    <row r="386" spans="1:23" x14ac:dyDescent="0.25">
      <c r="A386">
        <v>41</v>
      </c>
      <c r="B386" t="s">
        <v>23</v>
      </c>
      <c r="C386" t="s">
        <v>31</v>
      </c>
      <c r="D386">
        <v>183901</v>
      </c>
      <c r="E386">
        <v>194.72499999999999</v>
      </c>
      <c r="F386">
        <v>57.7</v>
      </c>
      <c r="G386">
        <v>194.62763749999999</v>
      </c>
      <c r="H386">
        <v>57.728850000000001</v>
      </c>
      <c r="I386">
        <v>5.2946057188438624</v>
      </c>
      <c r="J386">
        <v>0.2339540298381462</v>
      </c>
      <c r="K386">
        <v>-5.1354474258569788E-2</v>
      </c>
      <c r="L386">
        <v>4.0546625621862432E-2</v>
      </c>
      <c r="M386" t="s">
        <v>25</v>
      </c>
      <c r="N386">
        <v>23</v>
      </c>
      <c r="O386" t="s">
        <v>26</v>
      </c>
      <c r="P386">
        <v>183924</v>
      </c>
      <c r="Q386">
        <v>194.14500000000001</v>
      </c>
      <c r="R386">
        <v>57.594999999999999</v>
      </c>
      <c r="S386">
        <v>0.48638100117141247</v>
      </c>
      <c r="T386">
        <v>2.552819937967394E-2</v>
      </c>
      <c r="U386">
        <v>1.320568057667291E-2</v>
      </c>
      <c r="V386">
        <v>2.4671420137061311E-3</v>
      </c>
      <c r="W386">
        <v>1.073853856296678E-2</v>
      </c>
    </row>
    <row r="387" spans="1:23" x14ac:dyDescent="0.25">
      <c r="A387">
        <v>41</v>
      </c>
      <c r="B387" t="s">
        <v>23</v>
      </c>
      <c r="C387" t="s">
        <v>31</v>
      </c>
      <c r="D387">
        <v>184734</v>
      </c>
      <c r="E387">
        <v>197.23</v>
      </c>
      <c r="F387">
        <v>58.850000000000023</v>
      </c>
      <c r="G387">
        <v>197.13138499999999</v>
      </c>
      <c r="H387">
        <v>58.879425000000012</v>
      </c>
      <c r="I387">
        <v>3.9016413961329759</v>
      </c>
      <c r="J387">
        <v>0.2339540298381462</v>
      </c>
      <c r="K387">
        <v>-5.0702225827713852E-2</v>
      </c>
      <c r="L387">
        <v>3.9754295639447088E-2</v>
      </c>
      <c r="M387" t="s">
        <v>25</v>
      </c>
      <c r="N387">
        <v>40</v>
      </c>
      <c r="O387" t="s">
        <v>26</v>
      </c>
      <c r="P387">
        <v>184774</v>
      </c>
      <c r="Q387">
        <v>197.715</v>
      </c>
      <c r="R387">
        <v>58.919999999999987</v>
      </c>
      <c r="S387">
        <v>0.49977220589394128</v>
      </c>
      <c r="T387">
        <v>-2.180777883168317E-2</v>
      </c>
      <c r="U387">
        <v>-3.4161005820173833E-2</v>
      </c>
      <c r="V387">
        <v>2.4671420137061311E-3</v>
      </c>
      <c r="W387">
        <v>-3.6628147833879958E-2</v>
      </c>
    </row>
    <row r="388" spans="1:23" x14ac:dyDescent="0.25">
      <c r="A388">
        <v>41</v>
      </c>
      <c r="B388" t="s">
        <v>23</v>
      </c>
      <c r="C388" t="s">
        <v>31</v>
      </c>
      <c r="D388">
        <v>184895</v>
      </c>
      <c r="E388">
        <v>198.87499999999989</v>
      </c>
      <c r="F388">
        <v>59.069999999999993</v>
      </c>
      <c r="G388">
        <v>198.97443749999991</v>
      </c>
      <c r="H388">
        <v>59.040464999999998</v>
      </c>
      <c r="I388">
        <v>-3.981471585731045</v>
      </c>
      <c r="J388">
        <v>0.2339540298381462</v>
      </c>
      <c r="K388">
        <v>5.0282840980515421E-2</v>
      </c>
      <c r="L388">
        <v>-3.9606234948052522E-2</v>
      </c>
      <c r="M388" t="s">
        <v>27</v>
      </c>
      <c r="N388">
        <v>18</v>
      </c>
      <c r="O388" t="s">
        <v>26</v>
      </c>
      <c r="P388">
        <v>184913</v>
      </c>
      <c r="Q388">
        <v>198.62999999999991</v>
      </c>
      <c r="R388">
        <v>58.93</v>
      </c>
      <c r="S388">
        <v>-0.48047453289117509</v>
      </c>
      <c r="T388">
        <v>-6.7744231474979816E-3</v>
      </c>
      <c r="U388">
        <v>-1.910503136141176E-2</v>
      </c>
      <c r="V388">
        <v>2.468674105646454E-3</v>
      </c>
      <c r="W388">
        <v>-2.1573705467058221E-2</v>
      </c>
    </row>
    <row r="389" spans="1:23" x14ac:dyDescent="0.25">
      <c r="A389">
        <v>41</v>
      </c>
      <c r="B389" t="s">
        <v>23</v>
      </c>
      <c r="C389" t="s">
        <v>31</v>
      </c>
      <c r="D389">
        <v>184953</v>
      </c>
      <c r="E389">
        <v>196.41</v>
      </c>
      <c r="F389">
        <v>58.890000000000008</v>
      </c>
      <c r="G389">
        <v>196.508205</v>
      </c>
      <c r="H389">
        <v>58.860555000000019</v>
      </c>
      <c r="I389">
        <v>-4.7787338816633396</v>
      </c>
      <c r="J389">
        <v>0.2339540298381462</v>
      </c>
      <c r="K389">
        <v>5.0913904587342802E-2</v>
      </c>
      <c r="L389">
        <v>-3.9727293231133658E-2</v>
      </c>
      <c r="M389" t="s">
        <v>27</v>
      </c>
      <c r="N389">
        <v>26</v>
      </c>
      <c r="O389" t="s">
        <v>26</v>
      </c>
      <c r="P389">
        <v>184979</v>
      </c>
      <c r="Q389">
        <v>195.29</v>
      </c>
      <c r="R389">
        <v>57.780000000000008</v>
      </c>
      <c r="S389">
        <v>-0.20299344733978009</v>
      </c>
      <c r="T389">
        <v>-1.292627765126699E-2</v>
      </c>
      <c r="U389">
        <v>-2.521525751533488E-2</v>
      </c>
      <c r="V389">
        <v>2.468674105646454E-3</v>
      </c>
      <c r="W389">
        <v>-2.7683931620981341E-2</v>
      </c>
    </row>
    <row r="390" spans="1:23" x14ac:dyDescent="0.25">
      <c r="A390">
        <v>41</v>
      </c>
      <c r="B390" t="s">
        <v>23</v>
      </c>
      <c r="C390" t="s">
        <v>31</v>
      </c>
      <c r="D390">
        <v>185343</v>
      </c>
      <c r="E390">
        <v>198.01</v>
      </c>
      <c r="F390">
        <v>58.13</v>
      </c>
      <c r="G390">
        <v>197.91099500000001</v>
      </c>
      <c r="H390">
        <v>58.159064999999998</v>
      </c>
      <c r="I390">
        <v>4.2177401239992163</v>
      </c>
      <c r="J390">
        <v>0.2339540298381462</v>
      </c>
      <c r="K390">
        <v>-5.0502499873743743E-2</v>
      </c>
      <c r="L390">
        <v>4.0246693589909892E-2</v>
      </c>
      <c r="M390" t="s">
        <v>25</v>
      </c>
      <c r="N390">
        <v>16</v>
      </c>
      <c r="O390" t="s">
        <v>26</v>
      </c>
      <c r="P390">
        <v>185359</v>
      </c>
      <c r="Q390">
        <v>197.61500000000001</v>
      </c>
      <c r="R390">
        <v>58.399999999999991</v>
      </c>
      <c r="S390">
        <v>0.49358482002420889</v>
      </c>
      <c r="T390">
        <v>3.081509471940596E-2</v>
      </c>
      <c r="U390">
        <v>1.8480095361116809E-2</v>
      </c>
      <c r="V390">
        <v>2.4671420137061311E-3</v>
      </c>
      <c r="W390">
        <v>1.601295334741068E-2</v>
      </c>
    </row>
    <row r="391" spans="1:23" x14ac:dyDescent="0.25">
      <c r="A391">
        <v>41</v>
      </c>
      <c r="B391" t="s">
        <v>23</v>
      </c>
      <c r="C391" t="s">
        <v>31</v>
      </c>
      <c r="D391">
        <v>185673</v>
      </c>
      <c r="E391">
        <v>198.81</v>
      </c>
      <c r="F391">
        <v>59.290000000000013</v>
      </c>
      <c r="G391">
        <v>198.71059500000001</v>
      </c>
      <c r="H391">
        <v>59.319645000000001</v>
      </c>
      <c r="I391">
        <v>4.9180778953535</v>
      </c>
      <c r="J391">
        <v>0.2339540298381462</v>
      </c>
      <c r="K391">
        <v>-5.0299280720285708E-2</v>
      </c>
      <c r="L391">
        <v>3.945927303729907E-2</v>
      </c>
      <c r="M391" t="s">
        <v>25</v>
      </c>
      <c r="N391">
        <v>5</v>
      </c>
      <c r="O391" t="s">
        <v>26</v>
      </c>
      <c r="P391">
        <v>185678</v>
      </c>
      <c r="Q391">
        <v>198.5800000000001</v>
      </c>
      <c r="R391">
        <v>59.29499999999998</v>
      </c>
      <c r="S391">
        <v>0.1248888156587652</v>
      </c>
      <c r="T391">
        <v>1.1766130930844949E-2</v>
      </c>
      <c r="U391">
        <v>-5.6772359843523107E-4</v>
      </c>
      <c r="V391">
        <v>2.4671420137061311E-3</v>
      </c>
      <c r="W391">
        <v>-3.0348656121413622E-3</v>
      </c>
    </row>
    <row r="392" spans="1:23" x14ac:dyDescent="0.25">
      <c r="A392">
        <v>41</v>
      </c>
      <c r="B392" t="s">
        <v>23</v>
      </c>
      <c r="C392" t="s">
        <v>31</v>
      </c>
      <c r="D392">
        <v>185734</v>
      </c>
      <c r="E392">
        <v>198.0750000000001</v>
      </c>
      <c r="F392">
        <v>59.000000000000007</v>
      </c>
      <c r="G392">
        <v>198.17403750000011</v>
      </c>
      <c r="H392">
        <v>58.970500000000023</v>
      </c>
      <c r="I392">
        <v>-3.6833961506525381</v>
      </c>
      <c r="J392">
        <v>0.2339540298381462</v>
      </c>
      <c r="K392">
        <v>5.0485927047835402E-2</v>
      </c>
      <c r="L392">
        <v>-3.9653225396295962E-2</v>
      </c>
      <c r="M392" t="s">
        <v>27</v>
      </c>
      <c r="N392">
        <v>3</v>
      </c>
      <c r="O392" t="s">
        <v>26</v>
      </c>
      <c r="P392">
        <v>185737</v>
      </c>
      <c r="Q392">
        <v>198.6</v>
      </c>
      <c r="R392">
        <v>58.704999999999977</v>
      </c>
      <c r="S392">
        <v>0.23494324837231451</v>
      </c>
      <c r="T392">
        <v>3.8202813192019777E-2</v>
      </c>
      <c r="U392">
        <v>2.5855869188535521E-2</v>
      </c>
      <c r="V392">
        <v>2.468674105646454E-3</v>
      </c>
      <c r="W392">
        <v>2.338719508288906E-2</v>
      </c>
    </row>
    <row r="393" spans="1:23" x14ac:dyDescent="0.25">
      <c r="A393">
        <v>41</v>
      </c>
      <c r="B393" t="s">
        <v>23</v>
      </c>
      <c r="C393" t="s">
        <v>31</v>
      </c>
      <c r="D393">
        <v>186035</v>
      </c>
      <c r="E393">
        <v>198.8549999999999</v>
      </c>
      <c r="F393">
        <v>58.284999999999982</v>
      </c>
      <c r="G393">
        <v>198.75557249999989</v>
      </c>
      <c r="H393">
        <v>58.314142499999967</v>
      </c>
      <c r="I393">
        <v>3.6962084067162491</v>
      </c>
      <c r="J393">
        <v>0.2339540298381462</v>
      </c>
      <c r="K393">
        <v>-5.0287898217294028E-2</v>
      </c>
      <c r="L393">
        <v>4.0139663693599781E-2</v>
      </c>
      <c r="M393" t="s">
        <v>25</v>
      </c>
      <c r="N393">
        <v>4</v>
      </c>
      <c r="O393" t="s">
        <v>26</v>
      </c>
      <c r="P393">
        <v>186039</v>
      </c>
      <c r="Q393">
        <v>198.62999999999991</v>
      </c>
      <c r="R393">
        <v>58.299999999999983</v>
      </c>
      <c r="S393">
        <v>0.49710623041492669</v>
      </c>
      <c r="T393">
        <v>1.191687205429489E-2</v>
      </c>
      <c r="U393">
        <v>-4.1731190301356921E-4</v>
      </c>
      <c r="V393">
        <v>2.4671420137061311E-3</v>
      </c>
      <c r="W393">
        <v>-2.8844539167197001E-3</v>
      </c>
    </row>
    <row r="394" spans="1:23" x14ac:dyDescent="0.25">
      <c r="A394">
        <v>41</v>
      </c>
      <c r="B394" t="s">
        <v>23</v>
      </c>
      <c r="C394" t="s">
        <v>31</v>
      </c>
      <c r="D394">
        <v>186111</v>
      </c>
      <c r="E394">
        <v>197.7700000000001</v>
      </c>
      <c r="F394">
        <v>57.314999999999998</v>
      </c>
      <c r="G394">
        <v>197.86888500000009</v>
      </c>
      <c r="H394">
        <v>57.286342500000011</v>
      </c>
      <c r="I394">
        <v>-3.6710080860615499</v>
      </c>
      <c r="J394">
        <v>0.2339540298381462</v>
      </c>
      <c r="K394">
        <v>5.0563786216311857E-2</v>
      </c>
      <c r="L394">
        <v>-4.0818988020264541E-2</v>
      </c>
      <c r="M394" t="s">
        <v>27</v>
      </c>
      <c r="N394">
        <v>4</v>
      </c>
      <c r="O394" t="s">
        <v>26</v>
      </c>
      <c r="P394">
        <v>186115</v>
      </c>
      <c r="Q394">
        <v>198.15</v>
      </c>
      <c r="R394">
        <v>57.449999999999982</v>
      </c>
      <c r="S394">
        <v>0.1123246668039517</v>
      </c>
      <c r="T394">
        <v>1.37036753794592E-2</v>
      </c>
      <c r="U394">
        <v>1.351772680006007E-3</v>
      </c>
      <c r="V394">
        <v>2.468674105646454E-3</v>
      </c>
      <c r="W394">
        <v>-1.1169014256404469E-3</v>
      </c>
    </row>
    <row r="395" spans="1:23" x14ac:dyDescent="0.25">
      <c r="A395">
        <v>41</v>
      </c>
      <c r="B395" t="s">
        <v>23</v>
      </c>
      <c r="C395" t="s">
        <v>31</v>
      </c>
      <c r="D395">
        <v>186124</v>
      </c>
      <c r="E395">
        <v>197.3</v>
      </c>
      <c r="F395">
        <v>57.240000000000023</v>
      </c>
      <c r="G395">
        <v>197.39864999999989</v>
      </c>
      <c r="H395">
        <v>57.211380000000027</v>
      </c>
      <c r="I395">
        <v>-3.9042109578090489</v>
      </c>
      <c r="J395">
        <v>0.2339540298381462</v>
      </c>
      <c r="K395">
        <v>5.0684237202230122E-2</v>
      </c>
      <c r="L395">
        <v>-4.0872472019242857E-2</v>
      </c>
      <c r="M395" t="s">
        <v>27</v>
      </c>
      <c r="N395">
        <v>41</v>
      </c>
      <c r="O395" t="s">
        <v>26</v>
      </c>
      <c r="P395">
        <v>186165</v>
      </c>
      <c r="Q395">
        <v>196.55999999999989</v>
      </c>
      <c r="R395">
        <v>57.455000000000013</v>
      </c>
      <c r="S395">
        <v>-0.26665112733776197</v>
      </c>
      <c r="T395">
        <v>-4.6293917013788967E-2</v>
      </c>
      <c r="U395">
        <v>-5.8619097935146337E-2</v>
      </c>
      <c r="V395">
        <v>2.468674105646454E-3</v>
      </c>
      <c r="W395">
        <v>-6.1087772040792798E-2</v>
      </c>
    </row>
    <row r="396" spans="1:23" x14ac:dyDescent="0.25">
      <c r="A396">
        <v>41</v>
      </c>
      <c r="B396" t="s">
        <v>23</v>
      </c>
      <c r="C396" t="s">
        <v>31</v>
      </c>
      <c r="D396">
        <v>187296</v>
      </c>
      <c r="E396">
        <v>204.18000000000009</v>
      </c>
      <c r="F396">
        <v>59.610000000000007</v>
      </c>
      <c r="G396">
        <v>204.07791000000009</v>
      </c>
      <c r="H396">
        <v>59.639805000000003</v>
      </c>
      <c r="I396">
        <v>4.6869211860410989</v>
      </c>
      <c r="J396">
        <v>0.2339540298381462</v>
      </c>
      <c r="K396">
        <v>-4.8976393378391603E-2</v>
      </c>
      <c r="L396">
        <v>3.9247446709972517E-2</v>
      </c>
      <c r="M396" t="s">
        <v>25</v>
      </c>
      <c r="N396">
        <v>41</v>
      </c>
      <c r="O396" t="s">
        <v>26</v>
      </c>
      <c r="P396">
        <v>187337</v>
      </c>
      <c r="Q396">
        <v>206.3300000000001</v>
      </c>
      <c r="R396">
        <v>60.034999999999997</v>
      </c>
      <c r="S396">
        <v>-0.13514211350419081</v>
      </c>
      <c r="T396">
        <v>-8.8619080911804288E-2</v>
      </c>
      <c r="U396">
        <v>-0.1010196109154915</v>
      </c>
      <c r="V396">
        <v>2.4671420137061311E-3</v>
      </c>
      <c r="W396">
        <v>-0.10348675292919771</v>
      </c>
    </row>
    <row r="397" spans="1:23" x14ac:dyDescent="0.25">
      <c r="A397">
        <v>42</v>
      </c>
      <c r="B397" t="s">
        <v>35</v>
      </c>
      <c r="C397" t="s">
        <v>28</v>
      </c>
      <c r="D397">
        <v>187801</v>
      </c>
      <c r="E397">
        <v>99.069999999999965</v>
      </c>
      <c r="F397">
        <v>39.325000000000003</v>
      </c>
      <c r="G397">
        <v>99.119534999999956</v>
      </c>
      <c r="H397">
        <v>39.3053375</v>
      </c>
      <c r="I397">
        <v>-5.2946365981466386</v>
      </c>
      <c r="J397">
        <v>0.40067991195971542</v>
      </c>
      <c r="K397">
        <v>0.10093873019077421</v>
      </c>
      <c r="L397">
        <v>-0.10188936095606239</v>
      </c>
      <c r="M397" t="s">
        <v>27</v>
      </c>
      <c r="N397">
        <v>23</v>
      </c>
      <c r="O397" t="s">
        <v>26</v>
      </c>
      <c r="P397">
        <v>187824</v>
      </c>
      <c r="Q397">
        <v>99.214999999999989</v>
      </c>
      <c r="R397">
        <v>39.344999999999992</v>
      </c>
      <c r="S397">
        <v>-0.4910304719780651</v>
      </c>
      <c r="T397">
        <v>1.259832865854389E-2</v>
      </c>
      <c r="U397">
        <v>-1.4168074125995519E-3</v>
      </c>
      <c r="V397">
        <v>2.801959144007471E-3</v>
      </c>
      <c r="W397">
        <v>-4.2187665566070232E-3</v>
      </c>
    </row>
    <row r="398" spans="1:23" x14ac:dyDescent="0.25">
      <c r="A398">
        <v>42</v>
      </c>
      <c r="B398" t="s">
        <v>35</v>
      </c>
      <c r="C398" t="s">
        <v>28</v>
      </c>
      <c r="D398">
        <v>188076</v>
      </c>
      <c r="E398">
        <v>99.984999999999971</v>
      </c>
      <c r="F398">
        <v>39.49499999999999</v>
      </c>
      <c r="G398">
        <v>99.935007499999983</v>
      </c>
      <c r="H398">
        <v>39.514747499999991</v>
      </c>
      <c r="I398">
        <v>3.5194583171966709</v>
      </c>
      <c r="J398">
        <v>0.40067991195971542</v>
      </c>
      <c r="K398">
        <v>-0.1000150022503376</v>
      </c>
      <c r="L398">
        <v>0.10145079426755679</v>
      </c>
      <c r="M398" t="s">
        <v>25</v>
      </c>
      <c r="N398">
        <v>3</v>
      </c>
      <c r="O398" t="s">
        <v>26</v>
      </c>
      <c r="P398">
        <v>188079</v>
      </c>
      <c r="Q398">
        <v>99.675000000000026</v>
      </c>
      <c r="R398">
        <v>39.45000000000001</v>
      </c>
      <c r="S398">
        <v>-8.338138528025886E-2</v>
      </c>
      <c r="T398">
        <v>2.643936495556113E-2</v>
      </c>
      <c r="U398">
        <v>1.2450350804185261E-2</v>
      </c>
      <c r="V398">
        <v>2.80076050383139E-3</v>
      </c>
      <c r="W398">
        <v>9.6495903003538733E-3</v>
      </c>
    </row>
    <row r="399" spans="1:23" x14ac:dyDescent="0.25">
      <c r="A399">
        <v>42</v>
      </c>
      <c r="B399" t="s">
        <v>35</v>
      </c>
      <c r="C399" t="s">
        <v>28</v>
      </c>
      <c r="D399">
        <v>188284</v>
      </c>
      <c r="E399">
        <v>100.11</v>
      </c>
      <c r="F399">
        <v>38.880000000000003</v>
      </c>
      <c r="G399">
        <v>100.059945</v>
      </c>
      <c r="H399">
        <v>38.899439999999998</v>
      </c>
      <c r="I399">
        <v>3.7497466743277799</v>
      </c>
      <c r="J399">
        <v>0.40067991195971542</v>
      </c>
      <c r="K399">
        <v>-9.9890120867046281E-2</v>
      </c>
      <c r="L399">
        <v>0.10305553291144939</v>
      </c>
      <c r="M399" t="s">
        <v>25</v>
      </c>
      <c r="N399">
        <v>3</v>
      </c>
      <c r="O399" t="s">
        <v>26</v>
      </c>
      <c r="P399">
        <v>188287</v>
      </c>
      <c r="Q399">
        <v>99.85499999999999</v>
      </c>
      <c r="R399">
        <v>38.734999999999999</v>
      </c>
      <c r="S399">
        <v>0.40634498688696868</v>
      </c>
      <c r="T399">
        <v>1.0528928548934439E-2</v>
      </c>
      <c r="U399">
        <v>-3.457663054115389E-3</v>
      </c>
      <c r="V399">
        <v>2.80076050383139E-3</v>
      </c>
      <c r="W399">
        <v>-6.2584235579467799E-3</v>
      </c>
    </row>
    <row r="400" spans="1:23" x14ac:dyDescent="0.25">
      <c r="A400">
        <v>42</v>
      </c>
      <c r="B400" t="s">
        <v>35</v>
      </c>
      <c r="C400" t="s">
        <v>28</v>
      </c>
      <c r="D400">
        <v>188674</v>
      </c>
      <c r="E400">
        <v>100.04</v>
      </c>
      <c r="F400">
        <v>38.219999999999992</v>
      </c>
      <c r="G400">
        <v>99.989980000000017</v>
      </c>
      <c r="H400">
        <v>38.239109999999989</v>
      </c>
      <c r="I400">
        <v>4.6514808021194094</v>
      </c>
      <c r="J400">
        <v>0.40067991195971542</v>
      </c>
      <c r="K400">
        <v>-9.9960015993602547E-2</v>
      </c>
      <c r="L400">
        <v>0.1048351418000302</v>
      </c>
      <c r="M400" t="s">
        <v>25</v>
      </c>
      <c r="N400">
        <v>40</v>
      </c>
      <c r="O400" t="s">
        <v>26</v>
      </c>
      <c r="P400">
        <v>188714</v>
      </c>
      <c r="Q400">
        <v>100.78</v>
      </c>
      <c r="R400">
        <v>38.374999999999993</v>
      </c>
      <c r="S400">
        <v>0.4917985152639151</v>
      </c>
      <c r="T400">
        <v>-5.7720964856261998E-2</v>
      </c>
      <c r="U400">
        <v>-7.1772873905264392E-2</v>
      </c>
      <c r="V400">
        <v>2.80076050383139E-3</v>
      </c>
      <c r="W400">
        <v>-7.4573634409095785E-2</v>
      </c>
    </row>
    <row r="401" spans="1:23" x14ac:dyDescent="0.25">
      <c r="A401">
        <v>42</v>
      </c>
      <c r="B401" t="s">
        <v>35</v>
      </c>
      <c r="C401" t="s">
        <v>28</v>
      </c>
      <c r="D401">
        <v>189064</v>
      </c>
      <c r="E401">
        <v>100.645</v>
      </c>
      <c r="F401">
        <v>37.945</v>
      </c>
      <c r="G401">
        <v>100.5946775</v>
      </c>
      <c r="H401">
        <v>37.963972499999997</v>
      </c>
      <c r="I401">
        <v>4.419798026212538</v>
      </c>
      <c r="J401">
        <v>0.40067991195971542</v>
      </c>
      <c r="K401">
        <v>-9.9359133588355117E-2</v>
      </c>
      <c r="L401">
        <v>0.1055949168427238</v>
      </c>
      <c r="M401" t="s">
        <v>25</v>
      </c>
      <c r="N401">
        <v>35</v>
      </c>
      <c r="O401" t="s">
        <v>26</v>
      </c>
      <c r="P401">
        <v>189099</v>
      </c>
      <c r="Q401">
        <v>100.68</v>
      </c>
      <c r="R401">
        <v>38.22999999999999</v>
      </c>
      <c r="S401">
        <v>-0.31157670328524573</v>
      </c>
      <c r="T401">
        <v>2.661698162458449E-2</v>
      </c>
      <c r="U401">
        <v>1.259339644450142E-2</v>
      </c>
      <c r="V401">
        <v>2.80076050383139E-3</v>
      </c>
      <c r="W401">
        <v>9.7926359406700289E-3</v>
      </c>
    </row>
    <row r="402" spans="1:23" x14ac:dyDescent="0.25">
      <c r="A402">
        <v>42</v>
      </c>
      <c r="B402" t="s">
        <v>35</v>
      </c>
      <c r="C402" t="s">
        <v>28</v>
      </c>
      <c r="D402">
        <v>190236</v>
      </c>
      <c r="E402">
        <v>104.925</v>
      </c>
      <c r="F402">
        <v>40.239999999999988</v>
      </c>
      <c r="G402">
        <v>104.87253750000001</v>
      </c>
      <c r="H402">
        <v>40.260119999999993</v>
      </c>
      <c r="I402">
        <v>3.9203156184219772</v>
      </c>
      <c r="J402">
        <v>0.40067991195971542</v>
      </c>
      <c r="K402">
        <v>-9.5306171074577048E-2</v>
      </c>
      <c r="L402">
        <v>9.9572542733527683E-2</v>
      </c>
      <c r="M402" t="s">
        <v>25</v>
      </c>
      <c r="N402">
        <v>25</v>
      </c>
      <c r="O402" t="s">
        <v>26</v>
      </c>
      <c r="P402">
        <v>190261</v>
      </c>
      <c r="Q402">
        <v>105.35</v>
      </c>
      <c r="R402">
        <v>40.21</v>
      </c>
      <c r="S402">
        <v>0.36109476639718657</v>
      </c>
      <c r="T402">
        <v>-4.3492298988692092E-2</v>
      </c>
      <c r="U402">
        <v>-5.7517857081499979E-2</v>
      </c>
      <c r="V402">
        <v>2.80076050383139E-3</v>
      </c>
      <c r="W402">
        <v>-6.0318617585331372E-2</v>
      </c>
    </row>
    <row r="403" spans="1:23" x14ac:dyDescent="0.25">
      <c r="A403">
        <v>42</v>
      </c>
      <c r="B403" t="s">
        <v>35</v>
      </c>
      <c r="C403" t="s">
        <v>28</v>
      </c>
      <c r="D403">
        <v>190973</v>
      </c>
      <c r="E403">
        <v>106.43</v>
      </c>
      <c r="F403">
        <v>41.37</v>
      </c>
      <c r="G403">
        <v>106.3767850000001</v>
      </c>
      <c r="H403">
        <v>41.390684999999998</v>
      </c>
      <c r="I403">
        <v>3.5809594544845602</v>
      </c>
      <c r="J403">
        <v>0.40067991195971542</v>
      </c>
      <c r="K403">
        <v>-9.3958470356102552E-2</v>
      </c>
      <c r="L403">
        <v>9.6852770596982204E-2</v>
      </c>
      <c r="M403" t="s">
        <v>25</v>
      </c>
      <c r="N403">
        <v>6</v>
      </c>
      <c r="O403" t="s">
        <v>26</v>
      </c>
      <c r="P403">
        <v>190979</v>
      </c>
      <c r="Q403">
        <v>105.97</v>
      </c>
      <c r="R403">
        <v>41.344999999999999</v>
      </c>
      <c r="S403">
        <v>0.45304553355122379</v>
      </c>
      <c r="T403">
        <v>4.0799577098884827E-2</v>
      </c>
      <c r="U403">
        <v>2.6815599087103612E-2</v>
      </c>
      <c r="V403">
        <v>2.80076050383139E-3</v>
      </c>
      <c r="W403">
        <v>2.4014838583272219E-2</v>
      </c>
    </row>
    <row r="404" spans="1:23" x14ac:dyDescent="0.25">
      <c r="A404">
        <v>42</v>
      </c>
      <c r="B404" t="s">
        <v>35</v>
      </c>
      <c r="C404" t="s">
        <v>28</v>
      </c>
      <c r="D404">
        <v>191012</v>
      </c>
      <c r="E404">
        <v>105.15</v>
      </c>
      <c r="F404">
        <v>41.264999999999993</v>
      </c>
      <c r="G404">
        <v>105.202575</v>
      </c>
      <c r="H404">
        <v>41.244367500000003</v>
      </c>
      <c r="I404">
        <v>-3.9583812929665911</v>
      </c>
      <c r="J404">
        <v>0.40067991195971542</v>
      </c>
      <c r="K404">
        <v>9.5102234902520205E-2</v>
      </c>
      <c r="L404">
        <v>-9.7099215305880393E-2</v>
      </c>
      <c r="M404" t="s">
        <v>27</v>
      </c>
      <c r="N404">
        <v>22</v>
      </c>
      <c r="O404" t="s">
        <v>26</v>
      </c>
      <c r="P404">
        <v>191034</v>
      </c>
      <c r="Q404">
        <v>104.58</v>
      </c>
      <c r="R404">
        <v>41.830000000000013</v>
      </c>
      <c r="S404">
        <v>-0.43728227686230231</v>
      </c>
      <c r="T404">
        <v>-0.1090693305422621</v>
      </c>
      <c r="U404">
        <v>-0.12307645605323431</v>
      </c>
      <c r="V404">
        <v>2.801959144007471E-3</v>
      </c>
      <c r="W404">
        <v>-0.1258784151972418</v>
      </c>
    </row>
    <row r="405" spans="1:23" x14ac:dyDescent="0.25">
      <c r="A405">
        <v>42</v>
      </c>
      <c r="B405" t="s">
        <v>35</v>
      </c>
      <c r="C405" t="s">
        <v>28</v>
      </c>
      <c r="D405">
        <v>191393</v>
      </c>
      <c r="E405">
        <v>106.185</v>
      </c>
      <c r="F405">
        <v>42.454999999999991</v>
      </c>
      <c r="G405">
        <v>106.23809249999999</v>
      </c>
      <c r="H405">
        <v>42.433772500000003</v>
      </c>
      <c r="I405">
        <v>-3.5021698180067609</v>
      </c>
      <c r="J405">
        <v>0.40067991195971542</v>
      </c>
      <c r="K405">
        <v>9.4175260159156227E-2</v>
      </c>
      <c r="L405">
        <v>-9.4377555519895281E-2</v>
      </c>
      <c r="M405" t="s">
        <v>27</v>
      </c>
      <c r="N405">
        <v>15</v>
      </c>
      <c r="O405" t="s">
        <v>26</v>
      </c>
      <c r="P405">
        <v>191408</v>
      </c>
      <c r="Q405">
        <v>106.24</v>
      </c>
      <c r="R405">
        <v>42.465000000000003</v>
      </c>
      <c r="S405">
        <v>-0.21933214322189479</v>
      </c>
      <c r="T405">
        <v>4.2358637535541283E-3</v>
      </c>
      <c r="U405">
        <v>-9.7739970734726615E-3</v>
      </c>
      <c r="V405">
        <v>2.801959144007471E-3</v>
      </c>
      <c r="W405">
        <v>-1.257595621748013E-2</v>
      </c>
    </row>
    <row r="406" spans="1:23" x14ac:dyDescent="0.25">
      <c r="A406">
        <v>43</v>
      </c>
      <c r="B406" t="s">
        <v>33</v>
      </c>
      <c r="C406" t="s">
        <v>31</v>
      </c>
      <c r="D406">
        <v>191701</v>
      </c>
      <c r="E406">
        <v>44.090000000000011</v>
      </c>
      <c r="F406">
        <v>60.784999999999989</v>
      </c>
      <c r="G406">
        <v>44.067955000000012</v>
      </c>
      <c r="H406">
        <v>60.754607499999992</v>
      </c>
      <c r="I406">
        <v>5.2946120436079358</v>
      </c>
      <c r="J406">
        <v>-0.27783536895249389</v>
      </c>
      <c r="K406">
        <v>-0.226808800181447</v>
      </c>
      <c r="L406">
        <v>-4.570788335156601E-2</v>
      </c>
      <c r="M406" t="s">
        <v>25</v>
      </c>
      <c r="N406">
        <v>23</v>
      </c>
      <c r="O406" t="s">
        <v>26</v>
      </c>
      <c r="P406">
        <v>191724</v>
      </c>
      <c r="Q406">
        <v>44.170000000000009</v>
      </c>
      <c r="R406">
        <v>60.904999999999987</v>
      </c>
      <c r="S406">
        <v>0.49429004407064248</v>
      </c>
      <c r="T406">
        <v>-2.3629650016703179E-2</v>
      </c>
      <c r="U406">
        <v>-3.641981853123516E-2</v>
      </c>
      <c r="V406">
        <v>2.554392902536035E-3</v>
      </c>
      <c r="W406">
        <v>-3.8974211433771187E-2</v>
      </c>
    </row>
    <row r="407" spans="1:23" x14ac:dyDescent="0.25">
      <c r="A407">
        <v>43</v>
      </c>
      <c r="B407" t="s">
        <v>33</v>
      </c>
      <c r="C407" t="s">
        <v>31</v>
      </c>
      <c r="D407">
        <v>192579</v>
      </c>
      <c r="E407">
        <v>42.600000000000009</v>
      </c>
      <c r="F407">
        <v>59.290000000000013</v>
      </c>
      <c r="G407">
        <v>42.621300000000012</v>
      </c>
      <c r="H407">
        <v>59.319645000000001</v>
      </c>
      <c r="I407">
        <v>-3.5469402557396621</v>
      </c>
      <c r="J407">
        <v>-0.27783536895249389</v>
      </c>
      <c r="K407">
        <v>0.2347417840375586</v>
      </c>
      <c r="L407">
        <v>4.6860409673215371E-2</v>
      </c>
      <c r="M407" t="s">
        <v>27</v>
      </c>
      <c r="N407">
        <v>45</v>
      </c>
      <c r="O407" t="s">
        <v>26</v>
      </c>
      <c r="P407">
        <v>192624</v>
      </c>
      <c r="Q407">
        <v>42.290000000000013</v>
      </c>
      <c r="R407">
        <v>58.739999999999988</v>
      </c>
      <c r="S407">
        <v>0.17490116826842531</v>
      </c>
      <c r="T407">
        <v>-9.8543178371912704E-2</v>
      </c>
      <c r="U407">
        <v>-0.11127226047225</v>
      </c>
      <c r="V407">
        <v>2.5569485732739399E-3</v>
      </c>
      <c r="W407">
        <v>-0.1138292090455239</v>
      </c>
    </row>
    <row r="408" spans="1:23" x14ac:dyDescent="0.25">
      <c r="A408">
        <v>43</v>
      </c>
      <c r="B408" t="s">
        <v>33</v>
      </c>
      <c r="C408" t="s">
        <v>31</v>
      </c>
      <c r="D408">
        <v>193752</v>
      </c>
      <c r="E408">
        <v>41.9</v>
      </c>
      <c r="F408">
        <v>59.45500000000002</v>
      </c>
      <c r="G408">
        <v>41.920949999999998</v>
      </c>
      <c r="H408">
        <v>59.48472750000002</v>
      </c>
      <c r="I408">
        <v>-4.0075581327173717</v>
      </c>
      <c r="J408">
        <v>-0.27783536895249389</v>
      </c>
      <c r="K408">
        <v>0.2386634844868735</v>
      </c>
      <c r="L408">
        <v>4.6730362282817912E-2</v>
      </c>
      <c r="M408" t="s">
        <v>27</v>
      </c>
      <c r="N408">
        <v>7</v>
      </c>
      <c r="O408" t="s">
        <v>26</v>
      </c>
      <c r="P408">
        <v>193759</v>
      </c>
      <c r="Q408">
        <v>42.099999999999987</v>
      </c>
      <c r="R408">
        <v>59.65000000000002</v>
      </c>
      <c r="S408">
        <v>-0.39121976718445628</v>
      </c>
      <c r="T408">
        <v>5.6845117542523187E-2</v>
      </c>
      <c r="U408">
        <v>4.4038341294228532E-2</v>
      </c>
      <c r="V408">
        <v>2.5569485732739412E-3</v>
      </c>
      <c r="W408">
        <v>4.1481392720954587E-2</v>
      </c>
    </row>
    <row r="409" spans="1:23" x14ac:dyDescent="0.25">
      <c r="A409">
        <v>43</v>
      </c>
      <c r="B409" t="s">
        <v>33</v>
      </c>
      <c r="C409" t="s">
        <v>31</v>
      </c>
      <c r="D409">
        <v>194532</v>
      </c>
      <c r="E409">
        <v>41.810000000000009</v>
      </c>
      <c r="F409">
        <v>60.710000000000008</v>
      </c>
      <c r="G409">
        <v>41.78909500000001</v>
      </c>
      <c r="H409">
        <v>60.679645000000008</v>
      </c>
      <c r="I409">
        <v>3.9122412743642858</v>
      </c>
      <c r="J409">
        <v>-0.27783536895249389</v>
      </c>
      <c r="K409">
        <v>-0.23917723032767271</v>
      </c>
      <c r="L409">
        <v>-4.5764350016882539E-2</v>
      </c>
      <c r="M409" t="s">
        <v>25</v>
      </c>
      <c r="N409">
        <v>6</v>
      </c>
      <c r="O409" t="s">
        <v>26</v>
      </c>
      <c r="P409">
        <v>194538</v>
      </c>
      <c r="Q409">
        <v>41.69</v>
      </c>
      <c r="R409">
        <v>60.215000000000018</v>
      </c>
      <c r="S409">
        <v>-0.31409171524977769</v>
      </c>
      <c r="T409">
        <v>5.1354620897678227E-2</v>
      </c>
      <c r="U409">
        <v>3.8601944518603742E-2</v>
      </c>
      <c r="V409">
        <v>2.554392902536035E-3</v>
      </c>
      <c r="W409">
        <v>3.6047551616067708E-2</v>
      </c>
    </row>
    <row r="410" spans="1:23" x14ac:dyDescent="0.25">
      <c r="A410">
        <v>43</v>
      </c>
      <c r="B410" t="s">
        <v>33</v>
      </c>
      <c r="C410" t="s">
        <v>31</v>
      </c>
      <c r="D410">
        <v>194921</v>
      </c>
      <c r="E410">
        <v>41.145000000000003</v>
      </c>
      <c r="F410">
        <v>60.424999999999997</v>
      </c>
      <c r="G410">
        <v>41.124427500000003</v>
      </c>
      <c r="H410">
        <v>60.3947875</v>
      </c>
      <c r="I410">
        <v>4.558528949682735</v>
      </c>
      <c r="J410">
        <v>-0.27783536895249389</v>
      </c>
      <c r="K410">
        <v>-0.24304289707133311</v>
      </c>
      <c r="L410">
        <v>-4.5980201729829369E-2</v>
      </c>
      <c r="M410" t="s">
        <v>25</v>
      </c>
      <c r="N410">
        <v>33</v>
      </c>
      <c r="O410" t="s">
        <v>26</v>
      </c>
      <c r="P410">
        <v>194954</v>
      </c>
      <c r="Q410">
        <v>41.655000000000008</v>
      </c>
      <c r="R410">
        <v>60.525000000000013</v>
      </c>
      <c r="S410">
        <v>0.14986370259749751</v>
      </c>
      <c r="T410">
        <v>-0.1285498976793665</v>
      </c>
      <c r="U410">
        <v>-0.14139252631773</v>
      </c>
      <c r="V410">
        <v>2.554392902536035E-3</v>
      </c>
      <c r="W410">
        <v>-0.14394691922026601</v>
      </c>
    </row>
    <row r="411" spans="1:23" x14ac:dyDescent="0.25">
      <c r="A411">
        <v>44</v>
      </c>
      <c r="B411" t="s">
        <v>33</v>
      </c>
      <c r="C411" t="s">
        <v>31</v>
      </c>
      <c r="D411">
        <v>195601</v>
      </c>
      <c r="E411">
        <v>40.920000000000009</v>
      </c>
      <c r="F411">
        <v>59.815000000000019</v>
      </c>
      <c r="G411">
        <v>40.940460000000009</v>
      </c>
      <c r="H411">
        <v>59.844907500000019</v>
      </c>
      <c r="I411">
        <v>-5.2944724295215417</v>
      </c>
      <c r="J411">
        <v>-0.1129973756202978</v>
      </c>
      <c r="K411">
        <v>0.2443792766373411</v>
      </c>
      <c r="L411">
        <v>1.8891143629574149E-2</v>
      </c>
      <c r="M411" t="s">
        <v>27</v>
      </c>
      <c r="N411">
        <v>23</v>
      </c>
      <c r="O411" t="s">
        <v>26</v>
      </c>
      <c r="P411">
        <v>195624</v>
      </c>
      <c r="Q411">
        <v>40.85499999999999</v>
      </c>
      <c r="R411">
        <v>59.815000000000019</v>
      </c>
      <c r="S411">
        <v>-0.4911260995668002</v>
      </c>
      <c r="T411">
        <v>-1.588465298143182E-2</v>
      </c>
      <c r="U411">
        <v>-2.7006684411143268E-2</v>
      </c>
      <c r="V411">
        <v>2.2271077486162162E-3</v>
      </c>
      <c r="W411">
        <v>-2.9233792159759488E-2</v>
      </c>
    </row>
    <row r="412" spans="1:23" x14ac:dyDescent="0.25">
      <c r="A412">
        <v>44</v>
      </c>
      <c r="B412" t="s">
        <v>33</v>
      </c>
      <c r="C412" t="s">
        <v>31</v>
      </c>
      <c r="D412">
        <v>196091</v>
      </c>
      <c r="E412">
        <v>38.500000000000007</v>
      </c>
      <c r="F412">
        <v>56.890000000000008</v>
      </c>
      <c r="G412">
        <v>38.519250000000007</v>
      </c>
      <c r="H412">
        <v>56.918445000000013</v>
      </c>
      <c r="I412">
        <v>-4.4659109895611344</v>
      </c>
      <c r="J412">
        <v>-0.1129973756202978</v>
      </c>
      <c r="K412">
        <v>0.25974025974025972</v>
      </c>
      <c r="L412">
        <v>1.9862431995130572E-2</v>
      </c>
      <c r="M412" t="s">
        <v>27</v>
      </c>
      <c r="N412">
        <v>21</v>
      </c>
      <c r="O412" t="s">
        <v>26</v>
      </c>
      <c r="P412">
        <v>196112</v>
      </c>
      <c r="Q412">
        <v>38.344999999999992</v>
      </c>
      <c r="R412">
        <v>54.19</v>
      </c>
      <c r="S412">
        <v>-0.35503150793323751</v>
      </c>
      <c r="T412">
        <v>-9.3888306646597114E-2</v>
      </c>
      <c r="U412">
        <v>-0.10497133624947561</v>
      </c>
      <c r="V412">
        <v>2.2271077486162162E-3</v>
      </c>
      <c r="W412">
        <v>-0.10719844399809179</v>
      </c>
    </row>
    <row r="413" spans="1:23" x14ac:dyDescent="0.25">
      <c r="A413">
        <v>44</v>
      </c>
      <c r="B413" t="s">
        <v>33</v>
      </c>
      <c r="C413" t="s">
        <v>31</v>
      </c>
      <c r="D413">
        <v>196478</v>
      </c>
      <c r="E413">
        <v>37.5</v>
      </c>
      <c r="F413">
        <v>53.2</v>
      </c>
      <c r="G413">
        <v>37.481250000000003</v>
      </c>
      <c r="H413">
        <v>53.173400000000001</v>
      </c>
      <c r="I413">
        <v>3.787551253801571</v>
      </c>
      <c r="J413">
        <v>-0.1129973756202978</v>
      </c>
      <c r="K413">
        <v>-0.26666666666666672</v>
      </c>
      <c r="L413">
        <v>-2.1240108199304109E-2</v>
      </c>
      <c r="M413" t="s">
        <v>25</v>
      </c>
      <c r="N413">
        <v>27</v>
      </c>
      <c r="O413" t="s">
        <v>26</v>
      </c>
      <c r="P413">
        <v>196505</v>
      </c>
      <c r="Q413">
        <v>35.780000000000008</v>
      </c>
      <c r="R413">
        <v>50.715000000000003</v>
      </c>
      <c r="S413">
        <v>-0.42948990021022282</v>
      </c>
      <c r="T413">
        <v>0.51144833554193514</v>
      </c>
      <c r="U413">
        <v>0.50057408595350372</v>
      </c>
      <c r="V413">
        <v>2.2248817538649758E-3</v>
      </c>
      <c r="W413">
        <v>0.49834920419963868</v>
      </c>
    </row>
    <row r="414" spans="1:23" x14ac:dyDescent="0.25">
      <c r="A414">
        <v>44</v>
      </c>
      <c r="B414" t="s">
        <v>33</v>
      </c>
      <c r="C414" t="s">
        <v>31</v>
      </c>
      <c r="D414">
        <v>196863</v>
      </c>
      <c r="E414">
        <v>36.500000000000007</v>
      </c>
      <c r="F414">
        <v>52.100000000000009</v>
      </c>
      <c r="G414">
        <v>36.518250000000002</v>
      </c>
      <c r="H414">
        <v>52.126050000000014</v>
      </c>
      <c r="I414">
        <v>-4.0485940659150774</v>
      </c>
      <c r="J414">
        <v>-0.1129973756202978</v>
      </c>
      <c r="K414">
        <v>0.27397260273972601</v>
      </c>
      <c r="L414">
        <v>2.168855578124718E-2</v>
      </c>
      <c r="M414" t="s">
        <v>27</v>
      </c>
      <c r="N414">
        <v>7</v>
      </c>
      <c r="O414" t="s">
        <v>26</v>
      </c>
      <c r="P414">
        <v>196870</v>
      </c>
      <c r="Q414">
        <v>36.575000000000003</v>
      </c>
      <c r="R414">
        <v>52.095000000000013</v>
      </c>
      <c r="S414">
        <v>-0.41443632323345542</v>
      </c>
      <c r="T414">
        <v>2.0439502426571991E-2</v>
      </c>
      <c r="U414">
        <v>9.2993089191573848E-3</v>
      </c>
      <c r="V414">
        <v>2.2271077486162162E-3</v>
      </c>
      <c r="W414">
        <v>7.072201170541169E-3</v>
      </c>
    </row>
    <row r="415" spans="1:23" x14ac:dyDescent="0.25">
      <c r="A415">
        <v>44</v>
      </c>
      <c r="B415" t="s">
        <v>33</v>
      </c>
      <c r="C415" t="s">
        <v>31</v>
      </c>
      <c r="D415">
        <v>197204</v>
      </c>
      <c r="E415">
        <v>37.159999999999997</v>
      </c>
      <c r="F415">
        <v>52.719999999999978</v>
      </c>
      <c r="G415">
        <v>37.178579999999997</v>
      </c>
      <c r="H415">
        <v>52.746359999999981</v>
      </c>
      <c r="I415">
        <v>-3.8343606724339159</v>
      </c>
      <c r="J415">
        <v>-0.1129973756202978</v>
      </c>
      <c r="K415">
        <v>0.26910656620021528</v>
      </c>
      <c r="L415">
        <v>2.1433493099449519E-2</v>
      </c>
      <c r="M415" t="s">
        <v>27</v>
      </c>
      <c r="N415">
        <v>19</v>
      </c>
      <c r="O415" t="s">
        <v>26</v>
      </c>
      <c r="P415">
        <v>197223</v>
      </c>
      <c r="Q415">
        <v>37.159999999999997</v>
      </c>
      <c r="R415">
        <v>52.705000000000013</v>
      </c>
      <c r="S415">
        <v>9.3013477945008458E-2</v>
      </c>
      <c r="T415">
        <v>-3.2150239649114578E-4</v>
      </c>
      <c r="U415">
        <v>-1.145131540149572E-2</v>
      </c>
      <c r="V415">
        <v>2.2271077486162162E-3</v>
      </c>
      <c r="W415">
        <v>-1.367842315011193E-2</v>
      </c>
    </row>
    <row r="416" spans="1:23" x14ac:dyDescent="0.25">
      <c r="A416">
        <v>44</v>
      </c>
      <c r="B416" t="s">
        <v>33</v>
      </c>
      <c r="C416" t="s">
        <v>31</v>
      </c>
      <c r="D416">
        <v>197265</v>
      </c>
      <c r="E416">
        <v>38.15</v>
      </c>
      <c r="F416">
        <v>52.310000000000009</v>
      </c>
      <c r="G416">
        <v>38.130924999999998</v>
      </c>
      <c r="H416">
        <v>52.283845000000007</v>
      </c>
      <c r="I416">
        <v>4.0267325987768876</v>
      </c>
      <c r="J416">
        <v>-0.1129973756202978</v>
      </c>
      <c r="K416">
        <v>-0.26212319790301442</v>
      </c>
      <c r="L416">
        <v>-2.1601486450066491E-2</v>
      </c>
      <c r="M416" t="s">
        <v>25</v>
      </c>
      <c r="N416">
        <v>20</v>
      </c>
      <c r="O416" t="s">
        <v>26</v>
      </c>
      <c r="P416">
        <v>197285</v>
      </c>
      <c r="Q416">
        <v>38.240000000000009</v>
      </c>
      <c r="R416">
        <v>53.260000000000012</v>
      </c>
      <c r="S416">
        <v>0.43863741553381669</v>
      </c>
      <c r="T416">
        <v>-4.4112499938837132E-2</v>
      </c>
      <c r="U416">
        <v>-5.5264529945009827E-2</v>
      </c>
      <c r="V416">
        <v>2.224881753864975E-3</v>
      </c>
      <c r="W416">
        <v>-5.7489411698874802E-2</v>
      </c>
    </row>
    <row r="417" spans="1:23" x14ac:dyDescent="0.25">
      <c r="A417">
        <v>44</v>
      </c>
      <c r="B417" t="s">
        <v>33</v>
      </c>
      <c r="C417" t="s">
        <v>31</v>
      </c>
      <c r="D417">
        <v>197748</v>
      </c>
      <c r="E417">
        <v>38.085000000000001</v>
      </c>
      <c r="F417">
        <v>53.179999999999993</v>
      </c>
      <c r="G417">
        <v>38.065957500000003</v>
      </c>
      <c r="H417">
        <v>53.153409999999987</v>
      </c>
      <c r="I417">
        <v>3.631271858558804</v>
      </c>
      <c r="J417">
        <v>-0.1129973756202978</v>
      </c>
      <c r="K417">
        <v>-0.26257056583956939</v>
      </c>
      <c r="L417">
        <v>-2.1248096205396361E-2</v>
      </c>
      <c r="M417" t="s">
        <v>25</v>
      </c>
      <c r="N417">
        <v>9</v>
      </c>
      <c r="O417" t="s">
        <v>26</v>
      </c>
      <c r="P417">
        <v>197757</v>
      </c>
      <c r="Q417">
        <v>38.104999999999997</v>
      </c>
      <c r="R417">
        <v>53.104999999999997</v>
      </c>
      <c r="S417">
        <v>0.44267912476405719</v>
      </c>
      <c r="T417">
        <v>-3.657804101387874E-3</v>
      </c>
      <c r="U417">
        <v>-1.4789606759640981E-2</v>
      </c>
      <c r="V417">
        <v>2.2248817538649758E-3</v>
      </c>
      <c r="W417">
        <v>-1.7014488513505961E-2</v>
      </c>
    </row>
    <row r="418" spans="1:23" x14ac:dyDescent="0.25">
      <c r="A418">
        <v>44</v>
      </c>
      <c r="B418" t="s">
        <v>33</v>
      </c>
      <c r="C418" t="s">
        <v>31</v>
      </c>
      <c r="D418">
        <v>198436</v>
      </c>
      <c r="E418">
        <v>38.56</v>
      </c>
      <c r="F418">
        <v>52.77000000000001</v>
      </c>
      <c r="G418">
        <v>38.540720000000007</v>
      </c>
      <c r="H418">
        <v>52.743615000000013</v>
      </c>
      <c r="I418">
        <v>4.3232832497563463</v>
      </c>
      <c r="J418">
        <v>-0.1129973756202978</v>
      </c>
      <c r="K418">
        <v>-0.25933609958506221</v>
      </c>
      <c r="L418">
        <v>-2.1413184692116321E-2</v>
      </c>
      <c r="M418" t="s">
        <v>25</v>
      </c>
      <c r="N418">
        <v>13</v>
      </c>
      <c r="O418" t="s">
        <v>26</v>
      </c>
      <c r="P418">
        <v>198449</v>
      </c>
      <c r="Q418">
        <v>38.43</v>
      </c>
      <c r="R418">
        <v>53.030000000000008</v>
      </c>
      <c r="S418">
        <v>0.20301865988564591</v>
      </c>
      <c r="T418">
        <v>2.8146264926108552E-2</v>
      </c>
      <c r="U418">
        <v>1.7030364302371249E-2</v>
      </c>
      <c r="V418">
        <v>2.2248817538649758E-3</v>
      </c>
      <c r="W418">
        <v>1.480548254850627E-2</v>
      </c>
    </row>
    <row r="419" spans="1:23" x14ac:dyDescent="0.25">
      <c r="A419">
        <v>44</v>
      </c>
      <c r="B419" t="s">
        <v>33</v>
      </c>
      <c r="C419" t="s">
        <v>31</v>
      </c>
      <c r="D419">
        <v>198826</v>
      </c>
      <c r="E419">
        <v>38.354999999999997</v>
      </c>
      <c r="F419">
        <v>52.090000000000011</v>
      </c>
      <c r="G419">
        <v>38.335822499999999</v>
      </c>
      <c r="H419">
        <v>52.063955000000007</v>
      </c>
      <c r="I419">
        <v>3.8242712942097068</v>
      </c>
      <c r="J419">
        <v>-0.1129973756202978</v>
      </c>
      <c r="K419">
        <v>-0.2607222004953722</v>
      </c>
      <c r="L419">
        <v>-2.1692719451007449E-2</v>
      </c>
      <c r="M419" t="s">
        <v>25</v>
      </c>
      <c r="N419">
        <v>9</v>
      </c>
      <c r="O419" t="s">
        <v>26</v>
      </c>
      <c r="P419">
        <v>198835</v>
      </c>
      <c r="Q419">
        <v>38.15</v>
      </c>
      <c r="R419">
        <v>51.959999999999987</v>
      </c>
      <c r="S419">
        <v>0.14924329815167051</v>
      </c>
      <c r="T419">
        <v>5.6268104630182177E-2</v>
      </c>
      <c r="U419">
        <v>4.5166264926294789E-2</v>
      </c>
      <c r="V419">
        <v>2.2248817538649758E-3</v>
      </c>
      <c r="W419">
        <v>4.2941383172429813E-2</v>
      </c>
    </row>
    <row r="420" spans="1:23" x14ac:dyDescent="0.25">
      <c r="A420">
        <v>44</v>
      </c>
      <c r="B420" t="s">
        <v>33</v>
      </c>
      <c r="C420" t="s">
        <v>31</v>
      </c>
      <c r="D420">
        <v>199216</v>
      </c>
      <c r="E420">
        <v>38.659999999999997</v>
      </c>
      <c r="F420">
        <v>52.87</v>
      </c>
      <c r="G420">
        <v>38.640670000000007</v>
      </c>
      <c r="H420">
        <v>52.843564999999998</v>
      </c>
      <c r="I420">
        <v>4.1181137821901652</v>
      </c>
      <c r="J420">
        <v>-0.1129973756202978</v>
      </c>
      <c r="K420">
        <v>-0.2586652871184687</v>
      </c>
      <c r="L420">
        <v>-2.1372683113353101E-2</v>
      </c>
      <c r="M420" t="s">
        <v>25</v>
      </c>
      <c r="N420">
        <v>14</v>
      </c>
      <c r="O420" t="s">
        <v>26</v>
      </c>
      <c r="P420">
        <v>199230</v>
      </c>
      <c r="Q420">
        <v>38.564999999999991</v>
      </c>
      <c r="R420">
        <v>52.755000000000003</v>
      </c>
      <c r="S420">
        <v>0.38060044186649439</v>
      </c>
      <c r="T420">
        <v>2.7031060834293401E-2</v>
      </c>
      <c r="U420">
        <v>1.5914602608509711E-2</v>
      </c>
      <c r="V420">
        <v>2.2248817538649758E-3</v>
      </c>
      <c r="W420">
        <v>1.3689720854644739E-2</v>
      </c>
    </row>
    <row r="421" spans="1:23" x14ac:dyDescent="0.25">
      <c r="A421">
        <v>45</v>
      </c>
      <c r="B421" t="s">
        <v>23</v>
      </c>
      <c r="C421" t="s">
        <v>29</v>
      </c>
      <c r="D421">
        <v>199501</v>
      </c>
      <c r="E421">
        <v>209.49999999999989</v>
      </c>
      <c r="F421">
        <v>135.44499999999999</v>
      </c>
      <c r="G421">
        <v>209.60474999999991</v>
      </c>
      <c r="H421">
        <v>135.37727749999999</v>
      </c>
      <c r="I421">
        <v>-5.2946417775217958</v>
      </c>
      <c r="J421">
        <v>0.57483856893253515</v>
      </c>
      <c r="K421">
        <v>4.7732696897374721E-2</v>
      </c>
      <c r="L421">
        <v>-4.2440737489943169E-2</v>
      </c>
      <c r="M421" t="s">
        <v>27</v>
      </c>
      <c r="N421">
        <v>23</v>
      </c>
      <c r="O421" t="s">
        <v>26</v>
      </c>
      <c r="P421">
        <v>199524</v>
      </c>
      <c r="Q421">
        <v>209.9199999999999</v>
      </c>
      <c r="R421">
        <v>135.71999999999991</v>
      </c>
      <c r="S421">
        <v>-0.49097472816485432</v>
      </c>
      <c r="T421">
        <v>8.3765298871647364E-3</v>
      </c>
      <c r="U421">
        <v>-7.3877152699125589E-3</v>
      </c>
      <c r="V421">
        <v>3.150102299296137E-3</v>
      </c>
      <c r="W421">
        <v>-1.0537817569208701E-2</v>
      </c>
    </row>
    <row r="422" spans="1:23" x14ac:dyDescent="0.25">
      <c r="A422">
        <v>45</v>
      </c>
      <c r="B422" t="s">
        <v>23</v>
      </c>
      <c r="C422" t="s">
        <v>29</v>
      </c>
      <c r="D422">
        <v>199531</v>
      </c>
      <c r="E422">
        <v>210.24000000000009</v>
      </c>
      <c r="F422">
        <v>135.74</v>
      </c>
      <c r="G422">
        <v>210.13488000000009</v>
      </c>
      <c r="H422">
        <v>135.80787000000001</v>
      </c>
      <c r="I422">
        <v>4.2524190495149954</v>
      </c>
      <c r="J422">
        <v>0.57483856893253515</v>
      </c>
      <c r="K422">
        <v>-4.7564687975646863E-2</v>
      </c>
      <c r="L422">
        <v>4.2348502205137403E-2</v>
      </c>
      <c r="M422" t="s">
        <v>25</v>
      </c>
      <c r="N422">
        <v>19</v>
      </c>
      <c r="O422" t="s">
        <v>26</v>
      </c>
      <c r="P422">
        <v>199550</v>
      </c>
      <c r="Q422">
        <v>210.6099999999999</v>
      </c>
      <c r="R422">
        <v>136.19499999999999</v>
      </c>
      <c r="S422">
        <v>0.43405562696321159</v>
      </c>
      <c r="T422">
        <v>1.669633952354199E-3</v>
      </c>
      <c r="U422">
        <v>-1.409718548849735E-2</v>
      </c>
      <c r="V422">
        <v>3.1492519764340031E-3</v>
      </c>
      <c r="W422">
        <v>-1.724643746493135E-2</v>
      </c>
    </row>
    <row r="423" spans="1:23" x14ac:dyDescent="0.25">
      <c r="A423">
        <v>45</v>
      </c>
      <c r="B423" t="s">
        <v>23</v>
      </c>
      <c r="C423" t="s">
        <v>29</v>
      </c>
      <c r="D423">
        <v>199610</v>
      </c>
      <c r="E423">
        <v>213.88</v>
      </c>
      <c r="F423">
        <v>140.90500000000009</v>
      </c>
      <c r="G423">
        <v>213.98694</v>
      </c>
      <c r="H423">
        <v>140.8345475000001</v>
      </c>
      <c r="I423">
        <v>-3.5875648482659792</v>
      </c>
      <c r="J423">
        <v>0.57483856893253515</v>
      </c>
      <c r="K423">
        <v>4.6755189826070687E-2</v>
      </c>
      <c r="L423">
        <v>-4.0796179619781762E-2</v>
      </c>
      <c r="M423" t="s">
        <v>27</v>
      </c>
      <c r="N423">
        <v>9</v>
      </c>
      <c r="O423" t="s">
        <v>26</v>
      </c>
      <c r="P423">
        <v>199619</v>
      </c>
      <c r="Q423">
        <v>212.495</v>
      </c>
      <c r="R423">
        <v>139.02499999999989</v>
      </c>
      <c r="S423">
        <v>-0.36853815089263942</v>
      </c>
      <c r="T423">
        <v>1.194087977608403E-2</v>
      </c>
      <c r="U423">
        <v>-3.7367795354425748E-3</v>
      </c>
      <c r="V423">
        <v>3.150102299296137E-3</v>
      </c>
      <c r="W423">
        <v>-6.8868818347387123E-3</v>
      </c>
    </row>
    <row r="424" spans="1:23" x14ac:dyDescent="0.25">
      <c r="A424">
        <v>45</v>
      </c>
      <c r="B424" t="s">
        <v>23</v>
      </c>
      <c r="C424" t="s">
        <v>29</v>
      </c>
      <c r="D424">
        <v>199880</v>
      </c>
      <c r="E424">
        <v>211.84</v>
      </c>
      <c r="F424">
        <v>136.535</v>
      </c>
      <c r="G424">
        <v>211.73408000000001</v>
      </c>
      <c r="H424">
        <v>136.60326749999999</v>
      </c>
      <c r="I424">
        <v>4.143606740926046</v>
      </c>
      <c r="J424">
        <v>0.57483856893253515</v>
      </c>
      <c r="K424">
        <v>-4.7205438066465259E-2</v>
      </c>
      <c r="L424">
        <v>4.2101920308531528E-2</v>
      </c>
      <c r="M424" t="s">
        <v>25</v>
      </c>
      <c r="N424">
        <v>7</v>
      </c>
      <c r="O424" t="s">
        <v>26</v>
      </c>
      <c r="P424">
        <v>199887</v>
      </c>
      <c r="Q424">
        <v>211.53</v>
      </c>
      <c r="R424">
        <v>136.535</v>
      </c>
      <c r="S424">
        <v>-1.3998596431067449E-2</v>
      </c>
      <c r="T424">
        <v>1.4633685800605679E-2</v>
      </c>
      <c r="U424">
        <v>-1.1073830458180221E-3</v>
      </c>
      <c r="V424">
        <v>3.1492519764340031E-3</v>
      </c>
      <c r="W424">
        <v>-4.2566350222520248E-3</v>
      </c>
    </row>
    <row r="425" spans="1:23" x14ac:dyDescent="0.25">
      <c r="A425">
        <v>45</v>
      </c>
      <c r="B425" t="s">
        <v>23</v>
      </c>
      <c r="C425" t="s">
        <v>29</v>
      </c>
      <c r="D425">
        <v>201119</v>
      </c>
      <c r="E425">
        <v>214.74</v>
      </c>
      <c r="F425">
        <v>141.4550000000001</v>
      </c>
      <c r="G425">
        <v>214.63263000000001</v>
      </c>
      <c r="H425">
        <v>141.5257275000001</v>
      </c>
      <c r="I425">
        <v>3.951005231682672</v>
      </c>
      <c r="J425">
        <v>0.57483856893253515</v>
      </c>
      <c r="K425">
        <v>-4.6567942628294681E-2</v>
      </c>
      <c r="L425">
        <v>4.0637557451665543E-2</v>
      </c>
      <c r="M425" t="s">
        <v>25</v>
      </c>
      <c r="N425">
        <v>13</v>
      </c>
      <c r="O425" t="s">
        <v>26</v>
      </c>
      <c r="P425">
        <v>201132</v>
      </c>
      <c r="Q425">
        <v>214.5</v>
      </c>
      <c r="R425">
        <v>141.315</v>
      </c>
      <c r="S425">
        <v>0.2795568782945157</v>
      </c>
      <c r="T425">
        <v>5.4870481875563849E-3</v>
      </c>
      <c r="U425">
        <v>-1.025290471962987E-2</v>
      </c>
      <c r="V425">
        <v>3.1492519764340031E-3</v>
      </c>
      <c r="W425">
        <v>-1.340215669606388E-2</v>
      </c>
    </row>
    <row r="426" spans="1:23" x14ac:dyDescent="0.25">
      <c r="A426">
        <v>45</v>
      </c>
      <c r="B426" t="s">
        <v>23</v>
      </c>
      <c r="C426" t="s">
        <v>29</v>
      </c>
      <c r="D426">
        <v>201667</v>
      </c>
      <c r="E426">
        <v>215.1</v>
      </c>
      <c r="F426">
        <v>140.05500000000001</v>
      </c>
      <c r="G426">
        <v>215.20754999999991</v>
      </c>
      <c r="H426">
        <v>139.98497250000011</v>
      </c>
      <c r="I426">
        <v>-4.2557434951120356</v>
      </c>
      <c r="J426">
        <v>0.57483856893253515</v>
      </c>
      <c r="K426">
        <v>4.6490004649000473E-2</v>
      </c>
      <c r="L426">
        <v>-4.1043773441329118E-2</v>
      </c>
      <c r="M426" t="s">
        <v>27</v>
      </c>
      <c r="N426">
        <v>14</v>
      </c>
      <c r="O426" t="s">
        <v>26</v>
      </c>
      <c r="P426">
        <v>201681</v>
      </c>
      <c r="Q426">
        <v>215.8</v>
      </c>
      <c r="R426">
        <v>140.27000000000001</v>
      </c>
      <c r="S426">
        <v>0.43991706741851622</v>
      </c>
      <c r="T426">
        <v>2.3718591964416239E-2</v>
      </c>
      <c r="U426">
        <v>7.9495225678209869E-3</v>
      </c>
      <c r="V426">
        <v>3.150102299296137E-3</v>
      </c>
      <c r="W426">
        <v>4.7994202685248486E-3</v>
      </c>
    </row>
    <row r="427" spans="1:23" x14ac:dyDescent="0.25">
      <c r="A427">
        <v>45</v>
      </c>
      <c r="B427" t="s">
        <v>23</v>
      </c>
      <c r="C427" t="s">
        <v>29</v>
      </c>
      <c r="D427">
        <v>201915</v>
      </c>
      <c r="E427">
        <v>216.33500000000009</v>
      </c>
      <c r="F427">
        <v>139.72</v>
      </c>
      <c r="G427">
        <v>216.22683250000011</v>
      </c>
      <c r="H427">
        <v>139.78986</v>
      </c>
      <c r="I427">
        <v>3.5423891507075251</v>
      </c>
      <c r="J427">
        <v>0.57483856893253515</v>
      </c>
      <c r="K427">
        <v>-4.6224605357431739E-2</v>
      </c>
      <c r="L427">
        <v>4.1142182145185738E-2</v>
      </c>
      <c r="M427" t="s">
        <v>25</v>
      </c>
      <c r="N427">
        <v>13</v>
      </c>
      <c r="O427" t="s">
        <v>26</v>
      </c>
      <c r="P427">
        <v>201928</v>
      </c>
      <c r="Q427">
        <v>216.25000000000011</v>
      </c>
      <c r="R427">
        <v>139.72999999999999</v>
      </c>
      <c r="S427">
        <v>0.2263294647040385</v>
      </c>
      <c r="T427">
        <v>4.340513276834863E-3</v>
      </c>
      <c r="U427">
        <v>-1.1406113577672549E-2</v>
      </c>
      <c r="V427">
        <v>3.1492519764340031E-3</v>
      </c>
      <c r="W427">
        <v>-1.455536555410655E-2</v>
      </c>
    </row>
    <row r="428" spans="1:23" x14ac:dyDescent="0.25">
      <c r="A428">
        <v>45</v>
      </c>
      <c r="B428" t="s">
        <v>23</v>
      </c>
      <c r="C428" t="s">
        <v>29</v>
      </c>
      <c r="D428">
        <v>202341</v>
      </c>
      <c r="E428">
        <v>219.55</v>
      </c>
      <c r="F428">
        <v>143.01499999999999</v>
      </c>
      <c r="G428">
        <v>219.440225</v>
      </c>
      <c r="H428">
        <v>143.08650750000001</v>
      </c>
      <c r="I428">
        <v>3.5587417936215608</v>
      </c>
      <c r="J428">
        <v>0.57483856893253515</v>
      </c>
      <c r="K428">
        <v>-4.5547711227510827E-2</v>
      </c>
      <c r="L428">
        <v>4.0194285140197551E-2</v>
      </c>
      <c r="M428" t="s">
        <v>25</v>
      </c>
      <c r="N428">
        <v>4</v>
      </c>
      <c r="O428" t="s">
        <v>26</v>
      </c>
      <c r="P428">
        <v>202345</v>
      </c>
      <c r="Q428">
        <v>218.86999999999989</v>
      </c>
      <c r="R428">
        <v>143.01499999999999</v>
      </c>
      <c r="S428">
        <v>0.15839439222475499</v>
      </c>
      <c r="T428">
        <v>3.0972443634707671E-2</v>
      </c>
      <c r="U428">
        <v>1.5239544167201141E-2</v>
      </c>
      <c r="V428">
        <v>3.1492519764340031E-3</v>
      </c>
      <c r="W428">
        <v>1.2090292190767141E-2</v>
      </c>
    </row>
    <row r="429" spans="1:23" x14ac:dyDescent="0.25">
      <c r="A429">
        <v>45</v>
      </c>
      <c r="B429" t="s">
        <v>23</v>
      </c>
      <c r="C429" t="s">
        <v>29</v>
      </c>
      <c r="D429">
        <v>202958</v>
      </c>
      <c r="E429">
        <v>219.88</v>
      </c>
      <c r="F429">
        <v>142.44999999999999</v>
      </c>
      <c r="G429">
        <v>219.98993999999999</v>
      </c>
      <c r="H429">
        <v>142.37877499999999</v>
      </c>
      <c r="I429">
        <v>-3.720775478787933</v>
      </c>
      <c r="J429">
        <v>0.57483856893253515</v>
      </c>
      <c r="K429">
        <v>4.5479352374022189E-2</v>
      </c>
      <c r="L429">
        <v>-4.0353707892771852E-2</v>
      </c>
      <c r="M429" t="s">
        <v>27</v>
      </c>
      <c r="N429">
        <v>4</v>
      </c>
      <c r="O429" t="s">
        <v>26</v>
      </c>
      <c r="P429">
        <v>202962</v>
      </c>
      <c r="Q429">
        <v>220.13</v>
      </c>
      <c r="R429">
        <v>142.44999999999999</v>
      </c>
      <c r="S429">
        <v>0.14879736132728499</v>
      </c>
      <c r="T429">
        <v>1.136983809350425E-2</v>
      </c>
      <c r="U429">
        <v>-4.3842325148670848E-3</v>
      </c>
      <c r="V429">
        <v>3.150102299296137E-3</v>
      </c>
      <c r="W429">
        <v>-7.5343348141632223E-3</v>
      </c>
    </row>
    <row r="430" spans="1:23" x14ac:dyDescent="0.25">
      <c r="A430">
        <v>46</v>
      </c>
      <c r="B430" t="s">
        <v>33</v>
      </c>
      <c r="C430" t="s">
        <v>32</v>
      </c>
      <c r="D430">
        <v>203401</v>
      </c>
      <c r="E430">
        <v>39.725000000000001</v>
      </c>
      <c r="F430">
        <v>61.34500000000002</v>
      </c>
      <c r="G430">
        <v>39.744862500000004</v>
      </c>
      <c r="H430">
        <v>61.314327500000033</v>
      </c>
      <c r="I430">
        <v>-5.294649559954772</v>
      </c>
      <c r="J430">
        <v>0.81843712023132364</v>
      </c>
      <c r="K430">
        <v>0.25173064820641911</v>
      </c>
      <c r="L430">
        <v>-0.13341545688015699</v>
      </c>
      <c r="M430" t="s">
        <v>27</v>
      </c>
      <c r="N430">
        <v>23</v>
      </c>
      <c r="O430" t="s">
        <v>26</v>
      </c>
      <c r="P430">
        <v>203424</v>
      </c>
      <c r="Q430">
        <v>39.674999999999997</v>
      </c>
      <c r="R430">
        <v>61.209999999999987</v>
      </c>
      <c r="S430">
        <v>-0.49222512236595861</v>
      </c>
      <c r="T430">
        <v>5.4245542685036462E-3</v>
      </c>
      <c r="U430">
        <v>-1.274451812426255E-2</v>
      </c>
      <c r="V430">
        <v>3.6370558033424162E-3</v>
      </c>
      <c r="W430">
        <v>-1.6381573927604968E-2</v>
      </c>
    </row>
    <row r="431" spans="1:23" x14ac:dyDescent="0.25">
      <c r="A431">
        <v>46</v>
      </c>
      <c r="B431" t="s">
        <v>33</v>
      </c>
      <c r="C431" t="s">
        <v>32</v>
      </c>
      <c r="D431">
        <v>203511</v>
      </c>
      <c r="E431">
        <v>39.81</v>
      </c>
      <c r="F431">
        <v>61.840000000000011</v>
      </c>
      <c r="G431">
        <v>39.829904999999989</v>
      </c>
      <c r="H431">
        <v>61.809080000000023</v>
      </c>
      <c r="I431">
        <v>-4.868235112361079</v>
      </c>
      <c r="J431">
        <v>0.81843712023132364</v>
      </c>
      <c r="K431">
        <v>0.25119316754584281</v>
      </c>
      <c r="L431">
        <v>-0.13234752914478071</v>
      </c>
      <c r="M431" t="s">
        <v>27</v>
      </c>
      <c r="N431">
        <v>19</v>
      </c>
      <c r="O431" t="s">
        <v>26</v>
      </c>
      <c r="P431">
        <v>203530</v>
      </c>
      <c r="Q431">
        <v>39.544999999999987</v>
      </c>
      <c r="R431">
        <v>61.170000000000023</v>
      </c>
      <c r="S431">
        <v>-0.38645607382094932</v>
      </c>
      <c r="T431">
        <v>2.2106655127352891E-2</v>
      </c>
      <c r="U431">
        <v>3.9999034420070689E-3</v>
      </c>
      <c r="V431">
        <v>3.6370558033424162E-3</v>
      </c>
      <c r="W431">
        <v>3.6284763866465281E-4</v>
      </c>
    </row>
    <row r="432" spans="1:23" x14ac:dyDescent="0.25">
      <c r="A432">
        <v>46</v>
      </c>
      <c r="B432" t="s">
        <v>33</v>
      </c>
      <c r="C432" t="s">
        <v>32</v>
      </c>
      <c r="D432">
        <v>204291</v>
      </c>
      <c r="E432">
        <v>40.794999999999987</v>
      </c>
      <c r="F432">
        <v>62.019999999999989</v>
      </c>
      <c r="G432">
        <v>40.7746025</v>
      </c>
      <c r="H432">
        <v>62.051009999999977</v>
      </c>
      <c r="I432">
        <v>4.6424503276207432</v>
      </c>
      <c r="J432">
        <v>0.81843712023132364</v>
      </c>
      <c r="K432">
        <v>-0.24512807942149781</v>
      </c>
      <c r="L432">
        <v>0.131963418289475</v>
      </c>
      <c r="M432" t="s">
        <v>25</v>
      </c>
      <c r="N432">
        <v>22</v>
      </c>
      <c r="O432" t="s">
        <v>26</v>
      </c>
      <c r="P432">
        <v>204313</v>
      </c>
      <c r="Q432">
        <v>40.590000000000003</v>
      </c>
      <c r="R432">
        <v>61.83</v>
      </c>
      <c r="S432">
        <v>0.48790039536807628</v>
      </c>
      <c r="T432">
        <v>2.5178206806405871E-2</v>
      </c>
      <c r="U432">
        <v>7.0314977569744808E-3</v>
      </c>
      <c r="V432">
        <v>3.6366926775828791E-3</v>
      </c>
      <c r="W432">
        <v>3.3948050793916021E-3</v>
      </c>
    </row>
    <row r="433" spans="1:23" x14ac:dyDescent="0.25">
      <c r="A433">
        <v>46</v>
      </c>
      <c r="B433" t="s">
        <v>33</v>
      </c>
      <c r="C433" t="s">
        <v>32</v>
      </c>
      <c r="D433">
        <v>205070</v>
      </c>
      <c r="E433">
        <v>40.899999999999991</v>
      </c>
      <c r="F433">
        <v>60.950000000000017</v>
      </c>
      <c r="G433">
        <v>40.879549999999988</v>
      </c>
      <c r="H433">
        <v>60.980475000000013</v>
      </c>
      <c r="I433">
        <v>4.1303043071988439</v>
      </c>
      <c r="J433">
        <v>0.81843712023132364</v>
      </c>
      <c r="K433">
        <v>-0.24449877750611251</v>
      </c>
      <c r="L433">
        <v>0.13428008535378561</v>
      </c>
      <c r="M433" t="s">
        <v>25</v>
      </c>
      <c r="N433">
        <v>21</v>
      </c>
      <c r="O433" t="s">
        <v>26</v>
      </c>
      <c r="P433">
        <v>205091</v>
      </c>
      <c r="Q433">
        <v>40.534999999999997</v>
      </c>
      <c r="R433">
        <v>61.214999999999982</v>
      </c>
      <c r="S433">
        <v>-0.43644022084023387</v>
      </c>
      <c r="T433">
        <v>0.12482627640847831</v>
      </c>
      <c r="U433">
        <v>0.10666873412175371</v>
      </c>
      <c r="V433">
        <v>3.6366926775828791E-3</v>
      </c>
      <c r="W433">
        <v>0.1030320414441708</v>
      </c>
    </row>
    <row r="434" spans="1:23" x14ac:dyDescent="0.25">
      <c r="A434">
        <v>46</v>
      </c>
      <c r="B434" t="s">
        <v>33</v>
      </c>
      <c r="C434" t="s">
        <v>32</v>
      </c>
      <c r="D434">
        <v>205460</v>
      </c>
      <c r="E434">
        <v>39.845000000000013</v>
      </c>
      <c r="F434">
        <v>60.77</v>
      </c>
      <c r="G434">
        <v>39.864922500000013</v>
      </c>
      <c r="H434">
        <v>60.739615000000001</v>
      </c>
      <c r="I434">
        <v>-4.6377721044043083</v>
      </c>
      <c r="J434">
        <v>0.81843712023132364</v>
      </c>
      <c r="K434">
        <v>0.2509725185092232</v>
      </c>
      <c r="L434">
        <v>-0.1346778213314668</v>
      </c>
      <c r="M434" t="s">
        <v>27</v>
      </c>
      <c r="N434">
        <v>25</v>
      </c>
      <c r="O434" t="s">
        <v>26</v>
      </c>
      <c r="P434">
        <v>205485</v>
      </c>
      <c r="Q434">
        <v>39.674999999999997</v>
      </c>
      <c r="R434">
        <v>60.895000000000003</v>
      </c>
      <c r="S434">
        <v>-0.478001244335025</v>
      </c>
      <c r="T434">
        <v>-5.9500055813004472E-2</v>
      </c>
      <c r="U434">
        <v>-7.7671511715076483E-2</v>
      </c>
      <c r="V434">
        <v>3.6370558033424162E-3</v>
      </c>
      <c r="W434">
        <v>-8.1308567518418903E-2</v>
      </c>
    </row>
    <row r="435" spans="1:23" x14ac:dyDescent="0.25">
      <c r="A435">
        <v>46</v>
      </c>
      <c r="B435" t="s">
        <v>33</v>
      </c>
      <c r="C435" t="s">
        <v>32</v>
      </c>
      <c r="D435">
        <v>205929</v>
      </c>
      <c r="E435">
        <v>39.45000000000001</v>
      </c>
      <c r="F435">
        <v>59.6</v>
      </c>
      <c r="G435">
        <v>39.430275000000009</v>
      </c>
      <c r="H435">
        <v>59.629800000000003</v>
      </c>
      <c r="I435">
        <v>3.5864335243127421</v>
      </c>
      <c r="J435">
        <v>0.81843712023132364</v>
      </c>
      <c r="K435">
        <v>-0.25348542458808609</v>
      </c>
      <c r="L435">
        <v>0.1373216644683429</v>
      </c>
      <c r="M435" t="s">
        <v>25</v>
      </c>
      <c r="N435">
        <v>22</v>
      </c>
      <c r="O435" t="s">
        <v>26</v>
      </c>
      <c r="P435">
        <v>205951</v>
      </c>
      <c r="Q435">
        <v>39.275000000000013</v>
      </c>
      <c r="R435">
        <v>58.689999999999984</v>
      </c>
      <c r="S435">
        <v>0.48515175278536332</v>
      </c>
      <c r="T435">
        <v>-8.0602765363278359E-2</v>
      </c>
      <c r="U435">
        <v>-9.8702475233605105E-2</v>
      </c>
      <c r="V435">
        <v>3.6366926775828791E-3</v>
      </c>
      <c r="W435">
        <v>-0.10233916791118799</v>
      </c>
    </row>
    <row r="436" spans="1:23" x14ac:dyDescent="0.25">
      <c r="A436">
        <v>46</v>
      </c>
      <c r="B436" t="s">
        <v>33</v>
      </c>
      <c r="C436" t="s">
        <v>32</v>
      </c>
      <c r="D436">
        <v>206243</v>
      </c>
      <c r="E436">
        <v>39.29</v>
      </c>
      <c r="F436">
        <v>58.749999999999993</v>
      </c>
      <c r="G436">
        <v>39.270355000000002</v>
      </c>
      <c r="H436">
        <v>58.77937499999998</v>
      </c>
      <c r="I436">
        <v>4.4821213922017336</v>
      </c>
      <c r="J436">
        <v>0.81843712023132364</v>
      </c>
      <c r="K436">
        <v>-0.25451768897938409</v>
      </c>
      <c r="L436">
        <v>0.1393084459968211</v>
      </c>
      <c r="M436" t="s">
        <v>25</v>
      </c>
      <c r="N436">
        <v>22</v>
      </c>
      <c r="O436" t="s">
        <v>26</v>
      </c>
      <c r="P436">
        <v>206265</v>
      </c>
      <c r="Q436">
        <v>39.29</v>
      </c>
      <c r="R436">
        <v>58.594999999999999</v>
      </c>
      <c r="S436">
        <v>0.3444671421500024</v>
      </c>
      <c r="T436">
        <v>-2.1592809129505449E-2</v>
      </c>
      <c r="U436">
        <v>-3.9766383927251452E-2</v>
      </c>
      <c r="V436">
        <v>3.6366926775828791E-3</v>
      </c>
      <c r="W436">
        <v>-4.3403076604834327E-2</v>
      </c>
    </row>
    <row r="437" spans="1:23" x14ac:dyDescent="0.25">
      <c r="A437">
        <v>46</v>
      </c>
      <c r="B437" t="s">
        <v>33</v>
      </c>
      <c r="C437" t="s">
        <v>32</v>
      </c>
      <c r="D437">
        <v>206480</v>
      </c>
      <c r="E437">
        <v>38.890000000000008</v>
      </c>
      <c r="F437">
        <v>57.224999999999987</v>
      </c>
      <c r="G437">
        <v>38.87055500000001</v>
      </c>
      <c r="H437">
        <v>57.253612499999981</v>
      </c>
      <c r="I437">
        <v>3.641131774837695</v>
      </c>
      <c r="J437">
        <v>0.81843712023132364</v>
      </c>
      <c r="K437">
        <v>-0.25713551041398808</v>
      </c>
      <c r="L437">
        <v>0.14302090349171229</v>
      </c>
      <c r="M437" t="s">
        <v>25</v>
      </c>
      <c r="N437">
        <v>9</v>
      </c>
      <c r="O437" t="s">
        <v>26</v>
      </c>
      <c r="P437">
        <v>206489</v>
      </c>
      <c r="Q437">
        <v>39.090000000000003</v>
      </c>
      <c r="R437">
        <v>57.675000000000018</v>
      </c>
      <c r="S437">
        <v>0.3849430502814743</v>
      </c>
      <c r="T437">
        <v>1.2932304488480321E-2</v>
      </c>
      <c r="U437">
        <v>-5.3099599681578971E-3</v>
      </c>
      <c r="V437">
        <v>3.6366926775828791E-3</v>
      </c>
      <c r="W437">
        <v>-8.9466526457407762E-3</v>
      </c>
    </row>
    <row r="438" spans="1:23" x14ac:dyDescent="0.25">
      <c r="A438">
        <v>46</v>
      </c>
      <c r="B438" t="s">
        <v>33</v>
      </c>
      <c r="C438" t="s">
        <v>32</v>
      </c>
      <c r="D438">
        <v>206630</v>
      </c>
      <c r="E438">
        <v>39.29</v>
      </c>
      <c r="F438">
        <v>57.35</v>
      </c>
      <c r="G438">
        <v>39.270355000000002</v>
      </c>
      <c r="H438">
        <v>57.378675000000001</v>
      </c>
      <c r="I438">
        <v>4.3113063616582163</v>
      </c>
      <c r="J438">
        <v>0.81843712023132364</v>
      </c>
      <c r="K438">
        <v>-0.25451768897938409</v>
      </c>
      <c r="L438">
        <v>0.1427091752800913</v>
      </c>
      <c r="M438" t="s">
        <v>25</v>
      </c>
      <c r="N438">
        <v>19</v>
      </c>
      <c r="O438" t="s">
        <v>26</v>
      </c>
      <c r="P438">
        <v>206649</v>
      </c>
      <c r="Q438">
        <v>38.53</v>
      </c>
      <c r="R438">
        <v>57.010000000000012</v>
      </c>
      <c r="S438">
        <v>-0.42946991133426871</v>
      </c>
      <c r="T438">
        <v>0.1449123240291009</v>
      </c>
      <c r="U438">
        <v>0.12684893010839951</v>
      </c>
      <c r="V438">
        <v>3.6366926775828791E-3</v>
      </c>
      <c r="W438">
        <v>0.1232122374308167</v>
      </c>
    </row>
    <row r="439" spans="1:23" x14ac:dyDescent="0.25">
      <c r="A439">
        <v>47</v>
      </c>
      <c r="B439" t="s">
        <v>33</v>
      </c>
      <c r="C439" t="s">
        <v>32</v>
      </c>
      <c r="D439">
        <v>207301</v>
      </c>
      <c r="E439">
        <v>38.770000000000003</v>
      </c>
      <c r="F439">
        <v>57.325000000000017</v>
      </c>
      <c r="G439">
        <v>38.750615000000003</v>
      </c>
      <c r="H439">
        <v>57.353662500000013</v>
      </c>
      <c r="I439">
        <v>5.2938736160522986</v>
      </c>
      <c r="J439">
        <v>0.7622996901208926</v>
      </c>
      <c r="K439">
        <v>-0.2579313902501934</v>
      </c>
      <c r="L439">
        <v>0.1329785765583763</v>
      </c>
      <c r="M439" t="s">
        <v>25</v>
      </c>
      <c r="N439">
        <v>23</v>
      </c>
      <c r="O439" t="s">
        <v>26</v>
      </c>
      <c r="P439">
        <v>207324</v>
      </c>
      <c r="Q439">
        <v>38.81</v>
      </c>
      <c r="R439">
        <v>57.54999999999999</v>
      </c>
      <c r="S439">
        <v>0.47276452816292991</v>
      </c>
      <c r="T439">
        <v>1.960292411562357E-2</v>
      </c>
      <c r="U439">
        <v>1.9598084967482302E-3</v>
      </c>
      <c r="V439">
        <v>3.5243616799319061E-3</v>
      </c>
      <c r="W439">
        <v>-1.5645531831836759E-3</v>
      </c>
    </row>
    <row r="440" spans="1:23" x14ac:dyDescent="0.25">
      <c r="A440">
        <v>47</v>
      </c>
      <c r="B440" t="s">
        <v>33</v>
      </c>
      <c r="C440" t="s">
        <v>32</v>
      </c>
      <c r="D440">
        <v>207803</v>
      </c>
      <c r="E440">
        <v>38.935000000000009</v>
      </c>
      <c r="F440">
        <v>57.69</v>
      </c>
      <c r="G440">
        <v>38.915532500000012</v>
      </c>
      <c r="H440">
        <v>57.718845000000002</v>
      </c>
      <c r="I440">
        <v>4.7769517752934307</v>
      </c>
      <c r="J440">
        <v>0.7622996901208926</v>
      </c>
      <c r="K440">
        <v>-0.25683832027738529</v>
      </c>
      <c r="L440">
        <v>0.13213723177689241</v>
      </c>
      <c r="M440" t="s">
        <v>25</v>
      </c>
      <c r="N440">
        <v>5</v>
      </c>
      <c r="O440" t="s">
        <v>26</v>
      </c>
      <c r="P440">
        <v>207808</v>
      </c>
      <c r="Q440">
        <v>39.200000000000003</v>
      </c>
      <c r="R440">
        <v>58.689999999999984</v>
      </c>
      <c r="S440">
        <v>6.5111278370052733E-2</v>
      </c>
      <c r="T440">
        <v>6.4075076903386013E-2</v>
      </c>
      <c r="U440">
        <v>4.6351980308853798E-2</v>
      </c>
      <c r="V440">
        <v>3.5243616799319061E-3</v>
      </c>
      <c r="W440">
        <v>4.2827618628921899E-2</v>
      </c>
    </row>
    <row r="441" spans="1:23" x14ac:dyDescent="0.25">
      <c r="A441">
        <v>47</v>
      </c>
      <c r="B441" t="s">
        <v>33</v>
      </c>
      <c r="C441" t="s">
        <v>32</v>
      </c>
      <c r="D441">
        <v>208585</v>
      </c>
      <c r="E441">
        <v>39.42499999999999</v>
      </c>
      <c r="F441">
        <v>59.33000000000002</v>
      </c>
      <c r="G441">
        <v>39.444712499999987</v>
      </c>
      <c r="H441">
        <v>59.300335000000032</v>
      </c>
      <c r="I441">
        <v>-4.2902433316613244</v>
      </c>
      <c r="J441">
        <v>0.7622996901208926</v>
      </c>
      <c r="K441">
        <v>0.25364616360177561</v>
      </c>
      <c r="L441">
        <v>-0.1284846941043136</v>
      </c>
      <c r="M441" t="s">
        <v>27</v>
      </c>
      <c r="N441">
        <v>22</v>
      </c>
      <c r="O441" t="s">
        <v>26</v>
      </c>
      <c r="P441">
        <v>208607</v>
      </c>
      <c r="Q441">
        <v>39.619999999999997</v>
      </c>
      <c r="R441">
        <v>59.59</v>
      </c>
      <c r="S441">
        <v>-2.933524597040198E-2</v>
      </c>
      <c r="T441">
        <v>1.6054981435228668E-2</v>
      </c>
      <c r="U441">
        <v>-1.6094489771634401E-3</v>
      </c>
      <c r="V441">
        <v>3.524837080551665E-3</v>
      </c>
      <c r="W441">
        <v>-5.1342860577151036E-3</v>
      </c>
    </row>
    <row r="442" spans="1:23" x14ac:dyDescent="0.25">
      <c r="A442">
        <v>47</v>
      </c>
      <c r="B442" t="s">
        <v>33</v>
      </c>
      <c r="C442" t="s">
        <v>32</v>
      </c>
      <c r="D442">
        <v>208855</v>
      </c>
      <c r="E442">
        <v>39.905000000000001</v>
      </c>
      <c r="F442">
        <v>60.560000000000016</v>
      </c>
      <c r="G442">
        <v>39.924952500000003</v>
      </c>
      <c r="H442">
        <v>60.529720000000033</v>
      </c>
      <c r="I442">
        <v>-4.6251044726659352</v>
      </c>
      <c r="J442">
        <v>0.7622996901208926</v>
      </c>
      <c r="K442">
        <v>0.25059516351334421</v>
      </c>
      <c r="L442">
        <v>-0.12587511395655421</v>
      </c>
      <c r="M442" t="s">
        <v>27</v>
      </c>
      <c r="N442">
        <v>15</v>
      </c>
      <c r="O442" t="s">
        <v>26</v>
      </c>
      <c r="P442">
        <v>208870</v>
      </c>
      <c r="Q442">
        <v>39.770000000000003</v>
      </c>
      <c r="R442">
        <v>60.165000000000013</v>
      </c>
      <c r="S442">
        <v>-0.31849556225355719</v>
      </c>
      <c r="T442">
        <v>1.5890322938539231E-2</v>
      </c>
      <c r="U442">
        <v>-1.6908984541232281E-3</v>
      </c>
      <c r="V442">
        <v>3.524837080551665E-3</v>
      </c>
      <c r="W442">
        <v>-5.2157355346748929E-3</v>
      </c>
    </row>
    <row r="443" spans="1:23" x14ac:dyDescent="0.25">
      <c r="A443">
        <v>47</v>
      </c>
      <c r="B443" t="s">
        <v>33</v>
      </c>
      <c r="C443" t="s">
        <v>32</v>
      </c>
      <c r="D443">
        <v>208974</v>
      </c>
      <c r="E443">
        <v>39.989999999999988</v>
      </c>
      <c r="F443">
        <v>59.890000000000022</v>
      </c>
      <c r="G443">
        <v>39.970005</v>
      </c>
      <c r="H443">
        <v>59.91994500000002</v>
      </c>
      <c r="I443">
        <v>4.5276929527172047</v>
      </c>
      <c r="J443">
        <v>0.7622996901208926</v>
      </c>
      <c r="K443">
        <v>-0.25006251562890719</v>
      </c>
      <c r="L443">
        <v>0.12728330107211419</v>
      </c>
      <c r="M443" t="s">
        <v>25</v>
      </c>
      <c r="N443">
        <v>1</v>
      </c>
      <c r="O443" t="s">
        <v>26</v>
      </c>
      <c r="P443">
        <v>208975</v>
      </c>
      <c r="Q443">
        <v>40.259999999999991</v>
      </c>
      <c r="R443">
        <v>61.06</v>
      </c>
      <c r="S443">
        <v>-0.3648271027234824</v>
      </c>
      <c r="T443">
        <v>8.1404583034567213E-2</v>
      </c>
      <c r="U443">
        <v>6.3673366962624364E-2</v>
      </c>
      <c r="V443">
        <v>3.5243616799319061E-3</v>
      </c>
      <c r="W443">
        <v>6.0149005282692458E-2</v>
      </c>
    </row>
    <row r="444" spans="1:23" x14ac:dyDescent="0.25">
      <c r="A444">
        <v>47</v>
      </c>
      <c r="B444" t="s">
        <v>33</v>
      </c>
      <c r="C444" t="s">
        <v>32</v>
      </c>
      <c r="D444">
        <v>209365</v>
      </c>
      <c r="E444">
        <v>40.44</v>
      </c>
      <c r="F444">
        <v>62.62</v>
      </c>
      <c r="G444">
        <v>40.460219999999993</v>
      </c>
      <c r="H444">
        <v>62.58869</v>
      </c>
      <c r="I444">
        <v>-4.176952863128566</v>
      </c>
      <c r="J444">
        <v>0.7622996901208926</v>
      </c>
      <c r="K444">
        <v>0.2472799208704253</v>
      </c>
      <c r="L444">
        <v>-0.1217342207155689</v>
      </c>
      <c r="M444" t="s">
        <v>27</v>
      </c>
      <c r="N444">
        <v>7</v>
      </c>
      <c r="O444" t="s">
        <v>26</v>
      </c>
      <c r="P444">
        <v>209372</v>
      </c>
      <c r="Q444">
        <v>40.53</v>
      </c>
      <c r="R444">
        <v>62.159999999999982</v>
      </c>
      <c r="S444">
        <v>-0.35102030896215558</v>
      </c>
      <c r="T444">
        <v>7.8252934407502667E-2</v>
      </c>
      <c r="U444">
        <v>6.0646808780622487E-2</v>
      </c>
      <c r="V444">
        <v>3.524837080551665E-3</v>
      </c>
      <c r="W444">
        <v>5.7121971700070828E-2</v>
      </c>
    </row>
    <row r="445" spans="1:23" x14ac:dyDescent="0.25">
      <c r="A445">
        <v>47</v>
      </c>
      <c r="B445" t="s">
        <v>33</v>
      </c>
      <c r="C445" t="s">
        <v>32</v>
      </c>
      <c r="D445">
        <v>210287</v>
      </c>
      <c r="E445">
        <v>39.384999999999998</v>
      </c>
      <c r="F445">
        <v>61.34500000000002</v>
      </c>
      <c r="G445">
        <v>39.3653075</v>
      </c>
      <c r="H445">
        <v>61.375672500000007</v>
      </c>
      <c r="I445">
        <v>3.68964372478611</v>
      </c>
      <c r="J445">
        <v>0.7622996901208926</v>
      </c>
      <c r="K445">
        <v>-0.2539037704709915</v>
      </c>
      <c r="L445">
        <v>0.1242643557129175</v>
      </c>
      <c r="M445" t="s">
        <v>25</v>
      </c>
      <c r="N445">
        <v>12</v>
      </c>
      <c r="O445" t="s">
        <v>26</v>
      </c>
      <c r="P445">
        <v>210299</v>
      </c>
      <c r="Q445">
        <v>39.340000000000003</v>
      </c>
      <c r="R445">
        <v>61.34500000000002</v>
      </c>
      <c r="S445">
        <v>-0.23800087791465091</v>
      </c>
      <c r="T445">
        <v>1.142566967119505E-2</v>
      </c>
      <c r="U445">
        <v>-6.1916143951757869E-3</v>
      </c>
      <c r="V445">
        <v>3.5243616799319061E-3</v>
      </c>
      <c r="W445">
        <v>-9.7159760751076921E-3</v>
      </c>
    </row>
    <row r="446" spans="1:23" x14ac:dyDescent="0.25">
      <c r="A446">
        <v>47</v>
      </c>
      <c r="B446" t="s">
        <v>33</v>
      </c>
      <c r="C446" t="s">
        <v>32</v>
      </c>
      <c r="D446">
        <v>210536</v>
      </c>
      <c r="E446">
        <v>39.19</v>
      </c>
      <c r="F446">
        <v>61.23</v>
      </c>
      <c r="G446">
        <v>39.209594999999993</v>
      </c>
      <c r="H446">
        <v>61.199384999999999</v>
      </c>
      <c r="I446">
        <v>-4.5011181305476669</v>
      </c>
      <c r="J446">
        <v>0.7622996901208926</v>
      </c>
      <c r="K446">
        <v>0.25516713447307993</v>
      </c>
      <c r="L446">
        <v>-0.1244977445893994</v>
      </c>
      <c r="M446" t="s">
        <v>27</v>
      </c>
      <c r="N446">
        <v>6</v>
      </c>
      <c r="O446" t="s">
        <v>26</v>
      </c>
      <c r="P446">
        <v>210542</v>
      </c>
      <c r="Q446">
        <v>39.229999999999997</v>
      </c>
      <c r="R446">
        <v>60.809999999999981</v>
      </c>
      <c r="S446">
        <v>3.6214629179323141E-3</v>
      </c>
      <c r="T446">
        <v>6.2495738106474519E-2</v>
      </c>
      <c r="U446">
        <v>4.4893782388943447E-2</v>
      </c>
      <c r="V446">
        <v>3.524837080551665E-3</v>
      </c>
      <c r="W446">
        <v>4.1368945308391789E-2</v>
      </c>
    </row>
    <row r="447" spans="1:23" x14ac:dyDescent="0.25">
      <c r="A447">
        <v>47</v>
      </c>
      <c r="B447" t="s">
        <v>33</v>
      </c>
      <c r="C447" t="s">
        <v>32</v>
      </c>
      <c r="D447">
        <v>210925</v>
      </c>
      <c r="E447">
        <v>39.369999999999997</v>
      </c>
      <c r="F447">
        <v>60.390000000000029</v>
      </c>
      <c r="G447">
        <v>39.350315000000002</v>
      </c>
      <c r="H447">
        <v>60.420195000000028</v>
      </c>
      <c r="I447">
        <v>4.3877856368683501</v>
      </c>
      <c r="J447">
        <v>0.7622996901208926</v>
      </c>
      <c r="K447">
        <v>-0.25400050800101598</v>
      </c>
      <c r="L447">
        <v>0.12622945688373771</v>
      </c>
      <c r="M447" t="s">
        <v>25</v>
      </c>
      <c r="N447">
        <v>55</v>
      </c>
      <c r="O447" t="s">
        <v>26</v>
      </c>
      <c r="P447">
        <v>210980</v>
      </c>
      <c r="Q447">
        <v>39.14</v>
      </c>
      <c r="R447">
        <v>61.22</v>
      </c>
      <c r="S447">
        <v>-0.15548342445975041</v>
      </c>
      <c r="T447">
        <v>0.16319056605373139</v>
      </c>
      <c r="U447">
        <v>0.145544393986339</v>
      </c>
      <c r="V447">
        <v>3.5243616799319069E-3</v>
      </c>
      <c r="W447">
        <v>0.14202003230640711</v>
      </c>
    </row>
    <row r="448" spans="1:23" x14ac:dyDescent="0.25">
      <c r="A448">
        <v>48</v>
      </c>
      <c r="B448" t="s">
        <v>31</v>
      </c>
      <c r="C448" t="s">
        <v>28</v>
      </c>
      <c r="D448">
        <v>211201</v>
      </c>
      <c r="E448">
        <v>56.500000000000007</v>
      </c>
      <c r="F448">
        <v>42.444999999999993</v>
      </c>
      <c r="G448">
        <v>56.471750000000007</v>
      </c>
      <c r="H448">
        <v>42.466222499999994</v>
      </c>
      <c r="I448">
        <v>5.2946498019823567</v>
      </c>
      <c r="J448">
        <v>8.7692915449552392E-2</v>
      </c>
      <c r="K448">
        <v>-0.17699115044247779</v>
      </c>
      <c r="L448">
        <v>2.06603641063853E-2</v>
      </c>
      <c r="M448" t="s">
        <v>25</v>
      </c>
      <c r="N448">
        <v>23</v>
      </c>
      <c r="O448" t="s">
        <v>26</v>
      </c>
      <c r="P448">
        <v>211224</v>
      </c>
      <c r="Q448">
        <v>56.55</v>
      </c>
      <c r="R448">
        <v>42.400000000000013</v>
      </c>
      <c r="S448">
        <v>0.49207106426100361</v>
      </c>
      <c r="T448">
        <v>-9.7792739069104684E-3</v>
      </c>
      <c r="U448">
        <v>-2.0660162981973519E-2</v>
      </c>
      <c r="V448">
        <v>2.1744735238145539E-3</v>
      </c>
      <c r="W448">
        <v>-2.283463650578808E-2</v>
      </c>
    </row>
    <row r="449" spans="1:23" x14ac:dyDescent="0.25">
      <c r="A449">
        <v>48</v>
      </c>
      <c r="B449" t="s">
        <v>31</v>
      </c>
      <c r="C449" t="s">
        <v>28</v>
      </c>
      <c r="D449">
        <v>212095</v>
      </c>
      <c r="E449">
        <v>55.774999999999977</v>
      </c>
      <c r="F449">
        <v>42.44</v>
      </c>
      <c r="G449">
        <v>55.802887499999983</v>
      </c>
      <c r="H449">
        <v>42.418779999999998</v>
      </c>
      <c r="I449">
        <v>-4.1690000875244353</v>
      </c>
      <c r="J449">
        <v>8.7692915449552392E-2</v>
      </c>
      <c r="K449">
        <v>0.17929179740026899</v>
      </c>
      <c r="L449">
        <v>-2.0662798173787082E-2</v>
      </c>
      <c r="M449" t="s">
        <v>27</v>
      </c>
      <c r="N449">
        <v>24</v>
      </c>
      <c r="O449" t="s">
        <v>26</v>
      </c>
      <c r="P449">
        <v>212119</v>
      </c>
      <c r="Q449">
        <v>55.764999999999979</v>
      </c>
      <c r="R449">
        <v>41.750000000000007</v>
      </c>
      <c r="S449">
        <v>-0.20501706892274191</v>
      </c>
      <c r="T449">
        <v>1.246441276591056E-2</v>
      </c>
      <c r="U449">
        <v>1.595508735772888E-3</v>
      </c>
      <c r="V449">
        <v>2.176298137983655E-3</v>
      </c>
      <c r="W449">
        <v>-5.8078940221076769E-4</v>
      </c>
    </row>
    <row r="450" spans="1:23" x14ac:dyDescent="0.25">
      <c r="A450">
        <v>48</v>
      </c>
      <c r="B450" t="s">
        <v>31</v>
      </c>
      <c r="C450" t="s">
        <v>28</v>
      </c>
      <c r="D450">
        <v>213266</v>
      </c>
      <c r="E450">
        <v>56.15000000000002</v>
      </c>
      <c r="F450">
        <v>42.249999999999993</v>
      </c>
      <c r="G450">
        <v>56.121925000000033</v>
      </c>
      <c r="H450">
        <v>42.271124999999991</v>
      </c>
      <c r="I450">
        <v>5.1709949717633217</v>
      </c>
      <c r="J450">
        <v>8.7692915449552392E-2</v>
      </c>
      <c r="K450">
        <v>-0.17809439002671409</v>
      </c>
      <c r="L450">
        <v>2.0755719633030151E-2</v>
      </c>
      <c r="M450" t="s">
        <v>25</v>
      </c>
      <c r="N450">
        <v>29</v>
      </c>
      <c r="O450" t="s">
        <v>26</v>
      </c>
      <c r="P450">
        <v>213295</v>
      </c>
      <c r="Q450">
        <v>56.655000000000008</v>
      </c>
      <c r="R450">
        <v>42.47999999999999</v>
      </c>
      <c r="S450">
        <v>0.40827709224458342</v>
      </c>
      <c r="T450">
        <v>-8.5163851447891667E-2</v>
      </c>
      <c r="U450">
        <v>-9.6088136343624911E-2</v>
      </c>
      <c r="V450">
        <v>2.1744735238145539E-3</v>
      </c>
      <c r="W450">
        <v>-9.8262609867439468E-2</v>
      </c>
    </row>
    <row r="451" spans="1:23" x14ac:dyDescent="0.25">
      <c r="A451">
        <v>48</v>
      </c>
      <c r="B451" t="s">
        <v>31</v>
      </c>
      <c r="C451" t="s">
        <v>28</v>
      </c>
      <c r="D451">
        <v>214046</v>
      </c>
      <c r="E451">
        <v>58.27999999999998</v>
      </c>
      <c r="F451">
        <v>42.27</v>
      </c>
      <c r="G451">
        <v>58.250859999999982</v>
      </c>
      <c r="H451">
        <v>42.291134999999997</v>
      </c>
      <c r="I451">
        <v>5.0661867051866256</v>
      </c>
      <c r="J451">
        <v>8.7692915449552392E-2</v>
      </c>
      <c r="K451">
        <v>-0.17158544955387789</v>
      </c>
      <c r="L451">
        <v>2.074589908908266E-2</v>
      </c>
      <c r="M451" t="s">
        <v>25</v>
      </c>
      <c r="N451">
        <v>11</v>
      </c>
      <c r="O451" t="s">
        <v>26</v>
      </c>
      <c r="P451">
        <v>214057</v>
      </c>
      <c r="Q451">
        <v>57.5</v>
      </c>
      <c r="R451">
        <v>42.19</v>
      </c>
      <c r="S451">
        <v>0.46712670515476939</v>
      </c>
      <c r="T451">
        <v>0.1321769787248947</v>
      </c>
      <c r="U451">
        <v>0.12136779773169</v>
      </c>
      <c r="V451">
        <v>2.1744735238145539E-3</v>
      </c>
      <c r="W451">
        <v>0.1191933242078754</v>
      </c>
    </row>
    <row r="452" spans="1:23" x14ac:dyDescent="0.25">
      <c r="A452">
        <v>48</v>
      </c>
      <c r="B452" t="s">
        <v>31</v>
      </c>
      <c r="C452" t="s">
        <v>28</v>
      </c>
      <c r="D452">
        <v>214442</v>
      </c>
      <c r="E452">
        <v>57.125000000000007</v>
      </c>
      <c r="F452">
        <v>42.255000000000003</v>
      </c>
      <c r="G452">
        <v>57.153562500000007</v>
      </c>
      <c r="H452">
        <v>42.233872499999997</v>
      </c>
      <c r="I452">
        <v>-3.5022639463534069</v>
      </c>
      <c r="J452">
        <v>8.7692915449552392E-2</v>
      </c>
      <c r="K452">
        <v>0.17505470459518599</v>
      </c>
      <c r="L452">
        <v>-2.075326362550051E-2</v>
      </c>
      <c r="M452" t="s">
        <v>27</v>
      </c>
      <c r="N452">
        <v>3</v>
      </c>
      <c r="O452" t="s">
        <v>26</v>
      </c>
      <c r="P452">
        <v>214445</v>
      </c>
      <c r="Q452">
        <v>57.340000000000018</v>
      </c>
      <c r="R452">
        <v>42.279999999999987</v>
      </c>
      <c r="S452">
        <v>-0.22746920866384529</v>
      </c>
      <c r="T452">
        <v>3.7117929897330731E-2</v>
      </c>
      <c r="U452">
        <v>2.6221922946296411E-2</v>
      </c>
      <c r="V452">
        <v>2.176298137983655E-3</v>
      </c>
      <c r="W452">
        <v>2.4045624808312759E-2</v>
      </c>
    </row>
    <row r="453" spans="1:23" x14ac:dyDescent="0.25">
      <c r="A453">
        <v>48</v>
      </c>
      <c r="B453" t="s">
        <v>31</v>
      </c>
      <c r="C453" t="s">
        <v>28</v>
      </c>
      <c r="D453">
        <v>215087</v>
      </c>
      <c r="E453">
        <v>57.579999999999991</v>
      </c>
      <c r="F453">
        <v>42.44</v>
      </c>
      <c r="G453">
        <v>57.608789999999978</v>
      </c>
      <c r="H453">
        <v>42.418779999999998</v>
      </c>
      <c r="I453">
        <v>-4.0048203496330608</v>
      </c>
      <c r="J453">
        <v>8.7692915449552392E-2</v>
      </c>
      <c r="K453">
        <v>0.17367141368530739</v>
      </c>
      <c r="L453">
        <v>-2.0662798173787082E-2</v>
      </c>
      <c r="M453" t="s">
        <v>27</v>
      </c>
      <c r="N453">
        <v>8</v>
      </c>
      <c r="O453" t="s">
        <v>26</v>
      </c>
      <c r="P453">
        <v>215095</v>
      </c>
      <c r="Q453">
        <v>57.685000000000016</v>
      </c>
      <c r="R453">
        <v>42.475000000000001</v>
      </c>
      <c r="S453">
        <v>-0.26423840508835789</v>
      </c>
      <c r="T453">
        <v>1.751230050088028E-2</v>
      </c>
      <c r="U453">
        <v>6.6258919982000643E-3</v>
      </c>
      <c r="V453">
        <v>2.176298137983655E-3</v>
      </c>
      <c r="W453">
        <v>4.4495938602164093E-3</v>
      </c>
    </row>
    <row r="454" spans="1:23" x14ac:dyDescent="0.25">
      <c r="A454">
        <v>50</v>
      </c>
      <c r="B454" t="s">
        <v>23</v>
      </c>
      <c r="C454" t="s">
        <v>34</v>
      </c>
      <c r="D454">
        <v>219001</v>
      </c>
      <c r="E454">
        <v>223.53999999999991</v>
      </c>
      <c r="F454">
        <v>524.5300000000002</v>
      </c>
      <c r="G454">
        <v>223.65176999999991</v>
      </c>
      <c r="H454">
        <v>524.26773500000024</v>
      </c>
      <c r="I454">
        <v>-5.2946483765838313</v>
      </c>
      <c r="J454">
        <v>0.89771297919984416</v>
      </c>
      <c r="K454">
        <v>4.4734723092064083E-2</v>
      </c>
      <c r="L454">
        <v>-1.71146164985767E-2</v>
      </c>
      <c r="M454" t="s">
        <v>27</v>
      </c>
      <c r="N454">
        <v>23</v>
      </c>
      <c r="O454" t="s">
        <v>26</v>
      </c>
      <c r="P454">
        <v>219024</v>
      </c>
      <c r="Q454">
        <v>223.93999999999991</v>
      </c>
      <c r="R454">
        <v>523.87000000000012</v>
      </c>
      <c r="S454">
        <v>-0.49084785483843241</v>
      </c>
      <c r="T454">
        <v>2.918953612588791E-2</v>
      </c>
      <c r="U454">
        <v>1.020910721271805E-2</v>
      </c>
      <c r="V454">
        <v>3.795528245420488E-3</v>
      </c>
      <c r="W454">
        <v>6.4135789672975577E-3</v>
      </c>
    </row>
    <row r="455" spans="1:23" x14ac:dyDescent="0.25">
      <c r="A455">
        <v>50</v>
      </c>
      <c r="B455" t="s">
        <v>23</v>
      </c>
      <c r="C455" t="s">
        <v>34</v>
      </c>
      <c r="D455">
        <v>219523</v>
      </c>
      <c r="E455">
        <v>224.095</v>
      </c>
      <c r="F455">
        <v>516.05000000000007</v>
      </c>
      <c r="G455">
        <v>223.98295250000001</v>
      </c>
      <c r="H455">
        <v>516.30802500000004</v>
      </c>
      <c r="I455">
        <v>3.795959400235124</v>
      </c>
      <c r="J455">
        <v>0.89771297919984416</v>
      </c>
      <c r="K455">
        <v>-4.4623931814632187E-2</v>
      </c>
      <c r="L455">
        <v>1.739585271194349E-2</v>
      </c>
      <c r="M455" t="s">
        <v>25</v>
      </c>
      <c r="N455">
        <v>4</v>
      </c>
      <c r="O455" t="s">
        <v>26</v>
      </c>
      <c r="P455">
        <v>219527</v>
      </c>
      <c r="Q455">
        <v>223.77500000000009</v>
      </c>
      <c r="R455">
        <v>516.88499999999988</v>
      </c>
      <c r="S455">
        <v>0.20746313271508721</v>
      </c>
      <c r="T455">
        <v>2.8805195195147681E-2</v>
      </c>
      <c r="U455">
        <v>9.8279424637335196E-3</v>
      </c>
      <c r="V455">
        <v>3.795323671378888E-3</v>
      </c>
      <c r="W455">
        <v>6.0326187923546316E-3</v>
      </c>
    </row>
    <row r="456" spans="1:23" x14ac:dyDescent="0.25">
      <c r="A456">
        <v>50</v>
      </c>
      <c r="B456" t="s">
        <v>23</v>
      </c>
      <c r="C456" t="s">
        <v>34</v>
      </c>
      <c r="D456">
        <v>219684</v>
      </c>
      <c r="E456">
        <v>224.3300000000001</v>
      </c>
      <c r="F456">
        <v>522.0200000000001</v>
      </c>
      <c r="G456">
        <v>224.44216499999999</v>
      </c>
      <c r="H456">
        <v>521.75899000000015</v>
      </c>
      <c r="I456">
        <v>-3.6147812943236071</v>
      </c>
      <c r="J456">
        <v>0.89771297919984416</v>
      </c>
      <c r="K456">
        <v>4.4577185396514049E-2</v>
      </c>
      <c r="L456">
        <v>-1.719690776598299E-2</v>
      </c>
      <c r="M456" t="s">
        <v>27</v>
      </c>
      <c r="N456">
        <v>27</v>
      </c>
      <c r="O456" t="s">
        <v>26</v>
      </c>
      <c r="P456">
        <v>219711</v>
      </c>
      <c r="Q456">
        <v>224.5</v>
      </c>
      <c r="R456">
        <v>522.72000000000014</v>
      </c>
      <c r="S456">
        <v>-9.9678313321824637E-3</v>
      </c>
      <c r="T456">
        <v>-4.4597139187833113E-3</v>
      </c>
      <c r="U456">
        <v>-2.3446651689255429E-2</v>
      </c>
      <c r="V456">
        <v>3.795528245420488E-3</v>
      </c>
      <c r="W456">
        <v>-2.7242179934675918E-2</v>
      </c>
    </row>
    <row r="457" spans="1:23" x14ac:dyDescent="0.25">
      <c r="A457">
        <v>50</v>
      </c>
      <c r="B457" t="s">
        <v>23</v>
      </c>
      <c r="C457" t="s">
        <v>34</v>
      </c>
      <c r="D457">
        <v>219911</v>
      </c>
      <c r="E457">
        <v>226.4</v>
      </c>
      <c r="F457">
        <v>522.25499999999988</v>
      </c>
      <c r="G457">
        <v>226.28680000000011</v>
      </c>
      <c r="H457">
        <v>522.51612749999981</v>
      </c>
      <c r="I457">
        <v>4.5962436395254196</v>
      </c>
      <c r="J457">
        <v>0.89771297919984416</v>
      </c>
      <c r="K457">
        <v>-4.4169611307420489E-2</v>
      </c>
      <c r="L457">
        <v>1.718916964317899E-2</v>
      </c>
      <c r="M457" t="s">
        <v>25</v>
      </c>
      <c r="N457">
        <v>6</v>
      </c>
      <c r="O457" t="s">
        <v>26</v>
      </c>
      <c r="P457">
        <v>219917</v>
      </c>
      <c r="Q457">
        <v>225.24999999999989</v>
      </c>
      <c r="R457">
        <v>522.04499999999973</v>
      </c>
      <c r="S457">
        <v>0.48484973560222427</v>
      </c>
      <c r="T457">
        <v>4.7185327378468672E-2</v>
      </c>
      <c r="U457">
        <v>2.823539997578817E-2</v>
      </c>
      <c r="V457">
        <v>3.795323671378888E-3</v>
      </c>
      <c r="W457">
        <v>2.4440076304409281E-2</v>
      </c>
    </row>
    <row r="458" spans="1:23" x14ac:dyDescent="0.25">
      <c r="A458">
        <v>50</v>
      </c>
      <c r="B458" t="s">
        <v>23</v>
      </c>
      <c r="C458" t="s">
        <v>34</v>
      </c>
      <c r="D458">
        <v>220302</v>
      </c>
      <c r="E458">
        <v>222.035</v>
      </c>
      <c r="F458">
        <v>524.27999999999975</v>
      </c>
      <c r="G458">
        <v>222.1460175</v>
      </c>
      <c r="H458">
        <v>524.01785999999981</v>
      </c>
      <c r="I458">
        <v>-4.2931644983849013</v>
      </c>
      <c r="J458">
        <v>0.89771297919984416</v>
      </c>
      <c r="K458">
        <v>4.5037944468214457E-2</v>
      </c>
      <c r="L458">
        <v>-1.712277750819876E-2</v>
      </c>
      <c r="M458" t="s">
        <v>27</v>
      </c>
      <c r="N458">
        <v>5</v>
      </c>
      <c r="O458" t="s">
        <v>26</v>
      </c>
      <c r="P458">
        <v>220307</v>
      </c>
      <c r="Q458">
        <v>222.90499999999989</v>
      </c>
      <c r="R458">
        <v>524.63</v>
      </c>
      <c r="S458">
        <v>-0.41358670850470042</v>
      </c>
      <c r="T458">
        <v>3.3190039559467817E-2</v>
      </c>
      <c r="U458">
        <v>1.419032177556576E-2</v>
      </c>
      <c r="V458">
        <v>3.795528245420488E-3</v>
      </c>
      <c r="W458">
        <v>1.039479353014528E-2</v>
      </c>
    </row>
    <row r="459" spans="1:23" x14ac:dyDescent="0.25">
      <c r="A459">
        <v>50</v>
      </c>
      <c r="B459" t="s">
        <v>23</v>
      </c>
      <c r="C459" t="s">
        <v>34</v>
      </c>
      <c r="D459">
        <v>221081</v>
      </c>
      <c r="E459">
        <v>223.4249999999999</v>
      </c>
      <c r="F459">
        <v>518.55000000000007</v>
      </c>
      <c r="G459">
        <v>223.31328749999989</v>
      </c>
      <c r="H459">
        <v>518.80927500000007</v>
      </c>
      <c r="I459">
        <v>4.2708502016168337</v>
      </c>
      <c r="J459">
        <v>0.89771297919984416</v>
      </c>
      <c r="K459">
        <v>-4.4757748685241149E-2</v>
      </c>
      <c r="L459">
        <v>1.731198494262548E-2</v>
      </c>
      <c r="M459" t="s">
        <v>25</v>
      </c>
      <c r="N459">
        <v>3</v>
      </c>
      <c r="O459" t="s">
        <v>26</v>
      </c>
      <c r="P459">
        <v>221084</v>
      </c>
      <c r="Q459">
        <v>223.49499999999989</v>
      </c>
      <c r="R459">
        <v>520.68000000000006</v>
      </c>
      <c r="S459">
        <v>0.41828325296051788</v>
      </c>
      <c r="T459">
        <v>3.3741485519825608E-2</v>
      </c>
      <c r="U459">
        <v>1.474435194266227E-2</v>
      </c>
      <c r="V459">
        <v>3.795323671378888E-3</v>
      </c>
      <c r="W459">
        <v>1.0949028271283381E-2</v>
      </c>
    </row>
    <row r="460" spans="1:23" x14ac:dyDescent="0.25">
      <c r="A460">
        <v>50</v>
      </c>
      <c r="B460" t="s">
        <v>23</v>
      </c>
      <c r="C460" t="s">
        <v>34</v>
      </c>
      <c r="D460">
        <v>221404</v>
      </c>
      <c r="E460">
        <v>224.70500000000001</v>
      </c>
      <c r="F460">
        <v>521.72</v>
      </c>
      <c r="G460">
        <v>224.8173525</v>
      </c>
      <c r="H460">
        <v>521.45914000000005</v>
      </c>
      <c r="I460">
        <v>-3.5692315651611781</v>
      </c>
      <c r="J460">
        <v>0.89771297919984416</v>
      </c>
      <c r="K460">
        <v>4.4502792550232532E-2</v>
      </c>
      <c r="L460">
        <v>-1.7206796350529869E-2</v>
      </c>
      <c r="M460" t="s">
        <v>27</v>
      </c>
      <c r="N460">
        <v>65</v>
      </c>
      <c r="O460" t="s">
        <v>26</v>
      </c>
      <c r="P460">
        <v>221469</v>
      </c>
      <c r="Q460">
        <v>222.7399999999999</v>
      </c>
      <c r="R460">
        <v>519.23500000000024</v>
      </c>
      <c r="S460">
        <v>-0.35405061685046768</v>
      </c>
      <c r="T460">
        <v>-4.4689098430147817E-2</v>
      </c>
      <c r="U460">
        <v>-6.3601124783998708E-2</v>
      </c>
      <c r="V460">
        <v>3.795528245420488E-3</v>
      </c>
      <c r="W460">
        <v>-6.739665302941919E-2</v>
      </c>
    </row>
    <row r="461" spans="1:23" x14ac:dyDescent="0.25">
      <c r="A461">
        <v>50</v>
      </c>
      <c r="B461" t="s">
        <v>23</v>
      </c>
      <c r="C461" t="s">
        <v>34</v>
      </c>
      <c r="D461">
        <v>221472</v>
      </c>
      <c r="E461">
        <v>223.095</v>
      </c>
      <c r="F461">
        <v>515.32999999999993</v>
      </c>
      <c r="G461">
        <v>222.9834525</v>
      </c>
      <c r="H461">
        <v>515.5876649999999</v>
      </c>
      <c r="I461">
        <v>4.4500718241380346</v>
      </c>
      <c r="J461">
        <v>0.89771297919984416</v>
      </c>
      <c r="K461">
        <v>-4.4823953920975372E-2</v>
      </c>
      <c r="L461">
        <v>1.7420157553409359E-2</v>
      </c>
      <c r="M461" t="s">
        <v>25</v>
      </c>
      <c r="N461">
        <v>14</v>
      </c>
      <c r="O461" t="s">
        <v>26</v>
      </c>
      <c r="P461">
        <v>221486</v>
      </c>
      <c r="Q461">
        <v>222.37</v>
      </c>
      <c r="R461">
        <v>516.73000000000013</v>
      </c>
      <c r="S461">
        <v>-8.8930094641340843E-2</v>
      </c>
      <c r="T461">
        <v>5.6885587167484833E-2</v>
      </c>
      <c r="U461">
        <v>3.7912511948496333E-2</v>
      </c>
      <c r="V461">
        <v>3.795323671378888E-3</v>
      </c>
      <c r="W461">
        <v>3.411718827711744E-2</v>
      </c>
    </row>
    <row r="462" spans="1:23" x14ac:dyDescent="0.25">
      <c r="A462">
        <v>50</v>
      </c>
      <c r="B462" t="s">
        <v>23</v>
      </c>
      <c r="C462" t="s">
        <v>34</v>
      </c>
      <c r="D462">
        <v>221997</v>
      </c>
      <c r="E462">
        <v>220.86</v>
      </c>
      <c r="F462">
        <v>519.20000000000027</v>
      </c>
      <c r="G462">
        <v>220.97042999999999</v>
      </c>
      <c r="H462">
        <v>518.9404000000003</v>
      </c>
      <c r="I462">
        <v>-3.6281390968176681</v>
      </c>
      <c r="J462">
        <v>0.89771297919984416</v>
      </c>
      <c r="K462">
        <v>4.5277551390020827E-2</v>
      </c>
      <c r="L462">
        <v>-1.7290311617870639E-2</v>
      </c>
      <c r="M462" t="s">
        <v>27</v>
      </c>
      <c r="N462">
        <v>18</v>
      </c>
      <c r="O462" t="s">
        <v>26</v>
      </c>
      <c r="P462">
        <v>222015</v>
      </c>
      <c r="Q462">
        <v>220.84</v>
      </c>
      <c r="R462">
        <v>519.52999999999975</v>
      </c>
      <c r="S462">
        <v>-0.39409360771936552</v>
      </c>
      <c r="T462">
        <v>-6.611353861687784E-3</v>
      </c>
      <c r="U462">
        <v>-2.5590883779587171E-2</v>
      </c>
      <c r="V462">
        <v>3.795528245420488E-3</v>
      </c>
      <c r="W462">
        <v>-2.938641202500766E-2</v>
      </c>
    </row>
    <row r="463" spans="1:23" x14ac:dyDescent="0.25">
      <c r="A463">
        <v>50</v>
      </c>
      <c r="B463" t="s">
        <v>23</v>
      </c>
      <c r="C463" t="s">
        <v>34</v>
      </c>
      <c r="D463">
        <v>222046</v>
      </c>
      <c r="E463">
        <v>221.13</v>
      </c>
      <c r="F463">
        <v>521.3549999999999</v>
      </c>
      <c r="G463">
        <v>221.240565</v>
      </c>
      <c r="H463">
        <v>521.09432249999998</v>
      </c>
      <c r="I463">
        <v>-3.5643764868785079</v>
      </c>
      <c r="J463">
        <v>0.89771297919984416</v>
      </c>
      <c r="K463">
        <v>4.5222267444489671E-2</v>
      </c>
      <c r="L463">
        <v>-1.721884280768084E-2</v>
      </c>
      <c r="M463" t="s">
        <v>27</v>
      </c>
      <c r="N463">
        <v>29</v>
      </c>
      <c r="O463" t="s">
        <v>26</v>
      </c>
      <c r="P463">
        <v>222075</v>
      </c>
      <c r="Q463">
        <v>221.94</v>
      </c>
      <c r="R463">
        <v>524.8900000000001</v>
      </c>
      <c r="S463">
        <v>-0.44150341791391928</v>
      </c>
      <c r="T463">
        <v>-2.423857269511711E-2</v>
      </c>
      <c r="U463">
        <v>-4.326445181008938E-2</v>
      </c>
      <c r="V463">
        <v>3.795528245420488E-3</v>
      </c>
      <c r="W463">
        <v>-4.7059980055509869E-2</v>
      </c>
    </row>
    <row r="464" spans="1:23" x14ac:dyDescent="0.25">
      <c r="A464">
        <v>50</v>
      </c>
      <c r="B464" t="s">
        <v>23</v>
      </c>
      <c r="C464" t="s">
        <v>34</v>
      </c>
      <c r="D464">
        <v>222257</v>
      </c>
      <c r="E464">
        <v>236.62</v>
      </c>
      <c r="F464">
        <v>580.79</v>
      </c>
      <c r="G464">
        <v>236.73831000000001</v>
      </c>
      <c r="H464">
        <v>580.49960499999997</v>
      </c>
      <c r="I464">
        <v>-5.0166829460989337</v>
      </c>
      <c r="J464">
        <v>0.89771297919984416</v>
      </c>
      <c r="K464">
        <v>4.2261854450173268E-2</v>
      </c>
      <c r="L464">
        <v>-1.545675681743564E-2</v>
      </c>
      <c r="M464" t="s">
        <v>27</v>
      </c>
      <c r="N464">
        <v>5</v>
      </c>
      <c r="O464" t="s">
        <v>26</v>
      </c>
      <c r="P464">
        <v>222262</v>
      </c>
      <c r="Q464">
        <v>240.43999999999991</v>
      </c>
      <c r="R464">
        <v>578.44999999999982</v>
      </c>
      <c r="S464">
        <v>-6.3913602979096873E-2</v>
      </c>
      <c r="T464">
        <v>0.1976090949524596</v>
      </c>
      <c r="U464">
        <v>0.17856932942393941</v>
      </c>
      <c r="V464">
        <v>3.795528245420488E-3</v>
      </c>
      <c r="W464">
        <v>0.1747738011785189</v>
      </c>
    </row>
    <row r="465" spans="1:23" x14ac:dyDescent="0.25">
      <c r="A465">
        <v>51</v>
      </c>
      <c r="B465" t="s">
        <v>35</v>
      </c>
      <c r="C465" t="s">
        <v>29</v>
      </c>
      <c r="D465">
        <v>222901</v>
      </c>
      <c r="E465">
        <v>128.87</v>
      </c>
      <c r="F465">
        <v>187.18</v>
      </c>
      <c r="G465">
        <v>128.93443500000001</v>
      </c>
      <c r="H465">
        <v>187.08641</v>
      </c>
      <c r="I465">
        <v>-5.2937436163827476</v>
      </c>
      <c r="J465">
        <v>1.0360892130846331</v>
      </c>
      <c r="K465">
        <v>7.7597578955536581E-2</v>
      </c>
      <c r="L465">
        <v>-5.5352559733124952E-2</v>
      </c>
      <c r="M465" t="s">
        <v>27</v>
      </c>
      <c r="N465">
        <v>23</v>
      </c>
      <c r="O465" t="s">
        <v>26</v>
      </c>
      <c r="P465">
        <v>222924</v>
      </c>
      <c r="Q465">
        <v>128.83500000000001</v>
      </c>
      <c r="R465">
        <v>187.01</v>
      </c>
      <c r="S465">
        <v>-0.47644421677409882</v>
      </c>
      <c r="T465">
        <v>6.694019891184828E-3</v>
      </c>
      <c r="U465">
        <v>-1.3660809314450351E-2</v>
      </c>
      <c r="V465">
        <v>4.0721423369561808E-3</v>
      </c>
      <c r="W465">
        <v>-1.773295165140654E-2</v>
      </c>
    </row>
    <row r="466" spans="1:23" x14ac:dyDescent="0.25">
      <c r="A466">
        <v>51</v>
      </c>
      <c r="B466" t="s">
        <v>35</v>
      </c>
      <c r="C466" t="s">
        <v>29</v>
      </c>
      <c r="D466">
        <v>223037</v>
      </c>
      <c r="E466">
        <v>128.745</v>
      </c>
      <c r="F466">
        <v>186.97</v>
      </c>
      <c r="G466">
        <v>128.80937249999999</v>
      </c>
      <c r="H466">
        <v>186.87651500000001</v>
      </c>
      <c r="I466">
        <v>-4.8238773880739423</v>
      </c>
      <c r="J466">
        <v>1.0360892130846331</v>
      </c>
      <c r="K466">
        <v>7.767291933667328E-2</v>
      </c>
      <c r="L466">
        <v>-5.5414730335595699E-2</v>
      </c>
      <c r="M466" t="s">
        <v>27</v>
      </c>
      <c r="N466">
        <v>4</v>
      </c>
      <c r="O466" t="s">
        <v>26</v>
      </c>
      <c r="P466">
        <v>223041</v>
      </c>
      <c r="Q466">
        <v>128.935</v>
      </c>
      <c r="R466">
        <v>185.61500000000001</v>
      </c>
      <c r="S466">
        <v>-6.7433630498330815E-2</v>
      </c>
      <c r="T466">
        <v>8.984481427869935E-2</v>
      </c>
      <c r="U466">
        <v>6.9514086700319819E-2</v>
      </c>
      <c r="V466">
        <v>4.0721423369561808E-3</v>
      </c>
      <c r="W466">
        <v>6.5441944363363633E-2</v>
      </c>
    </row>
    <row r="467" spans="1:23" x14ac:dyDescent="0.25">
      <c r="A467">
        <v>51</v>
      </c>
      <c r="B467" t="s">
        <v>35</v>
      </c>
      <c r="C467" t="s">
        <v>29</v>
      </c>
      <c r="D467">
        <v>223210</v>
      </c>
      <c r="E467">
        <v>129.13999999999999</v>
      </c>
      <c r="F467">
        <v>184.38000000000011</v>
      </c>
      <c r="G467">
        <v>129.20456999999999</v>
      </c>
      <c r="H467">
        <v>184.28781000000009</v>
      </c>
      <c r="I467">
        <v>-4.1119965430973329</v>
      </c>
      <c r="J467">
        <v>1.0360892130846331</v>
      </c>
      <c r="K467">
        <v>7.7435341489855966E-2</v>
      </c>
      <c r="L467">
        <v>-5.6193145302344753E-2</v>
      </c>
      <c r="M467" t="s">
        <v>27</v>
      </c>
      <c r="N467">
        <v>46</v>
      </c>
      <c r="O467" t="s">
        <v>26</v>
      </c>
      <c r="P467">
        <v>223256</v>
      </c>
      <c r="Q467">
        <v>129.05000000000001</v>
      </c>
      <c r="R467">
        <v>185.66499999999999</v>
      </c>
      <c r="S467">
        <v>-0.40639890398177692</v>
      </c>
      <c r="T467">
        <v>-7.9177372447595318E-2</v>
      </c>
      <c r="U467">
        <v>-9.9570884083930403E-2</v>
      </c>
      <c r="V467">
        <v>4.0721423369561817E-3</v>
      </c>
      <c r="W467">
        <v>-0.1036430264208866</v>
      </c>
    </row>
    <row r="468" spans="1:23" x14ac:dyDescent="0.25">
      <c r="A468">
        <v>51</v>
      </c>
      <c r="B468" t="s">
        <v>35</v>
      </c>
      <c r="C468" t="s">
        <v>29</v>
      </c>
      <c r="D468">
        <v>224208</v>
      </c>
      <c r="E468">
        <v>133.26499999999999</v>
      </c>
      <c r="F468">
        <v>186.79</v>
      </c>
      <c r="G468">
        <v>133.19836749999999</v>
      </c>
      <c r="H468">
        <v>186.88339500000001</v>
      </c>
      <c r="I468">
        <v>4.3867828898745023</v>
      </c>
      <c r="J468">
        <v>1.0360892130846331</v>
      </c>
      <c r="K468">
        <v>-7.5038457209319787E-2</v>
      </c>
      <c r="L468">
        <v>5.5468130686044899E-2</v>
      </c>
      <c r="M468" t="s">
        <v>25</v>
      </c>
      <c r="N468">
        <v>3</v>
      </c>
      <c r="O468" t="s">
        <v>26</v>
      </c>
      <c r="P468">
        <v>224211</v>
      </c>
      <c r="Q468">
        <v>133.18</v>
      </c>
      <c r="R468">
        <v>188.09500000000011</v>
      </c>
      <c r="S468">
        <v>0.12950249418188639</v>
      </c>
      <c r="T468">
        <v>7.8764179408083321E-2</v>
      </c>
      <c r="U468">
        <v>5.8370283456398053E-2</v>
      </c>
      <c r="V468">
        <v>4.0722145153823507E-3</v>
      </c>
      <c r="W468">
        <v>5.4298068941015701E-2</v>
      </c>
    </row>
    <row r="469" spans="1:23" x14ac:dyDescent="0.25">
      <c r="A469">
        <v>51</v>
      </c>
      <c r="B469" t="s">
        <v>35</v>
      </c>
      <c r="C469" t="s">
        <v>29</v>
      </c>
      <c r="D469">
        <v>224598</v>
      </c>
      <c r="E469">
        <v>133.90999999999991</v>
      </c>
      <c r="F469">
        <v>185.56000000000009</v>
      </c>
      <c r="G469">
        <v>133.84304499999999</v>
      </c>
      <c r="H469">
        <v>185.65278000000001</v>
      </c>
      <c r="I469">
        <v>3.8116638833722929</v>
      </c>
      <c r="J469">
        <v>1.0360892130846331</v>
      </c>
      <c r="K469">
        <v>-7.4677021880367442E-2</v>
      </c>
      <c r="L469">
        <v>5.5835805835558978E-2</v>
      </c>
      <c r="M469" t="s">
        <v>25</v>
      </c>
      <c r="N469">
        <v>19</v>
      </c>
      <c r="O469" t="s">
        <v>26</v>
      </c>
      <c r="P469">
        <v>224617</v>
      </c>
      <c r="Q469">
        <v>134.07</v>
      </c>
      <c r="R469">
        <v>184.76</v>
      </c>
      <c r="S469">
        <v>0.49517957421963932</v>
      </c>
      <c r="T469">
        <v>-5.6616968169313227E-2</v>
      </c>
      <c r="U469">
        <v>-7.6961500139572703E-2</v>
      </c>
      <c r="V469">
        <v>4.0722145153823507E-3</v>
      </c>
      <c r="W469">
        <v>-8.1033714654955055E-2</v>
      </c>
    </row>
    <row r="470" spans="1:23" x14ac:dyDescent="0.25">
      <c r="A470">
        <v>51</v>
      </c>
      <c r="B470" t="s">
        <v>35</v>
      </c>
      <c r="C470" t="s">
        <v>29</v>
      </c>
      <c r="D470">
        <v>224785</v>
      </c>
      <c r="E470">
        <v>132.5500000000001</v>
      </c>
      <c r="F470">
        <v>183.03500000000011</v>
      </c>
      <c r="G470">
        <v>132.61627500000009</v>
      </c>
      <c r="H470">
        <v>182.9434825000001</v>
      </c>
      <c r="I470">
        <v>-3.733579819952789</v>
      </c>
      <c r="J470">
        <v>1.0360892130846331</v>
      </c>
      <c r="K470">
        <v>7.544322897019988E-2</v>
      </c>
      <c r="L470">
        <v>-5.6606070592216368E-2</v>
      </c>
      <c r="M470" t="s">
        <v>27</v>
      </c>
      <c r="N470">
        <v>22</v>
      </c>
      <c r="O470" t="s">
        <v>26</v>
      </c>
      <c r="P470">
        <v>224807</v>
      </c>
      <c r="Q470">
        <v>132.4</v>
      </c>
      <c r="R470">
        <v>182.96999999999991</v>
      </c>
      <c r="S470">
        <v>-0.44107411647636929</v>
      </c>
      <c r="T470">
        <v>-7.6370897570332552E-3</v>
      </c>
      <c r="U470">
        <v>-2.7990483948407991E-2</v>
      </c>
      <c r="V470">
        <v>4.0721423369561808E-3</v>
      </c>
      <c r="W470">
        <v>-3.2062626285364167E-2</v>
      </c>
    </row>
    <row r="471" spans="1:23" x14ac:dyDescent="0.25">
      <c r="A471">
        <v>51</v>
      </c>
      <c r="B471" t="s">
        <v>35</v>
      </c>
      <c r="C471" t="s">
        <v>29</v>
      </c>
      <c r="D471">
        <v>224987</v>
      </c>
      <c r="E471">
        <v>132.435</v>
      </c>
      <c r="F471">
        <v>182.99</v>
      </c>
      <c r="G471">
        <v>132.36878250000001</v>
      </c>
      <c r="H471">
        <v>183.0814949999999</v>
      </c>
      <c r="I471">
        <v>3.5568081271480718</v>
      </c>
      <c r="J471">
        <v>1.0360892130846331</v>
      </c>
      <c r="K471">
        <v>-7.5508740136670832E-2</v>
      </c>
      <c r="L471">
        <v>5.6619990878443251E-2</v>
      </c>
      <c r="M471" t="s">
        <v>25</v>
      </c>
      <c r="N471">
        <v>4</v>
      </c>
      <c r="O471" t="s">
        <v>26</v>
      </c>
      <c r="P471">
        <v>224991</v>
      </c>
      <c r="Q471">
        <v>133.02500000000001</v>
      </c>
      <c r="R471">
        <v>184.38499999999999</v>
      </c>
      <c r="S471">
        <v>0.47065515731183039</v>
      </c>
      <c r="T471">
        <v>3.4434730594788583E-2</v>
      </c>
      <c r="U471">
        <v>1.401207094196778E-2</v>
      </c>
      <c r="V471">
        <v>4.0722145153823507E-3</v>
      </c>
      <c r="W471">
        <v>9.9398564265854323E-3</v>
      </c>
    </row>
    <row r="472" spans="1:23" x14ac:dyDescent="0.25">
      <c r="A472">
        <v>51</v>
      </c>
      <c r="B472" t="s">
        <v>35</v>
      </c>
      <c r="C472" t="s">
        <v>29</v>
      </c>
      <c r="D472">
        <v>225185</v>
      </c>
      <c r="E472">
        <v>133.36000000000001</v>
      </c>
      <c r="F472">
        <v>183.935</v>
      </c>
      <c r="G472">
        <v>133.29331999999999</v>
      </c>
      <c r="H472">
        <v>184.02696750000001</v>
      </c>
      <c r="I472">
        <v>3.77961483329765</v>
      </c>
      <c r="J472">
        <v>1.0360892130846331</v>
      </c>
      <c r="K472">
        <v>-7.4985002999400113E-2</v>
      </c>
      <c r="L472">
        <v>5.6329095228457478E-2</v>
      </c>
      <c r="M472" t="s">
        <v>25</v>
      </c>
      <c r="N472">
        <v>16</v>
      </c>
      <c r="O472" t="s">
        <v>26</v>
      </c>
      <c r="P472">
        <v>225201</v>
      </c>
      <c r="Q472">
        <v>133.54499999999999</v>
      </c>
      <c r="R472">
        <v>184.44499999999991</v>
      </c>
      <c r="S472">
        <v>0.46019727325753029</v>
      </c>
      <c r="T472">
        <v>1.485561301162041E-2</v>
      </c>
      <c r="U472">
        <v>-5.5265791512832526E-3</v>
      </c>
      <c r="V472">
        <v>4.0722145153823507E-3</v>
      </c>
      <c r="W472">
        <v>-9.5987936666656042E-3</v>
      </c>
    </row>
    <row r="473" spans="1:23" x14ac:dyDescent="0.25">
      <c r="A473">
        <v>51</v>
      </c>
      <c r="B473" t="s">
        <v>35</v>
      </c>
      <c r="C473" t="s">
        <v>29</v>
      </c>
      <c r="D473">
        <v>225378</v>
      </c>
      <c r="E473">
        <v>135.27000000000001</v>
      </c>
      <c r="F473">
        <v>184.85000000000011</v>
      </c>
      <c r="G473">
        <v>135.20236499999999</v>
      </c>
      <c r="H473">
        <v>184.94242499999999</v>
      </c>
      <c r="I473">
        <v>4.5239110671530076</v>
      </c>
      <c r="J473">
        <v>1.0360892130846331</v>
      </c>
      <c r="K473">
        <v>-7.392622163081243E-2</v>
      </c>
      <c r="L473">
        <v>5.6050268492541647E-2</v>
      </c>
      <c r="M473" t="s">
        <v>25</v>
      </c>
      <c r="N473">
        <v>6</v>
      </c>
      <c r="O473" t="s">
        <v>26</v>
      </c>
      <c r="P473">
        <v>225384</v>
      </c>
      <c r="Q473">
        <v>135.11500000000009</v>
      </c>
      <c r="R473">
        <v>185.77</v>
      </c>
      <c r="S473">
        <v>0.35876714606874582</v>
      </c>
      <c r="T473">
        <v>6.3024811365909941E-2</v>
      </c>
      <c r="U473">
        <v>4.2643865393735041E-2</v>
      </c>
      <c r="V473">
        <v>4.0722145153823507E-3</v>
      </c>
      <c r="W473">
        <v>3.8571650878352688E-2</v>
      </c>
    </row>
    <row r="474" spans="1:23" x14ac:dyDescent="0.25">
      <c r="A474">
        <v>51</v>
      </c>
      <c r="B474" t="s">
        <v>35</v>
      </c>
      <c r="C474" t="s">
        <v>29</v>
      </c>
      <c r="D474">
        <v>225766</v>
      </c>
      <c r="E474">
        <v>133.70500000000001</v>
      </c>
      <c r="F474">
        <v>182.63</v>
      </c>
      <c r="G474">
        <v>133.77185249999999</v>
      </c>
      <c r="H474">
        <v>182.53868499999999</v>
      </c>
      <c r="I474">
        <v>-3.8007850099186742</v>
      </c>
      <c r="J474">
        <v>1.0360892130846331</v>
      </c>
      <c r="K474">
        <v>7.4791518641786001E-2</v>
      </c>
      <c r="L474">
        <v>-5.6731600125096253E-2</v>
      </c>
      <c r="M474" t="s">
        <v>27</v>
      </c>
      <c r="N474">
        <v>1</v>
      </c>
      <c r="O474" t="s">
        <v>26</v>
      </c>
      <c r="P474">
        <v>225767</v>
      </c>
      <c r="Q474">
        <v>134.01</v>
      </c>
      <c r="R474">
        <v>182.71</v>
      </c>
      <c r="S474">
        <v>-0.25076180310127277</v>
      </c>
      <c r="T474">
        <v>1.827288517573368E-2</v>
      </c>
      <c r="U474">
        <v>-2.1016819257072411E-3</v>
      </c>
      <c r="V474">
        <v>4.0721423369561808E-3</v>
      </c>
      <c r="W474">
        <v>-6.1738242626634219E-3</v>
      </c>
    </row>
    <row r="475" spans="1:23" x14ac:dyDescent="0.25">
      <c r="A475">
        <v>51</v>
      </c>
      <c r="B475" t="s">
        <v>35</v>
      </c>
      <c r="C475" t="s">
        <v>29</v>
      </c>
      <c r="D475">
        <v>225768</v>
      </c>
      <c r="E475">
        <v>132.27499999999989</v>
      </c>
      <c r="F475">
        <v>179.82</v>
      </c>
      <c r="G475">
        <v>132.20886250000001</v>
      </c>
      <c r="H475">
        <v>179.90991</v>
      </c>
      <c r="I475">
        <v>4.0568873296381156</v>
      </c>
      <c r="J475">
        <v>1.0360892130846331</v>
      </c>
      <c r="K475">
        <v>-7.5600075600075631E-2</v>
      </c>
      <c r="L475">
        <v>5.7618129968003168E-2</v>
      </c>
      <c r="M475" t="s">
        <v>25</v>
      </c>
      <c r="N475">
        <v>8</v>
      </c>
      <c r="O475" t="s">
        <v>26</v>
      </c>
      <c r="P475">
        <v>225776</v>
      </c>
      <c r="Q475">
        <v>132.94</v>
      </c>
      <c r="R475">
        <v>180.90000000000009</v>
      </c>
      <c r="S475">
        <v>0.38713333043855092</v>
      </c>
      <c r="T475">
        <v>1.195353009139721E-2</v>
      </c>
      <c r="U475">
        <v>-8.4636128547675923E-3</v>
      </c>
      <c r="V475">
        <v>4.0722145153823507E-3</v>
      </c>
      <c r="W475">
        <v>-1.253582737014994E-2</v>
      </c>
    </row>
    <row r="476" spans="1:23" x14ac:dyDescent="0.25">
      <c r="A476">
        <v>51</v>
      </c>
      <c r="B476" t="s">
        <v>35</v>
      </c>
      <c r="C476" t="s">
        <v>29</v>
      </c>
      <c r="D476">
        <v>226159</v>
      </c>
      <c r="E476">
        <v>133.255</v>
      </c>
      <c r="F476">
        <v>181.0100000000001</v>
      </c>
      <c r="G476">
        <v>133.18837250000001</v>
      </c>
      <c r="H476">
        <v>181.10050500000011</v>
      </c>
      <c r="I476">
        <v>4.54369601374695</v>
      </c>
      <c r="J476">
        <v>1.0360892130846331</v>
      </c>
      <c r="K476">
        <v>-7.5044088401936146E-2</v>
      </c>
      <c r="L476">
        <v>5.7239335566246753E-2</v>
      </c>
      <c r="M476" t="s">
        <v>25</v>
      </c>
      <c r="N476">
        <v>7</v>
      </c>
      <c r="O476" t="s">
        <v>26</v>
      </c>
      <c r="P476">
        <v>226166</v>
      </c>
      <c r="Q476">
        <v>132.43000000000009</v>
      </c>
      <c r="R476">
        <v>180.91499999999999</v>
      </c>
      <c r="S476">
        <v>-0.12936429360082749</v>
      </c>
      <c r="T476">
        <v>5.6473636052793937E-2</v>
      </c>
      <c r="U476">
        <v>3.614641847685629E-2</v>
      </c>
      <c r="V476">
        <v>4.0722145153823507E-3</v>
      </c>
      <c r="W476">
        <v>3.2074203961473938E-2</v>
      </c>
    </row>
    <row r="477" spans="1:23" x14ac:dyDescent="0.25">
      <c r="A477">
        <v>51</v>
      </c>
      <c r="B477" t="s">
        <v>35</v>
      </c>
      <c r="C477" t="s">
        <v>29</v>
      </c>
      <c r="D477">
        <v>226549</v>
      </c>
      <c r="E477">
        <v>133.40000000000009</v>
      </c>
      <c r="F477">
        <v>181.17999999999989</v>
      </c>
      <c r="G477">
        <v>133.33330000000009</v>
      </c>
      <c r="H477">
        <v>181.27058999999991</v>
      </c>
      <c r="I477">
        <v>4.502358941016988</v>
      </c>
      <c r="J477">
        <v>1.0360892130846331</v>
      </c>
      <c r="K477">
        <v>-7.4962518740629647E-2</v>
      </c>
      <c r="L477">
        <v>5.7185628274899723E-2</v>
      </c>
      <c r="M477" t="s">
        <v>25</v>
      </c>
      <c r="N477">
        <v>16</v>
      </c>
      <c r="O477" t="s">
        <v>26</v>
      </c>
      <c r="P477">
        <v>226565</v>
      </c>
      <c r="Q477">
        <v>134.04</v>
      </c>
      <c r="R477">
        <v>182.32</v>
      </c>
      <c r="S477">
        <v>0.25380385240911318</v>
      </c>
      <c r="T477">
        <v>1.7215604239386201E-2</v>
      </c>
      <c r="U477">
        <v>-3.2018717055721652E-3</v>
      </c>
      <c r="V477">
        <v>4.0722145153823507E-3</v>
      </c>
      <c r="W477">
        <v>-7.2740862209545159E-3</v>
      </c>
    </row>
    <row r="478" spans="1:23" x14ac:dyDescent="0.25">
      <c r="A478">
        <v>52</v>
      </c>
      <c r="B478" t="s">
        <v>35</v>
      </c>
      <c r="C478" t="s">
        <v>31</v>
      </c>
      <c r="D478">
        <v>226801</v>
      </c>
      <c r="E478">
        <v>135.19</v>
      </c>
      <c r="F478">
        <v>75.789999999999992</v>
      </c>
      <c r="G478">
        <v>135.12240499999999</v>
      </c>
      <c r="H478">
        <v>75.827894999999984</v>
      </c>
      <c r="I478">
        <v>5.2945783615412543</v>
      </c>
      <c r="J478">
        <v>0.9614391718747568</v>
      </c>
      <c r="K478">
        <v>-7.3969968192913668E-2</v>
      </c>
      <c r="L478">
        <v>0.12685567645794391</v>
      </c>
      <c r="M478" t="s">
        <v>25</v>
      </c>
      <c r="N478">
        <v>23</v>
      </c>
      <c r="O478" t="s">
        <v>26</v>
      </c>
      <c r="P478">
        <v>226824</v>
      </c>
      <c r="Q478">
        <v>135.18</v>
      </c>
      <c r="R478">
        <v>75.789999999999992</v>
      </c>
      <c r="S478">
        <v>0.49191879819685369</v>
      </c>
      <c r="T478">
        <v>7.3969968193056629E-4</v>
      </c>
      <c r="U478">
        <v>-1.8874322186972371E-2</v>
      </c>
      <c r="V478">
        <v>3.9228397829213892E-3</v>
      </c>
      <c r="W478">
        <v>-2.2797161969893759E-2</v>
      </c>
    </row>
    <row r="479" spans="1:23" x14ac:dyDescent="0.25">
      <c r="A479">
        <v>52</v>
      </c>
      <c r="B479" t="s">
        <v>35</v>
      </c>
      <c r="C479" t="s">
        <v>31</v>
      </c>
      <c r="D479">
        <v>226880</v>
      </c>
      <c r="E479">
        <v>135.13</v>
      </c>
      <c r="F479">
        <v>75.689999999999969</v>
      </c>
      <c r="G479">
        <v>135.06243499999999</v>
      </c>
      <c r="H479">
        <v>75.727844999999959</v>
      </c>
      <c r="I479">
        <v>3.5012890161019929</v>
      </c>
      <c r="J479">
        <v>0.9614391718747568</v>
      </c>
      <c r="K479">
        <v>-7.4002812106860077E-2</v>
      </c>
      <c r="L479">
        <v>0.12702327544916861</v>
      </c>
      <c r="M479" t="s">
        <v>25</v>
      </c>
      <c r="N479">
        <v>48</v>
      </c>
      <c r="O479" t="s">
        <v>26</v>
      </c>
      <c r="P479">
        <v>226928</v>
      </c>
      <c r="Q479">
        <v>135.32</v>
      </c>
      <c r="R479">
        <v>75.234999999999999</v>
      </c>
      <c r="S479">
        <v>0.44369311881436868</v>
      </c>
      <c r="T479">
        <v>-7.1856124629671142E-2</v>
      </c>
      <c r="U479">
        <v>-9.1448648820401782E-2</v>
      </c>
      <c r="V479">
        <v>3.9228397829213866E-3</v>
      </c>
      <c r="W479">
        <v>-9.5371488603323173E-2</v>
      </c>
    </row>
    <row r="480" spans="1:23" x14ac:dyDescent="0.25">
      <c r="A480">
        <v>52</v>
      </c>
      <c r="B480" t="s">
        <v>35</v>
      </c>
      <c r="C480" t="s">
        <v>31</v>
      </c>
      <c r="D480">
        <v>227719</v>
      </c>
      <c r="E480">
        <v>130.35</v>
      </c>
      <c r="F480">
        <v>77.184999999999974</v>
      </c>
      <c r="G480">
        <v>130.415175</v>
      </c>
      <c r="H480">
        <v>77.146407499999981</v>
      </c>
      <c r="I480">
        <v>-5.1031057242303017</v>
      </c>
      <c r="J480">
        <v>0.9614391718747568</v>
      </c>
      <c r="K480">
        <v>7.6716532412734934E-2</v>
      </c>
      <c r="L480">
        <v>-0.124562955480308</v>
      </c>
      <c r="M480" t="s">
        <v>27</v>
      </c>
      <c r="N480">
        <v>20</v>
      </c>
      <c r="O480" t="s">
        <v>26</v>
      </c>
      <c r="P480">
        <v>227739</v>
      </c>
      <c r="Q480">
        <v>130.56</v>
      </c>
      <c r="R480">
        <v>76.94</v>
      </c>
      <c r="S480">
        <v>-0.41254104270555009</v>
      </c>
      <c r="T480">
        <v>4.6628395899343061E-2</v>
      </c>
      <c r="U480">
        <v>2.702120790674194E-2</v>
      </c>
      <c r="V480">
        <v>3.9229169045776387E-3</v>
      </c>
      <c r="W480">
        <v>2.30982910021643E-2</v>
      </c>
    </row>
    <row r="481" spans="1:23" x14ac:dyDescent="0.25">
      <c r="A481">
        <v>52</v>
      </c>
      <c r="B481" t="s">
        <v>35</v>
      </c>
      <c r="C481" t="s">
        <v>31</v>
      </c>
      <c r="D481">
        <v>228704</v>
      </c>
      <c r="E481">
        <v>131.91</v>
      </c>
      <c r="F481">
        <v>76.629999999999967</v>
      </c>
      <c r="G481">
        <v>131.84404499999999</v>
      </c>
      <c r="H481">
        <v>76.668314999999964</v>
      </c>
      <c r="I481">
        <v>3.6255108938572769</v>
      </c>
      <c r="J481">
        <v>0.9614391718747568</v>
      </c>
      <c r="K481">
        <v>-7.5809263892047632E-2</v>
      </c>
      <c r="L481">
        <v>0.1254651144296956</v>
      </c>
      <c r="M481" t="s">
        <v>25</v>
      </c>
      <c r="N481">
        <v>19</v>
      </c>
      <c r="O481" t="s">
        <v>26</v>
      </c>
      <c r="P481">
        <v>228723</v>
      </c>
      <c r="Q481">
        <v>132.08000000000001</v>
      </c>
      <c r="R481">
        <v>76.160000000000025</v>
      </c>
      <c r="S481">
        <v>0.48901903545323588</v>
      </c>
      <c r="T481">
        <v>-7.185617864360111E-2</v>
      </c>
      <c r="U481">
        <v>-9.1447529847886566E-2</v>
      </c>
      <c r="V481">
        <v>3.9228397829213883E-3</v>
      </c>
      <c r="W481">
        <v>-9.5370369630807958E-2</v>
      </c>
    </row>
    <row r="482" spans="1:23" x14ac:dyDescent="0.25">
      <c r="A482">
        <v>52</v>
      </c>
      <c r="B482" t="s">
        <v>35</v>
      </c>
      <c r="C482" t="s">
        <v>31</v>
      </c>
      <c r="D482">
        <v>229489</v>
      </c>
      <c r="E482">
        <v>130.41999999999999</v>
      </c>
      <c r="F482">
        <v>73.864999999999981</v>
      </c>
      <c r="G482">
        <v>130.35479000000001</v>
      </c>
      <c r="H482">
        <v>73.901932499999972</v>
      </c>
      <c r="I482">
        <v>3.8514485843902979</v>
      </c>
      <c r="J482">
        <v>0.9614391718747568</v>
      </c>
      <c r="K482">
        <v>-7.6675356540407899E-2</v>
      </c>
      <c r="L482">
        <v>0.13016166951529909</v>
      </c>
      <c r="M482" t="s">
        <v>25</v>
      </c>
      <c r="N482">
        <v>62</v>
      </c>
      <c r="O482" t="s">
        <v>26</v>
      </c>
      <c r="P482">
        <v>229551</v>
      </c>
      <c r="Q482">
        <v>130.63999999999999</v>
      </c>
      <c r="R482">
        <v>73.424999999999983</v>
      </c>
      <c r="S482">
        <v>0.4878898816077239</v>
      </c>
      <c r="T482">
        <v>-7.4139713025618781E-2</v>
      </c>
      <c r="U482">
        <v>-9.3733903466287752E-2</v>
      </c>
      <c r="V482">
        <v>3.9228397829213883E-3</v>
      </c>
      <c r="W482">
        <v>-9.7656743249209144E-2</v>
      </c>
    </row>
    <row r="483" spans="1:23" x14ac:dyDescent="0.25">
      <c r="A483">
        <v>52</v>
      </c>
      <c r="B483" t="s">
        <v>35</v>
      </c>
      <c r="C483" t="s">
        <v>31</v>
      </c>
      <c r="D483">
        <v>229734</v>
      </c>
      <c r="E483">
        <v>129.97499999999999</v>
      </c>
      <c r="F483">
        <v>72.78</v>
      </c>
      <c r="G483">
        <v>130.0399875</v>
      </c>
      <c r="H483">
        <v>72.743610000000004</v>
      </c>
      <c r="I483">
        <v>-3.5749942325327848</v>
      </c>
      <c r="J483">
        <v>0.9614391718747568</v>
      </c>
      <c r="K483">
        <v>7.6937872667820761E-2</v>
      </c>
      <c r="L483">
        <v>-0.13210211210150549</v>
      </c>
      <c r="M483" t="s">
        <v>27</v>
      </c>
      <c r="N483">
        <v>19</v>
      </c>
      <c r="O483" t="s">
        <v>26</v>
      </c>
      <c r="P483">
        <v>229753</v>
      </c>
      <c r="Q483">
        <v>130.1399999999999</v>
      </c>
      <c r="R483">
        <v>72.919999999999973</v>
      </c>
      <c r="S483">
        <v>-0.45291499225711501</v>
      </c>
      <c r="T483">
        <v>-5.7995467040194582E-3</v>
      </c>
      <c r="U483">
        <v>-2.5429532945107101E-2</v>
      </c>
      <c r="V483">
        <v>3.9229169045776387E-3</v>
      </c>
      <c r="W483">
        <v>-2.9352449849684738E-2</v>
      </c>
    </row>
    <row r="484" spans="1:23" x14ac:dyDescent="0.25">
      <c r="A484">
        <v>52</v>
      </c>
      <c r="B484" t="s">
        <v>35</v>
      </c>
      <c r="C484" t="s">
        <v>31</v>
      </c>
      <c r="D484">
        <v>229848</v>
      </c>
      <c r="E484">
        <v>130.14500000000001</v>
      </c>
      <c r="F484">
        <v>73.215000000000018</v>
      </c>
      <c r="G484">
        <v>130.0799275</v>
      </c>
      <c r="H484">
        <v>73.25160750000002</v>
      </c>
      <c r="I484">
        <v>3.6942886575898868</v>
      </c>
      <c r="J484">
        <v>0.9614391718747568</v>
      </c>
      <c r="K484">
        <v>-7.6837373698566996E-2</v>
      </c>
      <c r="L484">
        <v>0.13131723989274829</v>
      </c>
      <c r="M484" t="s">
        <v>25</v>
      </c>
      <c r="N484">
        <v>24</v>
      </c>
      <c r="O484" t="s">
        <v>26</v>
      </c>
      <c r="P484">
        <v>229872</v>
      </c>
      <c r="Q484">
        <v>130.16999999999999</v>
      </c>
      <c r="R484">
        <v>73.015000000000001</v>
      </c>
      <c r="S484">
        <v>0.44844773946374328</v>
      </c>
      <c r="T484">
        <v>-2.8184382321016499E-2</v>
      </c>
      <c r="U484">
        <v>-4.7786602782943693E-2</v>
      </c>
      <c r="V484">
        <v>3.9228397829213883E-3</v>
      </c>
      <c r="W484">
        <v>-5.1709442565865092E-2</v>
      </c>
    </row>
    <row r="485" spans="1:23" x14ac:dyDescent="0.25">
      <c r="A485">
        <v>52</v>
      </c>
      <c r="B485" t="s">
        <v>35</v>
      </c>
      <c r="C485" t="s">
        <v>31</v>
      </c>
      <c r="D485">
        <v>229879</v>
      </c>
      <c r="E485">
        <v>129.7350000000001</v>
      </c>
      <c r="F485">
        <v>73.450000000000031</v>
      </c>
      <c r="G485">
        <v>129.79986750000009</v>
      </c>
      <c r="H485">
        <v>73.413275000000041</v>
      </c>
      <c r="I485">
        <v>-3.976428484247613</v>
      </c>
      <c r="J485">
        <v>0.9614391718747568</v>
      </c>
      <c r="K485">
        <v>7.7080201950129074E-2</v>
      </c>
      <c r="L485">
        <v>-0.13089709623890489</v>
      </c>
      <c r="M485" t="s">
        <v>27</v>
      </c>
      <c r="N485">
        <v>6</v>
      </c>
      <c r="O485" t="s">
        <v>26</v>
      </c>
      <c r="P485">
        <v>229885</v>
      </c>
      <c r="Q485">
        <v>130.33000000000001</v>
      </c>
      <c r="R485">
        <v>73.200000000000031</v>
      </c>
      <c r="S485">
        <v>-6.4266239017711918E-2</v>
      </c>
      <c r="T485">
        <v>7.8586994220050749E-2</v>
      </c>
      <c r="U485">
        <v>5.8966033278257432E-2</v>
      </c>
      <c r="V485">
        <v>3.9229169045776387E-3</v>
      </c>
      <c r="W485">
        <v>5.5043116373679792E-2</v>
      </c>
    </row>
    <row r="486" spans="1:23" x14ac:dyDescent="0.25">
      <c r="A486">
        <v>52</v>
      </c>
      <c r="B486" t="s">
        <v>35</v>
      </c>
      <c r="C486" t="s">
        <v>31</v>
      </c>
      <c r="D486">
        <v>230267</v>
      </c>
      <c r="E486">
        <v>130.28</v>
      </c>
      <c r="F486">
        <v>73.690000000000012</v>
      </c>
      <c r="G486">
        <v>130.21485999999999</v>
      </c>
      <c r="H486">
        <v>73.726845000000012</v>
      </c>
      <c r="I486">
        <v>3.8287141271286278</v>
      </c>
      <c r="J486">
        <v>0.9614391718747568</v>
      </c>
      <c r="K486">
        <v>-7.6757752533005846E-2</v>
      </c>
      <c r="L486">
        <v>0.1304707791932089</v>
      </c>
      <c r="M486" t="s">
        <v>25</v>
      </c>
      <c r="N486">
        <v>25</v>
      </c>
      <c r="O486" t="s">
        <v>26</v>
      </c>
      <c r="P486">
        <v>230292</v>
      </c>
      <c r="Q486">
        <v>129.97</v>
      </c>
      <c r="R486">
        <v>74.109999999999985</v>
      </c>
      <c r="S486">
        <v>3.5664986685844523E-2</v>
      </c>
      <c r="T486">
        <v>7.8592630546371889E-2</v>
      </c>
      <c r="U486">
        <v>5.8962737415639802E-2</v>
      </c>
      <c r="V486">
        <v>3.9228397829213892E-3</v>
      </c>
      <c r="W486">
        <v>5.503989763271841E-2</v>
      </c>
    </row>
    <row r="487" spans="1:23" x14ac:dyDescent="0.25">
      <c r="A487">
        <v>52</v>
      </c>
      <c r="B487" t="s">
        <v>35</v>
      </c>
      <c r="C487" t="s">
        <v>31</v>
      </c>
      <c r="D487">
        <v>230661</v>
      </c>
      <c r="E487">
        <v>130.625</v>
      </c>
      <c r="F487">
        <v>74.299999999999983</v>
      </c>
      <c r="G487">
        <v>130.5596875</v>
      </c>
      <c r="H487">
        <v>74.33714999999998</v>
      </c>
      <c r="I487">
        <v>4.9019862959098157</v>
      </c>
      <c r="J487">
        <v>0.9614391718747568</v>
      </c>
      <c r="K487">
        <v>-7.6555023923444987E-2</v>
      </c>
      <c r="L487">
        <v>0.12939961936403191</v>
      </c>
      <c r="M487" t="s">
        <v>25</v>
      </c>
      <c r="N487">
        <v>2</v>
      </c>
      <c r="O487" t="s">
        <v>26</v>
      </c>
      <c r="P487">
        <v>230663</v>
      </c>
      <c r="Q487">
        <v>130.22</v>
      </c>
      <c r="R487">
        <v>74.425000000000026</v>
      </c>
      <c r="S487">
        <v>-0.1112801048792819</v>
      </c>
      <c r="T487">
        <v>4.7179737109500457E-2</v>
      </c>
      <c r="U487">
        <v>2.7572760306887451E-2</v>
      </c>
      <c r="V487">
        <v>3.9228397829213866E-3</v>
      </c>
      <c r="W487">
        <v>2.364992052396607E-2</v>
      </c>
    </row>
    <row r="488" spans="1:23" x14ac:dyDescent="0.25">
      <c r="A488">
        <v>53</v>
      </c>
      <c r="B488" t="s">
        <v>35</v>
      </c>
      <c r="C488" t="s">
        <v>31</v>
      </c>
      <c r="D488">
        <v>230701</v>
      </c>
      <c r="E488">
        <v>130.22</v>
      </c>
      <c r="F488">
        <v>74.400000000000034</v>
      </c>
      <c r="G488">
        <v>130.15488999999999</v>
      </c>
      <c r="H488">
        <v>74.437200000000033</v>
      </c>
      <c r="I488">
        <v>5.2929018555638212</v>
      </c>
      <c r="J488">
        <v>0.85499920237468419</v>
      </c>
      <c r="K488">
        <v>-7.6793119336507426E-2</v>
      </c>
      <c r="L488">
        <v>0.1149192476310059</v>
      </c>
      <c r="M488" t="s">
        <v>25</v>
      </c>
      <c r="N488">
        <v>23</v>
      </c>
      <c r="O488" t="s">
        <v>26</v>
      </c>
      <c r="P488">
        <v>230724</v>
      </c>
      <c r="Q488">
        <v>129.16</v>
      </c>
      <c r="R488">
        <v>74.04000000000002</v>
      </c>
      <c r="S488">
        <v>0.4718241067332859</v>
      </c>
      <c r="T488">
        <v>4.0029777349536541E-2</v>
      </c>
      <c r="U488">
        <v>2.1541171143611169E-2</v>
      </c>
      <c r="V488">
        <v>3.709853403951744E-3</v>
      </c>
      <c r="W488">
        <v>1.783131773965943E-2</v>
      </c>
    </row>
    <row r="489" spans="1:23" x14ac:dyDescent="0.25">
      <c r="A489">
        <v>53</v>
      </c>
      <c r="B489" t="s">
        <v>35</v>
      </c>
      <c r="C489" t="s">
        <v>31</v>
      </c>
      <c r="D489">
        <v>231239</v>
      </c>
      <c r="E489">
        <v>128.1699999999999</v>
      </c>
      <c r="F489">
        <v>72.894999999999996</v>
      </c>
      <c r="G489">
        <v>128.23408499999991</v>
      </c>
      <c r="H489">
        <v>72.858552500000002</v>
      </c>
      <c r="I489">
        <v>-3.5945775502988111</v>
      </c>
      <c r="J489">
        <v>0.85499920237468419</v>
      </c>
      <c r="K489">
        <v>7.8021377857533006E-2</v>
      </c>
      <c r="L489">
        <v>-0.1172918859146285</v>
      </c>
      <c r="M489" t="s">
        <v>27</v>
      </c>
      <c r="N489">
        <v>8</v>
      </c>
      <c r="O489" t="s">
        <v>26</v>
      </c>
      <c r="P489">
        <v>231247</v>
      </c>
      <c r="Q489">
        <v>128.13</v>
      </c>
      <c r="R489">
        <v>72.499999999999986</v>
      </c>
      <c r="S489">
        <v>-0.27629448147957109</v>
      </c>
      <c r="T489">
        <v>4.3209439821983192E-2</v>
      </c>
      <c r="U489">
        <v>2.4684173373262449E-2</v>
      </c>
      <c r="V489">
        <v>3.7101434055469939E-3</v>
      </c>
      <c r="W489">
        <v>2.0974029967715451E-2</v>
      </c>
    </row>
    <row r="490" spans="1:23" x14ac:dyDescent="0.25">
      <c r="A490">
        <v>53</v>
      </c>
      <c r="B490" t="s">
        <v>35</v>
      </c>
      <c r="C490" t="s">
        <v>31</v>
      </c>
      <c r="D490">
        <v>231441</v>
      </c>
      <c r="E490">
        <v>126.81</v>
      </c>
      <c r="F490">
        <v>72.859999999999971</v>
      </c>
      <c r="G490">
        <v>126.87340500000001</v>
      </c>
      <c r="H490">
        <v>72.823569999999975</v>
      </c>
      <c r="I490">
        <v>-4.23957086525858</v>
      </c>
      <c r="J490">
        <v>0.85499920237468419</v>
      </c>
      <c r="K490">
        <v>7.8858134216544459E-2</v>
      </c>
      <c r="L490">
        <v>-0.1173482298071211</v>
      </c>
      <c r="M490" t="s">
        <v>27</v>
      </c>
      <c r="N490">
        <v>14</v>
      </c>
      <c r="O490" t="s">
        <v>26</v>
      </c>
      <c r="P490">
        <v>231455</v>
      </c>
      <c r="Q490">
        <v>126.7</v>
      </c>
      <c r="R490">
        <v>71.625</v>
      </c>
      <c r="S490">
        <v>0.17077478489499831</v>
      </c>
      <c r="T490">
        <v>0.13625066904797581</v>
      </c>
      <c r="U490">
        <v>0.1177774767535192</v>
      </c>
      <c r="V490">
        <v>3.7101434055469939E-3</v>
      </c>
      <c r="W490">
        <v>0.1140673333479722</v>
      </c>
    </row>
    <row r="491" spans="1:23" x14ac:dyDescent="0.25">
      <c r="A491">
        <v>53</v>
      </c>
      <c r="B491" t="s">
        <v>35</v>
      </c>
      <c r="C491" t="s">
        <v>31</v>
      </c>
      <c r="D491">
        <v>232226</v>
      </c>
      <c r="E491">
        <v>128.215</v>
      </c>
      <c r="F491">
        <v>70.75</v>
      </c>
      <c r="G491">
        <v>128.1508925</v>
      </c>
      <c r="H491">
        <v>70.785375000000002</v>
      </c>
      <c r="I491">
        <v>3.6604153877409362</v>
      </c>
      <c r="J491">
        <v>0.85499920237468419</v>
      </c>
      <c r="K491">
        <v>-7.7993994462426386E-2</v>
      </c>
      <c r="L491">
        <v>0.1208479437985419</v>
      </c>
      <c r="M491" t="s">
        <v>25</v>
      </c>
      <c r="N491">
        <v>7</v>
      </c>
      <c r="O491" t="s">
        <v>26</v>
      </c>
      <c r="P491">
        <v>232233</v>
      </c>
      <c r="Q491">
        <v>127.74</v>
      </c>
      <c r="R491">
        <v>70.659999999999982</v>
      </c>
      <c r="S491">
        <v>0.30488642203725153</v>
      </c>
      <c r="T491">
        <v>2.6170832427784511E-2</v>
      </c>
      <c r="U491">
        <v>7.6448021351929671E-3</v>
      </c>
      <c r="V491">
        <v>3.709853403951744E-3</v>
      </c>
      <c r="W491">
        <v>3.9349487312412236E-3</v>
      </c>
    </row>
    <row r="492" spans="1:23" x14ac:dyDescent="0.25">
      <c r="A492">
        <v>53</v>
      </c>
      <c r="B492" t="s">
        <v>35</v>
      </c>
      <c r="C492" t="s">
        <v>31</v>
      </c>
      <c r="D492">
        <v>232473</v>
      </c>
      <c r="E492">
        <v>127.89</v>
      </c>
      <c r="F492">
        <v>70.380000000000024</v>
      </c>
      <c r="G492">
        <v>127.953945</v>
      </c>
      <c r="H492">
        <v>70.344810000000024</v>
      </c>
      <c r="I492">
        <v>-3.564409161832796</v>
      </c>
      <c r="J492">
        <v>0.85499920237468419</v>
      </c>
      <c r="K492">
        <v>7.8192196418797391E-2</v>
      </c>
      <c r="L492">
        <v>-0.12148326262783229</v>
      </c>
      <c r="M492" t="s">
        <v>27</v>
      </c>
      <c r="N492">
        <v>5</v>
      </c>
      <c r="O492" t="s">
        <v>26</v>
      </c>
      <c r="P492">
        <v>232478</v>
      </c>
      <c r="Q492">
        <v>127.98</v>
      </c>
      <c r="R492">
        <v>70.310000000000016</v>
      </c>
      <c r="S492">
        <v>-0.2640100726283845</v>
      </c>
      <c r="T492">
        <v>1.5541126061640081E-2</v>
      </c>
      <c r="U492">
        <v>-3.0081326967524129E-3</v>
      </c>
      <c r="V492">
        <v>3.7101434055469939E-3</v>
      </c>
      <c r="W492">
        <v>-6.7182761022994072E-3</v>
      </c>
    </row>
    <row r="493" spans="1:23" x14ac:dyDescent="0.25">
      <c r="A493">
        <v>53</v>
      </c>
      <c r="B493" t="s">
        <v>35</v>
      </c>
      <c r="C493" t="s">
        <v>31</v>
      </c>
      <c r="D493">
        <v>232606</v>
      </c>
      <c r="E493">
        <v>127.71</v>
      </c>
      <c r="F493">
        <v>70.17</v>
      </c>
      <c r="G493">
        <v>127.773855</v>
      </c>
      <c r="H493">
        <v>70.134915000000007</v>
      </c>
      <c r="I493">
        <v>-3.7742926609092602</v>
      </c>
      <c r="J493">
        <v>0.85499920237468419</v>
      </c>
      <c r="K493">
        <v>7.8302403883799221E-2</v>
      </c>
      <c r="L493">
        <v>-0.12184682946767619</v>
      </c>
      <c r="M493" t="s">
        <v>27</v>
      </c>
      <c r="N493">
        <v>9</v>
      </c>
      <c r="O493" t="s">
        <v>26</v>
      </c>
      <c r="P493">
        <v>232615</v>
      </c>
      <c r="Q493">
        <v>127.88500000000001</v>
      </c>
      <c r="R493">
        <v>69.96999999999997</v>
      </c>
      <c r="S493">
        <v>5.31063893818279E-2</v>
      </c>
      <c r="T493">
        <v>3.8072286573204807E-2</v>
      </c>
      <c r="U493">
        <v>1.952762777206762E-2</v>
      </c>
      <c r="V493">
        <v>3.7101434055469939E-3</v>
      </c>
      <c r="W493">
        <v>1.581748436652063E-2</v>
      </c>
    </row>
    <row r="494" spans="1:23" x14ac:dyDescent="0.25">
      <c r="A494">
        <v>53</v>
      </c>
      <c r="B494" t="s">
        <v>35</v>
      </c>
      <c r="C494" t="s">
        <v>31</v>
      </c>
      <c r="D494">
        <v>232688</v>
      </c>
      <c r="E494">
        <v>127.54</v>
      </c>
      <c r="F494">
        <v>70.384999999999977</v>
      </c>
      <c r="G494">
        <v>127.60377</v>
      </c>
      <c r="H494">
        <v>70.349807499999983</v>
      </c>
      <c r="I494">
        <v>-3.739870079671455</v>
      </c>
      <c r="J494">
        <v>0.85499920237468419</v>
      </c>
      <c r="K494">
        <v>7.8406774345303451E-2</v>
      </c>
      <c r="L494">
        <v>-0.1214746327164431</v>
      </c>
      <c r="M494" t="s">
        <v>27</v>
      </c>
      <c r="N494">
        <v>10</v>
      </c>
      <c r="O494" t="s">
        <v>26</v>
      </c>
      <c r="P494">
        <v>232698</v>
      </c>
      <c r="Q494">
        <v>128.28999999999991</v>
      </c>
      <c r="R494">
        <v>70.69</v>
      </c>
      <c r="S494">
        <v>-0.43365015350498681</v>
      </c>
      <c r="T494">
        <v>2.175531778045767E-2</v>
      </c>
      <c r="U494">
        <v>3.1573983348447479E-3</v>
      </c>
      <c r="V494">
        <v>3.7101434055469939E-3</v>
      </c>
      <c r="W494">
        <v>-5.5274507070224603E-4</v>
      </c>
    </row>
    <row r="495" spans="1:23" x14ac:dyDescent="0.25">
      <c r="A495">
        <v>53</v>
      </c>
      <c r="B495" t="s">
        <v>35</v>
      </c>
      <c r="C495" t="s">
        <v>31</v>
      </c>
      <c r="D495">
        <v>233003</v>
      </c>
      <c r="E495">
        <v>129</v>
      </c>
      <c r="F495">
        <v>71.155000000000001</v>
      </c>
      <c r="G495">
        <v>128.93549999999999</v>
      </c>
      <c r="H495">
        <v>71.190577500000003</v>
      </c>
      <c r="I495">
        <v>4.3363292624114331</v>
      </c>
      <c r="J495">
        <v>0.85499920237468419</v>
      </c>
      <c r="K495">
        <v>-7.7519379844961253E-2</v>
      </c>
      <c r="L495">
        <v>0.1201601015212823</v>
      </c>
      <c r="M495" t="s">
        <v>25</v>
      </c>
      <c r="N495">
        <v>14</v>
      </c>
      <c r="O495" t="s">
        <v>26</v>
      </c>
      <c r="P495">
        <v>233017</v>
      </c>
      <c r="Q495">
        <v>127.86499999999999</v>
      </c>
      <c r="R495">
        <v>70.994999999999976</v>
      </c>
      <c r="S495">
        <v>0.40533380058586588</v>
      </c>
      <c r="T495">
        <v>6.875887988061774E-2</v>
      </c>
      <c r="U495">
        <v>5.0262492913057441E-2</v>
      </c>
      <c r="V495">
        <v>3.709853403951744E-3</v>
      </c>
      <c r="W495">
        <v>4.6552639509105688E-2</v>
      </c>
    </row>
    <row r="496" spans="1:23" x14ac:dyDescent="0.25">
      <c r="A496">
        <v>53</v>
      </c>
      <c r="B496" t="s">
        <v>35</v>
      </c>
      <c r="C496" t="s">
        <v>31</v>
      </c>
      <c r="D496">
        <v>233317</v>
      </c>
      <c r="E496">
        <v>127.34999999999989</v>
      </c>
      <c r="F496">
        <v>70.50500000000001</v>
      </c>
      <c r="G496">
        <v>127.4136749999999</v>
      </c>
      <c r="H496">
        <v>70.469747500000011</v>
      </c>
      <c r="I496">
        <v>-3.6688591551530139</v>
      </c>
      <c r="J496">
        <v>0.85499920237468419</v>
      </c>
      <c r="K496">
        <v>7.8523753435414248E-2</v>
      </c>
      <c r="L496">
        <v>-0.1212678820473277</v>
      </c>
      <c r="M496" t="s">
        <v>27</v>
      </c>
      <c r="N496">
        <v>28</v>
      </c>
      <c r="O496" t="s">
        <v>26</v>
      </c>
      <c r="P496">
        <v>233345</v>
      </c>
      <c r="Q496">
        <v>127.49</v>
      </c>
      <c r="R496">
        <v>70.674999999999997</v>
      </c>
      <c r="S496">
        <v>0.13484358574638261</v>
      </c>
      <c r="T496">
        <v>-9.6222144670850395E-3</v>
      </c>
      <c r="U496">
        <v>-2.818801092354481E-2</v>
      </c>
      <c r="V496">
        <v>3.7101434055469939E-3</v>
      </c>
      <c r="W496">
        <v>-3.1898154329091807E-2</v>
      </c>
    </row>
    <row r="497" spans="1:23" x14ac:dyDescent="0.25">
      <c r="A497">
        <v>53</v>
      </c>
      <c r="B497" t="s">
        <v>35</v>
      </c>
      <c r="C497" t="s">
        <v>31</v>
      </c>
      <c r="D497">
        <v>233392</v>
      </c>
      <c r="E497">
        <v>128.15</v>
      </c>
      <c r="F497">
        <v>70.734999999999985</v>
      </c>
      <c r="G497">
        <v>128.085925</v>
      </c>
      <c r="H497">
        <v>70.770367499999978</v>
      </c>
      <c r="I497">
        <v>3.6643112219364</v>
      </c>
      <c r="J497">
        <v>0.85499920237468419</v>
      </c>
      <c r="K497">
        <v>-7.8033554428404192E-2</v>
      </c>
      <c r="L497">
        <v>0.1208735707039916</v>
      </c>
      <c r="M497" t="s">
        <v>25</v>
      </c>
      <c r="N497">
        <v>13</v>
      </c>
      <c r="O497" t="s">
        <v>26</v>
      </c>
      <c r="P497">
        <v>233405</v>
      </c>
      <c r="Q497">
        <v>127.855</v>
      </c>
      <c r="R497">
        <v>70.909999999999968</v>
      </c>
      <c r="S497">
        <v>-3.9793932832281158E-2</v>
      </c>
      <c r="T497">
        <v>4.4172773429581383E-2</v>
      </c>
      <c r="U497">
        <v>2.5623714917677651E-2</v>
      </c>
      <c r="V497">
        <v>3.709853403951744E-3</v>
      </c>
      <c r="W497">
        <v>2.1913861513725909E-2</v>
      </c>
    </row>
    <row r="498" spans="1:23" x14ac:dyDescent="0.25">
      <c r="A498">
        <v>53</v>
      </c>
      <c r="B498" t="s">
        <v>35</v>
      </c>
      <c r="C498" t="s">
        <v>31</v>
      </c>
      <c r="D498">
        <v>234564</v>
      </c>
      <c r="E498">
        <v>123.675</v>
      </c>
      <c r="F498">
        <v>69.91</v>
      </c>
      <c r="G498">
        <v>123.6131625</v>
      </c>
      <c r="H498">
        <v>69.944954999999993</v>
      </c>
      <c r="I498">
        <v>3.5207320956278711</v>
      </c>
      <c r="J498">
        <v>0.85499920237468419</v>
      </c>
      <c r="K498">
        <v>-8.0857085102082074E-2</v>
      </c>
      <c r="L498">
        <v>0.1222999860355721</v>
      </c>
      <c r="M498" t="s">
        <v>25</v>
      </c>
      <c r="N498">
        <v>10</v>
      </c>
      <c r="O498" t="s">
        <v>26</v>
      </c>
      <c r="P498">
        <v>234574</v>
      </c>
      <c r="Q498">
        <v>123.37</v>
      </c>
      <c r="R498">
        <v>70.010000000000019</v>
      </c>
      <c r="S498">
        <v>0.47465204866885607</v>
      </c>
      <c r="T498">
        <v>3.6891409559692133E-2</v>
      </c>
      <c r="U498">
        <v>1.83476332421228E-2</v>
      </c>
      <c r="V498">
        <v>3.709853403951744E-3</v>
      </c>
      <c r="W498">
        <v>1.463777983817105E-2</v>
      </c>
    </row>
    <row r="499" spans="1:23" x14ac:dyDescent="0.25">
      <c r="A499">
        <v>54</v>
      </c>
      <c r="B499" t="s">
        <v>35</v>
      </c>
      <c r="C499" t="s">
        <v>31</v>
      </c>
      <c r="D499">
        <v>234601</v>
      </c>
      <c r="E499">
        <v>122.91</v>
      </c>
      <c r="F499">
        <v>69.989999999999995</v>
      </c>
      <c r="G499">
        <v>122.848545</v>
      </c>
      <c r="H499">
        <v>70.02499499999999</v>
      </c>
      <c r="I499">
        <v>5.2930996799372174</v>
      </c>
      <c r="J499">
        <v>0.79939639909903815</v>
      </c>
      <c r="K499">
        <v>-8.136034496786268E-2</v>
      </c>
      <c r="L499">
        <v>0.11421580212873809</v>
      </c>
      <c r="M499" t="s">
        <v>25</v>
      </c>
      <c r="N499">
        <v>24</v>
      </c>
      <c r="O499" t="s">
        <v>26</v>
      </c>
      <c r="P499">
        <v>234625</v>
      </c>
      <c r="Q499">
        <v>125.14</v>
      </c>
      <c r="R499">
        <v>70.98</v>
      </c>
      <c r="S499">
        <v>0.46484170020973531</v>
      </c>
      <c r="T499">
        <v>-6.835992517088807E-2</v>
      </c>
      <c r="U499">
        <v>-8.6501142768569406E-2</v>
      </c>
      <c r="V499">
        <v>3.598592194597175E-3</v>
      </c>
      <c r="W499">
        <v>-9.0099734963166575E-2</v>
      </c>
    </row>
    <row r="500" spans="1:23" x14ac:dyDescent="0.25">
      <c r="A500">
        <v>54</v>
      </c>
      <c r="B500" t="s">
        <v>35</v>
      </c>
      <c r="C500" t="s">
        <v>31</v>
      </c>
      <c r="D500">
        <v>234825</v>
      </c>
      <c r="E500">
        <v>126.6600000000001</v>
      </c>
      <c r="F500">
        <v>71.434999999999974</v>
      </c>
      <c r="G500">
        <v>126.72333</v>
      </c>
      <c r="H500">
        <v>71.399282499999984</v>
      </c>
      <c r="I500">
        <v>-3.992019484955712</v>
      </c>
      <c r="J500">
        <v>0.79939639909903815</v>
      </c>
      <c r="K500">
        <v>7.8951523764408615E-2</v>
      </c>
      <c r="L500">
        <v>-0.11190542438567069</v>
      </c>
      <c r="M500" t="s">
        <v>27</v>
      </c>
      <c r="N500">
        <v>4</v>
      </c>
      <c r="O500" t="s">
        <v>26</v>
      </c>
      <c r="P500">
        <v>234829</v>
      </c>
      <c r="Q500">
        <v>126.81</v>
      </c>
      <c r="R500">
        <v>71.260000000000034</v>
      </c>
      <c r="S500">
        <v>-0.14218238372383149</v>
      </c>
      <c r="T500">
        <v>3.1426177832140703E-2</v>
      </c>
      <c r="U500">
        <v>1.343608420150454E-2</v>
      </c>
      <c r="V500">
        <v>3.5989934017989769E-3</v>
      </c>
      <c r="W500">
        <v>9.8370907997055584E-3</v>
      </c>
    </row>
    <row r="501" spans="1:23" x14ac:dyDescent="0.25">
      <c r="A501">
        <v>54</v>
      </c>
      <c r="B501" t="s">
        <v>35</v>
      </c>
      <c r="C501" t="s">
        <v>31</v>
      </c>
      <c r="D501">
        <v>235214</v>
      </c>
      <c r="E501">
        <v>126.96</v>
      </c>
      <c r="F501">
        <v>71.474999999999966</v>
      </c>
      <c r="G501">
        <v>127.02348000000001</v>
      </c>
      <c r="H501">
        <v>71.43926249999997</v>
      </c>
      <c r="I501">
        <v>-4.2749530715963644</v>
      </c>
      <c r="J501">
        <v>0.79939639909903815</v>
      </c>
      <c r="K501">
        <v>7.8764965343415247E-2</v>
      </c>
      <c r="L501">
        <v>-0.1118427980551296</v>
      </c>
      <c r="M501" t="s">
        <v>27</v>
      </c>
      <c r="N501">
        <v>11</v>
      </c>
      <c r="O501" t="s">
        <v>26</v>
      </c>
      <c r="P501">
        <v>235225</v>
      </c>
      <c r="Q501">
        <v>127.43</v>
      </c>
      <c r="R501">
        <v>71.509999999999991</v>
      </c>
      <c r="S501">
        <v>-0.48715625621236719</v>
      </c>
      <c r="T501">
        <v>3.3105035779470507E-2</v>
      </c>
      <c r="U501">
        <v>1.5090604772660559E-2</v>
      </c>
      <c r="V501">
        <v>3.5989934017989782E-3</v>
      </c>
      <c r="W501">
        <v>1.149161137086159E-2</v>
      </c>
    </row>
    <row r="502" spans="1:23" x14ac:dyDescent="0.25">
      <c r="A502">
        <v>54</v>
      </c>
      <c r="B502" t="s">
        <v>35</v>
      </c>
      <c r="C502" t="s">
        <v>31</v>
      </c>
      <c r="D502">
        <v>235506</v>
      </c>
      <c r="E502">
        <v>126.77500000000001</v>
      </c>
      <c r="F502">
        <v>71.099999999999966</v>
      </c>
      <c r="G502">
        <v>126.7116125</v>
      </c>
      <c r="H502">
        <v>71.135549999999967</v>
      </c>
      <c r="I502">
        <v>3.6597061449365231</v>
      </c>
      <c r="J502">
        <v>0.79939639909903815</v>
      </c>
      <c r="K502">
        <v>-7.8879905344113599E-2</v>
      </c>
      <c r="L502">
        <v>0.1124326862305258</v>
      </c>
      <c r="M502" t="s">
        <v>25</v>
      </c>
      <c r="N502">
        <v>4</v>
      </c>
      <c r="O502" t="s">
        <v>26</v>
      </c>
      <c r="P502">
        <v>235510</v>
      </c>
      <c r="Q502">
        <v>126.705</v>
      </c>
      <c r="R502">
        <v>71.160000000000025</v>
      </c>
      <c r="S502">
        <v>0.43818313740054288</v>
      </c>
      <c r="T502">
        <v>1.2267554547922249E-2</v>
      </c>
      <c r="U502">
        <v>-5.7270216269663552E-3</v>
      </c>
      <c r="V502">
        <v>3.598592194597175E-3</v>
      </c>
      <c r="W502">
        <v>-9.3256138215635307E-3</v>
      </c>
    </row>
    <row r="503" spans="1:23" x14ac:dyDescent="0.25">
      <c r="A503">
        <v>54</v>
      </c>
      <c r="B503" t="s">
        <v>35</v>
      </c>
      <c r="C503" t="s">
        <v>31</v>
      </c>
      <c r="D503">
        <v>235603</v>
      </c>
      <c r="E503">
        <v>126.74</v>
      </c>
      <c r="F503">
        <v>70.050000000000011</v>
      </c>
      <c r="G503">
        <v>126.67663</v>
      </c>
      <c r="H503">
        <v>70.085025000000002</v>
      </c>
      <c r="I503">
        <v>5.0228010101135192</v>
      </c>
      <c r="J503">
        <v>0.79939639909903815</v>
      </c>
      <c r="K503">
        <v>-7.8901688496133798E-2</v>
      </c>
      <c r="L503">
        <v>0.1141179727478998</v>
      </c>
      <c r="M503" t="s">
        <v>25</v>
      </c>
      <c r="N503">
        <v>8</v>
      </c>
      <c r="O503" t="s">
        <v>26</v>
      </c>
      <c r="P503">
        <v>235611</v>
      </c>
      <c r="Q503">
        <v>125.53</v>
      </c>
      <c r="R503">
        <v>70.375</v>
      </c>
      <c r="S503">
        <v>-0.44415134219171493</v>
      </c>
      <c r="T503">
        <v>0.13255938422339311</v>
      </c>
      <c r="U503">
        <v>0.1145946115833741</v>
      </c>
      <c r="V503">
        <v>3.598592194597175E-3</v>
      </c>
      <c r="W503">
        <v>0.110996019388777</v>
      </c>
    </row>
    <row r="504" spans="1:23" x14ac:dyDescent="0.25">
      <c r="A504">
        <v>54</v>
      </c>
      <c r="B504" t="s">
        <v>35</v>
      </c>
      <c r="C504" t="s">
        <v>31</v>
      </c>
      <c r="D504">
        <v>236387</v>
      </c>
      <c r="E504">
        <v>126.56</v>
      </c>
      <c r="F504">
        <v>70.564999999999969</v>
      </c>
      <c r="G504">
        <v>126.4967200000001</v>
      </c>
      <c r="H504">
        <v>70.600282499999963</v>
      </c>
      <c r="I504">
        <v>3.6293042329986771</v>
      </c>
      <c r="J504">
        <v>0.79939639909903815</v>
      </c>
      <c r="K504">
        <v>-7.901390644753474E-2</v>
      </c>
      <c r="L504">
        <v>0.1132851128886896</v>
      </c>
      <c r="M504" t="s">
        <v>25</v>
      </c>
      <c r="N504">
        <v>8</v>
      </c>
      <c r="O504" t="s">
        <v>26</v>
      </c>
      <c r="P504">
        <v>236395</v>
      </c>
      <c r="Q504">
        <v>126.37</v>
      </c>
      <c r="R504">
        <v>70.610000000000014</v>
      </c>
      <c r="S504">
        <v>0.47059462355564502</v>
      </c>
      <c r="T504">
        <v>2.0110472305031969E-2</v>
      </c>
      <c r="U504">
        <v>2.121465720116923E-3</v>
      </c>
      <c r="V504">
        <v>3.598592194597175E-3</v>
      </c>
      <c r="W504">
        <v>-1.477126474480252E-3</v>
      </c>
    </row>
    <row r="505" spans="1:23" x14ac:dyDescent="0.25">
      <c r="A505">
        <v>54</v>
      </c>
      <c r="B505" t="s">
        <v>35</v>
      </c>
      <c r="C505" t="s">
        <v>31</v>
      </c>
      <c r="D505">
        <v>236774</v>
      </c>
      <c r="E505">
        <v>124.79</v>
      </c>
      <c r="F505">
        <v>70.649999999999991</v>
      </c>
      <c r="G505">
        <v>124.852395</v>
      </c>
      <c r="H505">
        <v>70.614674999999991</v>
      </c>
      <c r="I505">
        <v>-4.4382090607111584</v>
      </c>
      <c r="J505">
        <v>0.79939639909903815</v>
      </c>
      <c r="K505">
        <v>8.0134626171968898E-2</v>
      </c>
      <c r="L505">
        <v>-0.11314881798995589</v>
      </c>
      <c r="M505" t="s">
        <v>27</v>
      </c>
      <c r="N505">
        <v>2</v>
      </c>
      <c r="O505" t="s">
        <v>26</v>
      </c>
      <c r="P505">
        <v>236776</v>
      </c>
      <c r="Q505">
        <v>125.65000000000011</v>
      </c>
      <c r="R505">
        <v>70.58</v>
      </c>
      <c r="S505">
        <v>0.36327150697639132</v>
      </c>
      <c r="T505">
        <v>7.6836195767192764E-2</v>
      </c>
      <c r="U505">
        <v>5.8811734095580513E-2</v>
      </c>
      <c r="V505">
        <v>3.5989934017989782E-3</v>
      </c>
      <c r="W505">
        <v>5.5212740693781542E-2</v>
      </c>
    </row>
    <row r="506" spans="1:23" x14ac:dyDescent="0.25">
      <c r="A506">
        <v>54</v>
      </c>
      <c r="B506" t="s">
        <v>35</v>
      </c>
      <c r="C506" t="s">
        <v>31</v>
      </c>
      <c r="D506">
        <v>237024</v>
      </c>
      <c r="E506">
        <v>125.48</v>
      </c>
      <c r="F506">
        <v>70.67</v>
      </c>
      <c r="G506">
        <v>125.41726</v>
      </c>
      <c r="H506">
        <v>70.705334999999991</v>
      </c>
      <c r="I506">
        <v>3.5396919742658302</v>
      </c>
      <c r="J506">
        <v>0.79939639909903815</v>
      </c>
      <c r="K506">
        <v>-7.9693975135479753E-2</v>
      </c>
      <c r="L506">
        <v>0.1131167962500408</v>
      </c>
      <c r="M506" t="s">
        <v>25</v>
      </c>
      <c r="N506">
        <v>7</v>
      </c>
      <c r="O506" t="s">
        <v>26</v>
      </c>
      <c r="P506">
        <v>237031</v>
      </c>
      <c r="Q506">
        <v>125.38</v>
      </c>
      <c r="R506">
        <v>70.710000000000022</v>
      </c>
      <c r="S506">
        <v>0.19237473017618659</v>
      </c>
      <c r="T506">
        <v>1.2494069363557131E-2</v>
      </c>
      <c r="U506">
        <v>-5.4981722645981793E-3</v>
      </c>
      <c r="V506">
        <v>3.598592194597175E-3</v>
      </c>
      <c r="W506">
        <v>-9.0967644591953556E-3</v>
      </c>
    </row>
    <row r="507" spans="1:23" x14ac:dyDescent="0.25">
      <c r="A507">
        <v>54</v>
      </c>
      <c r="B507" t="s">
        <v>35</v>
      </c>
      <c r="C507" t="s">
        <v>31</v>
      </c>
      <c r="D507">
        <v>237164</v>
      </c>
      <c r="E507">
        <v>128.12</v>
      </c>
      <c r="F507">
        <v>71.929999999999978</v>
      </c>
      <c r="G507">
        <v>128.05593999999999</v>
      </c>
      <c r="H507">
        <v>71.965964999999969</v>
      </c>
      <c r="I507">
        <v>5.0253428795197692</v>
      </c>
      <c r="J507">
        <v>0.79939639909903815</v>
      </c>
      <c r="K507">
        <v>-7.8051826412738071E-2</v>
      </c>
      <c r="L507">
        <v>0.1111353258861446</v>
      </c>
      <c r="M507" t="s">
        <v>25</v>
      </c>
      <c r="N507">
        <v>13</v>
      </c>
      <c r="O507" t="s">
        <v>26</v>
      </c>
      <c r="P507">
        <v>237177</v>
      </c>
      <c r="Q507">
        <v>127.84</v>
      </c>
      <c r="R507">
        <v>71.960000000000008</v>
      </c>
      <c r="S507">
        <v>0.40348992226371172</v>
      </c>
      <c r="T507">
        <v>2.518857117215437E-2</v>
      </c>
      <c r="U507">
        <v>7.203867406976712E-3</v>
      </c>
      <c r="V507">
        <v>3.598592194597175E-3</v>
      </c>
      <c r="W507">
        <v>3.6052752123795361E-3</v>
      </c>
    </row>
    <row r="508" spans="1:23" x14ac:dyDescent="0.25">
      <c r="A508">
        <v>54</v>
      </c>
      <c r="B508" t="s">
        <v>35</v>
      </c>
      <c r="C508" t="s">
        <v>31</v>
      </c>
      <c r="D508">
        <v>237296</v>
      </c>
      <c r="E508">
        <v>129.63999999999999</v>
      </c>
      <c r="F508">
        <v>73.149999999999977</v>
      </c>
      <c r="G508">
        <v>129.70482000000001</v>
      </c>
      <c r="H508">
        <v>73.113424999999978</v>
      </c>
      <c r="I508">
        <v>-3.6054159569252571</v>
      </c>
      <c r="J508">
        <v>0.79939639909903815</v>
      </c>
      <c r="K508">
        <v>7.713668620796052E-2</v>
      </c>
      <c r="L508">
        <v>-0.1092818043881119</v>
      </c>
      <c r="M508" t="s">
        <v>27</v>
      </c>
      <c r="N508">
        <v>11</v>
      </c>
      <c r="O508" t="s">
        <v>26</v>
      </c>
      <c r="P508">
        <v>237307</v>
      </c>
      <c r="Q508">
        <v>129.59999999999991</v>
      </c>
      <c r="R508">
        <v>72.935000000000002</v>
      </c>
      <c r="S508">
        <v>-0.36499445266423158</v>
      </c>
      <c r="T508">
        <v>2.041012049511913E-2</v>
      </c>
      <c r="U508">
        <v>2.429447031825543E-3</v>
      </c>
      <c r="V508">
        <v>3.5989934017989782E-3</v>
      </c>
      <c r="W508">
        <v>-1.1695463699734341E-3</v>
      </c>
    </row>
    <row r="509" spans="1:23" x14ac:dyDescent="0.25">
      <c r="A509">
        <v>54</v>
      </c>
      <c r="B509" t="s">
        <v>35</v>
      </c>
      <c r="C509" t="s">
        <v>31</v>
      </c>
      <c r="D509">
        <v>237554</v>
      </c>
      <c r="E509">
        <v>128.65</v>
      </c>
      <c r="F509">
        <v>72.914999999999978</v>
      </c>
      <c r="G509">
        <v>128.714325</v>
      </c>
      <c r="H509">
        <v>72.87854249999998</v>
      </c>
      <c r="I509">
        <v>-4.6385924646855941</v>
      </c>
      <c r="J509">
        <v>0.79939639909903815</v>
      </c>
      <c r="K509">
        <v>7.7730275942479596E-2</v>
      </c>
      <c r="L509">
        <v>-0.10963401208243</v>
      </c>
      <c r="M509" t="s">
        <v>27</v>
      </c>
      <c r="N509">
        <v>2</v>
      </c>
      <c r="O509" t="s">
        <v>26</v>
      </c>
      <c r="P509">
        <v>237556</v>
      </c>
      <c r="Q509">
        <v>129.53</v>
      </c>
      <c r="R509">
        <v>72.83</v>
      </c>
      <c r="S509">
        <v>-0.45647207948877111</v>
      </c>
      <c r="T509">
        <v>7.7721533856383793E-2</v>
      </c>
      <c r="U509">
        <v>5.969802798949421E-2</v>
      </c>
      <c r="V509">
        <v>3.5989934017989782E-3</v>
      </c>
      <c r="W509">
        <v>5.6099034587695232E-2</v>
      </c>
    </row>
    <row r="510" spans="1:23" x14ac:dyDescent="0.25">
      <c r="A510">
        <v>54</v>
      </c>
      <c r="B510" t="s">
        <v>35</v>
      </c>
      <c r="C510" t="s">
        <v>31</v>
      </c>
      <c r="D510">
        <v>238159</v>
      </c>
      <c r="E510">
        <v>126.7</v>
      </c>
      <c r="F510">
        <v>71.339999999999989</v>
      </c>
      <c r="G510">
        <v>126.63665</v>
      </c>
      <c r="H510">
        <v>71.375669999999985</v>
      </c>
      <c r="I510">
        <v>3.6654013387999562</v>
      </c>
      <c r="J510">
        <v>0.79939639909903815</v>
      </c>
      <c r="K510">
        <v>-7.8926598263614825E-2</v>
      </c>
      <c r="L510">
        <v>0.11205444338366111</v>
      </c>
      <c r="M510" t="s">
        <v>25</v>
      </c>
      <c r="N510">
        <v>19</v>
      </c>
      <c r="O510" t="s">
        <v>26</v>
      </c>
      <c r="P510">
        <v>238178</v>
      </c>
      <c r="Q510">
        <v>126.83</v>
      </c>
      <c r="R510">
        <v>71.400000000000034</v>
      </c>
      <c r="S510">
        <v>0.40713825303635542</v>
      </c>
      <c r="T510">
        <v>-3.5371911712392639E-3</v>
      </c>
      <c r="U510">
        <v>-2.1539647024416238E-2</v>
      </c>
      <c r="V510">
        <v>3.598592194597175E-3</v>
      </c>
      <c r="W510">
        <v>-2.5138239219013422E-2</v>
      </c>
    </row>
    <row r="511" spans="1:23" x14ac:dyDescent="0.25">
      <c r="A511">
        <v>54</v>
      </c>
      <c r="B511" t="s">
        <v>35</v>
      </c>
      <c r="C511" t="s">
        <v>31</v>
      </c>
      <c r="D511">
        <v>238335</v>
      </c>
      <c r="E511">
        <v>127.85</v>
      </c>
      <c r="F511">
        <v>70.77</v>
      </c>
      <c r="G511">
        <v>127.786075</v>
      </c>
      <c r="H511">
        <v>70.805384999999987</v>
      </c>
      <c r="I511">
        <v>4.5584798072583572</v>
      </c>
      <c r="J511">
        <v>0.79939639909903815</v>
      </c>
      <c r="K511">
        <v>-7.821666014861163E-2</v>
      </c>
      <c r="L511">
        <v>0.1129569590361789</v>
      </c>
      <c r="M511" t="s">
        <v>25</v>
      </c>
      <c r="N511">
        <v>5</v>
      </c>
      <c r="O511" t="s">
        <v>26</v>
      </c>
      <c r="P511">
        <v>238340</v>
      </c>
      <c r="Q511">
        <v>125.95</v>
      </c>
      <c r="R511">
        <v>70.419999999999987</v>
      </c>
      <c r="S511">
        <v>-0.41941457400819421</v>
      </c>
      <c r="T511">
        <v>0.1090767186197001</v>
      </c>
      <c r="U511">
        <v>9.1176827923684728E-2</v>
      </c>
      <c r="V511">
        <v>3.598592194597175E-3</v>
      </c>
      <c r="W511">
        <v>8.7578235729087558E-2</v>
      </c>
    </row>
    <row r="512" spans="1:23" x14ac:dyDescent="0.25">
      <c r="A512">
        <v>56</v>
      </c>
      <c r="B512" t="s">
        <v>31</v>
      </c>
      <c r="C512" t="s">
        <v>24</v>
      </c>
      <c r="D512">
        <v>242401</v>
      </c>
      <c r="E512">
        <v>77.270000000000024</v>
      </c>
      <c r="F512">
        <v>49.279999999999987</v>
      </c>
      <c r="G512">
        <v>77.308635000000024</v>
      </c>
      <c r="H512">
        <v>49.255360000000003</v>
      </c>
      <c r="I512">
        <v>-5.2944545867109092</v>
      </c>
      <c r="J512">
        <v>0.86198256860566558</v>
      </c>
      <c r="K512">
        <v>0.12941633234114139</v>
      </c>
      <c r="L512">
        <v>-0.17491529395407179</v>
      </c>
      <c r="M512" t="s">
        <v>27</v>
      </c>
      <c r="N512">
        <v>23</v>
      </c>
      <c r="O512" t="s">
        <v>26</v>
      </c>
      <c r="P512">
        <v>242424</v>
      </c>
      <c r="Q512">
        <v>77.159999999999982</v>
      </c>
      <c r="R512">
        <v>49.27</v>
      </c>
      <c r="S512">
        <v>-0.49559635557064469</v>
      </c>
      <c r="T512">
        <v>-1.248664361799063E-2</v>
      </c>
      <c r="U512">
        <v>-3.1098476829297169E-2</v>
      </c>
      <c r="V512">
        <v>3.7241031546427251E-3</v>
      </c>
      <c r="W512">
        <v>-3.4822579983939887E-2</v>
      </c>
    </row>
    <row r="513" spans="1:23" x14ac:dyDescent="0.25">
      <c r="A513">
        <v>56</v>
      </c>
      <c r="B513" t="s">
        <v>31</v>
      </c>
      <c r="C513" t="s">
        <v>24</v>
      </c>
      <c r="D513">
        <v>242520</v>
      </c>
      <c r="E513">
        <v>77.250000000000014</v>
      </c>
      <c r="F513">
        <v>49.135000000000012</v>
      </c>
      <c r="G513">
        <v>77.211375000000018</v>
      </c>
      <c r="H513">
        <v>49.159567500000001</v>
      </c>
      <c r="I513">
        <v>3.5102571904029292</v>
      </c>
      <c r="J513">
        <v>0.86198256860566558</v>
      </c>
      <c r="K513">
        <v>-0.12944983818770231</v>
      </c>
      <c r="L513">
        <v>0.17543147829564781</v>
      </c>
      <c r="M513" t="s">
        <v>25</v>
      </c>
      <c r="N513">
        <v>7</v>
      </c>
      <c r="O513" t="s">
        <v>26</v>
      </c>
      <c r="P513">
        <v>242527</v>
      </c>
      <c r="Q513">
        <v>77.250000000000014</v>
      </c>
      <c r="R513">
        <v>49.195000000000007</v>
      </c>
      <c r="S513">
        <v>5.2310627482399237E-2</v>
      </c>
      <c r="T513">
        <v>1.052588869773927E-2</v>
      </c>
      <c r="U513">
        <v>-8.0991999326643811E-3</v>
      </c>
      <c r="V513">
        <v>3.7238271197799371E-3</v>
      </c>
      <c r="W513">
        <v>-1.182302705244432E-2</v>
      </c>
    </row>
    <row r="514" spans="1:23" x14ac:dyDescent="0.25">
      <c r="A514">
        <v>56</v>
      </c>
      <c r="B514" t="s">
        <v>31</v>
      </c>
      <c r="C514" t="s">
        <v>24</v>
      </c>
      <c r="D514">
        <v>242871</v>
      </c>
      <c r="E514">
        <v>77.5</v>
      </c>
      <c r="F514">
        <v>49.23</v>
      </c>
      <c r="G514">
        <v>77.538749999999993</v>
      </c>
      <c r="H514">
        <v>49.205385000000007</v>
      </c>
      <c r="I514">
        <v>-3.7213719697510639</v>
      </c>
      <c r="J514">
        <v>0.86198256860566558</v>
      </c>
      <c r="K514">
        <v>0.1290322580645161</v>
      </c>
      <c r="L514">
        <v>-0.17509294507529261</v>
      </c>
      <c r="M514" t="s">
        <v>27</v>
      </c>
      <c r="N514">
        <v>2</v>
      </c>
      <c r="O514" t="s">
        <v>26</v>
      </c>
      <c r="P514">
        <v>242873</v>
      </c>
      <c r="Q514">
        <v>77.5</v>
      </c>
      <c r="R514">
        <v>49.070000000000007</v>
      </c>
      <c r="S514">
        <v>-6.8183336864019187E-2</v>
      </c>
      <c r="T514">
        <v>2.8014871212046221E-2</v>
      </c>
      <c r="U514">
        <v>9.4090529615978094E-3</v>
      </c>
      <c r="V514">
        <v>3.7241031546427251E-3</v>
      </c>
      <c r="W514">
        <v>5.6849498069550843E-3</v>
      </c>
    </row>
    <row r="515" spans="1:23" x14ac:dyDescent="0.25">
      <c r="A515">
        <v>56</v>
      </c>
      <c r="B515" t="s">
        <v>31</v>
      </c>
      <c r="C515" t="s">
        <v>24</v>
      </c>
      <c r="D515">
        <v>242877</v>
      </c>
      <c r="E515">
        <v>77.459999999999994</v>
      </c>
      <c r="F515">
        <v>48.740000000000009</v>
      </c>
      <c r="G515">
        <v>77.421269999999993</v>
      </c>
      <c r="H515">
        <v>48.764370000000007</v>
      </c>
      <c r="I515">
        <v>3.934830252635805</v>
      </c>
      <c r="J515">
        <v>0.86198256860566558</v>
      </c>
      <c r="K515">
        <v>-0.1290988897495482</v>
      </c>
      <c r="L515">
        <v>0.1768532147323893</v>
      </c>
      <c r="M515" t="s">
        <v>25</v>
      </c>
      <c r="N515">
        <v>18</v>
      </c>
      <c r="O515" t="s">
        <v>26</v>
      </c>
      <c r="P515">
        <v>242895</v>
      </c>
      <c r="Q515">
        <v>77.359999999999971</v>
      </c>
      <c r="R515">
        <v>48.499999999999993</v>
      </c>
      <c r="S515">
        <v>0.25741970071445069</v>
      </c>
      <c r="T515">
        <v>-2.9534882560818539E-2</v>
      </c>
      <c r="U515">
        <v>-4.8127030916618567E-2</v>
      </c>
      <c r="V515">
        <v>3.7238271197799371E-3</v>
      </c>
      <c r="W515">
        <v>-5.1850858036398509E-2</v>
      </c>
    </row>
    <row r="516" spans="1:23" x14ac:dyDescent="0.25">
      <c r="A516">
        <v>56</v>
      </c>
      <c r="B516" t="s">
        <v>31</v>
      </c>
      <c r="C516" t="s">
        <v>24</v>
      </c>
      <c r="D516">
        <v>243234</v>
      </c>
      <c r="E516">
        <v>78.199999999999989</v>
      </c>
      <c r="F516">
        <v>48.15</v>
      </c>
      <c r="G516">
        <v>78.239099999999979</v>
      </c>
      <c r="H516">
        <v>48.125925000000002</v>
      </c>
      <c r="I516">
        <v>-3.6408481528564671</v>
      </c>
      <c r="J516">
        <v>0.86198256860566558</v>
      </c>
      <c r="K516">
        <v>0.12787723785166241</v>
      </c>
      <c r="L516">
        <v>-0.17902026346950481</v>
      </c>
      <c r="M516" t="s">
        <v>27</v>
      </c>
      <c r="N516">
        <v>1</v>
      </c>
      <c r="O516" t="s">
        <v>26</v>
      </c>
      <c r="P516">
        <v>243235</v>
      </c>
      <c r="Q516">
        <v>78.139999999999972</v>
      </c>
      <c r="R516">
        <v>48.000000000000007</v>
      </c>
      <c r="S516">
        <v>-0.12969446317681241</v>
      </c>
      <c r="T516">
        <v>1.9180405249322342E-2</v>
      </c>
      <c r="U516">
        <v>5.7784240016375485E-4</v>
      </c>
      <c r="V516">
        <v>3.7241031546427251E-3</v>
      </c>
      <c r="W516">
        <v>-3.1462607544789699E-3</v>
      </c>
    </row>
    <row r="517" spans="1:23" x14ac:dyDescent="0.25">
      <c r="A517">
        <v>56</v>
      </c>
      <c r="B517" t="s">
        <v>31</v>
      </c>
      <c r="C517" t="s">
        <v>24</v>
      </c>
      <c r="D517">
        <v>243877</v>
      </c>
      <c r="E517">
        <v>78.8</v>
      </c>
      <c r="F517">
        <v>47.784999999999989</v>
      </c>
      <c r="G517">
        <v>78.760599999999997</v>
      </c>
      <c r="H517">
        <v>47.808892499999978</v>
      </c>
      <c r="I517">
        <v>3.5430589363879328</v>
      </c>
      <c r="J517">
        <v>0.86198256860566558</v>
      </c>
      <c r="K517">
        <v>-0.12690355329949241</v>
      </c>
      <c r="L517">
        <v>0.18038768831341759</v>
      </c>
      <c r="M517" t="s">
        <v>25</v>
      </c>
      <c r="N517">
        <v>13</v>
      </c>
      <c r="O517" t="s">
        <v>26</v>
      </c>
      <c r="P517">
        <v>243890</v>
      </c>
      <c r="Q517">
        <v>78.660000000000011</v>
      </c>
      <c r="R517">
        <v>47.76</v>
      </c>
      <c r="S517">
        <v>0.46182551542451977</v>
      </c>
      <c r="T517">
        <v>1.32568052540933E-2</v>
      </c>
      <c r="U517">
        <v>-5.3518823371264341E-3</v>
      </c>
      <c r="V517">
        <v>3.7238271197799371E-3</v>
      </c>
      <c r="W517">
        <v>-9.0757094569063716E-3</v>
      </c>
    </row>
    <row r="518" spans="1:23" x14ac:dyDescent="0.25">
      <c r="A518">
        <v>56</v>
      </c>
      <c r="B518" t="s">
        <v>31</v>
      </c>
      <c r="C518" t="s">
        <v>24</v>
      </c>
      <c r="D518">
        <v>244486</v>
      </c>
      <c r="E518">
        <v>78.04000000000002</v>
      </c>
      <c r="F518">
        <v>47.2</v>
      </c>
      <c r="G518">
        <v>78.000980000000027</v>
      </c>
      <c r="H518">
        <v>47.22359999999999</v>
      </c>
      <c r="I518">
        <v>3.9257261356351609</v>
      </c>
      <c r="J518">
        <v>0.86198256860566558</v>
      </c>
      <c r="K518">
        <v>-0.12813941568426451</v>
      </c>
      <c r="L518">
        <v>0.1826234255520478</v>
      </c>
      <c r="M518" t="s">
        <v>25</v>
      </c>
      <c r="N518">
        <v>55</v>
      </c>
      <c r="O518" t="s">
        <v>26</v>
      </c>
      <c r="P518">
        <v>244541</v>
      </c>
      <c r="Q518">
        <v>78.174999999999969</v>
      </c>
      <c r="R518">
        <v>47.085000000000001</v>
      </c>
      <c r="S518">
        <v>0.1566347148108462</v>
      </c>
      <c r="T518">
        <v>-3.8300515055853628E-2</v>
      </c>
      <c r="U518">
        <v>-5.6918489305496762E-2</v>
      </c>
      <c r="V518">
        <v>3.7238271197799371E-3</v>
      </c>
      <c r="W518">
        <v>-6.0642316425276691E-2</v>
      </c>
    </row>
    <row r="519" spans="1:23" x14ac:dyDescent="0.25">
      <c r="A519">
        <v>56</v>
      </c>
      <c r="B519" t="s">
        <v>31</v>
      </c>
      <c r="C519" t="s">
        <v>24</v>
      </c>
      <c r="D519">
        <v>244574</v>
      </c>
      <c r="E519">
        <v>78.330000000000027</v>
      </c>
      <c r="F519">
        <v>47.08</v>
      </c>
      <c r="G519">
        <v>78.29083500000003</v>
      </c>
      <c r="H519">
        <v>47.103540000000002</v>
      </c>
      <c r="I519">
        <v>4.0664504410056432</v>
      </c>
      <c r="J519">
        <v>0.86198256860566558</v>
      </c>
      <c r="K519">
        <v>-0.12766500702157529</v>
      </c>
      <c r="L519">
        <v>0.18308890582108439</v>
      </c>
      <c r="M519" t="s">
        <v>25</v>
      </c>
      <c r="N519">
        <v>15</v>
      </c>
      <c r="O519" t="s">
        <v>26</v>
      </c>
      <c r="P519">
        <v>244589</v>
      </c>
      <c r="Q519">
        <v>78.860000000000014</v>
      </c>
      <c r="R519">
        <v>47.350000000000009</v>
      </c>
      <c r="S519">
        <v>0.13886780760687489</v>
      </c>
      <c r="T519">
        <v>-1.8228449149738601E-2</v>
      </c>
      <c r="U519">
        <v>-3.6906823064939837E-2</v>
      </c>
      <c r="V519">
        <v>3.7238271197799371E-3</v>
      </c>
      <c r="W519">
        <v>-4.0630650184719778E-2</v>
      </c>
    </row>
    <row r="520" spans="1:23" x14ac:dyDescent="0.25">
      <c r="A520">
        <v>56</v>
      </c>
      <c r="B520" t="s">
        <v>31</v>
      </c>
      <c r="C520" t="s">
        <v>24</v>
      </c>
      <c r="D520">
        <v>244673</v>
      </c>
      <c r="E520">
        <v>79.03000000000003</v>
      </c>
      <c r="F520">
        <v>47.54</v>
      </c>
      <c r="G520">
        <v>78.990485000000035</v>
      </c>
      <c r="H520">
        <v>47.563769999999998</v>
      </c>
      <c r="I520">
        <v>4.5342130378537746</v>
      </c>
      <c r="J520">
        <v>0.86198256860566558</v>
      </c>
      <c r="K520">
        <v>-0.12653422750854099</v>
      </c>
      <c r="L520">
        <v>0.18131732616862969</v>
      </c>
      <c r="M520" t="s">
        <v>25</v>
      </c>
      <c r="N520">
        <v>26</v>
      </c>
      <c r="O520" t="s">
        <v>26</v>
      </c>
      <c r="P520">
        <v>244699</v>
      </c>
      <c r="Q520">
        <v>79.45</v>
      </c>
      <c r="R520">
        <v>47.715000000000003</v>
      </c>
      <c r="S520">
        <v>0.45905748568649768</v>
      </c>
      <c r="T520">
        <v>-2.141384347407287E-2</v>
      </c>
      <c r="U520">
        <v>-4.0076106613943598E-2</v>
      </c>
      <c r="V520">
        <v>3.7238271197799371E-3</v>
      </c>
      <c r="W520">
        <v>-4.3799933733723539E-2</v>
      </c>
    </row>
    <row r="521" spans="1:23" x14ac:dyDescent="0.25">
      <c r="A521">
        <v>56</v>
      </c>
      <c r="B521" t="s">
        <v>31</v>
      </c>
      <c r="C521" t="s">
        <v>24</v>
      </c>
      <c r="D521">
        <v>244974</v>
      </c>
      <c r="E521">
        <v>79.230000000000018</v>
      </c>
      <c r="F521">
        <v>47.895000000000003</v>
      </c>
      <c r="G521">
        <v>79.269615000000016</v>
      </c>
      <c r="H521">
        <v>47.871052499999998</v>
      </c>
      <c r="I521">
        <v>-4.5322043667575187</v>
      </c>
      <c r="J521">
        <v>0.86198256860566558</v>
      </c>
      <c r="K521">
        <v>0.1262148176195885</v>
      </c>
      <c r="L521">
        <v>-0.179973393591328</v>
      </c>
      <c r="M521" t="s">
        <v>27</v>
      </c>
      <c r="N521">
        <v>4</v>
      </c>
      <c r="O521" t="s">
        <v>26</v>
      </c>
      <c r="P521">
        <v>244978</v>
      </c>
      <c r="Q521">
        <v>79.669999999999987</v>
      </c>
      <c r="R521">
        <v>47.774999999999991</v>
      </c>
      <c r="S521">
        <v>-0.1371959638714528</v>
      </c>
      <c r="T521">
        <v>7.7131326983575249E-2</v>
      </c>
      <c r="U521">
        <v>5.8494532441258643E-2</v>
      </c>
      <c r="V521">
        <v>3.7241031546427251E-3</v>
      </c>
      <c r="W521">
        <v>5.4770429286615907E-2</v>
      </c>
    </row>
    <row r="522" spans="1:23" x14ac:dyDescent="0.25">
      <c r="A522">
        <v>56</v>
      </c>
      <c r="B522" t="s">
        <v>31</v>
      </c>
      <c r="C522" t="s">
        <v>24</v>
      </c>
      <c r="D522">
        <v>245298</v>
      </c>
      <c r="E522">
        <v>79.944999999999993</v>
      </c>
      <c r="F522">
        <v>47.415000000000013</v>
      </c>
      <c r="G522">
        <v>79.984972499999984</v>
      </c>
      <c r="H522">
        <v>47.391292500000013</v>
      </c>
      <c r="I522">
        <v>-3.6662526057740141</v>
      </c>
      <c r="J522">
        <v>0.86198256860566558</v>
      </c>
      <c r="K522">
        <v>0.12508599662267811</v>
      </c>
      <c r="L522">
        <v>-0.1817953324065518</v>
      </c>
      <c r="M522" t="s">
        <v>27</v>
      </c>
      <c r="N522">
        <v>7</v>
      </c>
      <c r="O522" t="s">
        <v>26</v>
      </c>
      <c r="P522">
        <v>245305</v>
      </c>
      <c r="Q522">
        <v>80.03</v>
      </c>
      <c r="R522">
        <v>47.415000000000013</v>
      </c>
      <c r="S522">
        <v>-0.31233528669038008</v>
      </c>
      <c r="T522">
        <v>1.0632309712928631E-2</v>
      </c>
      <c r="U522">
        <v>-7.9928321279830461E-3</v>
      </c>
      <c r="V522">
        <v>3.7241031546427251E-3</v>
      </c>
      <c r="W522">
        <v>-1.171693528262577E-2</v>
      </c>
    </row>
    <row r="523" spans="1:23" x14ac:dyDescent="0.25">
      <c r="A523">
        <v>56</v>
      </c>
      <c r="B523" t="s">
        <v>31</v>
      </c>
      <c r="C523" t="s">
        <v>24</v>
      </c>
      <c r="D523">
        <v>245351</v>
      </c>
      <c r="E523">
        <v>80.309999999999974</v>
      </c>
      <c r="F523">
        <v>47.474999999999987</v>
      </c>
      <c r="G523">
        <v>80.269844999999975</v>
      </c>
      <c r="H523">
        <v>47.49873749999999</v>
      </c>
      <c r="I523">
        <v>3.5433405080853642</v>
      </c>
      <c r="J523">
        <v>0.86198256860566558</v>
      </c>
      <c r="K523">
        <v>-0.12451749470800649</v>
      </c>
      <c r="L523">
        <v>0.18156557527238881</v>
      </c>
      <c r="M523" t="s">
        <v>25</v>
      </c>
      <c r="N523">
        <v>22</v>
      </c>
      <c r="O523" t="s">
        <v>26</v>
      </c>
      <c r="P523">
        <v>245373</v>
      </c>
      <c r="Q523">
        <v>80.240000000000009</v>
      </c>
      <c r="R523">
        <v>47.625</v>
      </c>
      <c r="S523">
        <v>-0.29551119576091273</v>
      </c>
      <c r="T523">
        <v>3.5951060920415417E-2</v>
      </c>
      <c r="U523">
        <v>1.732197592852916E-2</v>
      </c>
      <c r="V523">
        <v>3.7238271197799371E-3</v>
      </c>
      <c r="W523">
        <v>1.359814880874922E-2</v>
      </c>
    </row>
    <row r="524" spans="1:23" x14ac:dyDescent="0.25">
      <c r="A524">
        <v>56</v>
      </c>
      <c r="B524" t="s">
        <v>31</v>
      </c>
      <c r="C524" t="s">
        <v>24</v>
      </c>
      <c r="D524">
        <v>245728</v>
      </c>
      <c r="E524">
        <v>81.354999999999976</v>
      </c>
      <c r="F524">
        <v>47.555</v>
      </c>
      <c r="G524">
        <v>81.314322499999975</v>
      </c>
      <c r="H524">
        <v>47.578777499999987</v>
      </c>
      <c r="I524">
        <v>3.5033754204804541</v>
      </c>
      <c r="J524">
        <v>0.86198256860566558</v>
      </c>
      <c r="K524">
        <v>-0.12291807510294391</v>
      </c>
      <c r="L524">
        <v>0.18126013428780691</v>
      </c>
      <c r="M524" t="s">
        <v>25</v>
      </c>
      <c r="N524">
        <v>14</v>
      </c>
      <c r="O524" t="s">
        <v>26</v>
      </c>
      <c r="P524">
        <v>245742</v>
      </c>
      <c r="Q524">
        <v>81.34999999999998</v>
      </c>
      <c r="R524">
        <v>47.570000000000007</v>
      </c>
      <c r="S524">
        <v>-4.4640946953713213E-2</v>
      </c>
      <c r="T524">
        <v>3.3334923898326548E-3</v>
      </c>
      <c r="U524">
        <v>-1.528738545204103E-2</v>
      </c>
      <c r="V524">
        <v>3.7238271197799371E-3</v>
      </c>
      <c r="W524">
        <v>-1.9011212571820969E-2</v>
      </c>
    </row>
    <row r="525" spans="1:23" x14ac:dyDescent="0.25">
      <c r="A525">
        <v>56</v>
      </c>
      <c r="B525" t="s">
        <v>31</v>
      </c>
      <c r="C525" t="s">
        <v>24</v>
      </c>
      <c r="D525">
        <v>245753</v>
      </c>
      <c r="E525">
        <v>81.199999999999989</v>
      </c>
      <c r="F525">
        <v>47.969999999999992</v>
      </c>
      <c r="G525">
        <v>81.240599999999986</v>
      </c>
      <c r="H525">
        <v>47.946015000000003</v>
      </c>
      <c r="I525">
        <v>-4.2663415288574891</v>
      </c>
      <c r="J525">
        <v>0.86198256860566558</v>
      </c>
      <c r="K525">
        <v>0.1231527093596059</v>
      </c>
      <c r="L525">
        <v>-0.17969200929865869</v>
      </c>
      <c r="M525" t="s">
        <v>27</v>
      </c>
      <c r="N525">
        <v>17</v>
      </c>
      <c r="O525" t="s">
        <v>26</v>
      </c>
      <c r="P525">
        <v>245770</v>
      </c>
      <c r="Q525">
        <v>80.734999999999985</v>
      </c>
      <c r="R525">
        <v>47.61999999999999</v>
      </c>
      <c r="S525">
        <v>-0.43632570432685119</v>
      </c>
      <c r="T525">
        <v>5.6261934023136154E-3</v>
      </c>
      <c r="U525">
        <v>-1.29335531771885E-2</v>
      </c>
      <c r="V525">
        <v>3.7241031546427251E-3</v>
      </c>
      <c r="W525">
        <v>-1.6657656331831229E-2</v>
      </c>
    </row>
    <row r="526" spans="1:23" x14ac:dyDescent="0.25">
      <c r="A526">
        <v>56</v>
      </c>
      <c r="B526" t="s">
        <v>31</v>
      </c>
      <c r="C526" t="s">
        <v>24</v>
      </c>
      <c r="D526">
        <v>245836</v>
      </c>
      <c r="E526">
        <v>80.36999999999999</v>
      </c>
      <c r="F526">
        <v>47.040000000000013</v>
      </c>
      <c r="G526">
        <v>80.329814999999996</v>
      </c>
      <c r="H526">
        <v>47.063519999999997</v>
      </c>
      <c r="I526">
        <v>3.556358610157659</v>
      </c>
      <c r="J526">
        <v>0.86198256860566558</v>
      </c>
      <c r="K526">
        <v>-0.1244245365186015</v>
      </c>
      <c r="L526">
        <v>0.18324459366617041</v>
      </c>
      <c r="M526" t="s">
        <v>25</v>
      </c>
      <c r="N526">
        <v>21</v>
      </c>
      <c r="O526" t="s">
        <v>26</v>
      </c>
      <c r="P526">
        <v>245857</v>
      </c>
      <c r="Q526">
        <v>80.5</v>
      </c>
      <c r="R526">
        <v>47.110000000000007</v>
      </c>
      <c r="S526">
        <v>0.44526916801532029</v>
      </c>
      <c r="T526">
        <v>-3.348068190787418E-3</v>
      </c>
      <c r="U526">
        <v>-2.1982395032493999E-2</v>
      </c>
      <c r="V526">
        <v>3.7238271197799371E-3</v>
      </c>
      <c r="W526">
        <v>-2.570622215227393E-2</v>
      </c>
    </row>
    <row r="527" spans="1:23" x14ac:dyDescent="0.25">
      <c r="A527">
        <v>56</v>
      </c>
      <c r="B527" t="s">
        <v>31</v>
      </c>
      <c r="C527" t="s">
        <v>24</v>
      </c>
      <c r="D527">
        <v>246143</v>
      </c>
      <c r="E527">
        <v>80.429999999999978</v>
      </c>
      <c r="F527">
        <v>47.24</v>
      </c>
      <c r="G527">
        <v>80.470214999999968</v>
      </c>
      <c r="H527">
        <v>47.216380000000008</v>
      </c>
      <c r="I527">
        <v>-4.4721987266445566</v>
      </c>
      <c r="J527">
        <v>0.86198256860566558</v>
      </c>
      <c r="K527">
        <v>0.1243317170210121</v>
      </c>
      <c r="L527">
        <v>-0.18246879098341781</v>
      </c>
      <c r="M527" t="s">
        <v>27</v>
      </c>
      <c r="N527">
        <v>23</v>
      </c>
      <c r="O527" t="s">
        <v>26</v>
      </c>
      <c r="P527">
        <v>246166</v>
      </c>
      <c r="Q527">
        <v>79.050000000000011</v>
      </c>
      <c r="R527">
        <v>46.85</v>
      </c>
      <c r="S527">
        <v>-0.39319501495493231</v>
      </c>
      <c r="T527">
        <v>-0.1004149410054596</v>
      </c>
      <c r="U527">
        <v>-0.1189133963925265</v>
      </c>
      <c r="V527">
        <v>3.7241031546427251E-3</v>
      </c>
      <c r="W527">
        <v>-0.1226374995471692</v>
      </c>
    </row>
    <row r="528" spans="1:23" x14ac:dyDescent="0.25">
      <c r="A528">
        <v>62</v>
      </c>
      <c r="B528" t="s">
        <v>23</v>
      </c>
      <c r="C528" t="s">
        <v>24</v>
      </c>
      <c r="D528">
        <v>265801</v>
      </c>
      <c r="E528">
        <v>242.39999999999989</v>
      </c>
      <c r="F528">
        <v>39.700000000000003</v>
      </c>
      <c r="G528">
        <v>242.2787999999999</v>
      </c>
      <c r="H528">
        <v>39.719850000000001</v>
      </c>
      <c r="I528">
        <v>5.2946275214686631</v>
      </c>
      <c r="J528">
        <v>0.76326352868171166</v>
      </c>
      <c r="K528">
        <v>-4.1254125412541268E-2</v>
      </c>
      <c r="L528">
        <v>0.19225781578884421</v>
      </c>
      <c r="M528" t="s">
        <v>25</v>
      </c>
      <c r="N528">
        <v>23</v>
      </c>
      <c r="O528" t="s">
        <v>26</v>
      </c>
      <c r="P528">
        <v>265824</v>
      </c>
      <c r="Q528">
        <v>242.56500000000011</v>
      </c>
      <c r="R528">
        <v>39.749999999999993</v>
      </c>
      <c r="S528">
        <v>0.49148306836647321</v>
      </c>
      <c r="T528">
        <v>2.8059600963631121E-3</v>
      </c>
      <c r="U528">
        <v>-1.4834885101193299E-2</v>
      </c>
      <c r="V528">
        <v>3.5262903208921051E-3</v>
      </c>
      <c r="W528">
        <v>-1.8361175422085398E-2</v>
      </c>
    </row>
    <row r="529" spans="1:23" x14ac:dyDescent="0.25">
      <c r="A529">
        <v>62</v>
      </c>
      <c r="B529" t="s">
        <v>23</v>
      </c>
      <c r="C529" t="s">
        <v>24</v>
      </c>
      <c r="D529">
        <v>266848</v>
      </c>
      <c r="E529">
        <v>243.47</v>
      </c>
      <c r="F529">
        <v>40.11</v>
      </c>
      <c r="G529">
        <v>243.348265</v>
      </c>
      <c r="H529">
        <v>40.130054999999999</v>
      </c>
      <c r="I529">
        <v>3.80785134172385</v>
      </c>
      <c r="J529">
        <v>0.76326352868171166</v>
      </c>
      <c r="K529">
        <v>-4.1072822113607417E-2</v>
      </c>
      <c r="L529">
        <v>0.19029257758207721</v>
      </c>
      <c r="M529" t="s">
        <v>25</v>
      </c>
      <c r="N529">
        <v>18</v>
      </c>
      <c r="O529" t="s">
        <v>26</v>
      </c>
      <c r="P529">
        <v>266866</v>
      </c>
      <c r="Q529">
        <v>243.6399999999999</v>
      </c>
      <c r="R529">
        <v>40.17</v>
      </c>
      <c r="S529">
        <v>-9.0681964920942743E-2</v>
      </c>
      <c r="T529">
        <v>4.4351748956146519E-3</v>
      </c>
      <c r="U529">
        <v>-1.320666035840669E-2</v>
      </c>
      <c r="V529">
        <v>3.5262903208921051E-3</v>
      </c>
      <c r="W529">
        <v>-1.6732950679298791E-2</v>
      </c>
    </row>
    <row r="530" spans="1:23" x14ac:dyDescent="0.25">
      <c r="A530">
        <v>62</v>
      </c>
      <c r="B530" t="s">
        <v>23</v>
      </c>
      <c r="C530" t="s">
        <v>24</v>
      </c>
      <c r="D530">
        <v>267239</v>
      </c>
      <c r="E530">
        <v>240.85000000000011</v>
      </c>
      <c r="F530">
        <v>39.460000000000008</v>
      </c>
      <c r="G530">
        <v>240.7295750000001</v>
      </c>
      <c r="H530">
        <v>39.479730000000004</v>
      </c>
      <c r="I530">
        <v>3.9838011874292518</v>
      </c>
      <c r="J530">
        <v>0.76326352868171166</v>
      </c>
      <c r="K530">
        <v>-4.1519618019514211E-2</v>
      </c>
      <c r="L530">
        <v>0.1934271486775751</v>
      </c>
      <c r="M530" t="s">
        <v>25</v>
      </c>
      <c r="N530">
        <v>13</v>
      </c>
      <c r="O530" t="s">
        <v>26</v>
      </c>
      <c r="P530">
        <v>267252</v>
      </c>
      <c r="Q530">
        <v>240.67999999999989</v>
      </c>
      <c r="R530">
        <v>39.470000000000013</v>
      </c>
      <c r="S530">
        <v>0.32971845343784228</v>
      </c>
      <c r="T530">
        <v>8.9926065500969838E-3</v>
      </c>
      <c r="U530">
        <v>-8.6374667049297065E-3</v>
      </c>
      <c r="V530">
        <v>3.5262903208921051E-3</v>
      </c>
      <c r="W530">
        <v>-1.2163757025821811E-2</v>
      </c>
    </row>
    <row r="531" spans="1:23" x14ac:dyDescent="0.25">
      <c r="A531">
        <v>62</v>
      </c>
      <c r="B531" t="s">
        <v>23</v>
      </c>
      <c r="C531" t="s">
        <v>24</v>
      </c>
      <c r="D531">
        <v>267818</v>
      </c>
      <c r="E531">
        <v>247.4850000000001</v>
      </c>
      <c r="F531">
        <v>40.680000000000007</v>
      </c>
      <c r="G531">
        <v>247.36125750000011</v>
      </c>
      <c r="H531">
        <v>40.700339999999997</v>
      </c>
      <c r="I531">
        <v>3.8938001974772982</v>
      </c>
      <c r="J531">
        <v>0.76326352868171166</v>
      </c>
      <c r="K531">
        <v>-4.0406489282178708E-2</v>
      </c>
      <c r="L531">
        <v>0.18762623615577961</v>
      </c>
      <c r="M531" t="s">
        <v>25</v>
      </c>
      <c r="N531">
        <v>6</v>
      </c>
      <c r="O531" t="s">
        <v>26</v>
      </c>
      <c r="P531">
        <v>267824</v>
      </c>
      <c r="Q531">
        <v>247.1999999999999</v>
      </c>
      <c r="R531">
        <v>40.689999999999991</v>
      </c>
      <c r="S531">
        <v>9.2476873147183794E-2</v>
      </c>
      <c r="T531">
        <v>1.3392111806982439E-2</v>
      </c>
      <c r="U531">
        <v>-4.2357036862909793E-3</v>
      </c>
      <c r="V531">
        <v>3.5262903208921051E-3</v>
      </c>
      <c r="W531">
        <v>-7.7619940071830852E-3</v>
      </c>
    </row>
    <row r="532" spans="1:23" x14ac:dyDescent="0.25">
      <c r="A532">
        <v>62</v>
      </c>
      <c r="B532" t="s">
        <v>23</v>
      </c>
      <c r="C532" t="s">
        <v>24</v>
      </c>
      <c r="D532">
        <v>268019</v>
      </c>
      <c r="E532">
        <v>251.1999999999999</v>
      </c>
      <c r="F532">
        <v>41.220000000000013</v>
      </c>
      <c r="G532">
        <v>251.07439999999991</v>
      </c>
      <c r="H532">
        <v>41.240609999999997</v>
      </c>
      <c r="I532">
        <v>3.913816053561971</v>
      </c>
      <c r="J532">
        <v>0.76326352868171166</v>
      </c>
      <c r="K532">
        <v>-3.9808917197452241E-2</v>
      </c>
      <c r="L532">
        <v>0.18516825052928471</v>
      </c>
      <c r="M532" t="s">
        <v>25</v>
      </c>
      <c r="N532">
        <v>14</v>
      </c>
      <c r="O532" t="s">
        <v>26</v>
      </c>
      <c r="P532">
        <v>268033</v>
      </c>
      <c r="Q532">
        <v>250.93000000000009</v>
      </c>
      <c r="R532">
        <v>41.220000000000013</v>
      </c>
      <c r="S532">
        <v>0.21929053001624851</v>
      </c>
      <c r="T532">
        <v>1.0748407643306861E-2</v>
      </c>
      <c r="U532">
        <v>-6.8788534396871052E-3</v>
      </c>
      <c r="V532">
        <v>3.5262903208921051E-3</v>
      </c>
      <c r="W532">
        <v>-1.0405143760579209E-2</v>
      </c>
    </row>
    <row r="533" spans="1:23" x14ac:dyDescent="0.25">
      <c r="A533">
        <v>62</v>
      </c>
      <c r="B533" t="s">
        <v>23</v>
      </c>
      <c r="C533" t="s">
        <v>24</v>
      </c>
      <c r="D533">
        <v>268667</v>
      </c>
      <c r="E533">
        <v>254.53000000000009</v>
      </c>
      <c r="F533">
        <v>41.945000000000007</v>
      </c>
      <c r="G533">
        <v>254.65726500000011</v>
      </c>
      <c r="H533">
        <v>41.924027500000008</v>
      </c>
      <c r="I533">
        <v>-3.8317009059054241</v>
      </c>
      <c r="J533">
        <v>0.76326352868171166</v>
      </c>
      <c r="K533">
        <v>3.9288099634620662E-2</v>
      </c>
      <c r="L533">
        <v>-0.18196770263004211</v>
      </c>
      <c r="M533" t="s">
        <v>27</v>
      </c>
      <c r="N533">
        <v>7</v>
      </c>
      <c r="O533" t="s">
        <v>26</v>
      </c>
      <c r="P533">
        <v>268674</v>
      </c>
      <c r="Q533">
        <v>254.63</v>
      </c>
      <c r="R533">
        <v>41.914999999999999</v>
      </c>
      <c r="S533">
        <v>0.2309052182923628</v>
      </c>
      <c r="T533">
        <v>9.3878410423612543E-3</v>
      </c>
      <c r="U533">
        <v>-8.2440291338960192E-3</v>
      </c>
      <c r="V533">
        <v>3.5267637938347419E-3</v>
      </c>
      <c r="W533">
        <v>-1.1770792927730761E-2</v>
      </c>
    </row>
    <row r="534" spans="1:23" x14ac:dyDescent="0.25">
      <c r="A534">
        <v>63</v>
      </c>
      <c r="B534" t="s">
        <v>23</v>
      </c>
      <c r="C534" t="s">
        <v>24</v>
      </c>
      <c r="D534">
        <v>269701</v>
      </c>
      <c r="E534">
        <v>254.09999999999991</v>
      </c>
      <c r="F534">
        <v>42.06</v>
      </c>
      <c r="G534">
        <v>253.97294999999991</v>
      </c>
      <c r="H534">
        <v>42.081029999999991</v>
      </c>
      <c r="I534">
        <v>5.2600611325075981</v>
      </c>
      <c r="J534">
        <v>0.75492710352553605</v>
      </c>
      <c r="K534">
        <v>-3.9354584809130268E-2</v>
      </c>
      <c r="L534">
        <v>0.17948813683441181</v>
      </c>
      <c r="M534" t="s">
        <v>25</v>
      </c>
      <c r="N534">
        <v>25</v>
      </c>
      <c r="O534" t="s">
        <v>26</v>
      </c>
      <c r="P534">
        <v>269726</v>
      </c>
      <c r="Q534">
        <v>255.15</v>
      </c>
      <c r="R534">
        <v>42.259999999999991</v>
      </c>
      <c r="S534">
        <v>0.48943005072542078</v>
      </c>
      <c r="T534">
        <v>-5.4246866827078674E-3</v>
      </c>
      <c r="U534">
        <v>-2.301256768866972E-2</v>
      </c>
      <c r="V534">
        <v>3.5096091341545971E-3</v>
      </c>
      <c r="W534">
        <v>-2.6522176822824321E-2</v>
      </c>
    </row>
    <row r="535" spans="1:23" x14ac:dyDescent="0.25">
      <c r="A535">
        <v>63</v>
      </c>
      <c r="B535" t="s">
        <v>23</v>
      </c>
      <c r="C535" t="s">
        <v>24</v>
      </c>
      <c r="D535">
        <v>270368</v>
      </c>
      <c r="E535">
        <v>262.02999999999992</v>
      </c>
      <c r="F535">
        <v>44.149999999999991</v>
      </c>
      <c r="G535">
        <v>262.16101499999991</v>
      </c>
      <c r="H535">
        <v>44.127924999999991</v>
      </c>
      <c r="I535">
        <v>-4.3463944996891923</v>
      </c>
      <c r="J535">
        <v>0.75492710352553605</v>
      </c>
      <c r="K535">
        <v>3.8163569056978222E-2</v>
      </c>
      <c r="L535">
        <v>-0.17099141642707499</v>
      </c>
      <c r="M535" t="s">
        <v>27</v>
      </c>
      <c r="N535">
        <v>17</v>
      </c>
      <c r="O535" t="s">
        <v>26</v>
      </c>
      <c r="P535">
        <v>270385</v>
      </c>
      <c r="Q535">
        <v>261.36999999999989</v>
      </c>
      <c r="R535">
        <v>44.070000000000007</v>
      </c>
      <c r="S535">
        <v>-5.8025102438094792E-2</v>
      </c>
      <c r="T535">
        <v>-1.150864226344113E-2</v>
      </c>
      <c r="U535">
        <v>-2.9038479664248541E-2</v>
      </c>
      <c r="V535">
        <v>3.5100992799475469E-3</v>
      </c>
      <c r="W535">
        <v>-3.2548578944196077E-2</v>
      </c>
    </row>
    <row r="536" spans="1:23" x14ac:dyDescent="0.25">
      <c r="A536">
        <v>63</v>
      </c>
      <c r="B536" t="s">
        <v>23</v>
      </c>
      <c r="C536" t="s">
        <v>24</v>
      </c>
      <c r="D536">
        <v>272317</v>
      </c>
      <c r="E536">
        <v>265.36999999999989</v>
      </c>
      <c r="F536">
        <v>44.91</v>
      </c>
      <c r="G536">
        <v>265.50268499999987</v>
      </c>
      <c r="H536">
        <v>44.887545000000003</v>
      </c>
      <c r="I536">
        <v>-4.8399074799233324</v>
      </c>
      <c r="J536">
        <v>0.75492710352553605</v>
      </c>
      <c r="K536">
        <v>3.7683234728869128E-2</v>
      </c>
      <c r="L536">
        <v>-0.16809777410944909</v>
      </c>
      <c r="M536" t="s">
        <v>27</v>
      </c>
      <c r="N536">
        <v>3</v>
      </c>
      <c r="O536" t="s">
        <v>26</v>
      </c>
      <c r="P536">
        <v>272320</v>
      </c>
      <c r="Q536">
        <v>265.1099999999999</v>
      </c>
      <c r="R536">
        <v>44.354999999999997</v>
      </c>
      <c r="S536">
        <v>0.49040183287161809</v>
      </c>
      <c r="T536">
        <v>8.3496623601235248E-2</v>
      </c>
      <c r="U536">
        <v>6.599889851881216E-2</v>
      </c>
      <c r="V536">
        <v>3.5100992799475469E-3</v>
      </c>
      <c r="W536">
        <v>6.2488799238864613E-2</v>
      </c>
    </row>
    <row r="537" spans="1:23" x14ac:dyDescent="0.25">
      <c r="A537">
        <v>63</v>
      </c>
      <c r="B537" t="s">
        <v>23</v>
      </c>
      <c r="C537" t="s">
        <v>24</v>
      </c>
      <c r="D537">
        <v>272418</v>
      </c>
      <c r="E537">
        <v>265.01999999999992</v>
      </c>
      <c r="F537">
        <v>44.76</v>
      </c>
      <c r="G537">
        <v>265.15250999999989</v>
      </c>
      <c r="H537">
        <v>44.73762</v>
      </c>
      <c r="I537">
        <v>-4.233743713583741</v>
      </c>
      <c r="J537">
        <v>0.75492710352553605</v>
      </c>
      <c r="K537">
        <v>3.7733001282922063E-2</v>
      </c>
      <c r="L537">
        <v>-0.16866110445163901</v>
      </c>
      <c r="M537" t="s">
        <v>27</v>
      </c>
      <c r="N537">
        <v>18</v>
      </c>
      <c r="O537" t="s">
        <v>26</v>
      </c>
      <c r="P537">
        <v>272436</v>
      </c>
      <c r="Q537">
        <v>264.14499999999998</v>
      </c>
      <c r="R537">
        <v>44.63</v>
      </c>
      <c r="S537">
        <v>-0.48217223428291739</v>
      </c>
      <c r="T537">
        <v>-1.109043254384235E-2</v>
      </c>
      <c r="U537">
        <v>-2.861223241924513E-2</v>
      </c>
      <c r="V537">
        <v>3.5100992799475469E-3</v>
      </c>
      <c r="W537">
        <v>-3.2122331699192673E-2</v>
      </c>
    </row>
    <row r="538" spans="1:23" x14ac:dyDescent="0.25">
      <c r="A538">
        <v>63</v>
      </c>
      <c r="B538" t="s">
        <v>23</v>
      </c>
      <c r="C538" t="s">
        <v>24</v>
      </c>
      <c r="D538">
        <v>272707</v>
      </c>
      <c r="E538">
        <v>262.4899999999999</v>
      </c>
      <c r="F538">
        <v>44.640000000000008</v>
      </c>
      <c r="G538">
        <v>262.62124499999987</v>
      </c>
      <c r="H538">
        <v>44.617680000000007</v>
      </c>
      <c r="I538">
        <v>-4.4646872515954037</v>
      </c>
      <c r="J538">
        <v>0.75492710352553605</v>
      </c>
      <c r="K538">
        <v>3.8096689397691362E-2</v>
      </c>
      <c r="L538">
        <v>-0.16911449451736921</v>
      </c>
      <c r="M538" t="s">
        <v>27</v>
      </c>
      <c r="N538">
        <v>2</v>
      </c>
      <c r="O538" t="s">
        <v>26</v>
      </c>
      <c r="P538">
        <v>272709</v>
      </c>
      <c r="Q538">
        <v>264.12</v>
      </c>
      <c r="R538">
        <v>44.59</v>
      </c>
      <c r="S538">
        <v>-0.30854972927899599</v>
      </c>
      <c r="T538">
        <v>7.0553328444110247E-2</v>
      </c>
      <c r="U538">
        <v>5.2977236469360707E-2</v>
      </c>
      <c r="V538">
        <v>3.5100992799475469E-3</v>
      </c>
      <c r="W538">
        <v>4.9467137189413167E-2</v>
      </c>
    </row>
    <row r="539" spans="1:23" x14ac:dyDescent="0.25">
      <c r="A539">
        <v>63</v>
      </c>
      <c r="B539" t="s">
        <v>23</v>
      </c>
      <c r="C539" t="s">
        <v>24</v>
      </c>
      <c r="D539">
        <v>273305</v>
      </c>
      <c r="E539">
        <v>263.61999999999989</v>
      </c>
      <c r="F539">
        <v>43.830000000000013</v>
      </c>
      <c r="G539">
        <v>263.75180999999992</v>
      </c>
      <c r="H539">
        <v>43.808085000000013</v>
      </c>
      <c r="I539">
        <v>-3.723205177522964</v>
      </c>
      <c r="J539">
        <v>0.75492710352553605</v>
      </c>
      <c r="K539">
        <v>3.7933388968970493E-2</v>
      </c>
      <c r="L539">
        <v>-0.17223981371789551</v>
      </c>
      <c r="M539" t="s">
        <v>27</v>
      </c>
      <c r="N539">
        <v>10</v>
      </c>
      <c r="O539" t="s">
        <v>26</v>
      </c>
      <c r="P539">
        <v>273315</v>
      </c>
      <c r="Q539">
        <v>263.52999999999997</v>
      </c>
      <c r="R539">
        <v>43.74</v>
      </c>
      <c r="S539">
        <v>-0.1110412719815931</v>
      </c>
      <c r="T539">
        <v>1.2087578227404781E-2</v>
      </c>
      <c r="U539">
        <v>-5.4522350137275804E-3</v>
      </c>
      <c r="V539">
        <v>3.5100992799475469E-3</v>
      </c>
      <c r="W539">
        <v>-8.9623342936751265E-3</v>
      </c>
    </row>
    <row r="540" spans="1:23" x14ac:dyDescent="0.25">
      <c r="A540">
        <v>63</v>
      </c>
      <c r="B540" t="s">
        <v>23</v>
      </c>
      <c r="C540" t="s">
        <v>24</v>
      </c>
      <c r="D540">
        <v>273327</v>
      </c>
      <c r="E540">
        <v>262.00499999999988</v>
      </c>
      <c r="F540">
        <v>43.54</v>
      </c>
      <c r="G540">
        <v>262.1360024999999</v>
      </c>
      <c r="H540">
        <v>43.518230000000003</v>
      </c>
      <c r="I540">
        <v>-3.5355077530825358</v>
      </c>
      <c r="J540">
        <v>0.75492710352553605</v>
      </c>
      <c r="K540">
        <v>3.8167210549416998E-2</v>
      </c>
      <c r="L540">
        <v>-0.17338702423645749</v>
      </c>
      <c r="M540" t="s">
        <v>27</v>
      </c>
      <c r="N540">
        <v>4</v>
      </c>
      <c r="O540" t="s">
        <v>26</v>
      </c>
      <c r="P540">
        <v>273331</v>
      </c>
      <c r="Q540">
        <v>261.85500000000008</v>
      </c>
      <c r="R540">
        <v>43.39</v>
      </c>
      <c r="S540">
        <v>5.7833847792638907E-2</v>
      </c>
      <c r="T540">
        <v>2.0282972053061041E-2</v>
      </c>
      <c r="U540">
        <v>2.749567585416939E-3</v>
      </c>
      <c r="V540">
        <v>3.5100992799475469E-3</v>
      </c>
      <c r="W540">
        <v>-7.6053169453060799E-4</v>
      </c>
    </row>
    <row r="541" spans="1:23" x14ac:dyDescent="0.25">
      <c r="A541">
        <v>63</v>
      </c>
      <c r="B541" t="s">
        <v>23</v>
      </c>
      <c r="C541" t="s">
        <v>24</v>
      </c>
      <c r="D541">
        <v>273488</v>
      </c>
      <c r="E541">
        <v>259.77499999999992</v>
      </c>
      <c r="F541">
        <v>42.84</v>
      </c>
      <c r="G541">
        <v>259.90488749999992</v>
      </c>
      <c r="H541">
        <v>42.818579999999997</v>
      </c>
      <c r="I541">
        <v>-4.7932532352369526</v>
      </c>
      <c r="J541">
        <v>0.75492710352553605</v>
      </c>
      <c r="K541">
        <v>3.8494851313636808E-2</v>
      </c>
      <c r="L541">
        <v>-0.1762201455475107</v>
      </c>
      <c r="M541" t="s">
        <v>27</v>
      </c>
      <c r="N541">
        <v>7</v>
      </c>
      <c r="O541" t="s">
        <v>26</v>
      </c>
      <c r="P541">
        <v>273495</v>
      </c>
      <c r="Q541">
        <v>260.29000000000002</v>
      </c>
      <c r="R541">
        <v>42.749999999999993</v>
      </c>
      <c r="S541">
        <v>-1.918067579970879E-2</v>
      </c>
      <c r="T541">
        <v>3.5684661525804628E-2</v>
      </c>
      <c r="U541">
        <v>1.8133407972887289E-2</v>
      </c>
      <c r="V541">
        <v>3.5100992799475469E-3</v>
      </c>
      <c r="W541">
        <v>1.4623308692939751E-2</v>
      </c>
    </row>
    <row r="542" spans="1:23" x14ac:dyDescent="0.25">
      <c r="A542">
        <v>64</v>
      </c>
      <c r="B542" t="s">
        <v>23</v>
      </c>
      <c r="C542" t="s">
        <v>24</v>
      </c>
      <c r="D542">
        <v>273601</v>
      </c>
      <c r="E542">
        <v>261.19</v>
      </c>
      <c r="F542">
        <v>42.98</v>
      </c>
      <c r="G542">
        <v>261.05940500000003</v>
      </c>
      <c r="H542">
        <v>43.001489999999997</v>
      </c>
      <c r="I542">
        <v>5.2942876765733526</v>
      </c>
      <c r="J542">
        <v>0.70234979045046064</v>
      </c>
      <c r="K542">
        <v>-3.8286304988705541E-2</v>
      </c>
      <c r="L542">
        <v>0.16341316669391831</v>
      </c>
      <c r="M542" t="s">
        <v>25</v>
      </c>
      <c r="N542">
        <v>23</v>
      </c>
      <c r="O542" t="s">
        <v>26</v>
      </c>
      <c r="P542">
        <v>273624</v>
      </c>
      <c r="Q542">
        <v>261.44000000000011</v>
      </c>
      <c r="R542">
        <v>43.115000000000002</v>
      </c>
      <c r="S542">
        <v>0.47711646934864199</v>
      </c>
      <c r="T542">
        <v>1.2489201256501241E-2</v>
      </c>
      <c r="U542">
        <v>-4.5501128248775814E-3</v>
      </c>
      <c r="V542">
        <v>3.4044019306913721E-3</v>
      </c>
      <c r="W542">
        <v>-7.954514755568954E-3</v>
      </c>
    </row>
    <row r="543" spans="1:23" x14ac:dyDescent="0.25">
      <c r="A543">
        <v>64</v>
      </c>
      <c r="B543" t="s">
        <v>23</v>
      </c>
      <c r="C543" t="s">
        <v>24</v>
      </c>
      <c r="D543">
        <v>273878</v>
      </c>
      <c r="E543">
        <v>256.81499999999988</v>
      </c>
      <c r="F543">
        <v>42.37</v>
      </c>
      <c r="G543">
        <v>256.94340749999992</v>
      </c>
      <c r="H543">
        <v>42.348815000000002</v>
      </c>
      <c r="I543">
        <v>-3.827503256092184</v>
      </c>
      <c r="J543">
        <v>0.70234979045046064</v>
      </c>
      <c r="K543">
        <v>3.8938535521679037E-2</v>
      </c>
      <c r="L543">
        <v>-0.16576582262224701</v>
      </c>
      <c r="M543" t="s">
        <v>27</v>
      </c>
      <c r="N543">
        <v>4</v>
      </c>
      <c r="O543" t="s">
        <v>26</v>
      </c>
      <c r="P543">
        <v>273882</v>
      </c>
      <c r="Q543">
        <v>258.12000000000012</v>
      </c>
      <c r="R543">
        <v>42.52</v>
      </c>
      <c r="S543">
        <v>-0.22198570162369391</v>
      </c>
      <c r="T543">
        <v>2.594991546245784E-2</v>
      </c>
      <c r="U543">
        <v>8.8885777268312149E-3</v>
      </c>
      <c r="V543">
        <v>3.4049972311104709E-3</v>
      </c>
      <c r="W543">
        <v>5.483580495720744E-3</v>
      </c>
    </row>
    <row r="544" spans="1:23" x14ac:dyDescent="0.25">
      <c r="A544">
        <v>64</v>
      </c>
      <c r="B544" t="s">
        <v>23</v>
      </c>
      <c r="C544" t="s">
        <v>24</v>
      </c>
      <c r="D544">
        <v>274268</v>
      </c>
      <c r="E544">
        <v>262.79000000000002</v>
      </c>
      <c r="F544">
        <v>42.94</v>
      </c>
      <c r="G544">
        <v>262.65860500000002</v>
      </c>
      <c r="H544">
        <v>42.961470000000013</v>
      </c>
      <c r="I544">
        <v>5.1273830373701808</v>
      </c>
      <c r="J544">
        <v>0.70234979045046064</v>
      </c>
      <c r="K544">
        <v>-3.8053198371323108E-2</v>
      </c>
      <c r="L544">
        <v>0.1635653913485004</v>
      </c>
      <c r="M544" t="s">
        <v>25</v>
      </c>
      <c r="N544">
        <v>28</v>
      </c>
      <c r="O544" t="s">
        <v>26</v>
      </c>
      <c r="P544">
        <v>274296</v>
      </c>
      <c r="Q544">
        <v>263.16000000000003</v>
      </c>
      <c r="R544">
        <v>43.169999999999987</v>
      </c>
      <c r="S544">
        <v>0.32640207425658979</v>
      </c>
      <c r="T544">
        <v>2.354035661276585E-2</v>
      </c>
      <c r="U544">
        <v>6.4910088465588711E-3</v>
      </c>
      <c r="V544">
        <v>3.4044019306913721E-3</v>
      </c>
      <c r="W544">
        <v>3.086606915867499E-3</v>
      </c>
    </row>
    <row r="545" spans="1:23" x14ac:dyDescent="0.25">
      <c r="A545">
        <v>64</v>
      </c>
      <c r="B545" t="s">
        <v>23</v>
      </c>
      <c r="C545" t="s">
        <v>24</v>
      </c>
      <c r="D545">
        <v>274658</v>
      </c>
      <c r="E545">
        <v>266.56000000000012</v>
      </c>
      <c r="F545">
        <v>43.82</v>
      </c>
      <c r="G545">
        <v>266.4267200000001</v>
      </c>
      <c r="H545">
        <v>43.841909999999999</v>
      </c>
      <c r="I545">
        <v>4.9169397658752896</v>
      </c>
      <c r="J545">
        <v>0.70234979045046064</v>
      </c>
      <c r="K545">
        <v>-3.7515006002400937E-2</v>
      </c>
      <c r="L545">
        <v>0.16028064592662269</v>
      </c>
      <c r="M545" t="s">
        <v>25</v>
      </c>
      <c r="N545">
        <v>7</v>
      </c>
      <c r="O545" t="s">
        <v>26</v>
      </c>
      <c r="P545">
        <v>274665</v>
      </c>
      <c r="Q545">
        <v>265.58999999999997</v>
      </c>
      <c r="R545">
        <v>43.749999999999993</v>
      </c>
      <c r="S545">
        <v>0.34522760691512722</v>
      </c>
      <c r="T545">
        <v>2.5169910607469429E-2</v>
      </c>
      <c r="U545">
        <v>8.1702173034845782E-3</v>
      </c>
      <c r="V545">
        <v>3.4044019306913721E-3</v>
      </c>
      <c r="W545">
        <v>4.7658153727932057E-3</v>
      </c>
    </row>
    <row r="546" spans="1:23" x14ac:dyDescent="0.25">
      <c r="A546">
        <v>64</v>
      </c>
      <c r="B546" t="s">
        <v>23</v>
      </c>
      <c r="C546" t="s">
        <v>24</v>
      </c>
      <c r="D546">
        <v>274980</v>
      </c>
      <c r="E546">
        <v>263.55500000000012</v>
      </c>
      <c r="F546">
        <v>43.459999999999987</v>
      </c>
      <c r="G546">
        <v>263.68677750000012</v>
      </c>
      <c r="H546">
        <v>43.438270000000003</v>
      </c>
      <c r="I546">
        <v>-4.1048441731488881</v>
      </c>
      <c r="J546">
        <v>0.70234979045046064</v>
      </c>
      <c r="K546">
        <v>3.7942744398702349E-2</v>
      </c>
      <c r="L546">
        <v>-0.16160832730107241</v>
      </c>
      <c r="M546" t="s">
        <v>27</v>
      </c>
      <c r="N546">
        <v>2</v>
      </c>
      <c r="O546" t="s">
        <v>26</v>
      </c>
      <c r="P546">
        <v>274982</v>
      </c>
      <c r="Q546">
        <v>264.00499999999988</v>
      </c>
      <c r="R546">
        <v>43.42</v>
      </c>
      <c r="S546">
        <v>0.15941673097767509</v>
      </c>
      <c r="T546">
        <v>2.3538568071452919E-2</v>
      </c>
      <c r="U546">
        <v>6.5097652160052604E-3</v>
      </c>
      <c r="V546">
        <v>3.4049972311104709E-3</v>
      </c>
      <c r="W546">
        <v>3.1047679848947882E-3</v>
      </c>
    </row>
    <row r="547" spans="1:23" x14ac:dyDescent="0.25">
      <c r="A547">
        <v>64</v>
      </c>
      <c r="B547" t="s">
        <v>23</v>
      </c>
      <c r="C547" t="s">
        <v>24</v>
      </c>
      <c r="D547">
        <v>275049</v>
      </c>
      <c r="E547">
        <v>265.11500000000012</v>
      </c>
      <c r="F547">
        <v>43.470000000000013</v>
      </c>
      <c r="G547">
        <v>264.98244250000022</v>
      </c>
      <c r="H547">
        <v>43.491735000000013</v>
      </c>
      <c r="I547">
        <v>4.6307721801399602</v>
      </c>
      <c r="J547">
        <v>0.70234979045046064</v>
      </c>
      <c r="K547">
        <v>-3.7719480225562471E-2</v>
      </c>
      <c r="L547">
        <v>0.1615711503221671</v>
      </c>
      <c r="M547" t="s">
        <v>25</v>
      </c>
      <c r="N547">
        <v>4</v>
      </c>
      <c r="O547" t="s">
        <v>26</v>
      </c>
      <c r="P547">
        <v>275053</v>
      </c>
      <c r="Q547">
        <v>263.92000000000007</v>
      </c>
      <c r="R547">
        <v>43.36</v>
      </c>
      <c r="S547">
        <v>3.3334191943332453E-2</v>
      </c>
      <c r="T547">
        <v>2.7301952334109598E-2</v>
      </c>
      <c r="U547">
        <v>1.0309878232309871E-2</v>
      </c>
      <c r="V547">
        <v>3.4044019306913721E-3</v>
      </c>
      <c r="W547">
        <v>6.9054763016185017E-3</v>
      </c>
    </row>
    <row r="548" spans="1:23" x14ac:dyDescent="0.25">
      <c r="A548">
        <v>64</v>
      </c>
      <c r="B548" t="s">
        <v>23</v>
      </c>
      <c r="C548" t="s">
        <v>24</v>
      </c>
      <c r="D548">
        <v>275442</v>
      </c>
      <c r="E548">
        <v>263.40000000000009</v>
      </c>
      <c r="F548">
        <v>43.44</v>
      </c>
      <c r="G548">
        <v>263.26830000000012</v>
      </c>
      <c r="H548">
        <v>43.461719999999993</v>
      </c>
      <c r="I548">
        <v>3.721636102200121</v>
      </c>
      <c r="J548">
        <v>0.70234979045046064</v>
      </c>
      <c r="K548">
        <v>-3.7965072133637041E-2</v>
      </c>
      <c r="L548">
        <v>0.16168273260830129</v>
      </c>
      <c r="M548" t="s">
        <v>25</v>
      </c>
      <c r="N548">
        <v>20</v>
      </c>
      <c r="O548" t="s">
        <v>26</v>
      </c>
      <c r="P548">
        <v>275462</v>
      </c>
      <c r="Q548">
        <v>263.29500000000002</v>
      </c>
      <c r="R548">
        <v>43.279999999999987</v>
      </c>
      <c r="S548">
        <v>0.2249619652048846</v>
      </c>
      <c r="T548">
        <v>-2.1882904643291901E-2</v>
      </c>
      <c r="U548">
        <v>-3.8891474762897837E-2</v>
      </c>
      <c r="V548">
        <v>3.4044019306913721E-3</v>
      </c>
      <c r="W548">
        <v>-4.229587669358921E-2</v>
      </c>
    </row>
    <row r="549" spans="1:23" x14ac:dyDescent="0.25">
      <c r="A549">
        <v>64</v>
      </c>
      <c r="B549" t="s">
        <v>23</v>
      </c>
      <c r="C549" t="s">
        <v>24</v>
      </c>
      <c r="D549">
        <v>275729</v>
      </c>
      <c r="E549">
        <v>265.16000000000003</v>
      </c>
      <c r="F549">
        <v>43.67</v>
      </c>
      <c r="G549">
        <v>265.02742000000001</v>
      </c>
      <c r="H549">
        <v>43.691834999999998</v>
      </c>
      <c r="I549">
        <v>3.533510965984517</v>
      </c>
      <c r="J549">
        <v>0.70234979045046064</v>
      </c>
      <c r="K549">
        <v>-3.7713078895761053E-2</v>
      </c>
      <c r="L549">
        <v>0.16083118627214579</v>
      </c>
      <c r="M549" t="s">
        <v>25</v>
      </c>
      <c r="N549">
        <v>17</v>
      </c>
      <c r="O549" t="s">
        <v>26</v>
      </c>
      <c r="P549">
        <v>275746</v>
      </c>
      <c r="Q549">
        <v>264.8</v>
      </c>
      <c r="R549">
        <v>43.595000000000013</v>
      </c>
      <c r="S549">
        <v>0.47704027670538007</v>
      </c>
      <c r="T549">
        <v>1.5143694320621029E-3</v>
      </c>
      <c r="U549">
        <v>-1.549630894875219E-2</v>
      </c>
      <c r="V549">
        <v>3.4044019306913721E-3</v>
      </c>
      <c r="W549">
        <v>-1.8900710879443561E-2</v>
      </c>
    </row>
    <row r="550" spans="1:23" x14ac:dyDescent="0.25">
      <c r="A550">
        <v>64</v>
      </c>
      <c r="B550" t="s">
        <v>23</v>
      </c>
      <c r="C550" t="s">
        <v>24</v>
      </c>
      <c r="D550">
        <v>275836</v>
      </c>
      <c r="E550">
        <v>263.87</v>
      </c>
      <c r="F550">
        <v>43.25500000000001</v>
      </c>
      <c r="G550">
        <v>263.73806500000001</v>
      </c>
      <c r="H550">
        <v>43.276627500000011</v>
      </c>
      <c r="I550">
        <v>4.0169788943480507</v>
      </c>
      <c r="J550">
        <v>0.70234979045046064</v>
      </c>
      <c r="K550">
        <v>-3.7897449501648528E-2</v>
      </c>
      <c r="L550">
        <v>0.1623742435442054</v>
      </c>
      <c r="M550" t="s">
        <v>25</v>
      </c>
      <c r="N550">
        <v>22</v>
      </c>
      <c r="O550" t="s">
        <v>26</v>
      </c>
      <c r="P550">
        <v>275858</v>
      </c>
      <c r="Q550">
        <v>262.1400000000001</v>
      </c>
      <c r="R550">
        <v>42.93</v>
      </c>
      <c r="S550">
        <v>-0.22950183625704529</v>
      </c>
      <c r="T550">
        <v>1.279095848597998E-2</v>
      </c>
      <c r="U550">
        <v>-4.1733723101284453E-3</v>
      </c>
      <c r="V550">
        <v>3.4044019306913721E-3</v>
      </c>
      <c r="W550">
        <v>-7.5777742408198179E-3</v>
      </c>
    </row>
    <row r="551" spans="1:23" x14ac:dyDescent="0.25">
      <c r="A551">
        <v>64</v>
      </c>
      <c r="B551" t="s">
        <v>23</v>
      </c>
      <c r="C551" t="s">
        <v>24</v>
      </c>
      <c r="D551">
        <v>276219</v>
      </c>
      <c r="E551">
        <v>264.5200000000001</v>
      </c>
      <c r="F551">
        <v>43.58</v>
      </c>
      <c r="G551">
        <v>264.65226000000013</v>
      </c>
      <c r="H551">
        <v>43.558210000000003</v>
      </c>
      <c r="I551">
        <v>-3.5050369774472299</v>
      </c>
      <c r="J551">
        <v>0.70234979045046064</v>
      </c>
      <c r="K551">
        <v>3.7804324814758802E-2</v>
      </c>
      <c r="L551">
        <v>-0.16116332961231311</v>
      </c>
      <c r="M551" t="s">
        <v>27</v>
      </c>
      <c r="N551">
        <v>7</v>
      </c>
      <c r="O551" t="s">
        <v>26</v>
      </c>
      <c r="P551">
        <v>276226</v>
      </c>
      <c r="Q551">
        <v>264.72000000000008</v>
      </c>
      <c r="R551">
        <v>43.570000000000007</v>
      </c>
      <c r="S551">
        <v>-1.5969764247754799E-3</v>
      </c>
      <c r="T551">
        <v>9.1724982590751444E-3</v>
      </c>
      <c r="U551">
        <v>-7.853974261260473E-3</v>
      </c>
      <c r="V551">
        <v>3.4049972311104709E-3</v>
      </c>
      <c r="W551">
        <v>-1.125897149237094E-2</v>
      </c>
    </row>
    <row r="552" spans="1:23" x14ac:dyDescent="0.25">
      <c r="A552">
        <v>64</v>
      </c>
      <c r="B552" t="s">
        <v>23</v>
      </c>
      <c r="C552" t="s">
        <v>24</v>
      </c>
      <c r="D552">
        <v>276365</v>
      </c>
      <c r="E552">
        <v>265.33</v>
      </c>
      <c r="F552">
        <v>44.219999999999992</v>
      </c>
      <c r="G552">
        <v>265.46266500000002</v>
      </c>
      <c r="H552">
        <v>44.197889999999987</v>
      </c>
      <c r="I552">
        <v>-3.5198286707194169</v>
      </c>
      <c r="J552">
        <v>0.70234979045046064</v>
      </c>
      <c r="K552">
        <v>3.7688915689895602E-2</v>
      </c>
      <c r="L552">
        <v>-0.15883079838318881</v>
      </c>
      <c r="M552" t="s">
        <v>27</v>
      </c>
      <c r="N552">
        <v>3</v>
      </c>
      <c r="O552" t="s">
        <v>26</v>
      </c>
      <c r="P552">
        <v>276368</v>
      </c>
      <c r="Q552">
        <v>265.45999999999998</v>
      </c>
      <c r="R552">
        <v>44.19</v>
      </c>
      <c r="S552">
        <v>-0.45235267897479342</v>
      </c>
      <c r="T552">
        <v>9.6644829911788285E-3</v>
      </c>
      <c r="U552">
        <v>-7.3590822308678833E-3</v>
      </c>
      <c r="V552">
        <v>3.4049972311104709E-3</v>
      </c>
      <c r="W552">
        <v>-1.0764079461978351E-2</v>
      </c>
    </row>
    <row r="553" spans="1:23" x14ac:dyDescent="0.25">
      <c r="A553">
        <v>64</v>
      </c>
      <c r="B553" t="s">
        <v>23</v>
      </c>
      <c r="C553" t="s">
        <v>24</v>
      </c>
      <c r="D553">
        <v>276617</v>
      </c>
      <c r="E553">
        <v>265.39999999999992</v>
      </c>
      <c r="F553">
        <v>44.424999999999997</v>
      </c>
      <c r="G553">
        <v>265.53269999999992</v>
      </c>
      <c r="H553">
        <v>44.402787500000009</v>
      </c>
      <c r="I553">
        <v>-4.4178741901240208</v>
      </c>
      <c r="J553">
        <v>0.70234979045046064</v>
      </c>
      <c r="K553">
        <v>3.767897513187643E-2</v>
      </c>
      <c r="L553">
        <v>-0.15809787066977171</v>
      </c>
      <c r="M553" t="s">
        <v>27</v>
      </c>
      <c r="N553">
        <v>36</v>
      </c>
      <c r="O553" t="s">
        <v>26</v>
      </c>
      <c r="P553">
        <v>276653</v>
      </c>
      <c r="Q553">
        <v>265.44000000000011</v>
      </c>
      <c r="R553">
        <v>44.435000000000009</v>
      </c>
      <c r="S553">
        <v>0.25119703774117969</v>
      </c>
      <c r="T553">
        <v>-7.3819701414130044E-5</v>
      </c>
      <c r="U553">
        <v>-1.7098861674773581E-2</v>
      </c>
      <c r="V553">
        <v>3.4049972311104709E-3</v>
      </c>
      <c r="W553">
        <v>-2.0503858905884052E-2</v>
      </c>
    </row>
    <row r="554" spans="1:23" x14ac:dyDescent="0.25">
      <c r="A554">
        <v>64</v>
      </c>
      <c r="B554" t="s">
        <v>23</v>
      </c>
      <c r="C554" t="s">
        <v>24</v>
      </c>
      <c r="D554">
        <v>277016</v>
      </c>
      <c r="E554">
        <v>262.36999999999989</v>
      </c>
      <c r="F554">
        <v>43.610000000000007</v>
      </c>
      <c r="G554">
        <v>262.50118499999991</v>
      </c>
      <c r="H554">
        <v>43.588195000000013</v>
      </c>
      <c r="I554">
        <v>-3.574441666842036</v>
      </c>
      <c r="J554">
        <v>0.70234979045046064</v>
      </c>
      <c r="K554">
        <v>3.811411365628694E-2</v>
      </c>
      <c r="L554">
        <v>-0.16105246284119709</v>
      </c>
      <c r="M554" t="s">
        <v>27</v>
      </c>
      <c r="N554">
        <v>28</v>
      </c>
      <c r="O554" t="s">
        <v>26</v>
      </c>
      <c r="P554">
        <v>277044</v>
      </c>
      <c r="Q554">
        <v>261.83</v>
      </c>
      <c r="R554">
        <v>43.68</v>
      </c>
      <c r="S554">
        <v>-0.40922610859919822</v>
      </c>
      <c r="T554">
        <v>-3.1855293773271932E-2</v>
      </c>
      <c r="U554">
        <v>-4.8874137703285338E-2</v>
      </c>
      <c r="V554">
        <v>3.4049972311104701E-3</v>
      </c>
      <c r="W554">
        <v>-5.2279134934395823E-2</v>
      </c>
    </row>
    <row r="555" spans="1:23" x14ac:dyDescent="0.25">
      <c r="A555">
        <v>64</v>
      </c>
      <c r="B555" t="s">
        <v>23</v>
      </c>
      <c r="C555" t="s">
        <v>24</v>
      </c>
      <c r="D555">
        <v>277203</v>
      </c>
      <c r="E555">
        <v>262.54000000000002</v>
      </c>
      <c r="F555">
        <v>43.9</v>
      </c>
      <c r="G555">
        <v>262.67126999999999</v>
      </c>
      <c r="H555">
        <v>43.878050000000002</v>
      </c>
      <c r="I555">
        <v>-4.0458833090369248</v>
      </c>
      <c r="J555">
        <v>0.70234979045046064</v>
      </c>
      <c r="K555">
        <v>3.808943399101089E-2</v>
      </c>
      <c r="L555">
        <v>-0.15998856274497961</v>
      </c>
      <c r="M555" t="s">
        <v>27</v>
      </c>
      <c r="N555">
        <v>4</v>
      </c>
      <c r="O555" t="s">
        <v>26</v>
      </c>
      <c r="P555">
        <v>277207</v>
      </c>
      <c r="Q555">
        <v>262.49999999999989</v>
      </c>
      <c r="R555">
        <v>43.78</v>
      </c>
      <c r="S555">
        <v>-9.4673967352053343E-2</v>
      </c>
      <c r="T555">
        <v>1.7675050169753771E-2</v>
      </c>
      <c r="U555">
        <v>6.6191336769669609E-4</v>
      </c>
      <c r="V555">
        <v>3.4049972311104701E-3</v>
      </c>
      <c r="W555">
        <v>-2.743083863413774E-3</v>
      </c>
    </row>
    <row r="556" spans="1:23" x14ac:dyDescent="0.25">
      <c r="A556">
        <v>65</v>
      </c>
      <c r="B556" t="s">
        <v>33</v>
      </c>
      <c r="C556" t="s">
        <v>24</v>
      </c>
      <c r="D556">
        <v>277501</v>
      </c>
      <c r="E556">
        <v>44.94</v>
      </c>
      <c r="F556">
        <v>44.635000000000012</v>
      </c>
      <c r="G556">
        <v>44.962470000000003</v>
      </c>
      <c r="H556">
        <v>44.612682500000012</v>
      </c>
      <c r="I556">
        <v>-5.294649058731002</v>
      </c>
      <c r="J556">
        <v>1.2234172625709001</v>
      </c>
      <c r="K556">
        <v>0.22251891410769911</v>
      </c>
      <c r="L556">
        <v>-0.27409370730836791</v>
      </c>
      <c r="M556" t="s">
        <v>27</v>
      </c>
      <c r="N556">
        <v>23</v>
      </c>
      <c r="O556" t="s">
        <v>26</v>
      </c>
      <c r="P556">
        <v>277524</v>
      </c>
      <c r="Q556">
        <v>44.82</v>
      </c>
      <c r="R556">
        <v>44.500000000000007</v>
      </c>
      <c r="S556">
        <v>-0.4914273851829154</v>
      </c>
      <c r="T556">
        <v>1.030038079370421E-2</v>
      </c>
      <c r="U556">
        <v>-1.1901939371914669E-2</v>
      </c>
      <c r="V556">
        <v>4.4466111078792286E-3</v>
      </c>
      <c r="W556">
        <v>-1.6348550479793899E-2</v>
      </c>
    </row>
    <row r="557" spans="1:23" x14ac:dyDescent="0.25">
      <c r="A557">
        <v>65</v>
      </c>
      <c r="B557" t="s">
        <v>33</v>
      </c>
      <c r="C557" t="s">
        <v>24</v>
      </c>
      <c r="D557">
        <v>277786</v>
      </c>
      <c r="E557">
        <v>45.030000000000008</v>
      </c>
      <c r="F557">
        <v>45.009999999999991</v>
      </c>
      <c r="G557">
        <v>45.052515000000007</v>
      </c>
      <c r="H557">
        <v>44.987495000000003</v>
      </c>
      <c r="I557">
        <v>-4.5395355934824293</v>
      </c>
      <c r="J557">
        <v>1.2234172625709001</v>
      </c>
      <c r="K557">
        <v>0.22207417277370639</v>
      </c>
      <c r="L557">
        <v>-0.27181010054896698</v>
      </c>
      <c r="M557" t="s">
        <v>27</v>
      </c>
      <c r="N557">
        <v>13</v>
      </c>
      <c r="O557" t="s">
        <v>26</v>
      </c>
      <c r="P557">
        <v>277799</v>
      </c>
      <c r="Q557">
        <v>45.23</v>
      </c>
      <c r="R557">
        <v>45.08</v>
      </c>
      <c r="S557">
        <v>-0.46564361606218913</v>
      </c>
      <c r="T557">
        <v>2.5388127516309051E-2</v>
      </c>
      <c r="U557">
        <v>3.1222341198064159E-3</v>
      </c>
      <c r="V557">
        <v>4.4466111078792303E-3</v>
      </c>
      <c r="W557">
        <v>-1.324376988072814E-3</v>
      </c>
    </row>
    <row r="558" spans="1:23" x14ac:dyDescent="0.25">
      <c r="A558">
        <v>65</v>
      </c>
      <c r="B558" t="s">
        <v>33</v>
      </c>
      <c r="C558" t="s">
        <v>24</v>
      </c>
      <c r="D558">
        <v>278566</v>
      </c>
      <c r="E558">
        <v>45.110000000000007</v>
      </c>
      <c r="F558">
        <v>44.9</v>
      </c>
      <c r="G558">
        <v>45.08744500000001</v>
      </c>
      <c r="H558">
        <v>44.922449999999998</v>
      </c>
      <c r="I558">
        <v>4.2181080524966736</v>
      </c>
      <c r="J558">
        <v>1.2234172625709001</v>
      </c>
      <c r="K558">
        <v>-0.2216803369541121</v>
      </c>
      <c r="L558">
        <v>0.27247600502692659</v>
      </c>
      <c r="M558" t="s">
        <v>25</v>
      </c>
      <c r="N558">
        <v>22</v>
      </c>
      <c r="O558" t="s">
        <v>26</v>
      </c>
      <c r="P558">
        <v>278588</v>
      </c>
      <c r="Q558">
        <v>45.31</v>
      </c>
      <c r="R558">
        <v>44.93</v>
      </c>
      <c r="S558">
        <v>0.13436887880367521</v>
      </c>
      <c r="T558">
        <v>-3.6161787240013371E-2</v>
      </c>
      <c r="U558">
        <v>-5.8422215039491507E-2</v>
      </c>
      <c r="V558">
        <v>4.4470579424043723E-3</v>
      </c>
      <c r="W558">
        <v>-6.2869272981895888E-2</v>
      </c>
    </row>
    <row r="559" spans="1:23" x14ac:dyDescent="0.25">
      <c r="A559">
        <v>65</v>
      </c>
      <c r="B559" t="s">
        <v>33</v>
      </c>
      <c r="C559" t="s">
        <v>24</v>
      </c>
      <c r="D559">
        <v>279346</v>
      </c>
      <c r="E559">
        <v>44.064999999999998</v>
      </c>
      <c r="F559">
        <v>43.790000000000013</v>
      </c>
      <c r="G559">
        <v>44.087032499999999</v>
      </c>
      <c r="H559">
        <v>43.768105000000013</v>
      </c>
      <c r="I559">
        <v>-3.846875330246045</v>
      </c>
      <c r="J559">
        <v>1.2234172625709001</v>
      </c>
      <c r="K559">
        <v>0.22693747872461131</v>
      </c>
      <c r="L559">
        <v>-0.2793827957458096</v>
      </c>
      <c r="M559" t="s">
        <v>27</v>
      </c>
      <c r="N559">
        <v>8</v>
      </c>
      <c r="O559" t="s">
        <v>26</v>
      </c>
      <c r="P559">
        <v>279354</v>
      </c>
      <c r="Q559">
        <v>43.914999999999999</v>
      </c>
      <c r="R559">
        <v>43.534999999999997</v>
      </c>
      <c r="S559">
        <v>0.35369117559024521</v>
      </c>
      <c r="T559">
        <v>3.7201991106489168E-2</v>
      </c>
      <c r="U559">
        <v>1.502046009814453E-2</v>
      </c>
      <c r="V559">
        <v>4.4466111078792286E-3</v>
      </c>
      <c r="W559">
        <v>1.0573848990265301E-2</v>
      </c>
    </row>
    <row r="560" spans="1:23" x14ac:dyDescent="0.25">
      <c r="A560">
        <v>65</v>
      </c>
      <c r="B560" t="s">
        <v>33</v>
      </c>
      <c r="C560" t="s">
        <v>24</v>
      </c>
      <c r="D560">
        <v>279736</v>
      </c>
      <c r="E560">
        <v>44.624999999999993</v>
      </c>
      <c r="F560">
        <v>42.98</v>
      </c>
      <c r="G560">
        <v>44.602687499999988</v>
      </c>
      <c r="H560">
        <v>43.001489999999997</v>
      </c>
      <c r="I560">
        <v>5.1416866252649571</v>
      </c>
      <c r="J560">
        <v>1.2234172625709001</v>
      </c>
      <c r="K560">
        <v>-0.2240896358543418</v>
      </c>
      <c r="L560">
        <v>0.28464803689411372</v>
      </c>
      <c r="M560" t="s">
        <v>25</v>
      </c>
      <c r="N560">
        <v>2</v>
      </c>
      <c r="O560" t="s">
        <v>26</v>
      </c>
      <c r="P560">
        <v>279738</v>
      </c>
      <c r="Q560">
        <v>44.655000000000001</v>
      </c>
      <c r="R560">
        <v>43.395000000000003</v>
      </c>
      <c r="S560">
        <v>4.8011151525065493E-2</v>
      </c>
      <c r="T560">
        <v>0.1114062462354268</v>
      </c>
      <c r="U560">
        <v>8.9109647797527322E-2</v>
      </c>
      <c r="V560">
        <v>4.4470579424043723E-3</v>
      </c>
      <c r="W560">
        <v>8.4662589855122955E-2</v>
      </c>
    </row>
    <row r="561" spans="1:23" x14ac:dyDescent="0.25">
      <c r="A561">
        <v>65</v>
      </c>
      <c r="B561" t="s">
        <v>33</v>
      </c>
      <c r="C561" t="s">
        <v>24</v>
      </c>
      <c r="D561">
        <v>280057</v>
      </c>
      <c r="E561">
        <v>44.539999999999992</v>
      </c>
      <c r="F561">
        <v>43.250000000000007</v>
      </c>
      <c r="G561">
        <v>44.562269999999991</v>
      </c>
      <c r="H561">
        <v>43.228375000000007</v>
      </c>
      <c r="I561">
        <v>-3.8294451871837949</v>
      </c>
      <c r="J561">
        <v>1.2234172625709001</v>
      </c>
      <c r="K561">
        <v>0.22451728783116301</v>
      </c>
      <c r="L561">
        <v>-0.28287104336899432</v>
      </c>
      <c r="M561" t="s">
        <v>27</v>
      </c>
      <c r="N561">
        <v>28</v>
      </c>
      <c r="O561" t="s">
        <v>26</v>
      </c>
      <c r="P561">
        <v>280085</v>
      </c>
      <c r="Q561">
        <v>44.47</v>
      </c>
      <c r="R561">
        <v>43.215000000000003</v>
      </c>
      <c r="S561">
        <v>-0.45516569694018688</v>
      </c>
      <c r="T561">
        <v>-5.8157236302620284E-3</v>
      </c>
      <c r="U561">
        <v>-2.803708790763515E-2</v>
      </c>
      <c r="V561">
        <v>4.4466111078792286E-3</v>
      </c>
      <c r="W561">
        <v>-3.2483699015514372E-2</v>
      </c>
    </row>
    <row r="562" spans="1:23" x14ac:dyDescent="0.25">
      <c r="A562">
        <v>65</v>
      </c>
      <c r="B562" t="s">
        <v>33</v>
      </c>
      <c r="C562" t="s">
        <v>24</v>
      </c>
      <c r="D562">
        <v>280126</v>
      </c>
      <c r="E562">
        <v>44.16</v>
      </c>
      <c r="F562">
        <v>42.795000000000002</v>
      </c>
      <c r="G562">
        <v>44.137920000000001</v>
      </c>
      <c r="H562">
        <v>42.816397500000001</v>
      </c>
      <c r="I562">
        <v>4.6147402768621761</v>
      </c>
      <c r="J562">
        <v>1.2234172625709001</v>
      </c>
      <c r="K562">
        <v>-0.22644927536231879</v>
      </c>
      <c r="L562">
        <v>0.28587855183336852</v>
      </c>
      <c r="M562" t="s">
        <v>25</v>
      </c>
      <c r="N562">
        <v>13</v>
      </c>
      <c r="O562" t="s">
        <v>26</v>
      </c>
      <c r="P562">
        <v>280139</v>
      </c>
      <c r="Q562">
        <v>44.424999999999997</v>
      </c>
      <c r="R562">
        <v>43.079999999999991</v>
      </c>
      <c r="S562">
        <v>0.45868050477453931</v>
      </c>
      <c r="T562">
        <v>2.146632930149078E-2</v>
      </c>
      <c r="U562">
        <v>-8.385855468359682E-4</v>
      </c>
      <c r="V562">
        <v>4.4470579424043723E-3</v>
      </c>
      <c r="W562">
        <v>-5.2856434892403414E-3</v>
      </c>
    </row>
    <row r="563" spans="1:23" x14ac:dyDescent="0.25">
      <c r="A563">
        <v>65</v>
      </c>
      <c r="B563" t="s">
        <v>33</v>
      </c>
      <c r="C563" t="s">
        <v>24</v>
      </c>
      <c r="D563">
        <v>280516</v>
      </c>
      <c r="E563">
        <v>44.24</v>
      </c>
      <c r="F563">
        <v>42.609999999999992</v>
      </c>
      <c r="G563">
        <v>44.217880000000001</v>
      </c>
      <c r="H563">
        <v>42.63130499999999</v>
      </c>
      <c r="I563">
        <v>3.699810685165259</v>
      </c>
      <c r="J563">
        <v>1.2234172625709001</v>
      </c>
      <c r="K563">
        <v>-0.2260397830018083</v>
      </c>
      <c r="L563">
        <v>0.28711975183546129</v>
      </c>
      <c r="M563" t="s">
        <v>25</v>
      </c>
      <c r="N563">
        <v>20</v>
      </c>
      <c r="O563" t="s">
        <v>26</v>
      </c>
      <c r="P563">
        <v>280536</v>
      </c>
      <c r="Q563">
        <v>44.73</v>
      </c>
      <c r="R563">
        <v>42.984999999999992</v>
      </c>
      <c r="S563">
        <v>0.1986542128433739</v>
      </c>
      <c r="T563">
        <v>-3.089586732586927E-3</v>
      </c>
      <c r="U563">
        <v>-2.543297405860059E-2</v>
      </c>
      <c r="V563">
        <v>4.4470579424043706E-3</v>
      </c>
      <c r="W563">
        <v>-2.9880032001004961E-2</v>
      </c>
    </row>
    <row r="564" spans="1:23" x14ac:dyDescent="0.25">
      <c r="A564">
        <v>65</v>
      </c>
      <c r="B564" t="s">
        <v>33</v>
      </c>
      <c r="C564" t="s">
        <v>24</v>
      </c>
      <c r="D564">
        <v>280906</v>
      </c>
      <c r="E564">
        <v>45.05</v>
      </c>
      <c r="F564">
        <v>43.44</v>
      </c>
      <c r="G564">
        <v>45.072524999999992</v>
      </c>
      <c r="H564">
        <v>43.418280000000003</v>
      </c>
      <c r="I564">
        <v>-4.5254986502966856</v>
      </c>
      <c r="J564">
        <v>1.2234172625709001</v>
      </c>
      <c r="K564">
        <v>0.22197558268590459</v>
      </c>
      <c r="L564">
        <v>-0.28163380814247252</v>
      </c>
      <c r="M564" t="s">
        <v>27</v>
      </c>
      <c r="N564">
        <v>12</v>
      </c>
      <c r="O564" t="s">
        <v>26</v>
      </c>
      <c r="P564">
        <v>280918</v>
      </c>
      <c r="Q564">
        <v>45.54</v>
      </c>
      <c r="R564">
        <v>43.534999999999997</v>
      </c>
      <c r="S564">
        <v>0.4431524745490642</v>
      </c>
      <c r="T564">
        <v>8.2012823742557112E-2</v>
      </c>
      <c r="U564">
        <v>5.9710889493208442E-2</v>
      </c>
      <c r="V564">
        <v>4.4466111078792286E-3</v>
      </c>
      <c r="W564">
        <v>5.5264278385329213E-2</v>
      </c>
    </row>
    <row r="565" spans="1:23" x14ac:dyDescent="0.25">
      <c r="A565">
        <v>66</v>
      </c>
      <c r="B565" t="s">
        <v>24</v>
      </c>
      <c r="C565" t="s">
        <v>28</v>
      </c>
      <c r="D565">
        <v>281401</v>
      </c>
      <c r="E565">
        <v>43.38</v>
      </c>
      <c r="F565">
        <v>40.474999999999987</v>
      </c>
      <c r="G565">
        <v>43.358310000000003</v>
      </c>
      <c r="H565">
        <v>40.495237499999988</v>
      </c>
      <c r="I565">
        <v>5.2945637781250356</v>
      </c>
      <c r="J565">
        <v>1.103386362405343</v>
      </c>
      <c r="K565">
        <v>-0.2305209774089442</v>
      </c>
      <c r="L565">
        <v>0.27260935451645302</v>
      </c>
      <c r="M565" t="s">
        <v>25</v>
      </c>
      <c r="N565">
        <v>23</v>
      </c>
      <c r="O565" t="s">
        <v>26</v>
      </c>
      <c r="P565">
        <v>281424</v>
      </c>
      <c r="Q565">
        <v>43.4</v>
      </c>
      <c r="R565">
        <v>40.50500000000001</v>
      </c>
      <c r="S565">
        <v>0.49039468338670889</v>
      </c>
      <c r="T565">
        <v>3.5678610873198049E-3</v>
      </c>
      <c r="U565">
        <v>-1.74723968868239E-2</v>
      </c>
      <c r="V565">
        <v>4.2068761111730916E-3</v>
      </c>
      <c r="W565">
        <v>-2.167927299799699E-2</v>
      </c>
    </row>
    <row r="566" spans="1:23" x14ac:dyDescent="0.25">
      <c r="A566">
        <v>66</v>
      </c>
      <c r="B566" t="s">
        <v>24</v>
      </c>
      <c r="C566" t="s">
        <v>28</v>
      </c>
      <c r="D566">
        <v>281487</v>
      </c>
      <c r="E566">
        <v>43.039999999999992</v>
      </c>
      <c r="F566">
        <v>40.020000000000003</v>
      </c>
      <c r="G566">
        <v>43.018479999999997</v>
      </c>
      <c r="H566">
        <v>40.040010000000002</v>
      </c>
      <c r="I566">
        <v>3.5043906621465881</v>
      </c>
      <c r="J566">
        <v>1.103386362405343</v>
      </c>
      <c r="K566">
        <v>-0.23234200743494429</v>
      </c>
      <c r="L566">
        <v>0.27570873623321918</v>
      </c>
      <c r="M566" t="s">
        <v>25</v>
      </c>
      <c r="N566">
        <v>1</v>
      </c>
      <c r="O566" t="s">
        <v>26</v>
      </c>
      <c r="P566">
        <v>281488</v>
      </c>
      <c r="Q566">
        <v>43.090000000000011</v>
      </c>
      <c r="R566">
        <v>40.150000000000013</v>
      </c>
      <c r="S566">
        <v>0.22414385990855651</v>
      </c>
      <c r="T566">
        <v>2.422503533856769E-2</v>
      </c>
      <c r="U566">
        <v>3.1674420964758372E-3</v>
      </c>
      <c r="V566">
        <v>4.2068761111730916E-3</v>
      </c>
      <c r="W566">
        <v>-1.039434014697255E-3</v>
      </c>
    </row>
    <row r="567" spans="1:23" x14ac:dyDescent="0.25">
      <c r="A567">
        <v>66</v>
      </c>
      <c r="B567" t="s">
        <v>24</v>
      </c>
      <c r="C567" t="s">
        <v>28</v>
      </c>
      <c r="D567">
        <v>281546</v>
      </c>
      <c r="E567">
        <v>43.720000000000013</v>
      </c>
      <c r="F567">
        <v>40.625</v>
      </c>
      <c r="G567">
        <v>43.698140000000009</v>
      </c>
      <c r="H567">
        <v>40.645312500000003</v>
      </c>
      <c r="I567">
        <v>3.5481279888316002</v>
      </c>
      <c r="J567">
        <v>1.103386362405343</v>
      </c>
      <c r="K567">
        <v>-0.22872827081427261</v>
      </c>
      <c r="L567">
        <v>0.27160279689977679</v>
      </c>
      <c r="M567" t="s">
        <v>25</v>
      </c>
      <c r="N567">
        <v>8</v>
      </c>
      <c r="O567" t="s">
        <v>26</v>
      </c>
      <c r="P567">
        <v>281554</v>
      </c>
      <c r="Q567">
        <v>43.74</v>
      </c>
      <c r="R567">
        <v>40.689999999999991</v>
      </c>
      <c r="S567">
        <v>0.3570775434156811</v>
      </c>
      <c r="T567">
        <v>1.30796163821984E-2</v>
      </c>
      <c r="U567">
        <v>-7.9653616154601696E-3</v>
      </c>
      <c r="V567">
        <v>4.2068761111730916E-3</v>
      </c>
      <c r="W567">
        <v>-1.2172237726633259E-2</v>
      </c>
    </row>
    <row r="568" spans="1:23" x14ac:dyDescent="0.25">
      <c r="A568">
        <v>66</v>
      </c>
      <c r="B568" t="s">
        <v>24</v>
      </c>
      <c r="C568" t="s">
        <v>28</v>
      </c>
      <c r="D568">
        <v>282348</v>
      </c>
      <c r="E568">
        <v>44.78</v>
      </c>
      <c r="F568">
        <v>41.435000000000002</v>
      </c>
      <c r="G568">
        <v>44.802390000000003</v>
      </c>
      <c r="H568">
        <v>41.414282500000013</v>
      </c>
      <c r="I568">
        <v>-3.6187998210577002</v>
      </c>
      <c r="J568">
        <v>1.103386362405343</v>
      </c>
      <c r="K568">
        <v>0.22331397945511389</v>
      </c>
      <c r="L568">
        <v>-0.26629331782438598</v>
      </c>
      <c r="M568" t="s">
        <v>27</v>
      </c>
      <c r="N568">
        <v>9</v>
      </c>
      <c r="O568" t="s">
        <v>26</v>
      </c>
      <c r="P568">
        <v>282357</v>
      </c>
      <c r="Q568">
        <v>44.775000000000013</v>
      </c>
      <c r="R568">
        <v>41.41</v>
      </c>
      <c r="S568">
        <v>-0.12290811711510061</v>
      </c>
      <c r="T568">
        <v>5.5407630483366097E-3</v>
      </c>
      <c r="U568">
        <v>-1.548921362429318E-2</v>
      </c>
      <c r="V568">
        <v>4.2066693384482821E-3</v>
      </c>
      <c r="W568">
        <v>-1.9695882962741471E-2</v>
      </c>
    </row>
    <row r="569" spans="1:23" x14ac:dyDescent="0.25">
      <c r="A569">
        <v>66</v>
      </c>
      <c r="B569" t="s">
        <v>24</v>
      </c>
      <c r="C569" t="s">
        <v>28</v>
      </c>
      <c r="D569">
        <v>282859</v>
      </c>
      <c r="E569">
        <v>45.659999999999989</v>
      </c>
      <c r="F569">
        <v>42.71</v>
      </c>
      <c r="G569">
        <v>45.682829999999989</v>
      </c>
      <c r="H569">
        <v>42.688645000000001</v>
      </c>
      <c r="I569">
        <v>-4.3384682789267552</v>
      </c>
      <c r="J569">
        <v>1.103386362405343</v>
      </c>
      <c r="K569">
        <v>0.21901007446342541</v>
      </c>
      <c r="L569">
        <v>-0.25834379826863568</v>
      </c>
      <c r="M569" t="s">
        <v>27</v>
      </c>
      <c r="N569">
        <v>21</v>
      </c>
      <c r="O569" t="s">
        <v>26</v>
      </c>
      <c r="P569">
        <v>282880</v>
      </c>
      <c r="Q569">
        <v>45.665000000000013</v>
      </c>
      <c r="R569">
        <v>42.679999999999993</v>
      </c>
      <c r="S569">
        <v>-0.19151156748120149</v>
      </c>
      <c r="T569">
        <v>8.8453643203820001E-3</v>
      </c>
      <c r="U569">
        <v>-1.218517167188197E-2</v>
      </c>
      <c r="V569">
        <v>4.2066693384482821E-3</v>
      </c>
      <c r="W569">
        <v>-1.6391841010330251E-2</v>
      </c>
    </row>
    <row r="570" spans="1:23" x14ac:dyDescent="0.25">
      <c r="A570">
        <v>66</v>
      </c>
      <c r="B570" t="s">
        <v>24</v>
      </c>
      <c r="C570" t="s">
        <v>28</v>
      </c>
      <c r="D570">
        <v>282948</v>
      </c>
      <c r="E570">
        <v>46.084999999999987</v>
      </c>
      <c r="F570">
        <v>42.889999999999993</v>
      </c>
      <c r="G570">
        <v>46.061957499999998</v>
      </c>
      <c r="H570">
        <v>42.911444999999993</v>
      </c>
      <c r="I570">
        <v>3.556123779274849</v>
      </c>
      <c r="J570">
        <v>1.103386362405343</v>
      </c>
      <c r="K570">
        <v>-0.21699034392969521</v>
      </c>
      <c r="L570">
        <v>0.25725958554566181</v>
      </c>
      <c r="M570" t="s">
        <v>25</v>
      </c>
      <c r="N570">
        <v>14</v>
      </c>
      <c r="O570" t="s">
        <v>26</v>
      </c>
      <c r="P570">
        <v>282962</v>
      </c>
      <c r="Q570">
        <v>46.03</v>
      </c>
      <c r="R570">
        <v>42.87</v>
      </c>
      <c r="S570">
        <v>0.37977255602328908</v>
      </c>
      <c r="T570">
        <v>6.7892772052194194E-3</v>
      </c>
      <c r="U570">
        <v>-1.423604658851885E-2</v>
      </c>
      <c r="V570">
        <v>4.2068761111730916E-3</v>
      </c>
      <c r="W570">
        <v>-1.844292269969194E-2</v>
      </c>
    </row>
    <row r="571" spans="1:23" x14ac:dyDescent="0.25">
      <c r="A571">
        <v>66</v>
      </c>
      <c r="B571" t="s">
        <v>24</v>
      </c>
      <c r="C571" t="s">
        <v>28</v>
      </c>
      <c r="D571">
        <v>283019</v>
      </c>
      <c r="E571">
        <v>45.88</v>
      </c>
      <c r="F571">
        <v>42.8</v>
      </c>
      <c r="G571">
        <v>45.857059999999997</v>
      </c>
      <c r="H571">
        <v>42.821399999999997</v>
      </c>
      <c r="I571">
        <v>3.9695605429452181</v>
      </c>
      <c r="J571">
        <v>1.103386362405343</v>
      </c>
      <c r="K571">
        <v>-0.2179598953792502</v>
      </c>
      <c r="L571">
        <v>0.25780055196386531</v>
      </c>
      <c r="M571" t="s">
        <v>25</v>
      </c>
      <c r="N571">
        <v>5</v>
      </c>
      <c r="O571" t="s">
        <v>26</v>
      </c>
      <c r="P571">
        <v>283024</v>
      </c>
      <c r="Q571">
        <v>45.88</v>
      </c>
      <c r="R571">
        <v>42.865000000000009</v>
      </c>
      <c r="S571">
        <v>6.2385525354416542E-2</v>
      </c>
      <c r="T571">
        <v>1.6757035877654321E-2</v>
      </c>
      <c r="U571">
        <v>-4.2852062643361699E-3</v>
      </c>
      <c r="V571">
        <v>4.2068761111730916E-3</v>
      </c>
      <c r="W571">
        <v>-8.4920823755092623E-3</v>
      </c>
    </row>
    <row r="572" spans="1:23" x14ac:dyDescent="0.25">
      <c r="A572">
        <v>66</v>
      </c>
      <c r="B572" t="s">
        <v>24</v>
      </c>
      <c r="C572" t="s">
        <v>28</v>
      </c>
      <c r="D572">
        <v>283113</v>
      </c>
      <c r="E572">
        <v>45.650000000000013</v>
      </c>
      <c r="F572">
        <v>42.724999999999987</v>
      </c>
      <c r="G572">
        <v>45.672825000000003</v>
      </c>
      <c r="H572">
        <v>42.703637499999999</v>
      </c>
      <c r="I572">
        <v>-4.1653609063749313</v>
      </c>
      <c r="J572">
        <v>1.103386362405343</v>
      </c>
      <c r="K572">
        <v>0.21905805038335149</v>
      </c>
      <c r="L572">
        <v>-0.25825309828094639</v>
      </c>
      <c r="M572" t="s">
        <v>27</v>
      </c>
      <c r="N572">
        <v>1</v>
      </c>
      <c r="O572" t="s">
        <v>26</v>
      </c>
      <c r="P572">
        <v>283114</v>
      </c>
      <c r="Q572">
        <v>45.639999999999993</v>
      </c>
      <c r="R572">
        <v>42.635000000000012</v>
      </c>
      <c r="S572">
        <v>-0.2389698171467875</v>
      </c>
      <c r="T572">
        <v>2.1052198341446188E-2</v>
      </c>
      <c r="U572">
        <v>3.1051397071360863E-5</v>
      </c>
      <c r="V572">
        <v>4.2066693384482821E-3</v>
      </c>
      <c r="W572">
        <v>-4.1756179413769213E-3</v>
      </c>
    </row>
    <row r="573" spans="1:23" x14ac:dyDescent="0.25">
      <c r="A573">
        <v>66</v>
      </c>
      <c r="B573" t="s">
        <v>24</v>
      </c>
      <c r="C573" t="s">
        <v>28</v>
      </c>
      <c r="D573">
        <v>283248</v>
      </c>
      <c r="E573">
        <v>45.414999999999992</v>
      </c>
      <c r="F573">
        <v>42.884999999999991</v>
      </c>
      <c r="G573">
        <v>45.437707499999988</v>
      </c>
      <c r="H573">
        <v>42.863557499999992</v>
      </c>
      <c r="I573">
        <v>-5.2198783719964332</v>
      </c>
      <c r="J573">
        <v>1.103386362405343</v>
      </c>
      <c r="K573">
        <v>0.22019156666299691</v>
      </c>
      <c r="L573">
        <v>-0.25728957966779609</v>
      </c>
      <c r="M573" t="s">
        <v>27</v>
      </c>
      <c r="N573">
        <v>44</v>
      </c>
      <c r="O573" t="s">
        <v>26</v>
      </c>
      <c r="P573">
        <v>283292</v>
      </c>
      <c r="Q573">
        <v>45.490000000000009</v>
      </c>
      <c r="R573">
        <v>43.009999999999991</v>
      </c>
      <c r="S573">
        <v>-0.34113420981856912</v>
      </c>
      <c r="T573">
        <v>-1.564682995874599E-2</v>
      </c>
      <c r="U573">
        <v>-3.6705031365276863E-2</v>
      </c>
      <c r="V573">
        <v>4.2066693384482812E-3</v>
      </c>
      <c r="W573">
        <v>-4.0911700703725143E-2</v>
      </c>
    </row>
    <row r="574" spans="1:23" x14ac:dyDescent="0.25">
      <c r="A574">
        <v>66</v>
      </c>
      <c r="B574" t="s">
        <v>24</v>
      </c>
      <c r="C574" t="s">
        <v>28</v>
      </c>
      <c r="D574">
        <v>284031</v>
      </c>
      <c r="E574">
        <v>46.784999999999989</v>
      </c>
      <c r="F574">
        <v>44.314999999999998</v>
      </c>
      <c r="G574">
        <v>46.76160749999999</v>
      </c>
      <c r="H574">
        <v>44.337157500000004</v>
      </c>
      <c r="I574">
        <v>4.2588166817025561</v>
      </c>
      <c r="J574">
        <v>1.103386362405343</v>
      </c>
      <c r="K574">
        <v>-0.2137437212781875</v>
      </c>
      <c r="L574">
        <v>0.248987106488851</v>
      </c>
      <c r="M574" t="s">
        <v>25</v>
      </c>
      <c r="N574">
        <v>14</v>
      </c>
      <c r="O574" t="s">
        <v>26</v>
      </c>
      <c r="P574">
        <v>284045</v>
      </c>
      <c r="Q574">
        <v>46.685000000000002</v>
      </c>
      <c r="R574">
        <v>44.29999999999999</v>
      </c>
      <c r="S574">
        <v>1.668377722753955E-3</v>
      </c>
      <c r="T574">
        <v>1.7639565530482858E-2</v>
      </c>
      <c r="U574">
        <v>-3.381743504206385E-3</v>
      </c>
      <c r="V574">
        <v>4.2068761111730916E-3</v>
      </c>
      <c r="W574">
        <v>-7.588619615379477E-3</v>
      </c>
    </row>
    <row r="575" spans="1:23" x14ac:dyDescent="0.25">
      <c r="A575">
        <v>66</v>
      </c>
      <c r="B575" t="s">
        <v>24</v>
      </c>
      <c r="C575" t="s">
        <v>28</v>
      </c>
      <c r="D575">
        <v>284615</v>
      </c>
      <c r="E575">
        <v>47.94</v>
      </c>
      <c r="F575">
        <v>45.650000000000013</v>
      </c>
      <c r="G575">
        <v>47.916029999999999</v>
      </c>
      <c r="H575">
        <v>45.672825000000003</v>
      </c>
      <c r="I575">
        <v>3.559098213111294</v>
      </c>
      <c r="J575">
        <v>1.103386362405343</v>
      </c>
      <c r="K575">
        <v>-0.20859407592824361</v>
      </c>
      <c r="L575">
        <v>0.24170566536809271</v>
      </c>
      <c r="M575" t="s">
        <v>25</v>
      </c>
      <c r="N575">
        <v>39</v>
      </c>
      <c r="O575" t="s">
        <v>26</v>
      </c>
      <c r="P575">
        <v>284654</v>
      </c>
      <c r="Q575">
        <v>48.279999999999987</v>
      </c>
      <c r="R575">
        <v>45.685000000000002</v>
      </c>
      <c r="S575">
        <v>0.42444768023717128</v>
      </c>
      <c r="T575">
        <v>-6.2462287527719637E-2</v>
      </c>
      <c r="U575">
        <v>-8.3535841993821969E-2</v>
      </c>
      <c r="V575">
        <v>4.2068761111730916E-3</v>
      </c>
      <c r="W575">
        <v>-8.7742718104995066E-2</v>
      </c>
    </row>
    <row r="576" spans="1:23" x14ac:dyDescent="0.25">
      <c r="A576">
        <v>66</v>
      </c>
      <c r="B576" t="s">
        <v>24</v>
      </c>
      <c r="C576" t="s">
        <v>28</v>
      </c>
      <c r="D576">
        <v>285025</v>
      </c>
      <c r="E576">
        <v>47.765000000000008</v>
      </c>
      <c r="F576">
        <v>45.45</v>
      </c>
      <c r="G576">
        <v>47.788882500000007</v>
      </c>
      <c r="H576">
        <v>45.427275000000009</v>
      </c>
      <c r="I576">
        <v>-4.7880122057879424</v>
      </c>
      <c r="J576">
        <v>1.103386362405343</v>
      </c>
      <c r="K576">
        <v>0.20935831675913319</v>
      </c>
      <c r="L576">
        <v>-0.2427692766568412</v>
      </c>
      <c r="M576" t="s">
        <v>27</v>
      </c>
      <c r="N576">
        <v>29</v>
      </c>
      <c r="O576" t="s">
        <v>26</v>
      </c>
      <c r="P576">
        <v>285054</v>
      </c>
      <c r="Q576">
        <v>47.814999999999991</v>
      </c>
      <c r="R576">
        <v>45.54</v>
      </c>
      <c r="S576">
        <v>-0.48467889756494859</v>
      </c>
      <c r="T576">
        <v>-1.1381319061161721E-2</v>
      </c>
      <c r="U576">
        <v>-3.2431341260580657E-2</v>
      </c>
      <c r="V576">
        <v>4.2066693384482821E-3</v>
      </c>
      <c r="W576">
        <v>-3.6638010599028943E-2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77"/>
  <sheetViews>
    <sheetView topLeftCell="B10" zoomScale="85" zoomScaleNormal="85" workbookViewId="0">
      <selection activeCell="H29" sqref="H29"/>
    </sheetView>
  </sheetViews>
  <sheetFormatPr defaultRowHeight="15" x14ac:dyDescent="0.25"/>
  <cols>
    <col min="1" max="1" width="16.42578125" style="1" hidden="1" customWidth="1"/>
    <col min="2" max="2" width="19.7109375" style="1" customWidth="1"/>
    <col min="3" max="3" width="18.7109375" style="1" customWidth="1"/>
    <col min="4" max="4" width="11.140625" style="1" customWidth="1"/>
    <col min="5" max="5" width="23.28515625" style="1" customWidth="1"/>
    <col min="6" max="11" width="9.140625" style="1" customWidth="1"/>
    <col min="12" max="15" width="23" style="1" hidden="1" customWidth="1"/>
    <col min="16" max="16" width="13" style="1" hidden="1" customWidth="1"/>
    <col min="17" max="17" width="19.5703125" style="1" hidden="1" customWidth="1"/>
    <col min="18" max="18" width="19.85546875" style="1" hidden="1" customWidth="1"/>
    <col min="19" max="19" width="18.7109375" style="1" hidden="1" customWidth="1"/>
    <col min="20" max="20" width="16.7109375" style="1" hidden="1" customWidth="1"/>
    <col min="21" max="22" width="9.140625" style="1" customWidth="1"/>
    <col min="23" max="16384" width="9.140625" style="1"/>
  </cols>
  <sheetData>
    <row r="1" spans="2:23" x14ac:dyDescent="0.25">
      <c r="L1" s="2" t="s">
        <v>36</v>
      </c>
      <c r="M1" s="3" t="s">
        <v>37</v>
      </c>
      <c r="N1" s="3" t="s">
        <v>38</v>
      </c>
      <c r="O1" s="4" t="s">
        <v>39</v>
      </c>
      <c r="Q1" s="5" t="s">
        <v>40</v>
      </c>
      <c r="R1" s="5" t="s">
        <v>41</v>
      </c>
      <c r="S1" s="4" t="s">
        <v>42</v>
      </c>
      <c r="T1" s="5" t="s">
        <v>43</v>
      </c>
    </row>
    <row r="2" spans="2:23" x14ac:dyDescent="0.25">
      <c r="B2" s="17" t="s">
        <v>44</v>
      </c>
      <c r="C2" s="18"/>
      <c r="D2" s="18"/>
      <c r="E2" s="19"/>
      <c r="J2" s="1" t="s">
        <v>45</v>
      </c>
      <c r="L2" s="6">
        <f>Trades!P2</f>
        <v>24238</v>
      </c>
      <c r="M2" s="7">
        <f>Trades!T2</f>
        <v>2.1628676394322768E-2</v>
      </c>
      <c r="N2" s="7">
        <f>Trades!U2</f>
        <v>7.2463717407999714E-3</v>
      </c>
      <c r="O2" s="7">
        <f>Trades!W2</f>
        <v>4.3599277322598426E-3</v>
      </c>
      <c r="Q2" s="1">
        <v>0</v>
      </c>
      <c r="R2" s="1">
        <v>3</v>
      </c>
      <c r="S2" s="1">
        <f>AVERAGEIFS(Trades!W:W,Trades!N:N,"&gt;="&amp;Q2,Trades!N:N,"&lt;="&amp;R2)</f>
        <v>4.1925103197397499E-2</v>
      </c>
      <c r="T2" s="1">
        <f>COUNTIFS(Trades!N:N,"&gt;="&amp;Q2,Trades!N:N,"&lt;="&amp;R2)</f>
        <v>54</v>
      </c>
    </row>
    <row r="3" spans="2:23" x14ac:dyDescent="0.25">
      <c r="L3" s="6">
        <f>Trades!P3</f>
        <v>24620</v>
      </c>
      <c r="M3" s="7">
        <f>M2+Trades!T3</f>
        <v>5.4649858944312006E-2</v>
      </c>
      <c r="N3" s="7">
        <f>N2+Trades!U3</f>
        <v>2.582004436064746E-2</v>
      </c>
      <c r="O3" s="7">
        <f>O2+Trades!W3</f>
        <v>2.0047156343567202E-2</v>
      </c>
      <c r="Q3" s="1">
        <v>4</v>
      </c>
      <c r="R3" s="1">
        <v>7</v>
      </c>
      <c r="S3" s="1">
        <f>AVERAGEIFS(Trades!W:W,Trades!N:N,"&gt;="&amp;Q3,Trades!N:N,"&lt;="&amp;R3)</f>
        <v>2.6221145727723827E-2</v>
      </c>
      <c r="T3" s="1">
        <f>COUNTIFS(Trades!N:N,"&gt;="&amp;Q3,Trades!N:N,"&lt;="&amp;R3)</f>
        <v>101</v>
      </c>
    </row>
    <row r="4" spans="2:23" x14ac:dyDescent="0.25">
      <c r="B4" s="1" t="s">
        <v>46</v>
      </c>
      <c r="C4" s="1" t="s">
        <v>47</v>
      </c>
      <c r="D4" s="1" t="s">
        <v>48</v>
      </c>
      <c r="E4" s="1" t="s">
        <v>49</v>
      </c>
      <c r="L4" s="6">
        <f>Trades!P4</f>
        <v>25015</v>
      </c>
      <c r="M4" s="7">
        <f>M3+Trades!T4</f>
        <v>5.5297198343645243E-2</v>
      </c>
      <c r="N4" s="7">
        <f>N3+Trades!U4</f>
        <v>1.200349292138311E-2</v>
      </c>
      <c r="O4" s="7">
        <f>O3+Trades!W4</f>
        <v>3.3441608957627232E-3</v>
      </c>
      <c r="Q4" s="1">
        <v>8</v>
      </c>
      <c r="R4" s="1">
        <v>11</v>
      </c>
      <c r="S4" s="1">
        <f>AVERAGEIFS(Trades!W:W,Trades!N:N,"&gt;="&amp;Q4,Trades!N:N,"&lt;="&amp;R4)</f>
        <v>2.26157224957103E-2</v>
      </c>
      <c r="T4" s="1">
        <f>COUNTIFS(Trades!N:N,"&gt;="&amp;Q4,Trades!N:N,"&lt;="&amp;R4)</f>
        <v>70</v>
      </c>
    </row>
    <row r="5" spans="2:23" x14ac:dyDescent="0.25">
      <c r="B5" s="1" t="s">
        <v>50</v>
      </c>
      <c r="C5" s="8">
        <f>SUM(Trades!T2:T9652)</f>
        <v>11.564936163462821</v>
      </c>
      <c r="D5" s="8">
        <f>SUM(Trades!U2:U9652)</f>
        <v>1.3132758098012716</v>
      </c>
      <c r="E5" s="8">
        <f>SUM(Trades!W2:W9652)</f>
        <v>-0.73712059608745717</v>
      </c>
      <c r="L5" s="6">
        <f>Trades!P5</f>
        <v>25408</v>
      </c>
      <c r="M5" s="7">
        <f>M4+Trades!T5</f>
        <v>6.2785832714056203E-2</v>
      </c>
      <c r="N5" s="7">
        <f>N4+Trades!U5</f>
        <v>5.0784765040777155E-3</v>
      </c>
      <c r="O5" s="7">
        <f>O4+Trades!W5</f>
        <v>-6.4672995300827998E-3</v>
      </c>
      <c r="Q5" s="1">
        <v>12</v>
      </c>
      <c r="R5" s="1">
        <v>15</v>
      </c>
      <c r="S5" s="1">
        <f>AVERAGEIFS(Trades!W:W,Trades!N:N,"&gt;="&amp;Q5,Trades!N:N,"&lt;="&amp;R5)</f>
        <v>6.3197381679716697E-3</v>
      </c>
      <c r="T5" s="1">
        <f>COUNTIFS(Trades!N:N,"&gt;="&amp;Q5,Trades!N:N,"&lt;="&amp;R5)</f>
        <v>64</v>
      </c>
    </row>
    <row r="6" spans="2:23" x14ac:dyDescent="0.25">
      <c r="B6" s="1" t="s">
        <v>51</v>
      </c>
      <c r="C6" s="8">
        <f>AVERAGE(Trades!T:T)</f>
        <v>2.011293245819621E-2</v>
      </c>
      <c r="D6" s="8">
        <f>AVERAGE(Trades!U:U)</f>
        <v>2.2839579300891681E-3</v>
      </c>
      <c r="E6" s="8">
        <f>AVERAGE(Trades!W:W)</f>
        <v>-1.2819488627607951E-3</v>
      </c>
      <c r="F6" s="9"/>
      <c r="L6" s="6">
        <f>Trades!P6</f>
        <v>25767</v>
      </c>
      <c r="M6" s="7">
        <f>M5+Trades!T6</f>
        <v>7.8753740067540989E-2</v>
      </c>
      <c r="N6" s="7">
        <f>N5+Trades!U6</f>
        <v>6.6095958286231287E-3</v>
      </c>
      <c r="O6" s="7">
        <f>O5+Trades!W6</f>
        <v>-7.823737213569229E-3</v>
      </c>
      <c r="Q6" s="1">
        <v>16</v>
      </c>
      <c r="R6" s="1">
        <v>19</v>
      </c>
      <c r="S6" s="1">
        <f>AVERAGEIFS(Trades!W:W,Trades!N:N,"&gt;="&amp;Q6,Trades!N:N,"&lt;="&amp;R6)</f>
        <v>-1.0115723558960822E-2</v>
      </c>
      <c r="T6" s="1">
        <f>COUNTIFS(Trades!N:N,"&gt;="&amp;Q6,Trades!N:N,"&lt;="&amp;R6)</f>
        <v>73</v>
      </c>
      <c r="W6" s="1" t="s">
        <v>83</v>
      </c>
    </row>
    <row r="7" spans="2:23" x14ac:dyDescent="0.25">
      <c r="B7" s="1" t="s">
        <v>52</v>
      </c>
      <c r="C7" s="8">
        <f>MEDIAN(Trades!T:T)</f>
        <v>1.366641905236767E-2</v>
      </c>
      <c r="D7" s="8">
        <f>MEDIAN(Trades!U:U)</f>
        <v>-3.2018717055721652E-3</v>
      </c>
      <c r="E7" s="8">
        <f>MEDIAN(Trades!W:W)</f>
        <v>-6.5326685226288336E-3</v>
      </c>
      <c r="L7" s="6">
        <f>Trades!P7</f>
        <v>26071</v>
      </c>
      <c r="M7" s="7">
        <f>M6+Trades!T7</f>
        <v>8.3250758872077169E-2</v>
      </c>
      <c r="N7" s="7">
        <f>N6+Trades!U7</f>
        <v>-3.3240737246528823E-3</v>
      </c>
      <c r="O7" s="7">
        <f>O6+Trades!W7</f>
        <v>-2.0643850775385369E-2</v>
      </c>
      <c r="Q7" s="1">
        <v>20</v>
      </c>
      <c r="R7" s="1">
        <v>23</v>
      </c>
      <c r="S7" s="1">
        <f>AVERAGEIFS(Trades!W:W,Trades!N:N,"&gt;="&amp;Q7,Trades!N:N,"&lt;="&amp;R7)</f>
        <v>-1.5753091432530598E-2</v>
      </c>
      <c r="T7" s="1">
        <f>COUNTIFS(Trades!N:N,"&gt;="&amp;Q7,Trades!N:N,"&lt;="&amp;R7)</f>
        <v>103</v>
      </c>
    </row>
    <row r="8" spans="2:23" x14ac:dyDescent="0.25">
      <c r="B8" s="1" t="s">
        <v>53</v>
      </c>
      <c r="C8" s="8">
        <f>MIN(Trades!T:T)</f>
        <v>-0.38368832594575408</v>
      </c>
      <c r="D8" s="8">
        <f>MIN(Trades!U:U)</f>
        <v>-0.39930392607776288</v>
      </c>
      <c r="E8" s="8">
        <f>MIN(Trades!W:W)</f>
        <v>-0.40235707137563342</v>
      </c>
      <c r="L8" s="6">
        <f>Trades!P8</f>
        <v>26576</v>
      </c>
      <c r="M8" s="7">
        <f>M7+Trades!T8</f>
        <v>0.17837344908873956</v>
      </c>
      <c r="N8" s="7">
        <f>N7+Trades!U8</f>
        <v>7.7260220031912269E-2</v>
      </c>
      <c r="O8" s="7">
        <f>O7+Trades!W8</f>
        <v>5.7052885973147935E-2</v>
      </c>
      <c r="Q8" s="1">
        <v>24</v>
      </c>
      <c r="R8" s="1">
        <v>27</v>
      </c>
      <c r="S8" s="1">
        <f>AVERAGEIFS(Trades!W:W,Trades!N:N,"&gt;="&amp;Q8,Trades!N:N,"&lt;="&amp;R8)</f>
        <v>-1.6174578472587769E-2</v>
      </c>
      <c r="T8" s="1">
        <f>COUNTIFS(Trades!N:N,"&gt;="&amp;Q8,Trades!N:N,"&lt;="&amp;R8)</f>
        <v>38</v>
      </c>
    </row>
    <row r="9" spans="2:23" x14ac:dyDescent="0.25">
      <c r="B9" s="1" t="s">
        <v>54</v>
      </c>
      <c r="C9" s="8">
        <f>MAX(Trades!T:T)</f>
        <v>0.51144833554193514</v>
      </c>
      <c r="D9" s="8">
        <f>MAX(Trades!U:U)</f>
        <v>0.50057408595350372</v>
      </c>
      <c r="E9" s="8">
        <f>MAX(Trades!W:W)</f>
        <v>0.49834920419963868</v>
      </c>
      <c r="L9" s="6">
        <f>Trades!P9</f>
        <v>26975</v>
      </c>
      <c r="M9" s="7">
        <f>M8+Trades!T9</f>
        <v>0.18890397475673645</v>
      </c>
      <c r="N9" s="7">
        <f>N8+Trades!U9</f>
        <v>7.3351237427774288E-2</v>
      </c>
      <c r="O9" s="7">
        <f>O8+Trades!W9</f>
        <v>5.0257459360469825E-2</v>
      </c>
      <c r="Q9" s="1">
        <v>28</v>
      </c>
      <c r="R9" s="1">
        <v>34</v>
      </c>
      <c r="S9" s="1">
        <f>AVERAGEIFS(Trades!W:W,Trades!N:N,"&gt;="&amp;Q9,Trades!N:N,"&lt;="&amp;R9)</f>
        <v>-6.0487258352572418E-2</v>
      </c>
      <c r="T9" s="1">
        <f>COUNTIFS(Trades!N:N,"&gt;="&amp;Q9,Trades!N:N,"&lt;="&amp;R9)</f>
        <v>33</v>
      </c>
    </row>
    <row r="10" spans="2:23" x14ac:dyDescent="0.25">
      <c r="B10" s="1" t="s">
        <v>55</v>
      </c>
      <c r="C10" s="10">
        <f>COUNTIF(Trades!T:T,"&gt;0")/(COUNTIF(Trades!T:T,"&gt;0")+COUNTIF(Trades!T:T,"&lt;0"))</f>
        <v>0.70782608695652172</v>
      </c>
      <c r="D10" s="10">
        <f>COUNTIF(Trades!U:U,"&gt;0")/(COUNTIF(Trades!U:U,"&gt;0")+COUNTIF(Trades!U:U,"&lt;0"))</f>
        <v>0.44347826086956521</v>
      </c>
      <c r="E10" s="10">
        <f>COUNTIF(Trades!W:W,"&gt;0")/(COUNTIF(Trades!W:W,"&gt;0")+COUNTIF(Trades!W:W,"&lt;0"))</f>
        <v>0.39130434782608697</v>
      </c>
      <c r="L10" s="6">
        <f>Trades!P10</f>
        <v>27311</v>
      </c>
      <c r="M10" s="7">
        <f>M9+Trades!T10</f>
        <v>0.2023186133829151</v>
      </c>
      <c r="N10" s="7">
        <f>N9+Trades!U10</f>
        <v>7.2328356190544493E-2</v>
      </c>
      <c r="O10" s="7">
        <f>O9+Trades!W10</f>
        <v>4.6348134114699895E-2</v>
      </c>
      <c r="Q10" s="1">
        <v>35</v>
      </c>
      <c r="R10" s="1">
        <v>40</v>
      </c>
      <c r="S10" s="1">
        <f>AVERAGEIFS(Trades!W:W,Trades!N:N,"&gt;="&amp;Q10,Trades!N:N,"&lt;="&amp;R10)</f>
        <v>-7.3627930904446498E-2</v>
      </c>
      <c r="T10" s="1">
        <f>COUNTIFS(Trades!N:N,"&gt;="&amp;Q10,Trades!N:N,"&lt;="&amp;R10)</f>
        <v>15</v>
      </c>
    </row>
    <row r="11" spans="2:23" x14ac:dyDescent="0.25">
      <c r="B11" s="11" t="s">
        <v>56</v>
      </c>
      <c r="C11" s="12">
        <f>SUMIF(Trades!T:T,"&gt;0",Trades!T:T)/ABS(SUMIF(Trades!T:T,"&lt;0",Trades!T:T))</f>
        <v>2.7627933573114642</v>
      </c>
      <c r="D11" s="12">
        <f>SUMIF(Trades!U:U,"&gt;0",Trades!U:U)/ABS(SUMIF(Trades!U:U,"&lt;0",Trades!U:U))</f>
        <v>1.1231916794821022</v>
      </c>
      <c r="E11" s="12">
        <f>SUMIF(Trades!W:W,"&gt;0",Trades!W:W)/ABS(SUMIF(Trades!W:W,"&lt;0",Trades!W:W))</f>
        <v>0.93772720083430494</v>
      </c>
      <c r="L11" s="6"/>
      <c r="M11" s="7"/>
      <c r="N11" s="7"/>
      <c r="O11" s="7"/>
    </row>
    <row r="12" spans="2:23" x14ac:dyDescent="0.25">
      <c r="L12" s="6">
        <f>Trades!P11</f>
        <v>27369</v>
      </c>
      <c r="M12" s="7">
        <f>M10+Trades!T11</f>
        <v>0.17788901050384928</v>
      </c>
      <c r="N12" s="7">
        <f>N10+Trades!U11</f>
        <v>3.3456121021339873E-2</v>
      </c>
      <c r="O12" s="7">
        <f>O10+Trades!W11</f>
        <v>4.5883419374634221E-3</v>
      </c>
      <c r="Q12" s="1">
        <v>41</v>
      </c>
      <c r="R12" s="1">
        <v>47</v>
      </c>
      <c r="S12" s="1">
        <f>AVERAGEIFS(Trades!W:W,Trades!N:N,"&gt;="&amp;Q12,Trades!N:N,"&lt;="&amp;R12)</f>
        <v>-5.0185327989821935E-2</v>
      </c>
      <c r="T12" s="1">
        <f>COUNTIFS(Trades!N:N,"&gt;="&amp;Q12,Trades!N:N,"&lt;="&amp;R12)</f>
        <v>11</v>
      </c>
    </row>
    <row r="13" spans="2:23" x14ac:dyDescent="0.25">
      <c r="B13" s="1" t="s">
        <v>46</v>
      </c>
      <c r="C13" s="1" t="s">
        <v>57</v>
      </c>
      <c r="L13" s="6">
        <f>Trades!P12</f>
        <v>27925</v>
      </c>
      <c r="M13" s="7">
        <f>M12+Trades!T12</f>
        <v>0.16892574180623504</v>
      </c>
      <c r="N13" s="7">
        <f>N12+Trades!U12</f>
        <v>1.0929776002346112E-2</v>
      </c>
      <c r="O13" s="7">
        <f>O12+Trades!W12</f>
        <v>-2.0650717847997418E-2</v>
      </c>
    </row>
    <row r="14" spans="2:23" x14ac:dyDescent="0.25">
      <c r="B14" s="1" t="s">
        <v>58</v>
      </c>
      <c r="C14" s="1">
        <f>COUNTA(Trades!A:A)-1</f>
        <v>575</v>
      </c>
      <c r="L14" s="6">
        <f>Trades!P13</f>
        <v>28149</v>
      </c>
      <c r="M14" s="7">
        <f>M13+Trades!T13</f>
        <v>0.21356192869675672</v>
      </c>
      <c r="N14" s="7">
        <f>N13+Trades!U13</f>
        <v>4.202471914429709E-2</v>
      </c>
      <c r="O14" s="7">
        <f>O13+Trades!W13</f>
        <v>7.731510527486482E-3</v>
      </c>
    </row>
    <row r="15" spans="2:23" x14ac:dyDescent="0.25">
      <c r="B15" s="1" t="s">
        <v>59</v>
      </c>
      <c r="C15" s="1">
        <f>AVERAGE(Trades!N:N)</f>
        <v>16.466086956521739</v>
      </c>
      <c r="F15" s="13"/>
      <c r="L15" s="6">
        <f>Trades!P14</f>
        <v>28530</v>
      </c>
      <c r="M15" s="7">
        <f>M14+Trades!T14</f>
        <v>0.22536838539090892</v>
      </c>
      <c r="N15" s="7">
        <f>N14+Trades!U14</f>
        <v>4.0255893511324546E-2</v>
      </c>
      <c r="O15" s="7">
        <f>O14+Trades!W14</f>
        <v>3.249970128046854E-3</v>
      </c>
    </row>
    <row r="16" spans="2:23" x14ac:dyDescent="0.25">
      <c r="B16" s="1" t="s">
        <v>60</v>
      </c>
      <c r="C16" s="1">
        <f>MEDIAN(Trades!N:N)</f>
        <v>15</v>
      </c>
      <c r="L16" s="6">
        <f>Trades!P15</f>
        <v>29068</v>
      </c>
      <c r="M16" s="7">
        <f>M15+Trades!T15</f>
        <v>0.24404893460024402</v>
      </c>
      <c r="N16" s="7">
        <f>N15+Trades!U15</f>
        <v>4.5380983843565911E-2</v>
      </c>
      <c r="O16" s="7">
        <f>O15+Trades!W15</f>
        <v>5.6623456938211334E-3</v>
      </c>
    </row>
    <row r="17" spans="2:15" x14ac:dyDescent="0.25">
      <c r="B17" s="1" t="s">
        <v>61</v>
      </c>
      <c r="C17" s="1">
        <f>MAX(Trades!N:N)</f>
        <v>83</v>
      </c>
      <c r="L17" s="6">
        <f>Trades!P16</f>
        <v>29310</v>
      </c>
      <c r="M17" s="7">
        <f>M16+Trades!T16</f>
        <v>0.28044725452111813</v>
      </c>
      <c r="N17" s="7">
        <f>N16+Trades!U16</f>
        <v>6.8260030773730024E-2</v>
      </c>
      <c r="O17" s="7">
        <f>O16+Trades!W16</f>
        <v>2.5828677857518162E-2</v>
      </c>
    </row>
    <row r="18" spans="2:15" x14ac:dyDescent="0.25">
      <c r="L18" s="6">
        <f>Trades!P17</f>
        <v>30086</v>
      </c>
      <c r="M18" s="7">
        <f>M17+Trades!T17</f>
        <v>0.35219505255838129</v>
      </c>
      <c r="N18" s="7">
        <f>N17+Trades!U17</f>
        <v>0.12644127651582471</v>
      </c>
      <c r="O18" s="7">
        <f>O17+Trades!W17</f>
        <v>8.1295922191233216E-2</v>
      </c>
    </row>
    <row r="19" spans="2:15" x14ac:dyDescent="0.25">
      <c r="B19" s="1" t="s">
        <v>46</v>
      </c>
      <c r="C19" s="1" t="s">
        <v>62</v>
      </c>
      <c r="D19" s="1" t="s">
        <v>63</v>
      </c>
      <c r="L19" s="6">
        <f>Trades!P18</f>
        <v>30485</v>
      </c>
      <c r="M19" s="7">
        <f>M18+Trades!T18</f>
        <v>0.40765904639733913</v>
      </c>
      <c r="N19" s="7">
        <f>N18+Trades!U18</f>
        <v>0.16838225630063508</v>
      </c>
      <c r="O19" s="7">
        <f>O18+Trades!W18</f>
        <v>0.1205241872095765</v>
      </c>
    </row>
    <row r="20" spans="2:15" x14ac:dyDescent="0.25">
      <c r="B20" s="1" t="s">
        <v>64</v>
      </c>
      <c r="C20" s="1">
        <f>AVERAGEIF(Trades!I:I,"&gt;0",Trades!I:I)</f>
        <v>4.2298865188511972</v>
      </c>
      <c r="D20" s="1">
        <f>AVERAGEIF(Trades!I:I,"&lt;0",Trades!I:I)</f>
        <v>-4.2303269540007973</v>
      </c>
      <c r="L20" s="6">
        <f>Trades!P19</f>
        <v>31268</v>
      </c>
      <c r="M20" s="7">
        <f>M19+Trades!T19</f>
        <v>0.40685955518534411</v>
      </c>
      <c r="N20" s="7">
        <f>N19+Trades!U19</f>
        <v>0.1540118961167902</v>
      </c>
      <c r="O20" s="7">
        <f>O19+Trades!W19</f>
        <v>0.10344111225926454</v>
      </c>
    </row>
    <row r="21" spans="2:15" x14ac:dyDescent="0.25">
      <c r="B21" s="1" t="s">
        <v>65</v>
      </c>
      <c r="C21" s="1">
        <f t="array" ref="C21">MEDIAN(_xlfn._xlws.FILTER(Trades!I:I,Trades!I:I&gt;0))</f>
        <v>4.065184450021099</v>
      </c>
      <c r="D21" s="1">
        <f t="array" ref="D21">MEDIAN(_xlfn._xlws.FILTER(Trades!I:I,Trades!I:I&lt;0))</f>
        <v>-4.0472386874760016</v>
      </c>
      <c r="L21" s="6">
        <f>Trades!P20</f>
        <v>31824</v>
      </c>
      <c r="M21" s="7">
        <f>M20+Trades!T20</f>
        <v>0.39185474084347993</v>
      </c>
      <c r="N21" s="7">
        <f>N20+Trades!U20</f>
        <v>0.12406884448367471</v>
      </c>
      <c r="O21" s="7">
        <f>O20+Trades!W20</f>
        <v>7.0510116212814528E-2</v>
      </c>
    </row>
    <row r="22" spans="2:15" x14ac:dyDescent="0.25">
      <c r="B22" s="1" t="s">
        <v>66</v>
      </c>
      <c r="C22" s="1">
        <f>_xlfn.MAXIFS(Trades!I:I,Trades!I:I,"&gt;0")</f>
        <v>5.2946498019823567</v>
      </c>
      <c r="D22" s="1">
        <f>_xlfn.MINIFS(Trades!I:I,Trades!I:I,"&lt;0")</f>
        <v>-5.2946498421083747</v>
      </c>
      <c r="L22" s="6">
        <f>Trades!P21</f>
        <v>32060</v>
      </c>
      <c r="M22" s="7">
        <f>M21+Trades!T21</f>
        <v>0.36648119145896335</v>
      </c>
      <c r="N22" s="7">
        <f>N21+Trades!U21</f>
        <v>8.374833131880105E-2</v>
      </c>
      <c r="O22" s="7">
        <f>O21+Trades!W21</f>
        <v>2.7202671196473946E-2</v>
      </c>
    </row>
    <row r="23" spans="2:15" x14ac:dyDescent="0.25">
      <c r="B23" s="1" t="s">
        <v>67</v>
      </c>
      <c r="C23" s="1">
        <f>AVERAGEIF(Trades!S:S,"&gt;0",Trades!S:S)</f>
        <v>0.32368605076854751</v>
      </c>
      <c r="D23" s="1">
        <f>AVERAGEIF(Trades!S:S,"&lt;0",Trades!S:S)</f>
        <v>-0.3139870133981541</v>
      </c>
      <c r="L23" s="6">
        <f>Trades!P22</f>
        <v>32632</v>
      </c>
      <c r="M23" s="7">
        <f>M22+Trades!T22</f>
        <v>0.39728427176699427</v>
      </c>
      <c r="N23" s="7">
        <f>N22+Trades!U22</f>
        <v>9.9629622504983611E-2</v>
      </c>
      <c r="O23" s="7">
        <f>O22+Trades!W22</f>
        <v>4.0097030531189584E-2</v>
      </c>
    </row>
    <row r="24" spans="2:15" x14ac:dyDescent="0.25">
      <c r="B24" s="1" t="s">
        <v>68</v>
      </c>
      <c r="C24" s="1">
        <f t="array" ref="C24">MEDIAN(_xlfn._xlws.FILTER(Trades!S:S,Trades!S:S&gt;0))</f>
        <v>0.35747760607077911</v>
      </c>
      <c r="D24" s="1">
        <f t="array" ref="D24">MEDIAN(_xlfn._xlws.FILTER(Trades!S:S,Trades!S:S&lt;0))</f>
        <v>-0.34113420981856912</v>
      </c>
      <c r="L24" s="6">
        <f>Trades!P23</f>
        <v>33060</v>
      </c>
      <c r="M24" s="7">
        <f>M23+Trades!T23</f>
        <v>0.29549803778864425</v>
      </c>
      <c r="N24" s="7">
        <f>N23+Trades!U23</f>
        <v>-1.6930567217038686E-2</v>
      </c>
      <c r="O24" s="7">
        <f>O23+Trades!W23</f>
        <v>-7.9451103604167211E-2</v>
      </c>
    </row>
    <row r="25" spans="2:15" x14ac:dyDescent="0.25">
      <c r="B25" s="1" t="s">
        <v>69</v>
      </c>
      <c r="C25" s="1">
        <f>_xlfn.MAXIFS(Trades!S:S,Trades!S:S,"&gt;0")</f>
        <v>0.49977220589394128</v>
      </c>
      <c r="D25" s="1">
        <f>_xlfn.MINIFS(Trades!S:S,Trades!S:S,"&lt;0")</f>
        <v>-0.49989707574875619</v>
      </c>
      <c r="L25" s="6">
        <f>Trades!P24</f>
        <v>33428</v>
      </c>
      <c r="M25" s="7">
        <f>M24+Trades!T24</f>
        <v>0.29758699751033474</v>
      </c>
      <c r="N25" s="7">
        <f>N24+Trades!U24</f>
        <v>-2.9737352728564329E-2</v>
      </c>
      <c r="O25" s="7">
        <f>O24+Trades!W24</f>
        <v>-9.5244820967159777E-2</v>
      </c>
    </row>
    <row r="26" spans="2:15" x14ac:dyDescent="0.25">
      <c r="G26" s="14">
        <v>1</v>
      </c>
      <c r="H26" s="14" t="s">
        <v>70</v>
      </c>
      <c r="L26" s="6">
        <f>Trades!P25</f>
        <v>33829</v>
      </c>
      <c r="M26" s="7">
        <f>M25+Trades!T25</f>
        <v>0.18628044855184514</v>
      </c>
      <c r="N26" s="7">
        <f>N25+Trades!U25</f>
        <v>-0.1559690600340165</v>
      </c>
      <c r="O26" s="7">
        <f>O25+Trades!W25</f>
        <v>-0.22446447268594658</v>
      </c>
    </row>
    <row r="27" spans="2:15" x14ac:dyDescent="0.25">
      <c r="B27" s="1" t="s">
        <v>46</v>
      </c>
      <c r="C27" s="1" t="s">
        <v>71</v>
      </c>
      <c r="D27" s="1" t="s">
        <v>72</v>
      </c>
      <c r="E27" s="1" t="s">
        <v>73</v>
      </c>
      <c r="F27" s="1" t="s">
        <v>74</v>
      </c>
      <c r="L27" s="6">
        <f>Trades!P26</f>
        <v>34979</v>
      </c>
      <c r="M27" s="7">
        <f>M26+Trades!T26</f>
        <v>0.24740010009833321</v>
      </c>
      <c r="N27" s="7">
        <f>N26+Trades!U26</f>
        <v>-0.10977408986527426</v>
      </c>
      <c r="O27" s="7">
        <f>O26+Trades!W26</f>
        <v>-0.18125744693053886</v>
      </c>
    </row>
    <row r="28" spans="2:15" x14ac:dyDescent="0.25">
      <c r="B28" s="1" t="s">
        <v>75</v>
      </c>
      <c r="C28" s="1">
        <f>SUMIF(Trades!M:M,"LONG",Trades!T:T)</f>
        <v>5.5851097871543827</v>
      </c>
      <c r="D28" s="1">
        <f>SUMIF(Trades!M:M,"SHORT",Trades!T:T)</f>
        <v>5.9798263763084361</v>
      </c>
      <c r="E28" s="1">
        <f>SUMIF(Trades!O:O,"Signal",Trades!T:T)</f>
        <v>11.564936163462821</v>
      </c>
      <c r="F28" s="1">
        <f>SUMIF(Trades!O:O,"Forced",Trades!T:T)</f>
        <v>0</v>
      </c>
      <c r="L28" s="6">
        <f>Trades!P27</f>
        <v>35452</v>
      </c>
      <c r="M28" s="7">
        <f>M27+Trades!T27</f>
        <v>0.26284221511125139</v>
      </c>
      <c r="N28" s="7">
        <f>N27+Trades!U27</f>
        <v>-0.10927217151287152</v>
      </c>
      <c r="O28" s="7">
        <f>O27+Trades!W27</f>
        <v>-0.18374347299147065</v>
      </c>
    </row>
    <row r="29" spans="2:15" x14ac:dyDescent="0.25">
      <c r="B29" s="1" t="s">
        <v>76</v>
      </c>
      <c r="C29" s="1">
        <f>COUNTIF(Trades!M:M,"LONG")</f>
        <v>264</v>
      </c>
      <c r="D29" s="1">
        <f>COUNTIF(Trades!M:M,"SHORT")</f>
        <v>311</v>
      </c>
      <c r="E29" s="1">
        <f>COUNTIF(Trades!O:O,"Signal")</f>
        <v>575</v>
      </c>
      <c r="F29" s="1">
        <f>COUNTIF(Trades!O:O,"Forced")</f>
        <v>0</v>
      </c>
      <c r="L29" s="6">
        <f>Trades!P28</f>
        <v>35724</v>
      </c>
      <c r="M29" s="7">
        <f>M28+Trades!T28</f>
        <v>0.25107342529377197</v>
      </c>
      <c r="N29" s="7">
        <f>N28+Trades!U28</f>
        <v>-0.13635267587969585</v>
      </c>
      <c r="O29" s="7">
        <f>O28+Trades!W28</f>
        <v>-0.21388364949814134</v>
      </c>
    </row>
    <row r="30" spans="2:15" x14ac:dyDescent="0.25">
      <c r="L30" s="6">
        <f>Trades!P29</f>
        <v>36164</v>
      </c>
      <c r="M30" s="7">
        <f>M29+Trades!T29</f>
        <v>0.20618326559311939</v>
      </c>
      <c r="N30" s="7">
        <f>N29+Trades!U29</f>
        <v>-0.19658100699955616</v>
      </c>
      <c r="O30" s="7">
        <f>O29+Trades!W29</f>
        <v>-0.2771725926157792</v>
      </c>
    </row>
    <row r="31" spans="2:15" x14ac:dyDescent="0.25">
      <c r="B31" s="1" t="s">
        <v>77</v>
      </c>
      <c r="C31" s="1" t="s">
        <v>78</v>
      </c>
      <c r="D31" s="1" t="s">
        <v>55</v>
      </c>
      <c r="L31" s="6">
        <f>Trades!P30</f>
        <v>36926</v>
      </c>
      <c r="M31" s="7">
        <f>M30+Trades!T30</f>
        <v>0.24793015031535917</v>
      </c>
      <c r="N31" s="7">
        <f>N30+Trades!U30</f>
        <v>-0.1701485689996631</v>
      </c>
      <c r="O31" s="7">
        <f>O30+Trades!W30</f>
        <v>-0.25379982675573254</v>
      </c>
    </row>
    <row r="32" spans="2:15" x14ac:dyDescent="0.25">
      <c r="B32" s="1">
        <v>0</v>
      </c>
      <c r="C32" s="1">
        <v>3</v>
      </c>
      <c r="D32" s="1">
        <f>COUNTIFS(Trades!N:N,"&gt;="&amp;B32,Trades!N:N,"&lt;="&amp;C32,Trades!T:T,"&gt;0")/(COUNTIFS(Trades!N:N,"&gt;="&amp;B32,Trades!N:N,"&lt;="&amp;C32,Trades!T:T,"&gt;0")+COUNTIFS(Trades!N:N,"&gt;="&amp;B32,Trades!N:N,"&lt;="&amp;C32,Trades!T:T,"&lt;0"))</f>
        <v>1</v>
      </c>
      <c r="L32" s="6">
        <f>Trades!P31</f>
        <v>37317</v>
      </c>
      <c r="M32" s="7">
        <f>M31+Trades!T31</f>
        <v>0.2841363126482741</v>
      </c>
      <c r="N32" s="7">
        <f>N31+Trades!U31</f>
        <v>-0.14925451245471524</v>
      </c>
      <c r="O32" s="7">
        <f>O31+Trades!W31</f>
        <v>-0.23596638220856225</v>
      </c>
    </row>
    <row r="33" spans="2:26" x14ac:dyDescent="0.25">
      <c r="B33" s="1">
        <v>4</v>
      </c>
      <c r="C33" s="1">
        <v>7</v>
      </c>
      <c r="D33" s="1">
        <f>COUNTIFS(Trades!N:N,"&gt;="&amp;B33,Trades!N:N,"&lt;="&amp;C33,Trades!T:T,"&gt;0")/(COUNTIFS(Trades!N:N,"&gt;="&amp;B33,Trades!N:N,"&lt;="&amp;C33,Trades!T:T,"&gt;0")+COUNTIFS(Trades!N:N,"&gt;="&amp;B33,Trades!N:N,"&lt;="&amp;C33,Trades!T:T,"&lt;0"))</f>
        <v>1</v>
      </c>
      <c r="L33" s="6">
        <f>Trades!P32</f>
        <v>37709</v>
      </c>
      <c r="M33" s="7">
        <f>M32+Trades!T32</f>
        <v>0.40410376878387549</v>
      </c>
      <c r="N33" s="7">
        <f>N32+Trades!U32</f>
        <v>-4.4539575714100138E-2</v>
      </c>
      <c r="O33" s="7">
        <f>O32+Trades!W32</f>
        <v>-0.13431111760779346</v>
      </c>
    </row>
    <row r="34" spans="2:26" x14ac:dyDescent="0.25">
      <c r="B34" s="1">
        <v>8</v>
      </c>
      <c r="C34" s="1">
        <v>11</v>
      </c>
      <c r="D34" s="1">
        <f>COUNTIFS(Trades!N:N,"&gt;="&amp;B34,Trades!N:N,"&lt;="&amp;C34,Trades!T:T,"&gt;0")/(COUNTIFS(Trades!N:N,"&gt;="&amp;B34,Trades!N:N,"&lt;="&amp;C34,Trades!T:T,"&gt;0")+COUNTIFS(Trades!N:N,"&gt;="&amp;B34,Trades!N:N,"&lt;="&amp;C34,Trades!T:T,"&lt;0"))</f>
        <v>0.98571428571428577</v>
      </c>
      <c r="L34" s="6">
        <f>Trades!P33</f>
        <v>37813</v>
      </c>
      <c r="M34" s="7">
        <f>M33+Trades!T33</f>
        <v>0.43712822031183862</v>
      </c>
      <c r="N34" s="7">
        <f>N33+Trades!U33</f>
        <v>-2.6815727730497858E-2</v>
      </c>
      <c r="O34" s="7">
        <f>O33+Trades!W33</f>
        <v>-0.11964694176403755</v>
      </c>
    </row>
    <row r="35" spans="2:26" x14ac:dyDescent="0.25">
      <c r="B35" s="1">
        <v>12</v>
      </c>
      <c r="C35" s="1">
        <v>15</v>
      </c>
      <c r="D35" s="1">
        <f>COUNTIFS(Trades!N:N,"&gt;="&amp;B35,Trades!N:N,"&lt;="&amp;C35,Trades!T:T,"&gt;0")/(COUNTIFS(Trades!N:N,"&gt;="&amp;B35,Trades!N:N,"&lt;="&amp;C35,Trades!T:T,"&gt;0")+COUNTIFS(Trades!N:N,"&gt;="&amp;B35,Trades!N:N,"&lt;="&amp;C35,Trades!T:T,"&lt;0"))</f>
        <v>0.953125</v>
      </c>
      <c r="L35" s="6">
        <f>Trades!P34</f>
        <v>38916</v>
      </c>
      <c r="M35" s="7">
        <f>M34+Trades!T34</f>
        <v>0.60900894967554053</v>
      </c>
      <c r="N35" s="7">
        <f>N34+Trades!U34</f>
        <v>0.12970260099410402</v>
      </c>
      <c r="O35" s="7">
        <f>O34+Trades!W34</f>
        <v>3.3810774962786852E-2</v>
      </c>
    </row>
    <row r="36" spans="2:26" x14ac:dyDescent="0.25">
      <c r="B36" s="1">
        <v>16</v>
      </c>
      <c r="C36" s="1">
        <v>1000000</v>
      </c>
      <c r="D36" s="1">
        <f>COUNTIFS(Trades!N:N,"&gt;="&amp;B36,Trades!N:N,"&lt;="&amp;C36,Trades!T:T,"&gt;0")/(COUNTIFS(Trades!N:N,"&gt;="&amp;B36,Trades!N:N,"&lt;="&amp;C36,Trades!T:T,"&gt;0")+COUNTIFS(Trades!N:N,"&gt;="&amp;B36,Trades!N:N,"&lt;="&amp;C36,Trades!T:T,"&lt;0"))</f>
        <v>0.42657342657342656</v>
      </c>
      <c r="L36" s="6">
        <f>Trades!P35</f>
        <v>39290</v>
      </c>
      <c r="M36" s="7">
        <f>M35+Trades!T35</f>
        <v>0.69915907033909008</v>
      </c>
      <c r="N36" s="7">
        <f>N35+Trades!U35</f>
        <v>0.20461447361518709</v>
      </c>
      <c r="O36" s="7">
        <f>O35+Trades!W35</f>
        <v>0.10566297544402355</v>
      </c>
    </row>
    <row r="37" spans="2:26" x14ac:dyDescent="0.25">
      <c r="L37" s="6">
        <f>Trades!P36</f>
        <v>39624</v>
      </c>
      <c r="M37" s="7">
        <f>M36+Trades!T36</f>
        <v>0.70337534058184936</v>
      </c>
      <c r="N37" s="7">
        <f>N36+Trades!U36</f>
        <v>0.18553241453713926</v>
      </c>
      <c r="O37" s="7">
        <f>O36+Trades!W36</f>
        <v>8.1926607134590809E-2</v>
      </c>
    </row>
    <row r="38" spans="2:26" x14ac:dyDescent="0.25">
      <c r="L38" s="6">
        <f>Trades!P37</f>
        <v>39687</v>
      </c>
      <c r="M38" s="7">
        <f>M37+Trades!T37</f>
        <v>0.73829693995752022</v>
      </c>
      <c r="N38" s="7">
        <f>N37+Trades!U37</f>
        <v>0.1972056702229304</v>
      </c>
      <c r="O38" s="7">
        <f>O37+Trades!W37</f>
        <v>8.8945553588997028E-2</v>
      </c>
    </row>
    <row r="39" spans="2:26" x14ac:dyDescent="0.25">
      <c r="B39" s="15" t="s">
        <v>79</v>
      </c>
      <c r="C39" s="17"/>
      <c r="D39" s="18"/>
      <c r="E39" s="19"/>
      <c r="L39" s="6">
        <f>Trades!P38</f>
        <v>39890</v>
      </c>
      <c r="M39" s="7">
        <f>M38+Trades!T38</f>
        <v>0.7391062528433201</v>
      </c>
      <c r="N39" s="7">
        <f>N38+Trades!U38</f>
        <v>0.17473406432568989</v>
      </c>
      <c r="O39" s="7">
        <f>O38+Trades!W38</f>
        <v>6.1818983823821963E-2</v>
      </c>
    </row>
    <row r="40" spans="2:26" x14ac:dyDescent="0.25">
      <c r="B40" s="20" t="s">
        <v>80</v>
      </c>
      <c r="C40" s="21"/>
      <c r="D40" s="21"/>
      <c r="E40" s="22"/>
      <c r="L40" s="6">
        <f>Trades!P39</f>
        <v>41094</v>
      </c>
      <c r="M40" s="7">
        <f>M39+Trades!T39</f>
        <v>0.75633023315614134</v>
      </c>
      <c r="N40" s="7">
        <f>N39+Trades!U39</f>
        <v>0.16866896746286897</v>
      </c>
      <c r="O40" s="7">
        <f>O39+Trades!W39</f>
        <v>5.1098923093066476E-2</v>
      </c>
    </row>
    <row r="41" spans="2:26" x14ac:dyDescent="0.25">
      <c r="B41" s="23"/>
      <c r="C41" s="24"/>
      <c r="D41" s="24"/>
      <c r="E41" s="25"/>
      <c r="L41" s="6">
        <f>Trades!P40</f>
        <v>41242</v>
      </c>
      <c r="M41" s="7">
        <f>M40+Trades!T40</f>
        <v>0.78299689982280785</v>
      </c>
      <c r="N41" s="7">
        <f>N40+Trades!U40</f>
        <v>0.1720757847145751</v>
      </c>
      <c r="O41" s="7">
        <f>O40+Trades!W40</f>
        <v>4.9850776476838055E-2</v>
      </c>
    </row>
    <row r="42" spans="2:26" x14ac:dyDescent="0.25">
      <c r="B42" s="23"/>
      <c r="C42" s="24"/>
      <c r="D42" s="24"/>
      <c r="E42" s="25"/>
      <c r="L42" s="6">
        <f>Trades!P41</f>
        <v>41641</v>
      </c>
      <c r="M42" s="7">
        <f>M41+Trades!T41</f>
        <v>0.85297007644127165</v>
      </c>
      <c r="N42" s="7">
        <f>N41+Trades!U41</f>
        <v>0.21869089593948846</v>
      </c>
      <c r="O42" s="7">
        <f>O41+Trades!W41</f>
        <v>9.1811578470366501E-2</v>
      </c>
    </row>
    <row r="43" spans="2:26" x14ac:dyDescent="0.25">
      <c r="B43" s="23"/>
      <c r="C43" s="24"/>
      <c r="D43" s="24"/>
      <c r="E43" s="25"/>
      <c r="L43" s="6">
        <f>Trades!P42</f>
        <v>42034</v>
      </c>
      <c r="M43" s="7">
        <f>M42+Trades!T42</f>
        <v>0.87026331965556847</v>
      </c>
      <c r="N43" s="7">
        <f>N42+Trades!U42</f>
        <v>0.21266988711800375</v>
      </c>
      <c r="O43" s="7">
        <f>O42+Trades!W42</f>
        <v>8.1136260417496886E-2</v>
      </c>
    </row>
    <row r="44" spans="2:26" x14ac:dyDescent="0.25">
      <c r="B44" s="26"/>
      <c r="C44" s="27"/>
      <c r="D44" s="27"/>
      <c r="E44" s="28"/>
      <c r="L44" s="6">
        <f>Trades!P43</f>
        <v>42191</v>
      </c>
      <c r="M44" s="7">
        <f>M43+Trades!T43</f>
        <v>0.868822544363407</v>
      </c>
      <c r="N44" s="7">
        <f>N43+Trades!U43</f>
        <v>0.18792863172061997</v>
      </c>
      <c r="O44" s="7">
        <f>O43+Trades!W43</f>
        <v>5.1740041152178548E-2</v>
      </c>
    </row>
    <row r="45" spans="2:26" x14ac:dyDescent="0.25">
      <c r="L45" s="6">
        <f>Trades!P44</f>
        <v>42421</v>
      </c>
      <c r="M45" s="7">
        <f>M44+Trades!T44</f>
        <v>0.94922728365838094</v>
      </c>
      <c r="N45" s="7">
        <f>N44+Trades!U44</f>
        <v>0.24512200278320542</v>
      </c>
      <c r="O45" s="7">
        <f>O44+Trades!W44</f>
        <v>0.10427844834682944</v>
      </c>
    </row>
    <row r="46" spans="2:26" x14ac:dyDescent="0.25">
      <c r="G46" s="14">
        <v>2</v>
      </c>
      <c r="H46" s="14" t="s">
        <v>81</v>
      </c>
      <c r="L46" s="6">
        <f>Trades!P45</f>
        <v>42505</v>
      </c>
      <c r="M46" s="7">
        <f>M45+Trades!T45</f>
        <v>0.9380759632719865</v>
      </c>
      <c r="N46" s="7">
        <f>N45+Trades!U45</f>
        <v>0.21072788334178705</v>
      </c>
      <c r="O46" s="7">
        <f>O45+Trades!W45</f>
        <v>6.5229365037476505E-2</v>
      </c>
      <c r="Y46" s="14">
        <v>3</v>
      </c>
      <c r="Z46" s="14" t="s">
        <v>82</v>
      </c>
    </row>
    <row r="47" spans="2:26" x14ac:dyDescent="0.25">
      <c r="L47" s="6">
        <f>Trades!P46</f>
        <v>42636</v>
      </c>
      <c r="M47" s="7">
        <f>M46+Trades!T46</f>
        <v>0.9706681880266973</v>
      </c>
      <c r="N47" s="7">
        <f>N46+Trades!U46</f>
        <v>0.22006676086596078</v>
      </c>
      <c r="O47" s="7">
        <f>O46+Trades!W46</f>
        <v>6.9913933330265327E-2</v>
      </c>
    </row>
    <row r="48" spans="2:26" x14ac:dyDescent="0.25">
      <c r="L48" s="6">
        <f>Trades!P47</f>
        <v>42801</v>
      </c>
      <c r="M48" s="7">
        <f>M47+Trades!T47</f>
        <v>1.0615569307632515</v>
      </c>
      <c r="N48" s="7">
        <f>N47+Trades!U47</f>
        <v>0.28779675493559476</v>
      </c>
      <c r="O48" s="7">
        <f>O47+Trades!W47</f>
        <v>0.1329896181685144</v>
      </c>
    </row>
    <row r="49" spans="12:15" x14ac:dyDescent="0.25">
      <c r="L49" s="6">
        <f>Trades!P48</f>
        <v>42932</v>
      </c>
      <c r="M49" s="7">
        <f>M48+Trades!T48</f>
        <v>1.0679036948172698</v>
      </c>
      <c r="N49" s="7">
        <f>N48+Trades!U48</f>
        <v>0.27086365695768916</v>
      </c>
      <c r="O49" s="7">
        <f>O48+Trades!W48</f>
        <v>0.11140155632267422</v>
      </c>
    </row>
    <row r="50" spans="12:15" x14ac:dyDescent="0.25">
      <c r="L50" s="6">
        <f>Trades!P49</f>
        <v>43269</v>
      </c>
      <c r="M50" s="7">
        <f>M49+Trades!T49</f>
        <v>1.0790037489259614</v>
      </c>
      <c r="N50" s="7">
        <f>N49+Trades!U49</f>
        <v>0.25867855293329234</v>
      </c>
      <c r="O50" s="7">
        <f>O49+Trades!W49</f>
        <v>9.4562143066892493E-2</v>
      </c>
    </row>
    <row r="51" spans="12:15" x14ac:dyDescent="0.25">
      <c r="L51" s="6">
        <f>Trades!P50</f>
        <v>43524</v>
      </c>
      <c r="M51" s="7">
        <f>M50+Trades!T50</f>
        <v>1.062766582331613</v>
      </c>
      <c r="N51" s="7">
        <f>N50+Trades!U50</f>
        <v>0.22129473201765176</v>
      </c>
      <c r="O51" s="7">
        <f>O50+Trades!W50</f>
        <v>5.2946306818868485E-2</v>
      </c>
    </row>
    <row r="52" spans="12:15" x14ac:dyDescent="0.25">
      <c r="L52" s="6">
        <f>Trades!P51</f>
        <v>44361</v>
      </c>
      <c r="M52" s="7">
        <f>M51+Trades!T51</f>
        <v>1.0737843408996912</v>
      </c>
      <c r="N52" s="7">
        <f>N51+Trades!U51</f>
        <v>0.21118272770296317</v>
      </c>
      <c r="O52" s="7">
        <f>O51+Trades!W51</f>
        <v>3.8602519071179148E-2</v>
      </c>
    </row>
    <row r="53" spans="12:15" x14ac:dyDescent="0.25">
      <c r="L53" s="6">
        <f>Trades!P52</f>
        <v>44578</v>
      </c>
      <c r="M53" s="7">
        <f>M52+Trades!T52</f>
        <v>1.0737835101046775</v>
      </c>
      <c r="N53" s="7">
        <f>N52+Trades!U52</f>
        <v>0.19000318523238199</v>
      </c>
      <c r="O53" s="7">
        <f>O52+Trades!W52</f>
        <v>1.3191193167597228E-2</v>
      </c>
    </row>
    <row r="54" spans="12:15" x14ac:dyDescent="0.25">
      <c r="L54" s="6">
        <f>Trades!P53</f>
        <v>45179</v>
      </c>
      <c r="M54" s="7">
        <f>M53+Trades!T53</f>
        <v>1.0260682482153185</v>
      </c>
      <c r="N54" s="7">
        <f>N53+Trades!U53</f>
        <v>0.12118470495917487</v>
      </c>
      <c r="O54" s="7">
        <f>O53+Trades!W53</f>
        <v>-5.9859070538610629E-2</v>
      </c>
    </row>
    <row r="55" spans="12:15" x14ac:dyDescent="0.25">
      <c r="L55" s="6">
        <f>Trades!P54</f>
        <v>45554</v>
      </c>
      <c r="M55" s="7">
        <f>M54+Trades!T54</f>
        <v>1.111033318941252</v>
      </c>
      <c r="N55" s="7">
        <f>N54+Trades!U54</f>
        <v>0.18497892454008935</v>
      </c>
      <c r="O55" s="7">
        <f>O54+Trades!W54</f>
        <v>-2.9663439069688852E-4</v>
      </c>
    </row>
    <row r="56" spans="12:15" x14ac:dyDescent="0.25">
      <c r="L56" s="6">
        <f>Trades!P55</f>
        <v>45961</v>
      </c>
      <c r="M56" s="7">
        <f>M55+Trades!T55</f>
        <v>1.1451376136993792</v>
      </c>
      <c r="N56" s="7">
        <f>N55+Trades!U55</f>
        <v>0.19804774397465469</v>
      </c>
      <c r="O56" s="7">
        <f>O55+Trades!W55</f>
        <v>8.5404016108677223E-3</v>
      </c>
    </row>
    <row r="57" spans="12:15" x14ac:dyDescent="0.25">
      <c r="L57" s="6">
        <f>Trades!P56</f>
        <v>46363</v>
      </c>
      <c r="M57" s="7">
        <f>M56+Trades!T56</f>
        <v>1.1241585471506854</v>
      </c>
      <c r="N57" s="7">
        <f>N56+Trades!U56</f>
        <v>0.15589609838663693</v>
      </c>
      <c r="O57" s="7">
        <f>O56+Trades!W56</f>
        <v>-3.7843027410150769E-2</v>
      </c>
    </row>
    <row r="58" spans="12:15" x14ac:dyDescent="0.25">
      <c r="L58" s="6">
        <f>Trades!P57</f>
        <v>47126</v>
      </c>
      <c r="M58" s="7">
        <f>M57+Trades!T57</f>
        <v>1.1366563728150627</v>
      </c>
      <c r="N58" s="7">
        <f>N57+Trades!U57</f>
        <v>0.14713398037258044</v>
      </c>
      <c r="O58" s="7">
        <f>O57+Trades!W57</f>
        <v>-5.0837160756590685E-2</v>
      </c>
    </row>
    <row r="59" spans="12:15" x14ac:dyDescent="0.25">
      <c r="L59" s="6">
        <f>Trades!P58</f>
        <v>47424</v>
      </c>
      <c r="M59" s="7">
        <f>M58+Trades!T58</f>
        <v>1.1223318776849158</v>
      </c>
      <c r="N59" s="7">
        <f>N58+Trades!U58</f>
        <v>0.11821135801364713</v>
      </c>
      <c r="O59" s="7">
        <f>O58+Trades!W58</f>
        <v>-8.2676546505458526E-2</v>
      </c>
    </row>
    <row r="60" spans="12:15" x14ac:dyDescent="0.25">
      <c r="L60" s="6">
        <f>Trades!P59</f>
        <v>47906</v>
      </c>
      <c r="M60" s="7">
        <f>M59+Trades!T59</f>
        <v>1.1341008537267374</v>
      </c>
      <c r="N60" s="7">
        <f>N59+Trades!U59</f>
        <v>0.11541333474767333</v>
      </c>
      <c r="O60" s="7">
        <f>O59+Trades!W59</f>
        <v>-8.8391333161366853E-2</v>
      </c>
    </row>
    <row r="61" spans="12:15" x14ac:dyDescent="0.25">
      <c r="L61" s="6">
        <f>Trades!P60</f>
        <v>48290</v>
      </c>
      <c r="M61" s="7">
        <f>M60+Trades!T60</f>
        <v>1.1734492486933372</v>
      </c>
      <c r="N61" s="7">
        <f>N60+Trades!U60</f>
        <v>0.1402063311184828</v>
      </c>
      <c r="O61" s="7">
        <f>O60+Trades!W60</f>
        <v>-6.6515100180491948E-2</v>
      </c>
    </row>
    <row r="62" spans="12:15" x14ac:dyDescent="0.25">
      <c r="L62" s="6">
        <f>Trades!P61</f>
        <v>48682</v>
      </c>
      <c r="M62" s="7">
        <f>M61+Trades!T61</f>
        <v>1.2102827865619898</v>
      </c>
      <c r="N62" s="7">
        <f>N61+Trades!U61</f>
        <v>0.16243225625011276</v>
      </c>
      <c r="O62" s="7">
        <f>O61+Trades!W61</f>
        <v>-4.7207021134058939E-2</v>
      </c>
    </row>
    <row r="63" spans="12:15" x14ac:dyDescent="0.25">
      <c r="L63" s="6">
        <f>Trades!P62</f>
        <v>49003</v>
      </c>
      <c r="M63" s="7">
        <f>M62+Trades!T62</f>
        <v>1.1834910528077314</v>
      </c>
      <c r="N63" s="7">
        <f>N62+Trades!U62</f>
        <v>0.12105278932107805</v>
      </c>
      <c r="O63" s="7">
        <f>O62+Trades!W62</f>
        <v>-9.1504334148290623E-2</v>
      </c>
    </row>
    <row r="64" spans="12:15" x14ac:dyDescent="0.25">
      <c r="L64" s="6">
        <f>Trades!P63</f>
        <v>49063</v>
      </c>
      <c r="M64" s="7">
        <f>M63+Trades!T63</f>
        <v>1.2308337624609405</v>
      </c>
      <c r="N64" s="7">
        <f>N63+Trades!U63</f>
        <v>0.15383529678979532</v>
      </c>
      <c r="O64" s="7">
        <f>O63+Trades!W63</f>
        <v>-6.1638590069507879E-2</v>
      </c>
    </row>
    <row r="65" spans="12:15" x14ac:dyDescent="0.25">
      <c r="L65" s="6">
        <f>Trades!P64</f>
        <v>50255</v>
      </c>
      <c r="M65" s="7">
        <f>M64+Trades!T64</f>
        <v>1.2115635424902547</v>
      </c>
      <c r="N65" s="7">
        <f>N64+Trades!U64</f>
        <v>0.11993745421708807</v>
      </c>
      <c r="O65" s="7">
        <f>O64+Trades!W64</f>
        <v>-9.8453196032149665E-2</v>
      </c>
    </row>
    <row r="66" spans="12:15" x14ac:dyDescent="0.25">
      <c r="L66" s="6">
        <f>Trades!P65</f>
        <v>59124</v>
      </c>
      <c r="M66" s="7">
        <f>M65+Trades!T65</f>
        <v>1.2262300386779594</v>
      </c>
      <c r="N66" s="7">
        <f>N65+Trades!U65</f>
        <v>0.11747717738873688</v>
      </c>
      <c r="O66" s="7">
        <f>O65+Trades!W65</f>
        <v>-0.10433812001644531</v>
      </c>
    </row>
    <row r="67" spans="12:15" x14ac:dyDescent="0.25">
      <c r="L67" s="6">
        <f>Trades!P66</f>
        <v>59610</v>
      </c>
      <c r="M67" s="7">
        <f>M66+Trades!T66</f>
        <v>1.3238002275158784</v>
      </c>
      <c r="N67" s="7">
        <f>N66+Trades!U66</f>
        <v>0.19807302593097859</v>
      </c>
      <c r="O67" s="7">
        <f>O66+Trades!W66</f>
        <v>-2.7166342989483644E-2</v>
      </c>
    </row>
    <row r="68" spans="12:15" x14ac:dyDescent="0.25">
      <c r="L68" s="6">
        <f>Trades!P67</f>
        <v>59883</v>
      </c>
      <c r="M68" s="7">
        <f>M67+Trades!T67</f>
        <v>1.3619991456110521</v>
      </c>
      <c r="N68" s="7">
        <f>N67+Trades!U67</f>
        <v>0.21915252484262177</v>
      </c>
      <c r="O68" s="7">
        <f>O67+Trades!W67</f>
        <v>-9.5109155931205336E-3</v>
      </c>
    </row>
    <row r="69" spans="12:15" x14ac:dyDescent="0.25">
      <c r="L69" s="6">
        <f>Trades!P68</f>
        <v>59998</v>
      </c>
      <c r="M69" s="7">
        <f>M68+Trades!T68</f>
        <v>1.8139924347315619</v>
      </c>
      <c r="N69" s="7">
        <f>N68+Trades!U68</f>
        <v>0.65432124395048019</v>
      </c>
      <c r="O69" s="7">
        <f>O68+Trades!W68</f>
        <v>0.42223315635879355</v>
      </c>
    </row>
    <row r="70" spans="12:15" x14ac:dyDescent="0.25">
      <c r="L70" s="6">
        <f>Trades!P69</f>
        <v>60392</v>
      </c>
      <c r="M70" s="7">
        <f>M69+Trades!T69</f>
        <v>1.896087140800901</v>
      </c>
      <c r="N70" s="7">
        <f>N69+Trades!U69</f>
        <v>0.71929999930642741</v>
      </c>
      <c r="O70" s="7">
        <f>O69+Trades!W69</f>
        <v>0.48378784019946075</v>
      </c>
    </row>
    <row r="71" spans="12:15" x14ac:dyDescent="0.25">
      <c r="L71" s="6">
        <f>Trades!P70</f>
        <v>61585</v>
      </c>
      <c r="M71" s="7">
        <f>M70+Trades!T70</f>
        <v>1.8708942903670447</v>
      </c>
      <c r="N71" s="7">
        <f>N70+Trades!U70</f>
        <v>0.67712608623601922</v>
      </c>
      <c r="O71" s="7">
        <f>O70+Trades!W70</f>
        <v>0.43818985561377249</v>
      </c>
    </row>
    <row r="72" spans="12:15" x14ac:dyDescent="0.25">
      <c r="L72" s="6">
        <f>Trades!P71</f>
        <v>62000</v>
      </c>
      <c r="M72" s="7">
        <f>M71+Trades!T71</f>
        <v>1.9890110977673614</v>
      </c>
      <c r="N72" s="7">
        <f>N71+Trades!U71</f>
        <v>0.77802738756902134</v>
      </c>
      <c r="O72" s="7">
        <f>O71+Trades!W71</f>
        <v>0.53566650979083008</v>
      </c>
    </row>
    <row r="73" spans="12:15" x14ac:dyDescent="0.25">
      <c r="L73" s="6">
        <f>Trades!P72</f>
        <v>62293</v>
      </c>
      <c r="M73" s="7">
        <f>M72+Trades!T72</f>
        <v>1.995974721218666</v>
      </c>
      <c r="N73" s="7">
        <f>N72+Trades!U72</f>
        <v>0.76788195459254494</v>
      </c>
      <c r="O73" s="7">
        <f>O72+Trades!W72</f>
        <v>0.52209700529907366</v>
      </c>
    </row>
    <row r="74" spans="12:15" x14ac:dyDescent="0.25">
      <c r="L74" s="6">
        <f>Trades!P73</f>
        <v>62345</v>
      </c>
      <c r="M74" s="7">
        <f>M73+Trades!T73</f>
        <v>2.2875655501852523</v>
      </c>
      <c r="N74" s="7">
        <f>N73+Trades!U73</f>
        <v>1.0421876783317381</v>
      </c>
      <c r="O74" s="7">
        <f>O73+Trades!W73</f>
        <v>0.79297865752298669</v>
      </c>
    </row>
    <row r="75" spans="12:15" x14ac:dyDescent="0.25">
      <c r="L75" s="6">
        <f>Trades!P74</f>
        <v>63134</v>
      </c>
      <c r="M75" s="7">
        <f>M74+Trades!T74</f>
        <v>2.3377945742566317</v>
      </c>
      <c r="N75" s="7">
        <f>N74+Trades!U74</f>
        <v>1.0752537731632306</v>
      </c>
      <c r="O75" s="7">
        <f>O74+Trades!W74</f>
        <v>0.82261997777105822</v>
      </c>
    </row>
    <row r="76" spans="12:15" x14ac:dyDescent="0.25">
      <c r="L76" s="6">
        <f>Trades!P75</f>
        <v>63444</v>
      </c>
      <c r="M76" s="7">
        <f>M75+Trades!T75</f>
        <v>2.3475916349184489</v>
      </c>
      <c r="N76" s="7">
        <f>N75+Trades!U75</f>
        <v>1.06796699861835</v>
      </c>
      <c r="O76" s="7">
        <f>O75+Trades!W75</f>
        <v>0.81190842864275692</v>
      </c>
    </row>
    <row r="77" spans="12:15" x14ac:dyDescent="0.25">
      <c r="L77" s="6">
        <f>Trades!P76</f>
        <v>63523</v>
      </c>
      <c r="M77" s="7">
        <f>M76+Trades!T76</f>
        <v>2.3918490086361204</v>
      </c>
      <c r="N77" s="7">
        <f>N76+Trades!U76</f>
        <v>1.0950345454416408</v>
      </c>
      <c r="O77" s="7">
        <f>O76+Trades!W76</f>
        <v>0.83555062594467921</v>
      </c>
    </row>
    <row r="78" spans="12:15" x14ac:dyDescent="0.25">
      <c r="L78" s="6">
        <f>Trades!P77</f>
        <v>63686</v>
      </c>
      <c r="M78" s="7">
        <f>M77+Trades!T77</f>
        <v>2.4063048652437429</v>
      </c>
      <c r="N78" s="7">
        <f>N77+Trades!U77</f>
        <v>1.0924209319354121</v>
      </c>
      <c r="O78" s="7">
        <f>O77+Trades!W77</f>
        <v>0.8295122378550297</v>
      </c>
    </row>
    <row r="79" spans="12:15" x14ac:dyDescent="0.25">
      <c r="L79" s="6">
        <f>Trades!P78</f>
        <v>63910</v>
      </c>
      <c r="M79" s="7">
        <f>M78+Trades!T78</f>
        <v>2.7872213429913768</v>
      </c>
      <c r="N79" s="7">
        <f>N78+Trades!U78</f>
        <v>1.4560563329822314</v>
      </c>
      <c r="O79" s="7">
        <f>O78+Trades!W78</f>
        <v>1.1897222893804806</v>
      </c>
    </row>
    <row r="80" spans="12:15" x14ac:dyDescent="0.25">
      <c r="L80" s="6">
        <f>Trades!P79</f>
        <v>65029</v>
      </c>
      <c r="M80" s="7">
        <f>M79+Trades!T79</f>
        <v>2.8200058387325027</v>
      </c>
      <c r="N80" s="7">
        <f>N79+Trades!U79</f>
        <v>1.4717090555756429</v>
      </c>
      <c r="O80" s="7">
        <f>O79+Trades!W79</f>
        <v>1.2019496624525237</v>
      </c>
    </row>
    <row r="81" spans="12:15" x14ac:dyDescent="0.25">
      <c r="L81" s="6">
        <f>Trades!P80</f>
        <v>65099</v>
      </c>
      <c r="M81" s="7">
        <f>M80+Trades!T80</f>
        <v>2.868026306478535</v>
      </c>
      <c r="N81" s="7">
        <f>N80+Trades!U80</f>
        <v>1.5025957280975217</v>
      </c>
      <c r="O81" s="7">
        <f>O80+Trades!W80</f>
        <v>1.2294115603909817</v>
      </c>
    </row>
    <row r="82" spans="12:15" x14ac:dyDescent="0.25">
      <c r="L82" s="6">
        <f>Trades!P81</f>
        <v>66092</v>
      </c>
      <c r="M82" s="7">
        <f>M81+Trades!T81</f>
        <v>2.8880419549977772</v>
      </c>
      <c r="N82" s="7">
        <f>N81+Trades!U81</f>
        <v>1.505483073612959</v>
      </c>
      <c r="O82" s="7">
        <f>O81+Trades!W81</f>
        <v>1.2288741313229981</v>
      </c>
    </row>
    <row r="83" spans="12:15" x14ac:dyDescent="0.25">
      <c r="L83" s="6">
        <f>Trades!P82</f>
        <v>66260</v>
      </c>
      <c r="M83" s="7">
        <f>M82+Trades!T82</f>
        <v>2.9385495403962016</v>
      </c>
      <c r="N83" s="7">
        <f>N82+Trades!U82</f>
        <v>1.538953429767242</v>
      </c>
      <c r="O83" s="7">
        <f>O82+Trades!W82</f>
        <v>1.2589191379559126</v>
      </c>
    </row>
    <row r="84" spans="12:15" x14ac:dyDescent="0.25">
      <c r="L84" s="6">
        <f>Trades!P83</f>
        <v>66928</v>
      </c>
      <c r="M84" s="7">
        <f>M83+Trades!T83</f>
        <v>2.9483808596424992</v>
      </c>
      <c r="N84" s="7">
        <f>N83+Trades!U83</f>
        <v>1.5316132814805647</v>
      </c>
      <c r="O84" s="7">
        <f>O83+Trades!W83</f>
        <v>1.2481488656880668</v>
      </c>
    </row>
    <row r="85" spans="12:15" x14ac:dyDescent="0.25">
      <c r="L85" s="6">
        <f>Trades!P84</f>
        <v>67050</v>
      </c>
      <c r="M85" s="7">
        <f>M84+Trades!T84</f>
        <v>2.9915854017337251</v>
      </c>
      <c r="N85" s="7">
        <f>N84+Trades!U84</f>
        <v>1.5576450152066268</v>
      </c>
      <c r="O85" s="7">
        <f>O84+Trades!W84</f>
        <v>1.2707504754329604</v>
      </c>
    </row>
    <row r="86" spans="12:15" x14ac:dyDescent="0.25">
      <c r="L86" s="6">
        <f>Trades!P85</f>
        <v>67427</v>
      </c>
      <c r="M86" s="7">
        <f>M85+Trades!T85</f>
        <v>3.0268830806181728</v>
      </c>
      <c r="N86" s="7">
        <f>N85+Trades!U85</f>
        <v>1.5757858776693017</v>
      </c>
      <c r="O86" s="7">
        <f>O85+Trades!W85</f>
        <v>1.2854612139144668</v>
      </c>
    </row>
    <row r="87" spans="12:15" x14ac:dyDescent="0.25">
      <c r="L87" s="6">
        <f>Trades!P86</f>
        <v>68607</v>
      </c>
      <c r="M87" s="7">
        <f>M86+Trades!T86</f>
        <v>3.0487099301592879</v>
      </c>
      <c r="N87" s="7">
        <f>N86+Trades!U86</f>
        <v>1.5804561305185092</v>
      </c>
      <c r="O87" s="7">
        <f>O86+Trades!W86</f>
        <v>1.286701912943605</v>
      </c>
    </row>
    <row r="88" spans="12:15" x14ac:dyDescent="0.25">
      <c r="L88" s="6">
        <f>Trades!P87</f>
        <v>68999</v>
      </c>
      <c r="M88" s="7">
        <f>M87+Trades!T87</f>
        <v>3.3294247185633612</v>
      </c>
      <c r="N88" s="7">
        <f>N87+Trades!U87</f>
        <v>1.8438641498122914</v>
      </c>
      <c r="O88" s="7">
        <f>O87+Trades!W87</f>
        <v>1.5466798082562185</v>
      </c>
    </row>
    <row r="89" spans="12:15" x14ac:dyDescent="0.25">
      <c r="L89" s="6">
        <f>Trades!P88</f>
        <v>69419</v>
      </c>
      <c r="M89" s="7">
        <f>M88+Trades!T88</f>
        <v>3.2594239794773068</v>
      </c>
      <c r="N89" s="7">
        <f>N88+Trades!U88</f>
        <v>1.7567408202870629</v>
      </c>
      <c r="O89" s="7">
        <f>O88+Trades!W88</f>
        <v>1.4561269249109208</v>
      </c>
    </row>
    <row r="90" spans="12:15" x14ac:dyDescent="0.25">
      <c r="L90" s="6">
        <f>Trades!P89</f>
        <v>69799</v>
      </c>
      <c r="M90" s="7">
        <f>M89+Trades!T89</f>
        <v>3.2949307580441229</v>
      </c>
      <c r="N90" s="7">
        <f>N89+Trades!U89</f>
        <v>1.7751161577400709</v>
      </c>
      <c r="O90" s="7">
        <f>O89+Trades!W89</f>
        <v>1.4710727085438597</v>
      </c>
    </row>
    <row r="91" spans="12:15" x14ac:dyDescent="0.25">
      <c r="L91" s="6">
        <f>Trades!P90</f>
        <v>70212</v>
      </c>
      <c r="M91" s="7">
        <f>M90+Trades!T90</f>
        <v>3.1976656641694952</v>
      </c>
      <c r="N91" s="7">
        <f>N90+Trades!U90</f>
        <v>1.6607179778512695</v>
      </c>
      <c r="O91" s="7">
        <f>O90+Trades!W90</f>
        <v>1.3532444046738896</v>
      </c>
    </row>
    <row r="92" spans="12:15" x14ac:dyDescent="0.25">
      <c r="L92" s="6">
        <f>Trades!P91</f>
        <v>70640</v>
      </c>
      <c r="M92" s="7">
        <f>M91+Trades!T91</f>
        <v>3.0058175794981206</v>
      </c>
      <c r="N92" s="7">
        <f>N91+Trades!U91</f>
        <v>1.4517647745839988</v>
      </c>
      <c r="O92" s="7">
        <f>O91+Trades!W91</f>
        <v>1.1408616475865498</v>
      </c>
    </row>
    <row r="93" spans="12:15" x14ac:dyDescent="0.25">
      <c r="L93" s="6">
        <f>Trades!P92</f>
        <v>70764</v>
      </c>
      <c r="M93" s="7">
        <f>M92+Trades!T92</f>
        <v>2.9718349859873849</v>
      </c>
      <c r="N93" s="7">
        <f>N92+Trades!U92</f>
        <v>1.4006510127821705</v>
      </c>
      <c r="O93" s="7">
        <f>O92+Trades!W92</f>
        <v>1.0863177618035531</v>
      </c>
    </row>
    <row r="94" spans="12:15" x14ac:dyDescent="0.25">
      <c r="L94" s="6">
        <f>Trades!P93</f>
        <v>70824</v>
      </c>
      <c r="M94" s="7">
        <f>M93+Trades!T93</f>
        <v>2.9545334663470859</v>
      </c>
      <c r="N94" s="7">
        <f>N93+Trades!U93</f>
        <v>1.3666730289517897</v>
      </c>
      <c r="O94" s="7">
        <f>O93+Trades!W93</f>
        <v>1.0490030864716966</v>
      </c>
    </row>
    <row r="95" spans="12:15" x14ac:dyDescent="0.25">
      <c r="L95" s="6">
        <f>Trades!P94</f>
        <v>70978</v>
      </c>
      <c r="M95" s="7">
        <f>M94+Trades!T94</f>
        <v>2.9823880889016978</v>
      </c>
      <c r="N95" s="7">
        <f>N94+Trades!U94</f>
        <v>1.3778505687046825</v>
      </c>
      <c r="O95" s="7">
        <f>O94+Trades!W94</f>
        <v>1.0568439347231136</v>
      </c>
    </row>
    <row r="96" spans="12:15" x14ac:dyDescent="0.25">
      <c r="L96" s="6">
        <f>Trades!P95</f>
        <v>71374</v>
      </c>
      <c r="M96" s="7">
        <f>M95+Trades!T95</f>
        <v>3.0001254895569245</v>
      </c>
      <c r="N96" s="7">
        <f>N95+Trades!U95</f>
        <v>1.3789308119567498</v>
      </c>
      <c r="O96" s="7">
        <f>O95+Trades!W95</f>
        <v>1.0545874864737053</v>
      </c>
    </row>
    <row r="97" spans="12:15" x14ac:dyDescent="0.25">
      <c r="L97" s="6">
        <f>Trades!P96</f>
        <v>71721</v>
      </c>
      <c r="M97" s="7">
        <f>M96+Trades!T96</f>
        <v>3.0094255019687877</v>
      </c>
      <c r="N97" s="7">
        <f>N96+Trades!U96</f>
        <v>1.3715360224749624</v>
      </c>
      <c r="O97" s="7">
        <f>O96+Trades!W96</f>
        <v>1.0438560054904422</v>
      </c>
    </row>
    <row r="98" spans="12:15" x14ac:dyDescent="0.25">
      <c r="L98" s="6">
        <f>Trades!P97</f>
        <v>71787</v>
      </c>
      <c r="M98" s="7">
        <f>M97+Trades!T97</f>
        <v>2.9144113890372414</v>
      </c>
      <c r="N98" s="7">
        <f>N97+Trades!U97</f>
        <v>1.2598317035533357</v>
      </c>
      <c r="O98" s="7">
        <f>O97+Trades!W97</f>
        <v>0.92881433209032982</v>
      </c>
    </row>
    <row r="99" spans="12:15" x14ac:dyDescent="0.25">
      <c r="L99" s="6">
        <f>Trades!P98</f>
        <v>72545</v>
      </c>
      <c r="M99" s="7">
        <f>M98+Trades!T98</f>
        <v>2.9112111099149995</v>
      </c>
      <c r="N99" s="7">
        <f>N98+Trades!U98</f>
        <v>1.2398863657487649</v>
      </c>
      <c r="O99" s="7">
        <f>O98+Trades!W98</f>
        <v>0.90553230278428321</v>
      </c>
    </row>
    <row r="100" spans="12:15" x14ac:dyDescent="0.25">
      <c r="L100" s="6">
        <f>Trades!P99</f>
        <v>72940</v>
      </c>
      <c r="M100" s="7">
        <f>M99+Trades!T99</f>
        <v>2.9298838205965971</v>
      </c>
      <c r="N100" s="7">
        <f>N99+Trades!U99</f>
        <v>1.2417715464825623</v>
      </c>
      <c r="O100" s="7">
        <f>O99+Trades!W99</f>
        <v>0.90408012903959478</v>
      </c>
    </row>
    <row r="101" spans="12:15" x14ac:dyDescent="0.25">
      <c r="L101" s="6">
        <f>Trades!P100</f>
        <v>73338</v>
      </c>
      <c r="M101" s="7">
        <f>M100+Trades!T100</f>
        <v>2.8719858654202084</v>
      </c>
      <c r="N101" s="7">
        <f>N100+Trades!U100</f>
        <v>1.1671936400807152</v>
      </c>
      <c r="O101" s="7">
        <f>O100+Trades!W100</f>
        <v>0.826165531136272</v>
      </c>
    </row>
    <row r="102" spans="12:15" x14ac:dyDescent="0.25">
      <c r="L102" s="6">
        <f>Trades!P101</f>
        <v>74107</v>
      </c>
      <c r="M102" s="7">
        <f>M101+Trades!T101</f>
        <v>2.9268550842300076</v>
      </c>
      <c r="N102" s="7">
        <f>N101+Trades!U101</f>
        <v>1.2053340041727936</v>
      </c>
      <c r="O102" s="7">
        <f>O101+Trades!W101</f>
        <v>0.86096854074986451</v>
      </c>
    </row>
    <row r="103" spans="12:15" x14ac:dyDescent="0.25">
      <c r="L103" s="6">
        <f>Trades!P102</f>
        <v>74516</v>
      </c>
      <c r="M103" s="7">
        <f>M102+Trades!T102</f>
        <v>2.9314939690712887</v>
      </c>
      <c r="N103" s="7">
        <f>N102+Trades!U102</f>
        <v>1.1934505362653918</v>
      </c>
      <c r="O103" s="7">
        <f>O102+Trades!W102</f>
        <v>0.84574838134098684</v>
      </c>
    </row>
    <row r="104" spans="12:15" x14ac:dyDescent="0.25">
      <c r="L104" s="6">
        <f>Trades!P103</f>
        <v>74724</v>
      </c>
      <c r="M104" s="7">
        <f>M103+Trades!T103</f>
        <v>2.9721176819369051</v>
      </c>
      <c r="N104" s="7">
        <f>N103+Trades!U103</f>
        <v>1.2036132225145022</v>
      </c>
      <c r="O104" s="7">
        <f>O103+Trades!W103</f>
        <v>0.84983919010439413</v>
      </c>
    </row>
    <row r="105" spans="12:15" x14ac:dyDescent="0.25">
      <c r="L105" s="6">
        <f>Trades!P104</f>
        <v>75278</v>
      </c>
      <c r="M105" s="7">
        <f>M104+Trades!T104</f>
        <v>3.2305328662309174</v>
      </c>
      <c r="N105" s="7">
        <f>N104+Trades!U104</f>
        <v>1.43161714886979</v>
      </c>
      <c r="O105" s="7">
        <f>O104+Trades!W104</f>
        <v>1.0717691660600359</v>
      </c>
    </row>
    <row r="106" spans="12:15" x14ac:dyDescent="0.25">
      <c r="L106" s="6">
        <f>Trades!P105</f>
        <v>75669</v>
      </c>
      <c r="M106" s="7">
        <f>M105+Trades!T105</f>
        <v>3.4552406844702248</v>
      </c>
      <c r="N106" s="7">
        <f>N105+Trades!U105</f>
        <v>1.6261293283911282</v>
      </c>
      <c r="O106" s="7">
        <f>O105+Trades!W105</f>
        <v>1.260209468095671</v>
      </c>
    </row>
    <row r="107" spans="12:15" x14ac:dyDescent="0.25">
      <c r="L107" s="6">
        <f>Trades!P106</f>
        <v>76060</v>
      </c>
      <c r="M107" s="7">
        <f>M106+Trades!T106</f>
        <v>3.740386811686526</v>
      </c>
      <c r="N107" s="7">
        <f>N106+Trades!U106</f>
        <v>1.8809711316685418</v>
      </c>
      <c r="O107" s="7">
        <f>O106+Trades!W106</f>
        <v>1.5089773209734387</v>
      </c>
    </row>
    <row r="108" spans="12:15" x14ac:dyDescent="0.25">
      <c r="L108" s="6">
        <f>Trades!P107</f>
        <v>76441</v>
      </c>
      <c r="M108" s="7">
        <f>M107+Trades!T107</f>
        <v>3.8933921166139265</v>
      </c>
      <c r="N108" s="7">
        <f>N107+Trades!U107</f>
        <v>2.0036958266565894</v>
      </c>
      <c r="O108" s="7">
        <f>O107+Trades!W107</f>
        <v>1.6256301384757832</v>
      </c>
    </row>
    <row r="109" spans="12:15" x14ac:dyDescent="0.25">
      <c r="L109" s="6">
        <f>Trades!P108</f>
        <v>76850</v>
      </c>
      <c r="M109" s="7">
        <f>M108+Trades!T108</f>
        <v>3.8324321139511572</v>
      </c>
      <c r="N109" s="7">
        <f>N108+Trades!U108</f>
        <v>1.9125362964937618</v>
      </c>
      <c r="O109" s="7">
        <f>O108+Trades!W108</f>
        <v>1.5283966579133097</v>
      </c>
    </row>
    <row r="110" spans="12:15" x14ac:dyDescent="0.25">
      <c r="L110" s="6">
        <f>Trades!P109</f>
        <v>76914</v>
      </c>
      <c r="M110" s="7">
        <f>M109+Trades!T109</f>
        <v>3.8691400779411218</v>
      </c>
      <c r="N110" s="7">
        <f>N109+Trades!U109</f>
        <v>1.918865061876833</v>
      </c>
      <c r="O110" s="7">
        <f>O109+Trades!W109</f>
        <v>1.5286514728967349</v>
      </c>
    </row>
    <row r="111" spans="12:15" x14ac:dyDescent="0.25">
      <c r="L111" s="6">
        <f>Trades!P110</f>
        <v>77225</v>
      </c>
      <c r="M111" s="7">
        <f>M110+Trades!T110</f>
        <v>4.0298142296021568</v>
      </c>
      <c r="N111" s="7">
        <f>N110+Trades!U110</f>
        <v>2.0491926184645246</v>
      </c>
      <c r="O111" s="7">
        <f>O110+Trades!W110</f>
        <v>1.6529071519987233</v>
      </c>
    </row>
    <row r="112" spans="12:15" x14ac:dyDescent="0.25">
      <c r="L112" s="6">
        <f>Trades!P111</f>
        <v>77629</v>
      </c>
      <c r="M112" s="7">
        <f>M111+Trades!T111</f>
        <v>4.0531539908953187</v>
      </c>
      <c r="N112" s="7">
        <f>N111+Trades!U111</f>
        <v>2.0422997671781054</v>
      </c>
      <c r="O112" s="7">
        <f>O111+Trades!W111</f>
        <v>1.6399424232266007</v>
      </c>
    </row>
    <row r="113" spans="12:15" x14ac:dyDescent="0.25">
      <c r="L113" s="6">
        <f>Trades!P112</f>
        <v>78000</v>
      </c>
      <c r="M113" s="7">
        <f>M112+Trades!T112</f>
        <v>4.3604895669901147</v>
      </c>
      <c r="N113" s="7">
        <f>N112+Trades!U112</f>
        <v>2.3191242871000295</v>
      </c>
      <c r="O113" s="7">
        <f>O112+Trades!W112</f>
        <v>1.9106929927488792</v>
      </c>
    </row>
    <row r="114" spans="12:15" x14ac:dyDescent="0.25">
      <c r="L114" s="6">
        <f>Trades!P113</f>
        <v>78624</v>
      </c>
      <c r="M114" s="7">
        <f>M113+Trades!T113</f>
        <v>4.3271748985462484</v>
      </c>
      <c r="N114" s="7">
        <f>N113+Trades!U113</f>
        <v>2.2593543472344195</v>
      </c>
      <c r="O114" s="7">
        <f>O113+Trades!W113</f>
        <v>1.8456396915809907</v>
      </c>
    </row>
    <row r="115" spans="12:15" x14ac:dyDescent="0.25">
      <c r="L115" s="6">
        <f>Trades!P114</f>
        <v>78790</v>
      </c>
      <c r="M115" s="7">
        <f>M114+Trades!T114</f>
        <v>4.3728698248324038</v>
      </c>
      <c r="N115" s="7">
        <f>N114+Trades!U114</f>
        <v>2.2786769313140249</v>
      </c>
      <c r="O115" s="7">
        <f>O114+Trades!W114</f>
        <v>1.8596801970782597</v>
      </c>
    </row>
    <row r="116" spans="12:15" x14ac:dyDescent="0.25">
      <c r="L116" s="6">
        <f>Trades!P115</f>
        <v>79271</v>
      </c>
      <c r="M116" s="7">
        <f>M115+Trades!T115</f>
        <v>4.4390088455289307</v>
      </c>
      <c r="N116" s="7">
        <f>N115+Trades!U115</f>
        <v>2.3183759472338559</v>
      </c>
      <c r="O116" s="7">
        <f>O115+Trades!W115</f>
        <v>1.894095851695812</v>
      </c>
    </row>
    <row r="117" spans="12:15" x14ac:dyDescent="0.25">
      <c r="L117" s="6">
        <f>Trades!P116</f>
        <v>79500</v>
      </c>
      <c r="M117" s="7">
        <f>M116+Trades!T116</f>
        <v>4.4382200871536455</v>
      </c>
      <c r="N117" s="7">
        <f>N116+Trades!U116</f>
        <v>2.291153425410354</v>
      </c>
      <c r="O117" s="7">
        <f>O116+Trades!W116</f>
        <v>1.8615912512899742</v>
      </c>
    </row>
    <row r="118" spans="12:15" x14ac:dyDescent="0.25">
      <c r="L118" s="6">
        <f>Trades!P117</f>
        <v>80307</v>
      </c>
      <c r="M118" s="7">
        <f>M117+Trades!T117</f>
        <v>4.4837222687231213</v>
      </c>
      <c r="N118" s="7">
        <f>N117+Trades!U117</f>
        <v>2.3102077619246368</v>
      </c>
      <c r="O118" s="7">
        <f>O117+Trades!W117</f>
        <v>1.8753622265019785</v>
      </c>
    </row>
    <row r="119" spans="12:15" x14ac:dyDescent="0.25">
      <c r="L119" s="6">
        <f>Trades!P118</f>
        <v>81152</v>
      </c>
      <c r="M119" s="7">
        <f>M118+Trades!T118</f>
        <v>4.4681953610939678</v>
      </c>
      <c r="N119" s="7">
        <f>N118+Trades!U118</f>
        <v>2.2684748890887003</v>
      </c>
      <c r="O119" s="7">
        <f>O118+Trades!W118</f>
        <v>1.8283459923637637</v>
      </c>
    </row>
    <row r="120" spans="12:15" x14ac:dyDescent="0.25">
      <c r="L120" s="6">
        <f>Trades!P119</f>
        <v>81530</v>
      </c>
      <c r="M120" s="7">
        <f>M119+Trades!T119</f>
        <v>4.6506950051468801</v>
      </c>
      <c r="N120" s="7">
        <f>N119+Trades!U119</f>
        <v>2.424645632318597</v>
      </c>
      <c r="O120" s="7">
        <f>O119+Trades!W119</f>
        <v>1.9792346570113244</v>
      </c>
    </row>
    <row r="121" spans="12:15" x14ac:dyDescent="0.25">
      <c r="L121" s="6">
        <f>Trades!P120</f>
        <v>82158</v>
      </c>
      <c r="M121" s="7">
        <f>M120+Trades!T120</f>
        <v>4.7869095337499852</v>
      </c>
      <c r="N121" s="7">
        <f>N120+Trades!U120</f>
        <v>2.5343720023329621</v>
      </c>
      <c r="O121" s="7">
        <f>O120+Trades!W120</f>
        <v>2.0836776657234108</v>
      </c>
    </row>
    <row r="122" spans="12:15" x14ac:dyDescent="0.25">
      <c r="L122" s="6">
        <f>Trades!P121</f>
        <v>82307</v>
      </c>
      <c r="M122" s="7">
        <f>M121+Trades!T121</f>
        <v>4.90361353482096</v>
      </c>
      <c r="N122" s="7">
        <f>N121+Trades!U121</f>
        <v>2.6246586042985172</v>
      </c>
      <c r="O122" s="7">
        <f>O121+Trades!W121</f>
        <v>2.1686821891066299</v>
      </c>
    </row>
    <row r="123" spans="12:15" x14ac:dyDescent="0.25">
      <c r="L123" s="6">
        <f>Trades!P122</f>
        <v>82401</v>
      </c>
      <c r="M123" s="7">
        <f>M122+Trades!T122</f>
        <v>4.8751566065261622</v>
      </c>
      <c r="N123" s="7">
        <f>N122+Trades!U122</f>
        <v>2.5697317458476823</v>
      </c>
      <c r="O123" s="7">
        <f>O122+Trades!W122</f>
        <v>2.108473252073459</v>
      </c>
    </row>
    <row r="124" spans="12:15" x14ac:dyDescent="0.25">
      <c r="L124" s="6">
        <f>Trades!P123</f>
        <v>82519</v>
      </c>
      <c r="M124" s="7">
        <f>M123+Trades!T123</f>
        <v>4.8910621748142038</v>
      </c>
      <c r="N124" s="7">
        <f>N123+Trades!U123</f>
        <v>2.5591979231973019</v>
      </c>
      <c r="O124" s="7">
        <f>O123+Trades!W123</f>
        <v>2.0926524591996452</v>
      </c>
    </row>
    <row r="125" spans="12:15" x14ac:dyDescent="0.25">
      <c r="L125" s="6">
        <f>Trades!P124</f>
        <v>83865</v>
      </c>
      <c r="M125" s="7">
        <f>M124+Trades!T124</f>
        <v>5.0466556292573568</v>
      </c>
      <c r="N125" s="7">
        <f>N124+Trades!U124</f>
        <v>2.6884570583800396</v>
      </c>
      <c r="O125" s="7">
        <f>O124+Trades!W124</f>
        <v>2.2166233365449184</v>
      </c>
    </row>
    <row r="126" spans="12:15" x14ac:dyDescent="0.25">
      <c r="L126" s="6">
        <f>Trades!P125</f>
        <v>84246</v>
      </c>
      <c r="M126" s="7">
        <f>M125+Trades!T125</f>
        <v>5.139777984105673</v>
      </c>
      <c r="N126" s="7">
        <f>N125+Trades!U125</f>
        <v>2.7551457258603329</v>
      </c>
      <c r="O126" s="7">
        <f>O125+Trades!W125</f>
        <v>2.2780237461877477</v>
      </c>
    </row>
    <row r="127" spans="12:15" x14ac:dyDescent="0.25">
      <c r="L127" s="6">
        <f>Trades!P126</f>
        <v>84329</v>
      </c>
      <c r="M127" s="7">
        <f>M126+Trades!T126</f>
        <v>5.1652806067171406</v>
      </c>
      <c r="N127" s="7">
        <f>N126+Trades!U126</f>
        <v>2.7542442224858457</v>
      </c>
      <c r="O127" s="7">
        <f>O126+Trades!W126</f>
        <v>2.271835272589827</v>
      </c>
    </row>
    <row r="128" spans="12:15" x14ac:dyDescent="0.25">
      <c r="L128" s="6">
        <f>Trades!P127</f>
        <v>84945</v>
      </c>
      <c r="M128" s="7">
        <f>M127+Trades!T127</f>
        <v>5.1743666344254109</v>
      </c>
      <c r="N128" s="7">
        <f>N127+Trades!U127</f>
        <v>2.7369206465007054</v>
      </c>
      <c r="O128" s="7">
        <f>O127+Trades!W127</f>
        <v>2.2492247263812533</v>
      </c>
    </row>
    <row r="129" spans="12:15" x14ac:dyDescent="0.25">
      <c r="L129" s="6">
        <f>Trades!P128</f>
        <v>86195</v>
      </c>
      <c r="M129" s="7">
        <f>M128+Trades!T128</f>
        <v>5.2494900938541145</v>
      </c>
      <c r="N129" s="7">
        <f>N128+Trades!U128</f>
        <v>2.7856186986584546</v>
      </c>
      <c r="O129" s="7">
        <f>O128+Trades!W128</f>
        <v>2.2926358083155689</v>
      </c>
    </row>
    <row r="130" spans="12:15" x14ac:dyDescent="0.25">
      <c r="L130" s="6">
        <f>Trades!P129</f>
        <v>86299</v>
      </c>
      <c r="M130" s="7">
        <f>M129+Trades!T129</f>
        <v>5.2751745177110987</v>
      </c>
      <c r="N130" s="7">
        <f>N129+Trades!U129</f>
        <v>2.7848044470562199</v>
      </c>
      <c r="O130" s="7">
        <f>O129+Trades!W129</f>
        <v>2.2865332988758702</v>
      </c>
    </row>
    <row r="131" spans="12:15" x14ac:dyDescent="0.25">
      <c r="L131" s="6">
        <f>Trades!P130</f>
        <v>86424</v>
      </c>
      <c r="M131" s="7">
        <f>M130+Trades!T130</f>
        <v>5.2973431701698015</v>
      </c>
      <c r="N131" s="7">
        <f>N130+Trades!U130</f>
        <v>2.7930519464303103</v>
      </c>
      <c r="O131" s="7">
        <f>O130+Trades!W130</f>
        <v>2.291994679016367</v>
      </c>
    </row>
    <row r="132" spans="12:15" x14ac:dyDescent="0.25">
      <c r="L132" s="6">
        <f>Trades!P131</f>
        <v>86578</v>
      </c>
      <c r="M132" s="7">
        <f>M131+Trades!T131</f>
        <v>5.3182584575990433</v>
      </c>
      <c r="N132" s="7">
        <f>N131+Trades!U131</f>
        <v>2.8000449925258906</v>
      </c>
      <c r="O132" s="7">
        <f>O131+Trades!W131</f>
        <v>2.2962016058783541</v>
      </c>
    </row>
    <row r="133" spans="12:15" x14ac:dyDescent="0.25">
      <c r="L133" s="6">
        <f>Trades!P132</f>
        <v>86609</v>
      </c>
      <c r="M133" s="7">
        <f>M132+Trades!T132</f>
        <v>5.3320689257340614</v>
      </c>
      <c r="N133" s="7">
        <f>N132+Trades!U132</f>
        <v>2.7999458111005961</v>
      </c>
      <c r="O133" s="7">
        <f>O132+Trades!W132</f>
        <v>2.2933150919453369</v>
      </c>
    </row>
    <row r="134" spans="12:15" x14ac:dyDescent="0.25">
      <c r="L134" s="6">
        <f>Trades!P133</f>
        <v>86992</v>
      </c>
      <c r="M134" s="7">
        <f>M133+Trades!T133</f>
        <v>5.3284229085668429</v>
      </c>
      <c r="N134" s="7">
        <f>N133+Trades!U133</f>
        <v>2.7823731572329846</v>
      </c>
      <c r="O134" s="7">
        <f>O133+Trades!W133</f>
        <v>2.272955105570003</v>
      </c>
    </row>
    <row r="135" spans="12:15" x14ac:dyDescent="0.25">
      <c r="L135" s="6">
        <f>Trades!P134</f>
        <v>87385</v>
      </c>
      <c r="M135" s="7">
        <f>M134+Trades!T134</f>
        <v>5.3520156287978526</v>
      </c>
      <c r="N135" s="7">
        <f>N134+Trades!U134</f>
        <v>2.792027573590095</v>
      </c>
      <c r="O135" s="7">
        <f>O134+Trades!W134</f>
        <v>2.2798221894193911</v>
      </c>
    </row>
    <row r="136" spans="12:15" x14ac:dyDescent="0.25">
      <c r="L136" s="6">
        <f>Trades!P135</f>
        <v>87703</v>
      </c>
      <c r="M136" s="7">
        <f>M135+Trades!T135</f>
        <v>5.3618654770273517</v>
      </c>
      <c r="N136" s="7">
        <f>N135+Trades!U135</f>
        <v>2.7879549354329298</v>
      </c>
      <c r="O136" s="7">
        <f>O135+Trades!W135</f>
        <v>2.2729634320286327</v>
      </c>
    </row>
    <row r="137" spans="12:15" x14ac:dyDescent="0.25">
      <c r="L137" s="6">
        <f>Trades!P136</f>
        <v>87769</v>
      </c>
      <c r="M137" s="7">
        <f>M136+Trades!T136</f>
        <v>5.3687796277253961</v>
      </c>
      <c r="N137" s="7">
        <f>N136+Trades!U136</f>
        <v>2.7809290866220961</v>
      </c>
      <c r="O137" s="7">
        <f>O136+Trades!W136</f>
        <v>2.2631502507100763</v>
      </c>
    </row>
    <row r="138" spans="12:15" x14ac:dyDescent="0.25">
      <c r="L138" s="6">
        <f>Trades!P137</f>
        <v>87944</v>
      </c>
      <c r="M138" s="7">
        <f>M137+Trades!T137</f>
        <v>5.3777208178617597</v>
      </c>
      <c r="N138" s="7">
        <f>N137+Trades!U137</f>
        <v>2.7759454666876464</v>
      </c>
      <c r="O138" s="7">
        <f>O137+Trades!W137</f>
        <v>2.2553805115420329</v>
      </c>
    </row>
    <row r="139" spans="12:15" x14ac:dyDescent="0.25">
      <c r="L139" s="6">
        <f>Trades!P138</f>
        <v>88089</v>
      </c>
      <c r="M139" s="7">
        <f>M138+Trades!T138</f>
        <v>5.3779725191963061</v>
      </c>
      <c r="N139" s="7">
        <f>N138+Trades!U138</f>
        <v>2.7622677878385269</v>
      </c>
      <c r="O139" s="7">
        <f>O138+Trades!W138</f>
        <v>2.238915500185191</v>
      </c>
    </row>
    <row r="140" spans="12:15" x14ac:dyDescent="0.25">
      <c r="L140" s="6">
        <f>Trades!P139</f>
        <v>88148</v>
      </c>
      <c r="M140" s="7">
        <f>M139+Trades!T139</f>
        <v>5.4074054318447917</v>
      </c>
      <c r="N140" s="7">
        <f>N139+Trades!U139</f>
        <v>2.7777388800478557</v>
      </c>
      <c r="O140" s="7">
        <f>O139+Trades!W139</f>
        <v>2.2515992598867975</v>
      </c>
    </row>
    <row r="141" spans="12:15" x14ac:dyDescent="0.25">
      <c r="L141" s="6">
        <f>Trades!P140</f>
        <v>88930</v>
      </c>
      <c r="M141" s="7">
        <f>M140+Trades!T140</f>
        <v>5.4713966977810697</v>
      </c>
      <c r="N141" s="7">
        <f>N140+Trades!U140</f>
        <v>2.8277832662990479</v>
      </c>
      <c r="O141" s="7">
        <f>O140+Trades!W140</f>
        <v>2.2988563136302669</v>
      </c>
    </row>
    <row r="142" spans="12:15" x14ac:dyDescent="0.25">
      <c r="L142" s="6">
        <f>Trades!P141</f>
        <v>89352</v>
      </c>
      <c r="M142" s="7">
        <f>M141+Trades!T141</f>
        <v>5.3598315997267711</v>
      </c>
      <c r="N142" s="7">
        <f>N141+Trades!U141</f>
        <v>2.702191975823427</v>
      </c>
      <c r="O142" s="7">
        <f>O141+Trades!W141</f>
        <v>2.1704789039210528</v>
      </c>
    </row>
    <row r="143" spans="12:15" x14ac:dyDescent="0.25">
      <c r="L143" s="6">
        <f>Trades!P142</f>
        <v>89471</v>
      </c>
      <c r="M143" s="7">
        <f>M142+Trades!T142</f>
        <v>5.3617427721784319</v>
      </c>
      <c r="N143" s="7">
        <f>N142+Trades!U142</f>
        <v>2.6901615222329123</v>
      </c>
      <c r="O143" s="7">
        <f>O142+Trades!W142</f>
        <v>2.1556611178228158</v>
      </c>
    </row>
    <row r="144" spans="12:15" x14ac:dyDescent="0.25">
      <c r="L144" s="6">
        <f>Trades!P143</f>
        <v>89833</v>
      </c>
      <c r="M144" s="7">
        <f>M143+Trades!T143</f>
        <v>5.3576832330340531</v>
      </c>
      <c r="N144" s="7">
        <f>N143+Trades!U143</f>
        <v>2.6721575825671104</v>
      </c>
      <c r="O144" s="7">
        <f>O143+Trades!W143</f>
        <v>2.1348710589234208</v>
      </c>
    </row>
    <row r="145" spans="12:15" x14ac:dyDescent="0.25">
      <c r="L145" s="6">
        <f>Trades!P144</f>
        <v>90003</v>
      </c>
      <c r="M145" s="7">
        <f>M144+Trades!T144</f>
        <v>5.3657168812331717</v>
      </c>
      <c r="N145" s="7">
        <f>N144+Trades!U144</f>
        <v>2.6662526654091812</v>
      </c>
      <c r="O145" s="7">
        <f>O144+Trades!W144</f>
        <v>2.1261788092577687</v>
      </c>
    </row>
    <row r="146" spans="12:15" x14ac:dyDescent="0.25">
      <c r="L146" s="6">
        <f>Trades!P145</f>
        <v>90324</v>
      </c>
      <c r="M146" s="7">
        <f>M145+Trades!T145</f>
        <v>5.3672634524178209</v>
      </c>
      <c r="N146" s="7">
        <f>N145+Trades!U145</f>
        <v>2.6526054937064987</v>
      </c>
      <c r="O146" s="7">
        <f>O145+Trades!W145</f>
        <v>2.1094775458757042</v>
      </c>
    </row>
    <row r="147" spans="12:15" x14ac:dyDescent="0.25">
      <c r="L147" s="6">
        <f>Trades!P146</f>
        <v>90575</v>
      </c>
      <c r="M147" s="7">
        <f>M146+Trades!T146</f>
        <v>5.3725784104232748</v>
      </c>
      <c r="N147" s="7">
        <f>N146+Trades!U146</f>
        <v>2.6426566728598804</v>
      </c>
      <c r="O147" s="7">
        <f>O146+Trades!W146</f>
        <v>2.0964755797312158</v>
      </c>
    </row>
    <row r="148" spans="12:15" x14ac:dyDescent="0.25">
      <c r="L148" s="6">
        <f>Trades!P147</f>
        <v>90705</v>
      </c>
      <c r="M148" s="7">
        <f>M147+Trades!T147</f>
        <v>5.4146848979612914</v>
      </c>
      <c r="N148" s="7">
        <f>N147+Trades!U147</f>
        <v>2.6695681860429334</v>
      </c>
      <c r="O148" s="7">
        <f>O147+Trades!W147</f>
        <v>2.1203330012348869</v>
      </c>
    </row>
    <row r="149" spans="12:15" x14ac:dyDescent="0.25">
      <c r="L149" s="6">
        <f>Trades!P148</f>
        <v>91093</v>
      </c>
      <c r="M149" s="7">
        <f>M148+Trades!T148</f>
        <v>5.4498257151103671</v>
      </c>
      <c r="N149" s="7">
        <f>N148+Trades!U148</f>
        <v>2.6893970168609784</v>
      </c>
      <c r="O149" s="7">
        <f>O148+Trades!W148</f>
        <v>2.1371077403735499</v>
      </c>
    </row>
    <row r="150" spans="12:15" x14ac:dyDescent="0.25">
      <c r="L150" s="6">
        <f>Trades!P149</f>
        <v>91501</v>
      </c>
      <c r="M150" s="7">
        <f>M149+Trades!T149</f>
        <v>5.4636757501480631</v>
      </c>
      <c r="N150" s="7">
        <f>N149+Trades!U149</f>
        <v>2.6879188206861575</v>
      </c>
      <c r="O150" s="7">
        <f>O149+Trades!W149</f>
        <v>2.1325763989008584</v>
      </c>
    </row>
    <row r="151" spans="12:15" x14ac:dyDescent="0.25">
      <c r="L151" s="6">
        <f>Trades!P150</f>
        <v>91869</v>
      </c>
      <c r="M151" s="7">
        <f>M150+Trades!T150</f>
        <v>5.5084608291562667</v>
      </c>
      <c r="N151" s="7">
        <f>N150+Trades!U150</f>
        <v>2.7173994608792031</v>
      </c>
      <c r="O151" s="7">
        <f>O150+Trades!W150</f>
        <v>2.159002947414522</v>
      </c>
    </row>
    <row r="152" spans="12:15" x14ac:dyDescent="0.25">
      <c r="L152" s="6">
        <f>Trades!P151</f>
        <v>92058</v>
      </c>
      <c r="M152" s="7">
        <f>M151+Trades!T151</f>
        <v>5.5263652817104871</v>
      </c>
      <c r="N152" s="7">
        <f>N151+Trades!U151</f>
        <v>2.7200388595560159</v>
      </c>
      <c r="O152" s="7">
        <f>O151+Trades!W151</f>
        <v>2.1585882544119528</v>
      </c>
    </row>
    <row r="153" spans="12:15" x14ac:dyDescent="0.25">
      <c r="L153" s="6">
        <f>Trades!P152</f>
        <v>92275</v>
      </c>
      <c r="M153" s="7">
        <f>M152+Trades!T152</f>
        <v>5.5753433048833525</v>
      </c>
      <c r="N153" s="7">
        <f>N152+Trades!U152</f>
        <v>2.7536317086815725</v>
      </c>
      <c r="O153" s="7">
        <f>O152+Trades!W152</f>
        <v>2.1891279582396388</v>
      </c>
    </row>
    <row r="154" spans="12:15" x14ac:dyDescent="0.25">
      <c r="L154" s="6">
        <f>Trades!P153</f>
        <v>92484</v>
      </c>
      <c r="M154" s="7">
        <f>M153+Trades!T153</f>
        <v>5.5860800980817569</v>
      </c>
      <c r="N154" s="7">
        <f>N153+Trades!U153</f>
        <v>2.7490872120409202</v>
      </c>
      <c r="O154" s="7">
        <f>O153+Trades!W153</f>
        <v>2.1815293699196046</v>
      </c>
    </row>
    <row r="155" spans="12:15" x14ac:dyDescent="0.25">
      <c r="L155" s="6">
        <f>Trades!P154</f>
        <v>92657</v>
      </c>
      <c r="M155" s="7">
        <f>M154+Trades!T154</f>
        <v>5.629731835904531</v>
      </c>
      <c r="N155" s="7">
        <f>N154+Trades!U154</f>
        <v>2.7774235243052776</v>
      </c>
      <c r="O155" s="7">
        <f>O154+Trades!W154</f>
        <v>2.2068125368860914</v>
      </c>
    </row>
    <row r="156" spans="12:15" x14ac:dyDescent="0.25">
      <c r="L156" s="6">
        <f>Trades!P155</f>
        <v>93060</v>
      </c>
      <c r="M156" s="7">
        <f>M155+Trades!T155</f>
        <v>5.6959836461710749</v>
      </c>
      <c r="N156" s="7">
        <f>N155+Trades!U155</f>
        <v>2.8284267779293413</v>
      </c>
      <c r="O156" s="7">
        <f>O155+Trades!W155</f>
        <v>2.2547626452122844</v>
      </c>
    </row>
    <row r="157" spans="12:15" x14ac:dyDescent="0.25">
      <c r="L157" s="6">
        <f>Trades!P156</f>
        <v>93447</v>
      </c>
      <c r="M157" s="7">
        <f>M156+Trades!T156</f>
        <v>5.7551115428865103</v>
      </c>
      <c r="N157" s="7">
        <f>N156+Trades!U156</f>
        <v>2.872296916483891</v>
      </c>
      <c r="O157" s="7">
        <f>O156+Trades!W156</f>
        <v>2.2955796384689635</v>
      </c>
    </row>
    <row r="158" spans="12:15" x14ac:dyDescent="0.25">
      <c r="L158" s="6">
        <f>Trades!P157</f>
        <v>93869</v>
      </c>
      <c r="M158" s="7">
        <f>M157+Trades!T157</f>
        <v>5.3714232169407561</v>
      </c>
      <c r="N158" s="7">
        <f>N157+Trades!U157</f>
        <v>2.4729929904061283</v>
      </c>
      <c r="O158" s="7">
        <f>O157+Trades!W157</f>
        <v>1.89322256709333</v>
      </c>
    </row>
    <row r="159" spans="12:15" x14ac:dyDescent="0.25">
      <c r="L159" s="6">
        <f>Trades!P158</f>
        <v>94224</v>
      </c>
      <c r="M159" s="7">
        <f>M158+Trades!T158</f>
        <v>5.3834638233087553</v>
      </c>
      <c r="N159" s="7">
        <f>N158+Trades!U158</f>
        <v>2.470074349333427</v>
      </c>
      <c r="O159" s="7">
        <f>O158+Trades!W158</f>
        <v>1.8873183642177795</v>
      </c>
    </row>
    <row r="160" spans="12:15" x14ac:dyDescent="0.25">
      <c r="L160" s="6">
        <f>Trades!P159</f>
        <v>94632</v>
      </c>
      <c r="M160" s="7">
        <f>M159+Trades!T159</f>
        <v>5.3638355770573956</v>
      </c>
      <c r="N160" s="7">
        <f>N159+Trades!U159</f>
        <v>2.4354753032949517</v>
      </c>
      <c r="O160" s="7">
        <f>O159+Trades!W159</f>
        <v>1.8497337563764553</v>
      </c>
    </row>
    <row r="161" spans="12:15" x14ac:dyDescent="0.25">
      <c r="L161" s="6">
        <f>Trades!P160</f>
        <v>95005</v>
      </c>
      <c r="M161" s="7">
        <f>M160+Trades!T160</f>
        <v>5.4181082097485289</v>
      </c>
      <c r="N161" s="7">
        <f>N160+Trades!U160</f>
        <v>2.4748795049104229</v>
      </c>
      <c r="O161" s="7">
        <f>O160+Trades!W160</f>
        <v>1.8861523961890774</v>
      </c>
    </row>
    <row r="162" spans="12:15" x14ac:dyDescent="0.25">
      <c r="L162" s="6">
        <f>Trades!P161</f>
        <v>95807</v>
      </c>
      <c r="M162" s="7">
        <f>M161+Trades!T161</f>
        <v>5.3551253443394788</v>
      </c>
      <c r="N162" s="7">
        <f>N161+Trades!U161</f>
        <v>2.3969840638784117</v>
      </c>
      <c r="O162" s="7">
        <f>O161+Trades!W161</f>
        <v>1.805271393354217</v>
      </c>
    </row>
    <row r="163" spans="12:15" x14ac:dyDescent="0.25">
      <c r="L163" s="6">
        <f>Trades!P162</f>
        <v>96112</v>
      </c>
      <c r="M163" s="7">
        <f>M162+Trades!T162</f>
        <v>5.3709355340686491</v>
      </c>
      <c r="N163" s="7">
        <f>N162+Trades!U162</f>
        <v>2.3978453710268246</v>
      </c>
      <c r="O163" s="7">
        <f>O162+Trades!W162</f>
        <v>1.8031461247685494</v>
      </c>
    </row>
    <row r="164" spans="12:15" x14ac:dyDescent="0.25">
      <c r="L164" s="6">
        <f>Trades!P163</f>
        <v>96205</v>
      </c>
      <c r="M164" s="7">
        <f>M163+Trades!T163</f>
        <v>5.3558998717936976</v>
      </c>
      <c r="N164" s="7">
        <f>N163+Trades!U163</f>
        <v>2.3679362406179449</v>
      </c>
      <c r="O164" s="7">
        <f>O163+Trades!W163</f>
        <v>1.770250418625589</v>
      </c>
    </row>
    <row r="165" spans="12:15" x14ac:dyDescent="0.25">
      <c r="L165" s="6">
        <f>Trades!P164</f>
        <v>96491</v>
      </c>
      <c r="M165" s="7">
        <f>M164+Trades!T164</f>
        <v>5.3357932221030628</v>
      </c>
      <c r="N165" s="7">
        <f>N164+Trades!U164</f>
        <v>2.3328508060442115</v>
      </c>
      <c r="O165" s="7">
        <f>O164+Trades!W164</f>
        <v>1.7321784083177747</v>
      </c>
    </row>
    <row r="166" spans="12:15" x14ac:dyDescent="0.25">
      <c r="L166" s="6">
        <f>Trades!P165</f>
        <v>96564</v>
      </c>
      <c r="M166" s="7">
        <f>M165+Trades!T165</f>
        <v>5.3646702274506533</v>
      </c>
      <c r="N166" s="7">
        <f>N165+Trades!U165</f>
        <v>2.3467830290468066</v>
      </c>
      <c r="O166" s="7">
        <f>O165+Trades!W165</f>
        <v>1.7431240555862888</v>
      </c>
    </row>
    <row r="167" spans="12:15" x14ac:dyDescent="0.25">
      <c r="L167" s="6">
        <f>Trades!P166</f>
        <v>96982</v>
      </c>
      <c r="M167" s="7">
        <f>M166+Trades!T166</f>
        <v>5.2226761435630342</v>
      </c>
      <c r="N167" s="7">
        <f>N166+Trades!U166</f>
        <v>2.1898633372620466</v>
      </c>
      <c r="O167" s="7">
        <f>O166+Trades!W166</f>
        <v>1.5832177880674481</v>
      </c>
    </row>
    <row r="168" spans="12:15" x14ac:dyDescent="0.25">
      <c r="L168" s="6">
        <f>Trades!P167</f>
        <v>97213</v>
      </c>
      <c r="M168" s="7">
        <f>M167+Trades!T167</f>
        <v>5.2341905640038755</v>
      </c>
      <c r="N168" s="7">
        <f>N167+Trades!U167</f>
        <v>2.1864416566503433</v>
      </c>
      <c r="O168" s="7">
        <f>O167+Trades!W167</f>
        <v>1.5768095317216642</v>
      </c>
    </row>
    <row r="169" spans="12:15" x14ac:dyDescent="0.25">
      <c r="L169" s="6">
        <f>Trades!P168</f>
        <v>97333</v>
      </c>
      <c r="M169" s="7">
        <f>M168+Trades!T168</f>
        <v>5.247129111520505</v>
      </c>
      <c r="N169" s="7">
        <f>N168+Trades!U168</f>
        <v>2.1844415706610514</v>
      </c>
      <c r="O169" s="7">
        <f>O168+Trades!W168</f>
        <v>1.5718228699982915</v>
      </c>
    </row>
    <row r="170" spans="12:15" x14ac:dyDescent="0.25">
      <c r="L170" s="6">
        <f>Trades!P169</f>
        <v>98125</v>
      </c>
      <c r="M170" s="7">
        <f>M169+Trades!T169</f>
        <v>5.2014266765258332</v>
      </c>
      <c r="N170" s="7">
        <f>N169+Trades!U169</f>
        <v>2.122171102154546</v>
      </c>
      <c r="O170" s="7">
        <f>O169+Trades!W169</f>
        <v>1.5062141756931353</v>
      </c>
    </row>
    <row r="171" spans="12:15" x14ac:dyDescent="0.25">
      <c r="L171" s="6">
        <f>Trades!P170</f>
        <v>98476</v>
      </c>
      <c r="M171" s="7">
        <f>M170+Trades!T170</f>
        <v>5.2114517530848614</v>
      </c>
      <c r="N171" s="7">
        <f>N170+Trades!U170</f>
        <v>2.11551621515087</v>
      </c>
      <c r="O171" s="7">
        <f>O170+Trades!W170</f>
        <v>1.4962217249960621</v>
      </c>
    </row>
    <row r="172" spans="12:15" x14ac:dyDescent="0.25">
      <c r="L172" s="6">
        <f>Trades!P171</f>
        <v>98517</v>
      </c>
      <c r="M172" s="7">
        <f>M171+Trades!T171</f>
        <v>5.2287234111087564</v>
      </c>
      <c r="N172" s="7">
        <f>N171+Trades!U171</f>
        <v>2.1161311289588722</v>
      </c>
      <c r="O172" s="7">
        <f>O171+Trades!W171</f>
        <v>1.4934984130054134</v>
      </c>
    </row>
    <row r="173" spans="12:15" x14ac:dyDescent="0.25">
      <c r="L173" s="6">
        <f>Trades!P172</f>
        <v>98933</v>
      </c>
      <c r="M173" s="7">
        <f>M172+Trades!T172</f>
        <v>5.2332844102156137</v>
      </c>
      <c r="N173" s="7">
        <f>N172+Trades!U172</f>
        <v>2.1039903190935716</v>
      </c>
      <c r="O173" s="7">
        <f>O172+Trades!W172</f>
        <v>1.478020039446716</v>
      </c>
    </row>
    <row r="174" spans="12:15" x14ac:dyDescent="0.25">
      <c r="L174" s="6">
        <f>Trades!P173</f>
        <v>98979</v>
      </c>
      <c r="M174" s="7">
        <f>M173+Trades!T173</f>
        <v>5.2553331131846353</v>
      </c>
      <c r="N174" s="7">
        <f>N173+Trades!U173</f>
        <v>2.1093640823763673</v>
      </c>
      <c r="O174" s="7">
        <f>O173+Trades!W173</f>
        <v>1.4800562390361145</v>
      </c>
    </row>
    <row r="175" spans="12:15" x14ac:dyDescent="0.25">
      <c r="L175" s="6">
        <f>Trades!P174</f>
        <v>99158</v>
      </c>
      <c r="M175" s="7">
        <f>M174+Trades!T174</f>
        <v>5.2649687096630338</v>
      </c>
      <c r="N175" s="7">
        <f>N174+Trades!U174</f>
        <v>2.1023144660059789</v>
      </c>
      <c r="O175" s="7">
        <f>O174+Trades!W174</f>
        <v>1.4696683968670754</v>
      </c>
    </row>
    <row r="176" spans="12:15" x14ac:dyDescent="0.25">
      <c r="L176" s="6">
        <f>Trades!P175</f>
        <v>99196</v>
      </c>
      <c r="M176" s="7">
        <f>M175+Trades!T175</f>
        <v>5.2614545770606185</v>
      </c>
      <c r="N176" s="7">
        <f>N175+Trades!U175</f>
        <v>2.0821482393621475</v>
      </c>
      <c r="O176" s="7">
        <f>O175+Trades!W175</f>
        <v>1.4461639444245931</v>
      </c>
    </row>
    <row r="177" spans="12:15" x14ac:dyDescent="0.25">
      <c r="L177" s="6">
        <f>Trades!P176</f>
        <v>99305</v>
      </c>
      <c r="M177" s="7">
        <f>M176+Trades!T176</f>
        <v>5.3190353776068759</v>
      </c>
      <c r="N177" s="7">
        <f>N176+Trades!U176</f>
        <v>2.123034252580696</v>
      </c>
      <c r="O177" s="7">
        <f>O176+Trades!W176</f>
        <v>1.4837123939497445</v>
      </c>
    </row>
    <row r="178" spans="12:15" x14ac:dyDescent="0.25">
      <c r="L178" s="6">
        <f>Trades!P177</f>
        <v>99697</v>
      </c>
      <c r="M178" s="7">
        <f>M177+Trades!T177</f>
        <v>5.4719571120857449</v>
      </c>
      <c r="N178" s="7">
        <f>N177+Trades!U177</f>
        <v>2.2594533580988569</v>
      </c>
      <c r="O178" s="7">
        <f>O177+Trades!W177</f>
        <v>1.6167939357745087</v>
      </c>
    </row>
    <row r="179" spans="12:15" x14ac:dyDescent="0.25">
      <c r="L179" s="6">
        <f>Trades!P178</f>
        <v>100109</v>
      </c>
      <c r="M179" s="7">
        <f>M178+Trades!T178</f>
        <v>5.4521778905100309</v>
      </c>
      <c r="N179" s="7">
        <f>N178+Trades!U178</f>
        <v>2.2229476332404419</v>
      </c>
      <c r="O179" s="7">
        <f>O178+Trades!W178</f>
        <v>1.5769506472226966</v>
      </c>
    </row>
    <row r="180" spans="12:15" x14ac:dyDescent="0.25">
      <c r="L180" s="6">
        <f>Trades!P179</f>
        <v>100470</v>
      </c>
      <c r="M180" s="7">
        <f>M179+Trades!T179</f>
        <v>5.4896675985657879</v>
      </c>
      <c r="N180" s="7">
        <f>N179+Trades!U179</f>
        <v>2.243690464383457</v>
      </c>
      <c r="O180" s="7">
        <f>O179+Trades!W179</f>
        <v>1.5943559146723147</v>
      </c>
    </row>
    <row r="181" spans="12:15" x14ac:dyDescent="0.25">
      <c r="L181" s="6">
        <f>Trades!P180</f>
        <v>101482</v>
      </c>
      <c r="M181" s="7">
        <f>M180+Trades!T180</f>
        <v>5.4976147249441496</v>
      </c>
      <c r="N181" s="7">
        <f>N180+Trades!U180</f>
        <v>2.2349544551092078</v>
      </c>
      <c r="O181" s="7">
        <f>O180+Trades!W180</f>
        <v>1.5822823417046687</v>
      </c>
    </row>
    <row r="182" spans="12:15" x14ac:dyDescent="0.25">
      <c r="L182" s="6">
        <f>Trades!P181</f>
        <v>101635</v>
      </c>
      <c r="M182" s="7">
        <f>M181+Trades!T181</f>
        <v>5.5933940855945972</v>
      </c>
      <c r="N182" s="7">
        <f>N181+Trades!U181</f>
        <v>2.3140991773601503</v>
      </c>
      <c r="O182" s="7">
        <f>O181+Trades!W181</f>
        <v>1.6580888381569603</v>
      </c>
    </row>
    <row r="183" spans="12:15" x14ac:dyDescent="0.25">
      <c r="L183" s="6">
        <f>Trades!P182</f>
        <v>102024</v>
      </c>
      <c r="M183" s="7">
        <f>M182+Trades!T182</f>
        <v>5.6479643506065953</v>
      </c>
      <c r="N183" s="7">
        <f>N182+Trades!U182</f>
        <v>2.350649448500675</v>
      </c>
      <c r="O183" s="7">
        <f>O182+Trades!W182</f>
        <v>1.6910360354278791</v>
      </c>
    </row>
    <row r="184" spans="12:15" x14ac:dyDescent="0.25">
      <c r="L184" s="6">
        <f>Trades!P183</f>
        <v>102437</v>
      </c>
      <c r="M184" s="7">
        <f>M183+Trades!T183</f>
        <v>5.6486506073462461</v>
      </c>
      <c r="N184" s="7">
        <f>N183+Trades!U183</f>
        <v>2.3333656389246622</v>
      </c>
      <c r="O184" s="7">
        <f>O183+Trades!W183</f>
        <v>1.6701495491069531</v>
      </c>
    </row>
    <row r="185" spans="12:15" x14ac:dyDescent="0.25">
      <c r="L185" s="6">
        <f>Trades!P184</f>
        <v>102822</v>
      </c>
      <c r="M185" s="7">
        <f>M184+Trades!T184</f>
        <v>5.6504539842650185</v>
      </c>
      <c r="N185" s="7">
        <f>N184+Trades!U184</f>
        <v>2.3170769961783027</v>
      </c>
      <c r="O185" s="7">
        <f>O184+Trades!W184</f>
        <v>1.6502582296156807</v>
      </c>
    </row>
    <row r="186" spans="12:15" x14ac:dyDescent="0.25">
      <c r="L186" s="6">
        <f>Trades!P185</f>
        <v>103214</v>
      </c>
      <c r="M186" s="7">
        <f>M185+Trades!T185</f>
        <v>5.656472735056373</v>
      </c>
      <c r="N186" s="7">
        <f>N185+Trades!U185</f>
        <v>2.305142635920653</v>
      </c>
      <c r="O186" s="7">
        <f>O185+Trades!W185</f>
        <v>1.634721192613118</v>
      </c>
    </row>
    <row r="187" spans="12:15" x14ac:dyDescent="0.25">
      <c r="L187" s="6">
        <f>Trades!P186</f>
        <v>103760</v>
      </c>
      <c r="M187" s="7">
        <f>M186+Trades!T186</f>
        <v>5.6781397926759842</v>
      </c>
      <c r="N187" s="7">
        <f>N186+Trades!U186</f>
        <v>2.3087904500622729</v>
      </c>
      <c r="O187" s="7">
        <f>O186+Trades!W186</f>
        <v>1.6347663300098247</v>
      </c>
    </row>
    <row r="188" spans="12:15" x14ac:dyDescent="0.25">
      <c r="L188" s="6">
        <f>Trades!P187</f>
        <v>103835</v>
      </c>
      <c r="M188" s="7">
        <f>M187+Trades!T187</f>
        <v>5.6750721624816789</v>
      </c>
      <c r="N188" s="7">
        <f>N187+Trades!U187</f>
        <v>2.2877057119117854</v>
      </c>
      <c r="O188" s="7">
        <f>O187+Trades!W187</f>
        <v>1.6100785179897317</v>
      </c>
    </row>
    <row r="189" spans="12:15" x14ac:dyDescent="0.25">
      <c r="L189" s="6">
        <f>Trades!P188</f>
        <v>104367</v>
      </c>
      <c r="M189" s="7">
        <f>M188+Trades!T188</f>
        <v>5.7318735240131513</v>
      </c>
      <c r="N189" s="7">
        <f>N188+Trades!U188</f>
        <v>2.3264922306163567</v>
      </c>
      <c r="O189" s="7">
        <f>O188+Trades!W188</f>
        <v>1.6452619628246974</v>
      </c>
    </row>
    <row r="190" spans="12:15" x14ac:dyDescent="0.25">
      <c r="L190" s="6">
        <f>Trades!P189</f>
        <v>104534</v>
      </c>
      <c r="M190" s="7">
        <f>M189+Trades!T189</f>
        <v>5.7438999822212082</v>
      </c>
      <c r="N190" s="7">
        <f>N189+Trades!U189</f>
        <v>2.3204982990590151</v>
      </c>
      <c r="O190" s="7">
        <f>O189+Trades!W189</f>
        <v>1.6356649573977502</v>
      </c>
    </row>
    <row r="191" spans="12:15" x14ac:dyDescent="0.25">
      <c r="L191" s="6">
        <f>Trades!P190</f>
        <v>104780</v>
      </c>
      <c r="M191" s="7">
        <f>M190+Trades!T190</f>
        <v>5.6927269037438677</v>
      </c>
      <c r="N191" s="7">
        <f>N190+Trades!U190</f>
        <v>2.2514175644582708</v>
      </c>
      <c r="O191" s="7">
        <f>O190+Trades!W190</f>
        <v>1.5629811489274001</v>
      </c>
    </row>
    <row r="192" spans="12:15" x14ac:dyDescent="0.25">
      <c r="L192" s="6">
        <f>Trades!P191</f>
        <v>105618</v>
      </c>
      <c r="M192" s="7">
        <f>M191+Trades!T191</f>
        <v>5.5088913351550906</v>
      </c>
      <c r="N192" s="7">
        <f>N191+Trades!U191</f>
        <v>2.04945774607847</v>
      </c>
      <c r="O192" s="7">
        <f>O191+Trades!W191</f>
        <v>1.3574182566779933</v>
      </c>
    </row>
    <row r="193" spans="12:15" x14ac:dyDescent="0.25">
      <c r="L193" s="6">
        <f>Trades!P192</f>
        <v>105924</v>
      </c>
      <c r="M193" s="7">
        <f>M192+Trades!T192</f>
        <v>5.5175336083722533</v>
      </c>
      <c r="N193" s="7">
        <f>N192+Trades!U192</f>
        <v>2.0371139891253902</v>
      </c>
      <c r="O193" s="7">
        <f>O192+Trades!W192</f>
        <v>1.3408813346123603</v>
      </c>
    </row>
    <row r="194" spans="12:15" x14ac:dyDescent="0.25">
      <c r="L194" s="6">
        <f>Trades!P193</f>
        <v>106333</v>
      </c>
      <c r="M194" s="7">
        <f>M193+Trades!T193</f>
        <v>5.4855517974950772</v>
      </c>
      <c r="N194" s="7">
        <f>N193+Trades!U193</f>
        <v>1.9841844328758269</v>
      </c>
      <c r="O194" s="7">
        <f>O193+Trades!W193</f>
        <v>1.2837586132502439</v>
      </c>
    </row>
    <row r="195" spans="12:15" x14ac:dyDescent="0.25">
      <c r="L195" s="6">
        <f>Trades!P194</f>
        <v>106712</v>
      </c>
      <c r="M195" s="7">
        <f>M194+Trades!T194</f>
        <v>5.5234477019101549</v>
      </c>
      <c r="N195" s="7">
        <f>N194+Trades!U194</f>
        <v>2.0010548243898341</v>
      </c>
      <c r="O195" s="7">
        <f>O194+Trades!W194</f>
        <v>1.296435839651698</v>
      </c>
    </row>
    <row r="196" spans="12:15" x14ac:dyDescent="0.25">
      <c r="L196" s="6">
        <f>Trades!P195</f>
        <v>107411</v>
      </c>
      <c r="M196" s="7">
        <f>M195+Trades!T195</f>
        <v>5.5362520675659335</v>
      </c>
      <c r="N196" s="7">
        <f>N195+Trades!U195</f>
        <v>1.992893473375422</v>
      </c>
      <c r="O196" s="7">
        <f>O195+Trades!W195</f>
        <v>1.2840811302629895</v>
      </c>
    </row>
    <row r="197" spans="12:15" x14ac:dyDescent="0.25">
      <c r="L197" s="6">
        <f>Trades!P196</f>
        <v>108679</v>
      </c>
      <c r="M197" s="7">
        <f>M196+Trades!T196</f>
        <v>5.5603852434467811</v>
      </c>
      <c r="N197" s="7">
        <f>N196+Trades!U196</f>
        <v>1.9960640137203569</v>
      </c>
      <c r="O197" s="7">
        <f>O196+Trades!W196</f>
        <v>1.2830583122336281</v>
      </c>
    </row>
    <row r="198" spans="12:15" x14ac:dyDescent="0.25">
      <c r="L198" s="6">
        <f>Trades!P197</f>
        <v>108890</v>
      </c>
      <c r="M198" s="7">
        <f>M197+Trades!T197</f>
        <v>5.5816258968419374</v>
      </c>
      <c r="N198" s="7">
        <f>N197+Trades!U197</f>
        <v>1.9963470227841764</v>
      </c>
      <c r="O198" s="7">
        <f>O197+Trades!W197</f>
        <v>1.279147962923151</v>
      </c>
    </row>
    <row r="199" spans="12:15" x14ac:dyDescent="0.25">
      <c r="L199" s="6">
        <f>Trades!P198</f>
        <v>109168</v>
      </c>
      <c r="M199" s="7">
        <f>M198+Trades!T198</f>
        <v>5.5910267507357894</v>
      </c>
      <c r="N199" s="7">
        <f>N198+Trades!U198</f>
        <v>1.9847897478589736</v>
      </c>
      <c r="O199" s="7">
        <f>O198+Trades!W198</f>
        <v>1.2633975228853951</v>
      </c>
    </row>
    <row r="200" spans="12:15" x14ac:dyDescent="0.25">
      <c r="L200" s="6">
        <f>Trades!P199</f>
        <v>109824</v>
      </c>
      <c r="M200" s="7">
        <f>M199+Trades!T199</f>
        <v>5.5788796738375339</v>
      </c>
      <c r="N200" s="7">
        <f>N199+Trades!U199</f>
        <v>1.9512924602446098</v>
      </c>
      <c r="O200" s="7">
        <f>O199+Trades!W199</f>
        <v>1.2256364000863977</v>
      </c>
    </row>
    <row r="201" spans="12:15" x14ac:dyDescent="0.25">
      <c r="L201" s="6">
        <f>Trades!P200</f>
        <v>110086</v>
      </c>
      <c r="M201" s="7">
        <f>M200+Trades!T200</f>
        <v>5.581550231626915</v>
      </c>
      <c r="N201" s="7">
        <f>N200+Trades!U200</f>
        <v>1.9326666753037405</v>
      </c>
      <c r="O201" s="7">
        <f>O200+Trades!W200</f>
        <v>1.2027467799608946</v>
      </c>
    </row>
    <row r="202" spans="12:15" x14ac:dyDescent="0.25">
      <c r="L202" s="6">
        <f>Trades!P201</f>
        <v>110221</v>
      </c>
      <c r="M202" s="7">
        <f>M201+Trades!T201</f>
        <v>5.6918745634045393</v>
      </c>
      <c r="N202" s="7">
        <f>N201+Trades!U201</f>
        <v>2.0217176918576021</v>
      </c>
      <c r="O202" s="7">
        <f>O201+Trades!W201</f>
        <v>1.2875339613301227</v>
      </c>
    </row>
    <row r="203" spans="12:15" x14ac:dyDescent="0.25">
      <c r="L203" s="6">
        <f>Trades!P202</f>
        <v>110620</v>
      </c>
      <c r="M203" s="7">
        <f>M202+Trades!T202</f>
        <v>5.6510696372092619</v>
      </c>
      <c r="N203" s="7">
        <f>N202+Trades!U202</f>
        <v>1.9596626799240207</v>
      </c>
      <c r="O203" s="7">
        <f>O202+Trades!W202</f>
        <v>1.2212151142119076</v>
      </c>
    </row>
    <row r="204" spans="12:15" x14ac:dyDescent="0.25">
      <c r="L204" s="6">
        <f>Trades!P203</f>
        <v>111003</v>
      </c>
      <c r="M204" s="7">
        <f>M203+Trades!T203</f>
        <v>5.6884380274967414</v>
      </c>
      <c r="N204" s="7">
        <f>N203+Trades!U203</f>
        <v>1.9757229849548803</v>
      </c>
      <c r="O204" s="7">
        <f>O203+Trades!W203</f>
        <v>1.2330115840581335</v>
      </c>
    </row>
    <row r="205" spans="12:15" x14ac:dyDescent="0.25">
      <c r="L205" s="6">
        <f>Trades!P204</f>
        <v>111388</v>
      </c>
      <c r="M205" s="7">
        <f>M204+Trades!T204</f>
        <v>5.7229712973517888</v>
      </c>
      <c r="N205" s="7">
        <f>N204+Trades!U204</f>
        <v>1.9888948214336692</v>
      </c>
      <c r="O205" s="7">
        <f>O204+Trades!W204</f>
        <v>1.2419193213851205</v>
      </c>
    </row>
    <row r="206" spans="12:15" x14ac:dyDescent="0.25">
      <c r="L206" s="6">
        <f>Trades!P205</f>
        <v>111803</v>
      </c>
      <c r="M206" s="7">
        <f>M205+Trades!T205</f>
        <v>5.6346462305769167</v>
      </c>
      <c r="N206" s="7">
        <f>N205+Trades!U205</f>
        <v>1.8792905515240586</v>
      </c>
      <c r="O206" s="7">
        <f>O205+Trades!W205</f>
        <v>1.1280509523237079</v>
      </c>
    </row>
    <row r="207" spans="12:15" x14ac:dyDescent="0.25">
      <c r="L207" s="6">
        <f>Trades!P206</f>
        <v>112192</v>
      </c>
      <c r="M207" s="7">
        <f>M206+Trades!T206</f>
        <v>5.6175174775514751</v>
      </c>
      <c r="N207" s="7">
        <f>N206+Trades!U206</f>
        <v>1.8409322031704056</v>
      </c>
      <c r="O207" s="7">
        <f>O206+Trades!W206</f>
        <v>1.085428504818253</v>
      </c>
    </row>
    <row r="208" spans="12:15" x14ac:dyDescent="0.25">
      <c r="L208" s="6">
        <f>Trades!P207</f>
        <v>112561</v>
      </c>
      <c r="M208" s="7">
        <f>M207+Trades!T207</f>
        <v>5.63753278421754</v>
      </c>
      <c r="N208" s="7">
        <f>N207+Trades!U207</f>
        <v>1.8396322038670374</v>
      </c>
      <c r="O208" s="7">
        <f>O207+Trades!W207</f>
        <v>1.0798644063630829</v>
      </c>
    </row>
    <row r="209" spans="12:15" x14ac:dyDescent="0.25">
      <c r="L209" s="6">
        <f>Trades!P208</f>
        <v>112866</v>
      </c>
      <c r="M209" s="7">
        <f>M208+Trades!T208</f>
        <v>5.6576145369789757</v>
      </c>
      <c r="N209" s="7">
        <f>N208+Trades!U208</f>
        <v>1.8383768190651169</v>
      </c>
      <c r="O209" s="7">
        <f>O208+Trades!W208</f>
        <v>1.0743449224093604</v>
      </c>
    </row>
    <row r="210" spans="12:15" x14ac:dyDescent="0.25">
      <c r="L210" s="6">
        <f>Trades!P209</f>
        <v>112958</v>
      </c>
      <c r="M210" s="7">
        <f>M209+Trades!T209</f>
        <v>5.7586682083170393</v>
      </c>
      <c r="N210" s="7">
        <f>N209+Trades!U209</f>
        <v>1.9181282866609224</v>
      </c>
      <c r="O210" s="7">
        <f>O209+Trades!W209</f>
        <v>1.1498325548205321</v>
      </c>
    </row>
    <row r="211" spans="12:15" x14ac:dyDescent="0.25">
      <c r="L211" s="6">
        <f>Trades!P210</f>
        <v>121524</v>
      </c>
      <c r="M211" s="7">
        <f>M210+Trades!T210</f>
        <v>5.7612735415139777</v>
      </c>
      <c r="N211" s="7">
        <f>N210+Trades!U210</f>
        <v>1.9034133943594147</v>
      </c>
      <c r="O211" s="7">
        <f>O210+Trades!W210</f>
        <v>1.1316525986526651</v>
      </c>
    </row>
    <row r="212" spans="12:15" x14ac:dyDescent="0.25">
      <c r="L212" s="6">
        <f>Trades!P211</f>
        <v>121539</v>
      </c>
      <c r="M212" s="7">
        <f>M211+Trades!T211</f>
        <v>5.8413083548631883</v>
      </c>
      <c r="N212" s="7">
        <f>N211+Trades!U211</f>
        <v>1.9660794996811066</v>
      </c>
      <c r="O212" s="7">
        <f>O211+Trades!W211</f>
        <v>1.1908531054391984</v>
      </c>
    </row>
    <row r="213" spans="12:15" x14ac:dyDescent="0.25">
      <c r="L213" s="6">
        <f>Trades!P212</f>
        <v>121712</v>
      </c>
      <c r="M213" s="7">
        <f>M212+Trades!T212</f>
        <v>5.8651736838657751</v>
      </c>
      <c r="N213" s="7">
        <f>N212+Trades!U212</f>
        <v>1.9726301053444011</v>
      </c>
      <c r="O213" s="7">
        <f>O212+Trades!W212</f>
        <v>1.1939381125673345</v>
      </c>
    </row>
    <row r="214" spans="12:15" x14ac:dyDescent="0.25">
      <c r="L214" s="6">
        <f>Trades!P213</f>
        <v>121932</v>
      </c>
      <c r="M214" s="7">
        <f>M213+Trades!T213</f>
        <v>5.923239773796853</v>
      </c>
      <c r="N214" s="7">
        <f>N213+Trades!U213</f>
        <v>2.0133776097977281</v>
      </c>
      <c r="O214" s="7">
        <f>O213+Trades!W213</f>
        <v>1.2312205531543021</v>
      </c>
    </row>
    <row r="215" spans="12:15" x14ac:dyDescent="0.25">
      <c r="L215" s="6">
        <f>Trades!P214</f>
        <v>122339</v>
      </c>
      <c r="M215" s="7">
        <f>M214+Trades!T214</f>
        <v>5.8683457710225895</v>
      </c>
      <c r="N215" s="7">
        <f>N214+Trades!U214</f>
        <v>1.9411804847260639</v>
      </c>
      <c r="O215" s="7">
        <f>O214+Trades!W214</f>
        <v>1.1555583642162786</v>
      </c>
    </row>
    <row r="216" spans="12:15" x14ac:dyDescent="0.25">
      <c r="L216" s="6">
        <f>Trades!P215</f>
        <v>123043</v>
      </c>
      <c r="M216" s="7">
        <f>M215+Trades!T215</f>
        <v>5.8791161311316387</v>
      </c>
      <c r="N216" s="7">
        <f>N215+Trades!U215</f>
        <v>1.934623976382136</v>
      </c>
      <c r="O216" s="7">
        <f>O215+Trades!W215</f>
        <v>1.1455362573371921</v>
      </c>
    </row>
    <row r="217" spans="12:15" x14ac:dyDescent="0.25">
      <c r="L217" s="6">
        <f>Trades!P216</f>
        <v>123496</v>
      </c>
      <c r="M217" s="7">
        <f>M216+Trades!T216</f>
        <v>5.9014608087320939</v>
      </c>
      <c r="N217" s="7">
        <f>N216+Trades!U216</f>
        <v>1.93960029790665</v>
      </c>
      <c r="O217" s="7">
        <f>O216+Trades!W216</f>
        <v>1.1470469803265475</v>
      </c>
    </row>
    <row r="218" spans="12:15" x14ac:dyDescent="0.25">
      <c r="L218" s="6">
        <f>Trades!P217</f>
        <v>125424</v>
      </c>
      <c r="M218" s="7">
        <f>M217+Trades!T217</f>
        <v>5.8610002714159171</v>
      </c>
      <c r="N218" s="7">
        <f>N217+Trades!U217</f>
        <v>1.8792024258260187</v>
      </c>
      <c r="O218" s="7">
        <f>O217+Trades!W217</f>
        <v>1.0826668492155644</v>
      </c>
    </row>
    <row r="219" spans="12:15" x14ac:dyDescent="0.25">
      <c r="L219" s="6">
        <f>Trades!P218</f>
        <v>125847</v>
      </c>
      <c r="M219" s="7">
        <f>M218+Trades!T218</f>
        <v>5.8369187142731471</v>
      </c>
      <c r="N219" s="7">
        <f>N218+Trades!U218</f>
        <v>1.8351560518603249</v>
      </c>
      <c r="O219" s="7">
        <f>O218+Trades!W218</f>
        <v>1.0346382339693636</v>
      </c>
    </row>
    <row r="220" spans="12:15" x14ac:dyDescent="0.25">
      <c r="L220" s="6">
        <f>Trades!P219</f>
        <v>126236</v>
      </c>
      <c r="M220" s="7">
        <f>M219+Trades!T219</f>
        <v>5.8660115764794112</v>
      </c>
      <c r="N220" s="7">
        <f>N219+Trades!U219</f>
        <v>1.8442994106916593</v>
      </c>
      <c r="O220" s="7">
        <f>O219+Trades!W219</f>
        <v>1.0397993515201909</v>
      </c>
    </row>
    <row r="221" spans="12:15" x14ac:dyDescent="0.25">
      <c r="L221" s="6">
        <f>Trades!P220</f>
        <v>126345</v>
      </c>
      <c r="M221" s="7">
        <f>M220+Trades!T220</f>
        <v>5.8925157653598346</v>
      </c>
      <c r="N221" s="7">
        <f>N220+Trades!U220</f>
        <v>1.8509056008893785</v>
      </c>
      <c r="O221" s="7">
        <f>O220+Trades!W220</f>
        <v>1.0424233004374031</v>
      </c>
    </row>
    <row r="222" spans="12:15" x14ac:dyDescent="0.25">
      <c r="L222" s="6">
        <f>Trades!P221</f>
        <v>126475</v>
      </c>
      <c r="M222" s="7">
        <f>M221+Trades!T221</f>
        <v>5.9104945333050347</v>
      </c>
      <c r="N222" s="7">
        <f>N221+Trades!U221</f>
        <v>1.8489604041950891</v>
      </c>
      <c r="O222" s="7">
        <f>O221+Trades!W221</f>
        <v>1.0364958447127619</v>
      </c>
    </row>
    <row r="223" spans="12:15" x14ac:dyDescent="0.25">
      <c r="L223" s="6">
        <f>Trades!P222</f>
        <v>126642</v>
      </c>
      <c r="M223" s="7">
        <f>M222+Trades!T222</f>
        <v>5.8585996056245886</v>
      </c>
      <c r="N223" s="7">
        <f>N222+Trades!U222</f>
        <v>1.7770074359848673</v>
      </c>
      <c r="O223" s="7">
        <f>O222+Trades!W222</f>
        <v>0.96056061747218835</v>
      </c>
    </row>
    <row r="224" spans="12:15" x14ac:dyDescent="0.25">
      <c r="L224" s="6">
        <f>Trades!P223</f>
        <v>127780</v>
      </c>
      <c r="M224" s="7">
        <f>M223+Trades!T223</f>
        <v>6.031192706421189</v>
      </c>
      <c r="N224" s="7">
        <f>N223+Trades!U223</f>
        <v>1.9295233839171817</v>
      </c>
      <c r="O224" s="7">
        <f>O223+Trades!W223</f>
        <v>1.1090943241239959</v>
      </c>
    </row>
    <row r="225" spans="12:15" x14ac:dyDescent="0.25">
      <c r="L225" s="6">
        <f>Trades!P224</f>
        <v>128198</v>
      </c>
      <c r="M225" s="7">
        <f>M224+Trades!T224</f>
        <v>6.0083883574202925</v>
      </c>
      <c r="N225" s="7">
        <f>N224+Trades!U224</f>
        <v>1.8868362878911127</v>
      </c>
      <c r="O225" s="7">
        <f>O224+Trades!W224</f>
        <v>1.0624249868174198</v>
      </c>
    </row>
    <row r="226" spans="12:15" x14ac:dyDescent="0.25">
      <c r="L226" s="6">
        <f>Trades!P225</f>
        <v>128969</v>
      </c>
      <c r="M226" s="7">
        <f>M225+Trades!T225</f>
        <v>6.0176306069651178</v>
      </c>
      <c r="N226" s="7">
        <f>N225+Trades!U225</f>
        <v>1.8761912687203852</v>
      </c>
      <c r="O226" s="7">
        <f>O225+Trades!W225</f>
        <v>1.0477977263661853</v>
      </c>
    </row>
    <row r="227" spans="12:15" x14ac:dyDescent="0.25">
      <c r="L227" s="6">
        <f>Trades!P226</f>
        <v>129183</v>
      </c>
      <c r="M227" s="7">
        <f>M226+Trades!T226</f>
        <v>6.0526332721689657</v>
      </c>
      <c r="N227" s="7">
        <f>N226+Trades!U226</f>
        <v>1.8912969287896311</v>
      </c>
      <c r="O227" s="7">
        <f>O226+Trades!W226</f>
        <v>1.0589211274050794</v>
      </c>
    </row>
    <row r="228" spans="12:15" x14ac:dyDescent="0.25">
      <c r="L228" s="6">
        <f>Trades!P227</f>
        <v>137124</v>
      </c>
      <c r="M228" s="7">
        <f>M227+Trades!T227</f>
        <v>6.0367987322800394</v>
      </c>
      <c r="N228" s="7">
        <f>N227+Trades!U227</f>
        <v>1.8546361202779775</v>
      </c>
      <c r="O228" s="7">
        <f>O227+Trades!W227</f>
        <v>1.0180957505560433</v>
      </c>
    </row>
    <row r="229" spans="12:15" x14ac:dyDescent="0.25">
      <c r="L229" s="6">
        <f>Trades!P228</f>
        <v>137360</v>
      </c>
      <c r="M229" s="7">
        <f>M228+Trades!T228</f>
        <v>6.0724634244483546</v>
      </c>
      <c r="N229" s="7">
        <f>N228+Trades!U228</f>
        <v>1.8694479597735005</v>
      </c>
      <c r="O229" s="7">
        <f>O228+Trades!W228</f>
        <v>1.0287428570635209</v>
      </c>
    </row>
    <row r="230" spans="12:15" x14ac:dyDescent="0.25">
      <c r="L230" s="6">
        <f>Trades!P229</f>
        <v>138145</v>
      </c>
      <c r="M230" s="7">
        <f>M229+Trades!T229</f>
        <v>6.1372259710586983</v>
      </c>
      <c r="N230" s="7">
        <f>N229+Trades!U229</f>
        <v>1.9134040882883956</v>
      </c>
      <c r="O230" s="7">
        <f>O229+Trades!W229</f>
        <v>1.0685344172410334</v>
      </c>
    </row>
    <row r="231" spans="12:15" x14ac:dyDescent="0.25">
      <c r="L231" s="6">
        <f>Trades!P230</f>
        <v>138927</v>
      </c>
      <c r="M231" s="7">
        <f>M230+Trades!T230</f>
        <v>6.0948257788842719</v>
      </c>
      <c r="N231" s="7">
        <f>N230+Trades!U230</f>
        <v>1.8501814367163318</v>
      </c>
      <c r="O231" s="7">
        <f>O230+Trades!W230</f>
        <v>1.0011470326809242</v>
      </c>
    </row>
    <row r="232" spans="12:15" x14ac:dyDescent="0.25">
      <c r="L232" s="6">
        <f>Trades!P231</f>
        <v>139316</v>
      </c>
      <c r="M232" s="7">
        <f>M231+Trades!T231</f>
        <v>6.126637430402079</v>
      </c>
      <c r="N232" s="7">
        <f>N231+Trades!U231</f>
        <v>1.8612763396409497</v>
      </c>
      <c r="O232" s="7">
        <f>O231+Trades!W231</f>
        <v>1.0080772026174967</v>
      </c>
    </row>
    <row r="233" spans="12:15" x14ac:dyDescent="0.25">
      <c r="L233" s="6">
        <f>Trades!P232</f>
        <v>140085</v>
      </c>
      <c r="M233" s="7">
        <f>M232+Trades!T232</f>
        <v>6.1679725050173344</v>
      </c>
      <c r="N233" s="7">
        <f>N232+Trades!U232</f>
        <v>1.8817517715889978</v>
      </c>
      <c r="O233" s="7">
        <f>O232+Trades!W232</f>
        <v>1.0243879015774993</v>
      </c>
    </row>
    <row r="234" spans="12:15" x14ac:dyDescent="0.25">
      <c r="L234" s="6">
        <f>Trades!P233</f>
        <v>140473</v>
      </c>
      <c r="M234" s="7">
        <f>M233+Trades!T233</f>
        <v>6.2180461542299756</v>
      </c>
      <c r="N234" s="7">
        <f>N233+Trades!U233</f>
        <v>1.9110085888425907</v>
      </c>
      <c r="O234" s="7">
        <f>O233+Trades!W233</f>
        <v>1.0494799858430468</v>
      </c>
    </row>
    <row r="235" spans="12:15" x14ac:dyDescent="0.25">
      <c r="L235" s="6">
        <f>Trades!P234</f>
        <v>140877</v>
      </c>
      <c r="M235" s="7">
        <f>M234+Trades!T234</f>
        <v>6.2244105983976015</v>
      </c>
      <c r="N235" s="7">
        <f>N234+Trades!U234</f>
        <v>1.8965847370094486</v>
      </c>
      <c r="O235" s="7">
        <f>O234+Trades!W234</f>
        <v>1.0308914010218593</v>
      </c>
    </row>
    <row r="236" spans="12:15" x14ac:dyDescent="0.25">
      <c r="L236" s="6">
        <f>Trades!P235</f>
        <v>141024</v>
      </c>
      <c r="M236" s="7">
        <f>M235+Trades!T235</f>
        <v>6.256301142635043</v>
      </c>
      <c r="N236" s="7">
        <f>N235+Trades!U235</f>
        <v>1.9069669458820049</v>
      </c>
      <c r="O236" s="7">
        <f>O235+Trades!W235</f>
        <v>1.0369713238153218</v>
      </c>
    </row>
    <row r="237" spans="12:15" x14ac:dyDescent="0.25">
      <c r="L237" s="6">
        <f>Trades!P236</f>
        <v>141252</v>
      </c>
      <c r="M237" s="7">
        <f>M236+Trades!T236</f>
        <v>6.2857913970513195</v>
      </c>
      <c r="N237" s="7">
        <f>N236+Trades!U236</f>
        <v>1.9149455664871606</v>
      </c>
      <c r="O237" s="7">
        <f>O236+Trades!W236</f>
        <v>1.0406476583413837</v>
      </c>
    </row>
    <row r="238" spans="12:15" x14ac:dyDescent="0.25">
      <c r="L238" s="6">
        <f>Trades!P237</f>
        <v>141665</v>
      </c>
      <c r="M238" s="7">
        <f>M237+Trades!T237</f>
        <v>6.3145937091477462</v>
      </c>
      <c r="N238" s="7">
        <f>N237+Trades!U237</f>
        <v>1.9222963806183309</v>
      </c>
      <c r="O238" s="7">
        <f>O237+Trades!W237</f>
        <v>1.0436961863934602</v>
      </c>
    </row>
    <row r="239" spans="12:15" x14ac:dyDescent="0.25">
      <c r="L239" s="6">
        <f>Trades!P238</f>
        <v>142020</v>
      </c>
      <c r="M239" s="7">
        <f>M238+Trades!T238</f>
        <v>6.2958877726985829</v>
      </c>
      <c r="N239" s="7">
        <f>N238+Trades!U238</f>
        <v>1.8820746756076838</v>
      </c>
      <c r="O239" s="7">
        <f>O238+Trades!W238</f>
        <v>0.99917219530371948</v>
      </c>
    </row>
    <row r="240" spans="12:15" x14ac:dyDescent="0.25">
      <c r="L240" s="6">
        <f>Trades!P239</f>
        <v>142051</v>
      </c>
      <c r="M240" s="7">
        <f>M239+Trades!T239</f>
        <v>6.4000459911237186</v>
      </c>
      <c r="N240" s="7">
        <f>N239+Trades!U239</f>
        <v>1.9645421544904325</v>
      </c>
      <c r="O240" s="7">
        <f>O239+Trades!W239</f>
        <v>1.0773370856700768</v>
      </c>
    </row>
    <row r="241" spans="12:15" x14ac:dyDescent="0.25">
      <c r="L241" s="6">
        <f>Trades!P240</f>
        <v>142393</v>
      </c>
      <c r="M241" s="7">
        <f>M240+Trades!T240</f>
        <v>6.4180751233190492</v>
      </c>
      <c r="N241" s="7">
        <f>N240+Trades!U240</f>
        <v>1.9610585718678359</v>
      </c>
      <c r="O241" s="7">
        <f>O240+Trades!W240</f>
        <v>1.0695512169683865</v>
      </c>
    </row>
    <row r="242" spans="12:15" x14ac:dyDescent="0.25">
      <c r="L242" s="6">
        <f>Trades!P241</f>
        <v>143175</v>
      </c>
      <c r="M242" s="7">
        <f>M241+Trades!T241</f>
        <v>6.4362797472427014</v>
      </c>
      <c r="N242" s="7">
        <f>N241+Trades!U241</f>
        <v>1.9577477515261763</v>
      </c>
      <c r="O242" s="7">
        <f>O241+Trades!W241</f>
        <v>1.0619378081103354</v>
      </c>
    </row>
    <row r="243" spans="12:15" x14ac:dyDescent="0.25">
      <c r="L243" s="6">
        <f>Trades!P242</f>
        <v>143209</v>
      </c>
      <c r="M243" s="7">
        <f>M242+Trades!T242</f>
        <v>6.4713926296593129</v>
      </c>
      <c r="N243" s="7">
        <f>N242+Trades!U242</f>
        <v>1.9713833080192762</v>
      </c>
      <c r="O243" s="7">
        <f>O242+Trades!W242</f>
        <v>1.0712707760870439</v>
      </c>
    </row>
    <row r="244" spans="12:15" x14ac:dyDescent="0.25">
      <c r="L244" s="6">
        <f>Trades!P243</f>
        <v>143480</v>
      </c>
      <c r="M244" s="7">
        <f>M243+Trades!T243</f>
        <v>6.4698933306674959</v>
      </c>
      <c r="N244" s="7">
        <f>N243+Trades!U243</f>
        <v>1.948373555569108</v>
      </c>
      <c r="O244" s="7">
        <f>O243+Trades!W243</f>
        <v>1.0439584351204843</v>
      </c>
    </row>
    <row r="245" spans="12:15" x14ac:dyDescent="0.25">
      <c r="L245" s="6">
        <f>Trades!P244</f>
        <v>143629</v>
      </c>
      <c r="M245" s="7">
        <f>M244+Trades!T244</f>
        <v>6.3710633320754235</v>
      </c>
      <c r="N245" s="7">
        <f>N244+Trades!U244</f>
        <v>1.8279868488145345</v>
      </c>
      <c r="O245" s="7">
        <f>O244+Trades!W244</f>
        <v>0.91926944228681706</v>
      </c>
    </row>
    <row r="246" spans="12:15" x14ac:dyDescent="0.25">
      <c r="L246" s="6">
        <f>Trades!P245</f>
        <v>144006</v>
      </c>
      <c r="M246" s="7">
        <f>M245+Trades!T245</f>
        <v>6.3435889094210252</v>
      </c>
      <c r="N246" s="7">
        <f>N245+Trades!U245</f>
        <v>1.7789005371596212</v>
      </c>
      <c r="O246" s="7">
        <f>O245+Trades!W245</f>
        <v>0.86588054211551213</v>
      </c>
    </row>
    <row r="247" spans="12:15" x14ac:dyDescent="0.25">
      <c r="L247" s="6">
        <f>Trades!P246</f>
        <v>144924</v>
      </c>
      <c r="M247" s="7">
        <f>M246+Trades!T246</f>
        <v>6.3542788110103645</v>
      </c>
      <c r="N247" s="7">
        <f>N246+Trades!U246</f>
        <v>1.7717399424873099</v>
      </c>
      <c r="O247" s="7">
        <f>O246+Trades!W246</f>
        <v>0.85514512996603287</v>
      </c>
    </row>
    <row r="248" spans="12:15" x14ac:dyDescent="0.25">
      <c r="L248" s="6">
        <f>Trades!P247</f>
        <v>145000</v>
      </c>
      <c r="M248" s="7">
        <f>M247+Trades!T247</f>
        <v>6.335516671471134</v>
      </c>
      <c r="N248" s="7">
        <f>N247+Trades!U247</f>
        <v>1.7351083482018561</v>
      </c>
      <c r="O248" s="7">
        <f>O247+Trades!W247</f>
        <v>0.81493829323337308</v>
      </c>
    </row>
    <row r="249" spans="12:15" x14ac:dyDescent="0.25">
      <c r="L249" s="6">
        <f>Trades!P248</f>
        <v>145165</v>
      </c>
      <c r="M249" s="7">
        <f>M248+Trades!T248</f>
        <v>6.3832608196007312</v>
      </c>
      <c r="N249" s="7">
        <f>N248+Trades!U248</f>
        <v>1.7649187417373031</v>
      </c>
      <c r="O249" s="7">
        <f>O248+Trades!W248</f>
        <v>0.84117386929165205</v>
      </c>
    </row>
    <row r="250" spans="12:15" x14ac:dyDescent="0.25">
      <c r="L250" s="6">
        <f>Trades!P249</f>
        <v>145587</v>
      </c>
      <c r="M250" s="7">
        <f>M249+Trades!T249</f>
        <v>6.2921344825036991</v>
      </c>
      <c r="N250" s="7">
        <f>N249+Trades!U249</f>
        <v>1.6559057951887621</v>
      </c>
      <c r="O250" s="7">
        <f>O249+Trades!W249</f>
        <v>0.72858610526594303</v>
      </c>
    </row>
    <row r="251" spans="12:15" x14ac:dyDescent="0.25">
      <c r="L251" s="6">
        <f>Trades!P250</f>
        <v>146370</v>
      </c>
      <c r="M251" s="7">
        <f>M250+Trades!T250</f>
        <v>6.1909059115358049</v>
      </c>
      <c r="N251" s="7">
        <f>N250+Trades!U250</f>
        <v>1.5367542172080588</v>
      </c>
      <c r="O251" s="7">
        <f>O250+Trades!W250</f>
        <v>0.60585970980807158</v>
      </c>
    </row>
    <row r="252" spans="12:15" x14ac:dyDescent="0.25">
      <c r="L252" s="6">
        <f>Trades!P251</f>
        <v>146742</v>
      </c>
      <c r="M252" s="7">
        <f>M251+Trades!T251</f>
        <v>6.174334908400132</v>
      </c>
      <c r="N252" s="7">
        <f>N251+Trades!U251</f>
        <v>1.5022644391646076</v>
      </c>
      <c r="O252" s="7">
        <f>O251+Trades!W251</f>
        <v>0.56779511428745233</v>
      </c>
    </row>
    <row r="253" spans="12:15" x14ac:dyDescent="0.25">
      <c r="L253" s="6">
        <f>Trades!P252</f>
        <v>147520</v>
      </c>
      <c r="M253" s="7">
        <f>M252+Trades!T252</f>
        <v>6.1558740348584866</v>
      </c>
      <c r="N253" s="7">
        <f>N252+Trades!U252</f>
        <v>1.4659570840478431</v>
      </c>
      <c r="O253" s="7">
        <f>O252+Trades!W252</f>
        <v>0.52791294169351977</v>
      </c>
    </row>
    <row r="254" spans="12:15" x14ac:dyDescent="0.25">
      <c r="L254" s="6">
        <f>Trades!P253</f>
        <v>147895</v>
      </c>
      <c r="M254" s="7">
        <f>M253+Trades!T253</f>
        <v>6.1942617764097285</v>
      </c>
      <c r="N254" s="7">
        <f>N253+Trades!U253</f>
        <v>1.4864595139812009</v>
      </c>
      <c r="O254" s="7">
        <f>O253+Trades!W253</f>
        <v>0.54484055414970955</v>
      </c>
    </row>
    <row r="255" spans="12:15" x14ac:dyDescent="0.25">
      <c r="L255" s="6">
        <f>Trades!P254</f>
        <v>148706</v>
      </c>
      <c r="M255" s="7">
        <f>M254+Trades!T254</f>
        <v>6.121899965927958</v>
      </c>
      <c r="N255" s="7">
        <f>N254+Trades!U254</f>
        <v>1.3963719592314205</v>
      </c>
      <c r="O255" s="7">
        <f>O254+Trades!W254</f>
        <v>0.45117818192276105</v>
      </c>
    </row>
    <row r="256" spans="12:15" x14ac:dyDescent="0.25">
      <c r="L256" s="6">
        <f>Trades!P255</f>
        <v>148825</v>
      </c>
      <c r="M256" s="7">
        <f>M255+Trades!T255</f>
        <v>6.0918819839255898</v>
      </c>
      <c r="N256" s="7">
        <f>N255+Trades!U255</f>
        <v>1.3473703488074831</v>
      </c>
      <c r="O256" s="7">
        <f>O255+Trades!W255</f>
        <v>0.39838365311101637</v>
      </c>
    </row>
    <row r="257" spans="12:15" x14ac:dyDescent="0.25">
      <c r="L257" s="6">
        <f>Trades!P256</f>
        <v>149066</v>
      </c>
      <c r="M257" s="7">
        <f>M256+Trades!T256</f>
        <v>6.1224570707670116</v>
      </c>
      <c r="N257" s="7">
        <f>N256+Trades!U256</f>
        <v>1.358982687934023</v>
      </c>
      <c r="O257" s="7">
        <f>O256+Trades!W256</f>
        <v>0.40620328103495396</v>
      </c>
    </row>
    <row r="258" spans="12:15" x14ac:dyDescent="0.25">
      <c r="L258" s="6">
        <f>Trades!P257</f>
        <v>149361</v>
      </c>
      <c r="M258" s="7">
        <f>M257+Trades!T257</f>
        <v>6.1098707966223076</v>
      </c>
      <c r="N258" s="7">
        <f>N257+Trades!U257</f>
        <v>1.3273963304877612</v>
      </c>
      <c r="O258" s="7">
        <f>O257+Trades!W257</f>
        <v>0.37082421238608959</v>
      </c>
    </row>
    <row r="259" spans="12:15" x14ac:dyDescent="0.25">
      <c r="L259" s="6">
        <f>Trades!P258</f>
        <v>149501</v>
      </c>
      <c r="M259" s="7">
        <f>M258+Trades!T258</f>
        <v>6.0706215853103416</v>
      </c>
      <c r="N259" s="7">
        <f>N258+Trades!U258</f>
        <v>1.2691951089404667</v>
      </c>
      <c r="O259" s="7">
        <f>O258+Trades!W258</f>
        <v>0.30883027963619269</v>
      </c>
    </row>
    <row r="260" spans="12:15" x14ac:dyDescent="0.25">
      <c r="L260" s="6">
        <f>Trades!P259</f>
        <v>150262</v>
      </c>
      <c r="M260" s="7">
        <f>M259+Trades!T259</f>
        <v>6.0918441799157996</v>
      </c>
      <c r="N260" s="7">
        <f>N259+Trades!U259</f>
        <v>1.2715969708822892</v>
      </c>
      <c r="O260" s="7">
        <f>O259+Trades!W259</f>
        <v>0.30743922319020789</v>
      </c>
    </row>
    <row r="261" spans="12:15" x14ac:dyDescent="0.25">
      <c r="L261" s="6">
        <f>Trades!P260</f>
        <v>150627</v>
      </c>
      <c r="M261" s="7">
        <f>M260+Trades!T260</f>
        <v>6.1340721286818995</v>
      </c>
      <c r="N261" s="7">
        <f>N260+Trades!U260</f>
        <v>1.2948336508223375</v>
      </c>
      <c r="O261" s="7">
        <f>O260+Trades!W260</f>
        <v>0.32688319192765375</v>
      </c>
    </row>
    <row r="262" spans="12:15" x14ac:dyDescent="0.25">
      <c r="L262" s="6">
        <f>Trades!P261</f>
        <v>150986</v>
      </c>
      <c r="M262" s="7">
        <f>M261+Trades!T261</f>
        <v>6.1120492480760422</v>
      </c>
      <c r="N262" s="7">
        <f>N261+Trades!U261</f>
        <v>1.2538205470465973</v>
      </c>
      <c r="O262" s="7">
        <f>O261+Trades!W261</f>
        <v>0.28207716976410624</v>
      </c>
    </row>
    <row r="263" spans="12:15" x14ac:dyDescent="0.25">
      <c r="L263" s="6">
        <f>Trades!P262</f>
        <v>151048</v>
      </c>
      <c r="M263" s="7">
        <f>M262+Trades!T262</f>
        <v>6.0459355245822</v>
      </c>
      <c r="N263" s="7">
        <f>N262+Trades!U262</f>
        <v>1.1685798453315219</v>
      </c>
      <c r="O263" s="7">
        <f>O262+Trades!W262</f>
        <v>0.19304375684642849</v>
      </c>
    </row>
    <row r="264" spans="12:15" x14ac:dyDescent="0.25">
      <c r="L264" s="6">
        <f>Trades!P263</f>
        <v>151160</v>
      </c>
      <c r="M264" s="7">
        <f>M263+Trades!T263</f>
        <v>5.8693487599206327</v>
      </c>
      <c r="N264" s="7">
        <f>N263+Trades!U263</f>
        <v>0.97293186766808004</v>
      </c>
      <c r="O264" s="7">
        <f>O263+Trades!W263</f>
        <v>-6.3971392048207121E-3</v>
      </c>
    </row>
    <row r="265" spans="12:15" x14ac:dyDescent="0.25">
      <c r="L265" s="6">
        <f>Trades!P264</f>
        <v>151517</v>
      </c>
      <c r="M265" s="7">
        <f>M264+Trades!T264</f>
        <v>5.8685945251342577</v>
      </c>
      <c r="N265" s="7">
        <f>N264+Trades!U264</f>
        <v>0.95323308464584711</v>
      </c>
      <c r="O265" s="7">
        <f>O264+Trades!W264</f>
        <v>-2.9888633429656083E-2</v>
      </c>
    </row>
    <row r="266" spans="12:15" x14ac:dyDescent="0.25">
      <c r="L266" s="6">
        <f>Trades!P265</f>
        <v>152206</v>
      </c>
      <c r="M266" s="7">
        <f>M265+Trades!T265</f>
        <v>5.8896938399442451</v>
      </c>
      <c r="N266" s="7">
        <f>N265+Trades!U265</f>
        <v>0.95536991991333819</v>
      </c>
      <c r="O266" s="7">
        <f>O265+Trades!W265</f>
        <v>-3.1544716549972235E-2</v>
      </c>
    </row>
    <row r="267" spans="12:15" x14ac:dyDescent="0.25">
      <c r="L267" s="6">
        <f>Trades!P266</f>
        <v>152594</v>
      </c>
      <c r="M267" s="7">
        <f>M266+Trades!T266</f>
        <v>5.8784911072253792</v>
      </c>
      <c r="N267" s="7">
        <f>N266+Trades!U266</f>
        <v>0.92508109394164306</v>
      </c>
      <c r="O267" s="7">
        <f>O266+Trades!W266</f>
        <v>-6.5626460909474577E-2</v>
      </c>
    </row>
    <row r="268" spans="12:15" x14ac:dyDescent="0.25">
      <c r="L268" s="6">
        <f>Trades!P267</f>
        <v>152724</v>
      </c>
      <c r="M268" s="7">
        <f>M267+Trades!T267</f>
        <v>5.8966796951943969</v>
      </c>
      <c r="N268" s="7">
        <f>N267+Trades!U267</f>
        <v>0.9251791369654383</v>
      </c>
      <c r="O268" s="7">
        <f>O267+Trades!W267</f>
        <v>-6.914643992815335E-2</v>
      </c>
    </row>
    <row r="269" spans="12:15" x14ac:dyDescent="0.25">
      <c r="L269" s="6">
        <f>Trades!P268</f>
        <v>153758</v>
      </c>
      <c r="M269" s="7">
        <f>M268+Trades!T268</f>
        <v>5.9459032882691609</v>
      </c>
      <c r="N269" s="7">
        <f>N268+Trades!U268</f>
        <v>0.95628629094225359</v>
      </c>
      <c r="O269" s="7">
        <f>O268+Trades!W268</f>
        <v>-4.1657307993812093E-2</v>
      </c>
    </row>
    <row r="270" spans="12:15" x14ac:dyDescent="0.25">
      <c r="L270" s="6">
        <f>Trades!P269</f>
        <v>154096</v>
      </c>
      <c r="M270" s="7">
        <f>M269+Trades!T269</f>
        <v>5.9597729137892754</v>
      </c>
      <c r="N270" s="7">
        <f>N269+Trades!U269</f>
        <v>0.95205791696957964</v>
      </c>
      <c r="O270" s="7">
        <f>O269+Trades!W269</f>
        <v>-4.9504085796023979E-2</v>
      </c>
    </row>
    <row r="271" spans="12:15" x14ac:dyDescent="0.25">
      <c r="L271" s="6">
        <f>Trades!P270</f>
        <v>154153</v>
      </c>
      <c r="M271" s="7">
        <f>M270+Trades!T270</f>
        <v>5.9866299152065396</v>
      </c>
      <c r="N271" s="7">
        <f>N270+Trades!U270</f>
        <v>0.96075511166488947</v>
      </c>
      <c r="O271" s="7">
        <f>O270+Trades!W270</f>
        <v>-4.4425294930252122E-2</v>
      </c>
    </row>
    <row r="272" spans="12:15" x14ac:dyDescent="0.25">
      <c r="L272" s="6">
        <f>Trades!P271</f>
        <v>155297</v>
      </c>
      <c r="M272" s="7">
        <f>M271+Trades!T271</f>
        <v>6.0070724252266992</v>
      </c>
      <c r="N272" s="7">
        <f>N271+Trades!U271</f>
        <v>0.96312333636716696</v>
      </c>
      <c r="O272" s="7">
        <f>O271+Trades!W271</f>
        <v>-4.5675092270448615E-2</v>
      </c>
    </row>
    <row r="273" spans="12:15" x14ac:dyDescent="0.25">
      <c r="L273" s="6">
        <f>Trades!P272</f>
        <v>155330</v>
      </c>
      <c r="M273" s="7">
        <f>M272+Trades!T272</f>
        <v>6.0088957042649493</v>
      </c>
      <c r="N273" s="7">
        <f>N272+Trades!U272</f>
        <v>0.94679652204797116</v>
      </c>
      <c r="O273" s="7">
        <f>O272+Trades!W272</f>
        <v>-6.5620310419182343E-2</v>
      </c>
    </row>
    <row r="274" spans="12:15" x14ac:dyDescent="0.25">
      <c r="L274" s="6">
        <f>Trades!P273</f>
        <v>155709</v>
      </c>
      <c r="M274" s="7">
        <f>M273+Trades!T273</f>
        <v>6.0348148480051771</v>
      </c>
      <c r="N274" s="7">
        <f>N273+Trades!U273</f>
        <v>0.95459693623894637</v>
      </c>
      <c r="O274" s="7">
        <f>O273+Trades!W273</f>
        <v>-6.1438300057745074E-2</v>
      </c>
    </row>
    <row r="275" spans="12:15" x14ac:dyDescent="0.25">
      <c r="L275" s="6">
        <f>Trades!P274</f>
        <v>156105</v>
      </c>
      <c r="M275" s="7">
        <f>M274+Trades!T274</f>
        <v>6.1927770454097582</v>
      </c>
      <c r="N275" s="7">
        <f>N274+Trades!U274</f>
        <v>1.0946214164655113</v>
      </c>
      <c r="O275" s="7">
        <f>O274+Trades!W274</f>
        <v>7.4968158126345733E-2</v>
      </c>
    </row>
    <row r="276" spans="12:15" x14ac:dyDescent="0.25">
      <c r="L276" s="6">
        <f>Trades!P275</f>
        <v>156385</v>
      </c>
      <c r="M276" s="7">
        <f>M275+Trades!T275</f>
        <v>6.2252057329395774</v>
      </c>
      <c r="N276" s="7">
        <f>N275+Trades!U275</f>
        <v>1.1089562004891966</v>
      </c>
      <c r="O276" s="7">
        <f>O275+Trades!W275</f>
        <v>8.5684920107557239E-2</v>
      </c>
    </row>
    <row r="277" spans="12:15" x14ac:dyDescent="0.25">
      <c r="L277" s="6">
        <f>Trades!P276</f>
        <v>156481</v>
      </c>
      <c r="M277" s="7">
        <f>M276+Trades!T276</f>
        <v>6.2876176579419081</v>
      </c>
      <c r="N277" s="7">
        <f>N276+Trades!U276</f>
        <v>1.1532104952533997</v>
      </c>
      <c r="O277" s="7">
        <f>O276+Trades!W276</f>
        <v>0.12632119282928631</v>
      </c>
    </row>
    <row r="278" spans="12:15" x14ac:dyDescent="0.25">
      <c r="L278" s="6">
        <f>Trades!P277</f>
        <v>156624</v>
      </c>
      <c r="M278" s="7">
        <f>M277+Trades!T277</f>
        <v>6.2855757348486598</v>
      </c>
      <c r="N278" s="7">
        <f>N277+Trades!U277</f>
        <v>1.1353415544786165</v>
      </c>
      <c r="O278" s="7">
        <f>O277+Trades!W277</f>
        <v>0.10528947874771455</v>
      </c>
    </row>
    <row r="279" spans="12:15" x14ac:dyDescent="0.25">
      <c r="L279" s="6">
        <f>Trades!P278</f>
        <v>156903</v>
      </c>
      <c r="M279" s="7">
        <f>M278+Trades!T278</f>
        <v>6.1947613881244541</v>
      </c>
      <c r="N279" s="7">
        <f>N278+Trades!U278</f>
        <v>1.0286492205842841</v>
      </c>
      <c r="O279" s="7">
        <f>O278+Trades!W278</f>
        <v>-4.5656284534065505E-3</v>
      </c>
    </row>
    <row r="280" spans="12:15" x14ac:dyDescent="0.25">
      <c r="L280" s="6">
        <f>Trades!P279</f>
        <v>157088</v>
      </c>
      <c r="M280" s="7">
        <f>M279+Trades!T279</f>
        <v>6.1975341188692097</v>
      </c>
      <c r="N280" s="7">
        <f>N279+Trades!U279</f>
        <v>1.0156009403213999</v>
      </c>
      <c r="O280" s="7">
        <f>O279+Trades!W279</f>
        <v>-2.0777518831368441E-2</v>
      </c>
    </row>
    <row r="281" spans="12:15" x14ac:dyDescent="0.25">
      <c r="L281" s="6">
        <f>Trades!P280</f>
        <v>157135</v>
      </c>
      <c r="M281" s="7">
        <f>M280+Trades!T280</f>
        <v>6.2065771118415096</v>
      </c>
      <c r="N281" s="7">
        <f>N280+Trades!U280</f>
        <v>1.0088234532425497</v>
      </c>
      <c r="O281" s="7">
        <f>O280+Trades!W280</f>
        <v>-3.0718616025296294E-2</v>
      </c>
    </row>
    <row r="282" spans="12:15" x14ac:dyDescent="0.25">
      <c r="L282" s="6">
        <f>Trades!P281</f>
        <v>157280</v>
      </c>
      <c r="M282" s="7">
        <f>M281+Trades!T281</f>
        <v>6.1993328359455777</v>
      </c>
      <c r="N282" s="7">
        <f>N281+Trades!U281</f>
        <v>0.98579853342069634</v>
      </c>
      <c r="O282" s="7">
        <f>O281+Trades!W281</f>
        <v>-5.6907145962227443E-2</v>
      </c>
    </row>
    <row r="283" spans="12:15" x14ac:dyDescent="0.25">
      <c r="L283" s="6">
        <f>Trades!P282</f>
        <v>157488</v>
      </c>
      <c r="M283" s="7">
        <f>M282+Trades!T282</f>
        <v>6.2163016704025607</v>
      </c>
      <c r="N283" s="7">
        <f>N282+Trades!U282</f>
        <v>0.9869452184155677</v>
      </c>
      <c r="O283" s="7">
        <f>O282+Trades!W282</f>
        <v>-5.8924071082433818E-2</v>
      </c>
    </row>
    <row r="284" spans="12:15" x14ac:dyDescent="0.25">
      <c r="L284" s="6">
        <f>Trades!P283</f>
        <v>158436</v>
      </c>
      <c r="M284" s="7">
        <f>M283+Trades!T283</f>
        <v>6.2918548261070386</v>
      </c>
      <c r="N284" s="7">
        <f>N283+Trades!U283</f>
        <v>1.046727051708414</v>
      </c>
      <c r="O284" s="7">
        <f>O283+Trades!W283</f>
        <v>-2.305011096376125E-3</v>
      </c>
    </row>
    <row r="285" spans="12:15" x14ac:dyDescent="0.25">
      <c r="L285" s="6">
        <f>Trades!P284</f>
        <v>159427</v>
      </c>
      <c r="M285" s="7">
        <f>M284+Trades!T284</f>
        <v>6.2704517596503342</v>
      </c>
      <c r="N285" s="7">
        <f>N284+Trades!U284</f>
        <v>1.0095082251949614</v>
      </c>
      <c r="O285" s="7">
        <f>O284+Trades!W284</f>
        <v>-4.2687447724906395E-2</v>
      </c>
    </row>
    <row r="286" spans="12:15" x14ac:dyDescent="0.25">
      <c r="L286" s="6">
        <f>Trades!P285</f>
        <v>159481</v>
      </c>
      <c r="M286" s="7">
        <f>M285+Trades!T285</f>
        <v>6.2793975930454629</v>
      </c>
      <c r="N286" s="7">
        <f>N285+Trades!U285</f>
        <v>1.0026425729521247</v>
      </c>
      <c r="O286" s="7">
        <f>O285+Trades!W285</f>
        <v>-5.2716710082820924E-2</v>
      </c>
    </row>
    <row r="287" spans="12:15" x14ac:dyDescent="0.25">
      <c r="L287" s="6">
        <f>Trades!P286</f>
        <v>160002</v>
      </c>
      <c r="M287" s="7">
        <f>M286+Trades!T286</f>
        <v>6.2930851076277925</v>
      </c>
      <c r="N287" s="7">
        <f>N286+Trades!U286</f>
        <v>1.0005111604614072</v>
      </c>
      <c r="O287" s="7">
        <f>O286+Trades!W286</f>
        <v>-5.8011732688616126E-2</v>
      </c>
    </row>
    <row r="288" spans="12:15" x14ac:dyDescent="0.25">
      <c r="L288" s="6">
        <f>Trades!P287</f>
        <v>160087</v>
      </c>
      <c r="M288" s="7">
        <f>M287+Trades!T287</f>
        <v>6.2812922411367387</v>
      </c>
      <c r="N288" s="7">
        <f>N287+Trades!U287</f>
        <v>0.97288641180015989</v>
      </c>
      <c r="O288" s="7">
        <f>O287+Trades!W287</f>
        <v>-8.879925465665213E-2</v>
      </c>
    </row>
    <row r="289" spans="12:15" x14ac:dyDescent="0.25">
      <c r="L289" s="6">
        <f>Trades!P288</f>
        <v>160119</v>
      </c>
      <c r="M289" s="7">
        <f>M288+Trades!T288</f>
        <v>6.2949586601891063</v>
      </c>
      <c r="N289" s="7">
        <f>N288+Trades!U288</f>
        <v>0.97073561416512688</v>
      </c>
      <c r="O289" s="7">
        <f>O288+Trades!W288</f>
        <v>-9.411366240676286E-2</v>
      </c>
    </row>
    <row r="290" spans="12:15" x14ac:dyDescent="0.25">
      <c r="L290" s="6">
        <f>Trades!P289</f>
        <v>160207</v>
      </c>
      <c r="M290" s="7">
        <f>M289+Trades!T289</f>
        <v>6.3041933942487853</v>
      </c>
      <c r="N290" s="7">
        <f>N289+Trades!U289</f>
        <v>0.96415900703717017</v>
      </c>
      <c r="O290" s="7">
        <f>O289+Trades!W289</f>
        <v>-0.10385387964979724</v>
      </c>
    </row>
    <row r="291" spans="12:15" x14ac:dyDescent="0.25">
      <c r="L291" s="6">
        <f>Trades!P290</f>
        <v>160276</v>
      </c>
      <c r="M291" s="7">
        <f>M290+Trades!T290</f>
        <v>6.3273953713557214</v>
      </c>
      <c r="N291" s="7">
        <f>N290+Trades!U290</f>
        <v>0.97154471099309103</v>
      </c>
      <c r="O291" s="7">
        <f>O290+Trades!W290</f>
        <v>-9.9630949000665062E-2</v>
      </c>
    </row>
    <row r="292" spans="12:15" x14ac:dyDescent="0.25">
      <c r="L292" s="6">
        <f>Trades!P291</f>
        <v>160310</v>
      </c>
      <c r="M292" s="7">
        <f>M291+Trades!T291</f>
        <v>6.349359845290925</v>
      </c>
      <c r="N292" s="7">
        <f>N291+Trades!U291</f>
        <v>0.97766721190654271</v>
      </c>
      <c r="O292" s="7">
        <f>O291+Trades!W291</f>
        <v>-9.6671221394001999E-2</v>
      </c>
    </row>
    <row r="293" spans="12:15" x14ac:dyDescent="0.25">
      <c r="L293" s="6">
        <f>Trades!P292</f>
        <v>160398</v>
      </c>
      <c r="M293" s="7">
        <f>M292+Trades!T292</f>
        <v>6.304246901714964</v>
      </c>
      <c r="N293" s="7">
        <f>N292+Trades!U292</f>
        <v>0.91662741629143896</v>
      </c>
      <c r="O293" s="7">
        <f>O292+Trades!W292</f>
        <v>-0.16087379031589441</v>
      </c>
    </row>
    <row r="294" spans="12:15" x14ac:dyDescent="0.25">
      <c r="L294" s="6">
        <f>Trades!P293</f>
        <v>160487</v>
      </c>
      <c r="M294" s="7">
        <f>M293+Trades!T293</f>
        <v>6.3273016245882374</v>
      </c>
      <c r="N294" s="7">
        <f>N293+Trades!U293</f>
        <v>0.92384389532042699</v>
      </c>
      <c r="O294" s="7">
        <f>O293+Trades!W293</f>
        <v>-0.15682092140198406</v>
      </c>
    </row>
    <row r="295" spans="12:15" x14ac:dyDescent="0.25">
      <c r="L295" s="6">
        <f>Trades!P294</f>
        <v>160524</v>
      </c>
      <c r="M295" s="7">
        <f>M294+Trades!T294</f>
        <v>6.2795438302943527</v>
      </c>
      <c r="N295" s="7">
        <f>N294+Trades!U294</f>
        <v>0.86533830851787907</v>
      </c>
      <c r="O295" s="7">
        <f>O294+Trades!W294</f>
        <v>-0.21747012826105833</v>
      </c>
    </row>
    <row r="296" spans="12:15" x14ac:dyDescent="0.25">
      <c r="L296" s="6">
        <f>Trades!P295</f>
        <v>160772</v>
      </c>
      <c r="M296" s="7">
        <f>M295+Trades!T295</f>
        <v>6.3252498683025253</v>
      </c>
      <c r="N296" s="7">
        <f>N295+Trades!U295</f>
        <v>0.90034446063188323</v>
      </c>
      <c r="O296" s="7">
        <f>O295+Trades!W295</f>
        <v>-0.1846075962035805</v>
      </c>
    </row>
    <row r="297" spans="12:15" x14ac:dyDescent="0.25">
      <c r="L297" s="6">
        <f>Trades!P296</f>
        <v>160948</v>
      </c>
      <c r="M297" s="7">
        <f>M296+Trades!T296</f>
        <v>6.3249299846719147</v>
      </c>
      <c r="N297" s="7">
        <f>N296+Trades!U296</f>
        <v>0.88930241398145649</v>
      </c>
      <c r="O297" s="7">
        <f>O296+Trades!W296</f>
        <v>-0.19779511836275096</v>
      </c>
    </row>
    <row r="298" spans="12:15" x14ac:dyDescent="0.25">
      <c r="L298" s="6">
        <f>Trades!P297</f>
        <v>161181</v>
      </c>
      <c r="M298" s="7">
        <f>M297+Trades!T297</f>
        <v>6.3563435949151215</v>
      </c>
      <c r="N298" s="7">
        <f>N297+Trades!U297</f>
        <v>0.91000968417429984</v>
      </c>
      <c r="O298" s="7">
        <f>O297+Trades!W297</f>
        <v>-0.17923146822643396</v>
      </c>
    </row>
    <row r="299" spans="12:15" x14ac:dyDescent="0.25">
      <c r="L299" s="6">
        <f>Trades!P298</f>
        <v>161291</v>
      </c>
      <c r="M299" s="7">
        <f>M298+Trades!T298</f>
        <v>6.3599741837514356</v>
      </c>
      <c r="N299" s="7">
        <f>N298+Trades!U298</f>
        <v>0.90291664509448455</v>
      </c>
      <c r="O299" s="7">
        <f>O298+Trades!W298</f>
        <v>-0.18846998281499289</v>
      </c>
    </row>
    <row r="300" spans="12:15" x14ac:dyDescent="0.25">
      <c r="L300" s="6">
        <f>Trades!P299</f>
        <v>161369</v>
      </c>
      <c r="M300" s="7">
        <f>M299+Trades!T299</f>
        <v>6.3463980755530711</v>
      </c>
      <c r="N300" s="7">
        <f>N299+Trades!U299</f>
        <v>0.87862556202040043</v>
      </c>
      <c r="O300" s="7">
        <f>O299+Trades!W299</f>
        <v>-0.21490654139782076</v>
      </c>
    </row>
    <row r="301" spans="12:15" x14ac:dyDescent="0.25">
      <c r="L301" s="6">
        <f>Trades!P300</f>
        <v>161470</v>
      </c>
      <c r="M301" s="7">
        <f>M300+Trades!T300</f>
        <v>6.3330885819068845</v>
      </c>
      <c r="N301" s="7">
        <f>N300+Trades!U300</f>
        <v>0.85458541558719048</v>
      </c>
      <c r="O301" s="7">
        <f>O300+Trades!W300</f>
        <v>-0.241090307887557</v>
      </c>
    </row>
    <row r="302" spans="12:15" x14ac:dyDescent="0.25">
      <c r="L302" s="6">
        <f>Trades!P301</f>
        <v>161493</v>
      </c>
      <c r="M302" s="7">
        <f>M301+Trades!T301</f>
        <v>6.3480919932280759</v>
      </c>
      <c r="N302" s="7">
        <f>N301+Trades!U301</f>
        <v>0.85887407910874924</v>
      </c>
      <c r="O302" s="7">
        <f>O301+Trades!W301</f>
        <v>-0.23894526442252459</v>
      </c>
    </row>
    <row r="303" spans="12:15" x14ac:dyDescent="0.25">
      <c r="L303" s="6">
        <f>Trades!P302</f>
        <v>161678</v>
      </c>
      <c r="M303" s="7">
        <f>M302+Trades!T302</f>
        <v>6.3385050857921375</v>
      </c>
      <c r="N303" s="7">
        <f>N302+Trades!U302</f>
        <v>0.83857117956176874</v>
      </c>
      <c r="O303" s="7">
        <f>O302+Trades!W302</f>
        <v>-0.26139363947824884</v>
      </c>
    </row>
    <row r="304" spans="12:15" x14ac:dyDescent="0.25">
      <c r="L304" s="6">
        <f>Trades!P303</f>
        <v>161705</v>
      </c>
      <c r="M304" s="7">
        <f>M303+Trades!T303</f>
        <v>6.3364185305720691</v>
      </c>
      <c r="N304" s="7">
        <f>N303+Trades!U303</f>
        <v>0.82576084215091761</v>
      </c>
      <c r="O304" s="7">
        <f>O303+Trades!W303</f>
        <v>-0.27634759694562638</v>
      </c>
    </row>
    <row r="305" spans="12:15" x14ac:dyDescent="0.25">
      <c r="L305" s="6">
        <f>Trades!P304</f>
        <v>161921</v>
      </c>
      <c r="M305" s="7">
        <f>M304+Trades!T304</f>
        <v>6.346981141846487</v>
      </c>
      <c r="N305" s="7">
        <f>N304+Trades!U304</f>
        <v>0.82559592198396803</v>
      </c>
      <c r="O305" s="7">
        <f>O304+Trades!W304</f>
        <v>-0.27865799262131963</v>
      </c>
    </row>
    <row r="306" spans="12:15" x14ac:dyDescent="0.25">
      <c r="L306" s="6">
        <f>Trades!P305</f>
        <v>161955</v>
      </c>
      <c r="M306" s="7">
        <f>M305+Trades!T305</f>
        <v>6.343573195699582</v>
      </c>
      <c r="N306" s="7">
        <f>N305+Trades!U305</f>
        <v>0.81145472133588881</v>
      </c>
      <c r="O306" s="7">
        <f>O305+Trades!W305</f>
        <v>-0.29494281332592515</v>
      </c>
    </row>
    <row r="307" spans="12:15" x14ac:dyDescent="0.25">
      <c r="L307" s="6">
        <f>Trades!P306</f>
        <v>162139</v>
      </c>
      <c r="M307" s="7">
        <f>M306+Trades!T306</f>
        <v>6.345470998661038</v>
      </c>
      <c r="N307" s="7">
        <f>N306+Trades!U306</f>
        <v>0.80262883648269068</v>
      </c>
      <c r="O307" s="7">
        <f>O306+Trades!W306</f>
        <v>-0.30591231823564968</v>
      </c>
    </row>
    <row r="308" spans="12:15" x14ac:dyDescent="0.25">
      <c r="L308" s="6">
        <f>Trades!P307</f>
        <v>162259</v>
      </c>
      <c r="M308" s="7">
        <f>M307+Trades!T307</f>
        <v>6.340979547551429</v>
      </c>
      <c r="N308" s="7">
        <f>N307+Trades!U307</f>
        <v>0.78741008433698467</v>
      </c>
      <c r="O308" s="7">
        <f>O307+Trades!W307</f>
        <v>-0.32327469043788198</v>
      </c>
    </row>
    <row r="309" spans="12:15" x14ac:dyDescent="0.25">
      <c r="L309" s="6">
        <f>Trades!P308</f>
        <v>162349</v>
      </c>
      <c r="M309" s="7">
        <f>M308+Trades!T308</f>
        <v>6.3502215960037658</v>
      </c>
      <c r="N309" s="7">
        <f>N308+Trades!U308</f>
        <v>0.78593243440290705</v>
      </c>
      <c r="O309" s="7">
        <f>O308+Trades!W308</f>
        <v>-0.32689596042848595</v>
      </c>
    </row>
    <row r="310" spans="12:15" x14ac:dyDescent="0.25">
      <c r="L310" s="6">
        <f>Trades!P309</f>
        <v>162440</v>
      </c>
      <c r="M310" s="7">
        <f>M309+Trades!T309</f>
        <v>6.3443944697832437</v>
      </c>
      <c r="N310" s="7">
        <f>N309+Trades!U309</f>
        <v>0.76938494276961655</v>
      </c>
      <c r="O310" s="7">
        <f>O309+Trades!W309</f>
        <v>-0.34558892757052018</v>
      </c>
    </row>
    <row r="311" spans="12:15" x14ac:dyDescent="0.25">
      <c r="L311" s="6">
        <f>Trades!P310</f>
        <v>162669</v>
      </c>
      <c r="M311" s="7">
        <f>M310+Trades!T310</f>
        <v>6.3461205731721666</v>
      </c>
      <c r="N311" s="7">
        <f>N310+Trades!U310</f>
        <v>0.76038816394607711</v>
      </c>
      <c r="O311" s="7">
        <f>O310+Trades!W310</f>
        <v>-0.35672932645058597</v>
      </c>
    </row>
    <row r="312" spans="12:15" x14ac:dyDescent="0.25">
      <c r="L312" s="6">
        <f>Trades!P311</f>
        <v>162744</v>
      </c>
      <c r="M312" s="7">
        <f>M311+Trades!T311</f>
        <v>6.33828703056043</v>
      </c>
      <c r="N312" s="7">
        <f>N311+Trades!U311</f>
        <v>0.74183781526308246</v>
      </c>
      <c r="O312" s="7">
        <f>O311+Trades!W311</f>
        <v>-0.37742515064232429</v>
      </c>
    </row>
    <row r="313" spans="12:15" x14ac:dyDescent="0.25">
      <c r="L313" s="6">
        <f>Trades!P312</f>
        <v>163124</v>
      </c>
      <c r="M313" s="7">
        <f>M312+Trades!T312</f>
        <v>6.3607784570387249</v>
      </c>
      <c r="N313" s="7">
        <f>N312+Trades!U312</f>
        <v>0.75359700874054569</v>
      </c>
      <c r="O313" s="7">
        <f>O312+Trades!W312</f>
        <v>-0.36781143267360472</v>
      </c>
    </row>
    <row r="314" spans="12:15" x14ac:dyDescent="0.25">
      <c r="L314" s="6">
        <f>Trades!P313</f>
        <v>163229</v>
      </c>
      <c r="M314" s="7">
        <f>M313+Trades!T313</f>
        <v>6.3650280081188129</v>
      </c>
      <c r="N314" s="7">
        <f>N313+Trades!U313</f>
        <v>0.74712278781383257</v>
      </c>
      <c r="O314" s="7">
        <f>O313+Trades!W313</f>
        <v>-0.37643112910906151</v>
      </c>
    </row>
    <row r="315" spans="12:15" x14ac:dyDescent="0.25">
      <c r="L315" s="6">
        <f>Trades!P314</f>
        <v>163367</v>
      </c>
      <c r="M315" s="7">
        <f>M314+Trades!T314</f>
        <v>6.4269906814803868</v>
      </c>
      <c r="N315" s="7">
        <f>N314+Trades!U314</f>
        <v>0.79839530076155696</v>
      </c>
      <c r="O315" s="7">
        <f>O314+Trades!W314</f>
        <v>-0.32730223621786353</v>
      </c>
    </row>
    <row r="316" spans="12:15" x14ac:dyDescent="0.25">
      <c r="L316" s="6">
        <f>Trades!P315</f>
        <v>163439</v>
      </c>
      <c r="M316" s="7">
        <f>M315+Trades!T315</f>
        <v>6.4073825747074116</v>
      </c>
      <c r="N316" s="7">
        <f>N315+Trades!U315</f>
        <v>0.76805657016182927</v>
      </c>
      <c r="O316" s="7">
        <f>O315+Trades!W315</f>
        <v>-0.35978458687411757</v>
      </c>
    </row>
    <row r="317" spans="12:15" x14ac:dyDescent="0.25">
      <c r="L317" s="6">
        <f>Trades!P316</f>
        <v>163521</v>
      </c>
      <c r="M317" s="7">
        <f>M316+Trades!T316</f>
        <v>6.3775551366399394</v>
      </c>
      <c r="N317" s="7">
        <f>N316+Trades!U316</f>
        <v>0.72748875102072286</v>
      </c>
      <c r="O317" s="7">
        <f>O316+Trades!W316</f>
        <v>-0.40249602607175033</v>
      </c>
    </row>
    <row r="318" spans="12:15" x14ac:dyDescent="0.25">
      <c r="L318" s="6">
        <f>Trades!P317</f>
        <v>163698</v>
      </c>
      <c r="M318" s="7">
        <f>M317+Trades!T317</f>
        <v>6.3718431928751382</v>
      </c>
      <c r="N318" s="7">
        <f>N317+Trades!U317</f>
        <v>0.71105100493894358</v>
      </c>
      <c r="O318" s="7">
        <f>O317+Trades!W317</f>
        <v>-0.42107739221005597</v>
      </c>
    </row>
    <row r="319" spans="12:15" x14ac:dyDescent="0.25">
      <c r="L319" s="6">
        <f>Trades!P318</f>
        <v>163723</v>
      </c>
      <c r="M319" s="7">
        <f>M318+Trades!T318</f>
        <v>6.3740090824354549</v>
      </c>
      <c r="N319" s="7">
        <f>N318+Trades!U318</f>
        <v>0.70249307264130734</v>
      </c>
      <c r="O319" s="7">
        <f>O318+Trades!W318</f>
        <v>-0.43177894456421856</v>
      </c>
    </row>
    <row r="320" spans="12:15" x14ac:dyDescent="0.25">
      <c r="L320" s="6">
        <f>Trades!P319</f>
        <v>163766</v>
      </c>
      <c r="M320" s="7">
        <f>M319+Trades!T319</f>
        <v>6.3834354516910032</v>
      </c>
      <c r="N320" s="7">
        <f>N319+Trades!U319</f>
        <v>0.70120054401592113</v>
      </c>
      <c r="O320" s="7">
        <f>O319+Trades!W319</f>
        <v>-0.43521509324613111</v>
      </c>
    </row>
    <row r="321" spans="12:15" x14ac:dyDescent="0.25">
      <c r="L321" s="6">
        <f>Trades!P320</f>
        <v>163907</v>
      </c>
      <c r="M321" s="7">
        <f>M320+Trades!T320</f>
        <v>6.4156959717799884</v>
      </c>
      <c r="N321" s="7">
        <f>N320+Trades!U320</f>
        <v>0.72274658809203751</v>
      </c>
      <c r="O321" s="7">
        <f>O320+Trades!W320</f>
        <v>-0.41581266922654103</v>
      </c>
    </row>
    <row r="322" spans="12:15" x14ac:dyDescent="0.25">
      <c r="L322" s="6">
        <f>Trades!P321</f>
        <v>164007</v>
      </c>
      <c r="M322" s="7">
        <f>M321+Trades!T321</f>
        <v>6.421984272743928</v>
      </c>
      <c r="N322" s="7">
        <f>N321+Trades!U321</f>
        <v>0.71831167040461141</v>
      </c>
      <c r="O322" s="7">
        <f>O321+Trades!W321</f>
        <v>-0.42239306242271085</v>
      </c>
    </row>
    <row r="323" spans="12:15" x14ac:dyDescent="0.25">
      <c r="L323" s="6">
        <f>Trades!P322</f>
        <v>164229</v>
      </c>
      <c r="M323" s="7">
        <f>M322+Trades!T322</f>
        <v>6.3279757101966281</v>
      </c>
      <c r="N323" s="7">
        <f>N322+Trades!U322</f>
        <v>0.61363030615867109</v>
      </c>
      <c r="O323" s="7">
        <f>O322+Trades!W322</f>
        <v>-0.5292199021773949</v>
      </c>
    </row>
    <row r="324" spans="12:15" x14ac:dyDescent="0.25">
      <c r="L324" s="6">
        <f>Trades!P323</f>
        <v>164302</v>
      </c>
      <c r="M324" s="7">
        <f>M323+Trades!T323</f>
        <v>6.349466273982876</v>
      </c>
      <c r="N324" s="7">
        <f>N323+Trades!U323</f>
        <v>0.62438703900161252</v>
      </c>
      <c r="O324" s="7">
        <f>O323+Trades!W323</f>
        <v>-0.52060864484319713</v>
      </c>
    </row>
    <row r="325" spans="12:15" x14ac:dyDescent="0.25">
      <c r="L325" s="6">
        <f>Trades!P324</f>
        <v>164372</v>
      </c>
      <c r="M325" s="7">
        <f>M324+Trades!T324</f>
        <v>6.3814824579959888</v>
      </c>
      <c r="N325" s="7">
        <f>N324+Trades!U324</f>
        <v>0.64569791834927381</v>
      </c>
      <c r="O325" s="7">
        <f>O324+Trades!W324</f>
        <v>-0.50144138555206219</v>
      </c>
    </row>
    <row r="326" spans="12:15" x14ac:dyDescent="0.25">
      <c r="L326" s="6">
        <f>Trades!P325</f>
        <v>164424</v>
      </c>
      <c r="M326" s="7">
        <f>M325+Trades!T325</f>
        <v>6.3271723116136407</v>
      </c>
      <c r="N326" s="7">
        <f>N325+Trades!U325</f>
        <v>0.56381059507352449</v>
      </c>
      <c r="O326" s="7">
        <f>O325+Trades!W325</f>
        <v>-0.58883135881946524</v>
      </c>
    </row>
    <row r="327" spans="12:15" x14ac:dyDescent="0.25">
      <c r="L327" s="6">
        <f>Trades!P326</f>
        <v>164970</v>
      </c>
      <c r="M327" s="7">
        <f>M326+Trades!T326</f>
        <v>6.34197734216988</v>
      </c>
      <c r="N327" s="7">
        <f>N326+Trades!U326</f>
        <v>0.55109877208850755</v>
      </c>
      <c r="O327" s="7">
        <f>O326+Trades!W326</f>
        <v>-0.60704733519782839</v>
      </c>
    </row>
    <row r="328" spans="12:15" x14ac:dyDescent="0.25">
      <c r="L328" s="6">
        <f>Trades!P327</f>
        <v>165472</v>
      </c>
      <c r="M328" s="7">
        <f>M327+Trades!T327</f>
        <v>6.8068001007070267</v>
      </c>
      <c r="N328" s="7">
        <f>N327+Trades!U327</f>
        <v>0.98862667713216901</v>
      </c>
      <c r="O328" s="7">
        <f>O327+Trades!W327</f>
        <v>-0.17502208014582071</v>
      </c>
    </row>
    <row r="329" spans="12:15" x14ac:dyDescent="0.25">
      <c r="L329" s="6">
        <f>Trades!P328</f>
        <v>165601</v>
      </c>
      <c r="M329" s="7">
        <f>M328+Trades!T328</f>
        <v>6.8155094159769529</v>
      </c>
      <c r="N329" s="7">
        <f>N328+Trades!U328</f>
        <v>0.96982923268429921</v>
      </c>
      <c r="O329" s="7">
        <f>O328+Trades!W328</f>
        <v>-0.19932367798703673</v>
      </c>
    </row>
    <row r="330" spans="12:15" x14ac:dyDescent="0.25">
      <c r="L330" s="6">
        <f>Trades!P329</f>
        <v>166140</v>
      </c>
      <c r="M330" s="7">
        <f>M329+Trades!T329</f>
        <v>6.9041742549143486</v>
      </c>
      <c r="N330" s="7">
        <f>N329+Trades!U329</f>
        <v>1.0309961411208741</v>
      </c>
      <c r="O330" s="7">
        <f>O329+Trades!W329</f>
        <v>-0.14365941954211556</v>
      </c>
    </row>
    <row r="331" spans="12:15" x14ac:dyDescent="0.25">
      <c r="L331" s="6">
        <f>Trades!P330</f>
        <v>166257</v>
      </c>
      <c r="M331" s="7">
        <f>M330+Trades!T330</f>
        <v>6.878645799426228</v>
      </c>
      <c r="N331" s="7">
        <f>N330+Trades!U330</f>
        <v>0.97806964565259535</v>
      </c>
      <c r="O331" s="7">
        <f>O330+Trades!W330</f>
        <v>-0.20208856500204803</v>
      </c>
    </row>
    <row r="332" spans="12:15" x14ac:dyDescent="0.25">
      <c r="L332" s="6">
        <f>Trades!P331</f>
        <v>166644</v>
      </c>
      <c r="M332" s="7">
        <f>M331+Trades!T331</f>
        <v>7.1200043095287358</v>
      </c>
      <c r="N332" s="7">
        <f>N331+Trades!U331</f>
        <v>1.1919929128873412</v>
      </c>
      <c r="O332" s="7">
        <f>O331+Trades!W331</f>
        <v>6.3320522410441615E-3</v>
      </c>
    </row>
    <row r="333" spans="12:15" x14ac:dyDescent="0.25">
      <c r="L333" s="6">
        <f>Trades!P332</f>
        <v>167020</v>
      </c>
      <c r="M333" s="7">
        <f>M332+Trades!T332</f>
        <v>7.2336536660506612</v>
      </c>
      <c r="N333" s="7">
        <f>N332+Trades!U332</f>
        <v>1.2781914129596077</v>
      </c>
      <c r="O333" s="7">
        <f>O332+Trades!W332</f>
        <v>8.7027902321657011E-2</v>
      </c>
    </row>
    <row r="334" spans="12:15" x14ac:dyDescent="0.25">
      <c r="L334" s="6">
        <f>Trades!P333</f>
        <v>167078</v>
      </c>
      <c r="M334" s="7">
        <f>M333+Trades!T333</f>
        <v>7.2967463478685692</v>
      </c>
      <c r="N334" s="7">
        <f>N333+Trades!U333</f>
        <v>1.3137316502208325</v>
      </c>
      <c r="O334" s="7">
        <f>O333+Trades!W333</f>
        <v>0.11706398618953567</v>
      </c>
    </row>
    <row r="335" spans="12:15" x14ac:dyDescent="0.25">
      <c r="L335" s="6">
        <f>Trades!P334</f>
        <v>167284</v>
      </c>
      <c r="M335" s="7">
        <f>M334+Trades!T334</f>
        <v>7.2755208769787654</v>
      </c>
      <c r="N335" s="7">
        <f>N334+Trades!U334</f>
        <v>1.2649792200514853</v>
      </c>
      <c r="O335" s="7">
        <f>O334+Trades!W334</f>
        <v>6.2807402626842423E-2</v>
      </c>
    </row>
    <row r="336" spans="12:15" x14ac:dyDescent="0.25">
      <c r="L336" s="6">
        <f>Trades!P335</f>
        <v>167398</v>
      </c>
      <c r="M336" s="7">
        <f>M335+Trades!T335</f>
        <v>7.3357671272823683</v>
      </c>
      <c r="N336" s="7">
        <f>N335+Trades!U335</f>
        <v>1.297754318270111</v>
      </c>
      <c r="O336" s="7">
        <f>O335+Trades!W335</f>
        <v>9.0079850853814494E-2</v>
      </c>
    </row>
    <row r="337" spans="12:15" x14ac:dyDescent="0.25">
      <c r="L337" s="6">
        <f>Trades!P336</f>
        <v>167433</v>
      </c>
      <c r="M337" s="7">
        <f>M336+Trades!T336</f>
        <v>7.1907187755455899</v>
      </c>
      <c r="N337" s="7">
        <f>N336+Trades!U336</f>
        <v>1.125153858220777</v>
      </c>
      <c r="O337" s="7">
        <f>O336+Trades!W336</f>
        <v>-8.80232591871732E-2</v>
      </c>
    </row>
    <row r="338" spans="12:15" x14ac:dyDescent="0.25">
      <c r="L338" s="6">
        <f>Trades!P337</f>
        <v>167774</v>
      </c>
      <c r="M338" s="7">
        <f>M337+Trades!T337</f>
        <v>7.228048725140539</v>
      </c>
      <c r="N338" s="7">
        <f>N337+Trades!U337</f>
        <v>1.1349450885525969</v>
      </c>
      <c r="O338" s="7">
        <f>O337+Trades!W337</f>
        <v>-8.3736182248699498E-2</v>
      </c>
    </row>
    <row r="339" spans="12:15" x14ac:dyDescent="0.25">
      <c r="L339" s="6">
        <f>Trades!P338</f>
        <v>167979</v>
      </c>
      <c r="M339" s="7">
        <f>M338+Trades!T338</f>
        <v>7.2483525402219797</v>
      </c>
      <c r="N339" s="7">
        <f>N338+Trades!U338</f>
        <v>1.1277217432640003</v>
      </c>
      <c r="O339" s="7">
        <f>O338+Trades!W338</f>
        <v>-9.6463680930642323E-2</v>
      </c>
    </row>
    <row r="340" spans="12:15" x14ac:dyDescent="0.25">
      <c r="L340" s="6">
        <f>Trades!P339</f>
        <v>168149</v>
      </c>
      <c r="M340" s="7">
        <f>M339+Trades!T339</f>
        <v>7.2683834309294708</v>
      </c>
      <c r="N340" s="7">
        <f>N339+Trades!U339</f>
        <v>1.1202300151074176</v>
      </c>
      <c r="O340" s="7">
        <f>O339+Trades!W339</f>
        <v>-0.10945956248057127</v>
      </c>
    </row>
    <row r="341" spans="12:15" x14ac:dyDescent="0.25">
      <c r="L341" s="6">
        <f>Trades!P340</f>
        <v>168185</v>
      </c>
      <c r="M341" s="7">
        <f>M340+Trades!T340</f>
        <v>7.2903863519391487</v>
      </c>
      <c r="N341" s="7">
        <f>N340+Trades!U340</f>
        <v>1.1146641301193383</v>
      </c>
      <c r="O341" s="7">
        <f>O340+Trades!W340</f>
        <v>-0.12052960086199678</v>
      </c>
    </row>
    <row r="342" spans="12:15" x14ac:dyDescent="0.25">
      <c r="L342" s="6">
        <f>Trades!P341</f>
        <v>168324</v>
      </c>
      <c r="M342" s="7">
        <f>M341+Trades!T341</f>
        <v>7.2862520066305194</v>
      </c>
      <c r="N342" s="7">
        <f>N341+Trades!U341</f>
        <v>1.0919072343087306</v>
      </c>
      <c r="O342" s="7">
        <f>O341+Trades!W341</f>
        <v>-0.14700628709385885</v>
      </c>
    </row>
    <row r="343" spans="12:15" x14ac:dyDescent="0.25">
      <c r="L343" s="6">
        <f>Trades!P342</f>
        <v>168471</v>
      </c>
      <c r="M343" s="7">
        <f>M342+Trades!T342</f>
        <v>7.3048195888451897</v>
      </c>
      <c r="N343" s="7">
        <f>N342+Trades!U342</f>
        <v>1.0918652831296474</v>
      </c>
      <c r="O343" s="7">
        <f>O342+Trades!W342</f>
        <v>-0.15076830876374053</v>
      </c>
    </row>
    <row r="344" spans="12:15" x14ac:dyDescent="0.25">
      <c r="L344" s="6">
        <f>Trades!P343</f>
        <v>169361</v>
      </c>
      <c r="M344" s="7">
        <f>M343+Trades!T343</f>
        <v>7.3834063202834548</v>
      </c>
      <c r="N344" s="7">
        <f>N343+Trades!U343</f>
        <v>1.1518805328901711</v>
      </c>
      <c r="O344" s="7">
        <f>O343+Trades!W343</f>
        <v>-9.4472849424471178E-2</v>
      </c>
    </row>
    <row r="345" spans="12:15" x14ac:dyDescent="0.25">
      <c r="L345" s="6">
        <f>Trades!P344</f>
        <v>170140</v>
      </c>
      <c r="M345" s="7">
        <f>M344+Trades!T344</f>
        <v>7.4698052712569023</v>
      </c>
      <c r="N345" s="7">
        <f>N344+Trades!U344</f>
        <v>1.219659791803007</v>
      </c>
      <c r="O345" s="7">
        <f>O344+Trades!W344</f>
        <v>-3.04133809328897E-2</v>
      </c>
    </row>
    <row r="346" spans="12:15" x14ac:dyDescent="0.25">
      <c r="L346" s="6">
        <f>Trades!P345</f>
        <v>170557</v>
      </c>
      <c r="M346" s="7">
        <f>M345+Trades!T345</f>
        <v>7.4740971586679681</v>
      </c>
      <c r="N346" s="7">
        <f>N345+Trades!U345</f>
        <v>1.2053261263615782</v>
      </c>
      <c r="O346" s="7">
        <f>O345+Trades!W345</f>
        <v>-4.846683679557303E-2</v>
      </c>
    </row>
    <row r="347" spans="12:15" x14ac:dyDescent="0.25">
      <c r="L347" s="6">
        <f>Trades!P346</f>
        <v>170920</v>
      </c>
      <c r="M347" s="7">
        <f>M346+Trades!T346</f>
        <v>7.5222835911760999</v>
      </c>
      <c r="N347" s="7">
        <f>N346+Trades!U346</f>
        <v>1.2349369998058339</v>
      </c>
      <c r="O347" s="7">
        <f>O346+Trades!W346</f>
        <v>-2.2576033842115661E-2</v>
      </c>
    </row>
    <row r="348" spans="12:15" x14ac:dyDescent="0.25">
      <c r="L348" s="6">
        <f>Trades!P347</f>
        <v>171351</v>
      </c>
      <c r="M348" s="7">
        <f>M347+Trades!T347</f>
        <v>7.4093206815457515</v>
      </c>
      <c r="N348" s="7">
        <f>N347+Trades!U347</f>
        <v>1.103438176923798</v>
      </c>
      <c r="O348" s="7">
        <f>O347+Trades!W347</f>
        <v>-0.15779464714540606</v>
      </c>
    </row>
    <row r="349" spans="12:15" x14ac:dyDescent="0.25">
      <c r="L349" s="6">
        <f>Trades!P348</f>
        <v>172109</v>
      </c>
      <c r="M349" s="7">
        <f>M348+Trades!T348</f>
        <v>7.4141528442935423</v>
      </c>
      <c r="N349" s="7">
        <f>N348+Trades!U348</f>
        <v>1.089609723568518</v>
      </c>
      <c r="O349" s="7">
        <f>O348+Trades!W348</f>
        <v>-0.17534289092194036</v>
      </c>
    </row>
    <row r="350" spans="12:15" x14ac:dyDescent="0.25">
      <c r="L350" s="6">
        <f>Trades!P349</f>
        <v>172224</v>
      </c>
      <c r="M350" s="7">
        <f>M349+Trades!T349</f>
        <v>7.4418708477244246</v>
      </c>
      <c r="N350" s="7">
        <f>N349+Trades!U349</f>
        <v>1.0967584560777586</v>
      </c>
      <c r="O350" s="7">
        <f>O349+Trades!W349</f>
        <v>-0.1723054811608111</v>
      </c>
    </row>
    <row r="351" spans="12:15" x14ac:dyDescent="0.25">
      <c r="L351" s="6">
        <f>Trades!P350</f>
        <v>172485</v>
      </c>
      <c r="M351" s="7">
        <f>M350+Trades!T350</f>
        <v>7.5200671189621948</v>
      </c>
      <c r="N351" s="7">
        <f>N350+Trades!U350</f>
        <v>1.1543924519771969</v>
      </c>
      <c r="O351" s="7">
        <f>O350+Trades!W350</f>
        <v>-0.11878291938792154</v>
      </c>
    </row>
    <row r="352" spans="12:15" x14ac:dyDescent="0.25">
      <c r="L352" s="6">
        <f>Trades!P351</f>
        <v>172878</v>
      </c>
      <c r="M352" s="7">
        <f>M351+Trades!T351</f>
        <v>7.5526831781211632</v>
      </c>
      <c r="N352" s="7">
        <f>N351+Trades!U351</f>
        <v>1.1664042114352682</v>
      </c>
      <c r="O352" s="7">
        <f>O351+Trades!W351</f>
        <v>-0.11088259405639893</v>
      </c>
    </row>
    <row r="353" spans="12:15" x14ac:dyDescent="0.25">
      <c r="L353" s="6">
        <f>Trades!P352</f>
        <v>173115</v>
      </c>
      <c r="M353" s="7">
        <f>M352+Trades!T352</f>
        <v>7.5606667162903483</v>
      </c>
      <c r="N353" s="7">
        <f>N352+Trades!U352</f>
        <v>1.1538348491868886</v>
      </c>
      <c r="O353" s="7">
        <f>O352+Trades!W352</f>
        <v>-0.12756339043132711</v>
      </c>
    </row>
    <row r="354" spans="12:15" x14ac:dyDescent="0.25">
      <c r="L354" s="6">
        <f>Trades!P353</f>
        <v>173262</v>
      </c>
      <c r="M354" s="7">
        <f>M353+Trades!T353</f>
        <v>7.5378572076071571</v>
      </c>
      <c r="N354" s="7">
        <f>N353+Trades!U353</f>
        <v>1.1104768801363898</v>
      </c>
      <c r="O354" s="7">
        <f>O353+Trades!W353</f>
        <v>-0.17503268222993729</v>
      </c>
    </row>
    <row r="355" spans="12:15" x14ac:dyDescent="0.25">
      <c r="L355" s="6">
        <f>Trades!P354</f>
        <v>173680</v>
      </c>
      <c r="M355" s="7">
        <f>M354+Trades!T354</f>
        <v>7.5063968740344809</v>
      </c>
      <c r="N355" s="7">
        <f>N354+Trades!U354</f>
        <v>1.0584068408458474</v>
      </c>
      <c r="O355" s="7">
        <f>O354+Trades!W354</f>
        <v>-0.23121415564702844</v>
      </c>
    </row>
    <row r="356" spans="12:15" x14ac:dyDescent="0.25">
      <c r="L356" s="6">
        <f>Trades!P355</f>
        <v>174436</v>
      </c>
      <c r="M356" s="7">
        <f>M355+Trades!T355</f>
        <v>7.5682025859774891</v>
      </c>
      <c r="N356" s="7">
        <f>N355+Trades!U355</f>
        <v>1.0996921483985524</v>
      </c>
      <c r="O356" s="7">
        <f>O355+Trades!W355</f>
        <v>-0.19404017084243466</v>
      </c>
    </row>
    <row r="357" spans="12:15" x14ac:dyDescent="0.25">
      <c r="L357" s="6">
        <f>Trades!P356</f>
        <v>174747</v>
      </c>
      <c r="M357" s="7">
        <f>M356+Trades!T356</f>
        <v>7.5765651782509824</v>
      </c>
      <c r="N357" s="7">
        <f>N356+Trades!U356</f>
        <v>1.0875009179445474</v>
      </c>
      <c r="O357" s="7">
        <f>O356+Trades!W356</f>
        <v>-0.21034283542298832</v>
      </c>
    </row>
    <row r="358" spans="12:15" x14ac:dyDescent="0.25">
      <c r="L358" s="6">
        <f>Trades!P357</f>
        <v>175191</v>
      </c>
      <c r="M358" s="7">
        <f>M357+Trades!T357</f>
        <v>7.5858748745454374</v>
      </c>
      <c r="N358" s="7">
        <f>N357+Trades!U357</f>
        <v>1.0762542264352108</v>
      </c>
      <c r="O358" s="7">
        <f>O357+Trades!W357</f>
        <v>-0.22570084968043627</v>
      </c>
    </row>
    <row r="359" spans="12:15" x14ac:dyDescent="0.25">
      <c r="L359" s="6">
        <f>Trades!P358</f>
        <v>175216</v>
      </c>
      <c r="M359" s="7">
        <f>M358+Trades!T358</f>
        <v>7.6483645165000747</v>
      </c>
      <c r="N359" s="7">
        <f>N358+Trades!U358</f>
        <v>1.1181337157001159</v>
      </c>
      <c r="O359" s="7">
        <f>O358+Trades!W358</f>
        <v>-0.1879327945420799</v>
      </c>
    </row>
    <row r="360" spans="12:15" x14ac:dyDescent="0.25">
      <c r="L360" s="6">
        <f>Trades!P359</f>
        <v>175666</v>
      </c>
      <c r="M360" s="7">
        <f>M359+Trades!T359</f>
        <v>7.6560878206824077</v>
      </c>
      <c r="N360" s="7">
        <f>N359+Trades!U359</f>
        <v>1.1052710971756639</v>
      </c>
      <c r="O360" s="7">
        <f>O359+Trades!W359</f>
        <v>-0.20490684719308067</v>
      </c>
    </row>
    <row r="361" spans="12:15" x14ac:dyDescent="0.25">
      <c r="L361" s="6">
        <f>Trades!P360</f>
        <v>176124</v>
      </c>
      <c r="M361" s="7">
        <f>M360+Trades!T360</f>
        <v>7.648030850354699</v>
      </c>
      <c r="N361" s="7">
        <f>N360+Trades!U360</f>
        <v>1.0785356505768249</v>
      </c>
      <c r="O361" s="7">
        <f>O360+Trades!W360</f>
        <v>-0.23537605674177609</v>
      </c>
    </row>
    <row r="362" spans="12:15" x14ac:dyDescent="0.25">
      <c r="L362" s="6">
        <f>Trades!P361</f>
        <v>176194</v>
      </c>
      <c r="M362" s="7">
        <f>M361+Trades!T361</f>
        <v>7.6674127428959586</v>
      </c>
      <c r="N362" s="7">
        <f>N361+Trades!U361</f>
        <v>1.0792513475093797</v>
      </c>
      <c r="O362" s="7">
        <f>O361+Trades!W361</f>
        <v>-0.23839412275907779</v>
      </c>
    </row>
    <row r="363" spans="12:15" x14ac:dyDescent="0.25">
      <c r="L363" s="6">
        <f>Trades!P362</f>
        <v>176409</v>
      </c>
      <c r="M363" s="7">
        <f>M362+Trades!T362</f>
        <v>7.6228312140510921</v>
      </c>
      <c r="N363" s="7">
        <f>N362+Trades!U362</f>
        <v>1.0159885562975397</v>
      </c>
      <c r="O363" s="7">
        <f>O362+Trades!W362</f>
        <v>-0.30539094302477254</v>
      </c>
    </row>
    <row r="364" spans="12:15" x14ac:dyDescent="0.25">
      <c r="L364" s="6">
        <f>Trades!P363</f>
        <v>177170</v>
      </c>
      <c r="M364" s="7">
        <f>M363+Trades!T363</f>
        <v>7.6387200701048918</v>
      </c>
      <c r="N364" s="7">
        <f>N363+Trades!U363</f>
        <v>1.0131896507247675</v>
      </c>
      <c r="O364" s="7">
        <f>O363+Trades!W363</f>
        <v>-0.31192361154740139</v>
      </c>
    </row>
    <row r="365" spans="12:15" x14ac:dyDescent="0.25">
      <c r="L365" s="6">
        <f>Trades!P364</f>
        <v>177944</v>
      </c>
      <c r="M365" s="7">
        <f>M364+Trades!T364</f>
        <v>7.6989335276471564</v>
      </c>
      <c r="N365" s="7">
        <f>N364+Trades!U364</f>
        <v>1.0547085431218337</v>
      </c>
      <c r="O365" s="7">
        <f>O364+Trades!W364</f>
        <v>-0.27413848210019165</v>
      </c>
    </row>
    <row r="366" spans="12:15" x14ac:dyDescent="0.25">
      <c r="L366" s="6">
        <f>Trades!P365</f>
        <v>178730</v>
      </c>
      <c r="M366" s="7">
        <f>M365+Trades!T365</f>
        <v>7.7974060972980723</v>
      </c>
      <c r="N366" s="7">
        <f>N365+Trades!U365</f>
        <v>1.1345895881275787</v>
      </c>
      <c r="O366" s="7">
        <f>O365+Trades!W365</f>
        <v>-0.19799120004430312</v>
      </c>
    </row>
    <row r="367" spans="12:15" x14ac:dyDescent="0.25">
      <c r="L367" s="6">
        <f>Trades!P366</f>
        <v>179382</v>
      </c>
      <c r="M367" s="7">
        <f>M366+Trades!T366</f>
        <v>7.8033340894845544</v>
      </c>
      <c r="N367" s="7">
        <f>N366+Trades!U366</f>
        <v>1.1218407507695243</v>
      </c>
      <c r="O367" s="7">
        <f>O366+Trades!W366</f>
        <v>-0.21447406645621228</v>
      </c>
    </row>
    <row r="368" spans="12:15" x14ac:dyDescent="0.25">
      <c r="L368" s="6">
        <f>Trades!P367</f>
        <v>179894</v>
      </c>
      <c r="M368" s="7">
        <f>M367+Trades!T367</f>
        <v>7.8566347331527915</v>
      </c>
      <c r="N368" s="7">
        <f>N367+Trades!U367</f>
        <v>1.1564481635982939</v>
      </c>
      <c r="O368" s="7">
        <f>O367+Trades!W367</f>
        <v>-0.18360068268129726</v>
      </c>
    </row>
    <row r="369" spans="12:15" x14ac:dyDescent="0.25">
      <c r="L369" s="6">
        <f>Trades!P368</f>
        <v>180024</v>
      </c>
      <c r="M369" s="7">
        <f>M368+Trades!T368</f>
        <v>7.8802145319546772</v>
      </c>
      <c r="N369" s="7">
        <f>N368+Trades!U368</f>
        <v>1.1665561263137039</v>
      </c>
      <c r="O369" s="7">
        <f>O368+Trades!W368</f>
        <v>-0.17619204811358927</v>
      </c>
    </row>
    <row r="370" spans="12:15" x14ac:dyDescent="0.25">
      <c r="L370" s="6">
        <f>Trades!P369</f>
        <v>180275</v>
      </c>
      <c r="M370" s="7">
        <f>M369+Trades!T369</f>
        <v>7.9353384413358397</v>
      </c>
      <c r="N370" s="7">
        <f>N369+Trades!U369</f>
        <v>1.2081670331197019</v>
      </c>
      <c r="O370" s="7">
        <f>O369+Trades!W369</f>
        <v>-0.13728176947713447</v>
      </c>
    </row>
    <row r="371" spans="12:15" x14ac:dyDescent="0.25">
      <c r="L371" s="6">
        <f>Trades!P370</f>
        <v>180612</v>
      </c>
      <c r="M371" s="7">
        <f>M370+Trades!T370</f>
        <v>7.9483469493057237</v>
      </c>
      <c r="N371" s="7">
        <f>N370+Trades!U370</f>
        <v>1.2076670586917568</v>
      </c>
      <c r="O371" s="7">
        <f>O370+Trades!W370</f>
        <v>-0.14048237207462283</v>
      </c>
    </row>
    <row r="372" spans="12:15" x14ac:dyDescent="0.25">
      <c r="L372" s="6">
        <f>Trades!P371</f>
        <v>180929</v>
      </c>
      <c r="M372" s="7">
        <f>M371+Trades!T371</f>
        <v>7.9566589997739054</v>
      </c>
      <c r="N372" s="7">
        <f>N371+Trades!U371</f>
        <v>1.2024747624366412</v>
      </c>
      <c r="O372" s="7">
        <f>O371+Trades!W371</f>
        <v>-0.14837529649928177</v>
      </c>
    </row>
    <row r="373" spans="12:15" x14ac:dyDescent="0.25">
      <c r="L373" s="6">
        <f>Trades!P372</f>
        <v>181031</v>
      </c>
      <c r="M373" s="7">
        <f>M372+Trades!T372</f>
        <v>7.9529166784962664</v>
      </c>
      <c r="N373" s="7">
        <f>N372+Trades!U372</f>
        <v>1.1852397917451201</v>
      </c>
      <c r="O373" s="7">
        <f>O372+Trades!W372</f>
        <v>-0.16831089536034613</v>
      </c>
    </row>
    <row r="374" spans="12:15" x14ac:dyDescent="0.25">
      <c r="L374" s="6">
        <f>Trades!P373</f>
        <v>181464</v>
      </c>
      <c r="M374" s="7">
        <f>M373+Trades!T373</f>
        <v>7.9518406490608751</v>
      </c>
      <c r="N374" s="7">
        <f>N373+Trades!U373</f>
        <v>1.170631789291614</v>
      </c>
      <c r="O374" s="7">
        <f>O373+Trades!W373</f>
        <v>-0.18561822596155395</v>
      </c>
    </row>
    <row r="375" spans="12:15" x14ac:dyDescent="0.25">
      <c r="L375" s="6">
        <f>Trades!P374</f>
        <v>181788</v>
      </c>
      <c r="M375" s="7">
        <f>M374+Trades!T374</f>
        <v>7.9544643283249661</v>
      </c>
      <c r="N375" s="7">
        <f>N374+Trades!U374</f>
        <v>1.1597611319659704</v>
      </c>
      <c r="O375" s="7">
        <f>O374+Trades!W374</f>
        <v>-0.19918951145674074</v>
      </c>
    </row>
    <row r="376" spans="12:15" x14ac:dyDescent="0.25">
      <c r="L376" s="6">
        <f>Trades!P375</f>
        <v>182065</v>
      </c>
      <c r="M376" s="7">
        <f>M375+Trades!T375</f>
        <v>7.9531482112697693</v>
      </c>
      <c r="N376" s="7">
        <f>N375+Trades!U375</f>
        <v>1.1449439640511023</v>
      </c>
      <c r="O376" s="7">
        <f>O375+Trades!W375</f>
        <v>-0.21670730754115217</v>
      </c>
    </row>
    <row r="377" spans="12:15" x14ac:dyDescent="0.25">
      <c r="L377" s="6">
        <f>Trades!P376</f>
        <v>182115</v>
      </c>
      <c r="M377" s="7">
        <f>M376+Trades!T376</f>
        <v>7.9463502287625403</v>
      </c>
      <c r="N377" s="7">
        <f>N376+Trades!U376</f>
        <v>1.1246399702270091</v>
      </c>
      <c r="O377" s="7">
        <f>O376+Trades!W376</f>
        <v>-0.2397106295129473</v>
      </c>
    </row>
    <row r="378" spans="12:15" x14ac:dyDescent="0.25">
      <c r="L378" s="6">
        <f>Trades!P377</f>
        <v>182243</v>
      </c>
      <c r="M378" s="7">
        <f>M377+Trades!T377</f>
        <v>8.1354124674109514</v>
      </c>
      <c r="N378" s="7">
        <f>N377+Trades!U377</f>
        <v>1.3003476467526691</v>
      </c>
      <c r="O378" s="7">
        <f>O377+Trades!W377</f>
        <v>-6.6702281134989105E-2</v>
      </c>
    </row>
    <row r="379" spans="12:15" x14ac:dyDescent="0.25">
      <c r="L379" s="6">
        <f>Trades!P378</f>
        <v>182419</v>
      </c>
      <c r="M379" s="7">
        <f>M378+Trades!T378</f>
        <v>8.120404622056741</v>
      </c>
      <c r="N379" s="7">
        <f>N378+Trades!U378</f>
        <v>1.2718324066826694</v>
      </c>
      <c r="O379" s="7">
        <f>O378+Trades!W378</f>
        <v>-9.7918149374532026E-2</v>
      </c>
    </row>
    <row r="380" spans="12:15" x14ac:dyDescent="0.25">
      <c r="L380" s="6">
        <f>Trades!P379</f>
        <v>182442</v>
      </c>
      <c r="M380" s="7">
        <f>M379+Trades!T379</f>
        <v>8.1363526953552583</v>
      </c>
      <c r="N380" s="7">
        <f>N379+Trades!U379</f>
        <v>1.2742916206989903</v>
      </c>
      <c r="O380" s="7">
        <f>O379+Trades!W379</f>
        <v>-9.8158263505913085E-2</v>
      </c>
    </row>
    <row r="381" spans="12:15" x14ac:dyDescent="0.25">
      <c r="L381" s="6">
        <f>Trades!P380</f>
        <v>182630</v>
      </c>
      <c r="M381" s="7">
        <f>M380+Trades!T380</f>
        <v>8.1540502134956192</v>
      </c>
      <c r="N381" s="7">
        <f>N380+Trades!U380</f>
        <v>1.2784888342107548</v>
      </c>
      <c r="O381" s="7">
        <f>O380+Trades!W380</f>
        <v>-9.666167816369188E-2</v>
      </c>
    </row>
    <row r="382" spans="12:15" x14ac:dyDescent="0.25">
      <c r="L382" s="6">
        <f>Trades!P381</f>
        <v>182944</v>
      </c>
      <c r="M382" s="7">
        <f>M381+Trades!T381</f>
        <v>8.1452076051569922</v>
      </c>
      <c r="N382" s="7">
        <f>N381+Trades!U381</f>
        <v>1.2561489262154373</v>
      </c>
      <c r="O382" s="7">
        <f>O381+Trades!W381</f>
        <v>-0.12170221432855274</v>
      </c>
    </row>
    <row r="383" spans="12:15" x14ac:dyDescent="0.25">
      <c r="L383" s="6">
        <f>Trades!P382</f>
        <v>182977</v>
      </c>
      <c r="M383" s="7">
        <f>M382+Trades!T382</f>
        <v>8.154690404115577</v>
      </c>
      <c r="N383" s="7">
        <f>N382+Trades!U382</f>
        <v>1.2521295355467583</v>
      </c>
      <c r="O383" s="7">
        <f>O382+Trades!W382</f>
        <v>-0.12842223316677506</v>
      </c>
    </row>
    <row r="384" spans="12:15" x14ac:dyDescent="0.25">
      <c r="L384" s="6">
        <f>Trades!P383</f>
        <v>183010</v>
      </c>
      <c r="M384" s="7">
        <f>M383+Trades!T383</f>
        <v>8.1884750550693006</v>
      </c>
      <c r="N384" s="7">
        <f>N383+Trades!U383</f>
        <v>1.2724314957696619</v>
      </c>
      <c r="O384" s="7">
        <f>O383+Trades!W383</f>
        <v>-0.11081960109157332</v>
      </c>
    </row>
    <row r="385" spans="12:15" x14ac:dyDescent="0.25">
      <c r="L385" s="6">
        <f>Trades!P384</f>
        <v>183402</v>
      </c>
      <c r="M385" s="7">
        <f>M384+Trades!T384</f>
        <v>8.2754483600118292</v>
      </c>
      <c r="N385" s="7">
        <f>N384+Trades!U384</f>
        <v>1.3458650893533317</v>
      </c>
      <c r="O385" s="7">
        <f>O384+Trades!W384</f>
        <v>-4.0086635677446747E-2</v>
      </c>
    </row>
    <row r="386" spans="12:15" x14ac:dyDescent="0.25">
      <c r="L386" s="6">
        <f>Trades!P385</f>
        <v>183787</v>
      </c>
      <c r="M386" s="7">
        <f>M385+Trades!T385</f>
        <v>8.2880184514944517</v>
      </c>
      <c r="N386" s="7">
        <f>N385+Trades!U385</f>
        <v>1.3449131130724372</v>
      </c>
      <c r="O386" s="7">
        <f>O385+Trades!W385</f>
        <v>-4.3739240127884528E-2</v>
      </c>
    </row>
    <row r="387" spans="12:15" x14ac:dyDescent="0.25">
      <c r="L387" s="6">
        <f>Trades!P386</f>
        <v>183924</v>
      </c>
      <c r="M387" s="7">
        <f>M386+Trades!T386</f>
        <v>8.3135466508741249</v>
      </c>
      <c r="N387" s="7">
        <f>N386+Trades!U386</f>
        <v>1.3581187936491101</v>
      </c>
      <c r="O387" s="7">
        <f>O386+Trades!W386</f>
        <v>-3.3000701564917745E-2</v>
      </c>
    </row>
    <row r="388" spans="12:15" x14ac:dyDescent="0.25">
      <c r="L388" s="6">
        <f>Trades!P387</f>
        <v>184774</v>
      </c>
      <c r="M388" s="7">
        <f>M387+Trades!T387</f>
        <v>8.2917388720424423</v>
      </c>
      <c r="N388" s="7">
        <f>N387+Trades!U387</f>
        <v>1.3239577878289364</v>
      </c>
      <c r="O388" s="7">
        <f>O387+Trades!W387</f>
        <v>-6.962884939879771E-2</v>
      </c>
    </row>
    <row r="389" spans="12:15" x14ac:dyDescent="0.25">
      <c r="L389" s="6">
        <f>Trades!P388</f>
        <v>184913</v>
      </c>
      <c r="M389" s="7">
        <f>M388+Trades!T388</f>
        <v>8.2849644488949448</v>
      </c>
      <c r="N389" s="7">
        <f>N388+Trades!U388</f>
        <v>1.3048527564675245</v>
      </c>
      <c r="O389" s="7">
        <f>O388+Trades!W388</f>
        <v>-9.1202554865855934E-2</v>
      </c>
    </row>
    <row r="390" spans="12:15" x14ac:dyDescent="0.25">
      <c r="L390" s="6">
        <f>Trades!P389</f>
        <v>184979</v>
      </c>
      <c r="M390" s="7">
        <f>M389+Trades!T389</f>
        <v>8.2720381712436772</v>
      </c>
      <c r="N390" s="7">
        <f>N389+Trades!U389</f>
        <v>1.2796374989521897</v>
      </c>
      <c r="O390" s="7">
        <f>O389+Trades!W389</f>
        <v>-0.11888648648683728</v>
      </c>
    </row>
    <row r="391" spans="12:15" x14ac:dyDescent="0.25">
      <c r="L391" s="6">
        <f>Trades!P390</f>
        <v>185359</v>
      </c>
      <c r="M391" s="7">
        <f>M390+Trades!T390</f>
        <v>8.3028532659630834</v>
      </c>
      <c r="N391" s="7">
        <f>N390+Trades!U390</f>
        <v>1.2981175943133065</v>
      </c>
      <c r="O391" s="7">
        <f>O390+Trades!W390</f>
        <v>-0.1028735331394266</v>
      </c>
    </row>
    <row r="392" spans="12:15" x14ac:dyDescent="0.25">
      <c r="L392" s="6">
        <f>Trades!P391</f>
        <v>185678</v>
      </c>
      <c r="M392" s="7">
        <f>M391+Trades!T391</f>
        <v>8.3146193968939279</v>
      </c>
      <c r="N392" s="7">
        <f>N391+Trades!U391</f>
        <v>1.2975498707148714</v>
      </c>
      <c r="O392" s="7">
        <f>O391+Trades!W391</f>
        <v>-0.10590839875156796</v>
      </c>
    </row>
    <row r="393" spans="12:15" x14ac:dyDescent="0.25">
      <c r="L393" s="6">
        <f>Trades!P392</f>
        <v>185737</v>
      </c>
      <c r="M393" s="7">
        <f>M392+Trades!T392</f>
        <v>8.3528222100859484</v>
      </c>
      <c r="N393" s="7">
        <f>N392+Trades!U392</f>
        <v>1.3234057399034069</v>
      </c>
      <c r="O393" s="7">
        <f>O392+Trades!W392</f>
        <v>-8.2521203668678905E-2</v>
      </c>
    </row>
    <row r="394" spans="12:15" x14ac:dyDescent="0.25">
      <c r="L394" s="6">
        <f>Trades!P393</f>
        <v>186039</v>
      </c>
      <c r="M394" s="7">
        <f>M393+Trades!T393</f>
        <v>8.3647390821402432</v>
      </c>
      <c r="N394" s="7">
        <f>N393+Trades!U393</f>
        <v>1.3229884280003934</v>
      </c>
      <c r="O394" s="7">
        <f>O393+Trades!W393</f>
        <v>-8.5405657585398601E-2</v>
      </c>
    </row>
    <row r="395" spans="12:15" x14ac:dyDescent="0.25">
      <c r="L395" s="6">
        <f>Trades!P394</f>
        <v>186115</v>
      </c>
      <c r="M395" s="7">
        <f>M394+Trades!T394</f>
        <v>8.3784427575197018</v>
      </c>
      <c r="N395" s="7">
        <f>N394+Trades!U394</f>
        <v>1.3243402006803995</v>
      </c>
      <c r="O395" s="7">
        <f>O394+Trades!W394</f>
        <v>-8.6522559011039044E-2</v>
      </c>
    </row>
    <row r="396" spans="12:15" x14ac:dyDescent="0.25">
      <c r="L396" s="6">
        <f>Trades!P395</f>
        <v>186165</v>
      </c>
      <c r="M396" s="7">
        <f>M395+Trades!T395</f>
        <v>8.3321488405059121</v>
      </c>
      <c r="N396" s="7">
        <f>N395+Trades!U395</f>
        <v>1.2657211027452531</v>
      </c>
      <c r="O396" s="7">
        <f>O395+Trades!W395</f>
        <v>-0.14761033105183186</v>
      </c>
    </row>
    <row r="397" spans="12:15" x14ac:dyDescent="0.25">
      <c r="L397" s="6">
        <f>Trades!P396</f>
        <v>187337</v>
      </c>
      <c r="M397" s="7">
        <f>M396+Trades!T396</f>
        <v>8.2435297595941073</v>
      </c>
      <c r="N397" s="7">
        <f>N396+Trades!U396</f>
        <v>1.1647014918297616</v>
      </c>
      <c r="O397" s="7">
        <f>O396+Trades!W396</f>
        <v>-0.25109708398102959</v>
      </c>
    </row>
    <row r="398" spans="12:15" x14ac:dyDescent="0.25">
      <c r="L398" s="6">
        <f>Trades!P397</f>
        <v>187824</v>
      </c>
      <c r="M398" s="7">
        <f>M397+Trades!T397</f>
        <v>8.2561280882526518</v>
      </c>
      <c r="N398" s="7">
        <f>N397+Trades!U397</f>
        <v>1.163284684417162</v>
      </c>
      <c r="O398" s="7">
        <f>O397+Trades!W397</f>
        <v>-0.25531585053763661</v>
      </c>
    </row>
    <row r="399" spans="12:15" x14ac:dyDescent="0.25">
      <c r="L399" s="6">
        <f>Trades!P398</f>
        <v>188079</v>
      </c>
      <c r="M399" s="7">
        <f>M398+Trades!T398</f>
        <v>8.2825674532082125</v>
      </c>
      <c r="N399" s="7">
        <f>N398+Trades!U398</f>
        <v>1.1757350352213474</v>
      </c>
      <c r="O399" s="7">
        <f>O398+Trades!W398</f>
        <v>-0.24566626023728275</v>
      </c>
    </row>
    <row r="400" spans="12:15" x14ac:dyDescent="0.25">
      <c r="L400" s="6">
        <f>Trades!P399</f>
        <v>188287</v>
      </c>
      <c r="M400" s="7">
        <f>M399+Trades!T399</f>
        <v>8.293096381757147</v>
      </c>
      <c r="N400" s="7">
        <f>N399+Trades!U399</f>
        <v>1.1722773721672319</v>
      </c>
      <c r="O400" s="7">
        <f>O399+Trades!W399</f>
        <v>-0.25192468379522953</v>
      </c>
    </row>
    <row r="401" spans="12:15" x14ac:dyDescent="0.25">
      <c r="L401" s="6">
        <f>Trades!P400</f>
        <v>188714</v>
      </c>
      <c r="M401" s="7">
        <f>M400+Trades!T400</f>
        <v>8.2353754169008848</v>
      </c>
      <c r="N401" s="7">
        <f>N400+Trades!U400</f>
        <v>1.1005044982619676</v>
      </c>
      <c r="O401" s="7">
        <f>O400+Trades!W400</f>
        <v>-0.32649831820432529</v>
      </c>
    </row>
    <row r="402" spans="12:15" x14ac:dyDescent="0.25">
      <c r="L402" s="6">
        <f>Trades!P401</f>
        <v>189099</v>
      </c>
      <c r="M402" s="7">
        <f>M401+Trades!T401</f>
        <v>8.2619923985254697</v>
      </c>
      <c r="N402" s="7">
        <f>N401+Trades!U401</f>
        <v>1.1130978947064691</v>
      </c>
      <c r="O402" s="7">
        <f>O401+Trades!W401</f>
        <v>-0.31670568226365525</v>
      </c>
    </row>
    <row r="403" spans="12:15" x14ac:dyDescent="0.25">
      <c r="L403" s="6">
        <f>Trades!P402</f>
        <v>190261</v>
      </c>
      <c r="M403" s="7">
        <f>M402+Trades!T402</f>
        <v>8.2185000995367776</v>
      </c>
      <c r="N403" s="7">
        <f>N402+Trades!U402</f>
        <v>1.0555800376249691</v>
      </c>
      <c r="O403" s="7">
        <f>O402+Trades!W402</f>
        <v>-0.37702429984898661</v>
      </c>
    </row>
    <row r="404" spans="12:15" x14ac:dyDescent="0.25">
      <c r="L404" s="6">
        <f>Trades!P403</f>
        <v>190979</v>
      </c>
      <c r="M404" s="7">
        <f>M403+Trades!T403</f>
        <v>8.2592996766356617</v>
      </c>
      <c r="N404" s="7">
        <f>N403+Trades!U403</f>
        <v>1.0823956367120726</v>
      </c>
      <c r="O404" s="7">
        <f>O403+Trades!W403</f>
        <v>-0.35300946126571442</v>
      </c>
    </row>
    <row r="405" spans="12:15" x14ac:dyDescent="0.25">
      <c r="L405" s="6">
        <f>Trades!P404</f>
        <v>191034</v>
      </c>
      <c r="M405" s="7">
        <f>M404+Trades!T404</f>
        <v>8.1502303460933998</v>
      </c>
      <c r="N405" s="7">
        <f>N404+Trades!U404</f>
        <v>0.95931918065883837</v>
      </c>
      <c r="O405" s="7">
        <f>O404+Trades!W404</f>
        <v>-0.47888787646295622</v>
      </c>
    </row>
    <row r="406" spans="12:15" x14ac:dyDescent="0.25">
      <c r="L406" s="6">
        <f>Trades!P405</f>
        <v>191408</v>
      </c>
      <c r="M406" s="7">
        <f>M405+Trades!T405</f>
        <v>8.1544662098469534</v>
      </c>
      <c r="N406" s="7">
        <f>N405+Trades!U405</f>
        <v>0.94954518358536566</v>
      </c>
      <c r="O406" s="7">
        <f>O405+Trades!W405</f>
        <v>-0.49146383268043636</v>
      </c>
    </row>
    <row r="407" spans="12:15" x14ac:dyDescent="0.25">
      <c r="L407" s="6">
        <f>Trades!P406</f>
        <v>191724</v>
      </c>
      <c r="M407" s="7">
        <f>M406+Trades!T406</f>
        <v>8.1308365598302501</v>
      </c>
      <c r="N407" s="7">
        <f>N406+Trades!U406</f>
        <v>0.91312536505413044</v>
      </c>
      <c r="O407" s="7">
        <f>O406+Trades!W406</f>
        <v>-0.53043804411420759</v>
      </c>
    </row>
    <row r="408" spans="12:15" x14ac:dyDescent="0.25">
      <c r="L408" s="6">
        <f>Trades!P407</f>
        <v>192624</v>
      </c>
      <c r="M408" s="7">
        <f>M407+Trades!T407</f>
        <v>8.0322933814583379</v>
      </c>
      <c r="N408" s="7">
        <f>N407+Trades!U407</f>
        <v>0.80185310458188042</v>
      </c>
      <c r="O408" s="7">
        <f>O407+Trades!W407</f>
        <v>-0.64426725315973155</v>
      </c>
    </row>
    <row r="409" spans="12:15" x14ac:dyDescent="0.25">
      <c r="L409" s="6">
        <f>Trades!P408</f>
        <v>193759</v>
      </c>
      <c r="M409" s="7">
        <f>M408+Trades!T408</f>
        <v>8.0891384990008603</v>
      </c>
      <c r="N409" s="7">
        <f>N408+Trades!U408</f>
        <v>0.84589144587610898</v>
      </c>
      <c r="O409" s="7">
        <f>O408+Trades!W408</f>
        <v>-0.60278586043877691</v>
      </c>
    </row>
    <row r="410" spans="12:15" x14ac:dyDescent="0.25">
      <c r="L410" s="6">
        <f>Trades!P409</f>
        <v>194538</v>
      </c>
      <c r="M410" s="7">
        <f>M409+Trades!T409</f>
        <v>8.1404931198985384</v>
      </c>
      <c r="N410" s="7">
        <f>N409+Trades!U409</f>
        <v>0.88449339039471275</v>
      </c>
      <c r="O410" s="7">
        <f>O409+Trades!W409</f>
        <v>-0.56673830882270915</v>
      </c>
    </row>
    <row r="411" spans="12:15" x14ac:dyDescent="0.25">
      <c r="L411" s="6">
        <f>Trades!P410</f>
        <v>194954</v>
      </c>
      <c r="M411" s="7">
        <f>M410+Trades!T410</f>
        <v>8.0119432222191715</v>
      </c>
      <c r="N411" s="7">
        <f>N410+Trades!U410</f>
        <v>0.74310086407698273</v>
      </c>
      <c r="O411" s="7">
        <f>O410+Trades!W410</f>
        <v>-0.71068522804297518</v>
      </c>
    </row>
    <row r="412" spans="12:15" x14ac:dyDescent="0.25">
      <c r="L412" s="6">
        <f>Trades!P411</f>
        <v>195624</v>
      </c>
      <c r="M412" s="7">
        <f>M411+Trades!T411</f>
        <v>7.9960585692377402</v>
      </c>
      <c r="N412" s="7">
        <f>N411+Trades!U411</f>
        <v>0.71609417966583944</v>
      </c>
      <c r="O412" s="7">
        <f>O411+Trades!W411</f>
        <v>-0.7399190202027347</v>
      </c>
    </row>
    <row r="413" spans="12:15" x14ac:dyDescent="0.25">
      <c r="L413" s="6">
        <f>Trades!P412</f>
        <v>196112</v>
      </c>
      <c r="M413" s="7">
        <f>M412+Trades!T412</f>
        <v>7.9021702625911434</v>
      </c>
      <c r="N413" s="7">
        <f>N412+Trades!U412</f>
        <v>0.6111228434163638</v>
      </c>
      <c r="O413" s="7">
        <f>O412+Trades!W412</f>
        <v>-0.84711746420082645</v>
      </c>
    </row>
    <row r="414" spans="12:15" x14ac:dyDescent="0.25">
      <c r="L414" s="6">
        <f>Trades!P413</f>
        <v>196505</v>
      </c>
      <c r="M414" s="7">
        <f>M413+Trades!T413</f>
        <v>8.4136185981330787</v>
      </c>
      <c r="N414" s="7">
        <f>N413+Trades!U413</f>
        <v>1.1116969293698675</v>
      </c>
      <c r="O414" s="7">
        <f>O413+Trades!W413</f>
        <v>-0.34876826000118777</v>
      </c>
    </row>
    <row r="415" spans="12:15" x14ac:dyDescent="0.25">
      <c r="L415" s="6">
        <f>Trades!P414</f>
        <v>196870</v>
      </c>
      <c r="M415" s="7">
        <f>M414+Trades!T414</f>
        <v>8.4340581005596498</v>
      </c>
      <c r="N415" s="7">
        <f>N414+Trades!U414</f>
        <v>1.1209962382890248</v>
      </c>
      <c r="O415" s="7">
        <f>O414+Trades!W414</f>
        <v>-0.34169605883064658</v>
      </c>
    </row>
    <row r="416" spans="12:15" x14ac:dyDescent="0.25">
      <c r="L416" s="6">
        <f>Trades!P415</f>
        <v>197223</v>
      </c>
      <c r="M416" s="7">
        <f>M415+Trades!T415</f>
        <v>8.4337365981631578</v>
      </c>
      <c r="N416" s="7">
        <f>N415+Trades!U415</f>
        <v>1.1095449228875292</v>
      </c>
      <c r="O416" s="7">
        <f>O415+Trades!W415</f>
        <v>-0.35537448198075849</v>
      </c>
    </row>
    <row r="417" spans="12:15" x14ac:dyDescent="0.25">
      <c r="L417" s="6">
        <f>Trades!P416</f>
        <v>197285</v>
      </c>
      <c r="M417" s="7">
        <f>M416+Trades!T416</f>
        <v>8.3896240982243206</v>
      </c>
      <c r="N417" s="7">
        <f>N416+Trades!U416</f>
        <v>1.0542803929425193</v>
      </c>
      <c r="O417" s="7">
        <f>O416+Trades!W416</f>
        <v>-0.41286389367963328</v>
      </c>
    </row>
    <row r="418" spans="12:15" x14ac:dyDescent="0.25">
      <c r="L418" s="6">
        <f>Trades!P417</f>
        <v>197757</v>
      </c>
      <c r="M418" s="7">
        <f>M417+Trades!T417</f>
        <v>8.385966294122932</v>
      </c>
      <c r="N418" s="7">
        <f>N417+Trades!U417</f>
        <v>1.0394907861828784</v>
      </c>
      <c r="O418" s="7">
        <f>O417+Trades!W417</f>
        <v>-0.42987838219313923</v>
      </c>
    </row>
    <row r="419" spans="12:15" x14ac:dyDescent="0.25">
      <c r="L419" s="6">
        <f>Trades!P418</f>
        <v>198449</v>
      </c>
      <c r="M419" s="7">
        <f>M418+Trades!T418</f>
        <v>8.4141125590490411</v>
      </c>
      <c r="N419" s="7">
        <f>N418+Trades!U418</f>
        <v>1.0565211504852496</v>
      </c>
      <c r="O419" s="7">
        <f>O418+Trades!W418</f>
        <v>-0.41507289964463295</v>
      </c>
    </row>
    <row r="420" spans="12:15" x14ac:dyDescent="0.25">
      <c r="L420" s="6">
        <f>Trades!P419</f>
        <v>198835</v>
      </c>
      <c r="M420" s="7">
        <f>M419+Trades!T419</f>
        <v>8.470380663679224</v>
      </c>
      <c r="N420" s="7">
        <f>N419+Trades!U419</f>
        <v>1.1016874154115444</v>
      </c>
      <c r="O420" s="7">
        <f>O419+Trades!W419</f>
        <v>-0.37213151647220316</v>
      </c>
    </row>
    <row r="421" spans="12:15" x14ac:dyDescent="0.25">
      <c r="L421" s="6">
        <f>Trades!P420</f>
        <v>199230</v>
      </c>
      <c r="M421" s="7">
        <f>M420+Trades!T420</f>
        <v>8.4974117245135172</v>
      </c>
      <c r="N421" s="7">
        <f>N420+Trades!U420</f>
        <v>1.1176020180200541</v>
      </c>
      <c r="O421" s="7">
        <f>O420+Trades!W420</f>
        <v>-0.3584417956175584</v>
      </c>
    </row>
    <row r="422" spans="12:15" x14ac:dyDescent="0.25">
      <c r="L422" s="6">
        <f>Trades!P421</f>
        <v>199524</v>
      </c>
      <c r="M422" s="7">
        <f>M421+Trades!T421</f>
        <v>8.5057882544006826</v>
      </c>
      <c r="N422" s="7">
        <f>N421+Trades!U421</f>
        <v>1.1102143027501414</v>
      </c>
      <c r="O422" s="7">
        <f>O421+Trades!W421</f>
        <v>-0.36897961318676709</v>
      </c>
    </row>
    <row r="423" spans="12:15" x14ac:dyDescent="0.25">
      <c r="L423" s="6">
        <f>Trades!P422</f>
        <v>199550</v>
      </c>
      <c r="M423" s="7">
        <f>M422+Trades!T422</f>
        <v>8.5074578883530361</v>
      </c>
      <c r="N423" s="7">
        <f>N422+Trades!U422</f>
        <v>1.0961171172616442</v>
      </c>
      <c r="O423" s="7">
        <f>O422+Trades!W422</f>
        <v>-0.38622605065169846</v>
      </c>
    </row>
    <row r="424" spans="12:15" x14ac:dyDescent="0.25">
      <c r="L424" s="6">
        <f>Trades!P423</f>
        <v>199619</v>
      </c>
      <c r="M424" s="7">
        <f>M423+Trades!T423</f>
        <v>8.5193987681291201</v>
      </c>
      <c r="N424" s="7">
        <f>N423+Trades!U423</f>
        <v>1.0923803377262016</v>
      </c>
      <c r="O424" s="7">
        <f>O423+Trades!W423</f>
        <v>-0.39311293248643719</v>
      </c>
    </row>
    <row r="425" spans="12:15" x14ac:dyDescent="0.25">
      <c r="L425" s="6">
        <f>Trades!P424</f>
        <v>199887</v>
      </c>
      <c r="M425" s="7">
        <f>M424+Trades!T424</f>
        <v>8.5340324539297256</v>
      </c>
      <c r="N425" s="7">
        <f>N424+Trades!U424</f>
        <v>1.0912729546803837</v>
      </c>
      <c r="O425" s="7">
        <f>O424+Trades!W424</f>
        <v>-0.39736956750868924</v>
      </c>
    </row>
    <row r="426" spans="12:15" x14ac:dyDescent="0.25">
      <c r="L426" s="6">
        <f>Trades!P425</f>
        <v>201132</v>
      </c>
      <c r="M426" s="7">
        <f>M425+Trades!T425</f>
        <v>8.5395195021172814</v>
      </c>
      <c r="N426" s="7">
        <f>N425+Trades!U425</f>
        <v>1.0810200499607538</v>
      </c>
      <c r="O426" s="7">
        <f>O425+Trades!W425</f>
        <v>-0.41077172420475311</v>
      </c>
    </row>
    <row r="427" spans="12:15" x14ac:dyDescent="0.25">
      <c r="L427" s="6">
        <f>Trades!P426</f>
        <v>201681</v>
      </c>
      <c r="M427" s="7">
        <f>M426+Trades!T426</f>
        <v>8.5632380940816972</v>
      </c>
      <c r="N427" s="7">
        <f>N426+Trades!U426</f>
        <v>1.0889695725285748</v>
      </c>
      <c r="O427" s="7">
        <f>O426+Trades!W426</f>
        <v>-0.40597230393622824</v>
      </c>
    </row>
    <row r="428" spans="12:15" x14ac:dyDescent="0.25">
      <c r="L428" s="6">
        <f>Trades!P427</f>
        <v>201928</v>
      </c>
      <c r="M428" s="7">
        <f>M427+Trades!T427</f>
        <v>8.5675786073585325</v>
      </c>
      <c r="N428" s="7">
        <f>N427+Trades!U427</f>
        <v>1.0775634589509022</v>
      </c>
      <c r="O428" s="7">
        <f>O427+Trades!W427</f>
        <v>-0.42052766949033477</v>
      </c>
    </row>
    <row r="429" spans="12:15" x14ac:dyDescent="0.25">
      <c r="L429" s="6">
        <f>Trades!P428</f>
        <v>202345</v>
      </c>
      <c r="M429" s="7">
        <f>M428+Trades!T428</f>
        <v>8.5985510509932404</v>
      </c>
      <c r="N429" s="7">
        <f>N428+Trades!U428</f>
        <v>1.0928030031181033</v>
      </c>
      <c r="O429" s="7">
        <f>O428+Trades!W428</f>
        <v>-0.40843737729956764</v>
      </c>
    </row>
    <row r="430" spans="12:15" x14ac:dyDescent="0.25">
      <c r="L430" s="6">
        <f>Trades!P429</f>
        <v>202962</v>
      </c>
      <c r="M430" s="7">
        <f>M429+Trades!T429</f>
        <v>8.6099208890867445</v>
      </c>
      <c r="N430" s="7">
        <f>N429+Trades!U429</f>
        <v>1.0884187706032362</v>
      </c>
      <c r="O430" s="7">
        <f>O429+Trades!W429</f>
        <v>-0.41597171211373085</v>
      </c>
    </row>
    <row r="431" spans="12:15" x14ac:dyDescent="0.25">
      <c r="L431" s="6">
        <f>Trades!P430</f>
        <v>203424</v>
      </c>
      <c r="M431" s="7">
        <f>M430+Trades!T430</f>
        <v>8.615345443355249</v>
      </c>
      <c r="N431" s="7">
        <f>N430+Trades!U430</f>
        <v>1.0756742524789737</v>
      </c>
      <c r="O431" s="7">
        <f>O430+Trades!W430</f>
        <v>-0.43235328604133583</v>
      </c>
    </row>
    <row r="432" spans="12:15" x14ac:dyDescent="0.25">
      <c r="L432" s="6">
        <f>Trades!P431</f>
        <v>203530</v>
      </c>
      <c r="M432" s="7">
        <f>M431+Trades!T431</f>
        <v>8.6374520984826013</v>
      </c>
      <c r="N432" s="7">
        <f>N431+Trades!U431</f>
        <v>1.0796741559209808</v>
      </c>
      <c r="O432" s="7">
        <f>O431+Trades!W431</f>
        <v>-0.43199043840267115</v>
      </c>
    </row>
    <row r="433" spans="12:15" x14ac:dyDescent="0.25">
      <c r="L433" s="6">
        <f>Trades!P432</f>
        <v>204313</v>
      </c>
      <c r="M433" s="7">
        <f>M432+Trades!T432</f>
        <v>8.6626303052890066</v>
      </c>
      <c r="N433" s="7">
        <f>N432+Trades!U432</f>
        <v>1.0867056536779554</v>
      </c>
      <c r="O433" s="7">
        <f>O432+Trades!W432</f>
        <v>-0.42859563332327955</v>
      </c>
    </row>
    <row r="434" spans="12:15" x14ac:dyDescent="0.25">
      <c r="L434" s="6">
        <f>Trades!P433</f>
        <v>205091</v>
      </c>
      <c r="M434" s="7">
        <f>M433+Trades!T433</f>
        <v>8.7874565816974854</v>
      </c>
      <c r="N434" s="7">
        <f>N433+Trades!U433</f>
        <v>1.1933743877997092</v>
      </c>
      <c r="O434" s="7">
        <f>O433+Trades!W433</f>
        <v>-0.32556359187910877</v>
      </c>
    </row>
    <row r="435" spans="12:15" x14ac:dyDescent="0.25">
      <c r="L435" s="6">
        <f>Trades!P434</f>
        <v>205485</v>
      </c>
      <c r="M435" s="7">
        <f>M434+Trades!T434</f>
        <v>8.7279565258844816</v>
      </c>
      <c r="N435" s="7">
        <f>N434+Trades!U434</f>
        <v>1.1157028760846326</v>
      </c>
      <c r="O435" s="7">
        <f>O434+Trades!W434</f>
        <v>-0.40687215939752769</v>
      </c>
    </row>
    <row r="436" spans="12:15" x14ac:dyDescent="0.25">
      <c r="L436" s="6">
        <f>Trades!P435</f>
        <v>205951</v>
      </c>
      <c r="M436" s="7">
        <f>M435+Trades!T435</f>
        <v>8.6473537605212041</v>
      </c>
      <c r="N436" s="7">
        <f>N435+Trades!U435</f>
        <v>1.0170004008510274</v>
      </c>
      <c r="O436" s="7">
        <f>O435+Trades!W435</f>
        <v>-0.50921132730871566</v>
      </c>
    </row>
    <row r="437" spans="12:15" x14ac:dyDescent="0.25">
      <c r="L437" s="6">
        <f>Trades!P436</f>
        <v>206265</v>
      </c>
      <c r="M437" s="7">
        <f>M436+Trades!T436</f>
        <v>8.6257609513916993</v>
      </c>
      <c r="N437" s="7">
        <f>N436+Trades!U436</f>
        <v>0.97723401692377598</v>
      </c>
      <c r="O437" s="7">
        <f>O436+Trades!W436</f>
        <v>-0.55261440391354999</v>
      </c>
    </row>
    <row r="438" spans="12:15" x14ac:dyDescent="0.25">
      <c r="L438" s="6">
        <f>Trades!P437</f>
        <v>206489</v>
      </c>
      <c r="M438" s="7">
        <f>M437+Trades!T437</f>
        <v>8.6386932558801792</v>
      </c>
      <c r="N438" s="7">
        <f>N437+Trades!U437</f>
        <v>0.97192405695561812</v>
      </c>
      <c r="O438" s="7">
        <f>O437+Trades!W437</f>
        <v>-0.56156105655929078</v>
      </c>
    </row>
    <row r="439" spans="12:15" x14ac:dyDescent="0.25">
      <c r="L439" s="6">
        <f>Trades!P438</f>
        <v>206649</v>
      </c>
      <c r="M439" s="7">
        <f>M438+Trades!T438</f>
        <v>8.7836055799092794</v>
      </c>
      <c r="N439" s="7">
        <f>N438+Trades!U438</f>
        <v>1.0987729870640177</v>
      </c>
      <c r="O439" s="7">
        <f>O438+Trades!W438</f>
        <v>-0.43834881912847407</v>
      </c>
    </row>
    <row r="440" spans="12:15" x14ac:dyDescent="0.25">
      <c r="L440" s="6">
        <f>Trades!P439</f>
        <v>207324</v>
      </c>
      <c r="M440" s="7">
        <f>M439+Trades!T439</f>
        <v>8.8032085040249033</v>
      </c>
      <c r="N440" s="7">
        <f>N439+Trades!U439</f>
        <v>1.100732795560766</v>
      </c>
      <c r="O440" s="7">
        <f>O439+Trades!W439</f>
        <v>-0.43991337231165772</v>
      </c>
    </row>
    <row r="441" spans="12:15" x14ac:dyDescent="0.25">
      <c r="L441" s="6">
        <f>Trades!P440</f>
        <v>207808</v>
      </c>
      <c r="M441" s="7">
        <f>M440+Trades!T440</f>
        <v>8.8672835809282891</v>
      </c>
      <c r="N441" s="7">
        <f>N440+Trades!U440</f>
        <v>1.1470847758696199</v>
      </c>
      <c r="O441" s="7">
        <f>O440+Trades!W440</f>
        <v>-0.3970857536827358</v>
      </c>
    </row>
    <row r="442" spans="12:15" x14ac:dyDescent="0.25">
      <c r="L442" s="6">
        <f>Trades!P441</f>
        <v>208607</v>
      </c>
      <c r="M442" s="7">
        <f>M441+Trades!T441</f>
        <v>8.8833385623635177</v>
      </c>
      <c r="N442" s="7">
        <f>N441+Trades!U441</f>
        <v>1.1454753268924565</v>
      </c>
      <c r="O442" s="7">
        <f>O441+Trades!W441</f>
        <v>-0.4022200397404509</v>
      </c>
    </row>
    <row r="443" spans="12:15" x14ac:dyDescent="0.25">
      <c r="L443" s="6">
        <f>Trades!P442</f>
        <v>208870</v>
      </c>
      <c r="M443" s="7">
        <f>M442+Trades!T442</f>
        <v>8.8992288853020565</v>
      </c>
      <c r="N443" s="7">
        <f>N442+Trades!U442</f>
        <v>1.1437844284383332</v>
      </c>
      <c r="O443" s="7">
        <f>O442+Trades!W442</f>
        <v>-0.40743577527512581</v>
      </c>
    </row>
    <row r="444" spans="12:15" x14ac:dyDescent="0.25">
      <c r="L444" s="6">
        <f>Trades!P443</f>
        <v>208975</v>
      </c>
      <c r="M444" s="7">
        <f>M443+Trades!T443</f>
        <v>8.9806334683366238</v>
      </c>
      <c r="N444" s="7">
        <f>N443+Trades!U443</f>
        <v>1.2074577954009575</v>
      </c>
      <c r="O444" s="7">
        <f>O443+Trades!W443</f>
        <v>-0.34728676999243335</v>
      </c>
    </row>
    <row r="445" spans="12:15" x14ac:dyDescent="0.25">
      <c r="L445" s="6">
        <f>Trades!P444</f>
        <v>209372</v>
      </c>
      <c r="M445" s="7">
        <f>M444+Trades!T444</f>
        <v>9.0588864027441272</v>
      </c>
      <c r="N445" s="7">
        <f>N444+Trades!U444</f>
        <v>1.26810460418158</v>
      </c>
      <c r="O445" s="7">
        <f>O444+Trades!W444</f>
        <v>-0.29016479829236252</v>
      </c>
    </row>
    <row r="446" spans="12:15" x14ac:dyDescent="0.25">
      <c r="L446" s="6">
        <f>Trades!P445</f>
        <v>210299</v>
      </c>
      <c r="M446" s="7">
        <f>M445+Trades!T445</f>
        <v>9.070312072415323</v>
      </c>
      <c r="N446" s="7">
        <f>N445+Trades!U445</f>
        <v>1.2619129897864043</v>
      </c>
      <c r="O446" s="7">
        <f>O445+Trades!W445</f>
        <v>-0.29988077436747024</v>
      </c>
    </row>
    <row r="447" spans="12:15" x14ac:dyDescent="0.25">
      <c r="L447" s="6">
        <f>Trades!P446</f>
        <v>210542</v>
      </c>
      <c r="M447" s="7">
        <f>M446+Trades!T446</f>
        <v>9.1328078105217969</v>
      </c>
      <c r="N447" s="7">
        <f>N446+Trades!U446</f>
        <v>1.3068067721753478</v>
      </c>
      <c r="O447" s="7">
        <f>O446+Trades!W446</f>
        <v>-0.25851182905907844</v>
      </c>
    </row>
    <row r="448" spans="12:15" x14ac:dyDescent="0.25">
      <c r="L448" s="6">
        <f>Trades!P447</f>
        <v>210980</v>
      </c>
      <c r="M448" s="7">
        <f>M447+Trades!T447</f>
        <v>9.295998376575529</v>
      </c>
      <c r="N448" s="7">
        <f>N447+Trades!U447</f>
        <v>1.4523511661616868</v>
      </c>
      <c r="O448" s="7">
        <f>O447+Trades!W447</f>
        <v>-0.11649179675267132</v>
      </c>
    </row>
    <row r="449" spans="12:15" x14ac:dyDescent="0.25">
      <c r="L449" s="6">
        <f>Trades!P448</f>
        <v>211224</v>
      </c>
      <c r="M449" s="7">
        <f>M448+Trades!T448</f>
        <v>9.2862191026686176</v>
      </c>
      <c r="N449" s="7">
        <f>N448+Trades!U448</f>
        <v>1.4316910031797132</v>
      </c>
      <c r="O449" s="7">
        <f>O448+Trades!W448</f>
        <v>-0.13932643325845939</v>
      </c>
    </row>
    <row r="450" spans="12:15" x14ac:dyDescent="0.25">
      <c r="L450" s="6">
        <f>Trades!P449</f>
        <v>212119</v>
      </c>
      <c r="M450" s="7">
        <f>M449+Trades!T449</f>
        <v>9.2986835154345275</v>
      </c>
      <c r="N450" s="7">
        <f>N449+Trades!U449</f>
        <v>1.4332865119154861</v>
      </c>
      <c r="O450" s="7">
        <f>O449+Trades!W449</f>
        <v>-0.13990722266067016</v>
      </c>
    </row>
    <row r="451" spans="12:15" x14ac:dyDescent="0.25">
      <c r="L451" s="6">
        <f>Trades!P450</f>
        <v>213295</v>
      </c>
      <c r="M451" s="7">
        <f>M450+Trades!T450</f>
        <v>9.2135196639866361</v>
      </c>
      <c r="N451" s="7">
        <f>N450+Trades!U450</f>
        <v>1.3371983755718611</v>
      </c>
      <c r="O451" s="7">
        <f>O450+Trades!W450</f>
        <v>-0.23816983252810964</v>
      </c>
    </row>
    <row r="452" spans="12:15" x14ac:dyDescent="0.25">
      <c r="L452" s="6">
        <f>Trades!P451</f>
        <v>214057</v>
      </c>
      <c r="M452" s="7">
        <f>M451+Trades!T451</f>
        <v>9.3456966427115304</v>
      </c>
      <c r="N452" s="7">
        <f>N451+Trades!U451</f>
        <v>1.4585661733035511</v>
      </c>
      <c r="O452" s="7">
        <f>O451+Trades!W451</f>
        <v>-0.11897650832023424</v>
      </c>
    </row>
    <row r="453" spans="12:15" x14ac:dyDescent="0.25">
      <c r="L453" s="6">
        <f>Trades!P452</f>
        <v>214445</v>
      </c>
      <c r="M453" s="7">
        <f>M452+Trades!T452</f>
        <v>9.3828145726088614</v>
      </c>
      <c r="N453" s="7">
        <f>N452+Trades!U452</f>
        <v>1.4847880962498474</v>
      </c>
      <c r="O453" s="7">
        <f>O452+Trades!W452</f>
        <v>-9.4930883511921471E-2</v>
      </c>
    </row>
    <row r="454" spans="12:15" x14ac:dyDescent="0.25">
      <c r="L454" s="6">
        <f>Trades!P453</f>
        <v>215095</v>
      </c>
      <c r="M454" s="7">
        <f>M453+Trades!T453</f>
        <v>9.4003268731097425</v>
      </c>
      <c r="N454" s="7">
        <f>N453+Trades!U453</f>
        <v>1.4914139882480475</v>
      </c>
      <c r="O454" s="7">
        <f>O453+Trades!W453</f>
        <v>-9.0481289651705057E-2</v>
      </c>
    </row>
    <row r="455" spans="12:15" x14ac:dyDescent="0.25">
      <c r="L455" s="6">
        <f>Trades!P454</f>
        <v>219024</v>
      </c>
      <c r="M455" s="7">
        <f>M454+Trades!T454</f>
        <v>9.4295164092356298</v>
      </c>
      <c r="N455" s="7">
        <f>N454+Trades!U454</f>
        <v>1.5016230954607654</v>
      </c>
      <c r="O455" s="7">
        <f>O454+Trades!W454</f>
        <v>-8.4067710684407493E-2</v>
      </c>
    </row>
    <row r="456" spans="12:15" x14ac:dyDescent="0.25">
      <c r="L456" s="6">
        <f>Trades!P455</f>
        <v>219527</v>
      </c>
      <c r="M456" s="7">
        <f>M455+Trades!T455</f>
        <v>9.4583216044307772</v>
      </c>
      <c r="N456" s="7">
        <f>N455+Trades!U455</f>
        <v>1.511451037924499</v>
      </c>
      <c r="O456" s="7">
        <f>O455+Trades!W455</f>
        <v>-7.8035091892052863E-2</v>
      </c>
    </row>
    <row r="457" spans="12:15" x14ac:dyDescent="0.25">
      <c r="L457" s="6">
        <f>Trades!P456</f>
        <v>219711</v>
      </c>
      <c r="M457" s="7">
        <f>M456+Trades!T456</f>
        <v>9.4538618905119947</v>
      </c>
      <c r="N457" s="7">
        <f>N456+Trades!U456</f>
        <v>1.4880043862352434</v>
      </c>
      <c r="O457" s="7">
        <f>O456+Trades!W456</f>
        <v>-0.10527727182672877</v>
      </c>
    </row>
    <row r="458" spans="12:15" x14ac:dyDescent="0.25">
      <c r="L458" s="6">
        <f>Trades!P457</f>
        <v>219917</v>
      </c>
      <c r="M458" s="7">
        <f>M457+Trades!T457</f>
        <v>9.5010472178904628</v>
      </c>
      <c r="N458" s="7">
        <f>N457+Trades!U457</f>
        <v>1.5162397862110317</v>
      </c>
      <c r="O458" s="7">
        <f>O457+Trades!W457</f>
        <v>-8.0837195522319494E-2</v>
      </c>
    </row>
    <row r="459" spans="12:15" x14ac:dyDescent="0.25">
      <c r="L459" s="6">
        <f>Trades!P458</f>
        <v>220307</v>
      </c>
      <c r="M459" s="7">
        <f>M458+Trades!T458</f>
        <v>9.5342372574499308</v>
      </c>
      <c r="N459" s="7">
        <f>N458+Trades!U458</f>
        <v>1.5304301079865974</v>
      </c>
      <c r="O459" s="7">
        <f>O458+Trades!W458</f>
        <v>-7.0442401992174219E-2</v>
      </c>
    </row>
    <row r="460" spans="12:15" x14ac:dyDescent="0.25">
      <c r="L460" s="6">
        <f>Trades!P459</f>
        <v>221084</v>
      </c>
      <c r="M460" s="7">
        <f>M459+Trades!T459</f>
        <v>9.5679787429697569</v>
      </c>
      <c r="N460" s="7">
        <f>N459+Trades!U459</f>
        <v>1.5451744599292596</v>
      </c>
      <c r="O460" s="7">
        <f>O459+Trades!W459</f>
        <v>-5.9493373720890835E-2</v>
      </c>
    </row>
    <row r="461" spans="12:15" x14ac:dyDescent="0.25">
      <c r="L461" s="6">
        <f>Trades!P460</f>
        <v>221469</v>
      </c>
      <c r="M461" s="7">
        <f>M460+Trades!T460</f>
        <v>9.5232896445396094</v>
      </c>
      <c r="N461" s="7">
        <f>N460+Trades!U460</f>
        <v>1.4815733351452609</v>
      </c>
      <c r="O461" s="7">
        <f>O460+Trades!W460</f>
        <v>-0.12689002675031003</v>
      </c>
    </row>
    <row r="462" spans="12:15" x14ac:dyDescent="0.25">
      <c r="L462" s="6">
        <f>Trades!P461</f>
        <v>221486</v>
      </c>
      <c r="M462" s="7">
        <f>M461+Trades!T461</f>
        <v>9.580175231707095</v>
      </c>
      <c r="N462" s="7">
        <f>N461+Trades!U461</f>
        <v>1.5194858470937573</v>
      </c>
      <c r="O462" s="7">
        <f>O461+Trades!W461</f>
        <v>-9.2772838473192593E-2</v>
      </c>
    </row>
    <row r="463" spans="12:15" x14ac:dyDescent="0.25">
      <c r="L463" s="6">
        <f>Trades!P462</f>
        <v>222015</v>
      </c>
      <c r="M463" s="7">
        <f>M462+Trades!T462</f>
        <v>9.5735638778454071</v>
      </c>
      <c r="N463" s="7">
        <f>N462+Trades!U462</f>
        <v>1.4938949633141703</v>
      </c>
      <c r="O463" s="7">
        <f>O462+Trades!W462</f>
        <v>-0.12215925049820026</v>
      </c>
    </row>
    <row r="464" spans="12:15" x14ac:dyDescent="0.25">
      <c r="L464" s="6">
        <f>Trades!P463</f>
        <v>222075</v>
      </c>
      <c r="M464" s="7">
        <f>M463+Trades!T463</f>
        <v>9.5493253051502904</v>
      </c>
      <c r="N464" s="7">
        <f>N463+Trades!U463</f>
        <v>1.450630511504081</v>
      </c>
      <c r="O464" s="7">
        <f>O463+Trades!W463</f>
        <v>-0.16921923055371013</v>
      </c>
    </row>
    <row r="465" spans="12:15" x14ac:dyDescent="0.25">
      <c r="L465" s="6">
        <f>Trades!P464</f>
        <v>222262</v>
      </c>
      <c r="M465" s="7">
        <f>M464+Trades!T464</f>
        <v>9.7469344001027505</v>
      </c>
      <c r="N465" s="7">
        <f>N464+Trades!U464</f>
        <v>1.6291998409280204</v>
      </c>
      <c r="O465" s="7">
        <f>O464+Trades!W464</f>
        <v>5.554570624808769E-3</v>
      </c>
    </row>
    <row r="466" spans="12:15" x14ac:dyDescent="0.25">
      <c r="L466" s="6">
        <f>Trades!P465</f>
        <v>222924</v>
      </c>
      <c r="M466" s="7">
        <f>M465+Trades!T465</f>
        <v>9.7536284199939356</v>
      </c>
      <c r="N466" s="7">
        <f>N465+Trades!U465</f>
        <v>1.61553903161357</v>
      </c>
      <c r="O466" s="7">
        <f>O465+Trades!W465</f>
        <v>-1.2178381026597771E-2</v>
      </c>
    </row>
    <row r="467" spans="12:15" x14ac:dyDescent="0.25">
      <c r="L467" s="6">
        <f>Trades!P466</f>
        <v>223041</v>
      </c>
      <c r="M467" s="7">
        <f>M466+Trades!T466</f>
        <v>9.8434732342726345</v>
      </c>
      <c r="N467" s="7">
        <f>N466+Trades!U466</f>
        <v>1.6850531183138899</v>
      </c>
      <c r="O467" s="7">
        <f>O466+Trades!W466</f>
        <v>5.3263563336765865E-2</v>
      </c>
    </row>
    <row r="468" spans="12:15" x14ac:dyDescent="0.25">
      <c r="L468" s="6">
        <f>Trades!P467</f>
        <v>223256</v>
      </c>
      <c r="M468" s="7">
        <f>M467+Trades!T467</f>
        <v>9.7642958618250386</v>
      </c>
      <c r="N468" s="7">
        <f>N467+Trades!U467</f>
        <v>1.5854822342299595</v>
      </c>
      <c r="O468" s="7">
        <f>O467+Trades!W467</f>
        <v>-5.0379463084120737E-2</v>
      </c>
    </row>
    <row r="469" spans="12:15" x14ac:dyDescent="0.25">
      <c r="L469" s="6">
        <f>Trades!P468</f>
        <v>224211</v>
      </c>
      <c r="M469" s="7">
        <f>M468+Trades!T468</f>
        <v>9.8430600412331213</v>
      </c>
      <c r="N469" s="7">
        <f>N468+Trades!U468</f>
        <v>1.6438525176863577</v>
      </c>
      <c r="O469" s="7">
        <f>O468+Trades!W468</f>
        <v>3.9186058568949633E-3</v>
      </c>
    </row>
    <row r="470" spans="12:15" x14ac:dyDescent="0.25">
      <c r="L470" s="6">
        <f>Trades!P469</f>
        <v>224617</v>
      </c>
      <c r="M470" s="7">
        <f>M469+Trades!T469</f>
        <v>9.7864430730638077</v>
      </c>
      <c r="N470" s="7">
        <f>N469+Trades!U469</f>
        <v>1.5668910175467849</v>
      </c>
      <c r="O470" s="7">
        <f>O469+Trades!W469</f>
        <v>-7.7115108798060092E-2</v>
      </c>
    </row>
    <row r="471" spans="12:15" x14ac:dyDescent="0.25">
      <c r="L471" s="6">
        <f>Trades!P470</f>
        <v>224807</v>
      </c>
      <c r="M471" s="7">
        <f>M470+Trades!T470</f>
        <v>9.7788059833067749</v>
      </c>
      <c r="N471" s="7">
        <f>N470+Trades!U470</f>
        <v>1.538900533598377</v>
      </c>
      <c r="O471" s="7">
        <f>O470+Trades!W470</f>
        <v>-0.10917773508342427</v>
      </c>
    </row>
    <row r="472" spans="12:15" x14ac:dyDescent="0.25">
      <c r="L472" s="6">
        <f>Trades!P471</f>
        <v>224991</v>
      </c>
      <c r="M472" s="7">
        <f>M471+Trades!T471</f>
        <v>9.813240713901564</v>
      </c>
      <c r="N472" s="7">
        <f>N471+Trades!U471</f>
        <v>1.5529126045403447</v>
      </c>
      <c r="O472" s="7">
        <f>O471+Trades!W471</f>
        <v>-9.9237878656838835E-2</v>
      </c>
    </row>
    <row r="473" spans="12:15" x14ac:dyDescent="0.25">
      <c r="L473" s="6">
        <f>Trades!P472</f>
        <v>225201</v>
      </c>
      <c r="M473" s="7">
        <f>M472+Trades!T472</f>
        <v>9.8280963269131849</v>
      </c>
      <c r="N473" s="7">
        <f>N472+Trades!U472</f>
        <v>1.5473860253890614</v>
      </c>
      <c r="O473" s="7">
        <f>O472+Trades!W472</f>
        <v>-0.10883667232350444</v>
      </c>
    </row>
    <row r="474" spans="12:15" x14ac:dyDescent="0.25">
      <c r="L474" s="6">
        <f>Trades!P473</f>
        <v>225384</v>
      </c>
      <c r="M474" s="7">
        <f>M473+Trades!T473</f>
        <v>9.8911211382790949</v>
      </c>
      <c r="N474" s="7">
        <f>N473+Trades!U473</f>
        <v>1.5900298907827966</v>
      </c>
      <c r="O474" s="7">
        <f>O473+Trades!W473</f>
        <v>-7.026502144515176E-2</v>
      </c>
    </row>
    <row r="475" spans="12:15" x14ac:dyDescent="0.25">
      <c r="L475" s="6">
        <f>Trades!P474</f>
        <v>225767</v>
      </c>
      <c r="M475" s="7">
        <f>M474+Trades!T474</f>
        <v>9.9093940234548281</v>
      </c>
      <c r="N475" s="7">
        <f>N474+Trades!U474</f>
        <v>1.5879282088570894</v>
      </c>
      <c r="O475" s="7">
        <f>O474+Trades!W474</f>
        <v>-7.6438845707815187E-2</v>
      </c>
    </row>
    <row r="476" spans="12:15" x14ac:dyDescent="0.25">
      <c r="L476" s="6">
        <f>Trades!P475</f>
        <v>225776</v>
      </c>
      <c r="M476" s="7">
        <f>M475+Trades!T475</f>
        <v>9.9213475535462248</v>
      </c>
      <c r="N476" s="7">
        <f>N475+Trades!U475</f>
        <v>1.5794645960023219</v>
      </c>
      <c r="O476" s="7">
        <f>O475+Trades!W475</f>
        <v>-8.8974673077965125E-2</v>
      </c>
    </row>
    <row r="477" spans="12:15" x14ac:dyDescent="0.25">
      <c r="L477" s="6">
        <f>Trades!P476</f>
        <v>226166</v>
      </c>
      <c r="M477" s="7">
        <f>M476+Trades!T476</f>
        <v>9.9778211895990179</v>
      </c>
      <c r="N477" s="7">
        <f>N476+Trades!U476</f>
        <v>1.6156110144791782</v>
      </c>
      <c r="O477" s="7">
        <f>O476+Trades!W476</f>
        <v>-5.6900469116491187E-2</v>
      </c>
    </row>
    <row r="478" spans="12:15" x14ac:dyDescent="0.25">
      <c r="L478" s="6">
        <f>Trades!P477</f>
        <v>226565</v>
      </c>
      <c r="M478" s="7">
        <f>M477+Trades!T477</f>
        <v>9.9950367938384037</v>
      </c>
      <c r="N478" s="7">
        <f>N477+Trades!U477</f>
        <v>1.612409142773606</v>
      </c>
      <c r="O478" s="7">
        <f>O477+Trades!W477</f>
        <v>-6.4174555337445705E-2</v>
      </c>
    </row>
    <row r="479" spans="12:15" x14ac:dyDescent="0.25">
      <c r="L479" s="6">
        <f>Trades!P478</f>
        <v>226824</v>
      </c>
      <c r="M479" s="7">
        <f>M478+Trades!T478</f>
        <v>9.995776493520335</v>
      </c>
      <c r="N479" s="7">
        <f>N478+Trades!U478</f>
        <v>1.5935348205866338</v>
      </c>
      <c r="O479" s="7">
        <f>O478+Trades!W478</f>
        <v>-8.6971717307339463E-2</v>
      </c>
    </row>
    <row r="480" spans="12:15" x14ac:dyDescent="0.25">
      <c r="L480" s="6">
        <f>Trades!P479</f>
        <v>226928</v>
      </c>
      <c r="M480" s="7">
        <f>M479+Trades!T479</f>
        <v>9.9239203688906645</v>
      </c>
      <c r="N480" s="7">
        <f>N479+Trades!U479</f>
        <v>1.5020861717662319</v>
      </c>
      <c r="O480" s="7">
        <f>O479+Trades!W479</f>
        <v>-0.18234320591066264</v>
      </c>
    </row>
    <row r="481" spans="12:15" x14ac:dyDescent="0.25">
      <c r="L481" s="6">
        <f>Trades!P480</f>
        <v>227739</v>
      </c>
      <c r="M481" s="7">
        <f>M480+Trades!T480</f>
        <v>9.9705487647900082</v>
      </c>
      <c r="N481" s="7">
        <f>N480+Trades!U480</f>
        <v>1.5291073796729739</v>
      </c>
      <c r="O481" s="7">
        <f>O480+Trades!W480</f>
        <v>-0.15924491490849835</v>
      </c>
    </row>
    <row r="482" spans="12:15" x14ac:dyDescent="0.25">
      <c r="L482" s="6">
        <f>Trades!P481</f>
        <v>228723</v>
      </c>
      <c r="M482" s="7">
        <f>M481+Trades!T481</f>
        <v>9.8986925861464066</v>
      </c>
      <c r="N482" s="7">
        <f>N481+Trades!U481</f>
        <v>1.4376598498250874</v>
      </c>
      <c r="O482" s="7">
        <f>O481+Trades!W481</f>
        <v>-0.25461528453930632</v>
      </c>
    </row>
    <row r="483" spans="12:15" x14ac:dyDescent="0.25">
      <c r="L483" s="6">
        <f>Trades!P482</f>
        <v>229551</v>
      </c>
      <c r="M483" s="7">
        <f>M482+Trades!T482</f>
        <v>9.824552873120787</v>
      </c>
      <c r="N483" s="7">
        <f>N482+Trades!U482</f>
        <v>1.3439259463587996</v>
      </c>
      <c r="O483" s="7">
        <f>O482+Trades!W482</f>
        <v>-0.35227202778851546</v>
      </c>
    </row>
    <row r="484" spans="12:15" x14ac:dyDescent="0.25">
      <c r="L484" s="6">
        <f>Trades!P483</f>
        <v>229753</v>
      </c>
      <c r="M484" s="7">
        <f>M483+Trades!T483</f>
        <v>9.8187533264167683</v>
      </c>
      <c r="N484" s="7">
        <f>N483+Trades!U483</f>
        <v>1.3184964134136925</v>
      </c>
      <c r="O484" s="7">
        <f>O483+Trades!W483</f>
        <v>-0.38162447763820018</v>
      </c>
    </row>
    <row r="485" spans="12:15" x14ac:dyDescent="0.25">
      <c r="L485" s="6">
        <f>Trades!P484</f>
        <v>229872</v>
      </c>
      <c r="M485" s="7">
        <f>M484+Trades!T484</f>
        <v>9.7905689440957513</v>
      </c>
      <c r="N485" s="7">
        <f>N484+Trades!U484</f>
        <v>1.2707098106307488</v>
      </c>
      <c r="O485" s="7">
        <f>O484+Trades!W484</f>
        <v>-0.43333392020406525</v>
      </c>
    </row>
    <row r="486" spans="12:15" x14ac:dyDescent="0.25">
      <c r="L486" s="6">
        <f>Trades!P485</f>
        <v>229885</v>
      </c>
      <c r="M486" s="7">
        <f>M485+Trades!T485</f>
        <v>9.8691559383158012</v>
      </c>
      <c r="N486" s="7">
        <f>N485+Trades!U485</f>
        <v>1.3296758439090062</v>
      </c>
      <c r="O486" s="7">
        <f>O485+Trades!W485</f>
        <v>-0.37829080383038544</v>
      </c>
    </row>
    <row r="487" spans="12:15" x14ac:dyDescent="0.25">
      <c r="L487" s="6">
        <f>Trades!P486</f>
        <v>230292</v>
      </c>
      <c r="M487" s="7">
        <f>M486+Trades!T486</f>
        <v>9.9477485688621723</v>
      </c>
      <c r="N487" s="7">
        <f>N486+Trades!U486</f>
        <v>1.388638581324646</v>
      </c>
      <c r="O487" s="7">
        <f>O486+Trades!W486</f>
        <v>-0.32325090619766705</v>
      </c>
    </row>
    <row r="488" spans="12:15" x14ac:dyDescent="0.25">
      <c r="L488" s="6">
        <f>Trades!P487</f>
        <v>230663</v>
      </c>
      <c r="M488" s="7">
        <f>M487+Trades!T487</f>
        <v>9.9949283059716727</v>
      </c>
      <c r="N488" s="7">
        <f>N487+Trades!U487</f>
        <v>1.4162113416315334</v>
      </c>
      <c r="O488" s="7">
        <f>O487+Trades!W487</f>
        <v>-0.29960098567370097</v>
      </c>
    </row>
    <row r="489" spans="12:15" x14ac:dyDescent="0.25">
      <c r="L489" s="6">
        <f>Trades!P488</f>
        <v>230724</v>
      </c>
      <c r="M489" s="7">
        <f>M488+Trades!T488</f>
        <v>10.034958083321209</v>
      </c>
      <c r="N489" s="7">
        <f>N488+Trades!U488</f>
        <v>1.4377525127751445</v>
      </c>
      <c r="O489" s="7">
        <f>O488+Trades!W488</f>
        <v>-0.28176966793404157</v>
      </c>
    </row>
    <row r="490" spans="12:15" x14ac:dyDescent="0.25">
      <c r="L490" s="6">
        <f>Trades!P489</f>
        <v>231247</v>
      </c>
      <c r="M490" s="7">
        <f>M489+Trades!T489</f>
        <v>10.078167523143192</v>
      </c>
      <c r="N490" s="7">
        <f>N489+Trades!U489</f>
        <v>1.4624366861484068</v>
      </c>
      <c r="O490" s="7">
        <f>O489+Trades!W489</f>
        <v>-0.2607956379663261</v>
      </c>
    </row>
    <row r="491" spans="12:15" x14ac:dyDescent="0.25">
      <c r="L491" s="6">
        <f>Trades!P490</f>
        <v>231455</v>
      </c>
      <c r="M491" s="7">
        <f>M490+Trades!T490</f>
        <v>10.214418192191168</v>
      </c>
      <c r="N491" s="7">
        <f>N490+Trades!U490</f>
        <v>1.580214162901926</v>
      </c>
      <c r="O491" s="7">
        <f>O490+Trades!W490</f>
        <v>-0.1467283046183539</v>
      </c>
    </row>
    <row r="492" spans="12:15" x14ac:dyDescent="0.25">
      <c r="L492" s="6">
        <f>Trades!P491</f>
        <v>232233</v>
      </c>
      <c r="M492" s="7">
        <f>M491+Trades!T491</f>
        <v>10.240589024618952</v>
      </c>
      <c r="N492" s="7">
        <f>N491+Trades!U491</f>
        <v>1.5878589650371189</v>
      </c>
      <c r="O492" s="7">
        <f>O491+Trades!W491</f>
        <v>-0.14279335588711267</v>
      </c>
    </row>
    <row r="493" spans="12:15" x14ac:dyDescent="0.25">
      <c r="L493" s="6">
        <f>Trades!P492</f>
        <v>232478</v>
      </c>
      <c r="M493" s="7">
        <f>M492+Trades!T492</f>
        <v>10.256130150680592</v>
      </c>
      <c r="N493" s="7">
        <f>N492+Trades!U492</f>
        <v>1.5848508323403665</v>
      </c>
      <c r="O493" s="7">
        <f>O492+Trades!W492</f>
        <v>-0.14951163198941209</v>
      </c>
    </row>
    <row r="494" spans="12:15" x14ac:dyDescent="0.25">
      <c r="L494" s="6">
        <f>Trades!P493</f>
        <v>232615</v>
      </c>
      <c r="M494" s="7">
        <f>M493+Trades!T493</f>
        <v>10.294202437253796</v>
      </c>
      <c r="N494" s="7">
        <f>N493+Trades!U493</f>
        <v>1.604378460112434</v>
      </c>
      <c r="O494" s="7">
        <f>O493+Trades!W493</f>
        <v>-0.13369414762289145</v>
      </c>
    </row>
    <row r="495" spans="12:15" x14ac:dyDescent="0.25">
      <c r="L495" s="6">
        <f>Trades!P494</f>
        <v>232698</v>
      </c>
      <c r="M495" s="7">
        <f>M494+Trades!T494</f>
        <v>10.315957755034253</v>
      </c>
      <c r="N495" s="7">
        <f>N494+Trades!U494</f>
        <v>1.6075358584472788</v>
      </c>
      <c r="O495" s="7">
        <f>O494+Trades!W494</f>
        <v>-0.13424689269359369</v>
      </c>
    </row>
    <row r="496" spans="12:15" x14ac:dyDescent="0.25">
      <c r="L496" s="6">
        <f>Trades!P495</f>
        <v>233017</v>
      </c>
      <c r="M496" s="7">
        <f>M495+Trades!T495</f>
        <v>10.38471663491487</v>
      </c>
      <c r="N496" s="7">
        <f>N495+Trades!U495</f>
        <v>1.6577983513603363</v>
      </c>
      <c r="O496" s="7">
        <f>O495+Trades!W495</f>
        <v>-8.7694253184488008E-2</v>
      </c>
    </row>
    <row r="497" spans="12:15" x14ac:dyDescent="0.25">
      <c r="L497" s="6">
        <f>Trades!P496</f>
        <v>233345</v>
      </c>
      <c r="M497" s="7">
        <f>M496+Trades!T496</f>
        <v>10.375094420447786</v>
      </c>
      <c r="N497" s="7">
        <f>N496+Trades!U496</f>
        <v>1.6296103404367914</v>
      </c>
      <c r="O497" s="7">
        <f>O496+Trades!W496</f>
        <v>-0.11959240751357982</v>
      </c>
    </row>
    <row r="498" spans="12:15" x14ac:dyDescent="0.25">
      <c r="L498" s="6">
        <f>Trades!P497</f>
        <v>233405</v>
      </c>
      <c r="M498" s="7">
        <f>M497+Trades!T497</f>
        <v>10.419267193877367</v>
      </c>
      <c r="N498" s="7">
        <f>N497+Trades!U497</f>
        <v>1.6552340553544691</v>
      </c>
      <c r="O498" s="7">
        <f>O497+Trades!W497</f>
        <v>-9.76785459998539E-2</v>
      </c>
    </row>
    <row r="499" spans="12:15" x14ac:dyDescent="0.25">
      <c r="L499" s="6">
        <f>Trades!P498</f>
        <v>234574</v>
      </c>
      <c r="M499" s="7">
        <f>M498+Trades!T498</f>
        <v>10.456158603437059</v>
      </c>
      <c r="N499" s="7">
        <f>N498+Trades!U498</f>
        <v>1.673581688596592</v>
      </c>
      <c r="O499" s="7">
        <f>O498+Trades!W498</f>
        <v>-8.304076616168285E-2</v>
      </c>
    </row>
    <row r="500" spans="12:15" x14ac:dyDescent="0.25">
      <c r="L500" s="6">
        <f>Trades!P499</f>
        <v>234625</v>
      </c>
      <c r="M500" s="7">
        <f>M499+Trades!T499</f>
        <v>10.38779867826617</v>
      </c>
      <c r="N500" s="7">
        <f>N499+Trades!U499</f>
        <v>1.5870805458280226</v>
      </c>
      <c r="O500" s="7">
        <f>O499+Trades!W499</f>
        <v>-0.17314050112484941</v>
      </c>
    </row>
    <row r="501" spans="12:15" x14ac:dyDescent="0.25">
      <c r="L501" s="6">
        <f>Trades!P500</f>
        <v>234829</v>
      </c>
      <c r="M501" s="7">
        <f>M500+Trades!T500</f>
        <v>10.41922485609831</v>
      </c>
      <c r="N501" s="7">
        <f>N500+Trades!U500</f>
        <v>1.600516630029527</v>
      </c>
      <c r="O501" s="7">
        <f>O500+Trades!W500</f>
        <v>-0.16330341032514384</v>
      </c>
    </row>
    <row r="502" spans="12:15" x14ac:dyDescent="0.25">
      <c r="L502" s="6">
        <f>Trades!P501</f>
        <v>235225</v>
      </c>
      <c r="M502" s="7">
        <f>M501+Trades!T501</f>
        <v>10.452329891877781</v>
      </c>
      <c r="N502" s="7">
        <f>N501+Trades!U501</f>
        <v>1.6156072348021877</v>
      </c>
      <c r="O502" s="7">
        <f>O501+Trades!W501</f>
        <v>-0.15181179895428226</v>
      </c>
    </row>
    <row r="503" spans="12:15" x14ac:dyDescent="0.25">
      <c r="L503" s="6">
        <f>Trades!P502</f>
        <v>235510</v>
      </c>
      <c r="M503" s="7">
        <f>M502+Trades!T502</f>
        <v>10.464597446425703</v>
      </c>
      <c r="N503" s="7">
        <f>N502+Trades!U502</f>
        <v>1.6098802131752215</v>
      </c>
      <c r="O503" s="7">
        <f>O502+Trades!W502</f>
        <v>-0.16113741277584578</v>
      </c>
    </row>
    <row r="504" spans="12:15" x14ac:dyDescent="0.25">
      <c r="L504" s="6">
        <f>Trades!P503</f>
        <v>235611</v>
      </c>
      <c r="M504" s="7">
        <f>M503+Trades!T503</f>
        <v>10.597156830649096</v>
      </c>
      <c r="N504" s="7">
        <f>N503+Trades!U503</f>
        <v>1.7244748247585955</v>
      </c>
      <c r="O504" s="7">
        <f>O503+Trades!W503</f>
        <v>-5.0141393387068786E-2</v>
      </c>
    </row>
    <row r="505" spans="12:15" x14ac:dyDescent="0.25">
      <c r="L505" s="6">
        <f>Trades!P504</f>
        <v>236395</v>
      </c>
      <c r="M505" s="7">
        <f>M504+Trades!T504</f>
        <v>10.617267302954128</v>
      </c>
      <c r="N505" s="7">
        <f>N504+Trades!U504</f>
        <v>1.7265962904787124</v>
      </c>
      <c r="O505" s="7">
        <f>O504+Trades!W504</f>
        <v>-5.1618519861549035E-2</v>
      </c>
    </row>
    <row r="506" spans="12:15" x14ac:dyDescent="0.25">
      <c r="L506" s="6">
        <f>Trades!P505</f>
        <v>236776</v>
      </c>
      <c r="M506" s="7">
        <f>M505+Trades!T505</f>
        <v>10.69410349872132</v>
      </c>
      <c r="N506" s="7">
        <f>N505+Trades!U505</f>
        <v>1.7854080245742929</v>
      </c>
      <c r="O506" s="7">
        <f>O505+Trades!W505</f>
        <v>3.5942208322325073E-3</v>
      </c>
    </row>
    <row r="507" spans="12:15" x14ac:dyDescent="0.25">
      <c r="L507" s="6">
        <f>Trades!P506</f>
        <v>237031</v>
      </c>
      <c r="M507" s="7">
        <f>M506+Trades!T506</f>
        <v>10.706597568084877</v>
      </c>
      <c r="N507" s="7">
        <f>N506+Trades!U506</f>
        <v>1.7799098523096948</v>
      </c>
      <c r="O507" s="7">
        <f>O506+Trades!W506</f>
        <v>-5.5025436269628483E-3</v>
      </c>
    </row>
    <row r="508" spans="12:15" x14ac:dyDescent="0.25">
      <c r="L508" s="6">
        <f>Trades!P507</f>
        <v>237177</v>
      </c>
      <c r="M508" s="7">
        <f>M507+Trades!T507</f>
        <v>10.731786139257032</v>
      </c>
      <c r="N508" s="7">
        <f>N507+Trades!U507</f>
        <v>1.7871137197166715</v>
      </c>
      <c r="O508" s="7">
        <f>O507+Trades!W507</f>
        <v>-1.8972684145833123E-3</v>
      </c>
    </row>
    <row r="509" spans="12:15" x14ac:dyDescent="0.25">
      <c r="L509" s="6">
        <f>Trades!P508</f>
        <v>237307</v>
      </c>
      <c r="M509" s="7">
        <f>M508+Trades!T508</f>
        <v>10.752196259752152</v>
      </c>
      <c r="N509" s="7">
        <f>N508+Trades!U508</f>
        <v>1.7895431667484971</v>
      </c>
      <c r="O509" s="7">
        <f>O508+Trades!W508</f>
        <v>-3.0668147845567461E-3</v>
      </c>
    </row>
    <row r="510" spans="12:15" x14ac:dyDescent="0.25">
      <c r="L510" s="6">
        <f>Trades!P509</f>
        <v>237556</v>
      </c>
      <c r="M510" s="7">
        <f>M509+Trades!T509</f>
        <v>10.829917793608535</v>
      </c>
      <c r="N510" s="7">
        <f>N509+Trades!U509</f>
        <v>1.8492411947379914</v>
      </c>
      <c r="O510" s="7">
        <f>O509+Trades!W509</f>
        <v>5.3032219803138485E-2</v>
      </c>
    </row>
    <row r="511" spans="12:15" x14ac:dyDescent="0.25">
      <c r="L511" s="6">
        <f>Trades!P510</f>
        <v>238178</v>
      </c>
      <c r="M511" s="7">
        <f>M510+Trades!T510</f>
        <v>10.826380602437297</v>
      </c>
      <c r="N511" s="7">
        <f>N510+Trades!U510</f>
        <v>1.8277015477135752</v>
      </c>
      <c r="O511" s="7">
        <f>O510+Trades!W510</f>
        <v>2.7893980584125063E-2</v>
      </c>
    </row>
    <row r="512" spans="12:15" x14ac:dyDescent="0.25">
      <c r="L512" s="6">
        <f>Trades!P511</f>
        <v>238340</v>
      </c>
      <c r="M512" s="7">
        <f>M511+Trades!T511</f>
        <v>10.935457321056997</v>
      </c>
      <c r="N512" s="7">
        <f>N511+Trades!U511</f>
        <v>1.9188783756372598</v>
      </c>
      <c r="O512" s="7">
        <f>O511+Trades!W511</f>
        <v>0.11547221631321263</v>
      </c>
    </row>
    <row r="513" spans="12:15" x14ac:dyDescent="0.25">
      <c r="L513" s="6">
        <f>Trades!P512</f>
        <v>242424</v>
      </c>
      <c r="M513" s="7">
        <f>M512+Trades!T512</f>
        <v>10.922970677439007</v>
      </c>
      <c r="N513" s="7">
        <f>N512+Trades!U512</f>
        <v>1.8877798988079626</v>
      </c>
      <c r="O513" s="7">
        <f>O512+Trades!W512</f>
        <v>8.0649636329272745E-2</v>
      </c>
    </row>
    <row r="514" spans="12:15" x14ac:dyDescent="0.25">
      <c r="L514" s="6">
        <f>Trades!P513</f>
        <v>242527</v>
      </c>
      <c r="M514" s="7">
        <f>M513+Trades!T513</f>
        <v>10.933496566136746</v>
      </c>
      <c r="N514" s="7">
        <f>N513+Trades!U513</f>
        <v>1.8796806988752983</v>
      </c>
      <c r="O514" s="7">
        <f>O513+Trades!W513</f>
        <v>6.8826609276828432E-2</v>
      </c>
    </row>
    <row r="515" spans="12:15" x14ac:dyDescent="0.25">
      <c r="L515" s="6">
        <f>Trades!P514</f>
        <v>242873</v>
      </c>
      <c r="M515" s="7">
        <f>M514+Trades!T514</f>
        <v>10.961511437348792</v>
      </c>
      <c r="N515" s="7">
        <f>N514+Trades!U514</f>
        <v>1.8890897518368961</v>
      </c>
      <c r="O515" s="7">
        <f>O514+Trades!W514</f>
        <v>7.4511559083783513E-2</v>
      </c>
    </row>
    <row r="516" spans="12:15" x14ac:dyDescent="0.25">
      <c r="L516" s="6">
        <f>Trades!P515</f>
        <v>242895</v>
      </c>
      <c r="M516" s="7">
        <f>M515+Trades!T515</f>
        <v>10.931976554787973</v>
      </c>
      <c r="N516" s="7">
        <f>N515+Trades!U515</f>
        <v>1.8409627209202775</v>
      </c>
      <c r="O516" s="7">
        <f>O515+Trades!W515</f>
        <v>2.2660701047385004E-2</v>
      </c>
    </row>
    <row r="517" spans="12:15" x14ac:dyDescent="0.25">
      <c r="L517" s="6">
        <f>Trades!P516</f>
        <v>243235</v>
      </c>
      <c r="M517" s="7">
        <f>M516+Trades!T516</f>
        <v>10.951156960037295</v>
      </c>
      <c r="N517" s="7">
        <f>N516+Trades!U516</f>
        <v>1.8415405633204411</v>
      </c>
      <c r="O517" s="7">
        <f>O516+Trades!W516</f>
        <v>1.9514440292906034E-2</v>
      </c>
    </row>
    <row r="518" spans="12:15" x14ac:dyDescent="0.25">
      <c r="L518" s="6">
        <f>Trades!P517</f>
        <v>243890</v>
      </c>
      <c r="M518" s="7">
        <f>M517+Trades!T517</f>
        <v>10.964413765291388</v>
      </c>
      <c r="N518" s="7">
        <f>N517+Trades!U517</f>
        <v>1.8361886809833148</v>
      </c>
      <c r="O518" s="7">
        <f>O517+Trades!W517</f>
        <v>1.0438730835999662E-2</v>
      </c>
    </row>
    <row r="519" spans="12:15" x14ac:dyDescent="0.25">
      <c r="L519" s="6">
        <f>Trades!P518</f>
        <v>244541</v>
      </c>
      <c r="M519" s="7">
        <f>M518+Trades!T518</f>
        <v>10.926113250235534</v>
      </c>
      <c r="N519" s="7">
        <f>N518+Trades!U518</f>
        <v>1.779270191677818</v>
      </c>
      <c r="O519" s="7">
        <f>O518+Trades!W518</f>
        <v>-5.0203585589277025E-2</v>
      </c>
    </row>
    <row r="520" spans="12:15" x14ac:dyDescent="0.25">
      <c r="L520" s="6">
        <f>Trades!P519</f>
        <v>244589</v>
      </c>
      <c r="M520" s="7">
        <f>M519+Trades!T519</f>
        <v>10.907884801085796</v>
      </c>
      <c r="N520" s="7">
        <f>N519+Trades!U519</f>
        <v>1.7423633686128781</v>
      </c>
      <c r="O520" s="7">
        <f>O519+Trades!W519</f>
        <v>-9.0834235773996796E-2</v>
      </c>
    </row>
    <row r="521" spans="12:15" x14ac:dyDescent="0.25">
      <c r="L521" s="6">
        <f>Trades!P520</f>
        <v>244699</v>
      </c>
      <c r="M521" s="7">
        <f>M520+Trades!T520</f>
        <v>10.886470957611722</v>
      </c>
      <c r="N521" s="7">
        <f>N520+Trades!U520</f>
        <v>1.7022872619989344</v>
      </c>
      <c r="O521" s="7">
        <f>O520+Trades!W520</f>
        <v>-0.13463416950772034</v>
      </c>
    </row>
    <row r="522" spans="12:15" x14ac:dyDescent="0.25">
      <c r="L522" s="6">
        <f>Trades!P521</f>
        <v>244978</v>
      </c>
      <c r="M522" s="7">
        <f>M521+Trades!T521</f>
        <v>10.963602284595298</v>
      </c>
      <c r="N522" s="7">
        <f>N521+Trades!U521</f>
        <v>1.7607817944401931</v>
      </c>
      <c r="O522" s="7">
        <f>O521+Trades!W521</f>
        <v>-7.9863740221104429E-2</v>
      </c>
    </row>
    <row r="523" spans="12:15" x14ac:dyDescent="0.25">
      <c r="L523" s="6">
        <f>Trades!P522</f>
        <v>245305</v>
      </c>
      <c r="M523" s="7">
        <f>M522+Trades!T522</f>
        <v>10.974234594308227</v>
      </c>
      <c r="N523" s="7">
        <f>N522+Trades!U522</f>
        <v>1.7527889623122102</v>
      </c>
      <c r="O523" s="7">
        <f>O522+Trades!W522</f>
        <v>-9.1580675503730197E-2</v>
      </c>
    </row>
    <row r="524" spans="12:15" x14ac:dyDescent="0.25">
      <c r="L524" s="6">
        <f>Trades!P523</f>
        <v>245373</v>
      </c>
      <c r="M524" s="7">
        <f>M523+Trades!T523</f>
        <v>11.010185655228643</v>
      </c>
      <c r="N524" s="7">
        <f>N523+Trades!U523</f>
        <v>1.7701109382407394</v>
      </c>
      <c r="O524" s="7">
        <f>O523+Trades!W523</f>
        <v>-7.7982526694980972E-2</v>
      </c>
    </row>
    <row r="525" spans="12:15" x14ac:dyDescent="0.25">
      <c r="L525" s="6">
        <f>Trades!P524</f>
        <v>245742</v>
      </c>
      <c r="M525" s="7">
        <f>M524+Trades!T524</f>
        <v>11.013519147618476</v>
      </c>
      <c r="N525" s="7">
        <f>N524+Trades!U524</f>
        <v>1.7548235527886984</v>
      </c>
      <c r="O525" s="7">
        <f>O524+Trades!W524</f>
        <v>-9.6993739266801937E-2</v>
      </c>
    </row>
    <row r="526" spans="12:15" x14ac:dyDescent="0.25">
      <c r="L526" s="6">
        <f>Trades!P525</f>
        <v>245770</v>
      </c>
      <c r="M526" s="7">
        <f>M525+Trades!T525</f>
        <v>11.01914534102079</v>
      </c>
      <c r="N526" s="7">
        <f>N525+Trades!U525</f>
        <v>1.7418899996115098</v>
      </c>
      <c r="O526" s="7">
        <f>O525+Trades!W525</f>
        <v>-0.11365139559863316</v>
      </c>
    </row>
    <row r="527" spans="12:15" x14ac:dyDescent="0.25">
      <c r="L527" s="6">
        <f>Trades!P526</f>
        <v>245857</v>
      </c>
      <c r="M527" s="7">
        <f>M526+Trades!T526</f>
        <v>11.015797272830003</v>
      </c>
      <c r="N527" s="7">
        <f>N526+Trades!U526</f>
        <v>1.7199076045790158</v>
      </c>
      <c r="O527" s="7">
        <f>O526+Trades!W526</f>
        <v>-0.1393576177509071</v>
      </c>
    </row>
    <row r="528" spans="12:15" x14ac:dyDescent="0.25">
      <c r="L528" s="6">
        <f>Trades!P527</f>
        <v>246166</v>
      </c>
      <c r="M528" s="7">
        <f>M527+Trades!T527</f>
        <v>10.915382331824544</v>
      </c>
      <c r="N528" s="7">
        <f>N527+Trades!U527</f>
        <v>1.6009942081864894</v>
      </c>
      <c r="O528" s="7">
        <f>O527+Trades!W527</f>
        <v>-0.26199511729807629</v>
      </c>
    </row>
    <row r="529" spans="12:15" x14ac:dyDescent="0.25">
      <c r="L529" s="6">
        <f>Trades!P528</f>
        <v>265824</v>
      </c>
      <c r="M529" s="7">
        <f>M528+Trades!T528</f>
        <v>10.918188291920908</v>
      </c>
      <c r="N529" s="7">
        <f>N528+Trades!U528</f>
        <v>1.5861593230852962</v>
      </c>
      <c r="O529" s="7">
        <f>O528+Trades!W528</f>
        <v>-0.28035629272016166</v>
      </c>
    </row>
    <row r="530" spans="12:15" x14ac:dyDescent="0.25">
      <c r="L530" s="6">
        <f>Trades!P529</f>
        <v>266866</v>
      </c>
      <c r="M530" s="7">
        <f>M529+Trades!T529</f>
        <v>10.922623466816523</v>
      </c>
      <c r="N530" s="7">
        <f>N529+Trades!U529</f>
        <v>1.5729526627268895</v>
      </c>
      <c r="O530" s="7">
        <f>O529+Trades!W529</f>
        <v>-0.29708924339946047</v>
      </c>
    </row>
    <row r="531" spans="12:15" x14ac:dyDescent="0.25">
      <c r="L531" s="6">
        <f>Trades!P530</f>
        <v>267252</v>
      </c>
      <c r="M531" s="7">
        <f>M530+Trades!T530</f>
        <v>10.931616073366619</v>
      </c>
      <c r="N531" s="7">
        <f>N530+Trades!U530</f>
        <v>1.5643151960219599</v>
      </c>
      <c r="O531" s="7">
        <f>O530+Trades!W530</f>
        <v>-0.30925300042528225</v>
      </c>
    </row>
    <row r="532" spans="12:15" x14ac:dyDescent="0.25">
      <c r="L532" s="6">
        <f>Trades!P531</f>
        <v>267824</v>
      </c>
      <c r="M532" s="7">
        <f>M531+Trades!T531</f>
        <v>10.945008185173602</v>
      </c>
      <c r="N532" s="7">
        <f>N531+Trades!U531</f>
        <v>1.5600794923356689</v>
      </c>
      <c r="O532" s="7">
        <f>O531+Trades!W531</f>
        <v>-0.31701499443246534</v>
      </c>
    </row>
    <row r="533" spans="12:15" x14ac:dyDescent="0.25">
      <c r="L533" s="6">
        <f>Trades!P532</f>
        <v>268033</v>
      </c>
      <c r="M533" s="7">
        <f>M532+Trades!T532</f>
        <v>10.955756592816909</v>
      </c>
      <c r="N533" s="7">
        <f>N532+Trades!U532</f>
        <v>1.5532006388959818</v>
      </c>
      <c r="O533" s="7">
        <f>O532+Trades!W532</f>
        <v>-0.32742013819304455</v>
      </c>
    </row>
    <row r="534" spans="12:15" x14ac:dyDescent="0.25">
      <c r="L534" s="6">
        <f>Trades!P533</f>
        <v>268674</v>
      </c>
      <c r="M534" s="7">
        <f>M533+Trades!T533</f>
        <v>10.965144433859271</v>
      </c>
      <c r="N534" s="7">
        <f>N533+Trades!U533</f>
        <v>1.5449566097620857</v>
      </c>
      <c r="O534" s="7">
        <f>O533+Trades!W533</f>
        <v>-0.33919093112077531</v>
      </c>
    </row>
    <row r="535" spans="12:15" x14ac:dyDescent="0.25">
      <c r="L535" s="6">
        <f>Trades!P534</f>
        <v>269726</v>
      </c>
      <c r="M535" s="7">
        <f>M534+Trades!T534</f>
        <v>10.959719747176562</v>
      </c>
      <c r="N535" s="7">
        <f>N534+Trades!U534</f>
        <v>1.521944042073416</v>
      </c>
      <c r="O535" s="7">
        <f>O534+Trades!W534</f>
        <v>-0.36571310794359962</v>
      </c>
    </row>
    <row r="536" spans="12:15" x14ac:dyDescent="0.25">
      <c r="L536" s="6">
        <f>Trades!P535</f>
        <v>270385</v>
      </c>
      <c r="M536" s="7">
        <f>M535+Trades!T535</f>
        <v>10.948211104913121</v>
      </c>
      <c r="N536" s="7">
        <f>N535+Trades!U535</f>
        <v>1.4929055624091676</v>
      </c>
      <c r="O536" s="7">
        <f>O535+Trades!W535</f>
        <v>-0.39826168688779573</v>
      </c>
    </row>
    <row r="537" spans="12:15" x14ac:dyDescent="0.25">
      <c r="L537" s="6">
        <f>Trades!P536</f>
        <v>272320</v>
      </c>
      <c r="M537" s="7">
        <f>M536+Trades!T536</f>
        <v>11.031707728514355</v>
      </c>
      <c r="N537" s="7">
        <f>N536+Trades!U536</f>
        <v>1.5589044609279799</v>
      </c>
      <c r="O537" s="7">
        <f>O536+Trades!W536</f>
        <v>-0.3357728876489311</v>
      </c>
    </row>
    <row r="538" spans="12:15" x14ac:dyDescent="0.25">
      <c r="L538" s="6">
        <f>Trades!P537</f>
        <v>272436</v>
      </c>
      <c r="M538" s="7">
        <f>M537+Trades!T537</f>
        <v>11.020617295970514</v>
      </c>
      <c r="N538" s="7">
        <f>N537+Trades!U537</f>
        <v>1.5302922285087348</v>
      </c>
      <c r="O538" s="7">
        <f>O537+Trades!W537</f>
        <v>-0.36789521934812375</v>
      </c>
    </row>
    <row r="539" spans="12:15" x14ac:dyDescent="0.25">
      <c r="L539" s="6">
        <f>Trades!P538</f>
        <v>272709</v>
      </c>
      <c r="M539" s="7">
        <f>M538+Trades!T538</f>
        <v>11.091170624414623</v>
      </c>
      <c r="N539" s="7">
        <f>N538+Trades!U538</f>
        <v>1.5832694649780956</v>
      </c>
      <c r="O539" s="7">
        <f>O538+Trades!W538</f>
        <v>-0.3184280821587106</v>
      </c>
    </row>
    <row r="540" spans="12:15" x14ac:dyDescent="0.25">
      <c r="L540" s="6">
        <f>Trades!P539</f>
        <v>273315</v>
      </c>
      <c r="M540" s="7">
        <f>M539+Trades!T539</f>
        <v>11.103258202642028</v>
      </c>
      <c r="N540" s="7">
        <f>N539+Trades!U539</f>
        <v>1.577817229964368</v>
      </c>
      <c r="O540" s="7">
        <f>O539+Trades!W539</f>
        <v>-0.3273904164523857</v>
      </c>
    </row>
    <row r="541" spans="12:15" x14ac:dyDescent="0.25">
      <c r="L541" s="6">
        <f>Trades!P540</f>
        <v>273331</v>
      </c>
      <c r="M541" s="7">
        <f>M540+Trades!T540</f>
        <v>11.123541174695088</v>
      </c>
      <c r="N541" s="7">
        <f>N540+Trades!U540</f>
        <v>1.580566797549785</v>
      </c>
      <c r="O541" s="7">
        <f>O540+Trades!W540</f>
        <v>-0.32815094814691631</v>
      </c>
    </row>
    <row r="542" spans="12:15" x14ac:dyDescent="0.25">
      <c r="L542" s="6">
        <f>Trades!P541</f>
        <v>273495</v>
      </c>
      <c r="M542" s="7">
        <f>M541+Trades!T541</f>
        <v>11.159225836220893</v>
      </c>
      <c r="N542" s="7">
        <f>N541+Trades!U541</f>
        <v>1.5987002055226722</v>
      </c>
      <c r="O542" s="7">
        <f>O541+Trades!W541</f>
        <v>-0.31352763945397655</v>
      </c>
    </row>
    <row r="543" spans="12:15" x14ac:dyDescent="0.25">
      <c r="L543" s="6">
        <f>Trades!P542</f>
        <v>273624</v>
      </c>
      <c r="M543" s="7">
        <f>M542+Trades!T542</f>
        <v>11.171715037477394</v>
      </c>
      <c r="N543" s="7">
        <f>N542+Trades!U542</f>
        <v>1.5941500926977947</v>
      </c>
      <c r="O543" s="7">
        <f>O542+Trades!W542</f>
        <v>-0.32148215420954551</v>
      </c>
    </row>
    <row r="544" spans="12:15" x14ac:dyDescent="0.25">
      <c r="L544" s="6">
        <f>Trades!P543</f>
        <v>273882</v>
      </c>
      <c r="M544" s="7">
        <f>M543+Trades!T543</f>
        <v>11.197664952939853</v>
      </c>
      <c r="N544" s="7">
        <f>N543+Trades!U543</f>
        <v>1.603038670424626</v>
      </c>
      <c r="O544" s="7">
        <f>O543+Trades!W543</f>
        <v>-0.31599857371382478</v>
      </c>
    </row>
    <row r="545" spans="12:15" x14ac:dyDescent="0.25">
      <c r="L545" s="6">
        <f>Trades!P544</f>
        <v>274296</v>
      </c>
      <c r="M545" s="7">
        <f>M544+Trades!T544</f>
        <v>11.221205309552619</v>
      </c>
      <c r="N545" s="7">
        <f>N544+Trades!U544</f>
        <v>1.6095296792711848</v>
      </c>
      <c r="O545" s="7">
        <f>O544+Trades!W544</f>
        <v>-0.3129119667979573</v>
      </c>
    </row>
    <row r="546" spans="12:15" x14ac:dyDescent="0.25">
      <c r="L546" s="6">
        <f>Trades!P545</f>
        <v>274665</v>
      </c>
      <c r="M546" s="7">
        <f>M545+Trades!T545</f>
        <v>11.24637522016009</v>
      </c>
      <c r="N546" s="7">
        <f>N545+Trades!U545</f>
        <v>1.6176998965746694</v>
      </c>
      <c r="O546" s="7">
        <f>O545+Trades!W545</f>
        <v>-0.30814615142516411</v>
      </c>
    </row>
    <row r="547" spans="12:15" x14ac:dyDescent="0.25">
      <c r="L547" s="6">
        <f>Trades!P546</f>
        <v>274982</v>
      </c>
      <c r="M547" s="7">
        <f>M546+Trades!T546</f>
        <v>11.269913788231543</v>
      </c>
      <c r="N547" s="7">
        <f>N546+Trades!U546</f>
        <v>1.6242096617906747</v>
      </c>
      <c r="O547" s="7">
        <f>O546+Trades!W546</f>
        <v>-0.30504138344026932</v>
      </c>
    </row>
    <row r="548" spans="12:15" x14ac:dyDescent="0.25">
      <c r="L548" s="6">
        <f>Trades!P547</f>
        <v>275053</v>
      </c>
      <c r="M548" s="7">
        <f>M547+Trades!T547</f>
        <v>11.297215740565653</v>
      </c>
      <c r="N548" s="7">
        <f>N547+Trades!U547</f>
        <v>1.6345195400229846</v>
      </c>
      <c r="O548" s="7">
        <f>O547+Trades!W547</f>
        <v>-0.29813590713865079</v>
      </c>
    </row>
    <row r="549" spans="12:15" x14ac:dyDescent="0.25">
      <c r="L549" s="6">
        <f>Trades!P548</f>
        <v>275462</v>
      </c>
      <c r="M549" s="7">
        <f>M548+Trades!T548</f>
        <v>11.275332835922361</v>
      </c>
      <c r="N549" s="7">
        <f>N548+Trades!U548</f>
        <v>1.5956280652600867</v>
      </c>
      <c r="O549" s="7">
        <f>O548+Trades!W548</f>
        <v>-0.34043178383223999</v>
      </c>
    </row>
    <row r="550" spans="12:15" x14ac:dyDescent="0.25">
      <c r="L550" s="6">
        <f>Trades!P549</f>
        <v>275746</v>
      </c>
      <c r="M550" s="7">
        <f>M549+Trades!T549</f>
        <v>11.276847205354423</v>
      </c>
      <c r="N550" s="7">
        <f>N549+Trades!U549</f>
        <v>1.5801317563113346</v>
      </c>
      <c r="O550" s="7">
        <f>O549+Trades!W549</f>
        <v>-0.35933249471168355</v>
      </c>
    </row>
    <row r="551" spans="12:15" x14ac:dyDescent="0.25">
      <c r="L551" s="6">
        <f>Trades!P550</f>
        <v>275858</v>
      </c>
      <c r="M551" s="7">
        <f>M550+Trades!T550</f>
        <v>11.289638163840403</v>
      </c>
      <c r="N551" s="7">
        <f>N550+Trades!U550</f>
        <v>1.5759583840012061</v>
      </c>
      <c r="O551" s="7">
        <f>O550+Trades!W550</f>
        <v>-0.36691026895250334</v>
      </c>
    </row>
    <row r="552" spans="12:15" x14ac:dyDescent="0.25">
      <c r="L552" s="6">
        <f>Trades!P551</f>
        <v>276226</v>
      </c>
      <c r="M552" s="7">
        <f>M551+Trades!T551</f>
        <v>11.298810662099477</v>
      </c>
      <c r="N552" s="7">
        <f>N551+Trades!U551</f>
        <v>1.5681044097399457</v>
      </c>
      <c r="O552" s="7">
        <f>O551+Trades!W551</f>
        <v>-0.37816924044487427</v>
      </c>
    </row>
    <row r="553" spans="12:15" x14ac:dyDescent="0.25">
      <c r="L553" s="6">
        <f>Trades!P552</f>
        <v>276368</v>
      </c>
      <c r="M553" s="7">
        <f>M552+Trades!T552</f>
        <v>11.308475145090656</v>
      </c>
      <c r="N553" s="7">
        <f>N552+Trades!U552</f>
        <v>1.5607453275090779</v>
      </c>
      <c r="O553" s="7">
        <f>O552+Trades!W552</f>
        <v>-0.38893331990685259</v>
      </c>
    </row>
    <row r="554" spans="12:15" x14ac:dyDescent="0.25">
      <c r="L554" s="6">
        <f>Trades!P553</f>
        <v>276653</v>
      </c>
      <c r="M554" s="7">
        <f>M553+Trades!T553</f>
        <v>11.308401325389241</v>
      </c>
      <c r="N554" s="7">
        <f>N553+Trades!U553</f>
        <v>1.5436464658343043</v>
      </c>
      <c r="O554" s="7">
        <f>O553+Trades!W553</f>
        <v>-0.40943717881273667</v>
      </c>
    </row>
    <row r="555" spans="12:15" x14ac:dyDescent="0.25">
      <c r="L555" s="6">
        <f>Trades!P554</f>
        <v>277044</v>
      </c>
      <c r="M555" s="7">
        <f>M554+Trades!T554</f>
        <v>11.276546031615968</v>
      </c>
      <c r="N555" s="7">
        <f>N554+Trades!U554</f>
        <v>1.494772328131019</v>
      </c>
      <c r="O555" s="7">
        <f>O554+Trades!W554</f>
        <v>-0.46171631374713251</v>
      </c>
    </row>
    <row r="556" spans="12:15" x14ac:dyDescent="0.25">
      <c r="L556" s="6">
        <f>Trades!P555</f>
        <v>277207</v>
      </c>
      <c r="M556" s="7">
        <f>M555+Trades!T555</f>
        <v>11.294221081785722</v>
      </c>
      <c r="N556" s="7">
        <f>N555+Trades!U555</f>
        <v>1.4954342414987156</v>
      </c>
      <c r="O556" s="7">
        <f>O555+Trades!W555</f>
        <v>-0.46445939761054628</v>
      </c>
    </row>
    <row r="557" spans="12:15" x14ac:dyDescent="0.25">
      <c r="L557" s="6">
        <f>Trades!P556</f>
        <v>277524</v>
      </c>
      <c r="M557" s="7">
        <f>M556+Trades!T556</f>
        <v>11.304521462579427</v>
      </c>
      <c r="N557" s="7">
        <f>N556+Trades!U556</f>
        <v>1.483532302126801</v>
      </c>
      <c r="O557" s="7">
        <f>O556+Trades!W556</f>
        <v>-0.48080794809034016</v>
      </c>
    </row>
    <row r="558" spans="12:15" x14ac:dyDescent="0.25">
      <c r="L558" s="6">
        <f>Trades!P557</f>
        <v>277799</v>
      </c>
      <c r="M558" s="7">
        <f>M557+Trades!T557</f>
        <v>11.329909590095737</v>
      </c>
      <c r="N558" s="7">
        <f>N557+Trades!U557</f>
        <v>1.4866545362466075</v>
      </c>
      <c r="O558" s="7">
        <f>O557+Trades!W557</f>
        <v>-0.48213232507841297</v>
      </c>
    </row>
    <row r="559" spans="12:15" x14ac:dyDescent="0.25">
      <c r="L559" s="6">
        <f>Trades!P558</f>
        <v>278588</v>
      </c>
      <c r="M559" s="7">
        <f>M558+Trades!T558</f>
        <v>11.293747802855723</v>
      </c>
      <c r="N559" s="7">
        <f>N558+Trades!U558</f>
        <v>1.428232321207116</v>
      </c>
      <c r="O559" s="7">
        <f>O558+Trades!W558</f>
        <v>-0.5450015980603089</v>
      </c>
    </row>
    <row r="560" spans="12:15" x14ac:dyDescent="0.25">
      <c r="L560" s="6">
        <f>Trades!P559</f>
        <v>279354</v>
      </c>
      <c r="M560" s="7">
        <f>M559+Trades!T559</f>
        <v>11.330949793962212</v>
      </c>
      <c r="N560" s="7">
        <f>N559+Trades!U559</f>
        <v>1.4432527813052605</v>
      </c>
      <c r="O560" s="7">
        <f>O559+Trades!W559</f>
        <v>-0.53442774907004365</v>
      </c>
    </row>
    <row r="561" spans="12:15" x14ac:dyDescent="0.25">
      <c r="L561" s="6">
        <f>Trades!P560</f>
        <v>279738</v>
      </c>
      <c r="M561" s="7">
        <f>M560+Trades!T560</f>
        <v>11.442356040197639</v>
      </c>
      <c r="N561" s="7">
        <f>N560+Trades!U560</f>
        <v>1.5323624291027877</v>
      </c>
      <c r="O561" s="7">
        <f>O560+Trades!W560</f>
        <v>-0.44976515921492066</v>
      </c>
    </row>
    <row r="562" spans="12:15" x14ac:dyDescent="0.25">
      <c r="L562" s="6">
        <f>Trades!P561</f>
        <v>280085</v>
      </c>
      <c r="M562" s="7">
        <f>M561+Trades!T561</f>
        <v>11.436540316567378</v>
      </c>
      <c r="N562" s="7">
        <f>N561+Trades!U561</f>
        <v>1.5043253411951527</v>
      </c>
      <c r="O562" s="7">
        <f>O561+Trades!W561</f>
        <v>-0.48224885823043506</v>
      </c>
    </row>
    <row r="563" spans="12:15" x14ac:dyDescent="0.25">
      <c r="L563" s="6">
        <f>Trades!P562</f>
        <v>280139</v>
      </c>
      <c r="M563" s="7">
        <f>M562+Trades!T562</f>
        <v>11.458006645868869</v>
      </c>
      <c r="N563" s="7">
        <f>N562+Trades!U562</f>
        <v>1.5034867556483167</v>
      </c>
      <c r="O563" s="7">
        <f>O562+Trades!W562</f>
        <v>-0.48753450171967538</v>
      </c>
    </row>
    <row r="564" spans="12:15" x14ac:dyDescent="0.25">
      <c r="L564" s="6">
        <f>Trades!P563</f>
        <v>280536</v>
      </c>
      <c r="M564" s="7">
        <f>M563+Trades!T563</f>
        <v>11.454917059136282</v>
      </c>
      <c r="N564" s="7">
        <f>N563+Trades!U563</f>
        <v>1.4780537815897161</v>
      </c>
      <c r="O564" s="7">
        <f>O563+Trades!W563</f>
        <v>-0.51741453372068036</v>
      </c>
    </row>
    <row r="565" spans="12:15" x14ac:dyDescent="0.25">
      <c r="L565" s="6">
        <f>Trades!P564</f>
        <v>280918</v>
      </c>
      <c r="M565" s="7">
        <f>M564+Trades!T564</f>
        <v>11.536929882878839</v>
      </c>
      <c r="N565" s="7">
        <f>N564+Trades!U564</f>
        <v>1.5377646710829245</v>
      </c>
      <c r="O565" s="7">
        <f>O564+Trades!W564</f>
        <v>-0.46215025533535115</v>
      </c>
    </row>
    <row r="566" spans="12:15" x14ac:dyDescent="0.25">
      <c r="L566" s="6">
        <f>Trades!P565</f>
        <v>281424</v>
      </c>
      <c r="M566" s="7">
        <f>M565+Trades!T565</f>
        <v>11.540497743966158</v>
      </c>
      <c r="N566" s="7">
        <f>N565+Trades!U565</f>
        <v>1.5202922741961005</v>
      </c>
      <c r="O566" s="7">
        <f>O565+Trades!W565</f>
        <v>-0.48382952833334814</v>
      </c>
    </row>
    <row r="567" spans="12:15" x14ac:dyDescent="0.25">
      <c r="L567" s="6">
        <f>Trades!P566</f>
        <v>281488</v>
      </c>
      <c r="M567" s="7">
        <f>M566+Trades!T566</f>
        <v>11.564722779304725</v>
      </c>
      <c r="N567" s="7">
        <f>N566+Trades!U566</f>
        <v>1.5234597162925763</v>
      </c>
      <c r="O567" s="7">
        <f>O566+Trades!W566</f>
        <v>-0.48486896234804538</v>
      </c>
    </row>
    <row r="568" spans="12:15" x14ac:dyDescent="0.25">
      <c r="L568" s="6">
        <f>Trades!P567</f>
        <v>281554</v>
      </c>
      <c r="M568" s="7">
        <f>M567+Trades!T567</f>
        <v>11.577802395686923</v>
      </c>
      <c r="N568" s="7">
        <f>N567+Trades!U567</f>
        <v>1.515494354677116</v>
      </c>
      <c r="O568" s="7">
        <f>O567+Trades!W567</f>
        <v>-0.49704120007467867</v>
      </c>
    </row>
    <row r="569" spans="12:15" x14ac:dyDescent="0.25">
      <c r="L569" s="6">
        <f>Trades!P568</f>
        <v>282357</v>
      </c>
      <c r="M569" s="7">
        <f>M568+Trades!T568</f>
        <v>11.583343158735261</v>
      </c>
      <c r="N569" s="7">
        <f>N568+Trades!U568</f>
        <v>1.5000051410528228</v>
      </c>
      <c r="O569" s="7">
        <f>O568+Trades!W568</f>
        <v>-0.51673708303742016</v>
      </c>
    </row>
    <row r="570" spans="12:15" x14ac:dyDescent="0.25">
      <c r="L570" s="6">
        <f>Trades!P569</f>
        <v>282880</v>
      </c>
      <c r="M570" s="7">
        <f>M569+Trades!T569</f>
        <v>11.592188523055643</v>
      </c>
      <c r="N570" s="7">
        <f>N569+Trades!U569</f>
        <v>1.4878199693809409</v>
      </c>
      <c r="O570" s="7">
        <f>O569+Trades!W569</f>
        <v>-0.53312892404775036</v>
      </c>
    </row>
    <row r="571" spans="12:15" x14ac:dyDescent="0.25">
      <c r="L571" s="6">
        <f>Trades!P570</f>
        <v>282962</v>
      </c>
      <c r="M571" s="7">
        <f>M570+Trades!T570</f>
        <v>11.598977800260863</v>
      </c>
      <c r="N571" s="7">
        <f>N570+Trades!U570</f>
        <v>1.4735839227924219</v>
      </c>
      <c r="O571" s="7">
        <f>O570+Trades!W570</f>
        <v>-0.55157184674744231</v>
      </c>
    </row>
    <row r="572" spans="12:15" x14ac:dyDescent="0.25">
      <c r="L572" s="6">
        <f>Trades!P571</f>
        <v>283024</v>
      </c>
      <c r="M572" s="7">
        <f>M571+Trades!T571</f>
        <v>11.615734836138518</v>
      </c>
      <c r="N572" s="7">
        <f>N571+Trades!U571</f>
        <v>1.4692987165280857</v>
      </c>
      <c r="O572" s="7">
        <f>O571+Trades!W571</f>
        <v>-0.56006392912295155</v>
      </c>
    </row>
    <row r="573" spans="12:15" x14ac:dyDescent="0.25">
      <c r="L573" s="6">
        <f>Trades!P572</f>
        <v>283114</v>
      </c>
      <c r="M573" s="7">
        <f>M572+Trades!T572</f>
        <v>11.636787034479964</v>
      </c>
      <c r="N573" s="7">
        <f>N572+Trades!U572</f>
        <v>1.4693297679251571</v>
      </c>
      <c r="O573" s="7">
        <f>O572+Trades!W572</f>
        <v>-0.56423954706432844</v>
      </c>
    </row>
    <row r="574" spans="12:15" x14ac:dyDescent="0.25">
      <c r="L574" s="6">
        <f>Trades!P573</f>
        <v>283292</v>
      </c>
      <c r="M574" s="7">
        <f>M573+Trades!T573</f>
        <v>11.621140204521218</v>
      </c>
      <c r="N574" s="7">
        <f>N573+Trades!U573</f>
        <v>1.4326247365598803</v>
      </c>
      <c r="O574" s="7">
        <f>O573+Trades!W573</f>
        <v>-0.60515124776805362</v>
      </c>
    </row>
    <row r="575" spans="12:15" x14ac:dyDescent="0.25">
      <c r="L575" s="6">
        <f>Trades!P574</f>
        <v>284045</v>
      </c>
      <c r="M575" s="7">
        <f>M574+Trades!T574</f>
        <v>11.638779770051702</v>
      </c>
      <c r="N575" s="7">
        <f>N574+Trades!U574</f>
        <v>1.429242993055674</v>
      </c>
      <c r="O575" s="7">
        <f>O574+Trades!W574</f>
        <v>-0.61273986738343311</v>
      </c>
    </row>
    <row r="576" spans="12:15" x14ac:dyDescent="0.25">
      <c r="L576" s="6">
        <f>Trades!P575</f>
        <v>284654</v>
      </c>
      <c r="M576" s="7">
        <f>M575+Trades!T575</f>
        <v>11.576317482523983</v>
      </c>
      <c r="N576" s="7">
        <f>N575+Trades!U575</f>
        <v>1.3457071510618521</v>
      </c>
      <c r="O576" s="7">
        <f>O575+Trades!W575</f>
        <v>-0.70048258548842823</v>
      </c>
    </row>
    <row r="577" spans="12:15" x14ac:dyDescent="0.25">
      <c r="L577" s="6">
        <f>Trades!P576</f>
        <v>285054</v>
      </c>
      <c r="M577" s="7">
        <f>M576+Trades!T576</f>
        <v>11.564936163462821</v>
      </c>
      <c r="N577" s="7">
        <f>N576+Trades!U576</f>
        <v>1.3132758098012716</v>
      </c>
      <c r="O577" s="7">
        <f>O576+Trades!W576</f>
        <v>-0.73712059608745717</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06D1-2FDF-49FA-8E67-5E271440AC97}">
  <dimension ref="B2:E15"/>
  <sheetViews>
    <sheetView tabSelected="1" workbookViewId="0">
      <selection activeCell="B5" sqref="B5"/>
    </sheetView>
  </sheetViews>
  <sheetFormatPr defaultRowHeight="15" x14ac:dyDescent="0.25"/>
  <cols>
    <col min="2" max="2" width="23.28515625" bestFit="1" customWidth="1"/>
    <col min="3" max="3" width="27.85546875" bestFit="1" customWidth="1"/>
    <col min="4" max="4" width="28.7109375" bestFit="1" customWidth="1"/>
    <col min="5" max="5" width="28" bestFit="1" customWidth="1"/>
  </cols>
  <sheetData>
    <row r="2" spans="2:5" x14ac:dyDescent="0.25">
      <c r="B2" s="30" t="s">
        <v>84</v>
      </c>
      <c r="C2" s="34" t="s">
        <v>94</v>
      </c>
      <c r="D2" s="34" t="s">
        <v>95</v>
      </c>
      <c r="E2" s="34" t="s">
        <v>96</v>
      </c>
    </row>
    <row r="3" spans="2:5" ht="14.25" customHeight="1" x14ac:dyDescent="0.25">
      <c r="B3" s="32" t="s">
        <v>43</v>
      </c>
      <c r="C3" s="31"/>
      <c r="D3" s="31"/>
      <c r="E3" s="31"/>
    </row>
    <row r="4" spans="2:5" ht="14.25" customHeight="1" x14ac:dyDescent="0.25">
      <c r="B4" s="32" t="s">
        <v>85</v>
      </c>
      <c r="C4" s="31"/>
      <c r="D4" s="31"/>
      <c r="E4" s="31"/>
    </row>
    <row r="5" spans="2:5" ht="17.25" customHeight="1" x14ac:dyDescent="0.25">
      <c r="B5" s="33" t="s">
        <v>86</v>
      </c>
      <c r="C5" s="31"/>
      <c r="D5" s="31"/>
      <c r="E5" s="31"/>
    </row>
    <row r="6" spans="2:5" ht="17.25" customHeight="1" x14ac:dyDescent="0.25">
      <c r="B6" s="32" t="s">
        <v>87</v>
      </c>
      <c r="C6" s="31"/>
      <c r="D6" s="31"/>
      <c r="E6" s="31"/>
    </row>
    <row r="7" spans="2:5" ht="12.75" customHeight="1" x14ac:dyDescent="0.25">
      <c r="B7" s="32" t="s">
        <v>88</v>
      </c>
      <c r="C7" s="31"/>
      <c r="D7" s="31"/>
      <c r="E7" s="31"/>
    </row>
    <row r="8" spans="2:5" ht="12" customHeight="1" x14ac:dyDescent="0.25">
      <c r="B8" s="32" t="s">
        <v>89</v>
      </c>
      <c r="C8" s="31"/>
      <c r="D8" s="31"/>
      <c r="E8" s="31"/>
    </row>
    <row r="9" spans="2:5" x14ac:dyDescent="0.25">
      <c r="B9" s="32" t="s">
        <v>55</v>
      </c>
      <c r="C9" s="31"/>
      <c r="D9" s="31"/>
      <c r="E9" s="31"/>
    </row>
    <row r="10" spans="2:5" ht="14.25" customHeight="1" x14ac:dyDescent="0.25">
      <c r="B10" s="32" t="s">
        <v>90</v>
      </c>
      <c r="C10" s="31"/>
      <c r="D10" s="31"/>
      <c r="E10" s="31"/>
    </row>
    <row r="11" spans="2:5" x14ac:dyDescent="0.25">
      <c r="B11" s="32" t="s">
        <v>91</v>
      </c>
      <c r="C11" s="31"/>
      <c r="D11" s="31"/>
      <c r="E11" s="31"/>
    </row>
    <row r="12" spans="2:5" x14ac:dyDescent="0.25">
      <c r="B12" s="32" t="s">
        <v>59</v>
      </c>
      <c r="C12" s="31"/>
      <c r="D12" s="31"/>
      <c r="E12" s="31"/>
    </row>
    <row r="13" spans="2:5" x14ac:dyDescent="0.25">
      <c r="B13" s="32" t="s">
        <v>60</v>
      </c>
      <c r="C13" s="31"/>
      <c r="D13" s="31"/>
      <c r="E13" s="31"/>
    </row>
    <row r="14" spans="2:5" x14ac:dyDescent="0.25">
      <c r="B14" s="32" t="s">
        <v>92</v>
      </c>
      <c r="C14" s="31"/>
      <c r="D14" s="31"/>
      <c r="E14" s="31"/>
    </row>
    <row r="15" spans="2:5" x14ac:dyDescent="0.25">
      <c r="B15" s="32" t="s">
        <v>93</v>
      </c>
      <c r="C15" s="31"/>
      <c r="D15" s="31"/>
      <c r="E15"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Trades</vt:lpstr>
      <vt:lpstr>Analysis</vt:lpstr>
      <vt:lpstr>Phase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2026-08-14T19:11:45Z</dcterms:created>
  <dcterms:modified xsi:type="dcterms:W3CDTF">2026-08-14T21:57:39Z</dcterms:modified>
</cp:coreProperties>
</file>