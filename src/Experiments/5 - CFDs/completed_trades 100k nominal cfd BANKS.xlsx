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13_ncr:1_{5A7F8434-B492-4E0D-8ABC-595AB076DD89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rades" sheetId="1" r:id="rId1"/>
    <sheet name="trades edited" sheetId="2" r:id="rId2"/>
    <sheet name="Analysis" sheetId="3" r:id="rId3"/>
    <sheet name="comparison with single pair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9" i="4" s="1"/>
  <c r="C5" i="4"/>
  <c r="J259" i="4"/>
  <c r="J257" i="4"/>
  <c r="J252" i="4"/>
  <c r="J248" i="4"/>
  <c r="J247" i="4"/>
  <c r="J246" i="4"/>
  <c r="J245" i="4"/>
  <c r="J244" i="4"/>
  <c r="J233" i="4"/>
  <c r="J231" i="4"/>
  <c r="J230" i="4"/>
  <c r="J228" i="4"/>
  <c r="J227" i="4"/>
  <c r="J224" i="4"/>
  <c r="J220" i="4"/>
  <c r="J218" i="4"/>
  <c r="J211" i="4"/>
  <c r="J209" i="4"/>
  <c r="J204" i="4"/>
  <c r="J200" i="4"/>
  <c r="J199" i="4"/>
  <c r="J198" i="4"/>
  <c r="J197" i="4"/>
  <c r="J196" i="4"/>
  <c r="J185" i="4"/>
  <c r="J183" i="4"/>
  <c r="J182" i="4"/>
  <c r="J180" i="4"/>
  <c r="J179" i="4"/>
  <c r="J176" i="4"/>
  <c r="J172" i="4"/>
  <c r="J170" i="4"/>
  <c r="J163" i="4"/>
  <c r="J161" i="4"/>
  <c r="J156" i="4"/>
  <c r="J152" i="4"/>
  <c r="J151" i="4"/>
  <c r="J150" i="4"/>
  <c r="J149" i="4"/>
  <c r="J148" i="4"/>
  <c r="J137" i="4"/>
  <c r="J135" i="4"/>
  <c r="J134" i="4"/>
  <c r="J132" i="4"/>
  <c r="J131" i="4"/>
  <c r="J128" i="4"/>
  <c r="J124" i="4"/>
  <c r="J122" i="4"/>
  <c r="J115" i="4"/>
  <c r="J113" i="4"/>
  <c r="J108" i="4"/>
  <c r="J104" i="4"/>
  <c r="J103" i="4"/>
  <c r="J102" i="4"/>
  <c r="J101" i="4"/>
  <c r="J100" i="4"/>
  <c r="J89" i="4"/>
  <c r="J87" i="4"/>
  <c r="J86" i="4"/>
  <c r="J84" i="4"/>
  <c r="J83" i="4"/>
  <c r="J80" i="4"/>
  <c r="J76" i="4"/>
  <c r="J74" i="4"/>
  <c r="J67" i="4"/>
  <c r="J65" i="4"/>
  <c r="J60" i="4"/>
  <c r="J56" i="4"/>
  <c r="J55" i="4"/>
  <c r="J54" i="4"/>
  <c r="J53" i="4"/>
  <c r="J52" i="4"/>
  <c r="J42" i="4"/>
  <c r="J40" i="4"/>
  <c r="J39" i="4"/>
  <c r="J38" i="4"/>
  <c r="J36" i="4"/>
  <c r="J35" i="4"/>
  <c r="J32" i="4"/>
  <c r="J28" i="4"/>
  <c r="J23" i="4"/>
  <c r="J19" i="4"/>
  <c r="J18" i="4"/>
  <c r="J17" i="4"/>
  <c r="J12" i="4"/>
  <c r="J11" i="4"/>
  <c r="J8" i="4"/>
  <c r="J7" i="4"/>
  <c r="J4" i="4" a="1"/>
  <c r="J258" i="4" s="1"/>
  <c r="J4" i="4"/>
  <c r="C4" i="4"/>
  <c r="C3" i="4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D36" i="3"/>
  <c r="L35" i="3"/>
  <c r="D35" i="3"/>
  <c r="L34" i="3"/>
  <c r="D34" i="3"/>
  <c r="L33" i="3"/>
  <c r="D33" i="3"/>
  <c r="L32" i="3"/>
  <c r="D32" i="3"/>
  <c r="L31" i="3"/>
  <c r="L30" i="3"/>
  <c r="L29" i="3"/>
  <c r="F29" i="3"/>
  <c r="E29" i="3"/>
  <c r="D29" i="3"/>
  <c r="C29" i="3"/>
  <c r="L28" i="3"/>
  <c r="F28" i="3"/>
  <c r="E28" i="3"/>
  <c r="D28" i="3"/>
  <c r="C28" i="3"/>
  <c r="L27" i="3"/>
  <c r="L26" i="3"/>
  <c r="L25" i="3"/>
  <c r="D25" i="3"/>
  <c r="C25" i="3"/>
  <c r="L24" i="3"/>
  <c r="D24" i="3" a="1"/>
  <c r="D24" i="3"/>
  <c r="C24" i="3" a="1"/>
  <c r="C24" i="3"/>
  <c r="L23" i="3"/>
  <c r="D23" i="3"/>
  <c r="C23" i="3"/>
  <c r="L22" i="3"/>
  <c r="D22" i="3"/>
  <c r="C22" i="3"/>
  <c r="L21" i="3"/>
  <c r="D21" i="3" a="1"/>
  <c r="D21" i="3"/>
  <c r="C21" i="3" a="1"/>
  <c r="C21" i="3"/>
  <c r="L20" i="3"/>
  <c r="D20" i="3"/>
  <c r="C20" i="3"/>
  <c r="L19" i="3"/>
  <c r="L18" i="3"/>
  <c r="L17" i="3"/>
  <c r="C17" i="3"/>
  <c r="L16" i="3"/>
  <c r="C16" i="3"/>
  <c r="L15" i="3"/>
  <c r="C15" i="3"/>
  <c r="L14" i="3"/>
  <c r="C14" i="3"/>
  <c r="L13" i="3"/>
  <c r="T12" i="3"/>
  <c r="S12" i="3"/>
  <c r="L12" i="3"/>
  <c r="L11" i="3"/>
  <c r="E11" i="3"/>
  <c r="D11" i="3"/>
  <c r="C11" i="3"/>
  <c r="T10" i="3"/>
  <c r="S10" i="3"/>
  <c r="L10" i="3"/>
  <c r="E10" i="3"/>
  <c r="D10" i="3"/>
  <c r="C10" i="3"/>
  <c r="T9" i="3"/>
  <c r="S9" i="3"/>
  <c r="L9" i="3"/>
  <c r="E9" i="3"/>
  <c r="D9" i="3"/>
  <c r="C9" i="3"/>
  <c r="T8" i="3"/>
  <c r="S8" i="3"/>
  <c r="N8" i="3"/>
  <c r="N9" i="3" s="1"/>
  <c r="L8" i="3"/>
  <c r="E8" i="3"/>
  <c r="D8" i="3"/>
  <c r="C8" i="3"/>
  <c r="T7" i="3"/>
  <c r="S7" i="3"/>
  <c r="L7" i="3"/>
  <c r="E7" i="3"/>
  <c r="D7" i="3"/>
  <c r="C7" i="3"/>
  <c r="T6" i="3"/>
  <c r="S6" i="3"/>
  <c r="O6" i="3"/>
  <c r="O7" i="3" s="1"/>
  <c r="O8" i="3" s="1"/>
  <c r="O9" i="3" s="1"/>
  <c r="L6" i="3"/>
  <c r="E6" i="3"/>
  <c r="D6" i="3"/>
  <c r="C6" i="3"/>
  <c r="T5" i="3"/>
  <c r="S5" i="3"/>
  <c r="O5" i="3"/>
  <c r="M5" i="3"/>
  <c r="M6" i="3" s="1"/>
  <c r="M7" i="3" s="1"/>
  <c r="M8" i="3" s="1"/>
  <c r="M9" i="3" s="1"/>
  <c r="L5" i="3"/>
  <c r="E5" i="3"/>
  <c r="D5" i="3"/>
  <c r="C5" i="3"/>
  <c r="T4" i="3"/>
  <c r="S4" i="3"/>
  <c r="O4" i="3"/>
  <c r="M4" i="3"/>
  <c r="L4" i="3"/>
  <c r="T3" i="3"/>
  <c r="S3" i="3"/>
  <c r="O3" i="3"/>
  <c r="N3" i="3"/>
  <c r="N4" i="3" s="1"/>
  <c r="N5" i="3" s="1"/>
  <c r="N6" i="3" s="1"/>
  <c r="N7" i="3" s="1"/>
  <c r="L3" i="3"/>
  <c r="T2" i="3"/>
  <c r="S2" i="3"/>
  <c r="O2" i="3"/>
  <c r="N2" i="3"/>
  <c r="M2" i="3"/>
  <c r="M3" i="3" s="1"/>
  <c r="L2" i="3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AE776" i="2"/>
  <c r="Y776" i="2"/>
  <c r="AE775" i="2"/>
  <c r="Y775" i="2"/>
  <c r="AE774" i="2"/>
  <c r="Y774" i="2"/>
  <c r="AE773" i="2"/>
  <c r="Y773" i="2"/>
  <c r="AE772" i="2"/>
  <c r="Y772" i="2"/>
  <c r="AE771" i="2"/>
  <c r="Y771" i="2"/>
  <c r="AE770" i="2"/>
  <c r="Y770" i="2"/>
  <c r="AE769" i="2"/>
  <c r="Y769" i="2"/>
  <c r="AE768" i="2"/>
  <c r="Y768" i="2"/>
  <c r="AE767" i="2"/>
  <c r="Y767" i="2"/>
  <c r="AE766" i="2"/>
  <c r="Y766" i="2"/>
  <c r="AE765" i="2"/>
  <c r="Y765" i="2"/>
  <c r="AE764" i="2"/>
  <c r="Y764" i="2"/>
  <c r="AE763" i="2"/>
  <c r="Y763" i="2"/>
  <c r="AE762" i="2"/>
  <c r="Y762" i="2"/>
  <c r="AE761" i="2"/>
  <c r="Y761" i="2"/>
  <c r="AE760" i="2"/>
  <c r="Y760" i="2"/>
  <c r="AE759" i="2"/>
  <c r="Y759" i="2"/>
  <c r="AE758" i="2"/>
  <c r="Y758" i="2"/>
  <c r="AE757" i="2"/>
  <c r="Y757" i="2"/>
  <c r="AE756" i="2"/>
  <c r="Y756" i="2"/>
  <c r="AE755" i="2"/>
  <c r="Y755" i="2"/>
  <c r="AE754" i="2"/>
  <c r="Y754" i="2"/>
  <c r="AE753" i="2"/>
  <c r="Y753" i="2"/>
  <c r="AE752" i="2"/>
  <c r="Y752" i="2"/>
  <c r="AE751" i="2"/>
  <c r="Y751" i="2"/>
  <c r="AE750" i="2"/>
  <c r="Y750" i="2"/>
  <c r="AE749" i="2"/>
  <c r="Y749" i="2"/>
  <c r="AE748" i="2"/>
  <c r="Y748" i="2"/>
  <c r="AE747" i="2"/>
  <c r="Y747" i="2"/>
  <c r="AE746" i="2"/>
  <c r="Y746" i="2"/>
  <c r="AE745" i="2"/>
  <c r="Y745" i="2"/>
  <c r="AE744" i="2"/>
  <c r="Y744" i="2"/>
  <c r="AE743" i="2"/>
  <c r="Y743" i="2"/>
  <c r="AE742" i="2"/>
  <c r="Y742" i="2"/>
  <c r="AE741" i="2"/>
  <c r="Y741" i="2"/>
  <c r="AE740" i="2"/>
  <c r="Y740" i="2"/>
  <c r="AE739" i="2"/>
  <c r="Y739" i="2"/>
  <c r="AE738" i="2"/>
  <c r="Y738" i="2"/>
  <c r="AE737" i="2"/>
  <c r="Y737" i="2"/>
  <c r="AE736" i="2"/>
  <c r="Y736" i="2"/>
  <c r="AE735" i="2"/>
  <c r="Y735" i="2"/>
  <c r="AE734" i="2"/>
  <c r="Y734" i="2"/>
  <c r="AE733" i="2"/>
  <c r="Y733" i="2"/>
  <c r="AE732" i="2"/>
  <c r="Y732" i="2"/>
  <c r="AE731" i="2"/>
  <c r="Y731" i="2"/>
  <c r="AE730" i="2"/>
  <c r="Y730" i="2"/>
  <c r="AE729" i="2"/>
  <c r="Y729" i="2"/>
  <c r="AE728" i="2"/>
  <c r="Y728" i="2"/>
  <c r="AE727" i="2"/>
  <c r="Y727" i="2"/>
  <c r="AE726" i="2"/>
  <c r="Y726" i="2"/>
  <c r="AE725" i="2"/>
  <c r="Y725" i="2"/>
  <c r="AE724" i="2"/>
  <c r="Y724" i="2"/>
  <c r="AE723" i="2"/>
  <c r="Y723" i="2"/>
  <c r="AE722" i="2"/>
  <c r="Y722" i="2"/>
  <c r="AE721" i="2"/>
  <c r="Y721" i="2"/>
  <c r="AE720" i="2"/>
  <c r="Y720" i="2"/>
  <c r="AE719" i="2"/>
  <c r="Y719" i="2"/>
  <c r="AE718" i="2"/>
  <c r="Y718" i="2"/>
  <c r="AE717" i="2"/>
  <c r="Y717" i="2"/>
  <c r="AE716" i="2"/>
  <c r="Y716" i="2"/>
  <c r="AE715" i="2"/>
  <c r="Y715" i="2"/>
  <c r="AE714" i="2"/>
  <c r="Y714" i="2"/>
  <c r="AE713" i="2"/>
  <c r="Y713" i="2"/>
  <c r="AE712" i="2"/>
  <c r="Y712" i="2"/>
  <c r="AE711" i="2"/>
  <c r="Y711" i="2"/>
  <c r="AE710" i="2"/>
  <c r="Y710" i="2"/>
  <c r="AE709" i="2"/>
  <c r="Y709" i="2"/>
  <c r="AE708" i="2"/>
  <c r="Y708" i="2"/>
  <c r="AE707" i="2"/>
  <c r="Y707" i="2"/>
  <c r="AE706" i="2"/>
  <c r="Y706" i="2"/>
  <c r="AE705" i="2"/>
  <c r="Y705" i="2"/>
  <c r="AE704" i="2"/>
  <c r="Y704" i="2"/>
  <c r="AE703" i="2"/>
  <c r="Y703" i="2"/>
  <c r="AE702" i="2"/>
  <c r="Y702" i="2"/>
  <c r="AE701" i="2"/>
  <c r="Y701" i="2"/>
  <c r="AE700" i="2"/>
  <c r="Y700" i="2"/>
  <c r="AE699" i="2"/>
  <c r="Y699" i="2"/>
  <c r="AE698" i="2"/>
  <c r="Y698" i="2"/>
  <c r="AE697" i="2"/>
  <c r="Y697" i="2"/>
  <c r="AE696" i="2"/>
  <c r="Y696" i="2"/>
  <c r="AE695" i="2"/>
  <c r="Y695" i="2"/>
  <c r="AE694" i="2"/>
  <c r="Y694" i="2"/>
  <c r="AE693" i="2"/>
  <c r="Y693" i="2"/>
  <c r="AE692" i="2"/>
  <c r="Y692" i="2"/>
  <c r="AE691" i="2"/>
  <c r="Y691" i="2"/>
  <c r="AE690" i="2"/>
  <c r="Y690" i="2"/>
  <c r="AE689" i="2"/>
  <c r="Y689" i="2"/>
  <c r="AE688" i="2"/>
  <c r="Y688" i="2"/>
  <c r="AE687" i="2"/>
  <c r="Y687" i="2"/>
  <c r="AE686" i="2"/>
  <c r="Y686" i="2"/>
  <c r="AE685" i="2"/>
  <c r="Y685" i="2"/>
  <c r="AE684" i="2"/>
  <c r="Y684" i="2"/>
  <c r="AE683" i="2"/>
  <c r="Y683" i="2"/>
  <c r="AE682" i="2"/>
  <c r="Y682" i="2"/>
  <c r="AE681" i="2"/>
  <c r="Y681" i="2"/>
  <c r="AE680" i="2"/>
  <c r="Y680" i="2"/>
  <c r="AE679" i="2"/>
  <c r="Y679" i="2"/>
  <c r="AE678" i="2"/>
  <c r="Y678" i="2"/>
  <c r="AE677" i="2"/>
  <c r="Y677" i="2"/>
  <c r="AE676" i="2"/>
  <c r="Y676" i="2"/>
  <c r="AE675" i="2"/>
  <c r="Y675" i="2"/>
  <c r="AE674" i="2"/>
  <c r="Y674" i="2"/>
  <c r="AE673" i="2"/>
  <c r="Y673" i="2"/>
  <c r="AE672" i="2"/>
  <c r="Y672" i="2"/>
  <c r="AE671" i="2"/>
  <c r="Y671" i="2"/>
  <c r="AE670" i="2"/>
  <c r="Y670" i="2"/>
  <c r="AE669" i="2"/>
  <c r="Y669" i="2"/>
  <c r="AE668" i="2"/>
  <c r="Y668" i="2"/>
  <c r="AE667" i="2"/>
  <c r="Y667" i="2"/>
  <c r="AE666" i="2"/>
  <c r="Y666" i="2"/>
  <c r="AE665" i="2"/>
  <c r="Y665" i="2"/>
  <c r="AE664" i="2"/>
  <c r="Y664" i="2"/>
  <c r="AE663" i="2"/>
  <c r="Y663" i="2"/>
  <c r="AE662" i="2"/>
  <c r="Y662" i="2"/>
  <c r="AE661" i="2"/>
  <c r="Y661" i="2"/>
  <c r="AE660" i="2"/>
  <c r="Y660" i="2"/>
  <c r="AE659" i="2"/>
  <c r="Y659" i="2"/>
  <c r="AE658" i="2"/>
  <c r="Y658" i="2"/>
  <c r="AE657" i="2"/>
  <c r="Y657" i="2"/>
  <c r="AE656" i="2"/>
  <c r="Y656" i="2"/>
  <c r="AE655" i="2"/>
  <c r="Y655" i="2"/>
  <c r="AE654" i="2"/>
  <c r="Y654" i="2"/>
  <c r="AE653" i="2"/>
  <c r="Y653" i="2"/>
  <c r="AE652" i="2"/>
  <c r="Y652" i="2"/>
  <c r="AE651" i="2"/>
  <c r="Y651" i="2"/>
  <c r="AE650" i="2"/>
  <c r="Y650" i="2"/>
  <c r="AE649" i="2"/>
  <c r="Y649" i="2"/>
  <c r="AE648" i="2"/>
  <c r="Y648" i="2"/>
  <c r="AE647" i="2"/>
  <c r="Y647" i="2"/>
  <c r="AE646" i="2"/>
  <c r="Y646" i="2"/>
  <c r="AE645" i="2"/>
  <c r="Y645" i="2"/>
  <c r="AE644" i="2"/>
  <c r="Y644" i="2"/>
  <c r="AE643" i="2"/>
  <c r="Y643" i="2"/>
  <c r="AE642" i="2"/>
  <c r="Y642" i="2"/>
  <c r="AE641" i="2"/>
  <c r="Y641" i="2"/>
  <c r="AE640" i="2"/>
  <c r="Y640" i="2"/>
  <c r="AE639" i="2"/>
  <c r="Y639" i="2"/>
  <c r="AE638" i="2"/>
  <c r="Y638" i="2"/>
  <c r="AE637" i="2"/>
  <c r="Y637" i="2"/>
  <c r="AE636" i="2"/>
  <c r="Y636" i="2"/>
  <c r="AE635" i="2"/>
  <c r="Y635" i="2"/>
  <c r="AE634" i="2"/>
  <c r="Y634" i="2"/>
  <c r="AE633" i="2"/>
  <c r="Y633" i="2"/>
  <c r="AE632" i="2"/>
  <c r="Y632" i="2"/>
  <c r="AE631" i="2"/>
  <c r="Y631" i="2"/>
  <c r="AE630" i="2"/>
  <c r="Y630" i="2"/>
  <c r="AE629" i="2"/>
  <c r="Y629" i="2"/>
  <c r="AE628" i="2"/>
  <c r="Y628" i="2"/>
  <c r="AE627" i="2"/>
  <c r="Y627" i="2"/>
  <c r="AE626" i="2"/>
  <c r="Y626" i="2"/>
  <c r="AE625" i="2"/>
  <c r="Y625" i="2"/>
  <c r="AE624" i="2"/>
  <c r="Y624" i="2"/>
  <c r="AE623" i="2"/>
  <c r="Y623" i="2"/>
  <c r="AE622" i="2"/>
  <c r="Y622" i="2"/>
  <c r="AE621" i="2"/>
  <c r="Y621" i="2"/>
  <c r="AE620" i="2"/>
  <c r="Y620" i="2"/>
  <c r="AE619" i="2"/>
  <c r="Y619" i="2"/>
  <c r="AE618" i="2"/>
  <c r="Y618" i="2"/>
  <c r="AE617" i="2"/>
  <c r="Y617" i="2"/>
  <c r="AE616" i="2"/>
  <c r="Y616" i="2"/>
  <c r="AE615" i="2"/>
  <c r="Y615" i="2"/>
  <c r="AE614" i="2"/>
  <c r="Y614" i="2"/>
  <c r="AE613" i="2"/>
  <c r="Y613" i="2"/>
  <c r="AE612" i="2"/>
  <c r="Y612" i="2"/>
  <c r="AE611" i="2"/>
  <c r="Y611" i="2"/>
  <c r="AE610" i="2"/>
  <c r="Y610" i="2"/>
  <c r="AE609" i="2"/>
  <c r="Y609" i="2"/>
  <c r="AE608" i="2"/>
  <c r="Y608" i="2"/>
  <c r="AE607" i="2"/>
  <c r="Y607" i="2"/>
  <c r="AE606" i="2"/>
  <c r="Y606" i="2"/>
  <c r="AE605" i="2"/>
  <c r="Y605" i="2"/>
  <c r="AE604" i="2"/>
  <c r="Y604" i="2"/>
  <c r="AE603" i="2"/>
  <c r="Y603" i="2"/>
  <c r="AE602" i="2"/>
  <c r="Y602" i="2"/>
  <c r="AE601" i="2"/>
  <c r="Y601" i="2"/>
  <c r="AE600" i="2"/>
  <c r="Y600" i="2"/>
  <c r="AE599" i="2"/>
  <c r="Y599" i="2"/>
  <c r="AE598" i="2"/>
  <c r="Y598" i="2"/>
  <c r="AE597" i="2"/>
  <c r="Y597" i="2"/>
  <c r="AE596" i="2"/>
  <c r="Y596" i="2"/>
  <c r="AE595" i="2"/>
  <c r="Y595" i="2"/>
  <c r="AE594" i="2"/>
  <c r="Y594" i="2"/>
  <c r="AE593" i="2"/>
  <c r="Y593" i="2"/>
  <c r="AE592" i="2"/>
  <c r="Y592" i="2"/>
  <c r="AE591" i="2"/>
  <c r="Y591" i="2"/>
  <c r="AE590" i="2"/>
  <c r="Y590" i="2"/>
  <c r="AE589" i="2"/>
  <c r="Y589" i="2"/>
  <c r="AE588" i="2"/>
  <c r="Y588" i="2"/>
  <c r="AE587" i="2"/>
  <c r="Y587" i="2"/>
  <c r="AE586" i="2"/>
  <c r="Y586" i="2"/>
  <c r="AE585" i="2"/>
  <c r="Y585" i="2"/>
  <c r="AE584" i="2"/>
  <c r="Y584" i="2"/>
  <c r="AE583" i="2"/>
  <c r="Y583" i="2"/>
  <c r="AE582" i="2"/>
  <c r="Y582" i="2"/>
  <c r="AE581" i="2"/>
  <c r="Y581" i="2"/>
  <c r="AE580" i="2"/>
  <c r="Y580" i="2"/>
  <c r="AE579" i="2"/>
  <c r="Y579" i="2"/>
  <c r="AE578" i="2"/>
  <c r="Y578" i="2"/>
  <c r="AE577" i="2"/>
  <c r="Y577" i="2"/>
  <c r="AE576" i="2"/>
  <c r="Y576" i="2"/>
  <c r="X576" i="2"/>
  <c r="AE575" i="2"/>
  <c r="Y575" i="2"/>
  <c r="X575" i="2"/>
  <c r="AE574" i="2"/>
  <c r="Y574" i="2"/>
  <c r="X574" i="2"/>
  <c r="AE573" i="2"/>
  <c r="Y573" i="2"/>
  <c r="X573" i="2"/>
  <c r="AE572" i="2"/>
  <c r="Y572" i="2"/>
  <c r="X572" i="2"/>
  <c r="AE571" i="2"/>
  <c r="Y571" i="2"/>
  <c r="X571" i="2"/>
  <c r="AE570" i="2"/>
  <c r="Y570" i="2"/>
  <c r="X570" i="2"/>
  <c r="AE569" i="2"/>
  <c r="Y569" i="2"/>
  <c r="X569" i="2"/>
  <c r="AE568" i="2"/>
  <c r="Y568" i="2"/>
  <c r="X568" i="2"/>
  <c r="AE567" i="2"/>
  <c r="Y567" i="2"/>
  <c r="X567" i="2"/>
  <c r="AE566" i="2"/>
  <c r="Y566" i="2"/>
  <c r="X566" i="2"/>
  <c r="AE565" i="2"/>
  <c r="Y565" i="2"/>
  <c r="X565" i="2"/>
  <c r="AE564" i="2"/>
  <c r="Y564" i="2"/>
  <c r="X564" i="2"/>
  <c r="AE563" i="2"/>
  <c r="Y563" i="2"/>
  <c r="X563" i="2"/>
  <c r="AE562" i="2"/>
  <c r="Y562" i="2"/>
  <c r="X562" i="2"/>
  <c r="AE561" i="2"/>
  <c r="Y561" i="2"/>
  <c r="X561" i="2"/>
  <c r="AE560" i="2"/>
  <c r="Y560" i="2"/>
  <c r="X560" i="2"/>
  <c r="AE559" i="2"/>
  <c r="Y559" i="2"/>
  <c r="X559" i="2"/>
  <c r="AE558" i="2"/>
  <c r="Y558" i="2"/>
  <c r="X558" i="2"/>
  <c r="AE557" i="2"/>
  <c r="Y557" i="2"/>
  <c r="X557" i="2"/>
  <c r="AE556" i="2"/>
  <c r="Y556" i="2"/>
  <c r="X556" i="2"/>
  <c r="AE555" i="2"/>
  <c r="Y555" i="2"/>
  <c r="X555" i="2"/>
  <c r="AE554" i="2"/>
  <c r="Y554" i="2"/>
  <c r="X554" i="2"/>
  <c r="AE553" i="2"/>
  <c r="Y553" i="2"/>
  <c r="X553" i="2"/>
  <c r="Z553" i="2" s="1" a="1"/>
  <c r="Z553" i="2" s="1"/>
  <c r="AE552" i="2"/>
  <c r="Y552" i="2"/>
  <c r="X552" i="2"/>
  <c r="AE551" i="2"/>
  <c r="Y551" i="2"/>
  <c r="X551" i="2"/>
  <c r="AE550" i="2"/>
  <c r="Y550" i="2"/>
  <c r="X550" i="2"/>
  <c r="AE549" i="2"/>
  <c r="Y549" i="2"/>
  <c r="X549" i="2"/>
  <c r="AE548" i="2"/>
  <c r="Y548" i="2"/>
  <c r="X548" i="2"/>
  <c r="AE547" i="2"/>
  <c r="Y547" i="2"/>
  <c r="X547" i="2"/>
  <c r="AE546" i="2"/>
  <c r="Y546" i="2"/>
  <c r="X546" i="2"/>
  <c r="AE545" i="2"/>
  <c r="Y545" i="2"/>
  <c r="X545" i="2"/>
  <c r="AE544" i="2"/>
  <c r="Y544" i="2"/>
  <c r="X544" i="2"/>
  <c r="AE543" i="2"/>
  <c r="Y543" i="2"/>
  <c r="X543" i="2"/>
  <c r="AE542" i="2"/>
  <c r="Y542" i="2"/>
  <c r="X542" i="2"/>
  <c r="AE541" i="2"/>
  <c r="Y541" i="2"/>
  <c r="X541" i="2"/>
  <c r="AE540" i="2"/>
  <c r="Y540" i="2"/>
  <c r="X540" i="2"/>
  <c r="AE539" i="2"/>
  <c r="Y539" i="2"/>
  <c r="X539" i="2"/>
  <c r="AE538" i="2"/>
  <c r="Y538" i="2"/>
  <c r="X538" i="2"/>
  <c r="AE537" i="2"/>
  <c r="Y537" i="2"/>
  <c r="X537" i="2"/>
  <c r="AE536" i="2"/>
  <c r="Y536" i="2"/>
  <c r="X536" i="2"/>
  <c r="AE535" i="2"/>
  <c r="Y535" i="2"/>
  <c r="X535" i="2"/>
  <c r="AE534" i="2"/>
  <c r="Y534" i="2"/>
  <c r="X534" i="2"/>
  <c r="AE533" i="2"/>
  <c r="Y533" i="2"/>
  <c r="X533" i="2"/>
  <c r="AE532" i="2"/>
  <c r="Y532" i="2"/>
  <c r="X532" i="2"/>
  <c r="AE531" i="2"/>
  <c r="Y531" i="2"/>
  <c r="X531" i="2"/>
  <c r="AE530" i="2"/>
  <c r="Y530" i="2"/>
  <c r="X530" i="2"/>
  <c r="AE529" i="2"/>
  <c r="Y529" i="2"/>
  <c r="X529" i="2"/>
  <c r="AE528" i="2"/>
  <c r="Y528" i="2"/>
  <c r="X528" i="2"/>
  <c r="AE527" i="2"/>
  <c r="Y527" i="2"/>
  <c r="X527" i="2"/>
  <c r="AE526" i="2"/>
  <c r="Y526" i="2"/>
  <c r="X526" i="2"/>
  <c r="AE525" i="2"/>
  <c r="Y525" i="2"/>
  <c r="X525" i="2"/>
  <c r="AE524" i="2"/>
  <c r="Y524" i="2"/>
  <c r="X524" i="2"/>
  <c r="AE523" i="2"/>
  <c r="Y523" i="2"/>
  <c r="X523" i="2"/>
  <c r="AE522" i="2"/>
  <c r="Y522" i="2"/>
  <c r="X522" i="2"/>
  <c r="AE521" i="2"/>
  <c r="Y521" i="2"/>
  <c r="X521" i="2"/>
  <c r="AE520" i="2"/>
  <c r="Y520" i="2"/>
  <c r="X520" i="2"/>
  <c r="AE519" i="2"/>
  <c r="Y519" i="2"/>
  <c r="X519" i="2"/>
  <c r="Z519" i="2" s="1" a="1"/>
  <c r="Z519" i="2" s="1"/>
  <c r="AE518" i="2"/>
  <c r="Y518" i="2"/>
  <c r="X518" i="2"/>
  <c r="AE517" i="2"/>
  <c r="Y517" i="2"/>
  <c r="X517" i="2"/>
  <c r="AE516" i="2"/>
  <c r="Y516" i="2"/>
  <c r="X516" i="2"/>
  <c r="AE515" i="2"/>
  <c r="Y515" i="2"/>
  <c r="X515" i="2"/>
  <c r="AE514" i="2"/>
  <c r="Y514" i="2"/>
  <c r="X514" i="2"/>
  <c r="AE513" i="2"/>
  <c r="Y513" i="2"/>
  <c r="X513" i="2"/>
  <c r="AE512" i="2"/>
  <c r="Y512" i="2"/>
  <c r="X512" i="2"/>
  <c r="AE511" i="2"/>
  <c r="Y511" i="2"/>
  <c r="X511" i="2"/>
  <c r="AE510" i="2"/>
  <c r="Y510" i="2"/>
  <c r="X510" i="2"/>
  <c r="AE509" i="2"/>
  <c r="Y509" i="2"/>
  <c r="X509" i="2"/>
  <c r="AE508" i="2"/>
  <c r="Y508" i="2"/>
  <c r="X508" i="2"/>
  <c r="AE507" i="2"/>
  <c r="Y507" i="2"/>
  <c r="X507" i="2"/>
  <c r="AE506" i="2"/>
  <c r="Y506" i="2"/>
  <c r="X506" i="2"/>
  <c r="AE505" i="2"/>
  <c r="Y505" i="2"/>
  <c r="X505" i="2"/>
  <c r="AE504" i="2"/>
  <c r="Y504" i="2"/>
  <c r="X504" i="2"/>
  <c r="AE503" i="2"/>
  <c r="Y503" i="2"/>
  <c r="X503" i="2"/>
  <c r="AE502" i="2"/>
  <c r="Y502" i="2"/>
  <c r="X502" i="2"/>
  <c r="AE501" i="2"/>
  <c r="Y501" i="2"/>
  <c r="X501" i="2"/>
  <c r="AE500" i="2"/>
  <c r="Y500" i="2"/>
  <c r="X500" i="2"/>
  <c r="AE499" i="2"/>
  <c r="Y499" i="2"/>
  <c r="X499" i="2"/>
  <c r="AE498" i="2"/>
  <c r="Y498" i="2"/>
  <c r="X498" i="2"/>
  <c r="AE497" i="2"/>
  <c r="Y497" i="2"/>
  <c r="X497" i="2"/>
  <c r="AE496" i="2"/>
  <c r="Y496" i="2"/>
  <c r="X496" i="2"/>
  <c r="AE495" i="2"/>
  <c r="Y495" i="2"/>
  <c r="X495" i="2"/>
  <c r="AE494" i="2"/>
  <c r="Y494" i="2"/>
  <c r="X494" i="2"/>
  <c r="AE493" i="2"/>
  <c r="Y493" i="2"/>
  <c r="X493" i="2"/>
  <c r="AE492" i="2"/>
  <c r="Y492" i="2"/>
  <c r="X492" i="2"/>
  <c r="AE491" i="2"/>
  <c r="Y491" i="2"/>
  <c r="X491" i="2"/>
  <c r="AE490" i="2"/>
  <c r="Y490" i="2"/>
  <c r="X490" i="2"/>
  <c r="AE489" i="2"/>
  <c r="Y489" i="2"/>
  <c r="X489" i="2"/>
  <c r="AE488" i="2"/>
  <c r="Y488" i="2"/>
  <c r="X488" i="2"/>
  <c r="AE487" i="2"/>
  <c r="Y487" i="2"/>
  <c r="X487" i="2"/>
  <c r="AE486" i="2"/>
  <c r="Y486" i="2"/>
  <c r="X486" i="2"/>
  <c r="AE485" i="2"/>
  <c r="Y485" i="2"/>
  <c r="X485" i="2"/>
  <c r="AE484" i="2"/>
  <c r="Y484" i="2"/>
  <c r="X484" i="2"/>
  <c r="AE483" i="2"/>
  <c r="Y483" i="2"/>
  <c r="X483" i="2"/>
  <c r="AE482" i="2"/>
  <c r="Y482" i="2"/>
  <c r="X482" i="2"/>
  <c r="AE481" i="2"/>
  <c r="Y481" i="2"/>
  <c r="X481" i="2"/>
  <c r="AE480" i="2"/>
  <c r="Y480" i="2"/>
  <c r="X480" i="2"/>
  <c r="AE479" i="2"/>
  <c r="Y479" i="2"/>
  <c r="X479" i="2"/>
  <c r="AE478" i="2"/>
  <c r="Y478" i="2"/>
  <c r="X478" i="2"/>
  <c r="AE477" i="2"/>
  <c r="Y477" i="2"/>
  <c r="X477" i="2"/>
  <c r="AE476" i="2"/>
  <c r="Y476" i="2"/>
  <c r="X476" i="2"/>
  <c r="AE475" i="2"/>
  <c r="Y475" i="2"/>
  <c r="X475" i="2"/>
  <c r="AE474" i="2"/>
  <c r="Y474" i="2"/>
  <c r="X474" i="2"/>
  <c r="AE473" i="2"/>
  <c r="Y473" i="2"/>
  <c r="X473" i="2"/>
  <c r="AE472" i="2"/>
  <c r="Y472" i="2"/>
  <c r="X472" i="2"/>
  <c r="AE471" i="2"/>
  <c r="Y471" i="2"/>
  <c r="X471" i="2"/>
  <c r="AE470" i="2"/>
  <c r="Y470" i="2"/>
  <c r="X470" i="2"/>
  <c r="AE469" i="2"/>
  <c r="Y469" i="2"/>
  <c r="X469" i="2"/>
  <c r="AE468" i="2"/>
  <c r="Y468" i="2"/>
  <c r="X468" i="2"/>
  <c r="AE467" i="2"/>
  <c r="Y467" i="2"/>
  <c r="X467" i="2"/>
  <c r="AE466" i="2"/>
  <c r="Y466" i="2"/>
  <c r="X466" i="2"/>
  <c r="AE465" i="2"/>
  <c r="Y465" i="2"/>
  <c r="X465" i="2"/>
  <c r="AE464" i="2"/>
  <c r="Y464" i="2"/>
  <c r="X464" i="2"/>
  <c r="AE463" i="2"/>
  <c r="Y463" i="2"/>
  <c r="X463" i="2"/>
  <c r="AE462" i="2"/>
  <c r="Y462" i="2"/>
  <c r="X462" i="2"/>
  <c r="AE461" i="2"/>
  <c r="Y461" i="2"/>
  <c r="X461" i="2"/>
  <c r="AE460" i="2"/>
  <c r="Y460" i="2"/>
  <c r="X460" i="2"/>
  <c r="AE459" i="2"/>
  <c r="Y459" i="2"/>
  <c r="X459" i="2"/>
  <c r="AE458" i="2"/>
  <c r="Y458" i="2"/>
  <c r="X458" i="2"/>
  <c r="AE457" i="2"/>
  <c r="Y457" i="2"/>
  <c r="X457" i="2"/>
  <c r="AE456" i="2"/>
  <c r="Y456" i="2"/>
  <c r="X456" i="2"/>
  <c r="Z456" i="2" s="1" a="1"/>
  <c r="Z456" i="2" s="1"/>
  <c r="AE455" i="2"/>
  <c r="Y455" i="2"/>
  <c r="X455" i="2"/>
  <c r="AE454" i="2"/>
  <c r="Y454" i="2"/>
  <c r="X454" i="2"/>
  <c r="AE453" i="2"/>
  <c r="Y453" i="2"/>
  <c r="X453" i="2"/>
  <c r="AE452" i="2"/>
  <c r="Y452" i="2"/>
  <c r="X452" i="2"/>
  <c r="AE451" i="2"/>
  <c r="Y451" i="2"/>
  <c r="X451" i="2"/>
  <c r="AE450" i="2"/>
  <c r="Y450" i="2"/>
  <c r="X450" i="2"/>
  <c r="AE449" i="2"/>
  <c r="Y449" i="2"/>
  <c r="X449" i="2"/>
  <c r="AE448" i="2"/>
  <c r="Y448" i="2"/>
  <c r="X448" i="2"/>
  <c r="AE447" i="2"/>
  <c r="Y447" i="2"/>
  <c r="X447" i="2"/>
  <c r="AE446" i="2"/>
  <c r="Y446" i="2"/>
  <c r="X446" i="2"/>
  <c r="AE445" i="2"/>
  <c r="Y445" i="2"/>
  <c r="X445" i="2"/>
  <c r="AE444" i="2"/>
  <c r="Y444" i="2"/>
  <c r="X444" i="2"/>
  <c r="AE443" i="2"/>
  <c r="Y443" i="2"/>
  <c r="X443" i="2"/>
  <c r="AE442" i="2"/>
  <c r="Y442" i="2"/>
  <c r="X442" i="2"/>
  <c r="AE441" i="2"/>
  <c r="Y441" i="2"/>
  <c r="X441" i="2"/>
  <c r="AE440" i="2"/>
  <c r="Y440" i="2"/>
  <c r="X440" i="2"/>
  <c r="AE439" i="2"/>
  <c r="Y439" i="2"/>
  <c r="X439" i="2"/>
  <c r="AE438" i="2"/>
  <c r="Y438" i="2"/>
  <c r="X438" i="2"/>
  <c r="AE437" i="2"/>
  <c r="Y437" i="2"/>
  <c r="X437" i="2"/>
  <c r="AE436" i="2"/>
  <c r="Y436" i="2"/>
  <c r="X436" i="2"/>
  <c r="Z436" i="2" s="1" a="1"/>
  <c r="Z436" i="2" s="1"/>
  <c r="AE435" i="2"/>
  <c r="Y435" i="2"/>
  <c r="X435" i="2"/>
  <c r="AE434" i="2"/>
  <c r="Y434" i="2"/>
  <c r="X434" i="2"/>
  <c r="AE433" i="2"/>
  <c r="Y433" i="2"/>
  <c r="X433" i="2"/>
  <c r="AE432" i="2"/>
  <c r="Y432" i="2"/>
  <c r="X432" i="2"/>
  <c r="AE431" i="2"/>
  <c r="Y431" i="2"/>
  <c r="X431" i="2"/>
  <c r="AE430" i="2"/>
  <c r="Y430" i="2"/>
  <c r="X430" i="2"/>
  <c r="AE429" i="2"/>
  <c r="Y429" i="2"/>
  <c r="X429" i="2"/>
  <c r="AE428" i="2"/>
  <c r="Y428" i="2"/>
  <c r="X428" i="2"/>
  <c r="AE427" i="2"/>
  <c r="Y427" i="2"/>
  <c r="X427" i="2"/>
  <c r="AE426" i="2"/>
  <c r="Y426" i="2"/>
  <c r="X426" i="2"/>
  <c r="AE425" i="2"/>
  <c r="Y425" i="2"/>
  <c r="X425" i="2"/>
  <c r="AE424" i="2"/>
  <c r="Y424" i="2"/>
  <c r="X424" i="2"/>
  <c r="AE423" i="2"/>
  <c r="Y423" i="2"/>
  <c r="X423" i="2"/>
  <c r="AE422" i="2"/>
  <c r="Y422" i="2"/>
  <c r="X422" i="2"/>
  <c r="AE421" i="2"/>
  <c r="Y421" i="2"/>
  <c r="X421" i="2"/>
  <c r="AE420" i="2"/>
  <c r="Y420" i="2"/>
  <c r="X420" i="2"/>
  <c r="AE419" i="2"/>
  <c r="Y419" i="2"/>
  <c r="X419" i="2"/>
  <c r="AE418" i="2"/>
  <c r="Y418" i="2"/>
  <c r="X418" i="2"/>
  <c r="AE417" i="2"/>
  <c r="Y417" i="2"/>
  <c r="X417" i="2"/>
  <c r="AE416" i="2"/>
  <c r="Y416" i="2"/>
  <c r="X416" i="2"/>
  <c r="AE415" i="2"/>
  <c r="Y415" i="2"/>
  <c r="X415" i="2"/>
  <c r="AE414" i="2"/>
  <c r="Y414" i="2"/>
  <c r="X414" i="2"/>
  <c r="AE413" i="2"/>
  <c r="Y413" i="2"/>
  <c r="X413" i="2"/>
  <c r="AE412" i="2"/>
  <c r="Y412" i="2"/>
  <c r="X412" i="2"/>
  <c r="AE411" i="2"/>
  <c r="Y411" i="2"/>
  <c r="X411" i="2"/>
  <c r="AE410" i="2"/>
  <c r="Y410" i="2"/>
  <c r="X410" i="2"/>
  <c r="AE409" i="2"/>
  <c r="Y409" i="2"/>
  <c r="X409" i="2"/>
  <c r="AE408" i="2"/>
  <c r="Y408" i="2"/>
  <c r="X408" i="2"/>
  <c r="AE407" i="2"/>
  <c r="Y407" i="2"/>
  <c r="X407" i="2"/>
  <c r="AE406" i="2"/>
  <c r="Y406" i="2"/>
  <c r="X406" i="2"/>
  <c r="AE405" i="2"/>
  <c r="Y405" i="2"/>
  <c r="X405" i="2"/>
  <c r="AE404" i="2"/>
  <c r="Y404" i="2"/>
  <c r="X404" i="2"/>
  <c r="AE403" i="2"/>
  <c r="Y403" i="2"/>
  <c r="X403" i="2"/>
  <c r="AE402" i="2"/>
  <c r="Y402" i="2"/>
  <c r="X402" i="2"/>
  <c r="AE401" i="2"/>
  <c r="Y401" i="2"/>
  <c r="X401" i="2"/>
  <c r="AE400" i="2"/>
  <c r="Y400" i="2"/>
  <c r="X400" i="2"/>
  <c r="AE399" i="2"/>
  <c r="Y399" i="2"/>
  <c r="X399" i="2"/>
  <c r="AE398" i="2"/>
  <c r="Y398" i="2"/>
  <c r="X398" i="2"/>
  <c r="AE397" i="2"/>
  <c r="Y397" i="2"/>
  <c r="X397" i="2"/>
  <c r="AE396" i="2"/>
  <c r="Y396" i="2"/>
  <c r="X396" i="2"/>
  <c r="AE395" i="2"/>
  <c r="Y395" i="2"/>
  <c r="X395" i="2"/>
  <c r="AE394" i="2"/>
  <c r="Y394" i="2"/>
  <c r="X394" i="2"/>
  <c r="AE393" i="2"/>
  <c r="Y393" i="2"/>
  <c r="X393" i="2"/>
  <c r="AE392" i="2"/>
  <c r="Y392" i="2"/>
  <c r="X392" i="2"/>
  <c r="AE391" i="2"/>
  <c r="Y391" i="2"/>
  <c r="X391" i="2"/>
  <c r="AE390" i="2"/>
  <c r="Y390" i="2"/>
  <c r="X390" i="2"/>
  <c r="AE389" i="2"/>
  <c r="Y389" i="2"/>
  <c r="X389" i="2"/>
  <c r="AE388" i="2"/>
  <c r="Y388" i="2"/>
  <c r="X388" i="2"/>
  <c r="AE387" i="2"/>
  <c r="Y387" i="2"/>
  <c r="X387" i="2"/>
  <c r="AE386" i="2"/>
  <c r="Y386" i="2"/>
  <c r="X386" i="2"/>
  <c r="AE385" i="2"/>
  <c r="Y385" i="2"/>
  <c r="X385" i="2"/>
  <c r="AE384" i="2"/>
  <c r="Y384" i="2"/>
  <c r="X384" i="2"/>
  <c r="AE383" i="2"/>
  <c r="Y383" i="2"/>
  <c r="X383" i="2"/>
  <c r="AE382" i="2"/>
  <c r="Y382" i="2"/>
  <c r="X382" i="2"/>
  <c r="AE381" i="2"/>
  <c r="Y381" i="2"/>
  <c r="X381" i="2"/>
  <c r="AE380" i="2"/>
  <c r="Y380" i="2"/>
  <c r="X380" i="2"/>
  <c r="AE379" i="2"/>
  <c r="Y379" i="2"/>
  <c r="X379" i="2"/>
  <c r="AE378" i="2"/>
  <c r="Y378" i="2"/>
  <c r="X378" i="2"/>
  <c r="AE377" i="2"/>
  <c r="Y377" i="2"/>
  <c r="X377" i="2"/>
  <c r="AE376" i="2"/>
  <c r="Y376" i="2"/>
  <c r="X376" i="2"/>
  <c r="AE375" i="2"/>
  <c r="Y375" i="2"/>
  <c r="X375" i="2"/>
  <c r="AE374" i="2"/>
  <c r="Y374" i="2"/>
  <c r="X374" i="2"/>
  <c r="AE373" i="2"/>
  <c r="Y373" i="2"/>
  <c r="X373" i="2"/>
  <c r="AE372" i="2"/>
  <c r="Y372" i="2"/>
  <c r="X372" i="2"/>
  <c r="AE371" i="2"/>
  <c r="Y371" i="2"/>
  <c r="X371" i="2"/>
  <c r="AE370" i="2"/>
  <c r="Y370" i="2"/>
  <c r="X370" i="2"/>
  <c r="AE369" i="2"/>
  <c r="Y369" i="2"/>
  <c r="X369" i="2"/>
  <c r="AE368" i="2"/>
  <c r="Y368" i="2"/>
  <c r="X368" i="2"/>
  <c r="AE367" i="2"/>
  <c r="Y367" i="2"/>
  <c r="X367" i="2"/>
  <c r="AE366" i="2"/>
  <c r="Y366" i="2"/>
  <c r="X366" i="2"/>
  <c r="AE365" i="2"/>
  <c r="Y365" i="2"/>
  <c r="X365" i="2"/>
  <c r="AE364" i="2"/>
  <c r="Y364" i="2"/>
  <c r="X364" i="2"/>
  <c r="AE363" i="2"/>
  <c r="Y363" i="2"/>
  <c r="X363" i="2"/>
  <c r="AE362" i="2"/>
  <c r="Y362" i="2"/>
  <c r="X362" i="2"/>
  <c r="AE361" i="2"/>
  <c r="Y361" i="2"/>
  <c r="X361" i="2"/>
  <c r="AE360" i="2"/>
  <c r="Y360" i="2"/>
  <c r="X360" i="2"/>
  <c r="AE359" i="2"/>
  <c r="Y359" i="2"/>
  <c r="X359" i="2"/>
  <c r="AE358" i="2"/>
  <c r="Y358" i="2"/>
  <c r="X358" i="2"/>
  <c r="AE357" i="2"/>
  <c r="Y357" i="2"/>
  <c r="X357" i="2"/>
  <c r="AE356" i="2"/>
  <c r="Y356" i="2"/>
  <c r="X356" i="2"/>
  <c r="AE355" i="2"/>
  <c r="Y355" i="2"/>
  <c r="X355" i="2"/>
  <c r="AE354" i="2"/>
  <c r="Y354" i="2"/>
  <c r="X354" i="2"/>
  <c r="AE353" i="2"/>
  <c r="Y353" i="2"/>
  <c r="X353" i="2"/>
  <c r="AE352" i="2"/>
  <c r="Y352" i="2"/>
  <c r="X352" i="2"/>
  <c r="AE351" i="2"/>
  <c r="Y351" i="2"/>
  <c r="X351" i="2"/>
  <c r="AE350" i="2"/>
  <c r="Y350" i="2"/>
  <c r="X350" i="2"/>
  <c r="AE349" i="2"/>
  <c r="Y349" i="2"/>
  <c r="X349" i="2"/>
  <c r="AE348" i="2"/>
  <c r="Y348" i="2"/>
  <c r="X348" i="2"/>
  <c r="AE347" i="2"/>
  <c r="Y347" i="2"/>
  <c r="X347" i="2"/>
  <c r="AE346" i="2"/>
  <c r="Y346" i="2"/>
  <c r="X346" i="2"/>
  <c r="AE345" i="2"/>
  <c r="Y345" i="2"/>
  <c r="X345" i="2"/>
  <c r="AE344" i="2"/>
  <c r="Y344" i="2"/>
  <c r="X344" i="2"/>
  <c r="AE343" i="2"/>
  <c r="Y343" i="2"/>
  <c r="X343" i="2"/>
  <c r="AE342" i="2"/>
  <c r="Y342" i="2"/>
  <c r="X342" i="2"/>
  <c r="AE341" i="2"/>
  <c r="Y341" i="2"/>
  <c r="X341" i="2"/>
  <c r="AE340" i="2"/>
  <c r="Y340" i="2"/>
  <c r="X340" i="2"/>
  <c r="AE339" i="2"/>
  <c r="Y339" i="2"/>
  <c r="X339" i="2"/>
  <c r="AE338" i="2"/>
  <c r="Y338" i="2"/>
  <c r="X338" i="2"/>
  <c r="AE337" i="2"/>
  <c r="Y337" i="2"/>
  <c r="X337" i="2"/>
  <c r="AE336" i="2"/>
  <c r="Y336" i="2"/>
  <c r="X336" i="2"/>
  <c r="AE335" i="2"/>
  <c r="Y335" i="2"/>
  <c r="X335" i="2"/>
  <c r="AE334" i="2"/>
  <c r="Y334" i="2"/>
  <c r="X334" i="2"/>
  <c r="AE333" i="2"/>
  <c r="Y333" i="2"/>
  <c r="X333" i="2"/>
  <c r="AE332" i="2"/>
  <c r="Y332" i="2"/>
  <c r="X332" i="2"/>
  <c r="AE331" i="2"/>
  <c r="Y331" i="2"/>
  <c r="X331" i="2"/>
  <c r="AE330" i="2"/>
  <c r="Y330" i="2"/>
  <c r="X330" i="2"/>
  <c r="AE329" i="2"/>
  <c r="Y329" i="2"/>
  <c r="X329" i="2"/>
  <c r="AE328" i="2"/>
  <c r="Y328" i="2"/>
  <c r="X328" i="2"/>
  <c r="AE327" i="2"/>
  <c r="Y327" i="2"/>
  <c r="X327" i="2"/>
  <c r="AE326" i="2"/>
  <c r="Y326" i="2"/>
  <c r="X326" i="2"/>
  <c r="AE325" i="2"/>
  <c r="Y325" i="2"/>
  <c r="X325" i="2"/>
  <c r="AE324" i="2"/>
  <c r="Y324" i="2"/>
  <c r="X324" i="2"/>
  <c r="AE323" i="2"/>
  <c r="Y323" i="2"/>
  <c r="X323" i="2"/>
  <c r="AE322" i="2"/>
  <c r="Y322" i="2"/>
  <c r="X322" i="2"/>
  <c r="AE321" i="2"/>
  <c r="Y321" i="2"/>
  <c r="X321" i="2"/>
  <c r="AE320" i="2"/>
  <c r="Y320" i="2"/>
  <c r="X320" i="2"/>
  <c r="AE319" i="2"/>
  <c r="Y319" i="2"/>
  <c r="X319" i="2"/>
  <c r="AE318" i="2"/>
  <c r="Y318" i="2"/>
  <c r="X318" i="2"/>
  <c r="AE317" i="2"/>
  <c r="Y317" i="2"/>
  <c r="X317" i="2"/>
  <c r="AE316" i="2"/>
  <c r="Y316" i="2"/>
  <c r="X316" i="2"/>
  <c r="AE315" i="2"/>
  <c r="Y315" i="2"/>
  <c r="X315" i="2"/>
  <c r="AE314" i="2"/>
  <c r="Y314" i="2"/>
  <c r="X314" i="2"/>
  <c r="AE313" i="2"/>
  <c r="Y313" i="2"/>
  <c r="X313" i="2"/>
  <c r="AE312" i="2"/>
  <c r="Y312" i="2"/>
  <c r="X312" i="2"/>
  <c r="AE311" i="2"/>
  <c r="Y311" i="2"/>
  <c r="X311" i="2"/>
  <c r="AE310" i="2"/>
  <c r="Y310" i="2"/>
  <c r="X310" i="2"/>
  <c r="AE309" i="2"/>
  <c r="Y309" i="2"/>
  <c r="X309" i="2"/>
  <c r="AE308" i="2"/>
  <c r="Y308" i="2"/>
  <c r="X308" i="2"/>
  <c r="AE307" i="2"/>
  <c r="Y307" i="2"/>
  <c r="X307" i="2"/>
  <c r="AE306" i="2"/>
  <c r="Y306" i="2"/>
  <c r="X306" i="2"/>
  <c r="AE305" i="2"/>
  <c r="Y305" i="2"/>
  <c r="X305" i="2"/>
  <c r="AE304" i="2"/>
  <c r="Y304" i="2"/>
  <c r="X304" i="2"/>
  <c r="AE303" i="2"/>
  <c r="Y303" i="2"/>
  <c r="X303" i="2"/>
  <c r="AE302" i="2"/>
  <c r="Y302" i="2"/>
  <c r="X302" i="2"/>
  <c r="AE301" i="2"/>
  <c r="Y301" i="2"/>
  <c r="X301" i="2"/>
  <c r="AE300" i="2"/>
  <c r="Y300" i="2"/>
  <c r="X300" i="2"/>
  <c r="AE299" i="2"/>
  <c r="Y299" i="2"/>
  <c r="X299" i="2"/>
  <c r="AE298" i="2"/>
  <c r="Y298" i="2"/>
  <c r="X298" i="2"/>
  <c r="AE297" i="2"/>
  <c r="Y297" i="2"/>
  <c r="X297" i="2"/>
  <c r="AE296" i="2"/>
  <c r="Y296" i="2"/>
  <c r="X296" i="2"/>
  <c r="AE295" i="2"/>
  <c r="Y295" i="2"/>
  <c r="X295" i="2"/>
  <c r="AE294" i="2"/>
  <c r="Y294" i="2"/>
  <c r="X294" i="2"/>
  <c r="AE293" i="2"/>
  <c r="Y293" i="2"/>
  <c r="X293" i="2"/>
  <c r="AE292" i="2"/>
  <c r="Y292" i="2"/>
  <c r="X292" i="2"/>
  <c r="AE291" i="2"/>
  <c r="Y291" i="2"/>
  <c r="X291" i="2"/>
  <c r="AE290" i="2"/>
  <c r="Y290" i="2"/>
  <c r="X290" i="2"/>
  <c r="AE289" i="2"/>
  <c r="Y289" i="2"/>
  <c r="X289" i="2"/>
  <c r="AE288" i="2"/>
  <c r="Y288" i="2"/>
  <c r="X288" i="2"/>
  <c r="AE287" i="2"/>
  <c r="Y287" i="2"/>
  <c r="X287" i="2"/>
  <c r="AE286" i="2"/>
  <c r="Y286" i="2"/>
  <c r="X286" i="2"/>
  <c r="AE285" i="2"/>
  <c r="Y285" i="2"/>
  <c r="X285" i="2"/>
  <c r="AE284" i="2"/>
  <c r="Y284" i="2"/>
  <c r="X284" i="2"/>
  <c r="AE283" i="2"/>
  <c r="Y283" i="2"/>
  <c r="X283" i="2"/>
  <c r="AE282" i="2"/>
  <c r="Y282" i="2"/>
  <c r="X282" i="2"/>
  <c r="AE281" i="2"/>
  <c r="Y281" i="2"/>
  <c r="X281" i="2"/>
  <c r="AE280" i="2"/>
  <c r="Y280" i="2"/>
  <c r="X280" i="2"/>
  <c r="AE279" i="2"/>
  <c r="Y279" i="2"/>
  <c r="X279" i="2"/>
  <c r="AE278" i="2"/>
  <c r="Y278" i="2"/>
  <c r="X278" i="2"/>
  <c r="AE277" i="2"/>
  <c r="Y277" i="2"/>
  <c r="X277" i="2"/>
  <c r="AE276" i="2"/>
  <c r="Y276" i="2"/>
  <c r="X276" i="2"/>
  <c r="AE275" i="2"/>
  <c r="Y275" i="2"/>
  <c r="X275" i="2"/>
  <c r="AE274" i="2"/>
  <c r="Y274" i="2"/>
  <c r="X274" i="2"/>
  <c r="AE273" i="2"/>
  <c r="Y273" i="2"/>
  <c r="X273" i="2"/>
  <c r="AE272" i="2"/>
  <c r="Y272" i="2"/>
  <c r="X272" i="2"/>
  <c r="AE271" i="2"/>
  <c r="Y271" i="2"/>
  <c r="X271" i="2"/>
  <c r="AE270" i="2"/>
  <c r="Y270" i="2"/>
  <c r="X270" i="2"/>
  <c r="AE269" i="2"/>
  <c r="Y269" i="2"/>
  <c r="X269" i="2"/>
  <c r="AE268" i="2"/>
  <c r="Y268" i="2"/>
  <c r="X268" i="2"/>
  <c r="AE267" i="2"/>
  <c r="Y267" i="2"/>
  <c r="X267" i="2"/>
  <c r="AE266" i="2"/>
  <c r="Y266" i="2"/>
  <c r="X266" i="2"/>
  <c r="AE265" i="2"/>
  <c r="Y265" i="2"/>
  <c r="X265" i="2"/>
  <c r="AE264" i="2"/>
  <c r="Y264" i="2"/>
  <c r="X264" i="2"/>
  <c r="AE263" i="2"/>
  <c r="Y263" i="2"/>
  <c r="X263" i="2"/>
  <c r="AE262" i="2"/>
  <c r="Y262" i="2"/>
  <c r="X262" i="2"/>
  <c r="AE261" i="2"/>
  <c r="Y261" i="2"/>
  <c r="X261" i="2"/>
  <c r="AE260" i="2"/>
  <c r="Y260" i="2"/>
  <c r="X260" i="2"/>
  <c r="AE259" i="2"/>
  <c r="Y259" i="2"/>
  <c r="X259" i="2"/>
  <c r="AE258" i="2"/>
  <c r="Y258" i="2"/>
  <c r="X258" i="2"/>
  <c r="AE257" i="2"/>
  <c r="Y257" i="2"/>
  <c r="X257" i="2"/>
  <c r="AE256" i="2"/>
  <c r="Y256" i="2"/>
  <c r="X256" i="2"/>
  <c r="AE255" i="2"/>
  <c r="Y255" i="2"/>
  <c r="X255" i="2"/>
  <c r="Z255" i="2" s="1" a="1"/>
  <c r="Z255" i="2" s="1"/>
  <c r="AE254" i="2"/>
  <c r="Y254" i="2"/>
  <c r="X254" i="2"/>
  <c r="AE253" i="2"/>
  <c r="Y253" i="2"/>
  <c r="X253" i="2"/>
  <c r="AE252" i="2"/>
  <c r="Y252" i="2"/>
  <c r="X252" i="2"/>
  <c r="AE251" i="2"/>
  <c r="Y251" i="2"/>
  <c r="X251" i="2"/>
  <c r="AE250" i="2"/>
  <c r="Y250" i="2"/>
  <c r="X250" i="2"/>
  <c r="AE249" i="2"/>
  <c r="Y249" i="2"/>
  <c r="X249" i="2"/>
  <c r="Z249" i="2" s="1" a="1"/>
  <c r="Z249" i="2" s="1"/>
  <c r="AE248" i="2"/>
  <c r="Y248" i="2"/>
  <c r="X248" i="2"/>
  <c r="AE247" i="2"/>
  <c r="Y247" i="2"/>
  <c r="X247" i="2"/>
  <c r="AE246" i="2"/>
  <c r="Y246" i="2"/>
  <c r="X246" i="2"/>
  <c r="AE245" i="2"/>
  <c r="Y245" i="2"/>
  <c r="X245" i="2"/>
  <c r="AE244" i="2"/>
  <c r="Y244" i="2"/>
  <c r="X244" i="2"/>
  <c r="AE243" i="2"/>
  <c r="Y243" i="2"/>
  <c r="X243" i="2"/>
  <c r="AE242" i="2"/>
  <c r="Y242" i="2"/>
  <c r="X242" i="2"/>
  <c r="AE241" i="2"/>
  <c r="Y241" i="2"/>
  <c r="X241" i="2"/>
  <c r="AE240" i="2"/>
  <c r="Y240" i="2"/>
  <c r="X240" i="2"/>
  <c r="AE239" i="2"/>
  <c r="Y239" i="2"/>
  <c r="X239" i="2"/>
  <c r="AE238" i="2"/>
  <c r="Y238" i="2"/>
  <c r="X238" i="2"/>
  <c r="AE237" i="2"/>
  <c r="Y237" i="2"/>
  <c r="X237" i="2"/>
  <c r="Z237" i="2" s="1" a="1"/>
  <c r="Z237" i="2" s="1"/>
  <c r="AE236" i="2"/>
  <c r="Y236" i="2"/>
  <c r="X236" i="2"/>
  <c r="AE235" i="2"/>
  <c r="Y235" i="2"/>
  <c r="X235" i="2"/>
  <c r="AE234" i="2"/>
  <c r="Y234" i="2"/>
  <c r="X234" i="2"/>
  <c r="AE233" i="2"/>
  <c r="Y233" i="2"/>
  <c r="X233" i="2"/>
  <c r="AE232" i="2"/>
  <c r="Y232" i="2"/>
  <c r="X232" i="2"/>
  <c r="Z232" i="2" s="1" a="1"/>
  <c r="Z232" i="2" s="1"/>
  <c r="AE231" i="2"/>
  <c r="Y231" i="2"/>
  <c r="X231" i="2"/>
  <c r="AE230" i="2"/>
  <c r="Y230" i="2"/>
  <c r="X230" i="2"/>
  <c r="AE229" i="2"/>
  <c r="Y229" i="2"/>
  <c r="X229" i="2"/>
  <c r="AE228" i="2"/>
  <c r="Y228" i="2"/>
  <c r="X228" i="2"/>
  <c r="AE227" i="2"/>
  <c r="Y227" i="2"/>
  <c r="X227" i="2"/>
  <c r="AE226" i="2"/>
  <c r="Y226" i="2"/>
  <c r="X226" i="2"/>
  <c r="AE225" i="2"/>
  <c r="Y225" i="2"/>
  <c r="X225" i="2"/>
  <c r="AE224" i="2"/>
  <c r="Y224" i="2"/>
  <c r="X224" i="2"/>
  <c r="AE223" i="2"/>
  <c r="Y223" i="2"/>
  <c r="X223" i="2"/>
  <c r="AE222" i="2"/>
  <c r="Y222" i="2"/>
  <c r="X222" i="2"/>
  <c r="AE221" i="2"/>
  <c r="Y221" i="2"/>
  <c r="X221" i="2"/>
  <c r="AE220" i="2"/>
  <c r="Y220" i="2"/>
  <c r="X220" i="2"/>
  <c r="AE219" i="2"/>
  <c r="Y219" i="2"/>
  <c r="X219" i="2"/>
  <c r="AE218" i="2"/>
  <c r="Y218" i="2"/>
  <c r="X218" i="2"/>
  <c r="AE217" i="2"/>
  <c r="Y217" i="2"/>
  <c r="X217" i="2"/>
  <c r="AE216" i="2"/>
  <c r="Y216" i="2"/>
  <c r="X216" i="2"/>
  <c r="AE215" i="2"/>
  <c r="Y215" i="2"/>
  <c r="X215" i="2"/>
  <c r="AE214" i="2"/>
  <c r="Y214" i="2"/>
  <c r="X214" i="2"/>
  <c r="AE213" i="2"/>
  <c r="Y213" i="2"/>
  <c r="X213" i="2"/>
  <c r="AE212" i="2"/>
  <c r="Y212" i="2"/>
  <c r="X212" i="2"/>
  <c r="AE211" i="2"/>
  <c r="Y211" i="2"/>
  <c r="X211" i="2"/>
  <c r="AE210" i="2"/>
  <c r="Y210" i="2"/>
  <c r="X210" i="2"/>
  <c r="AE209" i="2"/>
  <c r="Y209" i="2"/>
  <c r="X209" i="2"/>
  <c r="AE208" i="2"/>
  <c r="Y208" i="2"/>
  <c r="X208" i="2"/>
  <c r="AE207" i="2"/>
  <c r="Y207" i="2"/>
  <c r="X207" i="2"/>
  <c r="Z207" i="2" s="1" a="1"/>
  <c r="Z207" i="2" s="1"/>
  <c r="AE206" i="2"/>
  <c r="Y206" i="2"/>
  <c r="X206" i="2"/>
  <c r="AE205" i="2"/>
  <c r="Y205" i="2"/>
  <c r="X205" i="2"/>
  <c r="AE204" i="2"/>
  <c r="Y204" i="2"/>
  <c r="X204" i="2"/>
  <c r="AE203" i="2"/>
  <c r="Y203" i="2"/>
  <c r="X203" i="2"/>
  <c r="AE202" i="2"/>
  <c r="Y202" i="2"/>
  <c r="X202" i="2"/>
  <c r="AE201" i="2"/>
  <c r="Y201" i="2"/>
  <c r="X201" i="2"/>
  <c r="AE200" i="2"/>
  <c r="Y200" i="2"/>
  <c r="X200" i="2"/>
  <c r="AE199" i="2"/>
  <c r="Y199" i="2"/>
  <c r="X199" i="2"/>
  <c r="AE198" i="2"/>
  <c r="Y198" i="2"/>
  <c r="X198" i="2"/>
  <c r="AE197" i="2"/>
  <c r="Y197" i="2"/>
  <c r="X197" i="2"/>
  <c r="Z197" i="2" s="1" a="1"/>
  <c r="Z197" i="2" s="1"/>
  <c r="AE196" i="2"/>
  <c r="Y196" i="2"/>
  <c r="X196" i="2"/>
  <c r="AE195" i="2"/>
  <c r="Y195" i="2"/>
  <c r="X195" i="2"/>
  <c r="AE194" i="2"/>
  <c r="Y194" i="2"/>
  <c r="X194" i="2"/>
  <c r="Z194" i="2" s="1" a="1"/>
  <c r="Z194" i="2" s="1"/>
  <c r="AE193" i="2"/>
  <c r="Y193" i="2"/>
  <c r="X193" i="2"/>
  <c r="AE192" i="2"/>
  <c r="Y192" i="2"/>
  <c r="X192" i="2"/>
  <c r="AE191" i="2"/>
  <c r="Y191" i="2"/>
  <c r="X191" i="2"/>
  <c r="AE190" i="2"/>
  <c r="Y190" i="2"/>
  <c r="X190" i="2"/>
  <c r="AE189" i="2"/>
  <c r="Y189" i="2"/>
  <c r="X189" i="2"/>
  <c r="AE188" i="2"/>
  <c r="Y188" i="2"/>
  <c r="X188" i="2"/>
  <c r="AE187" i="2"/>
  <c r="Y187" i="2"/>
  <c r="X187" i="2"/>
  <c r="AE186" i="2"/>
  <c r="Y186" i="2"/>
  <c r="X186" i="2"/>
  <c r="AE185" i="2"/>
  <c r="Y185" i="2"/>
  <c r="X185" i="2"/>
  <c r="AE184" i="2"/>
  <c r="Y184" i="2"/>
  <c r="X184" i="2"/>
  <c r="Z184" i="2" s="1" a="1"/>
  <c r="Z184" i="2" s="1"/>
  <c r="AE183" i="2"/>
  <c r="Y183" i="2"/>
  <c r="X183" i="2"/>
  <c r="AE182" i="2"/>
  <c r="Y182" i="2"/>
  <c r="X182" i="2"/>
  <c r="AE181" i="2"/>
  <c r="Y181" i="2"/>
  <c r="X181" i="2"/>
  <c r="AE180" i="2"/>
  <c r="Y180" i="2"/>
  <c r="X180" i="2"/>
  <c r="AE179" i="2"/>
  <c r="Y179" i="2"/>
  <c r="X179" i="2"/>
  <c r="AE178" i="2"/>
  <c r="Y178" i="2"/>
  <c r="X178" i="2"/>
  <c r="Z178" i="2" s="1" a="1"/>
  <c r="Z178" i="2" s="1"/>
  <c r="AE177" i="2"/>
  <c r="Y177" i="2"/>
  <c r="X177" i="2"/>
  <c r="Z177" i="2" s="1" a="1"/>
  <c r="Z177" i="2" s="1"/>
  <c r="AE176" i="2"/>
  <c r="Y176" i="2"/>
  <c r="X176" i="2"/>
  <c r="AE175" i="2"/>
  <c r="Y175" i="2"/>
  <c r="X175" i="2"/>
  <c r="AE174" i="2"/>
  <c r="Y174" i="2"/>
  <c r="X174" i="2"/>
  <c r="AE173" i="2"/>
  <c r="Y173" i="2"/>
  <c r="X173" i="2"/>
  <c r="AE172" i="2"/>
  <c r="Y172" i="2"/>
  <c r="X172" i="2"/>
  <c r="AE171" i="2"/>
  <c r="Y171" i="2"/>
  <c r="X171" i="2"/>
  <c r="AE170" i="2"/>
  <c r="Y170" i="2"/>
  <c r="X170" i="2"/>
  <c r="Z170" i="2" s="1" a="1"/>
  <c r="Z170" i="2" s="1"/>
  <c r="AE169" i="2"/>
  <c r="Y169" i="2"/>
  <c r="X169" i="2"/>
  <c r="AE168" i="2"/>
  <c r="Y168" i="2"/>
  <c r="X168" i="2"/>
  <c r="Z168" i="2" s="1" a="1"/>
  <c r="Z168" i="2" s="1"/>
  <c r="AE167" i="2"/>
  <c r="Y167" i="2"/>
  <c r="X167" i="2"/>
  <c r="AE166" i="2"/>
  <c r="Y166" i="2"/>
  <c r="X166" i="2"/>
  <c r="AE165" i="2"/>
  <c r="Y165" i="2"/>
  <c r="X165" i="2"/>
  <c r="AE164" i="2"/>
  <c r="Y164" i="2"/>
  <c r="X164" i="2"/>
  <c r="AE163" i="2"/>
  <c r="Y163" i="2"/>
  <c r="X163" i="2"/>
  <c r="Z163" i="2" s="1" a="1"/>
  <c r="Z163" i="2" s="1"/>
  <c r="AE162" i="2"/>
  <c r="Y162" i="2"/>
  <c r="X162" i="2"/>
  <c r="AE161" i="2"/>
  <c r="Y161" i="2"/>
  <c r="X161" i="2"/>
  <c r="AE160" i="2"/>
  <c r="Y160" i="2"/>
  <c r="X160" i="2"/>
  <c r="Z160" i="2" s="1" a="1"/>
  <c r="Z160" i="2" s="1"/>
  <c r="AE159" i="2"/>
  <c r="Y159" i="2"/>
  <c r="X159" i="2"/>
  <c r="AE158" i="2"/>
  <c r="Y158" i="2"/>
  <c r="X158" i="2"/>
  <c r="AE157" i="2"/>
  <c r="Y157" i="2"/>
  <c r="X157" i="2"/>
  <c r="Z157" i="2" s="1" a="1"/>
  <c r="Z157" i="2" s="1"/>
  <c r="AE156" i="2"/>
  <c r="Y156" i="2"/>
  <c r="X156" i="2"/>
  <c r="AE155" i="2"/>
  <c r="Y155" i="2"/>
  <c r="X155" i="2"/>
  <c r="AE154" i="2"/>
  <c r="Y154" i="2"/>
  <c r="X154" i="2"/>
  <c r="AE153" i="2"/>
  <c r="Y153" i="2"/>
  <c r="X153" i="2"/>
  <c r="AE152" i="2"/>
  <c r="Y152" i="2"/>
  <c r="X152" i="2"/>
  <c r="AE151" i="2"/>
  <c r="Y151" i="2"/>
  <c r="X151" i="2"/>
  <c r="Z151" i="2" s="1" a="1"/>
  <c r="Z151" i="2" s="1"/>
  <c r="AE150" i="2"/>
  <c r="Y150" i="2"/>
  <c r="X150" i="2"/>
  <c r="AE149" i="2"/>
  <c r="Y149" i="2"/>
  <c r="X149" i="2"/>
  <c r="AE148" i="2"/>
  <c r="Y148" i="2"/>
  <c r="X148" i="2"/>
  <c r="AE147" i="2"/>
  <c r="Y147" i="2"/>
  <c r="X147" i="2"/>
  <c r="AE146" i="2"/>
  <c r="Y146" i="2"/>
  <c r="X146" i="2"/>
  <c r="AE145" i="2"/>
  <c r="Y145" i="2"/>
  <c r="X145" i="2"/>
  <c r="AE144" i="2"/>
  <c r="Y144" i="2"/>
  <c r="X144" i="2"/>
  <c r="AE143" i="2"/>
  <c r="Y143" i="2"/>
  <c r="X143" i="2"/>
  <c r="AE142" i="2"/>
  <c r="Y142" i="2"/>
  <c r="X142" i="2"/>
  <c r="AE141" i="2"/>
  <c r="Y141" i="2"/>
  <c r="X141" i="2"/>
  <c r="AE140" i="2"/>
  <c r="Y140" i="2"/>
  <c r="X140" i="2"/>
  <c r="AE139" i="2"/>
  <c r="Y139" i="2"/>
  <c r="X139" i="2"/>
  <c r="AE138" i="2"/>
  <c r="Y138" i="2"/>
  <c r="X138" i="2"/>
  <c r="AE137" i="2"/>
  <c r="Y137" i="2"/>
  <c r="X137" i="2"/>
  <c r="AE136" i="2"/>
  <c r="Y136" i="2"/>
  <c r="X136" i="2"/>
  <c r="AE135" i="2"/>
  <c r="Y135" i="2"/>
  <c r="X135" i="2"/>
  <c r="AE134" i="2"/>
  <c r="Y134" i="2"/>
  <c r="X134" i="2"/>
  <c r="AE133" i="2"/>
  <c r="Y133" i="2"/>
  <c r="X133" i="2"/>
  <c r="AE132" i="2"/>
  <c r="Y132" i="2"/>
  <c r="X132" i="2"/>
  <c r="AE131" i="2"/>
  <c r="Y131" i="2"/>
  <c r="X131" i="2"/>
  <c r="AE130" i="2"/>
  <c r="Y130" i="2"/>
  <c r="X130" i="2"/>
  <c r="AE129" i="2"/>
  <c r="Y129" i="2"/>
  <c r="X129" i="2"/>
  <c r="AE128" i="2"/>
  <c r="Y128" i="2"/>
  <c r="X128" i="2"/>
  <c r="AE127" i="2"/>
  <c r="Y127" i="2"/>
  <c r="X127" i="2"/>
  <c r="AE126" i="2"/>
  <c r="Y126" i="2"/>
  <c r="X126" i="2"/>
  <c r="AE125" i="2"/>
  <c r="Y125" i="2"/>
  <c r="X125" i="2"/>
  <c r="AE124" i="2"/>
  <c r="Y124" i="2"/>
  <c r="X124" i="2"/>
  <c r="AE123" i="2"/>
  <c r="Y123" i="2"/>
  <c r="X123" i="2"/>
  <c r="AE122" i="2"/>
  <c r="Y122" i="2"/>
  <c r="X122" i="2"/>
  <c r="Z122" i="2" s="1" a="1"/>
  <c r="Z122" i="2" s="1"/>
  <c r="AE121" i="2"/>
  <c r="Y121" i="2"/>
  <c r="X121" i="2"/>
  <c r="AE120" i="2"/>
  <c r="Y120" i="2"/>
  <c r="X120" i="2"/>
  <c r="AE119" i="2"/>
  <c r="Y119" i="2"/>
  <c r="X119" i="2"/>
  <c r="AE118" i="2"/>
  <c r="Y118" i="2"/>
  <c r="X118" i="2"/>
  <c r="AE117" i="2"/>
  <c r="Y117" i="2"/>
  <c r="X117" i="2"/>
  <c r="AE116" i="2"/>
  <c r="Y116" i="2"/>
  <c r="X116" i="2"/>
  <c r="AE115" i="2"/>
  <c r="Y115" i="2"/>
  <c r="X115" i="2"/>
  <c r="Z115" i="2" s="1" a="1"/>
  <c r="Z115" i="2" s="1"/>
  <c r="AE114" i="2"/>
  <c r="Y114" i="2"/>
  <c r="X114" i="2"/>
  <c r="AE113" i="2"/>
  <c r="Y113" i="2"/>
  <c r="X113" i="2"/>
  <c r="AE112" i="2"/>
  <c r="Y112" i="2"/>
  <c r="X112" i="2"/>
  <c r="AE111" i="2"/>
  <c r="Y111" i="2"/>
  <c r="X111" i="2"/>
  <c r="Z111" i="2" s="1" a="1"/>
  <c r="Z111" i="2" s="1"/>
  <c r="AE110" i="2"/>
  <c r="Y110" i="2"/>
  <c r="X110" i="2"/>
  <c r="AE109" i="2"/>
  <c r="Y109" i="2"/>
  <c r="X109" i="2"/>
  <c r="AE108" i="2"/>
  <c r="Y108" i="2"/>
  <c r="X108" i="2"/>
  <c r="AE107" i="2"/>
  <c r="Y107" i="2"/>
  <c r="X107" i="2"/>
  <c r="AE106" i="2"/>
  <c r="Y106" i="2"/>
  <c r="X106" i="2"/>
  <c r="AE105" i="2"/>
  <c r="Y105" i="2"/>
  <c r="X105" i="2"/>
  <c r="AE104" i="2"/>
  <c r="Y104" i="2"/>
  <c r="X104" i="2"/>
  <c r="AE103" i="2"/>
  <c r="Y103" i="2"/>
  <c r="X103" i="2"/>
  <c r="AE102" i="2"/>
  <c r="Y102" i="2"/>
  <c r="X102" i="2"/>
  <c r="AE101" i="2"/>
  <c r="Y101" i="2"/>
  <c r="X101" i="2"/>
  <c r="AE100" i="2"/>
  <c r="Y100" i="2"/>
  <c r="X100" i="2"/>
  <c r="Z100" i="2" s="1" a="1"/>
  <c r="Z100" i="2" s="1"/>
  <c r="AE99" i="2"/>
  <c r="Y99" i="2"/>
  <c r="X99" i="2"/>
  <c r="AE98" i="2"/>
  <c r="Y98" i="2"/>
  <c r="X98" i="2"/>
  <c r="AE97" i="2"/>
  <c r="Y97" i="2"/>
  <c r="X97" i="2"/>
  <c r="Z97" i="2" s="1" a="1"/>
  <c r="Z97" i="2" s="1"/>
  <c r="AE96" i="2"/>
  <c r="Y96" i="2"/>
  <c r="X96" i="2"/>
  <c r="AE95" i="2"/>
  <c r="Y95" i="2"/>
  <c r="X95" i="2"/>
  <c r="AE94" i="2"/>
  <c r="Y94" i="2"/>
  <c r="X94" i="2"/>
  <c r="Z94" i="2" s="1" a="1"/>
  <c r="Z94" i="2" s="1"/>
  <c r="AE93" i="2"/>
  <c r="Y93" i="2"/>
  <c r="X93" i="2"/>
  <c r="AE92" i="2"/>
  <c r="Y92" i="2"/>
  <c r="X92" i="2"/>
  <c r="AE91" i="2"/>
  <c r="Y91" i="2"/>
  <c r="X91" i="2"/>
  <c r="AE90" i="2"/>
  <c r="Y90" i="2"/>
  <c r="X90" i="2"/>
  <c r="Z90" i="2" s="1" a="1"/>
  <c r="Z90" i="2" s="1"/>
  <c r="AE89" i="2"/>
  <c r="Y89" i="2"/>
  <c r="X89" i="2"/>
  <c r="Z89" i="2" s="1" a="1"/>
  <c r="Z89" i="2" s="1"/>
  <c r="AE88" i="2"/>
  <c r="Y88" i="2"/>
  <c r="X88" i="2"/>
  <c r="AE87" i="2"/>
  <c r="Y87" i="2"/>
  <c r="X87" i="2"/>
  <c r="AE86" i="2"/>
  <c r="Y86" i="2"/>
  <c r="X86" i="2"/>
  <c r="AE85" i="2"/>
  <c r="Y85" i="2"/>
  <c r="X85" i="2"/>
  <c r="AE84" i="2"/>
  <c r="Y84" i="2"/>
  <c r="X84" i="2"/>
  <c r="AE83" i="2"/>
  <c r="Y83" i="2"/>
  <c r="X83" i="2"/>
  <c r="AE82" i="2"/>
  <c r="Y82" i="2"/>
  <c r="X82" i="2"/>
  <c r="AE81" i="2"/>
  <c r="Y81" i="2"/>
  <c r="X81" i="2"/>
  <c r="AE80" i="2"/>
  <c r="Y80" i="2"/>
  <c r="X80" i="2"/>
  <c r="AE79" i="2"/>
  <c r="Y79" i="2"/>
  <c r="X79" i="2"/>
  <c r="AE78" i="2"/>
  <c r="Y78" i="2"/>
  <c r="X78" i="2"/>
  <c r="AE77" i="2"/>
  <c r="Y77" i="2"/>
  <c r="X77" i="2"/>
  <c r="AE76" i="2"/>
  <c r="Y76" i="2"/>
  <c r="X76" i="2"/>
  <c r="Z76" i="2" s="1" a="1"/>
  <c r="Z76" i="2" s="1"/>
  <c r="AE75" i="2"/>
  <c r="Y75" i="2"/>
  <c r="X75" i="2"/>
  <c r="AE74" i="2"/>
  <c r="Y74" i="2"/>
  <c r="X74" i="2"/>
  <c r="AE73" i="2"/>
  <c r="Y73" i="2"/>
  <c r="X73" i="2"/>
  <c r="AE72" i="2"/>
  <c r="Y72" i="2"/>
  <c r="X72" i="2"/>
  <c r="AE71" i="2"/>
  <c r="Y71" i="2"/>
  <c r="X71" i="2"/>
  <c r="AE70" i="2"/>
  <c r="Y70" i="2"/>
  <c r="X70" i="2"/>
  <c r="AE69" i="2"/>
  <c r="Y69" i="2"/>
  <c r="X69" i="2"/>
  <c r="AE68" i="2"/>
  <c r="Y68" i="2"/>
  <c r="X68" i="2"/>
  <c r="AE67" i="2"/>
  <c r="Y67" i="2"/>
  <c r="X67" i="2"/>
  <c r="AE66" i="2"/>
  <c r="Y66" i="2"/>
  <c r="X66" i="2"/>
  <c r="AE65" i="2"/>
  <c r="Y65" i="2"/>
  <c r="X65" i="2"/>
  <c r="AE64" i="2"/>
  <c r="Y64" i="2"/>
  <c r="X64" i="2"/>
  <c r="AE63" i="2"/>
  <c r="Y63" i="2"/>
  <c r="X63" i="2"/>
  <c r="AE62" i="2"/>
  <c r="Y62" i="2"/>
  <c r="X62" i="2"/>
  <c r="AE61" i="2"/>
  <c r="Y61" i="2"/>
  <c r="X61" i="2"/>
  <c r="AE60" i="2"/>
  <c r="Y60" i="2"/>
  <c r="X60" i="2"/>
  <c r="AE59" i="2"/>
  <c r="Y59" i="2"/>
  <c r="X59" i="2"/>
  <c r="AE58" i="2"/>
  <c r="Y58" i="2"/>
  <c r="X58" i="2"/>
  <c r="Z58" i="2" s="1" a="1"/>
  <c r="Z58" i="2" s="1"/>
  <c r="AE57" i="2"/>
  <c r="Y57" i="2"/>
  <c r="X57" i="2"/>
  <c r="AE56" i="2"/>
  <c r="Y56" i="2"/>
  <c r="X56" i="2"/>
  <c r="AE55" i="2"/>
  <c r="Y55" i="2"/>
  <c r="X55" i="2"/>
  <c r="AE54" i="2"/>
  <c r="Y54" i="2"/>
  <c r="X54" i="2"/>
  <c r="AE53" i="2"/>
  <c r="Y53" i="2"/>
  <c r="X53" i="2"/>
  <c r="AE52" i="2"/>
  <c r="Y52" i="2"/>
  <c r="X52" i="2"/>
  <c r="AE51" i="2"/>
  <c r="Y51" i="2"/>
  <c r="X51" i="2"/>
  <c r="AE50" i="2"/>
  <c r="Y50" i="2"/>
  <c r="X50" i="2"/>
  <c r="AE49" i="2"/>
  <c r="Y49" i="2"/>
  <c r="X49" i="2"/>
  <c r="AE48" i="2"/>
  <c r="Y48" i="2"/>
  <c r="X48" i="2"/>
  <c r="AE47" i="2"/>
  <c r="Y47" i="2"/>
  <c r="X47" i="2"/>
  <c r="AE46" i="2"/>
  <c r="Y46" i="2"/>
  <c r="X46" i="2"/>
  <c r="AE45" i="2"/>
  <c r="Y45" i="2"/>
  <c r="X45" i="2"/>
  <c r="AE44" i="2"/>
  <c r="Y44" i="2"/>
  <c r="X44" i="2"/>
  <c r="AE43" i="2"/>
  <c r="Y43" i="2"/>
  <c r="X43" i="2"/>
  <c r="Z43" i="2" s="1" a="1"/>
  <c r="Z43" i="2" s="1"/>
  <c r="AE42" i="2"/>
  <c r="Y42" i="2"/>
  <c r="X42" i="2"/>
  <c r="AE41" i="2"/>
  <c r="Y41" i="2"/>
  <c r="X41" i="2"/>
  <c r="AE40" i="2"/>
  <c r="Y40" i="2"/>
  <c r="X40" i="2"/>
  <c r="Z40" i="2" s="1" a="1"/>
  <c r="Z40" i="2" s="1"/>
  <c r="AE39" i="2"/>
  <c r="Y39" i="2"/>
  <c r="X39" i="2"/>
  <c r="AE38" i="2"/>
  <c r="Y38" i="2"/>
  <c r="X38" i="2"/>
  <c r="AE37" i="2"/>
  <c r="Y37" i="2"/>
  <c r="X37" i="2"/>
  <c r="Z37" i="2" s="1" a="1"/>
  <c r="Z37" i="2" s="1"/>
  <c r="AE36" i="2"/>
  <c r="Y36" i="2"/>
  <c r="X36" i="2"/>
  <c r="Z36" i="2" s="1" a="1"/>
  <c r="Z36" i="2" s="1"/>
  <c r="AE35" i="2"/>
  <c r="Y35" i="2"/>
  <c r="X35" i="2"/>
  <c r="AE34" i="2"/>
  <c r="Y34" i="2"/>
  <c r="X34" i="2"/>
  <c r="AE33" i="2"/>
  <c r="Y33" i="2"/>
  <c r="X33" i="2"/>
  <c r="AE32" i="2"/>
  <c r="Y32" i="2"/>
  <c r="X32" i="2"/>
  <c r="AE31" i="2"/>
  <c r="Y31" i="2"/>
  <c r="X31" i="2"/>
  <c r="AE30" i="2"/>
  <c r="Y30" i="2"/>
  <c r="X30" i="2"/>
  <c r="AE29" i="2"/>
  <c r="Y29" i="2"/>
  <c r="X29" i="2"/>
  <c r="AE28" i="2"/>
  <c r="Y28" i="2"/>
  <c r="X28" i="2"/>
  <c r="AE27" i="2"/>
  <c r="Y27" i="2"/>
  <c r="X27" i="2"/>
  <c r="AE26" i="2"/>
  <c r="Y26" i="2"/>
  <c r="X26" i="2"/>
  <c r="Z26" i="2" s="1" a="1"/>
  <c r="Z26" i="2" s="1"/>
  <c r="AE25" i="2"/>
  <c r="Y25" i="2"/>
  <c r="X25" i="2"/>
  <c r="Z25" i="2" s="1" a="1"/>
  <c r="Z25" i="2" s="1"/>
  <c r="AE24" i="2"/>
  <c r="Y24" i="2"/>
  <c r="X24" i="2"/>
  <c r="Z24" i="2" s="1" a="1"/>
  <c r="Z24" i="2" s="1"/>
  <c r="AE23" i="2"/>
  <c r="Y23" i="2"/>
  <c r="X23" i="2"/>
  <c r="AE22" i="2"/>
  <c r="Y22" i="2"/>
  <c r="X22" i="2"/>
  <c r="AE21" i="2"/>
  <c r="Y21" i="2"/>
  <c r="X21" i="2"/>
  <c r="AE20" i="2"/>
  <c r="Y20" i="2"/>
  <c r="X20" i="2"/>
  <c r="AE19" i="2"/>
  <c r="Y19" i="2"/>
  <c r="X19" i="2"/>
  <c r="AE18" i="2"/>
  <c r="Y18" i="2"/>
  <c r="X18" i="2"/>
  <c r="AE17" i="2"/>
  <c r="Y17" i="2"/>
  <c r="X17" i="2"/>
  <c r="AE16" i="2"/>
  <c r="Y16" i="2"/>
  <c r="X16" i="2"/>
  <c r="AE15" i="2"/>
  <c r="Y15" i="2"/>
  <c r="X15" i="2"/>
  <c r="AE14" i="2"/>
  <c r="Y14" i="2"/>
  <c r="X14" i="2"/>
  <c r="AE13" i="2"/>
  <c r="Y13" i="2"/>
  <c r="X13" i="2"/>
  <c r="Z13" i="2" s="1" a="1"/>
  <c r="Z13" i="2" s="1"/>
  <c r="AE12" i="2"/>
  <c r="Y12" i="2"/>
  <c r="X12" i="2"/>
  <c r="Z12" i="2" s="1" a="1"/>
  <c r="Z12" i="2" s="1"/>
  <c r="AE11" i="2"/>
  <c r="Y11" i="2"/>
  <c r="X11" i="2"/>
  <c r="AE10" i="2"/>
  <c r="Y10" i="2"/>
  <c r="X10" i="2"/>
  <c r="Z10" i="2" s="1" a="1"/>
  <c r="Z10" i="2" s="1"/>
  <c r="AE9" i="2"/>
  <c r="Z150" i="2" s="1" a="1"/>
  <c r="Z150" i="2" s="1"/>
  <c r="Y9" i="2"/>
  <c r="X9" i="2"/>
  <c r="AE8" i="2"/>
  <c r="Z130" i="2" s="1" a="1"/>
  <c r="Z130" i="2" s="1"/>
  <c r="Y8" i="2"/>
  <c r="X8" i="2"/>
  <c r="AE7" i="2"/>
  <c r="Y7" i="2"/>
  <c r="X7" i="2"/>
  <c r="AE6" i="2"/>
  <c r="Z189" i="2" s="1" a="1"/>
  <c r="Z189" i="2" s="1"/>
  <c r="Y6" i="2"/>
  <c r="X6" i="2"/>
  <c r="Z6" i="2" s="1" a="1"/>
  <c r="Z6" i="2" s="1"/>
  <c r="AE5" i="2"/>
  <c r="Y5" i="2"/>
  <c r="X5" i="2"/>
  <c r="AE4" i="2"/>
  <c r="Y4" i="2"/>
  <c r="X4" i="2"/>
  <c r="Z4" i="2" s="1" a="1"/>
  <c r="Z4" i="2" s="1"/>
  <c r="AE3" i="2"/>
  <c r="Y3" i="2"/>
  <c r="X3" i="2"/>
  <c r="Z3" i="2" s="1" a="1"/>
  <c r="Z3" i="2" s="1"/>
  <c r="AE2" i="2"/>
  <c r="Y2" i="2"/>
  <c r="X2" i="2"/>
  <c r="Z2" i="2" s="1" a="1"/>
  <c r="Z2" i="2" s="1"/>
  <c r="Z53" i="2" l="1" a="1"/>
  <c r="Z53" i="2" s="1"/>
  <c r="Z107" i="2" a="1"/>
  <c r="Z107" i="2" s="1"/>
  <c r="Z141" i="2" a="1"/>
  <c r="Z141" i="2" s="1"/>
  <c r="Z18" i="2" a="1"/>
  <c r="Z18" i="2" s="1"/>
  <c r="Z99" i="2" a="1"/>
  <c r="Z99" i="2" s="1"/>
  <c r="Z5" i="2" a="1"/>
  <c r="Z5" i="2" s="1"/>
  <c r="AL3" i="2" s="1"/>
  <c r="Z86" i="2" a="1"/>
  <c r="Z86" i="2" s="1"/>
  <c r="Z125" i="2" a="1"/>
  <c r="Z125" i="2" s="1"/>
  <c r="Z575" i="2" a="1"/>
  <c r="Z575" i="2" s="1"/>
  <c r="Z563" i="2" a="1"/>
  <c r="Z563" i="2" s="1"/>
  <c r="Z551" i="2" a="1"/>
  <c r="Z551" i="2" s="1"/>
  <c r="Z539" i="2" a="1"/>
  <c r="Z539" i="2" s="1"/>
  <c r="Z527" i="2" a="1"/>
  <c r="Z527" i="2" s="1"/>
  <c r="Z515" i="2" a="1"/>
  <c r="Z515" i="2" s="1"/>
  <c r="Z503" i="2" a="1"/>
  <c r="Z503" i="2" s="1"/>
  <c r="Z491" i="2" a="1"/>
  <c r="Z491" i="2" s="1"/>
  <c r="Z479" i="2" a="1"/>
  <c r="Z479" i="2" s="1"/>
  <c r="Z467" i="2" a="1"/>
  <c r="Z467" i="2" s="1"/>
  <c r="Z455" i="2" a="1"/>
  <c r="Z455" i="2" s="1"/>
  <c r="Z407" i="2" a="1"/>
  <c r="Z407" i="2" s="1"/>
  <c r="Z335" i="2" a="1"/>
  <c r="Z335" i="2" s="1"/>
  <c r="Z263" i="2" a="1"/>
  <c r="Z263" i="2" s="1"/>
  <c r="Z191" i="2" a="1"/>
  <c r="Z191" i="2" s="1"/>
  <c r="Z119" i="2" a="1"/>
  <c r="Z119" i="2" s="1"/>
  <c r="Z47" i="2" a="1"/>
  <c r="Z47" i="2" s="1"/>
  <c r="Z443" i="2" a="1"/>
  <c r="Z443" i="2" s="1"/>
  <c r="Z513" i="2" a="1"/>
  <c r="Z513" i="2" s="1"/>
  <c r="Z482" i="2" a="1"/>
  <c r="Z482" i="2" s="1"/>
  <c r="Z459" i="2" a="1"/>
  <c r="Z459" i="2" s="1"/>
  <c r="Z434" i="2" a="1"/>
  <c r="Z434" i="2" s="1"/>
  <c r="Z353" i="2" a="1"/>
  <c r="Z353" i="2" s="1"/>
  <c r="Z337" i="2" a="1"/>
  <c r="Z337" i="2" s="1"/>
  <c r="Z287" i="2" a="1"/>
  <c r="Z287" i="2" s="1"/>
  <c r="Z276" i="2" a="1"/>
  <c r="Z276" i="2" s="1"/>
  <c r="Z199" i="2" a="1"/>
  <c r="Z199" i="2" s="1"/>
  <c r="Z75" i="2" a="1"/>
  <c r="Z75" i="2" s="1"/>
  <c r="Z9" i="2" a="1"/>
  <c r="Z9" i="2" s="1"/>
  <c r="Z566" i="2" a="1"/>
  <c r="Z566" i="2" s="1"/>
  <c r="Z532" i="2" a="1"/>
  <c r="Z532" i="2" s="1"/>
  <c r="Z473" i="2" a="1"/>
  <c r="Z473" i="2" s="1"/>
  <c r="Z442" i="2" a="1"/>
  <c r="Z442" i="2" s="1"/>
  <c r="Z409" i="2" a="1"/>
  <c r="Z409" i="2" s="1"/>
  <c r="Z369" i="2" a="1"/>
  <c r="Z369" i="2" s="1"/>
  <c r="Z361" i="2" a="1"/>
  <c r="Z361" i="2" s="1"/>
  <c r="Z358" i="2" a="1"/>
  <c r="Z358" i="2" s="1"/>
  <c r="Z323" i="2" a="1"/>
  <c r="Z323" i="2" s="1"/>
  <c r="Z313" i="2" a="1"/>
  <c r="Z313" i="2" s="1"/>
  <c r="Z303" i="2" a="1"/>
  <c r="Z303" i="2" s="1"/>
  <c r="Z292" i="2" a="1"/>
  <c r="Z292" i="2" s="1"/>
  <c r="Z281" i="2" a="1"/>
  <c r="Z281" i="2" s="1"/>
  <c r="Z265" i="2" a="1"/>
  <c r="Z265" i="2" s="1"/>
  <c r="Z523" i="2" a="1"/>
  <c r="Z523" i="2" s="1"/>
  <c r="Z478" i="2" a="1"/>
  <c r="Z478" i="2" s="1"/>
  <c r="Z414" i="2" a="1"/>
  <c r="Z414" i="2" s="1"/>
  <c r="Z363" i="2" a="1"/>
  <c r="Z363" i="2" s="1"/>
  <c r="Z355" i="2" a="1"/>
  <c r="Z355" i="2" s="1"/>
  <c r="Z297" i="2" a="1"/>
  <c r="Z297" i="2" s="1"/>
  <c r="Z289" i="2" a="1"/>
  <c r="Z289" i="2" s="1"/>
  <c r="Z286" i="2" a="1"/>
  <c r="Z286" i="2" s="1"/>
  <c r="Z251" i="2" a="1"/>
  <c r="Z251" i="2" s="1"/>
  <c r="Z241" i="2" a="1"/>
  <c r="Z241" i="2" s="1"/>
  <c r="Z231" i="2" a="1"/>
  <c r="Z231" i="2" s="1"/>
  <c r="Z228" i="2" a="1"/>
  <c r="Z228" i="2" s="1"/>
  <c r="Z554" i="2" a="1"/>
  <c r="Z554" i="2" s="1"/>
  <c r="Z531" i="2" a="1"/>
  <c r="Z531" i="2" s="1"/>
  <c r="Z506" i="2" a="1"/>
  <c r="Z506" i="2" s="1"/>
  <c r="Z419" i="2" a="1"/>
  <c r="Z419" i="2" s="1"/>
  <c r="Z394" i="2" a="1"/>
  <c r="Z394" i="2" s="1"/>
  <c r="Z291" i="2" a="1"/>
  <c r="Z291" i="2" s="1"/>
  <c r="Z214" i="2" a="1"/>
  <c r="Z214" i="2" s="1"/>
  <c r="Z179" i="2" a="1"/>
  <c r="Z179" i="2" s="1"/>
  <c r="Z137" i="2" a="1"/>
  <c r="Z137" i="2" s="1"/>
  <c r="Z121" i="2" a="1"/>
  <c r="Z121" i="2" s="1"/>
  <c r="Z71" i="2" a="1"/>
  <c r="Z71" i="2" s="1"/>
  <c r="Z60" i="2" a="1"/>
  <c r="Z60" i="2" s="1"/>
  <c r="Z559" i="2" a="1"/>
  <c r="Z559" i="2" s="1"/>
  <c r="Z514" i="2" a="1"/>
  <c r="Z514" i="2" s="1"/>
  <c r="Z469" i="2" a="1"/>
  <c r="Z469" i="2" s="1"/>
  <c r="Z435" i="2" a="1"/>
  <c r="Z435" i="2" s="1"/>
  <c r="Z357" i="2" a="1"/>
  <c r="Z357" i="2" s="1"/>
  <c r="Z299" i="2" a="1"/>
  <c r="Z299" i="2" s="1"/>
  <c r="Z280" i="2" a="1"/>
  <c r="Z280" i="2" s="1"/>
  <c r="Z203" i="2" a="1"/>
  <c r="Z203" i="2" s="1"/>
  <c r="Z545" i="2" a="1"/>
  <c r="Z545" i="2" s="1"/>
  <c r="Z494" i="2" a="1"/>
  <c r="Z494" i="2" s="1"/>
  <c r="Z460" i="2" a="1"/>
  <c r="Z460" i="2" s="1"/>
  <c r="Z424" i="2" a="1"/>
  <c r="Z424" i="2" s="1"/>
  <c r="Z399" i="2" a="1"/>
  <c r="Z399" i="2" s="1"/>
  <c r="Z343" i="2" a="1"/>
  <c r="Z343" i="2" s="1"/>
  <c r="Z219" i="2" a="1"/>
  <c r="Z219" i="2" s="1"/>
  <c r="Z142" i="2" a="1"/>
  <c r="Z142" i="2" s="1"/>
  <c r="Z567" i="2" a="1"/>
  <c r="Z567" i="2" s="1"/>
  <c r="Z542" i="2" a="1"/>
  <c r="Z542" i="2" s="1"/>
  <c r="Z522" i="2" a="1"/>
  <c r="Z522" i="2" s="1"/>
  <c r="Z477" i="2" a="1"/>
  <c r="Z477" i="2" s="1"/>
  <c r="Z454" i="2" a="1"/>
  <c r="Z454" i="2" s="1"/>
  <c r="Z413" i="2" a="1"/>
  <c r="Z413" i="2" s="1"/>
  <c r="Z410" i="2" a="1"/>
  <c r="Z410" i="2" s="1"/>
  <c r="Z388" i="2" a="1"/>
  <c r="Z388" i="2" s="1"/>
  <c r="Z383" i="2" a="1"/>
  <c r="Z383" i="2" s="1"/>
  <c r="Z378" i="2" a="1"/>
  <c r="Z378" i="2" s="1"/>
  <c r="Z362" i="2" a="1"/>
  <c r="Z362" i="2" s="1"/>
  <c r="Z314" i="2" a="1"/>
  <c r="Z314" i="2" s="1"/>
  <c r="Z309" i="2" a="1"/>
  <c r="Z309" i="2" s="1"/>
  <c r="Z304" i="2" a="1"/>
  <c r="Z304" i="2" s="1"/>
  <c r="Z21" i="2" a="1"/>
  <c r="Z21" i="2" s="1"/>
  <c r="Z30" i="2" a="1"/>
  <c r="Z30" i="2" s="1"/>
  <c r="Z49" i="2" a="1"/>
  <c r="Z49" i="2" s="1"/>
  <c r="Z109" i="2" a="1"/>
  <c r="Z109" i="2" s="1"/>
  <c r="Z123" i="2" a="1"/>
  <c r="Z123" i="2" s="1"/>
  <c r="Z204" i="2" a="1"/>
  <c r="Z204" i="2" s="1"/>
  <c r="Z217" i="2" a="1"/>
  <c r="Z217" i="2" s="1"/>
  <c r="Z226" i="2" a="1"/>
  <c r="Z226" i="2" s="1"/>
  <c r="Z233" i="2" a="1"/>
  <c r="Z233" i="2" s="1"/>
  <c r="Z242" i="2" a="1"/>
  <c r="Z242" i="2" s="1"/>
  <c r="Z264" i="2" a="1"/>
  <c r="Z264" i="2" s="1"/>
  <c r="Z282" i="2" a="1"/>
  <c r="Z282" i="2" s="1"/>
  <c r="Z296" i="2" a="1"/>
  <c r="Z296" i="2" s="1"/>
  <c r="Z300" i="2" a="1"/>
  <c r="Z300" i="2" s="1"/>
  <c r="Z306" i="2" a="1"/>
  <c r="Z306" i="2" s="1"/>
  <c r="Z310" i="2" a="1"/>
  <c r="Z310" i="2" s="1"/>
  <c r="Z316" i="2" a="1"/>
  <c r="Z316" i="2" s="1"/>
  <c r="Z326" i="2" a="1"/>
  <c r="Z326" i="2" s="1"/>
  <c r="Z352" i="2" a="1"/>
  <c r="Z352" i="2" s="1"/>
  <c r="Z359" i="2" a="1"/>
  <c r="Z359" i="2" s="1"/>
  <c r="Z366" i="2" a="1"/>
  <c r="Z366" i="2" s="1"/>
  <c r="Z421" i="2" a="1"/>
  <c r="Z421" i="2" s="1"/>
  <c r="Z428" i="2" a="1"/>
  <c r="Z428" i="2" s="1"/>
  <c r="Z450" i="2" a="1"/>
  <c r="Z450" i="2" s="1"/>
  <c r="Z549" i="2" a="1"/>
  <c r="Z549" i="2" s="1"/>
  <c r="Z569" i="2" a="1"/>
  <c r="Z569" i="2" s="1"/>
  <c r="Z8" i="2" a="1"/>
  <c r="Z8" i="2" s="1"/>
  <c r="Z69" i="2" a="1"/>
  <c r="Z69" i="2" s="1"/>
  <c r="Z101" i="2" a="1"/>
  <c r="Z101" i="2" s="1"/>
  <c r="Z129" i="2" a="1"/>
  <c r="Z129" i="2" s="1"/>
  <c r="Z149" i="2" a="1"/>
  <c r="Z149" i="2" s="1"/>
  <c r="Z152" i="2" a="1"/>
  <c r="Z152" i="2" s="1"/>
  <c r="Z155" i="2" a="1"/>
  <c r="Z155" i="2" s="1"/>
  <c r="Z158" i="2" a="1"/>
  <c r="Z158" i="2" s="1"/>
  <c r="Z175" i="2" a="1"/>
  <c r="Z175" i="2" s="1"/>
  <c r="Z198" i="2" a="1"/>
  <c r="Z198" i="2" s="1"/>
  <c r="Z223" i="2" a="1"/>
  <c r="Z223" i="2" s="1"/>
  <c r="Z239" i="2" a="1"/>
  <c r="Z239" i="2" s="1"/>
  <c r="Z261" i="2" a="1"/>
  <c r="Z261" i="2" s="1"/>
  <c r="Z270" i="2" a="1"/>
  <c r="Z270" i="2" s="1"/>
  <c r="Z340" i="2" a="1"/>
  <c r="Z340" i="2" s="1"/>
  <c r="Z350" i="2" a="1"/>
  <c r="Z350" i="2" s="1"/>
  <c r="Z373" i="2" a="1"/>
  <c r="Z373" i="2" s="1"/>
  <c r="Z377" i="2" a="1"/>
  <c r="Z377" i="2" s="1"/>
  <c r="Z387" i="2" a="1"/>
  <c r="Z387" i="2" s="1"/>
  <c r="Z393" i="2" a="1"/>
  <c r="Z393" i="2" s="1"/>
  <c r="Z397" i="2" a="1"/>
  <c r="Z397" i="2" s="1"/>
  <c r="Z400" i="2" a="1"/>
  <c r="Z400" i="2" s="1"/>
  <c r="Z437" i="2" a="1"/>
  <c r="Z437" i="2" s="1"/>
  <c r="Z447" i="2" a="1"/>
  <c r="Z447" i="2" s="1"/>
  <c r="Z457" i="2" a="1"/>
  <c r="Z457" i="2" s="1"/>
  <c r="Z471" i="2" a="1"/>
  <c r="Z471" i="2" s="1"/>
  <c r="Z488" i="2" a="1"/>
  <c r="Z488" i="2" s="1"/>
  <c r="Z505" i="2" a="1"/>
  <c r="Z505" i="2" s="1"/>
  <c r="Z529" i="2" a="1"/>
  <c r="Z529" i="2" s="1"/>
  <c r="Z546" i="2" a="1"/>
  <c r="Z546" i="2" s="1"/>
  <c r="Z556" i="2" a="1"/>
  <c r="Z556" i="2" s="1"/>
  <c r="Z576" i="2" a="1"/>
  <c r="Z576" i="2" s="1"/>
  <c r="Z11" i="2" a="1"/>
  <c r="Z11" i="2" s="1"/>
  <c r="Z87" i="2" a="1"/>
  <c r="Z87" i="2" s="1"/>
  <c r="Z117" i="2" a="1"/>
  <c r="Z117" i="2" s="1"/>
  <c r="Z38" i="2" a="1"/>
  <c r="Z38" i="2" s="1"/>
  <c r="Z84" i="2" a="1"/>
  <c r="Z84" i="2" s="1"/>
  <c r="Z98" i="2" a="1"/>
  <c r="Z98" i="2" s="1"/>
  <c r="Z104" i="2" a="1"/>
  <c r="Z104" i="2" s="1"/>
  <c r="Z120" i="2" a="1"/>
  <c r="Z120" i="2" s="1"/>
  <c r="Z143" i="2" a="1"/>
  <c r="Z143" i="2" s="1"/>
  <c r="Z172" i="2" a="1"/>
  <c r="Z172" i="2" s="1"/>
  <c r="Z187" i="2" a="1"/>
  <c r="Z187" i="2" s="1"/>
  <c r="Z196" i="2" a="1"/>
  <c r="Z196" i="2" s="1"/>
  <c r="Z202" i="2" a="1"/>
  <c r="Z202" i="2" s="1"/>
  <c r="Z211" i="2" a="1"/>
  <c r="Z211" i="2" s="1"/>
  <c r="Z220" i="2" a="1"/>
  <c r="Z220" i="2" s="1"/>
  <c r="Z230" i="2" a="1"/>
  <c r="Z230" i="2" s="1"/>
  <c r="Z243" i="2" a="1"/>
  <c r="Z243" i="2" s="1"/>
  <c r="Z258" i="2" a="1"/>
  <c r="Z258" i="2" s="1"/>
  <c r="Z283" i="2" a="1"/>
  <c r="Z283" i="2" s="1"/>
  <c r="Z293" i="2" a="1"/>
  <c r="Z293" i="2" s="1"/>
  <c r="Z307" i="2" a="1"/>
  <c r="Z307" i="2" s="1"/>
  <c r="Z317" i="2" a="1"/>
  <c r="Z317" i="2" s="1"/>
  <c r="Z327" i="2" a="1"/>
  <c r="Z327" i="2" s="1"/>
  <c r="Z333" i="2" a="1"/>
  <c r="Z333" i="2" s="1"/>
  <c r="Z360" i="2" a="1"/>
  <c r="Z360" i="2" s="1"/>
  <c r="Z441" i="2" a="1"/>
  <c r="Z441" i="2" s="1"/>
  <c r="Z444" i="2" a="1"/>
  <c r="Z444" i="2" s="1"/>
  <c r="Z474" i="2" a="1"/>
  <c r="Z474" i="2" s="1"/>
  <c r="Z481" i="2" a="1"/>
  <c r="Z481" i="2" s="1"/>
  <c r="Z495" i="2" a="1"/>
  <c r="Z495" i="2" s="1"/>
  <c r="Z41" i="2" a="1"/>
  <c r="Z41" i="2" s="1"/>
  <c r="Z81" i="2" a="1"/>
  <c r="Z81" i="2" s="1"/>
  <c r="Z131" i="2" a="1"/>
  <c r="Z131" i="2" s="1"/>
  <c r="Z22" i="2" a="1"/>
  <c r="Z22" i="2" s="1"/>
  <c r="Z67" i="2" a="1"/>
  <c r="Z67" i="2" s="1"/>
  <c r="Z79" i="2" a="1"/>
  <c r="Z79" i="2" s="1"/>
  <c r="Z82" i="2" a="1"/>
  <c r="Z82" i="2" s="1"/>
  <c r="Z96" i="2" a="1"/>
  <c r="Z96" i="2" s="1"/>
  <c r="Z118" i="2" a="1"/>
  <c r="Z118" i="2" s="1"/>
  <c r="Z126" i="2" a="1"/>
  <c r="Z126" i="2" s="1"/>
  <c r="Z156" i="2" a="1"/>
  <c r="Z156" i="2" s="1"/>
  <c r="Z159" i="2" a="1"/>
  <c r="Z159" i="2" s="1"/>
  <c r="Z240" i="2" a="1"/>
  <c r="Z240" i="2" s="1"/>
  <c r="Z268" i="2" a="1"/>
  <c r="Z268" i="2" s="1"/>
  <c r="Z347" i="2" a="1"/>
  <c r="Z347" i="2" s="1"/>
  <c r="Z370" i="2" a="1"/>
  <c r="Z370" i="2" s="1"/>
  <c r="Z384" i="2" a="1"/>
  <c r="Z384" i="2" s="1"/>
  <c r="Z390" i="2" a="1"/>
  <c r="Z390" i="2" s="1"/>
  <c r="Z401" i="2" a="1"/>
  <c r="Z401" i="2" s="1"/>
  <c r="Z408" i="2" a="1"/>
  <c r="Z408" i="2" s="1"/>
  <c r="Z418" i="2" a="1"/>
  <c r="Z418" i="2" s="1"/>
  <c r="Z425" i="2" a="1"/>
  <c r="Z425" i="2" s="1"/>
  <c r="Z431" i="2" a="1"/>
  <c r="Z431" i="2" s="1"/>
  <c r="Z448" i="2" a="1"/>
  <c r="Z448" i="2" s="1"/>
  <c r="Z492" i="2" a="1"/>
  <c r="Z492" i="2" s="1"/>
  <c r="Z509" i="2" a="1"/>
  <c r="Z509" i="2" s="1"/>
  <c r="Z560" i="2" a="1"/>
  <c r="Z560" i="2" s="1"/>
  <c r="Z573" i="2" a="1"/>
  <c r="Z573" i="2" s="1"/>
  <c r="Z66" i="2" a="1"/>
  <c r="Z66" i="2" s="1"/>
  <c r="Z78" i="2" a="1"/>
  <c r="Z78" i="2" s="1"/>
  <c r="Z95" i="2" a="1"/>
  <c r="Z95" i="2" s="1"/>
  <c r="Z146" i="2" a="1"/>
  <c r="Z146" i="2" s="1"/>
  <c r="Z61" i="2" a="1"/>
  <c r="Z61" i="2" s="1"/>
  <c r="Z14" i="2" a="1"/>
  <c r="Z14" i="2" s="1"/>
  <c r="Z31" i="2" a="1"/>
  <c r="Z31" i="2" s="1"/>
  <c r="Z33" i="2" a="1"/>
  <c r="Z33" i="2" s="1"/>
  <c r="Z55" i="2" a="1"/>
  <c r="Z55" i="2" s="1"/>
  <c r="Z64" i="2" a="1"/>
  <c r="Z64" i="2" s="1"/>
  <c r="Z93" i="2" a="1"/>
  <c r="Z93" i="2" s="1"/>
  <c r="Z112" i="2" a="1"/>
  <c r="Z112" i="2" s="1"/>
  <c r="Z124" i="2" a="1"/>
  <c r="Z124" i="2" s="1"/>
  <c r="Z144" i="2" a="1"/>
  <c r="Z144" i="2" s="1"/>
  <c r="Z153" i="2" a="1"/>
  <c r="Z153" i="2" s="1"/>
  <c r="Z167" i="2" a="1"/>
  <c r="Z167" i="2" s="1"/>
  <c r="Z181" i="2" a="1"/>
  <c r="Z181" i="2" s="1"/>
  <c r="Z208" i="2" a="1"/>
  <c r="Z208" i="2" s="1"/>
  <c r="Z221" i="2" a="1"/>
  <c r="Z221" i="2" s="1"/>
  <c r="Z246" i="2" a="1"/>
  <c r="Z246" i="2" s="1"/>
  <c r="Z262" i="2" a="1"/>
  <c r="Z262" i="2" s="1"/>
  <c r="Z277" i="2" a="1"/>
  <c r="Z277" i="2" s="1"/>
  <c r="Z290" i="2" a="1"/>
  <c r="Z290" i="2" s="1"/>
  <c r="Z321" i="2" a="1"/>
  <c r="Z321" i="2" s="1"/>
  <c r="Z331" i="2" a="1"/>
  <c r="Z331" i="2" s="1"/>
  <c r="Z334" i="2" a="1"/>
  <c r="Z334" i="2" s="1"/>
  <c r="Z364" i="2" a="1"/>
  <c r="Z364" i="2" s="1"/>
  <c r="Z374" i="2" a="1"/>
  <c r="Z374" i="2" s="1"/>
  <c r="Z381" i="2" a="1"/>
  <c r="Z381" i="2" s="1"/>
  <c r="Z468" i="2" a="1"/>
  <c r="Z468" i="2" s="1"/>
  <c r="Z475" i="2" a="1"/>
  <c r="Z475" i="2" s="1"/>
  <c r="Z485" i="2" a="1"/>
  <c r="Z485" i="2" s="1"/>
  <c r="Z499" i="2" a="1"/>
  <c r="Z499" i="2" s="1"/>
  <c r="Z526" i="2" a="1"/>
  <c r="Z526" i="2" s="1"/>
  <c r="Z547" i="2" a="1"/>
  <c r="Z547" i="2" s="1"/>
  <c r="Z16" i="2" a="1"/>
  <c r="Z16" i="2" s="1"/>
  <c r="Z72" i="2" a="1"/>
  <c r="Z72" i="2" s="1"/>
  <c r="Z106" i="2" a="1"/>
  <c r="Z106" i="2" s="1"/>
  <c r="Z19" i="2" a="1"/>
  <c r="Z19" i="2" s="1"/>
  <c r="Z17" i="2" a="1"/>
  <c r="Z17" i="2" s="1"/>
  <c r="Z42" i="2" a="1"/>
  <c r="Z42" i="2" s="1"/>
  <c r="Z50" i="2" a="1"/>
  <c r="Z50" i="2" s="1"/>
  <c r="Z62" i="2" a="1"/>
  <c r="Z62" i="2" s="1"/>
  <c r="Z73" i="2" a="1"/>
  <c r="Z73" i="2" s="1"/>
  <c r="Z91" i="2" a="1"/>
  <c r="Z91" i="2" s="1"/>
  <c r="Z176" i="2" a="1"/>
  <c r="Z176" i="2" s="1"/>
  <c r="Z193" i="2" a="1"/>
  <c r="Z193" i="2" s="1"/>
  <c r="Z206" i="2" a="1"/>
  <c r="Z206" i="2" s="1"/>
  <c r="Z227" i="2" a="1"/>
  <c r="Z227" i="2" s="1"/>
  <c r="Z341" i="2" a="1"/>
  <c r="Z341" i="2" s="1"/>
  <c r="Z367" i="2" a="1"/>
  <c r="Z367" i="2" s="1"/>
  <c r="Z405" i="2" a="1"/>
  <c r="Z405" i="2" s="1"/>
  <c r="Z415" i="2" a="1"/>
  <c r="Z415" i="2" s="1"/>
  <c r="Z432" i="2" a="1"/>
  <c r="Z432" i="2" s="1"/>
  <c r="Z451" i="2" a="1"/>
  <c r="Z451" i="2" s="1"/>
  <c r="Z472" i="2" a="1"/>
  <c r="Z472" i="2" s="1"/>
  <c r="Z517" i="2" a="1"/>
  <c r="Z517" i="2" s="1"/>
  <c r="Z540" i="2" a="1"/>
  <c r="Z540" i="2" s="1"/>
  <c r="Z550" i="2" a="1"/>
  <c r="Z550" i="2" s="1"/>
  <c r="Z88" i="2" a="1"/>
  <c r="Z88" i="2" s="1"/>
  <c r="Z138" i="2" a="1"/>
  <c r="Z138" i="2" s="1"/>
  <c r="Z185" i="2" a="1"/>
  <c r="Z185" i="2" s="1"/>
  <c r="Z215" i="2" a="1"/>
  <c r="Z215" i="2" s="1"/>
  <c r="Z218" i="2" a="1"/>
  <c r="Z218" i="2" s="1"/>
  <c r="Z234" i="2" a="1"/>
  <c r="Z234" i="2" s="1"/>
  <c r="Z247" i="2" a="1"/>
  <c r="Z247" i="2" s="1"/>
  <c r="Z253" i="2" a="1"/>
  <c r="Z253" i="2" s="1"/>
  <c r="Z259" i="2" a="1"/>
  <c r="Z259" i="2" s="1"/>
  <c r="Z271" i="2" a="1"/>
  <c r="Z271" i="2" s="1"/>
  <c r="Z274" i="2" a="1"/>
  <c r="Z274" i="2" s="1"/>
  <c r="Z294" i="2" a="1"/>
  <c r="Z294" i="2" s="1"/>
  <c r="Z298" i="2" a="1"/>
  <c r="Z298" i="2" s="1"/>
  <c r="Z301" i="2" a="1"/>
  <c r="Z301" i="2" s="1"/>
  <c r="Z305" i="2" a="1"/>
  <c r="Z305" i="2" s="1"/>
  <c r="Z311" i="2" a="1"/>
  <c r="Z311" i="2" s="1"/>
  <c r="Z315" i="2" a="1"/>
  <c r="Z315" i="2" s="1"/>
  <c r="Z338" i="2" a="1"/>
  <c r="Z338" i="2" s="1"/>
  <c r="Z345" i="2" a="1"/>
  <c r="Z345" i="2" s="1"/>
  <c r="Z354" i="2" a="1"/>
  <c r="Z354" i="2" s="1"/>
  <c r="Z398" i="2" a="1"/>
  <c r="Z398" i="2" s="1"/>
  <c r="Z402" i="2" a="1"/>
  <c r="Z402" i="2" s="1"/>
  <c r="Z439" i="2" a="1"/>
  <c r="Z439" i="2" s="1"/>
  <c r="Z445" i="2" a="1"/>
  <c r="Z445" i="2" s="1"/>
  <c r="Z458" i="2" a="1"/>
  <c r="Z458" i="2" s="1"/>
  <c r="Z462" i="2" a="1"/>
  <c r="Z462" i="2" s="1"/>
  <c r="Z465" i="2" a="1"/>
  <c r="Z465" i="2" s="1"/>
  <c r="Z486" i="2" a="1"/>
  <c r="Z486" i="2" s="1"/>
  <c r="Z496" i="2" a="1"/>
  <c r="Z496" i="2" s="1"/>
  <c r="Z530" i="2" a="1"/>
  <c r="Z530" i="2" s="1"/>
  <c r="Z537" i="2" a="1"/>
  <c r="Z537" i="2" s="1"/>
  <c r="Z557" i="2" a="1"/>
  <c r="Z557" i="2" s="1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O203" i="3" s="1"/>
  <c r="O204" i="3" s="1"/>
  <c r="O205" i="3" s="1"/>
  <c r="O206" i="3" s="1"/>
  <c r="O207" i="3" s="1"/>
  <c r="O208" i="3" s="1"/>
  <c r="O209" i="3" s="1"/>
  <c r="O210" i="3" s="1"/>
  <c r="O211" i="3" s="1"/>
  <c r="O212" i="3" s="1"/>
  <c r="O213" i="3" s="1"/>
  <c r="O214" i="3" s="1"/>
  <c r="O215" i="3" s="1"/>
  <c r="O216" i="3" s="1"/>
  <c r="O217" i="3" s="1"/>
  <c r="O218" i="3" s="1"/>
  <c r="O219" i="3" s="1"/>
  <c r="O220" i="3" s="1"/>
  <c r="O221" i="3" s="1"/>
  <c r="O222" i="3" s="1"/>
  <c r="O223" i="3" s="1"/>
  <c r="O224" i="3" s="1"/>
  <c r="O225" i="3" s="1"/>
  <c r="O226" i="3" s="1"/>
  <c r="O227" i="3" s="1"/>
  <c r="O228" i="3" s="1"/>
  <c r="O229" i="3" s="1"/>
  <c r="O230" i="3" s="1"/>
  <c r="O231" i="3" s="1"/>
  <c r="O232" i="3" s="1"/>
  <c r="O233" i="3" s="1"/>
  <c r="O234" i="3" s="1"/>
  <c r="O235" i="3" s="1"/>
  <c r="O236" i="3" s="1"/>
  <c r="O237" i="3" s="1"/>
  <c r="O238" i="3" s="1"/>
  <c r="O239" i="3" s="1"/>
  <c r="O240" i="3" s="1"/>
  <c r="O241" i="3" s="1"/>
  <c r="O242" i="3" s="1"/>
  <c r="O243" i="3" s="1"/>
  <c r="O244" i="3" s="1"/>
  <c r="O245" i="3" s="1"/>
  <c r="O246" i="3" s="1"/>
  <c r="O247" i="3" s="1"/>
  <c r="O248" i="3" s="1"/>
  <c r="O249" i="3" s="1"/>
  <c r="O250" i="3" s="1"/>
  <c r="O251" i="3" s="1"/>
  <c r="O252" i="3" s="1"/>
  <c r="O253" i="3" s="1"/>
  <c r="O254" i="3" s="1"/>
  <c r="O255" i="3" s="1"/>
  <c r="O256" i="3" s="1"/>
  <c r="O257" i="3" s="1"/>
  <c r="O258" i="3" s="1"/>
  <c r="O259" i="3" s="1"/>
  <c r="O260" i="3" s="1"/>
  <c r="O261" i="3" s="1"/>
  <c r="O262" i="3" s="1"/>
  <c r="O263" i="3" s="1"/>
  <c r="O264" i="3" s="1"/>
  <c r="O265" i="3" s="1"/>
  <c r="O266" i="3" s="1"/>
  <c r="O267" i="3" s="1"/>
  <c r="O268" i="3" s="1"/>
  <c r="O269" i="3" s="1"/>
  <c r="O270" i="3" s="1"/>
  <c r="O271" i="3" s="1"/>
  <c r="O272" i="3" s="1"/>
  <c r="O273" i="3" s="1"/>
  <c r="O274" i="3" s="1"/>
  <c r="O275" i="3" s="1"/>
  <c r="O276" i="3" s="1"/>
  <c r="O277" i="3" s="1"/>
  <c r="O278" i="3" s="1"/>
  <c r="O279" i="3" s="1"/>
  <c r="O280" i="3" s="1"/>
  <c r="O281" i="3" s="1"/>
  <c r="O282" i="3" s="1"/>
  <c r="O283" i="3" s="1"/>
  <c r="O284" i="3" s="1"/>
  <c r="O285" i="3" s="1"/>
  <c r="O286" i="3" s="1"/>
  <c r="O287" i="3" s="1"/>
  <c r="O288" i="3" s="1"/>
  <c r="O289" i="3" s="1"/>
  <c r="O290" i="3" s="1"/>
  <c r="O291" i="3" s="1"/>
  <c r="O292" i="3" s="1"/>
  <c r="O293" i="3" s="1"/>
  <c r="O294" i="3" s="1"/>
  <c r="O295" i="3" s="1"/>
  <c r="O296" i="3" s="1"/>
  <c r="O297" i="3" s="1"/>
  <c r="O298" i="3" s="1"/>
  <c r="O299" i="3" s="1"/>
  <c r="O300" i="3" s="1"/>
  <c r="O301" i="3" s="1"/>
  <c r="O302" i="3" s="1"/>
  <c r="O303" i="3" s="1"/>
  <c r="O304" i="3" s="1"/>
  <c r="O305" i="3" s="1"/>
  <c r="O306" i="3" s="1"/>
  <c r="O307" i="3" s="1"/>
  <c r="O308" i="3" s="1"/>
  <c r="O309" i="3" s="1"/>
  <c r="O310" i="3" s="1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O361" i="3" s="1"/>
  <c r="O362" i="3" s="1"/>
  <c r="O363" i="3" s="1"/>
  <c r="O364" i="3" s="1"/>
  <c r="O365" i="3" s="1"/>
  <c r="O366" i="3" s="1"/>
  <c r="O367" i="3" s="1"/>
  <c r="O368" i="3" s="1"/>
  <c r="O369" i="3" s="1"/>
  <c r="O370" i="3" s="1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O421" i="3" s="1"/>
  <c r="O422" i="3" s="1"/>
  <c r="O423" i="3" s="1"/>
  <c r="O424" i="3" s="1"/>
  <c r="O425" i="3" s="1"/>
  <c r="O426" i="3" s="1"/>
  <c r="O427" i="3" s="1"/>
  <c r="O428" i="3" s="1"/>
  <c r="O429" i="3" s="1"/>
  <c r="O430" i="3" s="1"/>
  <c r="O431" i="3" s="1"/>
  <c r="O432" i="3" s="1"/>
  <c r="O433" i="3" s="1"/>
  <c r="O434" i="3" s="1"/>
  <c r="O435" i="3" s="1"/>
  <c r="O436" i="3" s="1"/>
  <c r="O437" i="3" s="1"/>
  <c r="O438" i="3" s="1"/>
  <c r="O439" i="3" s="1"/>
  <c r="O440" i="3" s="1"/>
  <c r="O441" i="3" s="1"/>
  <c r="O442" i="3" s="1"/>
  <c r="O443" i="3" s="1"/>
  <c r="O444" i="3" s="1"/>
  <c r="O445" i="3" s="1"/>
  <c r="O446" i="3" s="1"/>
  <c r="O447" i="3" s="1"/>
  <c r="O448" i="3" s="1"/>
  <c r="O449" i="3" s="1"/>
  <c r="O450" i="3" s="1"/>
  <c r="O451" i="3" s="1"/>
  <c r="O452" i="3" s="1"/>
  <c r="O453" i="3" s="1"/>
  <c r="O454" i="3" s="1"/>
  <c r="O455" i="3" s="1"/>
  <c r="O456" i="3" s="1"/>
  <c r="O457" i="3" s="1"/>
  <c r="O458" i="3" s="1"/>
  <c r="O459" i="3" s="1"/>
  <c r="O460" i="3" s="1"/>
  <c r="O461" i="3" s="1"/>
  <c r="O462" i="3" s="1"/>
  <c r="O463" i="3" s="1"/>
  <c r="O464" i="3" s="1"/>
  <c r="O465" i="3" s="1"/>
  <c r="O466" i="3" s="1"/>
  <c r="O467" i="3" s="1"/>
  <c r="O468" i="3" s="1"/>
  <c r="O469" i="3" s="1"/>
  <c r="O470" i="3" s="1"/>
  <c r="O471" i="3" s="1"/>
  <c r="O472" i="3" s="1"/>
  <c r="O473" i="3" s="1"/>
  <c r="O474" i="3" s="1"/>
  <c r="O475" i="3" s="1"/>
  <c r="O476" i="3" s="1"/>
  <c r="O477" i="3" s="1"/>
  <c r="O478" i="3" s="1"/>
  <c r="O479" i="3" s="1"/>
  <c r="O480" i="3" s="1"/>
  <c r="O481" i="3" s="1"/>
  <c r="O482" i="3" s="1"/>
  <c r="O483" i="3" s="1"/>
  <c r="O484" i="3" s="1"/>
  <c r="O485" i="3" s="1"/>
  <c r="O486" i="3" s="1"/>
  <c r="O487" i="3" s="1"/>
  <c r="O488" i="3" s="1"/>
  <c r="O489" i="3" s="1"/>
  <c r="O490" i="3" s="1"/>
  <c r="O491" i="3" s="1"/>
  <c r="O492" i="3" s="1"/>
  <c r="O493" i="3" s="1"/>
  <c r="O494" i="3" s="1"/>
  <c r="O495" i="3" s="1"/>
  <c r="O496" i="3" s="1"/>
  <c r="O497" i="3" s="1"/>
  <c r="O498" i="3" s="1"/>
  <c r="O499" i="3" s="1"/>
  <c r="O500" i="3" s="1"/>
  <c r="O501" i="3" s="1"/>
  <c r="O502" i="3" s="1"/>
  <c r="O503" i="3" s="1"/>
  <c r="O504" i="3" s="1"/>
  <c r="O505" i="3" s="1"/>
  <c r="O506" i="3" s="1"/>
  <c r="O507" i="3" s="1"/>
  <c r="O508" i="3" s="1"/>
  <c r="O509" i="3" s="1"/>
  <c r="O510" i="3" s="1"/>
  <c r="O511" i="3" s="1"/>
  <c r="O512" i="3" s="1"/>
  <c r="O513" i="3" s="1"/>
  <c r="O514" i="3" s="1"/>
  <c r="O515" i="3" s="1"/>
  <c r="O516" i="3" s="1"/>
  <c r="O517" i="3" s="1"/>
  <c r="O518" i="3" s="1"/>
  <c r="O519" i="3" s="1"/>
  <c r="O520" i="3" s="1"/>
  <c r="O521" i="3" s="1"/>
  <c r="O522" i="3" s="1"/>
  <c r="O523" i="3" s="1"/>
  <c r="O524" i="3" s="1"/>
  <c r="O525" i="3" s="1"/>
  <c r="O526" i="3" s="1"/>
  <c r="O527" i="3" s="1"/>
  <c r="O528" i="3" s="1"/>
  <c r="O529" i="3" s="1"/>
  <c r="O530" i="3" s="1"/>
  <c r="O531" i="3" s="1"/>
  <c r="O532" i="3" s="1"/>
  <c r="O533" i="3" s="1"/>
  <c r="O534" i="3" s="1"/>
  <c r="O535" i="3" s="1"/>
  <c r="O536" i="3" s="1"/>
  <c r="O537" i="3" s="1"/>
  <c r="O538" i="3" s="1"/>
  <c r="O539" i="3" s="1"/>
  <c r="O540" i="3" s="1"/>
  <c r="O541" i="3" s="1"/>
  <c r="O542" i="3" s="1"/>
  <c r="O543" i="3" s="1"/>
  <c r="O544" i="3" s="1"/>
  <c r="O545" i="3" s="1"/>
  <c r="O546" i="3" s="1"/>
  <c r="O547" i="3" s="1"/>
  <c r="O548" i="3" s="1"/>
  <c r="O549" i="3" s="1"/>
  <c r="O550" i="3" s="1"/>
  <c r="O551" i="3" s="1"/>
  <c r="O552" i="3" s="1"/>
  <c r="O553" i="3" s="1"/>
  <c r="O554" i="3" s="1"/>
  <c r="O555" i="3" s="1"/>
  <c r="O556" i="3" s="1"/>
  <c r="O557" i="3" s="1"/>
  <c r="O558" i="3" s="1"/>
  <c r="O559" i="3" s="1"/>
  <c r="O560" i="3" s="1"/>
  <c r="O561" i="3" s="1"/>
  <c r="O562" i="3" s="1"/>
  <c r="O563" i="3" s="1"/>
  <c r="O564" i="3" s="1"/>
  <c r="O565" i="3" s="1"/>
  <c r="O566" i="3" s="1"/>
  <c r="O567" i="3" s="1"/>
  <c r="O568" i="3" s="1"/>
  <c r="O569" i="3" s="1"/>
  <c r="O570" i="3" s="1"/>
  <c r="O571" i="3" s="1"/>
  <c r="O572" i="3" s="1"/>
  <c r="O573" i="3" s="1"/>
  <c r="O574" i="3" s="1"/>
  <c r="O575" i="3" s="1"/>
  <c r="O576" i="3" s="1"/>
  <c r="O577" i="3" s="1"/>
  <c r="O578" i="3" s="1"/>
  <c r="O579" i="3" s="1"/>
  <c r="O580" i="3" s="1"/>
  <c r="O581" i="3" s="1"/>
  <c r="O582" i="3" s="1"/>
  <c r="O583" i="3" s="1"/>
  <c r="O584" i="3" s="1"/>
  <c r="O585" i="3" s="1"/>
  <c r="O586" i="3" s="1"/>
  <c r="O587" i="3" s="1"/>
  <c r="O588" i="3" s="1"/>
  <c r="O589" i="3" s="1"/>
  <c r="O590" i="3" s="1"/>
  <c r="O591" i="3" s="1"/>
  <c r="O592" i="3" s="1"/>
  <c r="O593" i="3" s="1"/>
  <c r="O594" i="3" s="1"/>
  <c r="O595" i="3" s="1"/>
  <c r="O596" i="3" s="1"/>
  <c r="O597" i="3" s="1"/>
  <c r="O598" i="3" s="1"/>
  <c r="O599" i="3" s="1"/>
  <c r="O600" i="3" s="1"/>
  <c r="O601" i="3" s="1"/>
  <c r="O602" i="3" s="1"/>
  <c r="O603" i="3" s="1"/>
  <c r="O604" i="3" s="1"/>
  <c r="O605" i="3" s="1"/>
  <c r="O606" i="3" s="1"/>
  <c r="O607" i="3" s="1"/>
  <c r="O608" i="3" s="1"/>
  <c r="O609" i="3" s="1"/>
  <c r="O610" i="3" s="1"/>
  <c r="O611" i="3" s="1"/>
  <c r="O612" i="3" s="1"/>
  <c r="O613" i="3" s="1"/>
  <c r="O614" i="3" s="1"/>
  <c r="O615" i="3" s="1"/>
  <c r="O616" i="3" s="1"/>
  <c r="O617" i="3" s="1"/>
  <c r="O618" i="3" s="1"/>
  <c r="O619" i="3" s="1"/>
  <c r="O620" i="3" s="1"/>
  <c r="O621" i="3" s="1"/>
  <c r="O622" i="3" s="1"/>
  <c r="O623" i="3" s="1"/>
  <c r="O624" i="3" s="1"/>
  <c r="O625" i="3" s="1"/>
  <c r="O626" i="3" s="1"/>
  <c r="O627" i="3" s="1"/>
  <c r="O628" i="3" s="1"/>
  <c r="O629" i="3" s="1"/>
  <c r="O630" i="3" s="1"/>
  <c r="O631" i="3" s="1"/>
  <c r="O632" i="3" s="1"/>
  <c r="O633" i="3" s="1"/>
  <c r="O634" i="3" s="1"/>
  <c r="O635" i="3" s="1"/>
  <c r="O636" i="3" s="1"/>
  <c r="O637" i="3" s="1"/>
  <c r="O638" i="3" s="1"/>
  <c r="O639" i="3" s="1"/>
  <c r="O640" i="3" s="1"/>
  <c r="O641" i="3" s="1"/>
  <c r="O642" i="3" s="1"/>
  <c r="O643" i="3" s="1"/>
  <c r="O644" i="3" s="1"/>
  <c r="O645" i="3" s="1"/>
  <c r="O646" i="3" s="1"/>
  <c r="O647" i="3" s="1"/>
  <c r="O648" i="3" s="1"/>
  <c r="O649" i="3" s="1"/>
  <c r="O650" i="3" s="1"/>
  <c r="O651" i="3" s="1"/>
  <c r="O652" i="3" s="1"/>
  <c r="O653" i="3" s="1"/>
  <c r="O654" i="3" s="1"/>
  <c r="O655" i="3" s="1"/>
  <c r="O656" i="3" s="1"/>
  <c r="O657" i="3" s="1"/>
  <c r="O658" i="3" s="1"/>
  <c r="O659" i="3" s="1"/>
  <c r="O660" i="3" s="1"/>
  <c r="O661" i="3" s="1"/>
  <c r="O662" i="3" s="1"/>
  <c r="O663" i="3" s="1"/>
  <c r="O664" i="3" s="1"/>
  <c r="O665" i="3" s="1"/>
  <c r="O666" i="3" s="1"/>
  <c r="O667" i="3" s="1"/>
  <c r="O668" i="3" s="1"/>
  <c r="O669" i="3" s="1"/>
  <c r="O670" i="3" s="1"/>
  <c r="O671" i="3" s="1"/>
  <c r="O672" i="3" s="1"/>
  <c r="O673" i="3" s="1"/>
  <c r="O674" i="3" s="1"/>
  <c r="O675" i="3" s="1"/>
  <c r="O676" i="3" s="1"/>
  <c r="O677" i="3" s="1"/>
  <c r="O678" i="3" s="1"/>
  <c r="O679" i="3" s="1"/>
  <c r="O680" i="3" s="1"/>
  <c r="O681" i="3" s="1"/>
  <c r="O682" i="3" s="1"/>
  <c r="O683" i="3" s="1"/>
  <c r="O684" i="3" s="1"/>
  <c r="O685" i="3" s="1"/>
  <c r="O686" i="3" s="1"/>
  <c r="O687" i="3" s="1"/>
  <c r="O688" i="3" s="1"/>
  <c r="O689" i="3" s="1"/>
  <c r="O690" i="3" s="1"/>
  <c r="O691" i="3" s="1"/>
  <c r="O692" i="3" s="1"/>
  <c r="O693" i="3" s="1"/>
  <c r="O694" i="3" s="1"/>
  <c r="O695" i="3" s="1"/>
  <c r="O696" i="3" s="1"/>
  <c r="O697" i="3" s="1"/>
  <c r="O698" i="3" s="1"/>
  <c r="O699" i="3" s="1"/>
  <c r="O700" i="3" s="1"/>
  <c r="O701" i="3" s="1"/>
  <c r="O702" i="3" s="1"/>
  <c r="O703" i="3" s="1"/>
  <c r="O704" i="3" s="1"/>
  <c r="O705" i="3" s="1"/>
  <c r="O706" i="3" s="1"/>
  <c r="O707" i="3" s="1"/>
  <c r="O708" i="3" s="1"/>
  <c r="O709" i="3" s="1"/>
  <c r="O710" i="3" s="1"/>
  <c r="O711" i="3" s="1"/>
  <c r="O712" i="3" s="1"/>
  <c r="O713" i="3" s="1"/>
  <c r="O714" i="3" s="1"/>
  <c r="O715" i="3" s="1"/>
  <c r="O716" i="3" s="1"/>
  <c r="O717" i="3" s="1"/>
  <c r="O718" i="3" s="1"/>
  <c r="O719" i="3" s="1"/>
  <c r="O720" i="3" s="1"/>
  <c r="O721" i="3" s="1"/>
  <c r="O722" i="3" s="1"/>
  <c r="O723" i="3" s="1"/>
  <c r="O724" i="3" s="1"/>
  <c r="O725" i="3" s="1"/>
  <c r="O726" i="3" s="1"/>
  <c r="O727" i="3" s="1"/>
  <c r="O728" i="3" s="1"/>
  <c r="O729" i="3" s="1"/>
  <c r="O730" i="3" s="1"/>
  <c r="O731" i="3" s="1"/>
  <c r="O732" i="3" s="1"/>
  <c r="O733" i="3" s="1"/>
  <c r="O734" i="3" s="1"/>
  <c r="O735" i="3" s="1"/>
  <c r="O736" i="3" s="1"/>
  <c r="O737" i="3" s="1"/>
  <c r="O738" i="3" s="1"/>
  <c r="O739" i="3" s="1"/>
  <c r="O740" i="3" s="1"/>
  <c r="O741" i="3" s="1"/>
  <c r="O742" i="3" s="1"/>
  <c r="O743" i="3" s="1"/>
  <c r="O744" i="3" s="1"/>
  <c r="O745" i="3" s="1"/>
  <c r="O746" i="3" s="1"/>
  <c r="O747" i="3" s="1"/>
  <c r="O748" i="3" s="1"/>
  <c r="O749" i="3" s="1"/>
  <c r="O750" i="3" s="1"/>
  <c r="O751" i="3" s="1"/>
  <c r="O752" i="3" s="1"/>
  <c r="O753" i="3" s="1"/>
  <c r="O754" i="3" s="1"/>
  <c r="O755" i="3" s="1"/>
  <c r="O756" i="3" s="1"/>
  <c r="O757" i="3" s="1"/>
  <c r="O758" i="3" s="1"/>
  <c r="O759" i="3" s="1"/>
  <c r="O760" i="3" s="1"/>
  <c r="O761" i="3" s="1"/>
  <c r="O762" i="3" s="1"/>
  <c r="O763" i="3" s="1"/>
  <c r="O764" i="3" s="1"/>
  <c r="O765" i="3" s="1"/>
  <c r="O766" i="3" s="1"/>
  <c r="O767" i="3" s="1"/>
  <c r="O768" i="3" s="1"/>
  <c r="O769" i="3" s="1"/>
  <c r="O770" i="3" s="1"/>
  <c r="O771" i="3" s="1"/>
  <c r="O772" i="3" s="1"/>
  <c r="O773" i="3" s="1"/>
  <c r="O774" i="3" s="1"/>
  <c r="O775" i="3" s="1"/>
  <c r="O776" i="3" s="1"/>
  <c r="O777" i="3" s="1"/>
  <c r="O778" i="3" s="1"/>
  <c r="O779" i="3" s="1"/>
  <c r="O780" i="3" s="1"/>
  <c r="O781" i="3" s="1"/>
  <c r="O782" i="3" s="1"/>
  <c r="O783" i="3" s="1"/>
  <c r="O784" i="3" s="1"/>
  <c r="O785" i="3" s="1"/>
  <c r="O786" i="3" s="1"/>
  <c r="O787" i="3" s="1"/>
  <c r="O788" i="3" s="1"/>
  <c r="O789" i="3" s="1"/>
  <c r="O790" i="3" s="1"/>
  <c r="O791" i="3" s="1"/>
  <c r="O792" i="3" s="1"/>
  <c r="O793" i="3" s="1"/>
  <c r="O794" i="3" s="1"/>
  <c r="O795" i="3" s="1"/>
  <c r="O796" i="3" s="1"/>
  <c r="O797" i="3" s="1"/>
  <c r="O798" i="3" s="1"/>
  <c r="O799" i="3" s="1"/>
  <c r="O800" i="3" s="1"/>
  <c r="O801" i="3" s="1"/>
  <c r="O802" i="3" s="1"/>
  <c r="O803" i="3" s="1"/>
  <c r="O804" i="3" s="1"/>
  <c r="O805" i="3" s="1"/>
  <c r="O806" i="3" s="1"/>
  <c r="O807" i="3" s="1"/>
  <c r="O808" i="3" s="1"/>
  <c r="O809" i="3" s="1"/>
  <c r="O810" i="3" s="1"/>
  <c r="O811" i="3" s="1"/>
  <c r="O812" i="3" s="1"/>
  <c r="O813" i="3" s="1"/>
  <c r="O814" i="3" s="1"/>
  <c r="O815" i="3" s="1"/>
  <c r="O816" i="3" s="1"/>
  <c r="O817" i="3" s="1"/>
  <c r="O818" i="3" s="1"/>
  <c r="O819" i="3" s="1"/>
  <c r="O820" i="3" s="1"/>
  <c r="O821" i="3" s="1"/>
  <c r="O822" i="3" s="1"/>
  <c r="O823" i="3" s="1"/>
  <c r="O824" i="3" s="1"/>
  <c r="O825" i="3" s="1"/>
  <c r="O826" i="3" s="1"/>
  <c r="O827" i="3" s="1"/>
  <c r="O828" i="3" s="1"/>
  <c r="O829" i="3" s="1"/>
  <c r="O830" i="3" s="1"/>
  <c r="O831" i="3" s="1"/>
  <c r="O832" i="3" s="1"/>
  <c r="O833" i="3" s="1"/>
  <c r="O834" i="3" s="1"/>
  <c r="O835" i="3" s="1"/>
  <c r="O836" i="3" s="1"/>
  <c r="O837" i="3" s="1"/>
  <c r="O838" i="3" s="1"/>
  <c r="O839" i="3" s="1"/>
  <c r="O840" i="3" s="1"/>
  <c r="O841" i="3" s="1"/>
  <c r="O842" i="3" s="1"/>
  <c r="O843" i="3" s="1"/>
  <c r="O844" i="3" s="1"/>
  <c r="O845" i="3" s="1"/>
  <c r="O846" i="3" s="1"/>
  <c r="O847" i="3" s="1"/>
  <c r="O848" i="3" s="1"/>
  <c r="O849" i="3" s="1"/>
  <c r="O850" i="3" s="1"/>
  <c r="O851" i="3" s="1"/>
  <c r="O852" i="3" s="1"/>
  <c r="O853" i="3" s="1"/>
  <c r="O854" i="3" s="1"/>
  <c r="O855" i="3" s="1"/>
  <c r="O856" i="3" s="1"/>
  <c r="O857" i="3" s="1"/>
  <c r="O858" i="3" s="1"/>
  <c r="O859" i="3" s="1"/>
  <c r="O860" i="3" s="1"/>
  <c r="O861" i="3" s="1"/>
  <c r="O862" i="3" s="1"/>
  <c r="O863" i="3" s="1"/>
  <c r="O864" i="3" s="1"/>
  <c r="O865" i="3" s="1"/>
  <c r="O866" i="3" s="1"/>
  <c r="O867" i="3" s="1"/>
  <c r="O868" i="3" s="1"/>
  <c r="O869" i="3" s="1"/>
  <c r="O870" i="3" s="1"/>
  <c r="O871" i="3" s="1"/>
  <c r="O872" i="3" s="1"/>
  <c r="O873" i="3" s="1"/>
  <c r="O874" i="3" s="1"/>
  <c r="O875" i="3" s="1"/>
  <c r="O876" i="3" s="1"/>
  <c r="O877" i="3" s="1"/>
  <c r="O878" i="3" s="1"/>
  <c r="O879" i="3" s="1"/>
  <c r="O880" i="3" s="1"/>
  <c r="O881" i="3" s="1"/>
  <c r="O882" i="3" s="1"/>
  <c r="O883" i="3" s="1"/>
  <c r="O884" i="3" s="1"/>
  <c r="O885" i="3" s="1"/>
  <c r="O886" i="3" s="1"/>
  <c r="O887" i="3" s="1"/>
  <c r="O888" i="3" s="1"/>
  <c r="O889" i="3" s="1"/>
  <c r="O890" i="3" s="1"/>
  <c r="O891" i="3" s="1"/>
  <c r="O892" i="3" s="1"/>
  <c r="O893" i="3" s="1"/>
  <c r="O894" i="3" s="1"/>
  <c r="O895" i="3" s="1"/>
  <c r="O896" i="3" s="1"/>
  <c r="O897" i="3" s="1"/>
  <c r="O898" i="3" s="1"/>
  <c r="O899" i="3" s="1"/>
  <c r="O900" i="3" s="1"/>
  <c r="O901" i="3" s="1"/>
  <c r="O902" i="3" s="1"/>
  <c r="O10" i="3"/>
  <c r="Z48" i="2" a="1"/>
  <c r="Z48" i="2" s="1"/>
  <c r="Z105" i="2" a="1"/>
  <c r="Z105" i="2" s="1"/>
  <c r="Z147" i="2" a="1"/>
  <c r="Z147" i="2" s="1"/>
  <c r="Z51" i="2" a="1"/>
  <c r="Z51" i="2" s="1"/>
  <c r="Z145" i="2" a="1"/>
  <c r="Z145" i="2" s="1"/>
  <c r="Z165" i="2" a="1"/>
  <c r="Z165" i="2" s="1"/>
  <c r="Z171" i="2" a="1"/>
  <c r="Z171" i="2" s="1"/>
  <c r="Z173" i="2" a="1"/>
  <c r="Z173" i="2" s="1"/>
  <c r="Z200" i="2" a="1"/>
  <c r="Z200" i="2" s="1"/>
  <c r="Z222" i="2" a="1"/>
  <c r="Z222" i="2" s="1"/>
  <c r="Z225" i="2" a="1"/>
  <c r="Z225" i="2" s="1"/>
  <c r="Z238" i="2" a="1"/>
  <c r="Z238" i="2" s="1"/>
  <c r="Z269" i="2" a="1"/>
  <c r="Z269" i="2" s="1"/>
  <c r="Z318" i="2" a="1"/>
  <c r="Z318" i="2" s="1"/>
  <c r="Z325" i="2" a="1"/>
  <c r="Z325" i="2" s="1"/>
  <c r="Z328" i="2" a="1"/>
  <c r="Z328" i="2" s="1"/>
  <c r="Z365" i="2" a="1"/>
  <c r="Z365" i="2" s="1"/>
  <c r="Z371" i="2" a="1"/>
  <c r="Z371" i="2" s="1"/>
  <c r="Z375" i="2" a="1"/>
  <c r="Z375" i="2" s="1"/>
  <c r="Z382" i="2" a="1"/>
  <c r="Z382" i="2" s="1"/>
  <c r="Z385" i="2" a="1"/>
  <c r="Z385" i="2" s="1"/>
  <c r="Z426" i="2" a="1"/>
  <c r="Z426" i="2" s="1"/>
  <c r="Z429" i="2" a="1"/>
  <c r="Z429" i="2" s="1"/>
  <c r="Z449" i="2" a="1"/>
  <c r="Z449" i="2" s="1"/>
  <c r="Z504" i="2" a="1"/>
  <c r="Z504" i="2" s="1"/>
  <c r="Z510" i="2" a="1"/>
  <c r="Z510" i="2" s="1"/>
  <c r="Z548" i="2" a="1"/>
  <c r="Z548" i="2" s="1"/>
  <c r="Z561" i="2" a="1"/>
  <c r="Z561" i="2" s="1"/>
  <c r="Z564" i="2" a="1"/>
  <c r="Z564" i="2" s="1"/>
  <c r="N10" i="3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N548" i="3" s="1"/>
  <c r="N549" i="3" s="1"/>
  <c r="N550" i="3" s="1"/>
  <c r="N551" i="3" s="1"/>
  <c r="N552" i="3" s="1"/>
  <c r="N553" i="3" s="1"/>
  <c r="N554" i="3" s="1"/>
  <c r="N555" i="3" s="1"/>
  <c r="N556" i="3" s="1"/>
  <c r="N557" i="3" s="1"/>
  <c r="N558" i="3" s="1"/>
  <c r="N559" i="3" s="1"/>
  <c r="N560" i="3" s="1"/>
  <c r="N561" i="3" s="1"/>
  <c r="N562" i="3" s="1"/>
  <c r="N563" i="3" s="1"/>
  <c r="N564" i="3" s="1"/>
  <c r="N565" i="3" s="1"/>
  <c r="N566" i="3" s="1"/>
  <c r="N567" i="3" s="1"/>
  <c r="N568" i="3" s="1"/>
  <c r="N569" i="3" s="1"/>
  <c r="N570" i="3" s="1"/>
  <c r="N571" i="3" s="1"/>
  <c r="N572" i="3" s="1"/>
  <c r="N573" i="3" s="1"/>
  <c r="N574" i="3" s="1"/>
  <c r="N575" i="3" s="1"/>
  <c r="N576" i="3" s="1"/>
  <c r="N577" i="3" s="1"/>
  <c r="N578" i="3" s="1"/>
  <c r="N579" i="3" s="1"/>
  <c r="N580" i="3" s="1"/>
  <c r="N581" i="3" s="1"/>
  <c r="N582" i="3" s="1"/>
  <c r="N583" i="3" s="1"/>
  <c r="N584" i="3" s="1"/>
  <c r="N585" i="3" s="1"/>
  <c r="N586" i="3" s="1"/>
  <c r="N587" i="3" s="1"/>
  <c r="N588" i="3" s="1"/>
  <c r="N589" i="3" s="1"/>
  <c r="N590" i="3" s="1"/>
  <c r="N591" i="3" s="1"/>
  <c r="N592" i="3" s="1"/>
  <c r="N593" i="3" s="1"/>
  <c r="N594" i="3" s="1"/>
  <c r="N595" i="3" s="1"/>
  <c r="N596" i="3" s="1"/>
  <c r="N597" i="3" s="1"/>
  <c r="N598" i="3" s="1"/>
  <c r="N599" i="3" s="1"/>
  <c r="N600" i="3" s="1"/>
  <c r="N601" i="3" s="1"/>
  <c r="N602" i="3" s="1"/>
  <c r="N603" i="3" s="1"/>
  <c r="N604" i="3" s="1"/>
  <c r="N605" i="3" s="1"/>
  <c r="N606" i="3" s="1"/>
  <c r="N607" i="3" s="1"/>
  <c r="N608" i="3" s="1"/>
  <c r="N609" i="3" s="1"/>
  <c r="N610" i="3" s="1"/>
  <c r="N611" i="3" s="1"/>
  <c r="N612" i="3" s="1"/>
  <c r="N613" i="3" s="1"/>
  <c r="N614" i="3" s="1"/>
  <c r="N615" i="3" s="1"/>
  <c r="N616" i="3" s="1"/>
  <c r="N617" i="3" s="1"/>
  <c r="N618" i="3" s="1"/>
  <c r="N619" i="3" s="1"/>
  <c r="N620" i="3" s="1"/>
  <c r="N621" i="3" s="1"/>
  <c r="N622" i="3" s="1"/>
  <c r="N623" i="3" s="1"/>
  <c r="N624" i="3" s="1"/>
  <c r="N625" i="3" s="1"/>
  <c r="N626" i="3" s="1"/>
  <c r="N627" i="3" s="1"/>
  <c r="N628" i="3" s="1"/>
  <c r="N629" i="3" s="1"/>
  <c r="N630" i="3" s="1"/>
  <c r="N631" i="3" s="1"/>
  <c r="N632" i="3" s="1"/>
  <c r="N633" i="3" s="1"/>
  <c r="N634" i="3" s="1"/>
  <c r="N635" i="3" s="1"/>
  <c r="N636" i="3" s="1"/>
  <c r="N637" i="3" s="1"/>
  <c r="N638" i="3" s="1"/>
  <c r="N639" i="3" s="1"/>
  <c r="N640" i="3" s="1"/>
  <c r="N641" i="3" s="1"/>
  <c r="N642" i="3" s="1"/>
  <c r="N643" i="3" s="1"/>
  <c r="N644" i="3" s="1"/>
  <c r="N645" i="3" s="1"/>
  <c r="N646" i="3" s="1"/>
  <c r="N647" i="3" s="1"/>
  <c r="N648" i="3" s="1"/>
  <c r="N649" i="3" s="1"/>
  <c r="N650" i="3" s="1"/>
  <c r="N651" i="3" s="1"/>
  <c r="N652" i="3" s="1"/>
  <c r="N653" i="3" s="1"/>
  <c r="N654" i="3" s="1"/>
  <c r="N655" i="3" s="1"/>
  <c r="N656" i="3" s="1"/>
  <c r="N657" i="3" s="1"/>
  <c r="N658" i="3" s="1"/>
  <c r="N659" i="3" s="1"/>
  <c r="N660" i="3" s="1"/>
  <c r="N661" i="3" s="1"/>
  <c r="N662" i="3" s="1"/>
  <c r="N663" i="3" s="1"/>
  <c r="N664" i="3" s="1"/>
  <c r="N665" i="3" s="1"/>
  <c r="N666" i="3" s="1"/>
  <c r="N667" i="3" s="1"/>
  <c r="N668" i="3" s="1"/>
  <c r="N669" i="3" s="1"/>
  <c r="N670" i="3" s="1"/>
  <c r="N671" i="3" s="1"/>
  <c r="N672" i="3" s="1"/>
  <c r="N673" i="3" s="1"/>
  <c r="N674" i="3" s="1"/>
  <c r="N675" i="3" s="1"/>
  <c r="N676" i="3" s="1"/>
  <c r="N677" i="3" s="1"/>
  <c r="N678" i="3" s="1"/>
  <c r="N679" i="3" s="1"/>
  <c r="N680" i="3" s="1"/>
  <c r="N681" i="3" s="1"/>
  <c r="N682" i="3" s="1"/>
  <c r="N683" i="3" s="1"/>
  <c r="N684" i="3" s="1"/>
  <c r="N685" i="3" s="1"/>
  <c r="N686" i="3" s="1"/>
  <c r="N687" i="3" s="1"/>
  <c r="N688" i="3" s="1"/>
  <c r="N689" i="3" s="1"/>
  <c r="N690" i="3" s="1"/>
  <c r="N691" i="3" s="1"/>
  <c r="N692" i="3" s="1"/>
  <c r="N693" i="3" s="1"/>
  <c r="N694" i="3" s="1"/>
  <c r="N695" i="3" s="1"/>
  <c r="N696" i="3" s="1"/>
  <c r="N697" i="3" s="1"/>
  <c r="N698" i="3" s="1"/>
  <c r="N699" i="3" s="1"/>
  <c r="N700" i="3" s="1"/>
  <c r="N701" i="3" s="1"/>
  <c r="N702" i="3" s="1"/>
  <c r="N703" i="3" s="1"/>
  <c r="N704" i="3" s="1"/>
  <c r="N705" i="3" s="1"/>
  <c r="N706" i="3" s="1"/>
  <c r="N707" i="3" s="1"/>
  <c r="N708" i="3" s="1"/>
  <c r="N709" i="3" s="1"/>
  <c r="N710" i="3" s="1"/>
  <c r="N711" i="3" s="1"/>
  <c r="N712" i="3" s="1"/>
  <c r="N713" i="3" s="1"/>
  <c r="N714" i="3" s="1"/>
  <c r="N715" i="3" s="1"/>
  <c r="N716" i="3" s="1"/>
  <c r="N717" i="3" s="1"/>
  <c r="N718" i="3" s="1"/>
  <c r="N719" i="3" s="1"/>
  <c r="N720" i="3" s="1"/>
  <c r="N721" i="3" s="1"/>
  <c r="N722" i="3" s="1"/>
  <c r="N723" i="3" s="1"/>
  <c r="N724" i="3" s="1"/>
  <c r="N725" i="3" s="1"/>
  <c r="N726" i="3" s="1"/>
  <c r="N727" i="3" s="1"/>
  <c r="N728" i="3" s="1"/>
  <c r="N729" i="3" s="1"/>
  <c r="N730" i="3" s="1"/>
  <c r="N731" i="3" s="1"/>
  <c r="N732" i="3" s="1"/>
  <c r="N733" i="3" s="1"/>
  <c r="N734" i="3" s="1"/>
  <c r="N735" i="3" s="1"/>
  <c r="N736" i="3" s="1"/>
  <c r="N737" i="3" s="1"/>
  <c r="N738" i="3" s="1"/>
  <c r="N739" i="3" s="1"/>
  <c r="N740" i="3" s="1"/>
  <c r="N741" i="3" s="1"/>
  <c r="N742" i="3" s="1"/>
  <c r="N743" i="3" s="1"/>
  <c r="N744" i="3" s="1"/>
  <c r="N745" i="3" s="1"/>
  <c r="N746" i="3" s="1"/>
  <c r="N747" i="3" s="1"/>
  <c r="N748" i="3" s="1"/>
  <c r="N749" i="3" s="1"/>
  <c r="N750" i="3" s="1"/>
  <c r="N751" i="3" s="1"/>
  <c r="N752" i="3" s="1"/>
  <c r="N753" i="3" s="1"/>
  <c r="N754" i="3" s="1"/>
  <c r="N755" i="3" s="1"/>
  <c r="N756" i="3" s="1"/>
  <c r="N757" i="3" s="1"/>
  <c r="N758" i="3" s="1"/>
  <c r="N759" i="3" s="1"/>
  <c r="N760" i="3" s="1"/>
  <c r="N761" i="3" s="1"/>
  <c r="N762" i="3" s="1"/>
  <c r="N763" i="3" s="1"/>
  <c r="N764" i="3" s="1"/>
  <c r="N765" i="3" s="1"/>
  <c r="N766" i="3" s="1"/>
  <c r="N767" i="3" s="1"/>
  <c r="N768" i="3" s="1"/>
  <c r="N769" i="3" s="1"/>
  <c r="N770" i="3" s="1"/>
  <c r="N771" i="3" s="1"/>
  <c r="N772" i="3" s="1"/>
  <c r="N773" i="3" s="1"/>
  <c r="N774" i="3" s="1"/>
  <c r="N775" i="3" s="1"/>
  <c r="N776" i="3" s="1"/>
  <c r="N777" i="3" s="1"/>
  <c r="N778" i="3" s="1"/>
  <c r="N779" i="3" s="1"/>
  <c r="N780" i="3" s="1"/>
  <c r="N781" i="3" s="1"/>
  <c r="N782" i="3" s="1"/>
  <c r="N783" i="3" s="1"/>
  <c r="N784" i="3" s="1"/>
  <c r="N785" i="3" s="1"/>
  <c r="N786" i="3" s="1"/>
  <c r="N787" i="3" s="1"/>
  <c r="N788" i="3" s="1"/>
  <c r="N789" i="3" s="1"/>
  <c r="N790" i="3" s="1"/>
  <c r="N791" i="3" s="1"/>
  <c r="N792" i="3" s="1"/>
  <c r="N793" i="3" s="1"/>
  <c r="N794" i="3" s="1"/>
  <c r="N795" i="3" s="1"/>
  <c r="N796" i="3" s="1"/>
  <c r="N797" i="3" s="1"/>
  <c r="N798" i="3" s="1"/>
  <c r="N799" i="3" s="1"/>
  <c r="N800" i="3" s="1"/>
  <c r="N801" i="3" s="1"/>
  <c r="N802" i="3" s="1"/>
  <c r="N803" i="3" s="1"/>
  <c r="N804" i="3" s="1"/>
  <c r="N805" i="3" s="1"/>
  <c r="N806" i="3" s="1"/>
  <c r="N807" i="3" s="1"/>
  <c r="N808" i="3" s="1"/>
  <c r="N809" i="3" s="1"/>
  <c r="N810" i="3" s="1"/>
  <c r="N811" i="3" s="1"/>
  <c r="N812" i="3" s="1"/>
  <c r="N813" i="3" s="1"/>
  <c r="N814" i="3" s="1"/>
  <c r="N815" i="3" s="1"/>
  <c r="N816" i="3" s="1"/>
  <c r="N817" i="3" s="1"/>
  <c r="N818" i="3" s="1"/>
  <c r="N819" i="3" s="1"/>
  <c r="N820" i="3" s="1"/>
  <c r="N821" i="3" s="1"/>
  <c r="N822" i="3" s="1"/>
  <c r="N823" i="3" s="1"/>
  <c r="N824" i="3" s="1"/>
  <c r="N825" i="3" s="1"/>
  <c r="N826" i="3" s="1"/>
  <c r="N827" i="3" s="1"/>
  <c r="N828" i="3" s="1"/>
  <c r="N829" i="3" s="1"/>
  <c r="N830" i="3" s="1"/>
  <c r="N831" i="3" s="1"/>
  <c r="N832" i="3" s="1"/>
  <c r="N833" i="3" s="1"/>
  <c r="N834" i="3" s="1"/>
  <c r="N835" i="3" s="1"/>
  <c r="N836" i="3" s="1"/>
  <c r="N837" i="3" s="1"/>
  <c r="N838" i="3" s="1"/>
  <c r="N839" i="3" s="1"/>
  <c r="N840" i="3" s="1"/>
  <c r="N841" i="3" s="1"/>
  <c r="N842" i="3" s="1"/>
  <c r="N843" i="3" s="1"/>
  <c r="N844" i="3" s="1"/>
  <c r="N845" i="3" s="1"/>
  <c r="N846" i="3" s="1"/>
  <c r="N847" i="3" s="1"/>
  <c r="N848" i="3" s="1"/>
  <c r="N849" i="3" s="1"/>
  <c r="N850" i="3" s="1"/>
  <c r="N851" i="3" s="1"/>
  <c r="N852" i="3" s="1"/>
  <c r="N853" i="3" s="1"/>
  <c r="N854" i="3" s="1"/>
  <c r="N855" i="3" s="1"/>
  <c r="N856" i="3" s="1"/>
  <c r="N857" i="3" s="1"/>
  <c r="N858" i="3" s="1"/>
  <c r="N859" i="3" s="1"/>
  <c r="N860" i="3" s="1"/>
  <c r="N861" i="3" s="1"/>
  <c r="N862" i="3" s="1"/>
  <c r="N863" i="3" s="1"/>
  <c r="N864" i="3" s="1"/>
  <c r="N865" i="3" s="1"/>
  <c r="N866" i="3" s="1"/>
  <c r="N867" i="3" s="1"/>
  <c r="N868" i="3" s="1"/>
  <c r="N869" i="3" s="1"/>
  <c r="N870" i="3" s="1"/>
  <c r="N871" i="3" s="1"/>
  <c r="N872" i="3" s="1"/>
  <c r="N873" i="3" s="1"/>
  <c r="N874" i="3" s="1"/>
  <c r="N875" i="3" s="1"/>
  <c r="N876" i="3" s="1"/>
  <c r="N877" i="3" s="1"/>
  <c r="N878" i="3" s="1"/>
  <c r="N879" i="3" s="1"/>
  <c r="N880" i="3" s="1"/>
  <c r="N881" i="3" s="1"/>
  <c r="N882" i="3" s="1"/>
  <c r="N883" i="3" s="1"/>
  <c r="N884" i="3" s="1"/>
  <c r="N885" i="3" s="1"/>
  <c r="N886" i="3" s="1"/>
  <c r="N887" i="3" s="1"/>
  <c r="N888" i="3" s="1"/>
  <c r="N889" i="3" s="1"/>
  <c r="N890" i="3" s="1"/>
  <c r="N891" i="3" s="1"/>
  <c r="N892" i="3" s="1"/>
  <c r="N893" i="3" s="1"/>
  <c r="N894" i="3" s="1"/>
  <c r="N895" i="3" s="1"/>
  <c r="N896" i="3" s="1"/>
  <c r="N897" i="3" s="1"/>
  <c r="N898" i="3" s="1"/>
  <c r="N899" i="3" s="1"/>
  <c r="N900" i="3" s="1"/>
  <c r="N901" i="3" s="1"/>
  <c r="N902" i="3" s="1"/>
  <c r="Z85" i="2" a="1"/>
  <c r="Z85" i="2" s="1"/>
  <c r="Z135" i="2" a="1"/>
  <c r="Z135" i="2" s="1"/>
  <c r="Z20" i="2" a="1"/>
  <c r="Z20" i="2" s="1"/>
  <c r="Z29" i="2" a="1"/>
  <c r="Z29" i="2" s="1"/>
  <c r="Z102" i="2" a="1"/>
  <c r="Z102" i="2" s="1"/>
  <c r="Z133" i="2" a="1"/>
  <c r="Z133" i="2" s="1"/>
  <c r="Z148" i="2" a="1"/>
  <c r="Z148" i="2" s="1"/>
  <c r="Z182" i="2" a="1"/>
  <c r="Z182" i="2" s="1"/>
  <c r="Z235" i="2" a="1"/>
  <c r="Z235" i="2" s="1"/>
  <c r="Z244" i="2" a="1"/>
  <c r="Z244" i="2" s="1"/>
  <c r="Z256" i="2" a="1"/>
  <c r="Z256" i="2" s="1"/>
  <c r="Z288" i="2" a="1"/>
  <c r="Z288" i="2" s="1"/>
  <c r="Z295" i="2" a="1"/>
  <c r="Z295" i="2" s="1"/>
  <c r="Z302" i="2" a="1"/>
  <c r="Z302" i="2" s="1"/>
  <c r="Z312" i="2" a="1"/>
  <c r="Z312" i="2" s="1"/>
  <c r="Z322" i="2" a="1"/>
  <c r="Z322" i="2" s="1"/>
  <c r="Z348" i="2" a="1"/>
  <c r="Z348" i="2" s="1"/>
  <c r="Z351" i="2" a="1"/>
  <c r="Z351" i="2" s="1"/>
  <c r="Z395" i="2" a="1"/>
  <c r="Z395" i="2" s="1"/>
  <c r="Z423" i="2" a="1"/>
  <c r="Z423" i="2" s="1"/>
  <c r="Z446" i="2" a="1"/>
  <c r="Z446" i="2" s="1"/>
  <c r="Z483" i="2" a="1"/>
  <c r="Z483" i="2" s="1"/>
  <c r="Z490" i="2" a="1"/>
  <c r="Z490" i="2" s="1"/>
  <c r="Z521" i="2" a="1"/>
  <c r="Z521" i="2" s="1"/>
  <c r="Z535" i="2" a="1"/>
  <c r="Z535" i="2" s="1"/>
  <c r="Z538" i="2" a="1"/>
  <c r="Z538" i="2" s="1"/>
  <c r="Z544" i="2" a="1"/>
  <c r="Z544" i="2" s="1"/>
  <c r="Z558" i="2" a="1"/>
  <c r="Z558" i="2" s="1"/>
  <c r="Z70" i="2" a="1"/>
  <c r="Z70" i="2" s="1"/>
  <c r="Z132" i="2" a="1"/>
  <c r="Z132" i="2" s="1"/>
  <c r="Z23" i="2" a="1"/>
  <c r="Z23" i="2" s="1"/>
  <c r="Z45" i="2" a="1"/>
  <c r="Z45" i="2" s="1"/>
  <c r="Z63" i="2" a="1"/>
  <c r="Z63" i="2" s="1"/>
  <c r="Z83" i="2" a="1"/>
  <c r="Z83" i="2" s="1"/>
  <c r="Z92" i="2" a="1"/>
  <c r="Z92" i="2" s="1"/>
  <c r="Z154" i="2" a="1"/>
  <c r="Z154" i="2" s="1"/>
  <c r="Z166" i="2" a="1"/>
  <c r="Z166" i="2" s="1"/>
  <c r="Z209" i="2" a="1"/>
  <c r="Z209" i="2" s="1"/>
  <c r="Z250" i="2" a="1"/>
  <c r="Z250" i="2" s="1"/>
  <c r="Z266" i="2" a="1"/>
  <c r="Z266" i="2" s="1"/>
  <c r="Z319" i="2" a="1"/>
  <c r="Z319" i="2" s="1"/>
  <c r="Z329" i="2" a="1"/>
  <c r="Z329" i="2" s="1"/>
  <c r="Z339" i="2" a="1"/>
  <c r="Z339" i="2" s="1"/>
  <c r="Z372" i="2" a="1"/>
  <c r="Z372" i="2" s="1"/>
  <c r="Z379" i="2" a="1"/>
  <c r="Z379" i="2" s="1"/>
  <c r="Z389" i="2" a="1"/>
  <c r="Z389" i="2" s="1"/>
  <c r="Z427" i="2" a="1"/>
  <c r="Z427" i="2" s="1"/>
  <c r="Z480" i="2" a="1"/>
  <c r="Z480" i="2" s="1"/>
  <c r="Z501" i="2" a="1"/>
  <c r="Z501" i="2" s="1"/>
  <c r="Z511" i="2" a="1"/>
  <c r="Z511" i="2" s="1"/>
  <c r="Z541" i="2" a="1"/>
  <c r="Z541" i="2" s="1"/>
  <c r="Z571" i="2" a="1"/>
  <c r="Z571" i="2" s="1"/>
  <c r="Z28" i="2" a="1"/>
  <c r="Z28" i="2" s="1"/>
  <c r="Z68" i="2" a="1"/>
  <c r="Z68" i="2" s="1"/>
  <c r="Z110" i="2" a="1"/>
  <c r="Z110" i="2" s="1"/>
  <c r="Z162" i="2" a="1"/>
  <c r="Z162" i="2" s="1"/>
  <c r="Z39" i="2" a="1"/>
  <c r="Z39" i="2" s="1"/>
  <c r="Z15" i="2" a="1"/>
  <c r="Z15" i="2" s="1"/>
  <c r="Z59" i="2" a="1"/>
  <c r="Z59" i="2" s="1"/>
  <c r="Z127" i="2" a="1"/>
  <c r="Z127" i="2" s="1"/>
  <c r="Z65" i="2" a="1"/>
  <c r="Z65" i="2" s="1"/>
  <c r="Z77" i="2" a="1"/>
  <c r="Z77" i="2" s="1"/>
  <c r="Z35" i="2" a="1"/>
  <c r="Z35" i="2" s="1"/>
  <c r="Z46" i="2" a="1"/>
  <c r="Z46" i="2" s="1"/>
  <c r="Z103" i="2" a="1"/>
  <c r="Z103" i="2" s="1"/>
  <c r="Z114" i="2" a="1"/>
  <c r="Z114" i="2" s="1"/>
  <c r="Z136" i="2" a="1"/>
  <c r="Z136" i="2" s="1"/>
  <c r="Z139" i="2" a="1"/>
  <c r="Z139" i="2" s="1"/>
  <c r="Z180" i="2" a="1"/>
  <c r="Z180" i="2" s="1"/>
  <c r="Z183" i="2" a="1"/>
  <c r="Z183" i="2" s="1"/>
  <c r="Z186" i="2" a="1"/>
  <c r="Z186" i="2" s="1"/>
  <c r="Z216" i="2" a="1"/>
  <c r="Z216" i="2" s="1"/>
  <c r="Z245" i="2" a="1"/>
  <c r="Z245" i="2" s="1"/>
  <c r="Z248" i="2" a="1"/>
  <c r="Z248" i="2" s="1"/>
  <c r="Z257" i="2" a="1"/>
  <c r="Z257" i="2" s="1"/>
  <c r="Z275" i="2" a="1"/>
  <c r="Z275" i="2" s="1"/>
  <c r="Z342" i="2" a="1"/>
  <c r="Z342" i="2" s="1"/>
  <c r="Z346" i="2" a="1"/>
  <c r="Z346" i="2" s="1"/>
  <c r="Z376" i="2" a="1"/>
  <c r="Z376" i="2" s="1"/>
  <c r="Z386" i="2" a="1"/>
  <c r="Z386" i="2" s="1"/>
  <c r="Z396" i="2" a="1"/>
  <c r="Z396" i="2" s="1"/>
  <c r="Z420" i="2" a="1"/>
  <c r="Z420" i="2" s="1"/>
  <c r="Z433" i="2" a="1"/>
  <c r="Z433" i="2" s="1"/>
  <c r="Z463" i="2" a="1"/>
  <c r="Z463" i="2" s="1"/>
  <c r="Z518" i="2" a="1"/>
  <c r="Z518" i="2" s="1"/>
  <c r="Z528" i="2" a="1"/>
  <c r="Z528" i="2" s="1"/>
  <c r="Z552" i="2" a="1"/>
  <c r="Z552" i="2" s="1"/>
  <c r="Z568" i="2" a="1"/>
  <c r="Z568" i="2" s="1"/>
  <c r="M10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 s="1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  <c r="M753" i="3" s="1"/>
  <c r="M754" i="3" s="1"/>
  <c r="M755" i="3" s="1"/>
  <c r="M756" i="3" s="1"/>
  <c r="M757" i="3" s="1"/>
  <c r="M758" i="3" s="1"/>
  <c r="M759" i="3" s="1"/>
  <c r="M760" i="3" s="1"/>
  <c r="M761" i="3" s="1"/>
  <c r="M762" i="3" s="1"/>
  <c r="M763" i="3" s="1"/>
  <c r="M764" i="3" s="1"/>
  <c r="M765" i="3" s="1"/>
  <c r="M766" i="3" s="1"/>
  <c r="M767" i="3" s="1"/>
  <c r="M768" i="3" s="1"/>
  <c r="M769" i="3" s="1"/>
  <c r="M770" i="3" s="1"/>
  <c r="M771" i="3" s="1"/>
  <c r="M772" i="3" s="1"/>
  <c r="M773" i="3" s="1"/>
  <c r="M774" i="3" s="1"/>
  <c r="M775" i="3" s="1"/>
  <c r="M776" i="3" s="1"/>
  <c r="M777" i="3" s="1"/>
  <c r="M778" i="3" s="1"/>
  <c r="M779" i="3" s="1"/>
  <c r="M780" i="3" s="1"/>
  <c r="M781" i="3" s="1"/>
  <c r="M782" i="3" s="1"/>
  <c r="M783" i="3" s="1"/>
  <c r="M784" i="3" s="1"/>
  <c r="M785" i="3" s="1"/>
  <c r="M786" i="3" s="1"/>
  <c r="M787" i="3" s="1"/>
  <c r="M788" i="3" s="1"/>
  <c r="M789" i="3" s="1"/>
  <c r="M790" i="3" s="1"/>
  <c r="M791" i="3" s="1"/>
  <c r="M792" i="3" s="1"/>
  <c r="M793" i="3" s="1"/>
  <c r="M794" i="3" s="1"/>
  <c r="M795" i="3" s="1"/>
  <c r="M796" i="3" s="1"/>
  <c r="M797" i="3" s="1"/>
  <c r="M798" i="3" s="1"/>
  <c r="M799" i="3" s="1"/>
  <c r="M800" i="3" s="1"/>
  <c r="M801" i="3" s="1"/>
  <c r="M802" i="3" s="1"/>
  <c r="M803" i="3" s="1"/>
  <c r="M804" i="3" s="1"/>
  <c r="M805" i="3" s="1"/>
  <c r="M806" i="3" s="1"/>
  <c r="M807" i="3" s="1"/>
  <c r="M808" i="3" s="1"/>
  <c r="M809" i="3" s="1"/>
  <c r="M810" i="3" s="1"/>
  <c r="M811" i="3" s="1"/>
  <c r="M812" i="3" s="1"/>
  <c r="M813" i="3" s="1"/>
  <c r="M814" i="3" s="1"/>
  <c r="M815" i="3" s="1"/>
  <c r="M816" i="3" s="1"/>
  <c r="M817" i="3" s="1"/>
  <c r="M818" i="3" s="1"/>
  <c r="M819" i="3" s="1"/>
  <c r="M820" i="3" s="1"/>
  <c r="M821" i="3" s="1"/>
  <c r="M822" i="3" s="1"/>
  <c r="M823" i="3" s="1"/>
  <c r="M824" i="3" s="1"/>
  <c r="M825" i="3" s="1"/>
  <c r="M826" i="3" s="1"/>
  <c r="M827" i="3" s="1"/>
  <c r="M828" i="3" s="1"/>
  <c r="M829" i="3" s="1"/>
  <c r="M830" i="3" s="1"/>
  <c r="M831" i="3" s="1"/>
  <c r="M832" i="3" s="1"/>
  <c r="M833" i="3" s="1"/>
  <c r="M834" i="3" s="1"/>
  <c r="M835" i="3" s="1"/>
  <c r="M836" i="3" s="1"/>
  <c r="M837" i="3" s="1"/>
  <c r="M838" i="3" s="1"/>
  <c r="M839" i="3" s="1"/>
  <c r="M840" i="3" s="1"/>
  <c r="M841" i="3" s="1"/>
  <c r="M842" i="3" s="1"/>
  <c r="M843" i="3" s="1"/>
  <c r="M844" i="3" s="1"/>
  <c r="M845" i="3" s="1"/>
  <c r="M846" i="3" s="1"/>
  <c r="M847" i="3" s="1"/>
  <c r="M848" i="3" s="1"/>
  <c r="M849" i="3" s="1"/>
  <c r="M850" i="3" s="1"/>
  <c r="M851" i="3" s="1"/>
  <c r="M852" i="3" s="1"/>
  <c r="M853" i="3" s="1"/>
  <c r="M854" i="3" s="1"/>
  <c r="M855" i="3" s="1"/>
  <c r="M856" i="3" s="1"/>
  <c r="M857" i="3" s="1"/>
  <c r="M858" i="3" s="1"/>
  <c r="M859" i="3" s="1"/>
  <c r="M860" i="3" s="1"/>
  <c r="M861" i="3" s="1"/>
  <c r="M862" i="3" s="1"/>
  <c r="M863" i="3" s="1"/>
  <c r="M864" i="3" s="1"/>
  <c r="M865" i="3" s="1"/>
  <c r="M866" i="3" s="1"/>
  <c r="M867" i="3" s="1"/>
  <c r="M868" i="3" s="1"/>
  <c r="M869" i="3" s="1"/>
  <c r="M870" i="3" s="1"/>
  <c r="M871" i="3" s="1"/>
  <c r="M872" i="3" s="1"/>
  <c r="M873" i="3" s="1"/>
  <c r="M874" i="3" s="1"/>
  <c r="M875" i="3" s="1"/>
  <c r="M876" i="3" s="1"/>
  <c r="M877" i="3" s="1"/>
  <c r="M878" i="3" s="1"/>
  <c r="M879" i="3" s="1"/>
  <c r="M880" i="3" s="1"/>
  <c r="M881" i="3" s="1"/>
  <c r="M882" i="3" s="1"/>
  <c r="M883" i="3" s="1"/>
  <c r="M884" i="3" s="1"/>
  <c r="M885" i="3" s="1"/>
  <c r="M886" i="3" s="1"/>
  <c r="M887" i="3" s="1"/>
  <c r="M888" i="3" s="1"/>
  <c r="M889" i="3" s="1"/>
  <c r="M890" i="3" s="1"/>
  <c r="M891" i="3" s="1"/>
  <c r="M892" i="3" s="1"/>
  <c r="M893" i="3" s="1"/>
  <c r="M894" i="3" s="1"/>
  <c r="M895" i="3" s="1"/>
  <c r="M896" i="3" s="1"/>
  <c r="M897" i="3" s="1"/>
  <c r="M898" i="3" s="1"/>
  <c r="M899" i="3" s="1"/>
  <c r="M900" i="3" s="1"/>
  <c r="M901" i="3" s="1"/>
  <c r="M902" i="3" s="1"/>
  <c r="Z56" i="2" a="1"/>
  <c r="Z56" i="2" s="1"/>
  <c r="Z113" i="2" a="1"/>
  <c r="Z113" i="2" s="1"/>
  <c r="Z80" i="2" a="1"/>
  <c r="Z80" i="2" s="1"/>
  <c r="Z7" i="2" a="1"/>
  <c r="Z7" i="2" s="1"/>
  <c r="Z34" i="2" a="1"/>
  <c r="Z34" i="2" s="1"/>
  <c r="Z57" i="2" a="1"/>
  <c r="Z57" i="2" s="1"/>
  <c r="Z74" i="2" a="1"/>
  <c r="Z74" i="2" s="1"/>
  <c r="Z27" i="2" a="1"/>
  <c r="Z27" i="2" s="1"/>
  <c r="Z32" i="2" a="1"/>
  <c r="Z32" i="2" s="1"/>
  <c r="Z52" i="2" a="1"/>
  <c r="Z52" i="2" s="1"/>
  <c r="Z54" i="2" a="1"/>
  <c r="Z54" i="2" s="1"/>
  <c r="Z134" i="2" a="1"/>
  <c r="Z134" i="2" s="1"/>
  <c r="Z161" i="2" a="1"/>
  <c r="Z161" i="2" s="1"/>
  <c r="Z169" i="2" a="1"/>
  <c r="Z169" i="2" s="1"/>
  <c r="Z174" i="2" a="1"/>
  <c r="Z174" i="2" s="1"/>
  <c r="Z192" i="2" a="1"/>
  <c r="Z192" i="2" s="1"/>
  <c r="Z195" i="2" a="1"/>
  <c r="Z195" i="2" s="1"/>
  <c r="Z210" i="2" a="1"/>
  <c r="Z210" i="2" s="1"/>
  <c r="Z213" i="2" a="1"/>
  <c r="Z213" i="2" s="1"/>
  <c r="Z229" i="2" a="1"/>
  <c r="Z229" i="2" s="1"/>
  <c r="Z254" i="2" a="1"/>
  <c r="Z254" i="2" s="1"/>
  <c r="Z273" i="2" a="1"/>
  <c r="Z273" i="2" s="1"/>
  <c r="Z279" i="2" a="1"/>
  <c r="Z279" i="2" s="1"/>
  <c r="Z285" i="2" a="1"/>
  <c r="Z285" i="2" s="1"/>
  <c r="Z336" i="2" a="1"/>
  <c r="Z336" i="2" s="1"/>
  <c r="Z403" i="2" a="1"/>
  <c r="Z403" i="2" s="1"/>
  <c r="Z430" i="2" a="1"/>
  <c r="Z430" i="2" s="1"/>
  <c r="Z470" i="2" a="1"/>
  <c r="Z470" i="2" s="1"/>
  <c r="Z484" i="2" a="1"/>
  <c r="Z484" i="2" s="1"/>
  <c r="Z487" i="2" a="1"/>
  <c r="Z487" i="2" s="1"/>
  <c r="Z508" i="2" a="1"/>
  <c r="Z508" i="2" s="1"/>
  <c r="Z525" i="2" a="1"/>
  <c r="Z525" i="2" s="1"/>
  <c r="Z555" i="2" a="1"/>
  <c r="Z555" i="2" s="1"/>
  <c r="Z562" i="2" a="1"/>
  <c r="Z562" i="2" s="1"/>
  <c r="Z330" i="2" a="1"/>
  <c r="Z330" i="2" s="1"/>
  <c r="Z391" i="2" a="1"/>
  <c r="Z391" i="2" s="1"/>
  <c r="Z416" i="2" a="1"/>
  <c r="Z416" i="2" s="1"/>
  <c r="Z438" i="2" a="1"/>
  <c r="Z438" i="2" s="1"/>
  <c r="Z466" i="2" a="1"/>
  <c r="Z466" i="2" s="1"/>
  <c r="Z497" i="2" a="1"/>
  <c r="Z497" i="2" s="1"/>
  <c r="Z534" i="2" a="1"/>
  <c r="Z534" i="2" s="1"/>
  <c r="Z140" i="2" a="1"/>
  <c r="Z140" i="2" s="1"/>
  <c r="Z164" i="2" a="1"/>
  <c r="Z164" i="2" s="1"/>
  <c r="Z272" i="2" a="1"/>
  <c r="Z272" i="2" s="1"/>
  <c r="Z349" i="2" a="1"/>
  <c r="Z349" i="2" s="1"/>
  <c r="Z368" i="2" a="1"/>
  <c r="Z368" i="2" s="1"/>
  <c r="Z422" i="2" a="1"/>
  <c r="Z422" i="2" s="1"/>
  <c r="Z452" i="2" a="1"/>
  <c r="Z452" i="2" s="1"/>
  <c r="Z520" i="2" a="1"/>
  <c r="Z520" i="2" s="1"/>
  <c r="Z565" i="2" a="1"/>
  <c r="Z565" i="2" s="1"/>
  <c r="Z190" i="2" a="1"/>
  <c r="Z190" i="2" s="1"/>
  <c r="Z201" i="2" a="1"/>
  <c r="Z201" i="2" s="1"/>
  <c r="Z267" i="2" a="1"/>
  <c r="Z267" i="2" s="1"/>
  <c r="Z278" i="2" a="1"/>
  <c r="Z278" i="2" s="1"/>
  <c r="Z320" i="2" a="1"/>
  <c r="Z320" i="2" s="1"/>
  <c r="Z411" i="2" a="1"/>
  <c r="Z411" i="2" s="1"/>
  <c r="Z489" i="2" a="1"/>
  <c r="Z489" i="2" s="1"/>
  <c r="Z512" i="2" a="1"/>
  <c r="Z512" i="2" s="1"/>
  <c r="Z543" i="2" a="1"/>
  <c r="Z543" i="2" s="1"/>
  <c r="Z108" i="2" a="1"/>
  <c r="Z108" i="2" s="1"/>
  <c r="Z212" i="2" a="1"/>
  <c r="Z212" i="2" s="1"/>
  <c r="Z236" i="2" a="1"/>
  <c r="Z236" i="2" s="1"/>
  <c r="Z344" i="2" a="1"/>
  <c r="Z344" i="2" s="1"/>
  <c r="Z392" i="2" a="1"/>
  <c r="Z392" i="2" s="1"/>
  <c r="Z417" i="2" a="1"/>
  <c r="Z417" i="2" s="1"/>
  <c r="Z461" i="2" a="1"/>
  <c r="Z461" i="2" s="1"/>
  <c r="Z498" i="2" a="1"/>
  <c r="Z498" i="2" s="1"/>
  <c r="Z574" i="2" a="1"/>
  <c r="Z574" i="2" s="1"/>
  <c r="Z284" i="2" a="1"/>
  <c r="Z284" i="2" s="1"/>
  <c r="Z308" i="2" a="1"/>
  <c r="Z308" i="2" s="1"/>
  <c r="Z406" i="2" a="1"/>
  <c r="Z406" i="2" s="1"/>
  <c r="Z412" i="2" a="1"/>
  <c r="Z412" i="2" s="1"/>
  <c r="Z453" i="2" a="1"/>
  <c r="Z453" i="2" s="1"/>
  <c r="Z476" i="2" a="1"/>
  <c r="Z476" i="2" s="1"/>
  <c r="Z507" i="2" a="1"/>
  <c r="Z507" i="2" s="1"/>
  <c r="Z252" i="2" a="1"/>
  <c r="Z252" i="2" s="1"/>
  <c r="Z356" i="2" a="1"/>
  <c r="Z356" i="2" s="1"/>
  <c r="Z380" i="2" a="1"/>
  <c r="Z380" i="2" s="1"/>
  <c r="Z493" i="2" a="1"/>
  <c r="Z493" i="2" s="1"/>
  <c r="Z516" i="2" a="1"/>
  <c r="Z516" i="2" s="1"/>
  <c r="Z524" i="2" a="1"/>
  <c r="Z524" i="2" s="1"/>
  <c r="Z128" i="2" a="1"/>
  <c r="Z128" i="2" s="1"/>
  <c r="Z205" i="2" a="1"/>
  <c r="Z205" i="2" s="1"/>
  <c r="Z224" i="2" a="1"/>
  <c r="Z224" i="2" s="1"/>
  <c r="Z324" i="2" a="1"/>
  <c r="Z324" i="2" s="1"/>
  <c r="Z440" i="2" a="1"/>
  <c r="Z440" i="2" s="1"/>
  <c r="Z502" i="2" a="1"/>
  <c r="Z502" i="2" s="1"/>
  <c r="Z533" i="2" a="1"/>
  <c r="Z533" i="2" s="1"/>
  <c r="Z570" i="2" a="1"/>
  <c r="Z570" i="2" s="1"/>
  <c r="Z44" i="2" a="1"/>
  <c r="Z44" i="2" s="1"/>
  <c r="Z116" i="2" a="1"/>
  <c r="Z116" i="2" s="1"/>
  <c r="Z188" i="2" a="1"/>
  <c r="Z188" i="2" s="1"/>
  <c r="Z260" i="2" a="1"/>
  <c r="Z260" i="2" s="1"/>
  <c r="Z332" i="2" a="1"/>
  <c r="Z332" i="2" s="1"/>
  <c r="Z404" i="2" a="1"/>
  <c r="Z404" i="2" s="1"/>
  <c r="Z464" i="2" a="1"/>
  <c r="Z464" i="2" s="1"/>
  <c r="Z500" i="2" a="1"/>
  <c r="Z500" i="2" s="1"/>
  <c r="Z536" i="2" a="1"/>
  <c r="Z536" i="2" s="1"/>
  <c r="Z572" i="2" a="1"/>
  <c r="Z572" i="2" s="1"/>
  <c r="J20" i="4"/>
  <c r="J41" i="4"/>
  <c r="J66" i="4"/>
  <c r="J88" i="4"/>
  <c r="J114" i="4"/>
  <c r="J136" i="4"/>
  <c r="J162" i="4"/>
  <c r="J184" i="4"/>
  <c r="J210" i="4"/>
  <c r="J232" i="4"/>
  <c r="J253" i="4"/>
  <c r="J241" i="4"/>
  <c r="J229" i="4"/>
  <c r="J217" i="4"/>
  <c r="J205" i="4"/>
  <c r="J193" i="4"/>
  <c r="J181" i="4"/>
  <c r="J169" i="4"/>
  <c r="J157" i="4"/>
  <c r="J145" i="4"/>
  <c r="J133" i="4"/>
  <c r="J121" i="4"/>
  <c r="J109" i="4"/>
  <c r="J97" i="4"/>
  <c r="J85" i="4"/>
  <c r="J73" i="4"/>
  <c r="J61" i="4"/>
  <c r="J49" i="4"/>
  <c r="J37" i="4"/>
  <c r="J25" i="4"/>
  <c r="J13" i="4"/>
  <c r="J262" i="4"/>
  <c r="J250" i="4"/>
  <c r="J238" i="4"/>
  <c r="J226" i="4"/>
  <c r="J214" i="4"/>
  <c r="J202" i="4"/>
  <c r="J190" i="4"/>
  <c r="J178" i="4"/>
  <c r="J166" i="4"/>
  <c r="J154" i="4"/>
  <c r="J142" i="4"/>
  <c r="J130" i="4"/>
  <c r="J118" i="4"/>
  <c r="J106" i="4"/>
  <c r="J94" i="4"/>
  <c r="J82" i="4"/>
  <c r="J70" i="4"/>
  <c r="J58" i="4"/>
  <c r="J46" i="4"/>
  <c r="J34" i="4"/>
  <c r="J22" i="4"/>
  <c r="J10" i="4"/>
  <c r="J261" i="4"/>
  <c r="J249" i="4"/>
  <c r="J237" i="4"/>
  <c r="J225" i="4"/>
  <c r="J213" i="4"/>
  <c r="J201" i="4"/>
  <c r="J189" i="4"/>
  <c r="J177" i="4"/>
  <c r="J165" i="4"/>
  <c r="J153" i="4"/>
  <c r="J141" i="4"/>
  <c r="J129" i="4"/>
  <c r="J117" i="4"/>
  <c r="J105" i="4"/>
  <c r="J93" i="4"/>
  <c r="J81" i="4"/>
  <c r="J69" i="4"/>
  <c r="J57" i="4"/>
  <c r="J45" i="4"/>
  <c r="J33" i="4"/>
  <c r="J21" i="4"/>
  <c r="J9" i="4"/>
  <c r="J256" i="4"/>
  <c r="J240" i="4"/>
  <c r="J223" i="4"/>
  <c r="J208" i="4"/>
  <c r="J192" i="4"/>
  <c r="J175" i="4"/>
  <c r="J160" i="4"/>
  <c r="J144" i="4"/>
  <c r="J127" i="4"/>
  <c r="J112" i="4"/>
  <c r="J96" i="4"/>
  <c r="J79" i="4"/>
  <c r="J64" i="4"/>
  <c r="J48" i="4"/>
  <c r="J31" i="4"/>
  <c r="J16" i="4"/>
  <c r="J255" i="4"/>
  <c r="J239" i="4"/>
  <c r="J222" i="4"/>
  <c r="J207" i="4"/>
  <c r="J191" i="4"/>
  <c r="J174" i="4"/>
  <c r="J159" i="4"/>
  <c r="J143" i="4"/>
  <c r="J126" i="4"/>
  <c r="J111" i="4"/>
  <c r="J95" i="4"/>
  <c r="J78" i="4"/>
  <c r="J63" i="4"/>
  <c r="J47" i="4"/>
  <c r="J30" i="4"/>
  <c r="J15" i="4"/>
  <c r="J254" i="4"/>
  <c r="J236" i="4"/>
  <c r="J221" i="4"/>
  <c r="J206" i="4"/>
  <c r="J188" i="4"/>
  <c r="J173" i="4"/>
  <c r="J158" i="4"/>
  <c r="J140" i="4"/>
  <c r="J125" i="4"/>
  <c r="J110" i="4"/>
  <c r="J92" i="4"/>
  <c r="J77" i="4"/>
  <c r="J62" i="4"/>
  <c r="J44" i="4"/>
  <c r="J29" i="4"/>
  <c r="J14" i="4"/>
  <c r="J251" i="4"/>
  <c r="J234" i="4"/>
  <c r="J219" i="4"/>
  <c r="J203" i="4"/>
  <c r="J186" i="4"/>
  <c r="J171" i="4"/>
  <c r="J155" i="4"/>
  <c r="J138" i="4"/>
  <c r="J123" i="4"/>
  <c r="J107" i="4"/>
  <c r="J90" i="4"/>
  <c r="J75" i="4"/>
  <c r="J59" i="4"/>
  <c r="J24" i="4"/>
  <c r="J43" i="4"/>
  <c r="J68" i="4"/>
  <c r="J91" i="4"/>
  <c r="J116" i="4"/>
  <c r="J139" i="4"/>
  <c r="J164" i="4"/>
  <c r="J187" i="4"/>
  <c r="J212" i="4"/>
  <c r="J235" i="4"/>
  <c r="J260" i="4"/>
  <c r="J5" i="4"/>
  <c r="K4" i="4" s="1" a="1"/>
  <c r="J26" i="4"/>
  <c r="J50" i="4"/>
  <c r="J71" i="4"/>
  <c r="J98" i="4"/>
  <c r="J119" i="4"/>
  <c r="J146" i="4"/>
  <c r="J167" i="4"/>
  <c r="J194" i="4"/>
  <c r="J215" i="4"/>
  <c r="J242" i="4"/>
  <c r="J263" i="4"/>
  <c r="J6" i="4"/>
  <c r="J27" i="4"/>
  <c r="J51" i="4"/>
  <c r="J72" i="4"/>
  <c r="J99" i="4"/>
  <c r="J120" i="4"/>
  <c r="J147" i="4"/>
  <c r="J168" i="4"/>
  <c r="J195" i="4"/>
  <c r="J216" i="4"/>
  <c r="J243" i="4"/>
  <c r="K256" i="4" l="1"/>
  <c r="K244" i="4"/>
  <c r="K232" i="4"/>
  <c r="K220" i="4"/>
  <c r="K208" i="4"/>
  <c r="K196" i="4"/>
  <c r="K184" i="4"/>
  <c r="K172" i="4"/>
  <c r="K160" i="4"/>
  <c r="K148" i="4"/>
  <c r="K136" i="4"/>
  <c r="K124" i="4"/>
  <c r="K112" i="4"/>
  <c r="K100" i="4"/>
  <c r="K88" i="4"/>
  <c r="K76" i="4"/>
  <c r="K64" i="4"/>
  <c r="K52" i="4"/>
  <c r="K40" i="4"/>
  <c r="K28" i="4"/>
  <c r="K16" i="4"/>
  <c r="K253" i="4"/>
  <c r="K241" i="4"/>
  <c r="K229" i="4"/>
  <c r="K217" i="4"/>
  <c r="K205" i="4"/>
  <c r="K193" i="4"/>
  <c r="K181" i="4"/>
  <c r="K169" i="4"/>
  <c r="K157" i="4"/>
  <c r="K145" i="4"/>
  <c r="K133" i="4"/>
  <c r="K121" i="4"/>
  <c r="K109" i="4"/>
  <c r="K97" i="4"/>
  <c r="K85" i="4"/>
  <c r="K73" i="4"/>
  <c r="K61" i="4"/>
  <c r="K49" i="4"/>
  <c r="K37" i="4"/>
  <c r="K25" i="4"/>
  <c r="K13" i="4"/>
  <c r="K252" i="4"/>
  <c r="K240" i="4"/>
  <c r="K228" i="4"/>
  <c r="K216" i="4"/>
  <c r="K204" i="4"/>
  <c r="K192" i="4"/>
  <c r="K180" i="4"/>
  <c r="K168" i="4"/>
  <c r="K156" i="4"/>
  <c r="K144" i="4"/>
  <c r="K132" i="4"/>
  <c r="K120" i="4"/>
  <c r="K108" i="4"/>
  <c r="K96" i="4"/>
  <c r="K84" i="4"/>
  <c r="K72" i="4"/>
  <c r="K60" i="4"/>
  <c r="K48" i="4"/>
  <c r="K36" i="4"/>
  <c r="K24" i="4"/>
  <c r="K12" i="4"/>
  <c r="K250" i="4"/>
  <c r="K235" i="4"/>
  <c r="K219" i="4"/>
  <c r="K202" i="4"/>
  <c r="K187" i="4"/>
  <c r="K171" i="4"/>
  <c r="K154" i="4"/>
  <c r="K139" i="4"/>
  <c r="K123" i="4"/>
  <c r="K106" i="4"/>
  <c r="K91" i="4"/>
  <c r="K75" i="4"/>
  <c r="K58" i="4"/>
  <c r="K43" i="4"/>
  <c r="K27" i="4"/>
  <c r="K10" i="4"/>
  <c r="K249" i="4"/>
  <c r="K234" i="4"/>
  <c r="K218" i="4"/>
  <c r="K201" i="4"/>
  <c r="K186" i="4"/>
  <c r="K170" i="4"/>
  <c r="K153" i="4"/>
  <c r="K138" i="4"/>
  <c r="K122" i="4"/>
  <c r="K105" i="4"/>
  <c r="K90" i="4"/>
  <c r="K74" i="4"/>
  <c r="K57" i="4"/>
  <c r="K42" i="4"/>
  <c r="K26" i="4"/>
  <c r="K9" i="4"/>
  <c r="K263" i="4"/>
  <c r="K248" i="4"/>
  <c r="K233" i="4"/>
  <c r="K215" i="4"/>
  <c r="K200" i="4"/>
  <c r="K185" i="4"/>
  <c r="K167" i="4"/>
  <c r="K152" i="4"/>
  <c r="K137" i="4"/>
  <c r="K119" i="4"/>
  <c r="K104" i="4"/>
  <c r="K89" i="4"/>
  <c r="K71" i="4"/>
  <c r="K56" i="4"/>
  <c r="K41" i="4"/>
  <c r="K23" i="4"/>
  <c r="K8" i="4"/>
  <c r="K261" i="4"/>
  <c r="K246" i="4"/>
  <c r="K230" i="4"/>
  <c r="K213" i="4"/>
  <c r="K198" i="4"/>
  <c r="K182" i="4"/>
  <c r="K165" i="4"/>
  <c r="K150" i="4"/>
  <c r="K134" i="4"/>
  <c r="K117" i="4"/>
  <c r="K102" i="4"/>
  <c r="K86" i="4"/>
  <c r="K69" i="4"/>
  <c r="K54" i="4"/>
  <c r="K38" i="4"/>
  <c r="K21" i="4"/>
  <c r="K6" i="4"/>
  <c r="K243" i="4"/>
  <c r="K222" i="4"/>
  <c r="K195" i="4"/>
  <c r="K174" i="4"/>
  <c r="K147" i="4"/>
  <c r="K126" i="4"/>
  <c r="K99" i="4"/>
  <c r="K78" i="4"/>
  <c r="K51" i="4"/>
  <c r="K30" i="4"/>
  <c r="K4" i="4"/>
  <c r="K242" i="4"/>
  <c r="K221" i="4"/>
  <c r="K194" i="4"/>
  <c r="K173" i="4"/>
  <c r="K146" i="4"/>
  <c r="K125" i="4"/>
  <c r="K98" i="4"/>
  <c r="K77" i="4"/>
  <c r="K50" i="4"/>
  <c r="K29" i="4"/>
  <c r="K262" i="4"/>
  <c r="K239" i="4"/>
  <c r="K214" i="4"/>
  <c r="K191" i="4"/>
  <c r="K166" i="4"/>
  <c r="K143" i="4"/>
  <c r="K118" i="4"/>
  <c r="K95" i="4"/>
  <c r="K70" i="4"/>
  <c r="K47" i="4"/>
  <c r="K22" i="4"/>
  <c r="K259" i="4"/>
  <c r="K237" i="4"/>
  <c r="K211" i="4"/>
  <c r="K189" i="4"/>
  <c r="K163" i="4"/>
  <c r="K141" i="4"/>
  <c r="K115" i="4"/>
  <c r="K93" i="4"/>
  <c r="K67" i="4"/>
  <c r="K45" i="4"/>
  <c r="K19" i="4"/>
  <c r="K231" i="4"/>
  <c r="K199" i="4"/>
  <c r="K161" i="4"/>
  <c r="K128" i="4"/>
  <c r="K87" i="4"/>
  <c r="K55" i="4"/>
  <c r="K17" i="4"/>
  <c r="K227" i="4"/>
  <c r="K197" i="4"/>
  <c r="K159" i="4"/>
  <c r="K127" i="4"/>
  <c r="K83" i="4"/>
  <c r="K53" i="4"/>
  <c r="K15" i="4"/>
  <c r="K260" i="4"/>
  <c r="K226" i="4"/>
  <c r="K190" i="4"/>
  <c r="K158" i="4"/>
  <c r="K116" i="4"/>
  <c r="K82" i="4"/>
  <c r="K46" i="4"/>
  <c r="K14" i="4"/>
  <c r="K258" i="4"/>
  <c r="K225" i="4"/>
  <c r="K188" i="4"/>
  <c r="K155" i="4"/>
  <c r="K114" i="4"/>
  <c r="K81" i="4"/>
  <c r="K44" i="4"/>
  <c r="K11" i="4"/>
  <c r="K212" i="4"/>
  <c r="K164" i="4"/>
  <c r="K110" i="4"/>
  <c r="K62" i="4"/>
  <c r="K210" i="4"/>
  <c r="K162" i="4"/>
  <c r="K107" i="4"/>
  <c r="K59" i="4"/>
  <c r="K257" i="4"/>
  <c r="K209" i="4"/>
  <c r="K151" i="4"/>
  <c r="K103" i="4"/>
  <c r="K39" i="4"/>
  <c r="K255" i="4"/>
  <c r="K207" i="4"/>
  <c r="K149" i="4"/>
  <c r="K101" i="4"/>
  <c r="K35" i="4"/>
  <c r="K183" i="4"/>
  <c r="K113" i="4"/>
  <c r="K32" i="4"/>
  <c r="K179" i="4"/>
  <c r="K111" i="4"/>
  <c r="K31" i="4"/>
  <c r="K254" i="4"/>
  <c r="K178" i="4"/>
  <c r="K94" i="4"/>
  <c r="K20" i="4"/>
  <c r="K247" i="4"/>
  <c r="K176" i="4"/>
  <c r="K80" i="4"/>
  <c r="K7" i="4"/>
  <c r="K142" i="4"/>
  <c r="K34" i="4"/>
  <c r="K140" i="4"/>
  <c r="K33" i="4"/>
  <c r="K251" i="4"/>
  <c r="K135" i="4"/>
  <c r="K18" i="4"/>
  <c r="K223" i="4"/>
  <c r="K79" i="4"/>
  <c r="K206" i="4"/>
  <c r="K68" i="4"/>
  <c r="K92" i="4"/>
  <c r="K66" i="4"/>
  <c r="K245" i="4"/>
  <c r="K65" i="4"/>
  <c r="K238" i="4"/>
  <c r="K63" i="4"/>
  <c r="K236" i="4"/>
  <c r="K5" i="4"/>
  <c r="K177" i="4"/>
  <c r="K175" i="4"/>
  <c r="K224" i="4"/>
  <c r="K203" i="4"/>
  <c r="K131" i="4"/>
  <c r="K130" i="4"/>
  <c r="K129" i="4"/>
  <c r="AK3" i="2"/>
  <c r="AN5" i="2"/>
  <c r="AM4" i="2"/>
  <c r="AL4" i="2"/>
  <c r="AK4" i="2" s="1"/>
  <c r="AN4" i="2"/>
  <c r="AN3" i="2"/>
  <c r="AL5" i="2"/>
  <c r="AK5" i="2" s="1"/>
  <c r="AM3" i="2"/>
  <c r="AM5" i="2"/>
  <c r="C7" i="4" l="1"/>
  <c r="C6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<sst xmlns="http://schemas.openxmlformats.org/spreadsheetml/2006/main" count="2276" uniqueCount="279">
  <si>
    <t>window_id</t>
  </si>
  <si>
    <t>stock1</t>
  </si>
  <si>
    <t>stock2</t>
  </si>
  <si>
    <t>entry_minute</t>
  </si>
  <si>
    <t>entry_timestamp</t>
  </si>
  <si>
    <t>entry_price_1</t>
  </si>
  <si>
    <t>entry_price_2</t>
  </si>
  <si>
    <t>entry_price_1_slipped</t>
  </si>
  <si>
    <t>entry_price_2_slipped</t>
  </si>
  <si>
    <t>entry_zscore</t>
  </si>
  <si>
    <t>hedge_ratio_entry</t>
  </si>
  <si>
    <t>position_size_1</t>
  </si>
  <si>
    <t>position_size_2</t>
  </si>
  <si>
    <t>direction</t>
  </si>
  <si>
    <t>holding_minutes</t>
  </si>
  <si>
    <t>exit_reason</t>
  </si>
  <si>
    <t>exit_minute</t>
  </si>
  <si>
    <t>exit_timestamp</t>
  </si>
  <si>
    <t>exit_price_1</t>
  </si>
  <si>
    <t>exit_price_2</t>
  </si>
  <si>
    <t>exit_zscore</t>
  </si>
  <si>
    <t>gross_pnl</t>
  </si>
  <si>
    <t>gross_pnl_slipped</t>
  </si>
  <si>
    <t>transaction_costs</t>
  </si>
  <si>
    <t>cfd_financing</t>
  </si>
  <si>
    <t>net_pnl</t>
  </si>
  <si>
    <t>exit_price_age_1</t>
  </si>
  <si>
    <t>exit_price_age_2</t>
  </si>
  <si>
    <t>JPM</t>
  </si>
  <si>
    <t>GS</t>
  </si>
  <si>
    <t>SHORT</t>
  </si>
  <si>
    <t>signal</t>
  </si>
  <si>
    <t>LONG</t>
  </si>
  <si>
    <t>BAC</t>
  </si>
  <si>
    <t>WFC</t>
  </si>
  <si>
    <t>TFC</t>
  </si>
  <si>
    <t>USB</t>
  </si>
  <si>
    <t>PNC</t>
  </si>
  <si>
    <t>Entry day</t>
  </si>
  <si>
    <t>Exit day</t>
  </si>
  <si>
    <t>VIX on entry</t>
  </si>
  <si>
    <t>UK Date</t>
  </si>
  <si>
    <t>US DATE</t>
  </si>
  <si>
    <t>VIX ON ENTRY</t>
  </si>
  <si>
    <t>VIX at entry</t>
  </si>
  <si>
    <t>Net PnL</t>
  </si>
  <si>
    <t>Trades</t>
  </si>
  <si>
    <t>Avg Net P&amp;L</t>
  </si>
  <si>
    <t>Win rate</t>
  </si>
  <si>
    <t>&lt;15</t>
  </si>
  <si>
    <t>15–20</t>
  </si>
  <si>
    <t>&gt;=20</t>
  </si>
  <si>
    <t>08/13/2025</t>
  </si>
  <si>
    <t>Metric</t>
  </si>
  <si>
    <t>OOS H1</t>
  </si>
  <si>
    <t>OOS H2</t>
  </si>
  <si>
    <t>08/14/2025</t>
  </si>
  <si>
    <t>08/15/2025</t>
  </si>
  <si>
    <t>Gross P&amp;L</t>
  </si>
  <si>
    <t>08/18/2025</t>
  </si>
  <si>
    <t>Net P&amp;L</t>
  </si>
  <si>
    <t>08/19/2025</t>
  </si>
  <si>
    <t>Avg gross P&amp;L/trade</t>
  </si>
  <si>
    <t>08/20/2025</t>
  </si>
  <si>
    <t>Avg net P&amp;L/trade</t>
  </si>
  <si>
    <t>08/21/2025</t>
  </si>
  <si>
    <t>Net PF</t>
  </si>
  <si>
    <t>08/22/2025</t>
  </si>
  <si>
    <t>08/25/2025</t>
  </si>
  <si>
    <t>Avg winner</t>
  </si>
  <si>
    <t>08/26/2025</t>
  </si>
  <si>
    <t>Avg loser</t>
  </si>
  <si>
    <t>08/27/2025</t>
  </si>
  <si>
    <t>Avg holding time</t>
  </si>
  <si>
    <t>08/28/2025</t>
  </si>
  <si>
    <t>Avg |entry Z|</t>
  </si>
  <si>
    <t>08/29/2025</t>
  </si>
  <si>
    <t>C</t>
  </si>
  <si>
    <t>MS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</si>
  <si>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</si>
  <si>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</si>
  <si>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</si>
  <si>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</si>
  <si>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</si>
  <si>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</si>
  <si>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</si>
  <si>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</si>
  <si>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</si>
  <si>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</si>
  <si>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</si>
  <si>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</si>
  <si>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</si>
  <si>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</si>
  <si>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</si>
  <si>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</si>
  <si>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</si>
  <si>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</si>
  <si>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</si>
  <si>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</si>
  <si>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</si>
  <si>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</si>
  <si>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</si>
  <si>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</si>
  <si>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</si>
  <si>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</si>
  <si>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</si>
  <si>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</si>
  <si>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</si>
  <si>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</si>
  <si>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</si>
  <si>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</si>
  <si>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</si>
  <si>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</si>
  <si>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</si>
  <si>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</si>
  <si>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</si>
  <si>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</si>
  <si>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</si>
  <si>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</si>
  <si>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</si>
  <si>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</si>
  <si>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</si>
  <si>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</si>
  <si>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COF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</si>
  <si>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</si>
  <si>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</si>
  <si>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</si>
  <si>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</si>
  <si>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</si>
  <si>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</si>
  <si>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</si>
  <si>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</si>
  <si>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</si>
  <si>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</si>
  <si>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</si>
  <si>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</si>
  <si>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</si>
  <si>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</si>
  <si>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</si>
  <si>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</si>
  <si>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</si>
  <si>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</si>
  <si>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</si>
  <si>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</si>
  <si>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</si>
  <si>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02/13/2026</t>
  </si>
  <si>
    <t>02/16/2026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</si>
  <si>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</si>
  <si>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</si>
  <si>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</si>
  <si>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</si>
  <si>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</si>
  <si>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</si>
  <si>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</si>
  <si>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</si>
  <si>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</si>
  <si>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</si>
  <si>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</si>
  <si>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</si>
  <si>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</si>
  <si>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</si>
  <si>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</si>
  <si>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</si>
  <si>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</si>
  <si>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</si>
  <si>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</si>
  <si>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</si>
  <si>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</si>
  <si>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</si>
  <si>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04/13/2026</t>
  </si>
  <si>
    <t>04/14/2026</t>
  </si>
  <si>
    <t>04/15/2026</t>
  </si>
  <si>
    <t>04/16/2026</t>
  </si>
  <si>
    <t>04/17/2026</t>
  </si>
  <si>
    <t>04/20/2026</t>
  </si>
  <si>
    <t>04/21/2026</t>
  </si>
  <si>
    <t>04/22/2026</t>
  </si>
  <si>
    <t>04/23/2026</t>
  </si>
  <si>
    <t>04/24/2026</t>
  </si>
  <si>
    <t>04/27/2026</t>
  </si>
  <si>
    <t>04/28/2026</t>
  </si>
  <si>
    <t>04/29/2026</t>
  </si>
  <si>
    <t>04/30/2026</t>
  </si>
  <si>
    <t>05/13/2026</t>
  </si>
  <si>
    <t>05/14/2026</t>
  </si>
  <si>
    <t>05/15/2026</t>
  </si>
  <si>
    <t>05/18/2026</t>
  </si>
  <si>
    <t>05/19/2026</t>
  </si>
  <si>
    <t>05/20/2026</t>
  </si>
  <si>
    <t>05/21/2026</t>
  </si>
  <si>
    <t>05/22/2026</t>
  </si>
  <si>
    <t>05/25/2026</t>
  </si>
  <si>
    <t>05/26/2026</t>
  </si>
  <si>
    <t>05/27/2026</t>
  </si>
  <si>
    <t>05/28/2026</t>
  </si>
  <si>
    <t>05/29/2026</t>
  </si>
  <si>
    <t>06/15/2026</t>
  </si>
  <si>
    <t>06/16/2026</t>
  </si>
  <si>
    <t>06/17/2026</t>
  </si>
  <si>
    <t>06/18/2026</t>
  </si>
  <si>
    <t>06/19/2026</t>
  </si>
  <si>
    <t>06/22/2026</t>
  </si>
  <si>
    <t>06/23/2026</t>
  </si>
  <si>
    <t>06/24/2026</t>
  </si>
  <si>
    <t>06/25/2026</t>
  </si>
  <si>
    <t>06/26/2026</t>
  </si>
  <si>
    <t>06/29/2026</t>
  </si>
  <si>
    <t>06/30/2026</t>
  </si>
  <si>
    <t>07/13/2026</t>
  </si>
  <si>
    <t>07/14/2026</t>
  </si>
  <si>
    <t>07/15/2026</t>
  </si>
  <si>
    <t>07/16/2026</t>
  </si>
  <si>
    <t>07/17/2026</t>
  </si>
  <si>
    <t>07/20/2026</t>
  </si>
  <si>
    <t>07/21/2026</t>
  </si>
  <si>
    <t>07/22/2026</t>
  </si>
  <si>
    <t>07/23/2026</t>
  </si>
  <si>
    <t>07/24/2026</t>
  </si>
  <si>
    <t>07/27/2026</t>
  </si>
  <si>
    <t>07/28/2026</t>
  </si>
  <si>
    <t>07/29/2026</t>
  </si>
  <si>
    <t>07/30/2026</t>
  </si>
  <si>
    <t>07/31/2026</t>
  </si>
  <si>
    <t>Exit timestamp</t>
  </si>
  <si>
    <t>Cumulative Gross PnL</t>
  </si>
  <si>
    <t>Cumulative Slipped PnL</t>
  </si>
  <si>
    <t>Cumulative Net PnL</t>
  </si>
  <si>
    <t>min holding minutes</t>
  </si>
  <si>
    <t>max holding minutes</t>
  </si>
  <si>
    <t>Mean Net PnL</t>
  </si>
  <si>
    <t>Number of trades</t>
  </si>
  <si>
    <t>Rough Analysis of the baseline strategy</t>
  </si>
  <si>
    <t>Figures</t>
  </si>
  <si>
    <t>Column1</t>
  </si>
  <si>
    <t>Gross</t>
  </si>
  <si>
    <t>Slipped</t>
  </si>
  <si>
    <t>Net (Transaction costs)</t>
  </si>
  <si>
    <t>Overall PnL</t>
  </si>
  <si>
    <t>Mean PnL</t>
  </si>
  <si>
    <t>Median PnL</t>
  </si>
  <si>
    <t>Max drawdown</t>
  </si>
  <si>
    <t>Biggest Winner</t>
  </si>
  <si>
    <t>Profit Factor</t>
  </si>
  <si>
    <t>Column2</t>
  </si>
  <si>
    <t>Number of Trades</t>
  </si>
  <si>
    <t>Mean holding time</t>
  </si>
  <si>
    <t>Median holding time</t>
  </si>
  <si>
    <t>Max holding time</t>
  </si>
  <si>
    <t>Positive</t>
  </si>
  <si>
    <t>Negative</t>
  </si>
  <si>
    <t>Mean entry z score</t>
  </si>
  <si>
    <t>Median entry z score</t>
  </si>
  <si>
    <t>max entry z score</t>
  </si>
  <si>
    <t>Mean exit z score</t>
  </si>
  <si>
    <t>Median exit z score</t>
  </si>
  <si>
    <t>max exit z score</t>
  </si>
  <si>
    <t>Edge is there, but wiped out by costs</t>
  </si>
  <si>
    <t>Long</t>
  </si>
  <si>
    <t>Short</t>
  </si>
  <si>
    <t>Signal</t>
  </si>
  <si>
    <t>Forced</t>
  </si>
  <si>
    <t>PnL (gross)</t>
  </si>
  <si>
    <t>Number</t>
  </si>
  <si>
    <t>min Holding time</t>
  </si>
  <si>
    <t>Max Holding time</t>
  </si>
  <si>
    <t>Conclusion:</t>
  </si>
  <si>
    <t>does the multiple pairs strategy improve diversification and risk adjusted returns instead of just gross exposure?</t>
  </si>
  <si>
    <t>shorter trades are significantly more profitiable</t>
  </si>
  <si>
    <t>most trades are short, but with a long tail</t>
  </si>
  <si>
    <t>Value</t>
  </si>
  <si>
    <t>Daily PnL table</t>
  </si>
  <si>
    <t>P&amp;L/trade</t>
  </si>
  <si>
    <t>Daily P&amp;L volatility</t>
  </si>
  <si>
    <t>Sharpe-like measure</t>
  </si>
  <si>
    <t>Max drawdown / total P&amp;L</t>
  </si>
  <si>
    <t>Worst day</t>
  </si>
  <si>
    <t>Max concurrent positions</t>
  </si>
  <si>
    <t>Max gross exposure</t>
  </si>
  <si>
    <t>it seems like this strat might actually be WORSE for risk *potentially* than the single pair version. The main question now is how much capital we need to keep in reserves to avoid margin calling and liquidation. 
portfolio total P&amp;L
=
cumulative realised P&amp;L up to minute
+
total unrealised P&amp;L at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</si>
</sst>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;[Red]\(0.00000\);\-"/>
    <numFmt numFmtId="165" formatCode="0.00000"/>
    <numFmt numFmtId="166" formatCode="yyyy\-mm\-dd\ hh:mm:ss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9" fontId="2" fillId="0" borderId="0"/>
  </cellStyleXfs>
  <cellXfs count="43">
    <xf numFmtId="0" fontId="0" fillId="0" borderId="0" xfId="0"/>
    <xf numFmtId="0" fontId="2" fillId="0" borderId="0" xfId="1"/>
    <xf numFmtId="0" fontId="3" fillId="2" borderId="2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1" fontId="2" fillId="0" borderId="0" xfId="1" applyNumberFormat="1"/>
    <xf numFmtId="164" fontId="2" fillId="0" borderId="0" xfId="1" applyNumberFormat="1"/>
    <xf numFmtId="165" fontId="2" fillId="0" borderId="0" xfId="1" applyNumberFormat="1"/>
    <xf numFmtId="9" fontId="4" fillId="0" borderId="0" xfId="2" applyFont="1"/>
    <xf numFmtId="9" fontId="0" fillId="0" borderId="0" xfId="2" applyFont="1"/>
    <xf numFmtId="0" fontId="1" fillId="0" borderId="0" xfId="1" applyFont="1"/>
    <xf numFmtId="165" fontId="0" fillId="0" borderId="0" xfId="2" applyNumberFormat="1" applyFont="1"/>
    <xf numFmtId="9" fontId="4" fillId="0" borderId="0" xfId="1" applyNumberFormat="1" applyFont="1"/>
    <xf numFmtId="0" fontId="4" fillId="0" borderId="0" xfId="1" applyFont="1"/>
    <xf numFmtId="0" fontId="1" fillId="0" borderId="1" xfId="1" applyFont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12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3" fillId="2" borderId="13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7" fillId="0" borderId="16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top"/>
    </xf>
    <xf numFmtId="166" fontId="0" fillId="0" borderId="0" xfId="0" applyNumberFormat="1"/>
    <xf numFmtId="0" fontId="2" fillId="0" borderId="16" xfId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16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6" xfId="0" applyBorder="1" applyAlignment="1">
      <alignment horizontal="center" vertical="top" wrapText="1"/>
    </xf>
    <xf numFmtId="0" fontId="0" fillId="0" borderId="0" xfId="0"/>
  </cellXfs>
  <cellStyles count="3">
    <cellStyle name="Normal" xfId="0" builtinId="0"/>
    <cellStyle name="Normal 2" xfId="1" xr:uid="{00000000-0005-0000-0000-000001000000}"/>
    <cellStyle name="Per cent 2" xfId="2" xr:uid="{00000000-0005-0000-0000-000002000000}"/>
  </cellStyles>
  <dxfs count="10">
    <dxf>
      <numFmt numFmtId="164" formatCode="0.00000;[Red]\(0.00000\);\-"/>
    </dxf>
    <dxf>
      <numFmt numFmtId="164" formatCode="0.00000;[Red]\(0.00000\);\-"/>
    </dxf>
    <dxf>
      <numFmt numFmtId="164" formatCode="0.00000;[Red]\(0.00000\);\-"/>
    </dxf>
    <dxf>
      <numFmt numFmtId="1" formatCode="0"/>
    </dxf>
    <dxf>
      <border outline="0">
        <top style="thin">
          <color rgb="FFA6A6A6"/>
        </top>
      </border>
    </dxf>
    <dxf>
      <border outline="0">
        <bottom style="thin">
          <color rgb="FFA6A6A6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indexed="64"/>
          <bgColor rgb="FF1F4E78"/>
        </patternFill>
      </fill>
      <alignment horizontal="center" vertical="bottom"/>
    </dxf>
    <dxf>
      <numFmt numFmtId="165" formatCode="0.00000"/>
    </dxf>
    <dxf>
      <numFmt numFmtId="165" formatCode="0.00000"/>
    </dxf>
    <dxf>
      <numFmt numFmtId="165" formatCode="0.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Analysis!$S$1</c:f>
              <c:strCache>
                <c:ptCount val="1"/>
                <c:pt idx="0">
                  <c:v>Mean Net PnL</c:v>
                </c:pt>
              </c:strCache>
            </c:strRef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Analysis!$R$2:$R$9653</c:f>
              <c:numCache>
                <c:formatCode>General</c:formatCode>
                <c:ptCount val="9652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34</c:v>
                </c:pt>
                <c:pt idx="8">
                  <c:v>40</c:v>
                </c:pt>
                <c:pt idx="10">
                  <c:v>47</c:v>
                </c:pt>
              </c:numCache>
            </c:numRef>
          </c:xVal>
          <c:yVal>
            <c:numRef>
              <c:f>Analysis!$S$2:$S$9653</c:f>
              <c:numCache>
                <c:formatCode>General</c:formatCode>
                <c:ptCount val="96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4-4D7A-9DD6-7F2F16F7A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142816"/>
        <c:axId val="677145216"/>
      </c:scatterChart>
      <c:valAx>
        <c:axId val="67714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Position Holding</a:t>
                </a:r>
                <a:r>
                  <a:rPr lang="en-GB" baseline="0"/>
                  <a:t> Time</a:t>
                </a:r>
                <a:endParaRPr lang="en-GB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5216"/>
        <c:crosses val="autoZero"/>
        <c:crossBetween val="midCat"/>
      </c:valAx>
      <c:valAx>
        <c:axId val="6771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PnL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2816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Cumulative Gross PnL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strRef>
              <c:f>Analysis!$L$2:$L$903</c:f>
              <c:strCache>
                <c:ptCount val="901"/>
                <c:pt idx="0">
                  <c:v>signal</c:v>
                </c:pt>
                <c:pt idx="1">
                  <c:v>signal</c:v>
                </c:pt>
                <c:pt idx="2">
                  <c:v>signal</c:v>
                </c:pt>
                <c:pt idx="3">
                  <c:v>signal</c:v>
                </c:pt>
                <c:pt idx="4">
                  <c:v>signal</c:v>
                </c:pt>
                <c:pt idx="5">
                  <c:v>signal</c:v>
                </c:pt>
                <c:pt idx="6">
                  <c:v>signal</c:v>
                </c:pt>
                <c:pt idx="7">
                  <c:v>signal</c:v>
                </c:pt>
                <c:pt idx="8">
                  <c:v>signal</c:v>
                </c:pt>
                <c:pt idx="9">
                  <c:v>signal</c:v>
                </c:pt>
                <c:pt idx="10">
                  <c:v>signal</c:v>
                </c:pt>
                <c:pt idx="11">
                  <c:v>signal</c:v>
                </c:pt>
                <c:pt idx="12">
                  <c:v>signal</c:v>
                </c:pt>
                <c:pt idx="13">
                  <c:v>signal</c:v>
                </c:pt>
                <c:pt idx="14">
                  <c:v>signal</c:v>
                </c:pt>
                <c:pt idx="15">
                  <c:v>signal</c:v>
                </c:pt>
                <c:pt idx="16">
                  <c:v>signal</c:v>
                </c:pt>
                <c:pt idx="17">
                  <c:v>signal</c:v>
                </c:pt>
                <c:pt idx="18">
                  <c:v>signal</c:v>
                </c:pt>
                <c:pt idx="19">
                  <c:v>signal</c:v>
                </c:pt>
                <c:pt idx="20">
                  <c:v>signal</c:v>
                </c:pt>
                <c:pt idx="21">
                  <c:v>signal</c:v>
                </c:pt>
                <c:pt idx="22">
                  <c:v>signal</c:v>
                </c:pt>
                <c:pt idx="23">
                  <c:v>signal</c:v>
                </c:pt>
                <c:pt idx="24">
                  <c:v>signal</c:v>
                </c:pt>
                <c:pt idx="25">
                  <c:v>signal</c:v>
                </c:pt>
                <c:pt idx="26">
                  <c:v>signal</c:v>
                </c:pt>
                <c:pt idx="27">
                  <c:v>signal</c:v>
                </c:pt>
                <c:pt idx="28">
                  <c:v>signal</c:v>
                </c:pt>
                <c:pt idx="29">
                  <c:v>signal</c:v>
                </c:pt>
                <c:pt idx="30">
                  <c:v>signal</c:v>
                </c:pt>
                <c:pt idx="31">
                  <c:v>signal</c:v>
                </c:pt>
                <c:pt idx="32">
                  <c:v>signal</c:v>
                </c:pt>
                <c:pt idx="33">
                  <c:v>signal</c:v>
                </c:pt>
                <c:pt idx="34">
                  <c:v>signal</c:v>
                </c:pt>
                <c:pt idx="35">
                  <c:v>signal</c:v>
                </c:pt>
                <c:pt idx="36">
                  <c:v>signal</c:v>
                </c:pt>
                <c:pt idx="37">
                  <c:v>signal</c:v>
                </c:pt>
                <c:pt idx="38">
                  <c:v>signal</c:v>
                </c:pt>
                <c:pt idx="39">
                  <c:v>signal</c:v>
                </c:pt>
                <c:pt idx="40">
                  <c:v>signal</c:v>
                </c:pt>
                <c:pt idx="41">
                  <c:v>signal</c:v>
                </c:pt>
                <c:pt idx="42">
                  <c:v>signal</c:v>
                </c:pt>
                <c:pt idx="43">
                  <c:v>signal</c:v>
                </c:pt>
                <c:pt idx="44">
                  <c:v>signal</c:v>
                </c:pt>
                <c:pt idx="45">
                  <c:v>signal</c:v>
                </c:pt>
                <c:pt idx="46">
                  <c:v>signal</c:v>
                </c:pt>
                <c:pt idx="47">
                  <c:v>signal</c:v>
                </c:pt>
                <c:pt idx="48">
                  <c:v>signal</c:v>
                </c:pt>
                <c:pt idx="49">
                  <c:v>signal</c:v>
                </c:pt>
                <c:pt idx="50">
                  <c:v>signal</c:v>
                </c:pt>
                <c:pt idx="51">
                  <c:v>signal</c:v>
                </c:pt>
                <c:pt idx="52">
                  <c:v>signal</c:v>
                </c:pt>
                <c:pt idx="53">
                  <c:v>signal</c:v>
                </c:pt>
                <c:pt idx="54">
                  <c:v>signal</c:v>
                </c:pt>
                <c:pt idx="55">
                  <c:v>signal</c:v>
                </c:pt>
                <c:pt idx="56">
                  <c:v>signal</c:v>
                </c:pt>
                <c:pt idx="57">
                  <c:v>signal</c:v>
                </c:pt>
                <c:pt idx="58">
                  <c:v>signal</c:v>
                </c:pt>
                <c:pt idx="59">
                  <c:v>signal</c:v>
                </c:pt>
                <c:pt idx="60">
                  <c:v>signal</c:v>
                </c:pt>
                <c:pt idx="61">
                  <c:v>signal</c:v>
                </c:pt>
                <c:pt idx="62">
                  <c:v>signal</c:v>
                </c:pt>
                <c:pt idx="63">
                  <c:v>signal</c:v>
                </c:pt>
                <c:pt idx="64">
                  <c:v>signal</c:v>
                </c:pt>
                <c:pt idx="65">
                  <c:v>signal</c:v>
                </c:pt>
                <c:pt idx="66">
                  <c:v>signal</c:v>
                </c:pt>
                <c:pt idx="67">
                  <c:v>signal</c:v>
                </c:pt>
                <c:pt idx="68">
                  <c:v>signal</c:v>
                </c:pt>
                <c:pt idx="69">
                  <c:v>signal</c:v>
                </c:pt>
                <c:pt idx="70">
                  <c:v>signal</c:v>
                </c:pt>
                <c:pt idx="71">
                  <c:v>signal</c:v>
                </c:pt>
                <c:pt idx="72">
                  <c:v>signal</c:v>
                </c:pt>
                <c:pt idx="73">
                  <c:v>signal</c:v>
                </c:pt>
                <c:pt idx="74">
                  <c:v>signal</c:v>
                </c:pt>
                <c:pt idx="75">
                  <c:v>signal</c:v>
                </c:pt>
                <c:pt idx="76">
                  <c:v>signal</c:v>
                </c:pt>
                <c:pt idx="77">
                  <c:v>signal</c:v>
                </c:pt>
                <c:pt idx="78">
                  <c:v>signal</c:v>
                </c:pt>
                <c:pt idx="79">
                  <c:v>signal</c:v>
                </c:pt>
                <c:pt idx="80">
                  <c:v>signal</c:v>
                </c:pt>
                <c:pt idx="81">
                  <c:v>signal</c:v>
                </c:pt>
                <c:pt idx="82">
                  <c:v>signal</c:v>
                </c:pt>
                <c:pt idx="83">
                  <c:v>signal</c:v>
                </c:pt>
                <c:pt idx="84">
                  <c:v>signal</c:v>
                </c:pt>
                <c:pt idx="85">
                  <c:v>signal</c:v>
                </c:pt>
                <c:pt idx="86">
                  <c:v>signal</c:v>
                </c:pt>
                <c:pt idx="87">
                  <c:v>signal</c:v>
                </c:pt>
                <c:pt idx="88">
                  <c:v>signal</c:v>
                </c:pt>
                <c:pt idx="89">
                  <c:v>signal</c:v>
                </c:pt>
                <c:pt idx="90">
                  <c:v>signal</c:v>
                </c:pt>
                <c:pt idx="91">
                  <c:v>signal</c:v>
                </c:pt>
                <c:pt idx="92">
                  <c:v>signal</c:v>
                </c:pt>
                <c:pt idx="93">
                  <c:v>signal</c:v>
                </c:pt>
                <c:pt idx="94">
                  <c:v>signal</c:v>
                </c:pt>
                <c:pt idx="95">
                  <c:v>signal</c:v>
                </c:pt>
                <c:pt idx="96">
                  <c:v>signal</c:v>
                </c:pt>
                <c:pt idx="97">
                  <c:v>signal</c:v>
                </c:pt>
                <c:pt idx="98">
                  <c:v>signal</c:v>
                </c:pt>
                <c:pt idx="99">
                  <c:v>signal</c:v>
                </c:pt>
                <c:pt idx="100">
                  <c:v>signal</c:v>
                </c:pt>
                <c:pt idx="101">
                  <c:v>signal</c:v>
                </c:pt>
                <c:pt idx="102">
                  <c:v>signal</c:v>
                </c:pt>
                <c:pt idx="103">
                  <c:v>signal</c:v>
                </c:pt>
                <c:pt idx="104">
                  <c:v>signal</c:v>
                </c:pt>
                <c:pt idx="105">
                  <c:v>signal</c:v>
                </c:pt>
                <c:pt idx="106">
                  <c:v>signal</c:v>
                </c:pt>
                <c:pt idx="107">
                  <c:v>signal</c:v>
                </c:pt>
                <c:pt idx="108">
                  <c:v>signal</c:v>
                </c:pt>
                <c:pt idx="109">
                  <c:v>signal</c:v>
                </c:pt>
                <c:pt idx="110">
                  <c:v>signal</c:v>
                </c:pt>
                <c:pt idx="111">
                  <c:v>signal</c:v>
                </c:pt>
                <c:pt idx="112">
                  <c:v>0</c:v>
                </c:pt>
                <c:pt idx="113">
                  <c:v>signal</c:v>
                </c:pt>
                <c:pt idx="114">
                  <c:v>signal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signal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signal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signal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signal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signal</c:v>
                </c:pt>
                <c:pt idx="197">
                  <c:v>signal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signal</c:v>
                </c:pt>
                <c:pt idx="211">
                  <c:v>0</c:v>
                </c:pt>
                <c:pt idx="212">
                  <c:v>signal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signal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signal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signal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signal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signal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signal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strCache>
            </c:strRef>
          </c:xVal>
          <c:yVal>
            <c:numRef>
              <c:f>Analysis!$M$2:$M$903</c:f>
              <c:numCache>
                <c:formatCode>0.00000;[Red]\(0.00000\);\-</c:formatCode>
                <c:ptCount val="902"/>
                <c:pt idx="0">
                  <c:v>782.97500000000002</c:v>
                </c:pt>
                <c:pt idx="1">
                  <c:v>1569.075</c:v>
                </c:pt>
                <c:pt idx="2">
                  <c:v>2352.6750000000002</c:v>
                </c:pt>
                <c:pt idx="3">
                  <c:v>3142.9549999999999</c:v>
                </c:pt>
                <c:pt idx="4">
                  <c:v>3921.7449999999999</c:v>
                </c:pt>
                <c:pt idx="5">
                  <c:v>4713.7749999999996</c:v>
                </c:pt>
                <c:pt idx="6">
                  <c:v>5506.2349999999997</c:v>
                </c:pt>
                <c:pt idx="7">
                  <c:v>6310.6349999999993</c:v>
                </c:pt>
                <c:pt idx="8">
                  <c:v>7108.3749999999991</c:v>
                </c:pt>
                <c:pt idx="9">
                  <c:v>7139.9749999999995</c:v>
                </c:pt>
                <c:pt idx="10">
                  <c:v>7226.0449999999992</c:v>
                </c:pt>
                <c:pt idx="11">
                  <c:v>7311.704999999999</c:v>
                </c:pt>
                <c:pt idx="12">
                  <c:v>7396.5599999999986</c:v>
                </c:pt>
                <c:pt idx="13">
                  <c:v>7481.9499999999989</c:v>
                </c:pt>
                <c:pt idx="14">
                  <c:v>7568.7799999999988</c:v>
                </c:pt>
                <c:pt idx="15">
                  <c:v>7658.5349999999989</c:v>
                </c:pt>
                <c:pt idx="16">
                  <c:v>7742.6749999999993</c:v>
                </c:pt>
                <c:pt idx="17">
                  <c:v>7827.1049999999996</c:v>
                </c:pt>
                <c:pt idx="18">
                  <c:v>7917.49</c:v>
                </c:pt>
                <c:pt idx="19">
                  <c:v>8010.0599999999995</c:v>
                </c:pt>
                <c:pt idx="20">
                  <c:v>8095.2</c:v>
                </c:pt>
                <c:pt idx="21">
                  <c:v>8188.23</c:v>
                </c:pt>
                <c:pt idx="22">
                  <c:v>8281.9349999999995</c:v>
                </c:pt>
                <c:pt idx="23">
                  <c:v>8366.9599999999991</c:v>
                </c:pt>
                <c:pt idx="24">
                  <c:v>8452.4499999999989</c:v>
                </c:pt>
                <c:pt idx="25">
                  <c:v>8538.3399999999983</c:v>
                </c:pt>
                <c:pt idx="26">
                  <c:v>8630.4149999999991</c:v>
                </c:pt>
                <c:pt idx="27">
                  <c:v>8680.2549999999992</c:v>
                </c:pt>
                <c:pt idx="28">
                  <c:v>8732.494999999999</c:v>
                </c:pt>
                <c:pt idx="29">
                  <c:v>8784.4649999999983</c:v>
                </c:pt>
                <c:pt idx="30">
                  <c:v>8833.9649999999983</c:v>
                </c:pt>
                <c:pt idx="31">
                  <c:v>8886.3749999999982</c:v>
                </c:pt>
                <c:pt idx="32">
                  <c:v>8980.489999999998</c:v>
                </c:pt>
                <c:pt idx="33">
                  <c:v>9074.4499999999971</c:v>
                </c:pt>
                <c:pt idx="34">
                  <c:v>9123.4599999999973</c:v>
                </c:pt>
                <c:pt idx="35">
                  <c:v>9175.3599999999969</c:v>
                </c:pt>
                <c:pt idx="36">
                  <c:v>9227.7399999999961</c:v>
                </c:pt>
                <c:pt idx="37">
                  <c:v>9322.029999999997</c:v>
                </c:pt>
                <c:pt idx="38">
                  <c:v>9417.3249999999971</c:v>
                </c:pt>
                <c:pt idx="39">
                  <c:v>9470.3099999999977</c:v>
                </c:pt>
                <c:pt idx="40">
                  <c:v>9523.1949999999979</c:v>
                </c:pt>
                <c:pt idx="41">
                  <c:v>9575.5249999999978</c:v>
                </c:pt>
                <c:pt idx="42">
                  <c:v>9626.0799999999981</c:v>
                </c:pt>
                <c:pt idx="43">
                  <c:v>9678.5299999999988</c:v>
                </c:pt>
                <c:pt idx="44">
                  <c:v>9728.9849999999988</c:v>
                </c:pt>
                <c:pt idx="45">
                  <c:v>9779.5149999999994</c:v>
                </c:pt>
                <c:pt idx="46">
                  <c:v>9832.4349999999995</c:v>
                </c:pt>
                <c:pt idx="47">
                  <c:v>9884.8949999999986</c:v>
                </c:pt>
                <c:pt idx="48">
                  <c:v>9939.3849999999984</c:v>
                </c:pt>
                <c:pt idx="49">
                  <c:v>9992.0749999999989</c:v>
                </c:pt>
                <c:pt idx="50">
                  <c:v>10047.304999999998</c:v>
                </c:pt>
                <c:pt idx="51">
                  <c:v>10142.224999999999</c:v>
                </c:pt>
                <c:pt idx="52">
                  <c:v>10193.194999999998</c:v>
                </c:pt>
                <c:pt idx="53">
                  <c:v>10247.639999999998</c:v>
                </c:pt>
                <c:pt idx="54">
                  <c:v>10299.559999999998</c:v>
                </c:pt>
                <c:pt idx="55">
                  <c:v>10355.709999999997</c:v>
                </c:pt>
                <c:pt idx="56">
                  <c:v>10405.934999999998</c:v>
                </c:pt>
                <c:pt idx="57">
                  <c:v>10462.274999999998</c:v>
                </c:pt>
                <c:pt idx="58">
                  <c:v>10512.279999999997</c:v>
                </c:pt>
                <c:pt idx="59">
                  <c:v>10562.419999999996</c:v>
                </c:pt>
                <c:pt idx="60">
                  <c:v>10618.994999999997</c:v>
                </c:pt>
                <c:pt idx="61">
                  <c:v>10674.334999999997</c:v>
                </c:pt>
                <c:pt idx="62">
                  <c:v>10724.534999999998</c:v>
                </c:pt>
                <c:pt idx="63">
                  <c:v>10772.174999999997</c:v>
                </c:pt>
                <c:pt idx="64">
                  <c:v>10819.699999999997</c:v>
                </c:pt>
                <c:pt idx="65">
                  <c:v>10873.319999999998</c:v>
                </c:pt>
                <c:pt idx="66">
                  <c:v>10921.904999999997</c:v>
                </c:pt>
                <c:pt idx="67">
                  <c:v>10975.179999999997</c:v>
                </c:pt>
                <c:pt idx="68">
                  <c:v>11023.229999999996</c:v>
                </c:pt>
                <c:pt idx="69">
                  <c:v>11072.264999999996</c:v>
                </c:pt>
                <c:pt idx="70">
                  <c:v>11120.769999999995</c:v>
                </c:pt>
                <c:pt idx="71">
                  <c:v>11169.604999999994</c:v>
                </c:pt>
                <c:pt idx="72">
                  <c:v>11222.064999999993</c:v>
                </c:pt>
                <c:pt idx="73">
                  <c:v>11274.479999999994</c:v>
                </c:pt>
                <c:pt idx="74">
                  <c:v>11477.649999999994</c:v>
                </c:pt>
                <c:pt idx="75">
                  <c:v>11524.994999999994</c:v>
                </c:pt>
                <c:pt idx="76">
                  <c:v>11577.074999999993</c:v>
                </c:pt>
                <c:pt idx="77">
                  <c:v>11625.094999999994</c:v>
                </c:pt>
                <c:pt idx="78">
                  <c:v>11678.074999999993</c:v>
                </c:pt>
                <c:pt idx="79">
                  <c:v>11885.004999999994</c:v>
                </c:pt>
                <c:pt idx="80">
                  <c:v>12095.474999999993</c:v>
                </c:pt>
                <c:pt idx="81">
                  <c:v>12142.899999999992</c:v>
                </c:pt>
                <c:pt idx="82">
                  <c:v>12195.489999999993</c:v>
                </c:pt>
                <c:pt idx="83">
                  <c:v>12407.809999999992</c:v>
                </c:pt>
                <c:pt idx="84">
                  <c:v>12457.559999999992</c:v>
                </c:pt>
                <c:pt idx="85">
                  <c:v>12507.809999999992</c:v>
                </c:pt>
                <c:pt idx="86">
                  <c:v>12721.039999999992</c:v>
                </c:pt>
                <c:pt idx="87">
                  <c:v>12768.539999999992</c:v>
                </c:pt>
                <c:pt idx="88">
                  <c:v>12815.749999999991</c:v>
                </c:pt>
                <c:pt idx="89">
                  <c:v>12865.569999999991</c:v>
                </c:pt>
                <c:pt idx="90">
                  <c:v>12913.53999999999</c:v>
                </c:pt>
                <c:pt idx="91">
                  <c:v>13127.319999999991</c:v>
                </c:pt>
                <c:pt idx="92">
                  <c:v>13348.87999999999</c:v>
                </c:pt>
                <c:pt idx="93">
                  <c:v>13562.75499999999</c:v>
                </c:pt>
                <c:pt idx="94">
                  <c:v>13785.42499999999</c:v>
                </c:pt>
                <c:pt idx="95">
                  <c:v>14005.51499999999</c:v>
                </c:pt>
                <c:pt idx="96">
                  <c:v>14227.43499999999</c:v>
                </c:pt>
                <c:pt idx="97">
                  <c:v>14450.78999999999</c:v>
                </c:pt>
                <c:pt idx="98">
                  <c:v>14672.51999999999</c:v>
                </c:pt>
                <c:pt idx="99">
                  <c:v>14894.069999999989</c:v>
                </c:pt>
                <c:pt idx="100">
                  <c:v>15112.804999999989</c:v>
                </c:pt>
                <c:pt idx="101">
                  <c:v>15334.014999999989</c:v>
                </c:pt>
                <c:pt idx="102">
                  <c:v>15556.964999999989</c:v>
                </c:pt>
                <c:pt idx="103">
                  <c:v>15774.00499999999</c:v>
                </c:pt>
                <c:pt idx="104">
                  <c:v>15993.874999999991</c:v>
                </c:pt>
                <c:pt idx="105">
                  <c:v>16213.569999999991</c:v>
                </c:pt>
                <c:pt idx="106">
                  <c:v>16262.609999999991</c:v>
                </c:pt>
                <c:pt idx="107">
                  <c:v>16478.019999999993</c:v>
                </c:pt>
                <c:pt idx="108">
                  <c:v>16527.739999999994</c:v>
                </c:pt>
                <c:pt idx="109">
                  <c:v>16741.584999999995</c:v>
                </c:pt>
                <c:pt idx="110">
                  <c:v>16790.939999999995</c:v>
                </c:pt>
                <c:pt idx="111">
                  <c:v>17005.389999999996</c:v>
                </c:pt>
                <c:pt idx="112">
                  <c:v>17005.389999999996</c:v>
                </c:pt>
                <c:pt idx="113">
                  <c:v>17055.404999999995</c:v>
                </c:pt>
                <c:pt idx="114">
                  <c:v>17115.994999999995</c:v>
                </c:pt>
                <c:pt idx="115">
                  <c:v>17115.994999999995</c:v>
                </c:pt>
                <c:pt idx="116">
                  <c:v>17115.994999999995</c:v>
                </c:pt>
                <c:pt idx="117">
                  <c:v>17115.994999999995</c:v>
                </c:pt>
                <c:pt idx="118">
                  <c:v>17115.994999999995</c:v>
                </c:pt>
                <c:pt idx="119">
                  <c:v>17115.994999999995</c:v>
                </c:pt>
                <c:pt idx="120">
                  <c:v>17115.994999999995</c:v>
                </c:pt>
                <c:pt idx="121">
                  <c:v>17115.994999999995</c:v>
                </c:pt>
                <c:pt idx="122">
                  <c:v>17115.994999999995</c:v>
                </c:pt>
                <c:pt idx="123">
                  <c:v>17115.994999999995</c:v>
                </c:pt>
                <c:pt idx="124">
                  <c:v>17115.994999999995</c:v>
                </c:pt>
                <c:pt idx="125">
                  <c:v>17115.994999999995</c:v>
                </c:pt>
                <c:pt idx="126">
                  <c:v>17115.994999999995</c:v>
                </c:pt>
                <c:pt idx="127">
                  <c:v>17115.994999999995</c:v>
                </c:pt>
                <c:pt idx="128">
                  <c:v>17115.994999999995</c:v>
                </c:pt>
                <c:pt idx="129">
                  <c:v>17115.994999999995</c:v>
                </c:pt>
                <c:pt idx="130">
                  <c:v>17115.994999999995</c:v>
                </c:pt>
                <c:pt idx="131">
                  <c:v>17115.994999999995</c:v>
                </c:pt>
                <c:pt idx="132">
                  <c:v>17115.994999999995</c:v>
                </c:pt>
                <c:pt idx="133">
                  <c:v>17115.994999999995</c:v>
                </c:pt>
                <c:pt idx="134">
                  <c:v>17115.994999999995</c:v>
                </c:pt>
                <c:pt idx="135">
                  <c:v>17115.994999999995</c:v>
                </c:pt>
                <c:pt idx="136">
                  <c:v>17115.994999999995</c:v>
                </c:pt>
                <c:pt idx="137">
                  <c:v>17115.994999999995</c:v>
                </c:pt>
                <c:pt idx="138">
                  <c:v>17178.654999999995</c:v>
                </c:pt>
                <c:pt idx="139">
                  <c:v>17178.654999999995</c:v>
                </c:pt>
                <c:pt idx="140">
                  <c:v>17178.654999999995</c:v>
                </c:pt>
                <c:pt idx="141">
                  <c:v>17178.654999999995</c:v>
                </c:pt>
                <c:pt idx="142">
                  <c:v>17178.654999999995</c:v>
                </c:pt>
                <c:pt idx="143">
                  <c:v>17178.654999999995</c:v>
                </c:pt>
                <c:pt idx="144">
                  <c:v>17178.654999999995</c:v>
                </c:pt>
                <c:pt idx="145">
                  <c:v>17178.654999999995</c:v>
                </c:pt>
                <c:pt idx="146">
                  <c:v>17178.654999999995</c:v>
                </c:pt>
                <c:pt idx="147">
                  <c:v>17178.654999999995</c:v>
                </c:pt>
                <c:pt idx="148">
                  <c:v>17178.654999999995</c:v>
                </c:pt>
                <c:pt idx="149">
                  <c:v>17178.654999999995</c:v>
                </c:pt>
                <c:pt idx="150">
                  <c:v>17178.654999999995</c:v>
                </c:pt>
                <c:pt idx="151">
                  <c:v>17178.654999999995</c:v>
                </c:pt>
                <c:pt idx="152">
                  <c:v>17178.654999999995</c:v>
                </c:pt>
                <c:pt idx="153">
                  <c:v>17178.654999999995</c:v>
                </c:pt>
                <c:pt idx="154">
                  <c:v>17178.654999999995</c:v>
                </c:pt>
                <c:pt idx="155">
                  <c:v>17178.654999999995</c:v>
                </c:pt>
                <c:pt idx="156">
                  <c:v>17178.654999999995</c:v>
                </c:pt>
                <c:pt idx="157">
                  <c:v>17178.654999999995</c:v>
                </c:pt>
                <c:pt idx="158">
                  <c:v>17229.924999999996</c:v>
                </c:pt>
                <c:pt idx="159">
                  <c:v>17229.924999999996</c:v>
                </c:pt>
                <c:pt idx="160">
                  <c:v>17229.924999999996</c:v>
                </c:pt>
                <c:pt idx="161">
                  <c:v>17229.924999999996</c:v>
                </c:pt>
                <c:pt idx="162">
                  <c:v>17229.924999999996</c:v>
                </c:pt>
                <c:pt idx="163">
                  <c:v>17281.339999999997</c:v>
                </c:pt>
                <c:pt idx="164">
                  <c:v>17281.339999999997</c:v>
                </c:pt>
                <c:pt idx="165">
                  <c:v>17281.339999999997</c:v>
                </c:pt>
                <c:pt idx="166">
                  <c:v>17281.339999999997</c:v>
                </c:pt>
                <c:pt idx="167">
                  <c:v>17281.339999999997</c:v>
                </c:pt>
                <c:pt idx="168">
                  <c:v>17281.339999999997</c:v>
                </c:pt>
                <c:pt idx="169">
                  <c:v>17281.339999999997</c:v>
                </c:pt>
                <c:pt idx="170">
                  <c:v>17281.339999999997</c:v>
                </c:pt>
                <c:pt idx="171">
                  <c:v>17344.599999999995</c:v>
                </c:pt>
                <c:pt idx="172">
                  <c:v>17344.599999999995</c:v>
                </c:pt>
                <c:pt idx="173">
                  <c:v>17344.599999999995</c:v>
                </c:pt>
                <c:pt idx="174">
                  <c:v>17344.599999999995</c:v>
                </c:pt>
                <c:pt idx="175">
                  <c:v>17344.599999999995</c:v>
                </c:pt>
                <c:pt idx="176">
                  <c:v>17344.599999999995</c:v>
                </c:pt>
                <c:pt idx="177">
                  <c:v>17344.599999999995</c:v>
                </c:pt>
                <c:pt idx="178">
                  <c:v>17344.599999999995</c:v>
                </c:pt>
                <c:pt idx="179">
                  <c:v>17344.599999999995</c:v>
                </c:pt>
                <c:pt idx="180">
                  <c:v>17344.599999999995</c:v>
                </c:pt>
                <c:pt idx="181">
                  <c:v>17344.599999999995</c:v>
                </c:pt>
                <c:pt idx="182">
                  <c:v>17344.599999999995</c:v>
                </c:pt>
                <c:pt idx="183">
                  <c:v>17344.599999999995</c:v>
                </c:pt>
                <c:pt idx="184">
                  <c:v>17344.599999999995</c:v>
                </c:pt>
                <c:pt idx="185">
                  <c:v>17344.599999999995</c:v>
                </c:pt>
                <c:pt idx="186">
                  <c:v>17344.599999999995</c:v>
                </c:pt>
                <c:pt idx="187">
                  <c:v>17344.599999999995</c:v>
                </c:pt>
                <c:pt idx="188">
                  <c:v>17344.599999999995</c:v>
                </c:pt>
                <c:pt idx="189">
                  <c:v>17344.599999999995</c:v>
                </c:pt>
                <c:pt idx="190">
                  <c:v>17344.599999999995</c:v>
                </c:pt>
                <c:pt idx="191">
                  <c:v>17344.599999999995</c:v>
                </c:pt>
                <c:pt idx="192">
                  <c:v>17344.599999999995</c:v>
                </c:pt>
                <c:pt idx="193">
                  <c:v>17344.599999999995</c:v>
                </c:pt>
                <c:pt idx="194">
                  <c:v>17344.599999999995</c:v>
                </c:pt>
                <c:pt idx="195">
                  <c:v>17344.599999999995</c:v>
                </c:pt>
                <c:pt idx="196">
                  <c:v>17393.089999999997</c:v>
                </c:pt>
                <c:pt idx="197">
                  <c:v>17454.969999999998</c:v>
                </c:pt>
                <c:pt idx="198">
                  <c:v>17454.969999999998</c:v>
                </c:pt>
                <c:pt idx="199">
                  <c:v>17454.969999999998</c:v>
                </c:pt>
                <c:pt idx="200">
                  <c:v>17454.969999999998</c:v>
                </c:pt>
                <c:pt idx="201">
                  <c:v>17454.969999999998</c:v>
                </c:pt>
                <c:pt idx="202">
                  <c:v>17454.969999999998</c:v>
                </c:pt>
                <c:pt idx="203">
                  <c:v>17454.969999999998</c:v>
                </c:pt>
                <c:pt idx="204">
                  <c:v>17454.969999999998</c:v>
                </c:pt>
                <c:pt idx="205">
                  <c:v>17454.969999999998</c:v>
                </c:pt>
                <c:pt idx="206">
                  <c:v>17454.969999999998</c:v>
                </c:pt>
                <c:pt idx="207">
                  <c:v>17454.969999999998</c:v>
                </c:pt>
                <c:pt idx="208">
                  <c:v>17454.969999999998</c:v>
                </c:pt>
                <c:pt idx="209">
                  <c:v>17454.969999999998</c:v>
                </c:pt>
                <c:pt idx="210">
                  <c:v>17504.424999999999</c:v>
                </c:pt>
                <c:pt idx="211">
                  <c:v>17504.424999999999</c:v>
                </c:pt>
                <c:pt idx="212">
                  <c:v>17552.759999999998</c:v>
                </c:pt>
                <c:pt idx="213">
                  <c:v>17552.759999999998</c:v>
                </c:pt>
                <c:pt idx="214">
                  <c:v>17552.759999999998</c:v>
                </c:pt>
                <c:pt idx="215">
                  <c:v>17552.759999999998</c:v>
                </c:pt>
                <c:pt idx="216">
                  <c:v>17552.759999999998</c:v>
                </c:pt>
                <c:pt idx="217">
                  <c:v>17552.759999999998</c:v>
                </c:pt>
                <c:pt idx="218">
                  <c:v>17552.759999999998</c:v>
                </c:pt>
                <c:pt idx="219">
                  <c:v>17552.759999999998</c:v>
                </c:pt>
                <c:pt idx="220">
                  <c:v>17552.759999999998</c:v>
                </c:pt>
                <c:pt idx="221">
                  <c:v>17552.759999999998</c:v>
                </c:pt>
                <c:pt idx="222">
                  <c:v>17552.759999999998</c:v>
                </c:pt>
                <c:pt idx="223">
                  <c:v>17552.759999999998</c:v>
                </c:pt>
                <c:pt idx="224">
                  <c:v>17552.759999999998</c:v>
                </c:pt>
                <c:pt idx="225">
                  <c:v>17552.759999999998</c:v>
                </c:pt>
                <c:pt idx="226">
                  <c:v>17552.759999999998</c:v>
                </c:pt>
                <c:pt idx="227">
                  <c:v>17552.759999999998</c:v>
                </c:pt>
                <c:pt idx="228">
                  <c:v>17552.759999999998</c:v>
                </c:pt>
                <c:pt idx="229">
                  <c:v>17552.759999999998</c:v>
                </c:pt>
                <c:pt idx="230">
                  <c:v>17552.759999999998</c:v>
                </c:pt>
                <c:pt idx="231">
                  <c:v>17552.759999999998</c:v>
                </c:pt>
                <c:pt idx="232">
                  <c:v>17552.759999999998</c:v>
                </c:pt>
                <c:pt idx="233">
                  <c:v>17552.759999999998</c:v>
                </c:pt>
                <c:pt idx="234">
                  <c:v>17552.759999999998</c:v>
                </c:pt>
                <c:pt idx="235">
                  <c:v>17552.759999999998</c:v>
                </c:pt>
                <c:pt idx="236">
                  <c:v>17552.759999999998</c:v>
                </c:pt>
                <c:pt idx="237">
                  <c:v>17552.759999999998</c:v>
                </c:pt>
                <c:pt idx="238">
                  <c:v>17552.759999999998</c:v>
                </c:pt>
                <c:pt idx="239">
                  <c:v>17552.759999999998</c:v>
                </c:pt>
                <c:pt idx="240">
                  <c:v>17552.759999999998</c:v>
                </c:pt>
                <c:pt idx="241">
                  <c:v>17552.759999999998</c:v>
                </c:pt>
                <c:pt idx="242">
                  <c:v>17552.759999999998</c:v>
                </c:pt>
                <c:pt idx="243">
                  <c:v>17552.759999999998</c:v>
                </c:pt>
                <c:pt idx="244">
                  <c:v>17601.379999999997</c:v>
                </c:pt>
                <c:pt idx="245">
                  <c:v>17601.379999999997</c:v>
                </c:pt>
                <c:pt idx="246">
                  <c:v>17601.379999999997</c:v>
                </c:pt>
                <c:pt idx="247">
                  <c:v>17601.379999999997</c:v>
                </c:pt>
                <c:pt idx="248">
                  <c:v>17661.309999999998</c:v>
                </c:pt>
                <c:pt idx="249">
                  <c:v>17661.309999999998</c:v>
                </c:pt>
                <c:pt idx="250">
                  <c:v>17661.309999999998</c:v>
                </c:pt>
                <c:pt idx="251">
                  <c:v>17661.309999999998</c:v>
                </c:pt>
                <c:pt idx="252">
                  <c:v>17661.309999999998</c:v>
                </c:pt>
                <c:pt idx="253">
                  <c:v>17661.309999999998</c:v>
                </c:pt>
                <c:pt idx="254">
                  <c:v>17661.309999999998</c:v>
                </c:pt>
                <c:pt idx="255">
                  <c:v>17661.309999999998</c:v>
                </c:pt>
                <c:pt idx="256">
                  <c:v>17661.309999999998</c:v>
                </c:pt>
                <c:pt idx="257">
                  <c:v>17661.309999999998</c:v>
                </c:pt>
                <c:pt idx="258">
                  <c:v>17661.309999999998</c:v>
                </c:pt>
                <c:pt idx="259">
                  <c:v>17661.309999999998</c:v>
                </c:pt>
                <c:pt idx="260">
                  <c:v>17661.309999999998</c:v>
                </c:pt>
                <c:pt idx="261">
                  <c:v>17661.309999999998</c:v>
                </c:pt>
                <c:pt idx="262">
                  <c:v>17661.309999999998</c:v>
                </c:pt>
                <c:pt idx="263">
                  <c:v>17661.309999999998</c:v>
                </c:pt>
                <c:pt idx="264">
                  <c:v>17661.309999999998</c:v>
                </c:pt>
                <c:pt idx="265">
                  <c:v>17661.309999999998</c:v>
                </c:pt>
                <c:pt idx="266">
                  <c:v>17722.789999999997</c:v>
                </c:pt>
                <c:pt idx="267">
                  <c:v>17722.789999999997</c:v>
                </c:pt>
                <c:pt idx="268">
                  <c:v>17722.789999999997</c:v>
                </c:pt>
                <c:pt idx="269">
                  <c:v>17722.789999999997</c:v>
                </c:pt>
                <c:pt idx="270">
                  <c:v>17722.789999999997</c:v>
                </c:pt>
                <c:pt idx="271">
                  <c:v>17722.789999999997</c:v>
                </c:pt>
                <c:pt idx="272">
                  <c:v>17783.709999999995</c:v>
                </c:pt>
                <c:pt idx="273">
                  <c:v>17783.709999999995</c:v>
                </c:pt>
                <c:pt idx="274">
                  <c:v>17783.709999999995</c:v>
                </c:pt>
                <c:pt idx="275">
                  <c:v>17783.709999999995</c:v>
                </c:pt>
                <c:pt idx="276">
                  <c:v>17783.709999999995</c:v>
                </c:pt>
                <c:pt idx="277">
                  <c:v>17783.709999999995</c:v>
                </c:pt>
                <c:pt idx="278">
                  <c:v>17783.709999999995</c:v>
                </c:pt>
                <c:pt idx="279">
                  <c:v>17783.709999999995</c:v>
                </c:pt>
                <c:pt idx="280">
                  <c:v>17783.709999999995</c:v>
                </c:pt>
                <c:pt idx="281">
                  <c:v>17783.709999999995</c:v>
                </c:pt>
                <c:pt idx="282">
                  <c:v>17783.709999999995</c:v>
                </c:pt>
                <c:pt idx="283">
                  <c:v>17783.709999999995</c:v>
                </c:pt>
                <c:pt idx="284">
                  <c:v>17783.709999999995</c:v>
                </c:pt>
                <c:pt idx="285">
                  <c:v>17783.709999999995</c:v>
                </c:pt>
                <c:pt idx="286">
                  <c:v>17783.709999999995</c:v>
                </c:pt>
                <c:pt idx="287">
                  <c:v>17783.709999999995</c:v>
                </c:pt>
                <c:pt idx="288">
                  <c:v>17783.709999999995</c:v>
                </c:pt>
                <c:pt idx="289">
                  <c:v>17783.709999999995</c:v>
                </c:pt>
                <c:pt idx="290">
                  <c:v>17783.709999999995</c:v>
                </c:pt>
                <c:pt idx="291">
                  <c:v>17783.709999999995</c:v>
                </c:pt>
                <c:pt idx="292">
                  <c:v>17783.709999999995</c:v>
                </c:pt>
                <c:pt idx="293">
                  <c:v>17783.709999999995</c:v>
                </c:pt>
                <c:pt idx="294">
                  <c:v>17783.709999999995</c:v>
                </c:pt>
                <c:pt idx="295">
                  <c:v>17783.709999999995</c:v>
                </c:pt>
                <c:pt idx="296">
                  <c:v>17783.709999999995</c:v>
                </c:pt>
                <c:pt idx="297">
                  <c:v>17783.709999999995</c:v>
                </c:pt>
                <c:pt idx="298">
                  <c:v>17783.709999999995</c:v>
                </c:pt>
                <c:pt idx="299">
                  <c:v>17783.709999999995</c:v>
                </c:pt>
                <c:pt idx="300">
                  <c:v>17783.709999999995</c:v>
                </c:pt>
                <c:pt idx="301">
                  <c:v>17783.709999999995</c:v>
                </c:pt>
                <c:pt idx="302">
                  <c:v>17783.709999999995</c:v>
                </c:pt>
                <c:pt idx="303">
                  <c:v>17783.709999999995</c:v>
                </c:pt>
                <c:pt idx="304">
                  <c:v>17783.709999999995</c:v>
                </c:pt>
                <c:pt idx="305">
                  <c:v>17783.709999999995</c:v>
                </c:pt>
                <c:pt idx="306">
                  <c:v>17783.709999999995</c:v>
                </c:pt>
                <c:pt idx="307">
                  <c:v>17783.709999999995</c:v>
                </c:pt>
                <c:pt idx="308">
                  <c:v>17783.709999999995</c:v>
                </c:pt>
                <c:pt idx="309">
                  <c:v>17783.709999999995</c:v>
                </c:pt>
                <c:pt idx="310">
                  <c:v>17783.709999999995</c:v>
                </c:pt>
                <c:pt idx="311">
                  <c:v>17783.709999999995</c:v>
                </c:pt>
                <c:pt idx="312">
                  <c:v>17783.709999999995</c:v>
                </c:pt>
                <c:pt idx="313">
                  <c:v>17783.709999999995</c:v>
                </c:pt>
                <c:pt idx="314">
                  <c:v>17783.709999999995</c:v>
                </c:pt>
                <c:pt idx="315">
                  <c:v>17783.709999999995</c:v>
                </c:pt>
                <c:pt idx="316">
                  <c:v>17783.709999999995</c:v>
                </c:pt>
                <c:pt idx="317">
                  <c:v>17783.709999999995</c:v>
                </c:pt>
                <c:pt idx="318">
                  <c:v>17783.709999999995</c:v>
                </c:pt>
                <c:pt idx="319">
                  <c:v>17783.709999999995</c:v>
                </c:pt>
                <c:pt idx="320">
                  <c:v>17783.709999999995</c:v>
                </c:pt>
                <c:pt idx="321">
                  <c:v>17783.709999999995</c:v>
                </c:pt>
                <c:pt idx="322">
                  <c:v>17783.709999999995</c:v>
                </c:pt>
                <c:pt idx="323">
                  <c:v>17783.709999999995</c:v>
                </c:pt>
                <c:pt idx="324">
                  <c:v>17783.709999999995</c:v>
                </c:pt>
                <c:pt idx="325">
                  <c:v>17783.709999999995</c:v>
                </c:pt>
                <c:pt idx="326">
                  <c:v>17783.709999999995</c:v>
                </c:pt>
                <c:pt idx="327">
                  <c:v>17783.709999999995</c:v>
                </c:pt>
                <c:pt idx="328">
                  <c:v>17783.709999999995</c:v>
                </c:pt>
                <c:pt idx="329">
                  <c:v>17844.454999999994</c:v>
                </c:pt>
                <c:pt idx="330">
                  <c:v>17844.454999999994</c:v>
                </c:pt>
                <c:pt idx="331">
                  <c:v>17844.454999999994</c:v>
                </c:pt>
                <c:pt idx="332">
                  <c:v>17844.454999999994</c:v>
                </c:pt>
                <c:pt idx="333">
                  <c:v>17844.454999999994</c:v>
                </c:pt>
                <c:pt idx="334">
                  <c:v>17844.454999999994</c:v>
                </c:pt>
                <c:pt idx="335">
                  <c:v>17844.454999999994</c:v>
                </c:pt>
                <c:pt idx="336">
                  <c:v>17844.454999999994</c:v>
                </c:pt>
                <c:pt idx="337">
                  <c:v>17844.454999999994</c:v>
                </c:pt>
                <c:pt idx="338">
                  <c:v>17904.819999999996</c:v>
                </c:pt>
                <c:pt idx="339">
                  <c:v>17904.819999999996</c:v>
                </c:pt>
                <c:pt idx="340">
                  <c:v>17904.819999999996</c:v>
                </c:pt>
                <c:pt idx="341">
                  <c:v>17904.819999999996</c:v>
                </c:pt>
                <c:pt idx="342">
                  <c:v>17904.819999999996</c:v>
                </c:pt>
                <c:pt idx="343">
                  <c:v>17904.819999999996</c:v>
                </c:pt>
                <c:pt idx="344">
                  <c:v>17904.819999999996</c:v>
                </c:pt>
                <c:pt idx="345">
                  <c:v>17904.819999999996</c:v>
                </c:pt>
                <c:pt idx="346">
                  <c:v>17904.819999999996</c:v>
                </c:pt>
                <c:pt idx="347">
                  <c:v>17904.819999999996</c:v>
                </c:pt>
                <c:pt idx="348">
                  <c:v>17904.819999999996</c:v>
                </c:pt>
                <c:pt idx="349">
                  <c:v>17904.819999999996</c:v>
                </c:pt>
                <c:pt idx="350">
                  <c:v>17904.819999999996</c:v>
                </c:pt>
                <c:pt idx="351">
                  <c:v>17904.819999999996</c:v>
                </c:pt>
                <c:pt idx="352">
                  <c:v>17904.819999999996</c:v>
                </c:pt>
                <c:pt idx="353">
                  <c:v>17904.819999999996</c:v>
                </c:pt>
                <c:pt idx="354">
                  <c:v>17904.819999999996</c:v>
                </c:pt>
                <c:pt idx="355">
                  <c:v>17904.819999999996</c:v>
                </c:pt>
                <c:pt idx="356">
                  <c:v>17904.819999999996</c:v>
                </c:pt>
                <c:pt idx="357">
                  <c:v>17904.819999999996</c:v>
                </c:pt>
                <c:pt idx="358">
                  <c:v>17904.819999999996</c:v>
                </c:pt>
                <c:pt idx="359">
                  <c:v>17904.819999999996</c:v>
                </c:pt>
                <c:pt idx="360">
                  <c:v>17904.819999999996</c:v>
                </c:pt>
                <c:pt idx="361">
                  <c:v>17904.819999999996</c:v>
                </c:pt>
                <c:pt idx="362">
                  <c:v>17904.819999999996</c:v>
                </c:pt>
                <c:pt idx="363">
                  <c:v>17904.819999999996</c:v>
                </c:pt>
                <c:pt idx="364">
                  <c:v>17904.819999999996</c:v>
                </c:pt>
                <c:pt idx="365">
                  <c:v>17904.819999999996</c:v>
                </c:pt>
                <c:pt idx="366">
                  <c:v>17904.819999999996</c:v>
                </c:pt>
                <c:pt idx="367">
                  <c:v>17904.819999999996</c:v>
                </c:pt>
                <c:pt idx="368">
                  <c:v>17904.819999999996</c:v>
                </c:pt>
                <c:pt idx="369">
                  <c:v>17904.819999999996</c:v>
                </c:pt>
                <c:pt idx="370">
                  <c:v>17904.819999999996</c:v>
                </c:pt>
                <c:pt idx="371">
                  <c:v>17904.819999999996</c:v>
                </c:pt>
                <c:pt idx="372">
                  <c:v>17904.819999999996</c:v>
                </c:pt>
                <c:pt idx="373">
                  <c:v>17904.819999999996</c:v>
                </c:pt>
                <c:pt idx="374">
                  <c:v>17904.819999999996</c:v>
                </c:pt>
                <c:pt idx="375">
                  <c:v>17904.819999999996</c:v>
                </c:pt>
                <c:pt idx="376">
                  <c:v>17904.819999999996</c:v>
                </c:pt>
                <c:pt idx="377">
                  <c:v>17904.819999999996</c:v>
                </c:pt>
                <c:pt idx="378">
                  <c:v>17904.819999999996</c:v>
                </c:pt>
                <c:pt idx="379">
                  <c:v>17904.819999999996</c:v>
                </c:pt>
                <c:pt idx="380">
                  <c:v>17904.819999999996</c:v>
                </c:pt>
                <c:pt idx="381">
                  <c:v>17904.819999999996</c:v>
                </c:pt>
                <c:pt idx="382">
                  <c:v>17904.819999999996</c:v>
                </c:pt>
                <c:pt idx="383">
                  <c:v>17904.819999999996</c:v>
                </c:pt>
                <c:pt idx="384">
                  <c:v>17904.819999999996</c:v>
                </c:pt>
                <c:pt idx="385">
                  <c:v>17904.819999999996</c:v>
                </c:pt>
                <c:pt idx="386">
                  <c:v>17904.819999999996</c:v>
                </c:pt>
                <c:pt idx="387">
                  <c:v>17904.819999999996</c:v>
                </c:pt>
                <c:pt idx="388">
                  <c:v>17904.819999999996</c:v>
                </c:pt>
                <c:pt idx="389">
                  <c:v>17904.819999999996</c:v>
                </c:pt>
                <c:pt idx="390">
                  <c:v>17904.819999999996</c:v>
                </c:pt>
                <c:pt idx="391">
                  <c:v>17904.819999999996</c:v>
                </c:pt>
                <c:pt idx="392">
                  <c:v>17904.819999999996</c:v>
                </c:pt>
                <c:pt idx="393">
                  <c:v>17904.819999999996</c:v>
                </c:pt>
                <c:pt idx="394">
                  <c:v>17904.819999999996</c:v>
                </c:pt>
                <c:pt idx="395">
                  <c:v>17904.819999999996</c:v>
                </c:pt>
                <c:pt idx="396">
                  <c:v>17904.819999999996</c:v>
                </c:pt>
                <c:pt idx="397">
                  <c:v>17904.819999999996</c:v>
                </c:pt>
                <c:pt idx="398">
                  <c:v>17904.819999999996</c:v>
                </c:pt>
                <c:pt idx="399">
                  <c:v>17904.819999999996</c:v>
                </c:pt>
                <c:pt idx="400">
                  <c:v>17904.819999999996</c:v>
                </c:pt>
                <c:pt idx="401">
                  <c:v>17904.819999999996</c:v>
                </c:pt>
                <c:pt idx="402">
                  <c:v>17904.819999999996</c:v>
                </c:pt>
                <c:pt idx="403">
                  <c:v>17904.819999999996</c:v>
                </c:pt>
                <c:pt idx="404">
                  <c:v>17904.819999999996</c:v>
                </c:pt>
                <c:pt idx="405">
                  <c:v>17904.819999999996</c:v>
                </c:pt>
                <c:pt idx="406">
                  <c:v>17904.819999999996</c:v>
                </c:pt>
                <c:pt idx="407">
                  <c:v>17904.819999999996</c:v>
                </c:pt>
                <c:pt idx="408">
                  <c:v>17904.819999999996</c:v>
                </c:pt>
                <c:pt idx="409">
                  <c:v>17904.819999999996</c:v>
                </c:pt>
                <c:pt idx="410">
                  <c:v>17904.819999999996</c:v>
                </c:pt>
                <c:pt idx="411">
                  <c:v>17904.819999999996</c:v>
                </c:pt>
                <c:pt idx="412">
                  <c:v>17904.819999999996</c:v>
                </c:pt>
                <c:pt idx="413">
                  <c:v>17904.819999999996</c:v>
                </c:pt>
                <c:pt idx="414">
                  <c:v>17904.819999999996</c:v>
                </c:pt>
                <c:pt idx="415">
                  <c:v>17904.819999999996</c:v>
                </c:pt>
                <c:pt idx="416">
                  <c:v>17904.819999999996</c:v>
                </c:pt>
                <c:pt idx="417">
                  <c:v>17904.819999999996</c:v>
                </c:pt>
                <c:pt idx="418">
                  <c:v>17904.819999999996</c:v>
                </c:pt>
                <c:pt idx="419">
                  <c:v>17904.819999999996</c:v>
                </c:pt>
                <c:pt idx="420">
                  <c:v>17904.819999999996</c:v>
                </c:pt>
                <c:pt idx="421">
                  <c:v>17904.819999999996</c:v>
                </c:pt>
                <c:pt idx="422">
                  <c:v>17904.819999999996</c:v>
                </c:pt>
                <c:pt idx="423">
                  <c:v>17904.819999999996</c:v>
                </c:pt>
                <c:pt idx="424">
                  <c:v>17904.819999999996</c:v>
                </c:pt>
                <c:pt idx="425">
                  <c:v>17904.819999999996</c:v>
                </c:pt>
                <c:pt idx="426">
                  <c:v>17904.819999999996</c:v>
                </c:pt>
                <c:pt idx="427">
                  <c:v>17904.819999999996</c:v>
                </c:pt>
                <c:pt idx="428">
                  <c:v>17904.819999999996</c:v>
                </c:pt>
                <c:pt idx="429">
                  <c:v>17904.819999999996</c:v>
                </c:pt>
                <c:pt idx="430">
                  <c:v>17904.819999999996</c:v>
                </c:pt>
                <c:pt idx="431">
                  <c:v>17904.819999999996</c:v>
                </c:pt>
                <c:pt idx="432">
                  <c:v>17904.819999999996</c:v>
                </c:pt>
                <c:pt idx="433">
                  <c:v>17904.819999999996</c:v>
                </c:pt>
                <c:pt idx="434">
                  <c:v>17904.819999999996</c:v>
                </c:pt>
                <c:pt idx="435">
                  <c:v>17904.819999999996</c:v>
                </c:pt>
                <c:pt idx="436">
                  <c:v>17904.819999999996</c:v>
                </c:pt>
                <c:pt idx="437">
                  <c:v>17904.819999999996</c:v>
                </c:pt>
                <c:pt idx="438">
                  <c:v>17904.819999999996</c:v>
                </c:pt>
                <c:pt idx="439">
                  <c:v>17904.819999999996</c:v>
                </c:pt>
                <c:pt idx="440">
                  <c:v>17904.819999999996</c:v>
                </c:pt>
                <c:pt idx="441">
                  <c:v>17904.819999999996</c:v>
                </c:pt>
                <c:pt idx="442">
                  <c:v>17904.819999999996</c:v>
                </c:pt>
                <c:pt idx="443">
                  <c:v>17904.819999999996</c:v>
                </c:pt>
                <c:pt idx="444">
                  <c:v>17904.819999999996</c:v>
                </c:pt>
                <c:pt idx="445">
                  <c:v>17904.819999999996</c:v>
                </c:pt>
                <c:pt idx="446">
                  <c:v>17904.819999999996</c:v>
                </c:pt>
                <c:pt idx="447">
                  <c:v>17904.819999999996</c:v>
                </c:pt>
                <c:pt idx="448">
                  <c:v>17904.819999999996</c:v>
                </c:pt>
                <c:pt idx="449">
                  <c:v>17904.819999999996</c:v>
                </c:pt>
                <c:pt idx="450">
                  <c:v>17904.819999999996</c:v>
                </c:pt>
                <c:pt idx="451">
                  <c:v>17904.819999999996</c:v>
                </c:pt>
                <c:pt idx="452">
                  <c:v>17904.819999999996</c:v>
                </c:pt>
                <c:pt idx="453">
                  <c:v>17904.819999999996</c:v>
                </c:pt>
                <c:pt idx="454">
                  <c:v>17904.819999999996</c:v>
                </c:pt>
                <c:pt idx="455">
                  <c:v>17904.819999999996</c:v>
                </c:pt>
                <c:pt idx="456">
                  <c:v>17904.819999999996</c:v>
                </c:pt>
                <c:pt idx="457">
                  <c:v>17904.819999999996</c:v>
                </c:pt>
                <c:pt idx="458">
                  <c:v>17904.819999999996</c:v>
                </c:pt>
                <c:pt idx="459">
                  <c:v>17904.819999999996</c:v>
                </c:pt>
                <c:pt idx="460">
                  <c:v>17904.819999999996</c:v>
                </c:pt>
                <c:pt idx="461">
                  <c:v>17904.819999999996</c:v>
                </c:pt>
                <c:pt idx="462">
                  <c:v>17904.819999999996</c:v>
                </c:pt>
                <c:pt idx="463">
                  <c:v>17904.819999999996</c:v>
                </c:pt>
                <c:pt idx="464">
                  <c:v>17904.819999999996</c:v>
                </c:pt>
                <c:pt idx="465">
                  <c:v>17904.819999999996</c:v>
                </c:pt>
                <c:pt idx="466">
                  <c:v>17904.819999999996</c:v>
                </c:pt>
                <c:pt idx="467">
                  <c:v>17904.819999999996</c:v>
                </c:pt>
                <c:pt idx="468">
                  <c:v>17904.819999999996</c:v>
                </c:pt>
                <c:pt idx="469">
                  <c:v>17904.819999999996</c:v>
                </c:pt>
                <c:pt idx="470">
                  <c:v>17904.819999999996</c:v>
                </c:pt>
                <c:pt idx="471">
                  <c:v>17904.819999999996</c:v>
                </c:pt>
                <c:pt idx="472">
                  <c:v>17904.819999999996</c:v>
                </c:pt>
                <c:pt idx="473">
                  <c:v>17904.819999999996</c:v>
                </c:pt>
                <c:pt idx="474">
                  <c:v>17904.819999999996</c:v>
                </c:pt>
                <c:pt idx="475">
                  <c:v>17904.819999999996</c:v>
                </c:pt>
                <c:pt idx="476">
                  <c:v>17904.819999999996</c:v>
                </c:pt>
                <c:pt idx="477">
                  <c:v>17904.819999999996</c:v>
                </c:pt>
                <c:pt idx="478">
                  <c:v>17904.819999999996</c:v>
                </c:pt>
                <c:pt idx="479">
                  <c:v>17904.819999999996</c:v>
                </c:pt>
                <c:pt idx="480">
                  <c:v>17904.819999999996</c:v>
                </c:pt>
                <c:pt idx="481">
                  <c:v>17904.819999999996</c:v>
                </c:pt>
                <c:pt idx="482">
                  <c:v>17904.819999999996</c:v>
                </c:pt>
                <c:pt idx="483">
                  <c:v>17904.819999999996</c:v>
                </c:pt>
                <c:pt idx="484">
                  <c:v>17904.819999999996</c:v>
                </c:pt>
                <c:pt idx="485">
                  <c:v>17904.819999999996</c:v>
                </c:pt>
                <c:pt idx="486">
                  <c:v>17904.819999999996</c:v>
                </c:pt>
                <c:pt idx="487">
                  <c:v>17904.819999999996</c:v>
                </c:pt>
                <c:pt idx="488">
                  <c:v>17904.819999999996</c:v>
                </c:pt>
                <c:pt idx="489">
                  <c:v>17904.819999999996</c:v>
                </c:pt>
                <c:pt idx="490">
                  <c:v>17904.819999999996</c:v>
                </c:pt>
                <c:pt idx="491">
                  <c:v>17904.819999999996</c:v>
                </c:pt>
                <c:pt idx="492">
                  <c:v>17904.819999999996</c:v>
                </c:pt>
                <c:pt idx="493">
                  <c:v>17904.819999999996</c:v>
                </c:pt>
                <c:pt idx="494">
                  <c:v>17904.819999999996</c:v>
                </c:pt>
                <c:pt idx="495">
                  <c:v>17904.819999999996</c:v>
                </c:pt>
                <c:pt idx="496">
                  <c:v>17904.819999999996</c:v>
                </c:pt>
                <c:pt idx="497">
                  <c:v>17904.819999999996</c:v>
                </c:pt>
                <c:pt idx="498">
                  <c:v>17904.819999999996</c:v>
                </c:pt>
                <c:pt idx="499">
                  <c:v>17904.819999999996</c:v>
                </c:pt>
                <c:pt idx="500">
                  <c:v>17904.819999999996</c:v>
                </c:pt>
                <c:pt idx="501">
                  <c:v>17904.819999999996</c:v>
                </c:pt>
                <c:pt idx="502">
                  <c:v>17904.819999999996</c:v>
                </c:pt>
                <c:pt idx="503">
                  <c:v>17904.819999999996</c:v>
                </c:pt>
                <c:pt idx="504">
                  <c:v>17904.819999999996</c:v>
                </c:pt>
                <c:pt idx="505">
                  <c:v>17904.819999999996</c:v>
                </c:pt>
                <c:pt idx="506">
                  <c:v>17904.819999999996</c:v>
                </c:pt>
                <c:pt idx="507">
                  <c:v>17904.819999999996</c:v>
                </c:pt>
                <c:pt idx="508">
                  <c:v>17904.819999999996</c:v>
                </c:pt>
                <c:pt idx="509">
                  <c:v>17904.819999999996</c:v>
                </c:pt>
                <c:pt idx="510">
                  <c:v>17904.819999999996</c:v>
                </c:pt>
                <c:pt idx="511">
                  <c:v>17904.819999999996</c:v>
                </c:pt>
                <c:pt idx="512">
                  <c:v>17904.819999999996</c:v>
                </c:pt>
                <c:pt idx="513">
                  <c:v>17904.819999999996</c:v>
                </c:pt>
                <c:pt idx="514">
                  <c:v>17904.819999999996</c:v>
                </c:pt>
                <c:pt idx="515">
                  <c:v>17904.819999999996</c:v>
                </c:pt>
                <c:pt idx="516">
                  <c:v>17904.819999999996</c:v>
                </c:pt>
                <c:pt idx="517">
                  <c:v>17904.819999999996</c:v>
                </c:pt>
                <c:pt idx="518">
                  <c:v>17904.819999999996</c:v>
                </c:pt>
                <c:pt idx="519">
                  <c:v>17904.819999999996</c:v>
                </c:pt>
                <c:pt idx="520">
                  <c:v>17904.819999999996</c:v>
                </c:pt>
                <c:pt idx="521">
                  <c:v>17904.819999999996</c:v>
                </c:pt>
                <c:pt idx="522">
                  <c:v>17904.819999999996</c:v>
                </c:pt>
                <c:pt idx="523">
                  <c:v>17904.819999999996</c:v>
                </c:pt>
                <c:pt idx="524">
                  <c:v>17904.819999999996</c:v>
                </c:pt>
                <c:pt idx="525">
                  <c:v>17904.819999999996</c:v>
                </c:pt>
                <c:pt idx="526">
                  <c:v>17904.819999999996</c:v>
                </c:pt>
                <c:pt idx="527">
                  <c:v>17904.819999999996</c:v>
                </c:pt>
                <c:pt idx="528">
                  <c:v>17904.819999999996</c:v>
                </c:pt>
                <c:pt idx="529">
                  <c:v>17904.819999999996</c:v>
                </c:pt>
                <c:pt idx="530">
                  <c:v>17904.819999999996</c:v>
                </c:pt>
                <c:pt idx="531">
                  <c:v>17904.819999999996</c:v>
                </c:pt>
                <c:pt idx="532">
                  <c:v>17904.819999999996</c:v>
                </c:pt>
                <c:pt idx="533">
                  <c:v>17904.819999999996</c:v>
                </c:pt>
                <c:pt idx="534">
                  <c:v>17904.819999999996</c:v>
                </c:pt>
                <c:pt idx="535">
                  <c:v>17904.819999999996</c:v>
                </c:pt>
                <c:pt idx="536">
                  <c:v>17904.819999999996</c:v>
                </c:pt>
                <c:pt idx="537">
                  <c:v>17904.819999999996</c:v>
                </c:pt>
                <c:pt idx="538">
                  <c:v>17904.819999999996</c:v>
                </c:pt>
                <c:pt idx="539">
                  <c:v>17904.819999999996</c:v>
                </c:pt>
                <c:pt idx="540">
                  <c:v>17904.819999999996</c:v>
                </c:pt>
                <c:pt idx="541">
                  <c:v>17904.819999999996</c:v>
                </c:pt>
                <c:pt idx="542">
                  <c:v>17904.819999999996</c:v>
                </c:pt>
                <c:pt idx="543">
                  <c:v>17904.819999999996</c:v>
                </c:pt>
                <c:pt idx="544">
                  <c:v>17904.819999999996</c:v>
                </c:pt>
                <c:pt idx="545">
                  <c:v>17904.819999999996</c:v>
                </c:pt>
                <c:pt idx="546">
                  <c:v>17904.819999999996</c:v>
                </c:pt>
                <c:pt idx="547">
                  <c:v>17904.819999999996</c:v>
                </c:pt>
                <c:pt idx="548">
                  <c:v>17904.819999999996</c:v>
                </c:pt>
                <c:pt idx="549">
                  <c:v>17904.819999999996</c:v>
                </c:pt>
                <c:pt idx="550">
                  <c:v>17904.819999999996</c:v>
                </c:pt>
                <c:pt idx="551">
                  <c:v>17904.819999999996</c:v>
                </c:pt>
                <c:pt idx="552">
                  <c:v>17904.819999999996</c:v>
                </c:pt>
                <c:pt idx="553">
                  <c:v>17904.819999999996</c:v>
                </c:pt>
                <c:pt idx="554">
                  <c:v>17904.819999999996</c:v>
                </c:pt>
                <c:pt idx="555">
                  <c:v>17904.819999999996</c:v>
                </c:pt>
                <c:pt idx="556">
                  <c:v>17904.819999999996</c:v>
                </c:pt>
                <c:pt idx="557">
                  <c:v>17904.819999999996</c:v>
                </c:pt>
                <c:pt idx="558">
                  <c:v>17904.819999999996</c:v>
                </c:pt>
                <c:pt idx="559">
                  <c:v>17904.819999999996</c:v>
                </c:pt>
                <c:pt idx="560">
                  <c:v>17904.819999999996</c:v>
                </c:pt>
                <c:pt idx="561">
                  <c:v>17904.819999999996</c:v>
                </c:pt>
                <c:pt idx="562">
                  <c:v>17904.819999999996</c:v>
                </c:pt>
                <c:pt idx="563">
                  <c:v>17904.819999999996</c:v>
                </c:pt>
                <c:pt idx="564">
                  <c:v>17904.819999999996</c:v>
                </c:pt>
                <c:pt idx="565">
                  <c:v>17904.819999999996</c:v>
                </c:pt>
                <c:pt idx="566">
                  <c:v>17904.819999999996</c:v>
                </c:pt>
                <c:pt idx="567">
                  <c:v>17904.819999999996</c:v>
                </c:pt>
                <c:pt idx="568">
                  <c:v>17904.819999999996</c:v>
                </c:pt>
                <c:pt idx="569">
                  <c:v>17904.819999999996</c:v>
                </c:pt>
                <c:pt idx="570">
                  <c:v>17904.819999999996</c:v>
                </c:pt>
                <c:pt idx="571">
                  <c:v>17904.819999999996</c:v>
                </c:pt>
                <c:pt idx="572">
                  <c:v>17904.819999999996</c:v>
                </c:pt>
                <c:pt idx="573">
                  <c:v>17904.819999999996</c:v>
                </c:pt>
                <c:pt idx="574">
                  <c:v>17904.819999999996</c:v>
                </c:pt>
                <c:pt idx="575">
                  <c:v>17904.819999999996</c:v>
                </c:pt>
                <c:pt idx="576">
                  <c:v>17904.819999999996</c:v>
                </c:pt>
                <c:pt idx="577">
                  <c:v>17904.819999999996</c:v>
                </c:pt>
                <c:pt idx="578">
                  <c:v>17904.819999999996</c:v>
                </c:pt>
                <c:pt idx="579">
                  <c:v>17904.819999999996</c:v>
                </c:pt>
                <c:pt idx="580">
                  <c:v>17904.819999999996</c:v>
                </c:pt>
                <c:pt idx="581">
                  <c:v>17904.819999999996</c:v>
                </c:pt>
                <c:pt idx="582">
                  <c:v>17904.819999999996</c:v>
                </c:pt>
                <c:pt idx="583">
                  <c:v>17904.819999999996</c:v>
                </c:pt>
                <c:pt idx="584">
                  <c:v>17904.819999999996</c:v>
                </c:pt>
                <c:pt idx="585">
                  <c:v>17904.819999999996</c:v>
                </c:pt>
                <c:pt idx="586">
                  <c:v>17904.819999999996</c:v>
                </c:pt>
                <c:pt idx="587">
                  <c:v>17904.819999999996</c:v>
                </c:pt>
                <c:pt idx="588">
                  <c:v>17904.819999999996</c:v>
                </c:pt>
                <c:pt idx="589">
                  <c:v>17904.819999999996</c:v>
                </c:pt>
                <c:pt idx="590">
                  <c:v>17904.819999999996</c:v>
                </c:pt>
                <c:pt idx="591">
                  <c:v>17904.819999999996</c:v>
                </c:pt>
                <c:pt idx="592">
                  <c:v>17904.819999999996</c:v>
                </c:pt>
                <c:pt idx="593">
                  <c:v>17904.819999999996</c:v>
                </c:pt>
                <c:pt idx="594">
                  <c:v>17904.819999999996</c:v>
                </c:pt>
                <c:pt idx="595">
                  <c:v>17904.819999999996</c:v>
                </c:pt>
                <c:pt idx="596">
                  <c:v>17904.819999999996</c:v>
                </c:pt>
                <c:pt idx="597">
                  <c:v>17904.819999999996</c:v>
                </c:pt>
                <c:pt idx="598">
                  <c:v>17904.819999999996</c:v>
                </c:pt>
                <c:pt idx="599">
                  <c:v>17904.819999999996</c:v>
                </c:pt>
                <c:pt idx="600">
                  <c:v>17904.819999999996</c:v>
                </c:pt>
                <c:pt idx="601">
                  <c:v>17904.819999999996</c:v>
                </c:pt>
                <c:pt idx="602">
                  <c:v>17904.819999999996</c:v>
                </c:pt>
                <c:pt idx="603">
                  <c:v>17904.819999999996</c:v>
                </c:pt>
                <c:pt idx="604">
                  <c:v>17904.819999999996</c:v>
                </c:pt>
                <c:pt idx="605">
                  <c:v>17904.819999999996</c:v>
                </c:pt>
                <c:pt idx="606">
                  <c:v>17904.819999999996</c:v>
                </c:pt>
                <c:pt idx="607">
                  <c:v>17904.819999999996</c:v>
                </c:pt>
                <c:pt idx="608">
                  <c:v>17904.819999999996</c:v>
                </c:pt>
                <c:pt idx="609">
                  <c:v>17904.819999999996</c:v>
                </c:pt>
                <c:pt idx="610">
                  <c:v>17904.819999999996</c:v>
                </c:pt>
                <c:pt idx="611">
                  <c:v>17904.819999999996</c:v>
                </c:pt>
                <c:pt idx="612">
                  <c:v>17904.819999999996</c:v>
                </c:pt>
                <c:pt idx="613">
                  <c:v>17904.819999999996</c:v>
                </c:pt>
                <c:pt idx="614">
                  <c:v>17904.819999999996</c:v>
                </c:pt>
                <c:pt idx="615">
                  <c:v>17904.819999999996</c:v>
                </c:pt>
                <c:pt idx="616">
                  <c:v>17904.819999999996</c:v>
                </c:pt>
                <c:pt idx="617">
                  <c:v>17904.819999999996</c:v>
                </c:pt>
                <c:pt idx="618">
                  <c:v>17904.819999999996</c:v>
                </c:pt>
                <c:pt idx="619">
                  <c:v>17904.819999999996</c:v>
                </c:pt>
                <c:pt idx="620">
                  <c:v>17904.819999999996</c:v>
                </c:pt>
                <c:pt idx="621">
                  <c:v>17904.819999999996</c:v>
                </c:pt>
                <c:pt idx="622">
                  <c:v>17904.819999999996</c:v>
                </c:pt>
                <c:pt idx="623">
                  <c:v>17904.819999999996</c:v>
                </c:pt>
                <c:pt idx="624">
                  <c:v>17904.819999999996</c:v>
                </c:pt>
                <c:pt idx="625">
                  <c:v>17904.819999999996</c:v>
                </c:pt>
                <c:pt idx="626">
                  <c:v>17904.819999999996</c:v>
                </c:pt>
                <c:pt idx="627">
                  <c:v>17904.819999999996</c:v>
                </c:pt>
                <c:pt idx="628">
                  <c:v>17904.819999999996</c:v>
                </c:pt>
                <c:pt idx="629">
                  <c:v>17904.819999999996</c:v>
                </c:pt>
                <c:pt idx="630">
                  <c:v>17904.819999999996</c:v>
                </c:pt>
                <c:pt idx="631">
                  <c:v>17904.819999999996</c:v>
                </c:pt>
                <c:pt idx="632">
                  <c:v>17904.819999999996</c:v>
                </c:pt>
                <c:pt idx="633">
                  <c:v>17904.819999999996</c:v>
                </c:pt>
                <c:pt idx="634">
                  <c:v>17904.819999999996</c:v>
                </c:pt>
                <c:pt idx="635">
                  <c:v>17904.819999999996</c:v>
                </c:pt>
                <c:pt idx="636">
                  <c:v>17904.819999999996</c:v>
                </c:pt>
                <c:pt idx="637">
                  <c:v>17904.819999999996</c:v>
                </c:pt>
                <c:pt idx="638">
                  <c:v>17904.819999999996</c:v>
                </c:pt>
                <c:pt idx="639">
                  <c:v>17904.819999999996</c:v>
                </c:pt>
                <c:pt idx="640">
                  <c:v>17904.819999999996</c:v>
                </c:pt>
                <c:pt idx="641">
                  <c:v>17904.819999999996</c:v>
                </c:pt>
                <c:pt idx="642">
                  <c:v>17904.819999999996</c:v>
                </c:pt>
                <c:pt idx="643">
                  <c:v>17904.819999999996</c:v>
                </c:pt>
                <c:pt idx="644">
                  <c:v>17904.819999999996</c:v>
                </c:pt>
                <c:pt idx="645">
                  <c:v>17904.819999999996</c:v>
                </c:pt>
                <c:pt idx="646">
                  <c:v>17904.819999999996</c:v>
                </c:pt>
                <c:pt idx="647">
                  <c:v>17904.819999999996</c:v>
                </c:pt>
                <c:pt idx="648">
                  <c:v>17904.819999999996</c:v>
                </c:pt>
                <c:pt idx="649">
                  <c:v>17904.819999999996</c:v>
                </c:pt>
                <c:pt idx="650">
                  <c:v>17904.819999999996</c:v>
                </c:pt>
                <c:pt idx="651">
                  <c:v>17904.819999999996</c:v>
                </c:pt>
                <c:pt idx="652">
                  <c:v>17904.819999999996</c:v>
                </c:pt>
                <c:pt idx="653">
                  <c:v>17904.819999999996</c:v>
                </c:pt>
                <c:pt idx="654">
                  <c:v>17904.819999999996</c:v>
                </c:pt>
                <c:pt idx="655">
                  <c:v>17904.819999999996</c:v>
                </c:pt>
                <c:pt idx="656">
                  <c:v>17904.819999999996</c:v>
                </c:pt>
                <c:pt idx="657">
                  <c:v>17904.819999999996</c:v>
                </c:pt>
                <c:pt idx="658">
                  <c:v>17904.819999999996</c:v>
                </c:pt>
                <c:pt idx="659">
                  <c:v>17904.819999999996</c:v>
                </c:pt>
                <c:pt idx="660">
                  <c:v>17904.819999999996</c:v>
                </c:pt>
                <c:pt idx="661">
                  <c:v>17904.819999999996</c:v>
                </c:pt>
                <c:pt idx="662">
                  <c:v>17904.819999999996</c:v>
                </c:pt>
                <c:pt idx="663">
                  <c:v>17904.819999999996</c:v>
                </c:pt>
                <c:pt idx="664">
                  <c:v>17904.819999999996</c:v>
                </c:pt>
                <c:pt idx="665">
                  <c:v>17904.819999999996</c:v>
                </c:pt>
                <c:pt idx="666">
                  <c:v>17904.819999999996</c:v>
                </c:pt>
                <c:pt idx="667">
                  <c:v>17904.819999999996</c:v>
                </c:pt>
                <c:pt idx="668">
                  <c:v>17904.819999999996</c:v>
                </c:pt>
                <c:pt idx="669">
                  <c:v>17904.819999999996</c:v>
                </c:pt>
                <c:pt idx="670">
                  <c:v>17904.819999999996</c:v>
                </c:pt>
                <c:pt idx="671">
                  <c:v>17904.819999999996</c:v>
                </c:pt>
                <c:pt idx="672">
                  <c:v>17904.819999999996</c:v>
                </c:pt>
                <c:pt idx="673">
                  <c:v>17904.819999999996</c:v>
                </c:pt>
                <c:pt idx="674">
                  <c:v>17904.819999999996</c:v>
                </c:pt>
                <c:pt idx="675">
                  <c:v>17904.819999999996</c:v>
                </c:pt>
                <c:pt idx="676">
                  <c:v>17904.819999999996</c:v>
                </c:pt>
                <c:pt idx="677">
                  <c:v>17904.819999999996</c:v>
                </c:pt>
                <c:pt idx="678">
                  <c:v>17904.819999999996</c:v>
                </c:pt>
                <c:pt idx="679">
                  <c:v>17904.819999999996</c:v>
                </c:pt>
                <c:pt idx="680">
                  <c:v>17904.819999999996</c:v>
                </c:pt>
                <c:pt idx="681">
                  <c:v>17904.819999999996</c:v>
                </c:pt>
                <c:pt idx="682">
                  <c:v>17904.819999999996</c:v>
                </c:pt>
                <c:pt idx="683">
                  <c:v>17904.819999999996</c:v>
                </c:pt>
                <c:pt idx="684">
                  <c:v>17904.819999999996</c:v>
                </c:pt>
                <c:pt idx="685">
                  <c:v>17904.819999999996</c:v>
                </c:pt>
                <c:pt idx="686">
                  <c:v>17904.819999999996</c:v>
                </c:pt>
                <c:pt idx="687">
                  <c:v>17904.819999999996</c:v>
                </c:pt>
                <c:pt idx="688">
                  <c:v>17904.819999999996</c:v>
                </c:pt>
                <c:pt idx="689">
                  <c:v>17904.819999999996</c:v>
                </c:pt>
                <c:pt idx="690">
                  <c:v>17904.819999999996</c:v>
                </c:pt>
                <c:pt idx="691">
                  <c:v>17904.819999999996</c:v>
                </c:pt>
                <c:pt idx="692">
                  <c:v>17904.819999999996</c:v>
                </c:pt>
                <c:pt idx="693">
                  <c:v>17904.819999999996</c:v>
                </c:pt>
                <c:pt idx="694">
                  <c:v>17904.819999999996</c:v>
                </c:pt>
                <c:pt idx="695">
                  <c:v>17904.819999999996</c:v>
                </c:pt>
                <c:pt idx="696">
                  <c:v>17904.819999999996</c:v>
                </c:pt>
                <c:pt idx="697">
                  <c:v>17904.819999999996</c:v>
                </c:pt>
                <c:pt idx="698">
                  <c:v>17904.819999999996</c:v>
                </c:pt>
                <c:pt idx="699">
                  <c:v>17904.819999999996</c:v>
                </c:pt>
                <c:pt idx="700">
                  <c:v>17904.819999999996</c:v>
                </c:pt>
                <c:pt idx="701">
                  <c:v>17904.819999999996</c:v>
                </c:pt>
                <c:pt idx="702">
                  <c:v>17904.819999999996</c:v>
                </c:pt>
                <c:pt idx="703">
                  <c:v>17904.819999999996</c:v>
                </c:pt>
                <c:pt idx="704">
                  <c:v>17904.819999999996</c:v>
                </c:pt>
                <c:pt idx="705">
                  <c:v>17904.819999999996</c:v>
                </c:pt>
                <c:pt idx="706">
                  <c:v>17904.819999999996</c:v>
                </c:pt>
                <c:pt idx="707">
                  <c:v>17904.819999999996</c:v>
                </c:pt>
                <c:pt idx="708">
                  <c:v>17904.819999999996</c:v>
                </c:pt>
                <c:pt idx="709">
                  <c:v>17904.819999999996</c:v>
                </c:pt>
                <c:pt idx="710">
                  <c:v>17904.819999999996</c:v>
                </c:pt>
                <c:pt idx="711">
                  <c:v>17904.819999999996</c:v>
                </c:pt>
                <c:pt idx="712">
                  <c:v>17904.819999999996</c:v>
                </c:pt>
                <c:pt idx="713">
                  <c:v>17904.819999999996</c:v>
                </c:pt>
                <c:pt idx="714">
                  <c:v>17904.819999999996</c:v>
                </c:pt>
                <c:pt idx="715">
                  <c:v>17904.819999999996</c:v>
                </c:pt>
                <c:pt idx="716">
                  <c:v>17904.819999999996</c:v>
                </c:pt>
                <c:pt idx="717">
                  <c:v>17904.819999999996</c:v>
                </c:pt>
                <c:pt idx="718">
                  <c:v>17904.819999999996</c:v>
                </c:pt>
                <c:pt idx="719">
                  <c:v>17904.819999999996</c:v>
                </c:pt>
                <c:pt idx="720">
                  <c:v>17904.819999999996</c:v>
                </c:pt>
                <c:pt idx="721">
                  <c:v>17904.819999999996</c:v>
                </c:pt>
                <c:pt idx="722">
                  <c:v>17904.819999999996</c:v>
                </c:pt>
                <c:pt idx="723">
                  <c:v>17904.819999999996</c:v>
                </c:pt>
                <c:pt idx="724">
                  <c:v>17904.819999999996</c:v>
                </c:pt>
                <c:pt idx="725">
                  <c:v>17904.819999999996</c:v>
                </c:pt>
                <c:pt idx="726">
                  <c:v>17904.819999999996</c:v>
                </c:pt>
                <c:pt idx="727">
                  <c:v>17904.819999999996</c:v>
                </c:pt>
                <c:pt idx="728">
                  <c:v>17904.819999999996</c:v>
                </c:pt>
                <c:pt idx="729">
                  <c:v>17904.819999999996</c:v>
                </c:pt>
                <c:pt idx="730">
                  <c:v>17904.819999999996</c:v>
                </c:pt>
                <c:pt idx="731">
                  <c:v>17904.819999999996</c:v>
                </c:pt>
                <c:pt idx="732">
                  <c:v>17904.819999999996</c:v>
                </c:pt>
                <c:pt idx="733">
                  <c:v>17904.819999999996</c:v>
                </c:pt>
                <c:pt idx="734">
                  <c:v>17904.819999999996</c:v>
                </c:pt>
                <c:pt idx="735">
                  <c:v>17904.819999999996</c:v>
                </c:pt>
                <c:pt idx="736">
                  <c:v>17904.819999999996</c:v>
                </c:pt>
                <c:pt idx="737">
                  <c:v>17904.819999999996</c:v>
                </c:pt>
                <c:pt idx="738">
                  <c:v>17904.819999999996</c:v>
                </c:pt>
                <c:pt idx="739">
                  <c:v>17904.819999999996</c:v>
                </c:pt>
                <c:pt idx="740">
                  <c:v>17904.819999999996</c:v>
                </c:pt>
                <c:pt idx="741">
                  <c:v>17904.819999999996</c:v>
                </c:pt>
                <c:pt idx="742">
                  <c:v>17904.819999999996</c:v>
                </c:pt>
                <c:pt idx="743">
                  <c:v>17904.819999999996</c:v>
                </c:pt>
                <c:pt idx="744">
                  <c:v>17904.819999999996</c:v>
                </c:pt>
                <c:pt idx="745">
                  <c:v>17904.819999999996</c:v>
                </c:pt>
                <c:pt idx="746">
                  <c:v>17904.819999999996</c:v>
                </c:pt>
                <c:pt idx="747">
                  <c:v>17904.819999999996</c:v>
                </c:pt>
                <c:pt idx="748">
                  <c:v>17904.819999999996</c:v>
                </c:pt>
                <c:pt idx="749">
                  <c:v>17904.819999999996</c:v>
                </c:pt>
                <c:pt idx="750">
                  <c:v>17904.819999999996</c:v>
                </c:pt>
                <c:pt idx="751">
                  <c:v>17904.819999999996</c:v>
                </c:pt>
                <c:pt idx="752">
                  <c:v>17904.819999999996</c:v>
                </c:pt>
                <c:pt idx="753">
                  <c:v>17904.819999999996</c:v>
                </c:pt>
                <c:pt idx="754">
                  <c:v>17904.819999999996</c:v>
                </c:pt>
                <c:pt idx="755">
                  <c:v>17904.819999999996</c:v>
                </c:pt>
                <c:pt idx="756">
                  <c:v>17904.819999999996</c:v>
                </c:pt>
                <c:pt idx="757">
                  <c:v>17904.819999999996</c:v>
                </c:pt>
                <c:pt idx="758">
                  <c:v>17904.819999999996</c:v>
                </c:pt>
                <c:pt idx="759">
                  <c:v>17904.819999999996</c:v>
                </c:pt>
                <c:pt idx="760">
                  <c:v>17904.819999999996</c:v>
                </c:pt>
                <c:pt idx="761">
                  <c:v>17904.819999999996</c:v>
                </c:pt>
                <c:pt idx="762">
                  <c:v>17904.819999999996</c:v>
                </c:pt>
                <c:pt idx="763">
                  <c:v>17904.819999999996</c:v>
                </c:pt>
                <c:pt idx="764">
                  <c:v>17904.819999999996</c:v>
                </c:pt>
                <c:pt idx="765">
                  <c:v>17904.819999999996</c:v>
                </c:pt>
                <c:pt idx="766">
                  <c:v>17904.819999999996</c:v>
                </c:pt>
                <c:pt idx="767">
                  <c:v>17904.819999999996</c:v>
                </c:pt>
                <c:pt idx="768">
                  <c:v>17904.819999999996</c:v>
                </c:pt>
                <c:pt idx="769">
                  <c:v>17904.819999999996</c:v>
                </c:pt>
                <c:pt idx="770">
                  <c:v>17904.819999999996</c:v>
                </c:pt>
                <c:pt idx="771">
                  <c:v>17904.819999999996</c:v>
                </c:pt>
                <c:pt idx="772">
                  <c:v>17904.819999999996</c:v>
                </c:pt>
                <c:pt idx="773">
                  <c:v>17904.819999999996</c:v>
                </c:pt>
                <c:pt idx="774">
                  <c:v>17904.819999999996</c:v>
                </c:pt>
                <c:pt idx="775">
                  <c:v>17904.819999999996</c:v>
                </c:pt>
                <c:pt idx="776">
                  <c:v>17904.819999999996</c:v>
                </c:pt>
                <c:pt idx="777">
                  <c:v>17904.819999999996</c:v>
                </c:pt>
                <c:pt idx="778">
                  <c:v>17904.819999999996</c:v>
                </c:pt>
                <c:pt idx="779">
                  <c:v>17904.819999999996</c:v>
                </c:pt>
                <c:pt idx="780">
                  <c:v>17904.819999999996</c:v>
                </c:pt>
                <c:pt idx="781">
                  <c:v>17904.819999999996</c:v>
                </c:pt>
                <c:pt idx="782">
                  <c:v>17904.819999999996</c:v>
                </c:pt>
                <c:pt idx="783">
                  <c:v>17904.819999999996</c:v>
                </c:pt>
                <c:pt idx="784">
                  <c:v>17904.819999999996</c:v>
                </c:pt>
                <c:pt idx="785">
                  <c:v>17904.819999999996</c:v>
                </c:pt>
                <c:pt idx="786">
                  <c:v>17904.819999999996</c:v>
                </c:pt>
                <c:pt idx="787">
                  <c:v>17904.819999999996</c:v>
                </c:pt>
                <c:pt idx="788">
                  <c:v>17904.819999999996</c:v>
                </c:pt>
                <c:pt idx="789">
                  <c:v>17904.819999999996</c:v>
                </c:pt>
                <c:pt idx="790">
                  <c:v>17904.819999999996</c:v>
                </c:pt>
                <c:pt idx="791">
                  <c:v>17904.819999999996</c:v>
                </c:pt>
                <c:pt idx="792">
                  <c:v>17904.819999999996</c:v>
                </c:pt>
                <c:pt idx="793">
                  <c:v>17904.819999999996</c:v>
                </c:pt>
                <c:pt idx="794">
                  <c:v>17904.819999999996</c:v>
                </c:pt>
                <c:pt idx="795">
                  <c:v>17904.819999999996</c:v>
                </c:pt>
                <c:pt idx="796">
                  <c:v>17904.819999999996</c:v>
                </c:pt>
                <c:pt idx="797">
                  <c:v>17904.819999999996</c:v>
                </c:pt>
                <c:pt idx="798">
                  <c:v>17904.819999999996</c:v>
                </c:pt>
                <c:pt idx="799">
                  <c:v>17904.819999999996</c:v>
                </c:pt>
                <c:pt idx="800">
                  <c:v>17904.819999999996</c:v>
                </c:pt>
                <c:pt idx="801">
                  <c:v>17904.819999999996</c:v>
                </c:pt>
                <c:pt idx="802">
                  <c:v>17904.819999999996</c:v>
                </c:pt>
                <c:pt idx="803">
                  <c:v>17904.819999999996</c:v>
                </c:pt>
                <c:pt idx="804">
                  <c:v>17904.819999999996</c:v>
                </c:pt>
                <c:pt idx="805">
                  <c:v>17904.819999999996</c:v>
                </c:pt>
                <c:pt idx="806">
                  <c:v>17904.819999999996</c:v>
                </c:pt>
                <c:pt idx="807">
                  <c:v>17904.819999999996</c:v>
                </c:pt>
                <c:pt idx="808">
                  <c:v>17904.819999999996</c:v>
                </c:pt>
                <c:pt idx="809">
                  <c:v>17904.819999999996</c:v>
                </c:pt>
                <c:pt idx="810">
                  <c:v>17904.819999999996</c:v>
                </c:pt>
                <c:pt idx="811">
                  <c:v>17904.819999999996</c:v>
                </c:pt>
                <c:pt idx="812">
                  <c:v>17904.819999999996</c:v>
                </c:pt>
                <c:pt idx="813">
                  <c:v>17904.819999999996</c:v>
                </c:pt>
                <c:pt idx="814">
                  <c:v>17904.819999999996</c:v>
                </c:pt>
                <c:pt idx="815">
                  <c:v>17904.819999999996</c:v>
                </c:pt>
                <c:pt idx="816">
                  <c:v>17904.819999999996</c:v>
                </c:pt>
                <c:pt idx="817">
                  <c:v>17904.819999999996</c:v>
                </c:pt>
                <c:pt idx="818">
                  <c:v>17904.819999999996</c:v>
                </c:pt>
                <c:pt idx="819">
                  <c:v>17904.819999999996</c:v>
                </c:pt>
                <c:pt idx="820">
                  <c:v>17904.819999999996</c:v>
                </c:pt>
                <c:pt idx="821">
                  <c:v>17904.819999999996</c:v>
                </c:pt>
                <c:pt idx="822">
                  <c:v>17904.819999999996</c:v>
                </c:pt>
                <c:pt idx="823">
                  <c:v>17904.819999999996</c:v>
                </c:pt>
                <c:pt idx="824">
                  <c:v>17904.819999999996</c:v>
                </c:pt>
                <c:pt idx="825">
                  <c:v>17904.819999999996</c:v>
                </c:pt>
                <c:pt idx="826">
                  <c:v>17904.819999999996</c:v>
                </c:pt>
                <c:pt idx="827">
                  <c:v>17904.819999999996</c:v>
                </c:pt>
                <c:pt idx="828">
                  <c:v>17904.819999999996</c:v>
                </c:pt>
                <c:pt idx="829">
                  <c:v>17904.819999999996</c:v>
                </c:pt>
                <c:pt idx="830">
                  <c:v>17904.819999999996</c:v>
                </c:pt>
                <c:pt idx="831">
                  <c:v>17904.819999999996</c:v>
                </c:pt>
                <c:pt idx="832">
                  <c:v>17904.819999999996</c:v>
                </c:pt>
                <c:pt idx="833">
                  <c:v>17904.819999999996</c:v>
                </c:pt>
                <c:pt idx="834">
                  <c:v>17904.819999999996</c:v>
                </c:pt>
                <c:pt idx="835">
                  <c:v>17904.819999999996</c:v>
                </c:pt>
                <c:pt idx="836">
                  <c:v>17904.819999999996</c:v>
                </c:pt>
                <c:pt idx="837">
                  <c:v>17904.819999999996</c:v>
                </c:pt>
                <c:pt idx="838">
                  <c:v>17904.819999999996</c:v>
                </c:pt>
                <c:pt idx="839">
                  <c:v>17904.819999999996</c:v>
                </c:pt>
                <c:pt idx="840">
                  <c:v>17904.819999999996</c:v>
                </c:pt>
                <c:pt idx="841">
                  <c:v>17904.819999999996</c:v>
                </c:pt>
                <c:pt idx="842">
                  <c:v>17904.819999999996</c:v>
                </c:pt>
                <c:pt idx="843">
                  <c:v>17904.819999999996</c:v>
                </c:pt>
                <c:pt idx="844">
                  <c:v>17904.819999999996</c:v>
                </c:pt>
                <c:pt idx="845">
                  <c:v>17904.819999999996</c:v>
                </c:pt>
                <c:pt idx="846">
                  <c:v>17904.819999999996</c:v>
                </c:pt>
                <c:pt idx="847">
                  <c:v>17904.819999999996</c:v>
                </c:pt>
                <c:pt idx="848">
                  <c:v>17904.819999999996</c:v>
                </c:pt>
                <c:pt idx="849">
                  <c:v>17904.819999999996</c:v>
                </c:pt>
                <c:pt idx="850">
                  <c:v>17904.819999999996</c:v>
                </c:pt>
                <c:pt idx="851">
                  <c:v>17904.819999999996</c:v>
                </c:pt>
                <c:pt idx="852">
                  <c:v>17904.819999999996</c:v>
                </c:pt>
                <c:pt idx="853">
                  <c:v>17904.819999999996</c:v>
                </c:pt>
                <c:pt idx="854">
                  <c:v>17904.819999999996</c:v>
                </c:pt>
                <c:pt idx="855">
                  <c:v>17904.819999999996</c:v>
                </c:pt>
                <c:pt idx="856">
                  <c:v>17904.819999999996</c:v>
                </c:pt>
                <c:pt idx="857">
                  <c:v>17904.819999999996</c:v>
                </c:pt>
                <c:pt idx="858">
                  <c:v>17904.819999999996</c:v>
                </c:pt>
                <c:pt idx="859">
                  <c:v>17904.819999999996</c:v>
                </c:pt>
                <c:pt idx="860">
                  <c:v>17904.819999999996</c:v>
                </c:pt>
                <c:pt idx="861">
                  <c:v>17904.819999999996</c:v>
                </c:pt>
                <c:pt idx="862">
                  <c:v>17904.819999999996</c:v>
                </c:pt>
                <c:pt idx="863">
                  <c:v>17904.819999999996</c:v>
                </c:pt>
                <c:pt idx="864">
                  <c:v>17904.819999999996</c:v>
                </c:pt>
                <c:pt idx="865">
                  <c:v>17904.819999999996</c:v>
                </c:pt>
                <c:pt idx="866">
                  <c:v>17904.819999999996</c:v>
                </c:pt>
                <c:pt idx="867">
                  <c:v>17904.819999999996</c:v>
                </c:pt>
                <c:pt idx="868">
                  <c:v>17904.819999999996</c:v>
                </c:pt>
                <c:pt idx="869">
                  <c:v>17904.819999999996</c:v>
                </c:pt>
                <c:pt idx="870">
                  <c:v>17904.819999999996</c:v>
                </c:pt>
                <c:pt idx="871">
                  <c:v>17904.819999999996</c:v>
                </c:pt>
                <c:pt idx="872">
                  <c:v>17904.819999999996</c:v>
                </c:pt>
                <c:pt idx="873">
                  <c:v>17904.819999999996</c:v>
                </c:pt>
                <c:pt idx="874">
                  <c:v>17904.819999999996</c:v>
                </c:pt>
                <c:pt idx="875">
                  <c:v>17904.819999999996</c:v>
                </c:pt>
                <c:pt idx="876">
                  <c:v>17904.819999999996</c:v>
                </c:pt>
                <c:pt idx="877">
                  <c:v>17904.819999999996</c:v>
                </c:pt>
                <c:pt idx="878">
                  <c:v>17904.819999999996</c:v>
                </c:pt>
                <c:pt idx="879">
                  <c:v>17904.819999999996</c:v>
                </c:pt>
                <c:pt idx="880">
                  <c:v>17904.819999999996</c:v>
                </c:pt>
                <c:pt idx="881">
                  <c:v>17904.819999999996</c:v>
                </c:pt>
                <c:pt idx="882">
                  <c:v>17904.819999999996</c:v>
                </c:pt>
                <c:pt idx="883">
                  <c:v>17904.819999999996</c:v>
                </c:pt>
                <c:pt idx="884">
                  <c:v>17904.819999999996</c:v>
                </c:pt>
                <c:pt idx="885">
                  <c:v>17904.819999999996</c:v>
                </c:pt>
                <c:pt idx="886">
                  <c:v>17904.819999999996</c:v>
                </c:pt>
                <c:pt idx="887">
                  <c:v>17904.819999999996</c:v>
                </c:pt>
                <c:pt idx="888">
                  <c:v>17904.819999999996</c:v>
                </c:pt>
                <c:pt idx="889">
                  <c:v>17904.819999999996</c:v>
                </c:pt>
                <c:pt idx="890">
                  <c:v>17904.819999999996</c:v>
                </c:pt>
                <c:pt idx="891">
                  <c:v>17904.819999999996</c:v>
                </c:pt>
                <c:pt idx="892">
                  <c:v>17904.819999999996</c:v>
                </c:pt>
                <c:pt idx="893">
                  <c:v>17904.819999999996</c:v>
                </c:pt>
                <c:pt idx="894">
                  <c:v>17904.819999999996</c:v>
                </c:pt>
                <c:pt idx="895">
                  <c:v>17904.819999999996</c:v>
                </c:pt>
                <c:pt idx="896">
                  <c:v>17904.819999999996</c:v>
                </c:pt>
                <c:pt idx="897">
                  <c:v>17904.819999999996</c:v>
                </c:pt>
                <c:pt idx="898">
                  <c:v>17904.819999999996</c:v>
                </c:pt>
                <c:pt idx="899">
                  <c:v>17904.819999999996</c:v>
                </c:pt>
                <c:pt idx="900">
                  <c:v>17904.819999999996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CC-49FB-8EB2-EBCEE1D2AAE8}"/>
            </c:ext>
          </c:extLst>
        </c:ser>
        <c:ser>
          <c:idx val="1"/>
          <c:order val="1"/>
          <c:tx>
            <c:strRef>
              <c:f>Analysis!$N$1</c:f>
              <c:strCache>
                <c:ptCount val="1"/>
                <c:pt idx="0">
                  <c:v>Cumulative Slipped PnL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strRef>
              <c:f>Analysis!$L$2:$L$903</c:f>
              <c:strCache>
                <c:ptCount val="901"/>
                <c:pt idx="0">
                  <c:v>signal</c:v>
                </c:pt>
                <c:pt idx="1">
                  <c:v>signal</c:v>
                </c:pt>
                <c:pt idx="2">
                  <c:v>signal</c:v>
                </c:pt>
                <c:pt idx="3">
                  <c:v>signal</c:v>
                </c:pt>
                <c:pt idx="4">
                  <c:v>signal</c:v>
                </c:pt>
                <c:pt idx="5">
                  <c:v>signal</c:v>
                </c:pt>
                <c:pt idx="6">
                  <c:v>signal</c:v>
                </c:pt>
                <c:pt idx="7">
                  <c:v>signal</c:v>
                </c:pt>
                <c:pt idx="8">
                  <c:v>signal</c:v>
                </c:pt>
                <c:pt idx="9">
                  <c:v>signal</c:v>
                </c:pt>
                <c:pt idx="10">
                  <c:v>signal</c:v>
                </c:pt>
                <c:pt idx="11">
                  <c:v>signal</c:v>
                </c:pt>
                <c:pt idx="12">
                  <c:v>signal</c:v>
                </c:pt>
                <c:pt idx="13">
                  <c:v>signal</c:v>
                </c:pt>
                <c:pt idx="14">
                  <c:v>signal</c:v>
                </c:pt>
                <c:pt idx="15">
                  <c:v>signal</c:v>
                </c:pt>
                <c:pt idx="16">
                  <c:v>signal</c:v>
                </c:pt>
                <c:pt idx="17">
                  <c:v>signal</c:v>
                </c:pt>
                <c:pt idx="18">
                  <c:v>signal</c:v>
                </c:pt>
                <c:pt idx="19">
                  <c:v>signal</c:v>
                </c:pt>
                <c:pt idx="20">
                  <c:v>signal</c:v>
                </c:pt>
                <c:pt idx="21">
                  <c:v>signal</c:v>
                </c:pt>
                <c:pt idx="22">
                  <c:v>signal</c:v>
                </c:pt>
                <c:pt idx="23">
                  <c:v>signal</c:v>
                </c:pt>
                <c:pt idx="24">
                  <c:v>signal</c:v>
                </c:pt>
                <c:pt idx="25">
                  <c:v>signal</c:v>
                </c:pt>
                <c:pt idx="26">
                  <c:v>signal</c:v>
                </c:pt>
                <c:pt idx="27">
                  <c:v>signal</c:v>
                </c:pt>
                <c:pt idx="28">
                  <c:v>signal</c:v>
                </c:pt>
                <c:pt idx="29">
                  <c:v>signal</c:v>
                </c:pt>
                <c:pt idx="30">
                  <c:v>signal</c:v>
                </c:pt>
                <c:pt idx="31">
                  <c:v>signal</c:v>
                </c:pt>
                <c:pt idx="32">
                  <c:v>signal</c:v>
                </c:pt>
                <c:pt idx="33">
                  <c:v>signal</c:v>
                </c:pt>
                <c:pt idx="34">
                  <c:v>signal</c:v>
                </c:pt>
                <c:pt idx="35">
                  <c:v>signal</c:v>
                </c:pt>
                <c:pt idx="36">
                  <c:v>signal</c:v>
                </c:pt>
                <c:pt idx="37">
                  <c:v>signal</c:v>
                </c:pt>
                <c:pt idx="38">
                  <c:v>signal</c:v>
                </c:pt>
                <c:pt idx="39">
                  <c:v>signal</c:v>
                </c:pt>
                <c:pt idx="40">
                  <c:v>signal</c:v>
                </c:pt>
                <c:pt idx="41">
                  <c:v>signal</c:v>
                </c:pt>
                <c:pt idx="42">
                  <c:v>signal</c:v>
                </c:pt>
                <c:pt idx="43">
                  <c:v>signal</c:v>
                </c:pt>
                <c:pt idx="44">
                  <c:v>signal</c:v>
                </c:pt>
                <c:pt idx="45">
                  <c:v>signal</c:v>
                </c:pt>
                <c:pt idx="46">
                  <c:v>signal</c:v>
                </c:pt>
                <c:pt idx="47">
                  <c:v>signal</c:v>
                </c:pt>
                <c:pt idx="48">
                  <c:v>signal</c:v>
                </c:pt>
                <c:pt idx="49">
                  <c:v>signal</c:v>
                </c:pt>
                <c:pt idx="50">
                  <c:v>signal</c:v>
                </c:pt>
                <c:pt idx="51">
                  <c:v>signal</c:v>
                </c:pt>
                <c:pt idx="52">
                  <c:v>signal</c:v>
                </c:pt>
                <c:pt idx="53">
                  <c:v>signal</c:v>
                </c:pt>
                <c:pt idx="54">
                  <c:v>signal</c:v>
                </c:pt>
                <c:pt idx="55">
                  <c:v>signal</c:v>
                </c:pt>
                <c:pt idx="56">
                  <c:v>signal</c:v>
                </c:pt>
                <c:pt idx="57">
                  <c:v>signal</c:v>
                </c:pt>
                <c:pt idx="58">
                  <c:v>signal</c:v>
                </c:pt>
                <c:pt idx="59">
                  <c:v>signal</c:v>
                </c:pt>
                <c:pt idx="60">
                  <c:v>signal</c:v>
                </c:pt>
                <c:pt idx="61">
                  <c:v>signal</c:v>
                </c:pt>
                <c:pt idx="62">
                  <c:v>signal</c:v>
                </c:pt>
                <c:pt idx="63">
                  <c:v>signal</c:v>
                </c:pt>
                <c:pt idx="64">
                  <c:v>signal</c:v>
                </c:pt>
                <c:pt idx="65">
                  <c:v>signal</c:v>
                </c:pt>
                <c:pt idx="66">
                  <c:v>signal</c:v>
                </c:pt>
                <c:pt idx="67">
                  <c:v>signal</c:v>
                </c:pt>
                <c:pt idx="68">
                  <c:v>signal</c:v>
                </c:pt>
                <c:pt idx="69">
                  <c:v>signal</c:v>
                </c:pt>
                <c:pt idx="70">
                  <c:v>signal</c:v>
                </c:pt>
                <c:pt idx="71">
                  <c:v>signal</c:v>
                </c:pt>
                <c:pt idx="72">
                  <c:v>signal</c:v>
                </c:pt>
                <c:pt idx="73">
                  <c:v>signal</c:v>
                </c:pt>
                <c:pt idx="74">
                  <c:v>signal</c:v>
                </c:pt>
                <c:pt idx="75">
                  <c:v>signal</c:v>
                </c:pt>
                <c:pt idx="76">
                  <c:v>signal</c:v>
                </c:pt>
                <c:pt idx="77">
                  <c:v>signal</c:v>
                </c:pt>
                <c:pt idx="78">
                  <c:v>signal</c:v>
                </c:pt>
                <c:pt idx="79">
                  <c:v>signal</c:v>
                </c:pt>
                <c:pt idx="80">
                  <c:v>signal</c:v>
                </c:pt>
                <c:pt idx="81">
                  <c:v>signal</c:v>
                </c:pt>
                <c:pt idx="82">
                  <c:v>signal</c:v>
                </c:pt>
                <c:pt idx="83">
                  <c:v>signal</c:v>
                </c:pt>
                <c:pt idx="84">
                  <c:v>signal</c:v>
                </c:pt>
                <c:pt idx="85">
                  <c:v>signal</c:v>
                </c:pt>
                <c:pt idx="86">
                  <c:v>signal</c:v>
                </c:pt>
                <c:pt idx="87">
                  <c:v>signal</c:v>
                </c:pt>
                <c:pt idx="88">
                  <c:v>signal</c:v>
                </c:pt>
                <c:pt idx="89">
                  <c:v>signal</c:v>
                </c:pt>
                <c:pt idx="90">
                  <c:v>signal</c:v>
                </c:pt>
                <c:pt idx="91">
                  <c:v>signal</c:v>
                </c:pt>
                <c:pt idx="92">
                  <c:v>signal</c:v>
                </c:pt>
                <c:pt idx="93">
                  <c:v>signal</c:v>
                </c:pt>
                <c:pt idx="94">
                  <c:v>signal</c:v>
                </c:pt>
                <c:pt idx="95">
                  <c:v>signal</c:v>
                </c:pt>
                <c:pt idx="96">
                  <c:v>signal</c:v>
                </c:pt>
                <c:pt idx="97">
                  <c:v>signal</c:v>
                </c:pt>
                <c:pt idx="98">
                  <c:v>signal</c:v>
                </c:pt>
                <c:pt idx="99">
                  <c:v>signal</c:v>
                </c:pt>
                <c:pt idx="100">
                  <c:v>signal</c:v>
                </c:pt>
                <c:pt idx="101">
                  <c:v>signal</c:v>
                </c:pt>
                <c:pt idx="102">
                  <c:v>signal</c:v>
                </c:pt>
                <c:pt idx="103">
                  <c:v>signal</c:v>
                </c:pt>
                <c:pt idx="104">
                  <c:v>signal</c:v>
                </c:pt>
                <c:pt idx="105">
                  <c:v>signal</c:v>
                </c:pt>
                <c:pt idx="106">
                  <c:v>signal</c:v>
                </c:pt>
                <c:pt idx="107">
                  <c:v>signal</c:v>
                </c:pt>
                <c:pt idx="108">
                  <c:v>signal</c:v>
                </c:pt>
                <c:pt idx="109">
                  <c:v>signal</c:v>
                </c:pt>
                <c:pt idx="110">
                  <c:v>signal</c:v>
                </c:pt>
                <c:pt idx="111">
                  <c:v>signal</c:v>
                </c:pt>
                <c:pt idx="112">
                  <c:v>0</c:v>
                </c:pt>
                <c:pt idx="113">
                  <c:v>signal</c:v>
                </c:pt>
                <c:pt idx="114">
                  <c:v>signal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signal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signal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signal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signal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signal</c:v>
                </c:pt>
                <c:pt idx="197">
                  <c:v>signal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signal</c:v>
                </c:pt>
                <c:pt idx="211">
                  <c:v>0</c:v>
                </c:pt>
                <c:pt idx="212">
                  <c:v>signal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signal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signal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signal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signal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signal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signal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strCache>
            </c:strRef>
          </c:xVal>
          <c:yVal>
            <c:numRef>
              <c:f>Analysis!$N$2:$N$903</c:f>
              <c:numCache>
                <c:formatCode>0.00000;[Red]\(0.00000\);\-</c:formatCode>
                <c:ptCount val="902"/>
                <c:pt idx="0">
                  <c:v>0.36824447044600628</c:v>
                </c:pt>
                <c:pt idx="1">
                  <c:v>0.82684744474686456</c:v>
                </c:pt>
                <c:pt idx="2">
                  <c:v>1.2126290156892789</c:v>
                </c:pt>
                <c:pt idx="3">
                  <c:v>1.4798635163951852</c:v>
                </c:pt>
                <c:pt idx="4">
                  <c:v>1.6968893319791547</c:v>
                </c:pt>
                <c:pt idx="5">
                  <c:v>1.9108581127749291</c:v>
                </c:pt>
                <c:pt idx="6">
                  <c:v>2.0113213213235079</c:v>
                </c:pt>
                <c:pt idx="7">
                  <c:v>1.7906159706036333</c:v>
                </c:pt>
                <c:pt idx="8">
                  <c:v>1.8820893651323343</c:v>
                </c:pt>
                <c:pt idx="9">
                  <c:v>1.6993650218731686</c:v>
                </c:pt>
                <c:pt idx="10">
                  <c:v>1.2333703451777791</c:v>
                </c:pt>
                <c:pt idx="11">
                  <c:v>1.3963850207687909</c:v>
                </c:pt>
                <c:pt idx="12">
                  <c:v>1.0311827565724552</c:v>
                </c:pt>
                <c:pt idx="13">
                  <c:v>0.74959175104974873</c:v>
                </c:pt>
                <c:pt idx="14">
                  <c:v>1.2242854493494908</c:v>
                </c:pt>
                <c:pt idx="15">
                  <c:v>1.3432324982289452</c:v>
                </c:pt>
                <c:pt idx="16">
                  <c:v>1.1348141120608</c:v>
                </c:pt>
                <c:pt idx="17">
                  <c:v>1.5380001560087333</c:v>
                </c:pt>
                <c:pt idx="18">
                  <c:v>1.5979366949496465</c:v>
                </c:pt>
                <c:pt idx="19">
                  <c:v>1.7648689458241535</c:v>
                </c:pt>
                <c:pt idx="20">
                  <c:v>2.1670238644180668</c:v>
                </c:pt>
                <c:pt idx="21">
                  <c:v>1.753893351123752</c:v>
                </c:pt>
                <c:pt idx="22">
                  <c:v>1.9006740278634762</c:v>
                </c:pt>
                <c:pt idx="23">
                  <c:v>1.4074962597438019</c:v>
                </c:pt>
                <c:pt idx="24">
                  <c:v>1.3571371857406642</c:v>
                </c:pt>
                <c:pt idx="25">
                  <c:v>1.8119740513660227</c:v>
                </c:pt>
                <c:pt idx="26">
                  <c:v>2.2248955239582662</c:v>
                </c:pt>
                <c:pt idx="27">
                  <c:v>2.0839326116863957</c:v>
                </c:pt>
                <c:pt idx="28">
                  <c:v>1.7896421986219968</c:v>
                </c:pt>
                <c:pt idx="29">
                  <c:v>1.9367007904756397</c:v>
                </c:pt>
                <c:pt idx="30">
                  <c:v>2.066460218139194</c:v>
                </c:pt>
                <c:pt idx="31">
                  <c:v>2.4813967110846264</c:v>
                </c:pt>
                <c:pt idx="32">
                  <c:v>2.9685957846846867</c:v>
                </c:pt>
                <c:pt idx="33">
                  <c:v>2.9860684704009604</c:v>
                </c:pt>
                <c:pt idx="34">
                  <c:v>3.4537317274420123</c:v>
                </c:pt>
                <c:pt idx="35">
                  <c:v>3.2373880165059763</c:v>
                </c:pt>
                <c:pt idx="36">
                  <c:v>3.3858218415446215</c:v>
                </c:pt>
                <c:pt idx="37">
                  <c:v>3.5622818727945389</c:v>
                </c:pt>
                <c:pt idx="38">
                  <c:v>3.7275011076080466</c:v>
                </c:pt>
                <c:pt idx="39">
                  <c:v>3.3758191933389385</c:v>
                </c:pt>
                <c:pt idx="40">
                  <c:v>3.7815840321778964</c:v>
                </c:pt>
                <c:pt idx="41">
                  <c:v>3.3378480187511683</c:v>
                </c:pt>
                <c:pt idx="42">
                  <c:v>3.8065298010521382</c:v>
                </c:pt>
                <c:pt idx="43">
                  <c:v>3.4783777515385998</c:v>
                </c:pt>
                <c:pt idx="44">
                  <c:v>3.6463693485852939</c:v>
                </c:pt>
                <c:pt idx="45">
                  <c:v>3.9344704350700992</c:v>
                </c:pt>
                <c:pt idx="46">
                  <c:v>3.9639375075278278</c:v>
                </c:pt>
                <c:pt idx="47">
                  <c:v>3.5475340142570961</c:v>
                </c:pt>
                <c:pt idx="48">
                  <c:v>3.5772285631153715</c:v>
                </c:pt>
                <c:pt idx="49">
                  <c:v>3.8713243120752008</c:v>
                </c:pt>
                <c:pt idx="50">
                  <c:v>3.6816729388400549</c:v>
                </c:pt>
                <c:pt idx="51">
                  <c:v>3.1934265793453531</c:v>
                </c:pt>
                <c:pt idx="52">
                  <c:v>3.6263133122994571</c:v>
                </c:pt>
                <c:pt idx="53">
                  <c:v>3.4419436191055297</c:v>
                </c:pt>
                <c:pt idx="54">
                  <c:v>3.7793701035259688</c:v>
                </c:pt>
                <c:pt idx="55">
                  <c:v>3.9591225387198512</c:v>
                </c:pt>
                <c:pt idx="56">
                  <c:v>4.0570929496632733</c:v>
                </c:pt>
                <c:pt idx="57">
                  <c:v>3.5888203823291294</c:v>
                </c:pt>
                <c:pt idx="58">
                  <c:v>4.0130718641870855</c:v>
                </c:pt>
                <c:pt idx="59">
                  <c:v>4.3359312870995641</c:v>
                </c:pt>
                <c:pt idx="60">
                  <c:v>4.642512085675202</c:v>
                </c:pt>
                <c:pt idx="61">
                  <c:v>4.941266650415522</c:v>
                </c:pt>
                <c:pt idx="62">
                  <c:v>5.1309335216842724</c:v>
                </c:pt>
                <c:pt idx="63">
                  <c:v>4.7856011795107367</c:v>
                </c:pt>
                <c:pt idx="64">
                  <c:v>5.1423777838062259</c:v>
                </c:pt>
                <c:pt idx="65">
                  <c:v>5.220254522145372</c:v>
                </c:pt>
                <c:pt idx="66">
                  <c:v>5.3031844915720594</c:v>
                </c:pt>
                <c:pt idx="67">
                  <c:v>5.1597539059500308</c:v>
                </c:pt>
                <c:pt idx="68">
                  <c:v>4.7021074752913909</c:v>
                </c:pt>
                <c:pt idx="69">
                  <c:v>4.4642181798538765</c:v>
                </c:pt>
                <c:pt idx="70">
                  <c:v>4.4550827559369726</c:v>
                </c:pt>
                <c:pt idx="71">
                  <c:v>3.9598003661111152</c:v>
                </c:pt>
                <c:pt idx="72">
                  <c:v>4.328638017867422</c:v>
                </c:pt>
                <c:pt idx="73">
                  <c:v>4.0718249508878301</c:v>
                </c:pt>
                <c:pt idx="74">
                  <c:v>4.2056445819019261</c:v>
                </c:pt>
                <c:pt idx="75">
                  <c:v>4.4483953003184178</c:v>
                </c:pt>
                <c:pt idx="76">
                  <c:v>4.7192300141935073</c:v>
                </c:pt>
                <c:pt idx="77">
                  <c:v>5.1123707269448984</c:v>
                </c:pt>
                <c:pt idx="78">
                  <c:v>4.662108102648844</c:v>
                </c:pt>
                <c:pt idx="79">
                  <c:v>4.8740358478746844</c:v>
                </c:pt>
                <c:pt idx="80">
                  <c:v>4.9283072987612835</c:v>
                </c:pt>
                <c:pt idx="81">
                  <c:v>4.6898548751537232</c:v>
                </c:pt>
                <c:pt idx="82">
                  <c:v>4.4047026039301134</c:v>
                </c:pt>
                <c:pt idx="83">
                  <c:v>4.8085245395487535</c:v>
                </c:pt>
                <c:pt idx="84">
                  <c:v>5.1317001825850976</c:v>
                </c:pt>
                <c:pt idx="85">
                  <c:v>5.189191922150453</c:v>
                </c:pt>
                <c:pt idx="86">
                  <c:v>5.6525566319948641</c:v>
                </c:pt>
                <c:pt idx="87">
                  <c:v>5.2866170162761525</c:v>
                </c:pt>
                <c:pt idx="88">
                  <c:v>5.2922979380833359</c:v>
                </c:pt>
                <c:pt idx="89">
                  <c:v>5.6639389136130029</c:v>
                </c:pt>
                <c:pt idx="90">
                  <c:v>5.6742574223116149</c:v>
                </c:pt>
                <c:pt idx="91">
                  <c:v>5.2494367132239947</c:v>
                </c:pt>
                <c:pt idx="92">
                  <c:v>5.5100790961176616</c:v>
                </c:pt>
                <c:pt idx="93">
                  <c:v>5.2333812378628322</c:v>
                </c:pt>
                <c:pt idx="94">
                  <c:v>5.6174928486200226</c:v>
                </c:pt>
                <c:pt idx="95">
                  <c:v>5.7110270407010031</c:v>
                </c:pt>
                <c:pt idx="96">
                  <c:v>5.5064161412479322</c:v>
                </c:pt>
                <c:pt idx="97">
                  <c:v>5.7932001480803219</c:v>
                </c:pt>
                <c:pt idx="98">
                  <c:v>6.1005239195134546</c:v>
                </c:pt>
                <c:pt idx="99">
                  <c:v>6.2765241973214696</c:v>
                </c:pt>
                <c:pt idx="100">
                  <c:v>6.5729324764607924</c:v>
                </c:pt>
                <c:pt idx="101">
                  <c:v>6.9966437433781188</c:v>
                </c:pt>
                <c:pt idx="102">
                  <c:v>6.9964719894435667</c:v>
                </c:pt>
                <c:pt idx="103">
                  <c:v>6.6483371035650567</c:v>
                </c:pt>
                <c:pt idx="104">
                  <c:v>6.3443000088635175</c:v>
                </c:pt>
                <c:pt idx="105">
                  <c:v>5.926012246358523</c:v>
                </c:pt>
                <c:pt idx="106">
                  <c:v>5.5993623141857176</c:v>
                </c:pt>
                <c:pt idx="107">
                  <c:v>6.0450168718540649</c:v>
                </c:pt>
                <c:pt idx="108">
                  <c:v>5.76261974569538</c:v>
                </c:pt>
                <c:pt idx="109">
                  <c:v>5.2872816606787971</c:v>
                </c:pt>
                <c:pt idx="110">
                  <c:v>5.0058983651341515</c:v>
                </c:pt>
                <c:pt idx="111">
                  <c:v>4.9508017191507392</c:v>
                </c:pt>
                <c:pt idx="112">
                  <c:v>4.9508017191507392</c:v>
                </c:pt>
                <c:pt idx="113">
                  <c:v>4.5892864059705332</c:v>
                </c:pt>
                <c:pt idx="114">
                  <c:v>4.2422726919753364</c:v>
                </c:pt>
                <c:pt idx="115">
                  <c:v>4.2422726919753364</c:v>
                </c:pt>
                <c:pt idx="116">
                  <c:v>4.2422726919753364</c:v>
                </c:pt>
                <c:pt idx="117">
                  <c:v>4.2422726919753364</c:v>
                </c:pt>
                <c:pt idx="118">
                  <c:v>4.2422726919753364</c:v>
                </c:pt>
                <c:pt idx="119">
                  <c:v>4.2422726919753364</c:v>
                </c:pt>
                <c:pt idx="120">
                  <c:v>4.2422726919753364</c:v>
                </c:pt>
                <c:pt idx="121">
                  <c:v>4.2422726919753364</c:v>
                </c:pt>
                <c:pt idx="122">
                  <c:v>4.2422726919753364</c:v>
                </c:pt>
                <c:pt idx="123">
                  <c:v>4.2422726919753364</c:v>
                </c:pt>
                <c:pt idx="124">
                  <c:v>4.2422726919753364</c:v>
                </c:pt>
                <c:pt idx="125">
                  <c:v>4.2422726919753364</c:v>
                </c:pt>
                <c:pt idx="126">
                  <c:v>4.2422726919753364</c:v>
                </c:pt>
                <c:pt idx="127">
                  <c:v>4.2422726919753364</c:v>
                </c:pt>
                <c:pt idx="128">
                  <c:v>4.2422726919753364</c:v>
                </c:pt>
                <c:pt idx="129">
                  <c:v>4.2422726919753364</c:v>
                </c:pt>
                <c:pt idx="130">
                  <c:v>4.2422726919753364</c:v>
                </c:pt>
                <c:pt idx="131">
                  <c:v>4.2422726919753364</c:v>
                </c:pt>
                <c:pt idx="132">
                  <c:v>4.2422726919753364</c:v>
                </c:pt>
                <c:pt idx="133">
                  <c:v>4.2422726919753364</c:v>
                </c:pt>
                <c:pt idx="134">
                  <c:v>4.2422726919753364</c:v>
                </c:pt>
                <c:pt idx="135">
                  <c:v>4.2422726919753364</c:v>
                </c:pt>
                <c:pt idx="136">
                  <c:v>4.2422726919753364</c:v>
                </c:pt>
                <c:pt idx="137">
                  <c:v>4.2422726919753364</c:v>
                </c:pt>
                <c:pt idx="138">
                  <c:v>3.7776528636266105</c:v>
                </c:pt>
                <c:pt idx="139">
                  <c:v>3.7776528636266105</c:v>
                </c:pt>
                <c:pt idx="140">
                  <c:v>3.7776528636266105</c:v>
                </c:pt>
                <c:pt idx="141">
                  <c:v>3.7776528636266105</c:v>
                </c:pt>
                <c:pt idx="142">
                  <c:v>3.7776528636266105</c:v>
                </c:pt>
                <c:pt idx="143">
                  <c:v>3.7776528636266105</c:v>
                </c:pt>
                <c:pt idx="144">
                  <c:v>3.7776528636266105</c:v>
                </c:pt>
                <c:pt idx="145">
                  <c:v>3.7776528636266105</c:v>
                </c:pt>
                <c:pt idx="146">
                  <c:v>3.7776528636266105</c:v>
                </c:pt>
                <c:pt idx="147">
                  <c:v>3.7776528636266105</c:v>
                </c:pt>
                <c:pt idx="148">
                  <c:v>3.7776528636266105</c:v>
                </c:pt>
                <c:pt idx="149">
                  <c:v>3.7776528636266105</c:v>
                </c:pt>
                <c:pt idx="150">
                  <c:v>3.7776528636266105</c:v>
                </c:pt>
                <c:pt idx="151">
                  <c:v>3.7776528636266105</c:v>
                </c:pt>
                <c:pt idx="152">
                  <c:v>3.7776528636266105</c:v>
                </c:pt>
                <c:pt idx="153">
                  <c:v>3.7776528636266105</c:v>
                </c:pt>
                <c:pt idx="154">
                  <c:v>3.7776528636266105</c:v>
                </c:pt>
                <c:pt idx="155">
                  <c:v>3.7776528636266105</c:v>
                </c:pt>
                <c:pt idx="156">
                  <c:v>3.7776528636266105</c:v>
                </c:pt>
                <c:pt idx="157">
                  <c:v>3.7776528636266105</c:v>
                </c:pt>
                <c:pt idx="158">
                  <c:v>4.2513969166552013</c:v>
                </c:pt>
                <c:pt idx="159">
                  <c:v>4.2513969166552013</c:v>
                </c:pt>
                <c:pt idx="160">
                  <c:v>4.2513969166552013</c:v>
                </c:pt>
                <c:pt idx="161">
                  <c:v>4.2513969166552013</c:v>
                </c:pt>
                <c:pt idx="162">
                  <c:v>4.2513969166552013</c:v>
                </c:pt>
                <c:pt idx="163">
                  <c:v>4.0176956931177177</c:v>
                </c:pt>
                <c:pt idx="164">
                  <c:v>4.0176956931177177</c:v>
                </c:pt>
                <c:pt idx="165">
                  <c:v>4.0176956931177177</c:v>
                </c:pt>
                <c:pt idx="166">
                  <c:v>4.0176956931177177</c:v>
                </c:pt>
                <c:pt idx="167">
                  <c:v>4.0176956931177177</c:v>
                </c:pt>
                <c:pt idx="168">
                  <c:v>4.0176956931177177</c:v>
                </c:pt>
                <c:pt idx="169">
                  <c:v>4.0176956931177177</c:v>
                </c:pt>
                <c:pt idx="170">
                  <c:v>4.0176956931177177</c:v>
                </c:pt>
                <c:pt idx="171">
                  <c:v>4.4793052360861552</c:v>
                </c:pt>
                <c:pt idx="172">
                  <c:v>4.4793052360861552</c:v>
                </c:pt>
                <c:pt idx="173">
                  <c:v>4.4793052360861552</c:v>
                </c:pt>
                <c:pt idx="174">
                  <c:v>4.4793052360861552</c:v>
                </c:pt>
                <c:pt idx="175">
                  <c:v>4.4793052360861552</c:v>
                </c:pt>
                <c:pt idx="176">
                  <c:v>4.4793052360861552</c:v>
                </c:pt>
                <c:pt idx="177">
                  <c:v>4.4793052360861552</c:v>
                </c:pt>
                <c:pt idx="178">
                  <c:v>4.4793052360861552</c:v>
                </c:pt>
                <c:pt idx="179">
                  <c:v>4.4793052360861552</c:v>
                </c:pt>
                <c:pt idx="180">
                  <c:v>4.4793052360861552</c:v>
                </c:pt>
                <c:pt idx="181">
                  <c:v>4.4793052360861552</c:v>
                </c:pt>
                <c:pt idx="182">
                  <c:v>4.4793052360861552</c:v>
                </c:pt>
                <c:pt idx="183">
                  <c:v>4.4793052360861552</c:v>
                </c:pt>
                <c:pt idx="184">
                  <c:v>4.4793052360861552</c:v>
                </c:pt>
                <c:pt idx="185">
                  <c:v>4.4793052360861552</c:v>
                </c:pt>
                <c:pt idx="186">
                  <c:v>4.4793052360861552</c:v>
                </c:pt>
                <c:pt idx="187">
                  <c:v>4.4793052360861552</c:v>
                </c:pt>
                <c:pt idx="188">
                  <c:v>4.4793052360861552</c:v>
                </c:pt>
                <c:pt idx="189">
                  <c:v>4.4793052360861552</c:v>
                </c:pt>
                <c:pt idx="190">
                  <c:v>4.4793052360861552</c:v>
                </c:pt>
                <c:pt idx="191">
                  <c:v>4.4793052360861552</c:v>
                </c:pt>
                <c:pt idx="192">
                  <c:v>4.4793052360861552</c:v>
                </c:pt>
                <c:pt idx="193">
                  <c:v>4.4793052360861552</c:v>
                </c:pt>
                <c:pt idx="194">
                  <c:v>4.4793052360861552</c:v>
                </c:pt>
                <c:pt idx="195">
                  <c:v>4.4793052360861552</c:v>
                </c:pt>
                <c:pt idx="196">
                  <c:v>4.9234029622670867</c:v>
                </c:pt>
                <c:pt idx="197">
                  <c:v>5.1167619108249633</c:v>
                </c:pt>
                <c:pt idx="198">
                  <c:v>5.1167619108249633</c:v>
                </c:pt>
                <c:pt idx="199">
                  <c:v>5.1167619108249633</c:v>
                </c:pt>
                <c:pt idx="200">
                  <c:v>5.1167619108249633</c:v>
                </c:pt>
                <c:pt idx="201">
                  <c:v>5.1167619108249633</c:v>
                </c:pt>
                <c:pt idx="202">
                  <c:v>5.1167619108249633</c:v>
                </c:pt>
                <c:pt idx="203">
                  <c:v>5.1167619108249633</c:v>
                </c:pt>
                <c:pt idx="204">
                  <c:v>5.1167619108249633</c:v>
                </c:pt>
                <c:pt idx="205">
                  <c:v>5.1167619108249633</c:v>
                </c:pt>
                <c:pt idx="206">
                  <c:v>5.1167619108249633</c:v>
                </c:pt>
                <c:pt idx="207">
                  <c:v>5.1167619108249633</c:v>
                </c:pt>
                <c:pt idx="208">
                  <c:v>5.1167619108249633</c:v>
                </c:pt>
                <c:pt idx="209">
                  <c:v>5.1167619108249633</c:v>
                </c:pt>
                <c:pt idx="210">
                  <c:v>5.3591596379630593</c:v>
                </c:pt>
                <c:pt idx="211">
                  <c:v>5.3591596379630593</c:v>
                </c:pt>
                <c:pt idx="212">
                  <c:v>5.7791781009365524</c:v>
                </c:pt>
                <c:pt idx="213">
                  <c:v>5.7791781009365524</c:v>
                </c:pt>
                <c:pt idx="214">
                  <c:v>5.7791781009365524</c:v>
                </c:pt>
                <c:pt idx="215">
                  <c:v>5.7791781009365524</c:v>
                </c:pt>
                <c:pt idx="216">
                  <c:v>5.7791781009365524</c:v>
                </c:pt>
                <c:pt idx="217">
                  <c:v>5.7791781009365524</c:v>
                </c:pt>
                <c:pt idx="218">
                  <c:v>5.7791781009365524</c:v>
                </c:pt>
                <c:pt idx="219">
                  <c:v>5.7791781009365524</c:v>
                </c:pt>
                <c:pt idx="220">
                  <c:v>5.7791781009365524</c:v>
                </c:pt>
                <c:pt idx="221">
                  <c:v>5.7791781009365524</c:v>
                </c:pt>
                <c:pt idx="222">
                  <c:v>5.7791781009365524</c:v>
                </c:pt>
                <c:pt idx="223">
                  <c:v>5.7791781009365524</c:v>
                </c:pt>
                <c:pt idx="224">
                  <c:v>5.7791781009365524</c:v>
                </c:pt>
                <c:pt idx="225">
                  <c:v>5.7791781009365524</c:v>
                </c:pt>
                <c:pt idx="226">
                  <c:v>5.7791781009365524</c:v>
                </c:pt>
                <c:pt idx="227">
                  <c:v>5.7791781009365524</c:v>
                </c:pt>
                <c:pt idx="228">
                  <c:v>5.7791781009365524</c:v>
                </c:pt>
                <c:pt idx="229">
                  <c:v>5.7791781009365524</c:v>
                </c:pt>
                <c:pt idx="230">
                  <c:v>5.7791781009365524</c:v>
                </c:pt>
                <c:pt idx="231">
                  <c:v>5.7791781009365524</c:v>
                </c:pt>
                <c:pt idx="232">
                  <c:v>5.7791781009365524</c:v>
                </c:pt>
                <c:pt idx="233">
                  <c:v>5.7791781009365524</c:v>
                </c:pt>
                <c:pt idx="234">
                  <c:v>5.7791781009365524</c:v>
                </c:pt>
                <c:pt idx="235">
                  <c:v>5.7791781009365524</c:v>
                </c:pt>
                <c:pt idx="236">
                  <c:v>5.7791781009365524</c:v>
                </c:pt>
                <c:pt idx="237">
                  <c:v>5.7791781009365524</c:v>
                </c:pt>
                <c:pt idx="238">
                  <c:v>5.7791781009365524</c:v>
                </c:pt>
                <c:pt idx="239">
                  <c:v>5.7791781009365524</c:v>
                </c:pt>
                <c:pt idx="240">
                  <c:v>5.7791781009365524</c:v>
                </c:pt>
                <c:pt idx="241">
                  <c:v>5.7791781009365524</c:v>
                </c:pt>
                <c:pt idx="242">
                  <c:v>5.7791781009365524</c:v>
                </c:pt>
                <c:pt idx="243">
                  <c:v>5.7791781009365524</c:v>
                </c:pt>
                <c:pt idx="244">
                  <c:v>6.1461794440460151</c:v>
                </c:pt>
                <c:pt idx="245">
                  <c:v>6.1461794440460151</c:v>
                </c:pt>
                <c:pt idx="246">
                  <c:v>6.1461794440460151</c:v>
                </c:pt>
                <c:pt idx="247">
                  <c:v>6.1461794440460151</c:v>
                </c:pt>
                <c:pt idx="248">
                  <c:v>6.3512749925480199</c:v>
                </c:pt>
                <c:pt idx="249">
                  <c:v>6.3512749925480199</c:v>
                </c:pt>
                <c:pt idx="250">
                  <c:v>6.3512749925480199</c:v>
                </c:pt>
                <c:pt idx="251">
                  <c:v>6.3512749925480199</c:v>
                </c:pt>
                <c:pt idx="252">
                  <c:v>6.3512749925480199</c:v>
                </c:pt>
                <c:pt idx="253">
                  <c:v>6.3512749925480199</c:v>
                </c:pt>
                <c:pt idx="254">
                  <c:v>6.3512749925480199</c:v>
                </c:pt>
                <c:pt idx="255">
                  <c:v>6.3512749925480199</c:v>
                </c:pt>
                <c:pt idx="256">
                  <c:v>6.3512749925480199</c:v>
                </c:pt>
                <c:pt idx="257">
                  <c:v>6.3512749925480199</c:v>
                </c:pt>
                <c:pt idx="258">
                  <c:v>6.3512749925480199</c:v>
                </c:pt>
                <c:pt idx="259">
                  <c:v>6.3512749925480199</c:v>
                </c:pt>
                <c:pt idx="260">
                  <c:v>6.3512749925480199</c:v>
                </c:pt>
                <c:pt idx="261">
                  <c:v>6.3512749925480199</c:v>
                </c:pt>
                <c:pt idx="262">
                  <c:v>6.3512749925480199</c:v>
                </c:pt>
                <c:pt idx="263">
                  <c:v>6.3512749925480199</c:v>
                </c:pt>
                <c:pt idx="264">
                  <c:v>6.3512749925480199</c:v>
                </c:pt>
                <c:pt idx="265">
                  <c:v>6.3512749925480199</c:v>
                </c:pt>
                <c:pt idx="266">
                  <c:v>5.913454816157766</c:v>
                </c:pt>
                <c:pt idx="267">
                  <c:v>5.913454816157766</c:v>
                </c:pt>
                <c:pt idx="268">
                  <c:v>5.913454816157766</c:v>
                </c:pt>
                <c:pt idx="269">
                  <c:v>5.913454816157766</c:v>
                </c:pt>
                <c:pt idx="270">
                  <c:v>5.913454816157766</c:v>
                </c:pt>
                <c:pt idx="271">
                  <c:v>5.913454816157766</c:v>
                </c:pt>
                <c:pt idx="272">
                  <c:v>5.5626055354202748</c:v>
                </c:pt>
                <c:pt idx="273">
                  <c:v>5.5626055354202748</c:v>
                </c:pt>
                <c:pt idx="274">
                  <c:v>5.5626055354202748</c:v>
                </c:pt>
                <c:pt idx="275">
                  <c:v>5.5626055354202748</c:v>
                </c:pt>
                <c:pt idx="276">
                  <c:v>5.5626055354202748</c:v>
                </c:pt>
                <c:pt idx="277">
                  <c:v>5.5626055354202748</c:v>
                </c:pt>
                <c:pt idx="278">
                  <c:v>5.5626055354202748</c:v>
                </c:pt>
                <c:pt idx="279">
                  <c:v>5.5626055354202748</c:v>
                </c:pt>
                <c:pt idx="280">
                  <c:v>5.5626055354202748</c:v>
                </c:pt>
                <c:pt idx="281">
                  <c:v>5.5626055354202748</c:v>
                </c:pt>
                <c:pt idx="282">
                  <c:v>5.5626055354202748</c:v>
                </c:pt>
                <c:pt idx="283">
                  <c:v>5.5626055354202748</c:v>
                </c:pt>
                <c:pt idx="284">
                  <c:v>5.5626055354202748</c:v>
                </c:pt>
                <c:pt idx="285">
                  <c:v>5.5626055354202748</c:v>
                </c:pt>
                <c:pt idx="286">
                  <c:v>5.5626055354202748</c:v>
                </c:pt>
                <c:pt idx="287">
                  <c:v>5.5626055354202748</c:v>
                </c:pt>
                <c:pt idx="288">
                  <c:v>5.5626055354202748</c:v>
                </c:pt>
                <c:pt idx="289">
                  <c:v>5.5626055354202748</c:v>
                </c:pt>
                <c:pt idx="290">
                  <c:v>5.5626055354202748</c:v>
                </c:pt>
                <c:pt idx="291">
                  <c:v>5.5626055354202748</c:v>
                </c:pt>
                <c:pt idx="292">
                  <c:v>5.5626055354202748</c:v>
                </c:pt>
                <c:pt idx="293">
                  <c:v>5.5626055354202748</c:v>
                </c:pt>
                <c:pt idx="294">
                  <c:v>5.5626055354202748</c:v>
                </c:pt>
                <c:pt idx="295">
                  <c:v>5.5626055354202748</c:v>
                </c:pt>
                <c:pt idx="296">
                  <c:v>5.5626055354202748</c:v>
                </c:pt>
                <c:pt idx="297">
                  <c:v>5.5626055354202748</c:v>
                </c:pt>
                <c:pt idx="298">
                  <c:v>5.5626055354202748</c:v>
                </c:pt>
                <c:pt idx="299">
                  <c:v>5.5626055354202748</c:v>
                </c:pt>
                <c:pt idx="300">
                  <c:v>5.5626055354202748</c:v>
                </c:pt>
                <c:pt idx="301">
                  <c:v>5.5626055354202748</c:v>
                </c:pt>
                <c:pt idx="302">
                  <c:v>5.5626055354202748</c:v>
                </c:pt>
                <c:pt idx="303">
                  <c:v>5.5626055354202748</c:v>
                </c:pt>
                <c:pt idx="304">
                  <c:v>5.5626055354202748</c:v>
                </c:pt>
                <c:pt idx="305">
                  <c:v>5.5626055354202748</c:v>
                </c:pt>
                <c:pt idx="306">
                  <c:v>5.5626055354202748</c:v>
                </c:pt>
                <c:pt idx="307">
                  <c:v>5.5626055354202748</c:v>
                </c:pt>
                <c:pt idx="308">
                  <c:v>5.5626055354202748</c:v>
                </c:pt>
                <c:pt idx="309">
                  <c:v>5.5626055354202748</c:v>
                </c:pt>
                <c:pt idx="310">
                  <c:v>5.5626055354202748</c:v>
                </c:pt>
                <c:pt idx="311">
                  <c:v>5.5626055354202748</c:v>
                </c:pt>
                <c:pt idx="312">
                  <c:v>5.5626055354202748</c:v>
                </c:pt>
                <c:pt idx="313">
                  <c:v>5.5626055354202748</c:v>
                </c:pt>
                <c:pt idx="314">
                  <c:v>5.5626055354202748</c:v>
                </c:pt>
                <c:pt idx="315">
                  <c:v>5.5626055354202748</c:v>
                </c:pt>
                <c:pt idx="316">
                  <c:v>5.5626055354202748</c:v>
                </c:pt>
                <c:pt idx="317">
                  <c:v>5.5626055354202748</c:v>
                </c:pt>
                <c:pt idx="318">
                  <c:v>5.5626055354202748</c:v>
                </c:pt>
                <c:pt idx="319">
                  <c:v>5.5626055354202748</c:v>
                </c:pt>
                <c:pt idx="320">
                  <c:v>5.5626055354202748</c:v>
                </c:pt>
                <c:pt idx="321">
                  <c:v>5.5626055354202748</c:v>
                </c:pt>
                <c:pt idx="322">
                  <c:v>5.5626055354202748</c:v>
                </c:pt>
                <c:pt idx="323">
                  <c:v>5.5626055354202748</c:v>
                </c:pt>
                <c:pt idx="324">
                  <c:v>5.5626055354202748</c:v>
                </c:pt>
                <c:pt idx="325">
                  <c:v>5.5626055354202748</c:v>
                </c:pt>
                <c:pt idx="326">
                  <c:v>5.5626055354202748</c:v>
                </c:pt>
                <c:pt idx="327">
                  <c:v>5.5626055354202748</c:v>
                </c:pt>
                <c:pt idx="328">
                  <c:v>5.5626055354202748</c:v>
                </c:pt>
                <c:pt idx="329">
                  <c:v>5.8713080694761226</c:v>
                </c:pt>
                <c:pt idx="330">
                  <c:v>5.8713080694761226</c:v>
                </c:pt>
                <c:pt idx="331">
                  <c:v>5.8713080694761226</c:v>
                </c:pt>
                <c:pt idx="332">
                  <c:v>5.8713080694761226</c:v>
                </c:pt>
                <c:pt idx="333">
                  <c:v>5.8713080694761226</c:v>
                </c:pt>
                <c:pt idx="334">
                  <c:v>5.8713080694761226</c:v>
                </c:pt>
                <c:pt idx="335">
                  <c:v>5.8713080694761226</c:v>
                </c:pt>
                <c:pt idx="336">
                  <c:v>5.8713080694761226</c:v>
                </c:pt>
                <c:pt idx="337">
                  <c:v>5.8713080694761226</c:v>
                </c:pt>
                <c:pt idx="338">
                  <c:v>5.7244737531544461</c:v>
                </c:pt>
                <c:pt idx="339">
                  <c:v>5.7244737531544461</c:v>
                </c:pt>
                <c:pt idx="340">
                  <c:v>5.7244737531544461</c:v>
                </c:pt>
                <c:pt idx="341">
                  <c:v>5.7244737531544461</c:v>
                </c:pt>
                <c:pt idx="342">
                  <c:v>5.7244737531544461</c:v>
                </c:pt>
                <c:pt idx="343">
                  <c:v>5.7244737531544461</c:v>
                </c:pt>
                <c:pt idx="344">
                  <c:v>5.7244737531544461</c:v>
                </c:pt>
                <c:pt idx="345">
                  <c:v>5.7244737531544461</c:v>
                </c:pt>
                <c:pt idx="346">
                  <c:v>5.7244737531544461</c:v>
                </c:pt>
                <c:pt idx="347">
                  <c:v>5.7244737531544461</c:v>
                </c:pt>
                <c:pt idx="348">
                  <c:v>5.7244737531544461</c:v>
                </c:pt>
                <c:pt idx="349">
                  <c:v>5.7244737531544461</c:v>
                </c:pt>
                <c:pt idx="350">
                  <c:v>5.7244737531544461</c:v>
                </c:pt>
                <c:pt idx="351">
                  <c:v>5.7244737531544461</c:v>
                </c:pt>
                <c:pt idx="352">
                  <c:v>5.7244737531544461</c:v>
                </c:pt>
                <c:pt idx="353">
                  <c:v>5.7244737531544461</c:v>
                </c:pt>
                <c:pt idx="354">
                  <c:v>5.7244737531544461</c:v>
                </c:pt>
                <c:pt idx="355">
                  <c:v>5.7244737531544461</c:v>
                </c:pt>
                <c:pt idx="356">
                  <c:v>5.7244737531544461</c:v>
                </c:pt>
                <c:pt idx="357">
                  <c:v>5.7244737531544461</c:v>
                </c:pt>
                <c:pt idx="358">
                  <c:v>5.7244737531544461</c:v>
                </c:pt>
                <c:pt idx="359">
                  <c:v>5.7244737531544461</c:v>
                </c:pt>
                <c:pt idx="360">
                  <c:v>5.7244737531544461</c:v>
                </c:pt>
                <c:pt idx="361">
                  <c:v>5.7244737531544461</c:v>
                </c:pt>
                <c:pt idx="362">
                  <c:v>5.7244737531544461</c:v>
                </c:pt>
                <c:pt idx="363">
                  <c:v>5.7244737531544461</c:v>
                </c:pt>
                <c:pt idx="364">
                  <c:v>5.7244737531544461</c:v>
                </c:pt>
                <c:pt idx="365">
                  <c:v>5.7244737531544461</c:v>
                </c:pt>
                <c:pt idx="366">
                  <c:v>5.7244737531544461</c:v>
                </c:pt>
                <c:pt idx="367">
                  <c:v>5.7244737531544461</c:v>
                </c:pt>
                <c:pt idx="368">
                  <c:v>5.7244737531544461</c:v>
                </c:pt>
                <c:pt idx="369">
                  <c:v>5.7244737531544461</c:v>
                </c:pt>
                <c:pt idx="370">
                  <c:v>5.7244737531544461</c:v>
                </c:pt>
                <c:pt idx="371">
                  <c:v>5.7244737531544461</c:v>
                </c:pt>
                <c:pt idx="372">
                  <c:v>5.7244737531544461</c:v>
                </c:pt>
                <c:pt idx="373">
                  <c:v>5.7244737531544461</c:v>
                </c:pt>
                <c:pt idx="374">
                  <c:v>5.7244737531544461</c:v>
                </c:pt>
                <c:pt idx="375">
                  <c:v>5.7244737531544461</c:v>
                </c:pt>
                <c:pt idx="376">
                  <c:v>5.7244737531544461</c:v>
                </c:pt>
                <c:pt idx="377">
                  <c:v>5.7244737531544461</c:v>
                </c:pt>
                <c:pt idx="378">
                  <c:v>5.7244737531544461</c:v>
                </c:pt>
                <c:pt idx="379">
                  <c:v>5.7244737531544461</c:v>
                </c:pt>
                <c:pt idx="380">
                  <c:v>5.7244737531544461</c:v>
                </c:pt>
                <c:pt idx="381">
                  <c:v>5.7244737531544461</c:v>
                </c:pt>
                <c:pt idx="382">
                  <c:v>5.7244737531544461</c:v>
                </c:pt>
                <c:pt idx="383">
                  <c:v>5.7244737531544461</c:v>
                </c:pt>
                <c:pt idx="384">
                  <c:v>5.7244737531544461</c:v>
                </c:pt>
                <c:pt idx="385">
                  <c:v>5.7244737531544461</c:v>
                </c:pt>
                <c:pt idx="386">
                  <c:v>5.7244737531544461</c:v>
                </c:pt>
                <c:pt idx="387">
                  <c:v>5.7244737531544461</c:v>
                </c:pt>
                <c:pt idx="388">
                  <c:v>5.7244737531544461</c:v>
                </c:pt>
                <c:pt idx="389">
                  <c:v>5.7244737531544461</c:v>
                </c:pt>
                <c:pt idx="390">
                  <c:v>5.7244737531544461</c:v>
                </c:pt>
                <c:pt idx="391">
                  <c:v>5.7244737531544461</c:v>
                </c:pt>
                <c:pt idx="392">
                  <c:v>5.7244737531544461</c:v>
                </c:pt>
                <c:pt idx="393">
                  <c:v>5.7244737531544461</c:v>
                </c:pt>
                <c:pt idx="394">
                  <c:v>5.7244737531544461</c:v>
                </c:pt>
                <c:pt idx="395">
                  <c:v>5.7244737531544461</c:v>
                </c:pt>
                <c:pt idx="396">
                  <c:v>5.7244737531544461</c:v>
                </c:pt>
                <c:pt idx="397">
                  <c:v>5.7244737531544461</c:v>
                </c:pt>
                <c:pt idx="398">
                  <c:v>5.7244737531544461</c:v>
                </c:pt>
                <c:pt idx="399">
                  <c:v>5.7244737531544461</c:v>
                </c:pt>
                <c:pt idx="400">
                  <c:v>5.7244737531544461</c:v>
                </c:pt>
                <c:pt idx="401">
                  <c:v>5.7244737531544461</c:v>
                </c:pt>
                <c:pt idx="402">
                  <c:v>5.7244737531544461</c:v>
                </c:pt>
                <c:pt idx="403">
                  <c:v>5.7244737531544461</c:v>
                </c:pt>
                <c:pt idx="404">
                  <c:v>5.7244737531544461</c:v>
                </c:pt>
                <c:pt idx="405">
                  <c:v>5.7244737531544461</c:v>
                </c:pt>
                <c:pt idx="406">
                  <c:v>5.7244737531544461</c:v>
                </c:pt>
                <c:pt idx="407">
                  <c:v>5.7244737531544461</c:v>
                </c:pt>
                <c:pt idx="408">
                  <c:v>5.7244737531544461</c:v>
                </c:pt>
                <c:pt idx="409">
                  <c:v>5.7244737531544461</c:v>
                </c:pt>
                <c:pt idx="410">
                  <c:v>5.7244737531544461</c:v>
                </c:pt>
                <c:pt idx="411">
                  <c:v>5.7244737531544461</c:v>
                </c:pt>
                <c:pt idx="412">
                  <c:v>5.7244737531544461</c:v>
                </c:pt>
                <c:pt idx="413">
                  <c:v>5.7244737531544461</c:v>
                </c:pt>
                <c:pt idx="414">
                  <c:v>5.7244737531544461</c:v>
                </c:pt>
                <c:pt idx="415">
                  <c:v>5.7244737531544461</c:v>
                </c:pt>
                <c:pt idx="416">
                  <c:v>5.7244737531544461</c:v>
                </c:pt>
                <c:pt idx="417">
                  <c:v>5.7244737531544461</c:v>
                </c:pt>
                <c:pt idx="418">
                  <c:v>5.7244737531544461</c:v>
                </c:pt>
                <c:pt idx="419">
                  <c:v>5.7244737531544461</c:v>
                </c:pt>
                <c:pt idx="420">
                  <c:v>5.7244737531544461</c:v>
                </c:pt>
                <c:pt idx="421">
                  <c:v>5.7244737531544461</c:v>
                </c:pt>
                <c:pt idx="422">
                  <c:v>5.7244737531544461</c:v>
                </c:pt>
                <c:pt idx="423">
                  <c:v>5.7244737531544461</c:v>
                </c:pt>
                <c:pt idx="424">
                  <c:v>5.7244737531544461</c:v>
                </c:pt>
                <c:pt idx="425">
                  <c:v>5.7244737531544461</c:v>
                </c:pt>
                <c:pt idx="426">
                  <c:v>5.7244737531544461</c:v>
                </c:pt>
                <c:pt idx="427">
                  <c:v>5.7244737531544461</c:v>
                </c:pt>
                <c:pt idx="428">
                  <c:v>5.7244737531544461</c:v>
                </c:pt>
                <c:pt idx="429">
                  <c:v>5.7244737531544461</c:v>
                </c:pt>
                <c:pt idx="430">
                  <c:v>5.7244737531544461</c:v>
                </c:pt>
                <c:pt idx="431">
                  <c:v>5.7244737531544461</c:v>
                </c:pt>
                <c:pt idx="432">
                  <c:v>5.7244737531544461</c:v>
                </c:pt>
                <c:pt idx="433">
                  <c:v>5.7244737531544461</c:v>
                </c:pt>
                <c:pt idx="434">
                  <c:v>5.7244737531544461</c:v>
                </c:pt>
                <c:pt idx="435">
                  <c:v>5.7244737531544461</c:v>
                </c:pt>
                <c:pt idx="436">
                  <c:v>5.7244737531544461</c:v>
                </c:pt>
                <c:pt idx="437">
                  <c:v>5.7244737531544461</c:v>
                </c:pt>
                <c:pt idx="438">
                  <c:v>5.7244737531544461</c:v>
                </c:pt>
                <c:pt idx="439">
                  <c:v>5.7244737531544461</c:v>
                </c:pt>
                <c:pt idx="440">
                  <c:v>5.7244737531544461</c:v>
                </c:pt>
                <c:pt idx="441">
                  <c:v>5.7244737531544461</c:v>
                </c:pt>
                <c:pt idx="442">
                  <c:v>5.7244737531544461</c:v>
                </c:pt>
                <c:pt idx="443">
                  <c:v>5.7244737531544461</c:v>
                </c:pt>
                <c:pt idx="444">
                  <c:v>5.7244737531544461</c:v>
                </c:pt>
                <c:pt idx="445">
                  <c:v>5.7244737531544461</c:v>
                </c:pt>
                <c:pt idx="446">
                  <c:v>5.7244737531544461</c:v>
                </c:pt>
                <c:pt idx="447">
                  <c:v>5.7244737531544461</c:v>
                </c:pt>
                <c:pt idx="448">
                  <c:v>5.7244737531544461</c:v>
                </c:pt>
                <c:pt idx="449">
                  <c:v>5.7244737531544461</c:v>
                </c:pt>
                <c:pt idx="450">
                  <c:v>5.7244737531544461</c:v>
                </c:pt>
                <c:pt idx="451">
                  <c:v>5.7244737531544461</c:v>
                </c:pt>
                <c:pt idx="452">
                  <c:v>5.7244737531544461</c:v>
                </c:pt>
                <c:pt idx="453">
                  <c:v>5.7244737531544461</c:v>
                </c:pt>
                <c:pt idx="454">
                  <c:v>5.7244737531544461</c:v>
                </c:pt>
                <c:pt idx="455">
                  <c:v>5.7244737531544461</c:v>
                </c:pt>
                <c:pt idx="456">
                  <c:v>5.7244737531544461</c:v>
                </c:pt>
                <c:pt idx="457">
                  <c:v>5.7244737531544461</c:v>
                </c:pt>
                <c:pt idx="458">
                  <c:v>5.7244737531544461</c:v>
                </c:pt>
                <c:pt idx="459">
                  <c:v>5.7244737531544461</c:v>
                </c:pt>
                <c:pt idx="460">
                  <c:v>5.7244737531544461</c:v>
                </c:pt>
                <c:pt idx="461">
                  <c:v>5.7244737531544461</c:v>
                </c:pt>
                <c:pt idx="462">
                  <c:v>5.7244737531544461</c:v>
                </c:pt>
                <c:pt idx="463">
                  <c:v>5.7244737531544461</c:v>
                </c:pt>
                <c:pt idx="464">
                  <c:v>5.7244737531544461</c:v>
                </c:pt>
                <c:pt idx="465">
                  <c:v>5.7244737531544461</c:v>
                </c:pt>
                <c:pt idx="466">
                  <c:v>5.7244737531544461</c:v>
                </c:pt>
                <c:pt idx="467">
                  <c:v>5.7244737531544461</c:v>
                </c:pt>
                <c:pt idx="468">
                  <c:v>5.7244737531544461</c:v>
                </c:pt>
                <c:pt idx="469">
                  <c:v>5.7244737531544461</c:v>
                </c:pt>
                <c:pt idx="470">
                  <c:v>5.7244737531544461</c:v>
                </c:pt>
                <c:pt idx="471">
                  <c:v>5.7244737531544461</c:v>
                </c:pt>
                <c:pt idx="472">
                  <c:v>5.7244737531544461</c:v>
                </c:pt>
                <c:pt idx="473">
                  <c:v>5.7244737531544461</c:v>
                </c:pt>
                <c:pt idx="474">
                  <c:v>5.7244737531544461</c:v>
                </c:pt>
                <c:pt idx="475">
                  <c:v>5.7244737531544461</c:v>
                </c:pt>
                <c:pt idx="476">
                  <c:v>5.7244737531544461</c:v>
                </c:pt>
                <c:pt idx="477">
                  <c:v>5.7244737531544461</c:v>
                </c:pt>
                <c:pt idx="478">
                  <c:v>5.7244737531544461</c:v>
                </c:pt>
                <c:pt idx="479">
                  <c:v>5.7244737531544461</c:v>
                </c:pt>
                <c:pt idx="480">
                  <c:v>5.7244737531544461</c:v>
                </c:pt>
                <c:pt idx="481">
                  <c:v>5.7244737531544461</c:v>
                </c:pt>
                <c:pt idx="482">
                  <c:v>5.7244737531544461</c:v>
                </c:pt>
                <c:pt idx="483">
                  <c:v>5.7244737531544461</c:v>
                </c:pt>
                <c:pt idx="484">
                  <c:v>5.7244737531544461</c:v>
                </c:pt>
                <c:pt idx="485">
                  <c:v>5.7244737531544461</c:v>
                </c:pt>
                <c:pt idx="486">
                  <c:v>5.7244737531544461</c:v>
                </c:pt>
                <c:pt idx="487">
                  <c:v>5.7244737531544461</c:v>
                </c:pt>
                <c:pt idx="488">
                  <c:v>5.7244737531544461</c:v>
                </c:pt>
                <c:pt idx="489">
                  <c:v>5.7244737531544461</c:v>
                </c:pt>
                <c:pt idx="490">
                  <c:v>5.7244737531544461</c:v>
                </c:pt>
                <c:pt idx="491">
                  <c:v>5.7244737531544461</c:v>
                </c:pt>
                <c:pt idx="492">
                  <c:v>5.7244737531544461</c:v>
                </c:pt>
                <c:pt idx="493">
                  <c:v>5.7244737531544461</c:v>
                </c:pt>
                <c:pt idx="494">
                  <c:v>5.7244737531544461</c:v>
                </c:pt>
                <c:pt idx="495">
                  <c:v>5.7244737531544461</c:v>
                </c:pt>
                <c:pt idx="496">
                  <c:v>5.7244737531544461</c:v>
                </c:pt>
                <c:pt idx="497">
                  <c:v>5.7244737531544461</c:v>
                </c:pt>
                <c:pt idx="498">
                  <c:v>5.7244737531544461</c:v>
                </c:pt>
                <c:pt idx="499">
                  <c:v>5.7244737531544461</c:v>
                </c:pt>
                <c:pt idx="500">
                  <c:v>5.7244737531544461</c:v>
                </c:pt>
                <c:pt idx="501">
                  <c:v>5.7244737531544461</c:v>
                </c:pt>
                <c:pt idx="502">
                  <c:v>5.7244737531544461</c:v>
                </c:pt>
                <c:pt idx="503">
                  <c:v>5.7244737531544461</c:v>
                </c:pt>
                <c:pt idx="504">
                  <c:v>5.7244737531544461</c:v>
                </c:pt>
                <c:pt idx="505">
                  <c:v>5.7244737531544461</c:v>
                </c:pt>
                <c:pt idx="506">
                  <c:v>5.7244737531544461</c:v>
                </c:pt>
                <c:pt idx="507">
                  <c:v>5.7244737531544461</c:v>
                </c:pt>
                <c:pt idx="508">
                  <c:v>5.7244737531544461</c:v>
                </c:pt>
                <c:pt idx="509">
                  <c:v>5.7244737531544461</c:v>
                </c:pt>
                <c:pt idx="510">
                  <c:v>5.7244737531544461</c:v>
                </c:pt>
                <c:pt idx="511">
                  <c:v>5.7244737531544461</c:v>
                </c:pt>
                <c:pt idx="512">
                  <c:v>5.7244737531544461</c:v>
                </c:pt>
                <c:pt idx="513">
                  <c:v>5.7244737531544461</c:v>
                </c:pt>
                <c:pt idx="514">
                  <c:v>5.7244737531544461</c:v>
                </c:pt>
                <c:pt idx="515">
                  <c:v>5.7244737531544461</c:v>
                </c:pt>
                <c:pt idx="516">
                  <c:v>5.7244737531544461</c:v>
                </c:pt>
                <c:pt idx="517">
                  <c:v>5.7244737531544461</c:v>
                </c:pt>
                <c:pt idx="518">
                  <c:v>5.7244737531544461</c:v>
                </c:pt>
                <c:pt idx="519">
                  <c:v>5.7244737531544461</c:v>
                </c:pt>
                <c:pt idx="520">
                  <c:v>5.7244737531544461</c:v>
                </c:pt>
                <c:pt idx="521">
                  <c:v>5.7244737531544461</c:v>
                </c:pt>
                <c:pt idx="522">
                  <c:v>5.7244737531544461</c:v>
                </c:pt>
                <c:pt idx="523">
                  <c:v>5.7244737531544461</c:v>
                </c:pt>
                <c:pt idx="524">
                  <c:v>5.7244737531544461</c:v>
                </c:pt>
                <c:pt idx="525">
                  <c:v>5.7244737531544461</c:v>
                </c:pt>
                <c:pt idx="526">
                  <c:v>5.7244737531544461</c:v>
                </c:pt>
                <c:pt idx="527">
                  <c:v>5.7244737531544461</c:v>
                </c:pt>
                <c:pt idx="528">
                  <c:v>5.7244737531544461</c:v>
                </c:pt>
                <c:pt idx="529">
                  <c:v>5.7244737531544461</c:v>
                </c:pt>
                <c:pt idx="530">
                  <c:v>5.7244737531544461</c:v>
                </c:pt>
                <c:pt idx="531">
                  <c:v>5.7244737531544461</c:v>
                </c:pt>
                <c:pt idx="532">
                  <c:v>5.7244737531544461</c:v>
                </c:pt>
                <c:pt idx="533">
                  <c:v>5.7244737531544461</c:v>
                </c:pt>
                <c:pt idx="534">
                  <c:v>5.7244737531544461</c:v>
                </c:pt>
                <c:pt idx="535">
                  <c:v>5.7244737531544461</c:v>
                </c:pt>
                <c:pt idx="536">
                  <c:v>5.7244737531544461</c:v>
                </c:pt>
                <c:pt idx="537">
                  <c:v>5.7244737531544461</c:v>
                </c:pt>
                <c:pt idx="538">
                  <c:v>5.7244737531544461</c:v>
                </c:pt>
                <c:pt idx="539">
                  <c:v>5.7244737531544461</c:v>
                </c:pt>
                <c:pt idx="540">
                  <c:v>5.7244737531544461</c:v>
                </c:pt>
                <c:pt idx="541">
                  <c:v>5.7244737531544461</c:v>
                </c:pt>
                <c:pt idx="542">
                  <c:v>5.7244737531544461</c:v>
                </c:pt>
                <c:pt idx="543">
                  <c:v>5.7244737531544461</c:v>
                </c:pt>
                <c:pt idx="544">
                  <c:v>5.7244737531544461</c:v>
                </c:pt>
                <c:pt idx="545">
                  <c:v>5.7244737531544461</c:v>
                </c:pt>
                <c:pt idx="546">
                  <c:v>5.7244737531544461</c:v>
                </c:pt>
                <c:pt idx="547">
                  <c:v>5.7244737531544461</c:v>
                </c:pt>
                <c:pt idx="548">
                  <c:v>5.7244737531544461</c:v>
                </c:pt>
                <c:pt idx="549">
                  <c:v>5.7244737531544461</c:v>
                </c:pt>
                <c:pt idx="550">
                  <c:v>5.7244737531544461</c:v>
                </c:pt>
                <c:pt idx="551">
                  <c:v>5.7244737531544461</c:v>
                </c:pt>
                <c:pt idx="552">
                  <c:v>5.7244737531544461</c:v>
                </c:pt>
                <c:pt idx="553">
                  <c:v>5.7244737531544461</c:v>
                </c:pt>
                <c:pt idx="554">
                  <c:v>5.7244737531544461</c:v>
                </c:pt>
                <c:pt idx="555">
                  <c:v>5.7244737531544461</c:v>
                </c:pt>
                <c:pt idx="556">
                  <c:v>5.7244737531544461</c:v>
                </c:pt>
                <c:pt idx="557">
                  <c:v>5.7244737531544461</c:v>
                </c:pt>
                <c:pt idx="558">
                  <c:v>5.7244737531544461</c:v>
                </c:pt>
                <c:pt idx="559">
                  <c:v>5.7244737531544461</c:v>
                </c:pt>
                <c:pt idx="560">
                  <c:v>5.7244737531544461</c:v>
                </c:pt>
                <c:pt idx="561">
                  <c:v>5.7244737531544461</c:v>
                </c:pt>
                <c:pt idx="562">
                  <c:v>5.7244737531544461</c:v>
                </c:pt>
                <c:pt idx="563">
                  <c:v>5.7244737531544461</c:v>
                </c:pt>
                <c:pt idx="564">
                  <c:v>5.7244737531544461</c:v>
                </c:pt>
                <c:pt idx="565">
                  <c:v>5.7244737531544461</c:v>
                </c:pt>
                <c:pt idx="566">
                  <c:v>5.7244737531544461</c:v>
                </c:pt>
                <c:pt idx="567">
                  <c:v>5.7244737531544461</c:v>
                </c:pt>
                <c:pt idx="568">
                  <c:v>5.7244737531544461</c:v>
                </c:pt>
                <c:pt idx="569">
                  <c:v>5.7244737531544461</c:v>
                </c:pt>
                <c:pt idx="570">
                  <c:v>5.7244737531544461</c:v>
                </c:pt>
                <c:pt idx="571">
                  <c:v>5.7244737531544461</c:v>
                </c:pt>
                <c:pt idx="572">
                  <c:v>5.7244737531544461</c:v>
                </c:pt>
                <c:pt idx="573">
                  <c:v>5.7244737531544461</c:v>
                </c:pt>
                <c:pt idx="574">
                  <c:v>5.7244737531544461</c:v>
                </c:pt>
                <c:pt idx="575">
                  <c:v>5.7244737531544461</c:v>
                </c:pt>
                <c:pt idx="576">
                  <c:v>5.7244737531544461</c:v>
                </c:pt>
                <c:pt idx="577">
                  <c:v>5.7244737531544461</c:v>
                </c:pt>
                <c:pt idx="578">
                  <c:v>5.7244737531544461</c:v>
                </c:pt>
                <c:pt idx="579">
                  <c:v>5.7244737531544461</c:v>
                </c:pt>
                <c:pt idx="580">
                  <c:v>5.7244737531544461</c:v>
                </c:pt>
                <c:pt idx="581">
                  <c:v>5.7244737531544461</c:v>
                </c:pt>
                <c:pt idx="582">
                  <c:v>5.7244737531544461</c:v>
                </c:pt>
                <c:pt idx="583">
                  <c:v>5.7244737531544461</c:v>
                </c:pt>
                <c:pt idx="584">
                  <c:v>5.7244737531544461</c:v>
                </c:pt>
                <c:pt idx="585">
                  <c:v>5.7244737531544461</c:v>
                </c:pt>
                <c:pt idx="586">
                  <c:v>5.7244737531544461</c:v>
                </c:pt>
                <c:pt idx="587">
                  <c:v>5.7244737531544461</c:v>
                </c:pt>
                <c:pt idx="588">
                  <c:v>5.7244737531544461</c:v>
                </c:pt>
                <c:pt idx="589">
                  <c:v>5.7244737531544461</c:v>
                </c:pt>
                <c:pt idx="590">
                  <c:v>5.7244737531544461</c:v>
                </c:pt>
                <c:pt idx="591">
                  <c:v>5.7244737531544461</c:v>
                </c:pt>
                <c:pt idx="592">
                  <c:v>5.7244737531544461</c:v>
                </c:pt>
                <c:pt idx="593">
                  <c:v>5.7244737531544461</c:v>
                </c:pt>
                <c:pt idx="594">
                  <c:v>5.7244737531544461</c:v>
                </c:pt>
                <c:pt idx="595">
                  <c:v>5.7244737531544461</c:v>
                </c:pt>
                <c:pt idx="596">
                  <c:v>5.7244737531544461</c:v>
                </c:pt>
                <c:pt idx="597">
                  <c:v>5.7244737531544461</c:v>
                </c:pt>
                <c:pt idx="598">
                  <c:v>5.7244737531544461</c:v>
                </c:pt>
                <c:pt idx="599">
                  <c:v>5.7244737531544461</c:v>
                </c:pt>
                <c:pt idx="600">
                  <c:v>5.7244737531544461</c:v>
                </c:pt>
                <c:pt idx="601">
                  <c:v>5.7244737531544461</c:v>
                </c:pt>
                <c:pt idx="602">
                  <c:v>5.7244737531544461</c:v>
                </c:pt>
                <c:pt idx="603">
                  <c:v>5.7244737531544461</c:v>
                </c:pt>
                <c:pt idx="604">
                  <c:v>5.7244737531544461</c:v>
                </c:pt>
                <c:pt idx="605">
                  <c:v>5.7244737531544461</c:v>
                </c:pt>
                <c:pt idx="606">
                  <c:v>5.7244737531544461</c:v>
                </c:pt>
                <c:pt idx="607">
                  <c:v>5.7244737531544461</c:v>
                </c:pt>
                <c:pt idx="608">
                  <c:v>5.7244737531544461</c:v>
                </c:pt>
                <c:pt idx="609">
                  <c:v>5.7244737531544461</c:v>
                </c:pt>
                <c:pt idx="610">
                  <c:v>5.7244737531544461</c:v>
                </c:pt>
                <c:pt idx="611">
                  <c:v>5.7244737531544461</c:v>
                </c:pt>
                <c:pt idx="612">
                  <c:v>5.7244737531544461</c:v>
                </c:pt>
                <c:pt idx="613">
                  <c:v>5.7244737531544461</c:v>
                </c:pt>
                <c:pt idx="614">
                  <c:v>5.7244737531544461</c:v>
                </c:pt>
                <c:pt idx="615">
                  <c:v>5.7244737531544461</c:v>
                </c:pt>
                <c:pt idx="616">
                  <c:v>5.7244737531544461</c:v>
                </c:pt>
                <c:pt idx="617">
                  <c:v>5.7244737531544461</c:v>
                </c:pt>
                <c:pt idx="618">
                  <c:v>5.7244737531544461</c:v>
                </c:pt>
                <c:pt idx="619">
                  <c:v>5.7244737531544461</c:v>
                </c:pt>
                <c:pt idx="620">
                  <c:v>5.7244737531544461</c:v>
                </c:pt>
                <c:pt idx="621">
                  <c:v>5.7244737531544461</c:v>
                </c:pt>
                <c:pt idx="622">
                  <c:v>5.7244737531544461</c:v>
                </c:pt>
                <c:pt idx="623">
                  <c:v>5.7244737531544461</c:v>
                </c:pt>
                <c:pt idx="624">
                  <c:v>5.7244737531544461</c:v>
                </c:pt>
                <c:pt idx="625">
                  <c:v>5.7244737531544461</c:v>
                </c:pt>
                <c:pt idx="626">
                  <c:v>5.7244737531544461</c:v>
                </c:pt>
                <c:pt idx="627">
                  <c:v>5.7244737531544461</c:v>
                </c:pt>
                <c:pt idx="628">
                  <c:v>5.7244737531544461</c:v>
                </c:pt>
                <c:pt idx="629">
                  <c:v>5.7244737531544461</c:v>
                </c:pt>
                <c:pt idx="630">
                  <c:v>5.7244737531544461</c:v>
                </c:pt>
                <c:pt idx="631">
                  <c:v>5.7244737531544461</c:v>
                </c:pt>
                <c:pt idx="632">
                  <c:v>5.7244737531544461</c:v>
                </c:pt>
                <c:pt idx="633">
                  <c:v>5.7244737531544461</c:v>
                </c:pt>
                <c:pt idx="634">
                  <c:v>5.7244737531544461</c:v>
                </c:pt>
                <c:pt idx="635">
                  <c:v>5.7244737531544461</c:v>
                </c:pt>
                <c:pt idx="636">
                  <c:v>5.7244737531544461</c:v>
                </c:pt>
                <c:pt idx="637">
                  <c:v>5.7244737531544461</c:v>
                </c:pt>
                <c:pt idx="638">
                  <c:v>5.7244737531544461</c:v>
                </c:pt>
                <c:pt idx="639">
                  <c:v>5.7244737531544461</c:v>
                </c:pt>
                <c:pt idx="640">
                  <c:v>5.7244737531544461</c:v>
                </c:pt>
                <c:pt idx="641">
                  <c:v>5.7244737531544461</c:v>
                </c:pt>
                <c:pt idx="642">
                  <c:v>5.7244737531544461</c:v>
                </c:pt>
                <c:pt idx="643">
                  <c:v>5.7244737531544461</c:v>
                </c:pt>
                <c:pt idx="644">
                  <c:v>5.7244737531544461</c:v>
                </c:pt>
                <c:pt idx="645">
                  <c:v>5.7244737531544461</c:v>
                </c:pt>
                <c:pt idx="646">
                  <c:v>5.7244737531544461</c:v>
                </c:pt>
                <c:pt idx="647">
                  <c:v>5.7244737531544461</c:v>
                </c:pt>
                <c:pt idx="648">
                  <c:v>5.7244737531544461</c:v>
                </c:pt>
                <c:pt idx="649">
                  <c:v>5.7244737531544461</c:v>
                </c:pt>
                <c:pt idx="650">
                  <c:v>5.7244737531544461</c:v>
                </c:pt>
                <c:pt idx="651">
                  <c:v>5.7244737531544461</c:v>
                </c:pt>
                <c:pt idx="652">
                  <c:v>5.7244737531544461</c:v>
                </c:pt>
                <c:pt idx="653">
                  <c:v>5.7244737531544461</c:v>
                </c:pt>
                <c:pt idx="654">
                  <c:v>5.7244737531544461</c:v>
                </c:pt>
                <c:pt idx="655">
                  <c:v>5.7244737531544461</c:v>
                </c:pt>
                <c:pt idx="656">
                  <c:v>5.7244737531544461</c:v>
                </c:pt>
                <c:pt idx="657">
                  <c:v>5.7244737531544461</c:v>
                </c:pt>
                <c:pt idx="658">
                  <c:v>5.7244737531544461</c:v>
                </c:pt>
                <c:pt idx="659">
                  <c:v>5.7244737531544461</c:v>
                </c:pt>
                <c:pt idx="660">
                  <c:v>5.7244737531544461</c:v>
                </c:pt>
                <c:pt idx="661">
                  <c:v>5.7244737531544461</c:v>
                </c:pt>
                <c:pt idx="662">
                  <c:v>5.7244737531544461</c:v>
                </c:pt>
                <c:pt idx="663">
                  <c:v>5.7244737531544461</c:v>
                </c:pt>
                <c:pt idx="664">
                  <c:v>5.7244737531544461</c:v>
                </c:pt>
                <c:pt idx="665">
                  <c:v>5.7244737531544461</c:v>
                </c:pt>
                <c:pt idx="666">
                  <c:v>5.7244737531544461</c:v>
                </c:pt>
                <c:pt idx="667">
                  <c:v>5.7244737531544461</c:v>
                </c:pt>
                <c:pt idx="668">
                  <c:v>5.7244737531544461</c:v>
                </c:pt>
                <c:pt idx="669">
                  <c:v>5.7244737531544461</c:v>
                </c:pt>
                <c:pt idx="670">
                  <c:v>5.7244737531544461</c:v>
                </c:pt>
                <c:pt idx="671">
                  <c:v>5.7244737531544461</c:v>
                </c:pt>
                <c:pt idx="672">
                  <c:v>5.7244737531544461</c:v>
                </c:pt>
                <c:pt idx="673">
                  <c:v>5.7244737531544461</c:v>
                </c:pt>
                <c:pt idx="674">
                  <c:v>5.7244737531544461</c:v>
                </c:pt>
                <c:pt idx="675">
                  <c:v>5.7244737531544461</c:v>
                </c:pt>
                <c:pt idx="676">
                  <c:v>5.7244737531544461</c:v>
                </c:pt>
                <c:pt idx="677">
                  <c:v>5.7244737531544461</c:v>
                </c:pt>
                <c:pt idx="678">
                  <c:v>5.7244737531544461</c:v>
                </c:pt>
                <c:pt idx="679">
                  <c:v>5.7244737531544461</c:v>
                </c:pt>
                <c:pt idx="680">
                  <c:v>5.7244737531544461</c:v>
                </c:pt>
                <c:pt idx="681">
                  <c:v>5.7244737531544461</c:v>
                </c:pt>
                <c:pt idx="682">
                  <c:v>5.7244737531544461</c:v>
                </c:pt>
                <c:pt idx="683">
                  <c:v>5.7244737531544461</c:v>
                </c:pt>
                <c:pt idx="684">
                  <c:v>5.7244737531544461</c:v>
                </c:pt>
                <c:pt idx="685">
                  <c:v>5.7244737531544461</c:v>
                </c:pt>
                <c:pt idx="686">
                  <c:v>5.7244737531544461</c:v>
                </c:pt>
                <c:pt idx="687">
                  <c:v>5.7244737531544461</c:v>
                </c:pt>
                <c:pt idx="688">
                  <c:v>5.7244737531544461</c:v>
                </c:pt>
                <c:pt idx="689">
                  <c:v>5.7244737531544461</c:v>
                </c:pt>
                <c:pt idx="690">
                  <c:v>5.7244737531544461</c:v>
                </c:pt>
                <c:pt idx="691">
                  <c:v>5.7244737531544461</c:v>
                </c:pt>
                <c:pt idx="692">
                  <c:v>5.7244737531544461</c:v>
                </c:pt>
                <c:pt idx="693">
                  <c:v>5.7244737531544461</c:v>
                </c:pt>
                <c:pt idx="694">
                  <c:v>5.7244737531544461</c:v>
                </c:pt>
                <c:pt idx="695">
                  <c:v>5.7244737531544461</c:v>
                </c:pt>
                <c:pt idx="696">
                  <c:v>5.7244737531544461</c:v>
                </c:pt>
                <c:pt idx="697">
                  <c:v>5.7244737531544461</c:v>
                </c:pt>
                <c:pt idx="698">
                  <c:v>5.7244737531544461</c:v>
                </c:pt>
                <c:pt idx="699">
                  <c:v>5.7244737531544461</c:v>
                </c:pt>
                <c:pt idx="700">
                  <c:v>5.7244737531544461</c:v>
                </c:pt>
                <c:pt idx="701">
                  <c:v>5.7244737531544461</c:v>
                </c:pt>
                <c:pt idx="702">
                  <c:v>5.7244737531544461</c:v>
                </c:pt>
                <c:pt idx="703">
                  <c:v>5.7244737531544461</c:v>
                </c:pt>
                <c:pt idx="704">
                  <c:v>5.7244737531544461</c:v>
                </c:pt>
                <c:pt idx="705">
                  <c:v>5.7244737531544461</c:v>
                </c:pt>
                <c:pt idx="706">
                  <c:v>5.7244737531544461</c:v>
                </c:pt>
                <c:pt idx="707">
                  <c:v>5.7244737531544461</c:v>
                </c:pt>
                <c:pt idx="708">
                  <c:v>5.7244737531544461</c:v>
                </c:pt>
                <c:pt idx="709">
                  <c:v>5.7244737531544461</c:v>
                </c:pt>
                <c:pt idx="710">
                  <c:v>5.7244737531544461</c:v>
                </c:pt>
                <c:pt idx="711">
                  <c:v>5.7244737531544461</c:v>
                </c:pt>
                <c:pt idx="712">
                  <c:v>5.7244737531544461</c:v>
                </c:pt>
                <c:pt idx="713">
                  <c:v>5.7244737531544461</c:v>
                </c:pt>
                <c:pt idx="714">
                  <c:v>5.7244737531544461</c:v>
                </c:pt>
                <c:pt idx="715">
                  <c:v>5.7244737531544461</c:v>
                </c:pt>
                <c:pt idx="716">
                  <c:v>5.7244737531544461</c:v>
                </c:pt>
                <c:pt idx="717">
                  <c:v>5.7244737531544461</c:v>
                </c:pt>
                <c:pt idx="718">
                  <c:v>5.7244737531544461</c:v>
                </c:pt>
                <c:pt idx="719">
                  <c:v>5.7244737531544461</c:v>
                </c:pt>
                <c:pt idx="720">
                  <c:v>5.7244737531544461</c:v>
                </c:pt>
                <c:pt idx="721">
                  <c:v>5.7244737531544461</c:v>
                </c:pt>
                <c:pt idx="722">
                  <c:v>5.7244737531544461</c:v>
                </c:pt>
                <c:pt idx="723">
                  <c:v>5.7244737531544461</c:v>
                </c:pt>
                <c:pt idx="724">
                  <c:v>5.7244737531544461</c:v>
                </c:pt>
                <c:pt idx="725">
                  <c:v>5.7244737531544461</c:v>
                </c:pt>
                <c:pt idx="726">
                  <c:v>5.7244737531544461</c:v>
                </c:pt>
                <c:pt idx="727">
                  <c:v>5.7244737531544461</c:v>
                </c:pt>
                <c:pt idx="728">
                  <c:v>5.7244737531544461</c:v>
                </c:pt>
                <c:pt idx="729">
                  <c:v>5.7244737531544461</c:v>
                </c:pt>
                <c:pt idx="730">
                  <c:v>5.7244737531544461</c:v>
                </c:pt>
                <c:pt idx="731">
                  <c:v>5.7244737531544461</c:v>
                </c:pt>
                <c:pt idx="732">
                  <c:v>5.7244737531544461</c:v>
                </c:pt>
                <c:pt idx="733">
                  <c:v>5.7244737531544461</c:v>
                </c:pt>
                <c:pt idx="734">
                  <c:v>5.7244737531544461</c:v>
                </c:pt>
                <c:pt idx="735">
                  <c:v>5.7244737531544461</c:v>
                </c:pt>
                <c:pt idx="736">
                  <c:v>5.7244737531544461</c:v>
                </c:pt>
                <c:pt idx="737">
                  <c:v>5.7244737531544461</c:v>
                </c:pt>
                <c:pt idx="738">
                  <c:v>5.7244737531544461</c:v>
                </c:pt>
                <c:pt idx="739">
                  <c:v>5.7244737531544461</c:v>
                </c:pt>
                <c:pt idx="740">
                  <c:v>5.7244737531544461</c:v>
                </c:pt>
                <c:pt idx="741">
                  <c:v>5.7244737531544461</c:v>
                </c:pt>
                <c:pt idx="742">
                  <c:v>5.7244737531544461</c:v>
                </c:pt>
                <c:pt idx="743">
                  <c:v>5.7244737531544461</c:v>
                </c:pt>
                <c:pt idx="744">
                  <c:v>5.7244737531544461</c:v>
                </c:pt>
                <c:pt idx="745">
                  <c:v>5.7244737531544461</c:v>
                </c:pt>
                <c:pt idx="746">
                  <c:v>5.7244737531544461</c:v>
                </c:pt>
                <c:pt idx="747">
                  <c:v>5.7244737531544461</c:v>
                </c:pt>
                <c:pt idx="748">
                  <c:v>5.7244737531544461</c:v>
                </c:pt>
                <c:pt idx="749">
                  <c:v>5.7244737531544461</c:v>
                </c:pt>
                <c:pt idx="750">
                  <c:v>5.7244737531544461</c:v>
                </c:pt>
                <c:pt idx="751">
                  <c:v>5.7244737531544461</c:v>
                </c:pt>
                <c:pt idx="752">
                  <c:v>5.7244737531544461</c:v>
                </c:pt>
                <c:pt idx="753">
                  <c:v>5.7244737531544461</c:v>
                </c:pt>
                <c:pt idx="754">
                  <c:v>5.7244737531544461</c:v>
                </c:pt>
                <c:pt idx="755">
                  <c:v>5.7244737531544461</c:v>
                </c:pt>
                <c:pt idx="756">
                  <c:v>5.7244737531544461</c:v>
                </c:pt>
                <c:pt idx="757">
                  <c:v>5.7244737531544461</c:v>
                </c:pt>
                <c:pt idx="758">
                  <c:v>5.7244737531544461</c:v>
                </c:pt>
                <c:pt idx="759">
                  <c:v>5.7244737531544461</c:v>
                </c:pt>
                <c:pt idx="760">
                  <c:v>5.7244737531544461</c:v>
                </c:pt>
                <c:pt idx="761">
                  <c:v>5.7244737531544461</c:v>
                </c:pt>
                <c:pt idx="762">
                  <c:v>5.7244737531544461</c:v>
                </c:pt>
                <c:pt idx="763">
                  <c:v>5.7244737531544461</c:v>
                </c:pt>
                <c:pt idx="764">
                  <c:v>5.7244737531544461</c:v>
                </c:pt>
                <c:pt idx="765">
                  <c:v>5.7244737531544461</c:v>
                </c:pt>
                <c:pt idx="766">
                  <c:v>5.7244737531544461</c:v>
                </c:pt>
                <c:pt idx="767">
                  <c:v>5.7244737531544461</c:v>
                </c:pt>
                <c:pt idx="768">
                  <c:v>5.7244737531544461</c:v>
                </c:pt>
                <c:pt idx="769">
                  <c:v>5.7244737531544461</c:v>
                </c:pt>
                <c:pt idx="770">
                  <c:v>5.7244737531544461</c:v>
                </c:pt>
                <c:pt idx="771">
                  <c:v>5.7244737531544461</c:v>
                </c:pt>
                <c:pt idx="772">
                  <c:v>5.7244737531544461</c:v>
                </c:pt>
                <c:pt idx="773">
                  <c:v>5.7244737531544461</c:v>
                </c:pt>
                <c:pt idx="774">
                  <c:v>5.7244737531544461</c:v>
                </c:pt>
                <c:pt idx="775">
                  <c:v>5.7244737531544461</c:v>
                </c:pt>
                <c:pt idx="776">
                  <c:v>5.7244737531544461</c:v>
                </c:pt>
                <c:pt idx="777">
                  <c:v>5.7244737531544461</c:v>
                </c:pt>
                <c:pt idx="778">
                  <c:v>5.7244737531544461</c:v>
                </c:pt>
                <c:pt idx="779">
                  <c:v>5.7244737531544461</c:v>
                </c:pt>
                <c:pt idx="780">
                  <c:v>5.7244737531544461</c:v>
                </c:pt>
                <c:pt idx="781">
                  <c:v>5.7244737531544461</c:v>
                </c:pt>
                <c:pt idx="782">
                  <c:v>5.7244737531544461</c:v>
                </c:pt>
                <c:pt idx="783">
                  <c:v>5.7244737531544461</c:v>
                </c:pt>
                <c:pt idx="784">
                  <c:v>5.7244737531544461</c:v>
                </c:pt>
                <c:pt idx="785">
                  <c:v>5.7244737531544461</c:v>
                </c:pt>
                <c:pt idx="786">
                  <c:v>5.7244737531544461</c:v>
                </c:pt>
                <c:pt idx="787">
                  <c:v>5.7244737531544461</c:v>
                </c:pt>
                <c:pt idx="788">
                  <c:v>5.7244737531544461</c:v>
                </c:pt>
                <c:pt idx="789">
                  <c:v>5.7244737531544461</c:v>
                </c:pt>
                <c:pt idx="790">
                  <c:v>5.7244737531544461</c:v>
                </c:pt>
                <c:pt idx="791">
                  <c:v>5.7244737531544461</c:v>
                </c:pt>
                <c:pt idx="792">
                  <c:v>5.7244737531544461</c:v>
                </c:pt>
                <c:pt idx="793">
                  <c:v>5.7244737531544461</c:v>
                </c:pt>
                <c:pt idx="794">
                  <c:v>5.7244737531544461</c:v>
                </c:pt>
                <c:pt idx="795">
                  <c:v>5.7244737531544461</c:v>
                </c:pt>
                <c:pt idx="796">
                  <c:v>5.7244737531544461</c:v>
                </c:pt>
                <c:pt idx="797">
                  <c:v>5.7244737531544461</c:v>
                </c:pt>
                <c:pt idx="798">
                  <c:v>5.7244737531544461</c:v>
                </c:pt>
                <c:pt idx="799">
                  <c:v>5.7244737531544461</c:v>
                </c:pt>
                <c:pt idx="800">
                  <c:v>5.7244737531544461</c:v>
                </c:pt>
                <c:pt idx="801">
                  <c:v>5.7244737531544461</c:v>
                </c:pt>
                <c:pt idx="802">
                  <c:v>5.7244737531544461</c:v>
                </c:pt>
                <c:pt idx="803">
                  <c:v>5.7244737531544461</c:v>
                </c:pt>
                <c:pt idx="804">
                  <c:v>5.7244737531544461</c:v>
                </c:pt>
                <c:pt idx="805">
                  <c:v>5.7244737531544461</c:v>
                </c:pt>
                <c:pt idx="806">
                  <c:v>5.7244737531544461</c:v>
                </c:pt>
                <c:pt idx="807">
                  <c:v>5.7244737531544461</c:v>
                </c:pt>
                <c:pt idx="808">
                  <c:v>5.7244737531544461</c:v>
                </c:pt>
                <c:pt idx="809">
                  <c:v>5.7244737531544461</c:v>
                </c:pt>
                <c:pt idx="810">
                  <c:v>5.7244737531544461</c:v>
                </c:pt>
                <c:pt idx="811">
                  <c:v>5.7244737531544461</c:v>
                </c:pt>
                <c:pt idx="812">
                  <c:v>5.7244737531544461</c:v>
                </c:pt>
                <c:pt idx="813">
                  <c:v>5.7244737531544461</c:v>
                </c:pt>
                <c:pt idx="814">
                  <c:v>5.7244737531544461</c:v>
                </c:pt>
                <c:pt idx="815">
                  <c:v>5.7244737531544461</c:v>
                </c:pt>
                <c:pt idx="816">
                  <c:v>5.7244737531544461</c:v>
                </c:pt>
                <c:pt idx="817">
                  <c:v>5.7244737531544461</c:v>
                </c:pt>
                <c:pt idx="818">
                  <c:v>5.7244737531544461</c:v>
                </c:pt>
                <c:pt idx="819">
                  <c:v>5.7244737531544461</c:v>
                </c:pt>
                <c:pt idx="820">
                  <c:v>5.7244737531544461</c:v>
                </c:pt>
                <c:pt idx="821">
                  <c:v>5.7244737531544461</c:v>
                </c:pt>
                <c:pt idx="822">
                  <c:v>5.7244737531544461</c:v>
                </c:pt>
                <c:pt idx="823">
                  <c:v>5.7244737531544461</c:v>
                </c:pt>
                <c:pt idx="824">
                  <c:v>5.7244737531544461</c:v>
                </c:pt>
                <c:pt idx="825">
                  <c:v>5.7244737531544461</c:v>
                </c:pt>
                <c:pt idx="826">
                  <c:v>5.7244737531544461</c:v>
                </c:pt>
                <c:pt idx="827">
                  <c:v>5.7244737531544461</c:v>
                </c:pt>
                <c:pt idx="828">
                  <c:v>5.7244737531544461</c:v>
                </c:pt>
                <c:pt idx="829">
                  <c:v>5.7244737531544461</c:v>
                </c:pt>
                <c:pt idx="830">
                  <c:v>5.7244737531544461</c:v>
                </c:pt>
                <c:pt idx="831">
                  <c:v>5.7244737531544461</c:v>
                </c:pt>
                <c:pt idx="832">
                  <c:v>5.7244737531544461</c:v>
                </c:pt>
                <c:pt idx="833">
                  <c:v>5.7244737531544461</c:v>
                </c:pt>
                <c:pt idx="834">
                  <c:v>5.7244737531544461</c:v>
                </c:pt>
                <c:pt idx="835">
                  <c:v>5.7244737531544461</c:v>
                </c:pt>
                <c:pt idx="836">
                  <c:v>5.7244737531544461</c:v>
                </c:pt>
                <c:pt idx="837">
                  <c:v>5.7244737531544461</c:v>
                </c:pt>
                <c:pt idx="838">
                  <c:v>5.7244737531544461</c:v>
                </c:pt>
                <c:pt idx="839">
                  <c:v>5.7244737531544461</c:v>
                </c:pt>
                <c:pt idx="840">
                  <c:v>5.7244737531544461</c:v>
                </c:pt>
                <c:pt idx="841">
                  <c:v>5.7244737531544461</c:v>
                </c:pt>
                <c:pt idx="842">
                  <c:v>5.7244737531544461</c:v>
                </c:pt>
                <c:pt idx="843">
                  <c:v>5.7244737531544461</c:v>
                </c:pt>
                <c:pt idx="844">
                  <c:v>5.7244737531544461</c:v>
                </c:pt>
                <c:pt idx="845">
                  <c:v>5.7244737531544461</c:v>
                </c:pt>
                <c:pt idx="846">
                  <c:v>5.7244737531544461</c:v>
                </c:pt>
                <c:pt idx="847">
                  <c:v>5.7244737531544461</c:v>
                </c:pt>
                <c:pt idx="848">
                  <c:v>5.7244737531544461</c:v>
                </c:pt>
                <c:pt idx="849">
                  <c:v>5.7244737531544461</c:v>
                </c:pt>
                <c:pt idx="850">
                  <c:v>5.7244737531544461</c:v>
                </c:pt>
                <c:pt idx="851">
                  <c:v>5.7244737531544461</c:v>
                </c:pt>
                <c:pt idx="852">
                  <c:v>5.7244737531544461</c:v>
                </c:pt>
                <c:pt idx="853">
                  <c:v>5.7244737531544461</c:v>
                </c:pt>
                <c:pt idx="854">
                  <c:v>5.7244737531544461</c:v>
                </c:pt>
                <c:pt idx="855">
                  <c:v>5.7244737531544461</c:v>
                </c:pt>
                <c:pt idx="856">
                  <c:v>5.7244737531544461</c:v>
                </c:pt>
                <c:pt idx="857">
                  <c:v>5.7244737531544461</c:v>
                </c:pt>
                <c:pt idx="858">
                  <c:v>5.7244737531544461</c:v>
                </c:pt>
                <c:pt idx="859">
                  <c:v>5.7244737531544461</c:v>
                </c:pt>
                <c:pt idx="860">
                  <c:v>5.7244737531544461</c:v>
                </c:pt>
                <c:pt idx="861">
                  <c:v>5.7244737531544461</c:v>
                </c:pt>
                <c:pt idx="862">
                  <c:v>5.7244737531544461</c:v>
                </c:pt>
                <c:pt idx="863">
                  <c:v>5.7244737531544461</c:v>
                </c:pt>
                <c:pt idx="864">
                  <c:v>5.7244737531544461</c:v>
                </c:pt>
                <c:pt idx="865">
                  <c:v>5.7244737531544461</c:v>
                </c:pt>
                <c:pt idx="866">
                  <c:v>5.7244737531544461</c:v>
                </c:pt>
                <c:pt idx="867">
                  <c:v>5.7244737531544461</c:v>
                </c:pt>
                <c:pt idx="868">
                  <c:v>5.7244737531544461</c:v>
                </c:pt>
                <c:pt idx="869">
                  <c:v>5.7244737531544461</c:v>
                </c:pt>
                <c:pt idx="870">
                  <c:v>5.7244737531544461</c:v>
                </c:pt>
                <c:pt idx="871">
                  <c:v>5.7244737531544461</c:v>
                </c:pt>
                <c:pt idx="872">
                  <c:v>5.7244737531544461</c:v>
                </c:pt>
                <c:pt idx="873">
                  <c:v>5.7244737531544461</c:v>
                </c:pt>
                <c:pt idx="874">
                  <c:v>5.7244737531544461</c:v>
                </c:pt>
                <c:pt idx="875">
                  <c:v>5.7244737531544461</c:v>
                </c:pt>
                <c:pt idx="876">
                  <c:v>5.7244737531544461</c:v>
                </c:pt>
                <c:pt idx="877">
                  <c:v>5.7244737531544461</c:v>
                </c:pt>
                <c:pt idx="878">
                  <c:v>5.7244737531544461</c:v>
                </c:pt>
                <c:pt idx="879">
                  <c:v>5.7244737531544461</c:v>
                </c:pt>
                <c:pt idx="880">
                  <c:v>5.7244737531544461</c:v>
                </c:pt>
                <c:pt idx="881">
                  <c:v>5.7244737531544461</c:v>
                </c:pt>
                <c:pt idx="882">
                  <c:v>5.7244737531544461</c:v>
                </c:pt>
                <c:pt idx="883">
                  <c:v>5.7244737531544461</c:v>
                </c:pt>
                <c:pt idx="884">
                  <c:v>5.7244737531544461</c:v>
                </c:pt>
                <c:pt idx="885">
                  <c:v>5.7244737531544461</c:v>
                </c:pt>
                <c:pt idx="886">
                  <c:v>5.7244737531544461</c:v>
                </c:pt>
                <c:pt idx="887">
                  <c:v>5.7244737531544461</c:v>
                </c:pt>
                <c:pt idx="888">
                  <c:v>5.7244737531544461</c:v>
                </c:pt>
                <c:pt idx="889">
                  <c:v>5.7244737531544461</c:v>
                </c:pt>
                <c:pt idx="890">
                  <c:v>5.7244737531544461</c:v>
                </c:pt>
                <c:pt idx="891">
                  <c:v>5.7244737531544461</c:v>
                </c:pt>
                <c:pt idx="892">
                  <c:v>5.7244737531544461</c:v>
                </c:pt>
                <c:pt idx="893">
                  <c:v>5.7244737531544461</c:v>
                </c:pt>
                <c:pt idx="894">
                  <c:v>5.7244737531544461</c:v>
                </c:pt>
                <c:pt idx="895">
                  <c:v>5.7244737531544461</c:v>
                </c:pt>
                <c:pt idx="896">
                  <c:v>5.7244737531544461</c:v>
                </c:pt>
                <c:pt idx="897">
                  <c:v>5.7244737531544461</c:v>
                </c:pt>
                <c:pt idx="898">
                  <c:v>5.7244737531544461</c:v>
                </c:pt>
                <c:pt idx="899">
                  <c:v>5.7244737531544461</c:v>
                </c:pt>
                <c:pt idx="900">
                  <c:v>5.7244737531544461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CC-49FB-8EB2-EBCEE1D2AAE8}"/>
            </c:ext>
          </c:extLst>
        </c:ser>
        <c:ser>
          <c:idx val="2"/>
          <c:order val="2"/>
          <c:tx>
            <c:strRef>
              <c:f>Analysis!$O$1</c:f>
              <c:strCache>
                <c:ptCount val="1"/>
                <c:pt idx="0">
                  <c:v>Cumulative Net PnL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strRef>
              <c:f>Analysis!$L$2:$L$903</c:f>
              <c:strCache>
                <c:ptCount val="901"/>
                <c:pt idx="0">
                  <c:v>signal</c:v>
                </c:pt>
                <c:pt idx="1">
                  <c:v>signal</c:v>
                </c:pt>
                <c:pt idx="2">
                  <c:v>signal</c:v>
                </c:pt>
                <c:pt idx="3">
                  <c:v>signal</c:v>
                </c:pt>
                <c:pt idx="4">
                  <c:v>signal</c:v>
                </c:pt>
                <c:pt idx="5">
                  <c:v>signal</c:v>
                </c:pt>
                <c:pt idx="6">
                  <c:v>signal</c:v>
                </c:pt>
                <c:pt idx="7">
                  <c:v>signal</c:v>
                </c:pt>
                <c:pt idx="8">
                  <c:v>signal</c:v>
                </c:pt>
                <c:pt idx="9">
                  <c:v>signal</c:v>
                </c:pt>
                <c:pt idx="10">
                  <c:v>signal</c:v>
                </c:pt>
                <c:pt idx="11">
                  <c:v>signal</c:v>
                </c:pt>
                <c:pt idx="12">
                  <c:v>signal</c:v>
                </c:pt>
                <c:pt idx="13">
                  <c:v>signal</c:v>
                </c:pt>
                <c:pt idx="14">
                  <c:v>signal</c:v>
                </c:pt>
                <c:pt idx="15">
                  <c:v>signal</c:v>
                </c:pt>
                <c:pt idx="16">
                  <c:v>signal</c:v>
                </c:pt>
                <c:pt idx="17">
                  <c:v>signal</c:v>
                </c:pt>
                <c:pt idx="18">
                  <c:v>signal</c:v>
                </c:pt>
                <c:pt idx="19">
                  <c:v>signal</c:v>
                </c:pt>
                <c:pt idx="20">
                  <c:v>signal</c:v>
                </c:pt>
                <c:pt idx="21">
                  <c:v>signal</c:v>
                </c:pt>
                <c:pt idx="22">
                  <c:v>signal</c:v>
                </c:pt>
                <c:pt idx="23">
                  <c:v>signal</c:v>
                </c:pt>
                <c:pt idx="24">
                  <c:v>signal</c:v>
                </c:pt>
                <c:pt idx="25">
                  <c:v>signal</c:v>
                </c:pt>
                <c:pt idx="26">
                  <c:v>signal</c:v>
                </c:pt>
                <c:pt idx="27">
                  <c:v>signal</c:v>
                </c:pt>
                <c:pt idx="28">
                  <c:v>signal</c:v>
                </c:pt>
                <c:pt idx="29">
                  <c:v>signal</c:v>
                </c:pt>
                <c:pt idx="30">
                  <c:v>signal</c:v>
                </c:pt>
                <c:pt idx="31">
                  <c:v>signal</c:v>
                </c:pt>
                <c:pt idx="32">
                  <c:v>signal</c:v>
                </c:pt>
                <c:pt idx="33">
                  <c:v>signal</c:v>
                </c:pt>
                <c:pt idx="34">
                  <c:v>signal</c:v>
                </c:pt>
                <c:pt idx="35">
                  <c:v>signal</c:v>
                </c:pt>
                <c:pt idx="36">
                  <c:v>signal</c:v>
                </c:pt>
                <c:pt idx="37">
                  <c:v>signal</c:v>
                </c:pt>
                <c:pt idx="38">
                  <c:v>signal</c:v>
                </c:pt>
                <c:pt idx="39">
                  <c:v>signal</c:v>
                </c:pt>
                <c:pt idx="40">
                  <c:v>signal</c:v>
                </c:pt>
                <c:pt idx="41">
                  <c:v>signal</c:v>
                </c:pt>
                <c:pt idx="42">
                  <c:v>signal</c:v>
                </c:pt>
                <c:pt idx="43">
                  <c:v>signal</c:v>
                </c:pt>
                <c:pt idx="44">
                  <c:v>signal</c:v>
                </c:pt>
                <c:pt idx="45">
                  <c:v>signal</c:v>
                </c:pt>
                <c:pt idx="46">
                  <c:v>signal</c:v>
                </c:pt>
                <c:pt idx="47">
                  <c:v>signal</c:v>
                </c:pt>
                <c:pt idx="48">
                  <c:v>signal</c:v>
                </c:pt>
                <c:pt idx="49">
                  <c:v>signal</c:v>
                </c:pt>
                <c:pt idx="50">
                  <c:v>signal</c:v>
                </c:pt>
                <c:pt idx="51">
                  <c:v>signal</c:v>
                </c:pt>
                <c:pt idx="52">
                  <c:v>signal</c:v>
                </c:pt>
                <c:pt idx="53">
                  <c:v>signal</c:v>
                </c:pt>
                <c:pt idx="54">
                  <c:v>signal</c:v>
                </c:pt>
                <c:pt idx="55">
                  <c:v>signal</c:v>
                </c:pt>
                <c:pt idx="56">
                  <c:v>signal</c:v>
                </c:pt>
                <c:pt idx="57">
                  <c:v>signal</c:v>
                </c:pt>
                <c:pt idx="58">
                  <c:v>signal</c:v>
                </c:pt>
                <c:pt idx="59">
                  <c:v>signal</c:v>
                </c:pt>
                <c:pt idx="60">
                  <c:v>signal</c:v>
                </c:pt>
                <c:pt idx="61">
                  <c:v>signal</c:v>
                </c:pt>
                <c:pt idx="62">
                  <c:v>signal</c:v>
                </c:pt>
                <c:pt idx="63">
                  <c:v>signal</c:v>
                </c:pt>
                <c:pt idx="64">
                  <c:v>signal</c:v>
                </c:pt>
                <c:pt idx="65">
                  <c:v>signal</c:v>
                </c:pt>
                <c:pt idx="66">
                  <c:v>signal</c:v>
                </c:pt>
                <c:pt idx="67">
                  <c:v>signal</c:v>
                </c:pt>
                <c:pt idx="68">
                  <c:v>signal</c:v>
                </c:pt>
                <c:pt idx="69">
                  <c:v>signal</c:v>
                </c:pt>
                <c:pt idx="70">
                  <c:v>signal</c:v>
                </c:pt>
                <c:pt idx="71">
                  <c:v>signal</c:v>
                </c:pt>
                <c:pt idx="72">
                  <c:v>signal</c:v>
                </c:pt>
                <c:pt idx="73">
                  <c:v>signal</c:v>
                </c:pt>
                <c:pt idx="74">
                  <c:v>signal</c:v>
                </c:pt>
                <c:pt idx="75">
                  <c:v>signal</c:v>
                </c:pt>
                <c:pt idx="76">
                  <c:v>signal</c:v>
                </c:pt>
                <c:pt idx="77">
                  <c:v>signal</c:v>
                </c:pt>
                <c:pt idx="78">
                  <c:v>signal</c:v>
                </c:pt>
                <c:pt idx="79">
                  <c:v>signal</c:v>
                </c:pt>
                <c:pt idx="80">
                  <c:v>signal</c:v>
                </c:pt>
                <c:pt idx="81">
                  <c:v>signal</c:v>
                </c:pt>
                <c:pt idx="82">
                  <c:v>signal</c:v>
                </c:pt>
                <c:pt idx="83">
                  <c:v>signal</c:v>
                </c:pt>
                <c:pt idx="84">
                  <c:v>signal</c:v>
                </c:pt>
                <c:pt idx="85">
                  <c:v>signal</c:v>
                </c:pt>
                <c:pt idx="86">
                  <c:v>signal</c:v>
                </c:pt>
                <c:pt idx="87">
                  <c:v>signal</c:v>
                </c:pt>
                <c:pt idx="88">
                  <c:v>signal</c:v>
                </c:pt>
                <c:pt idx="89">
                  <c:v>signal</c:v>
                </c:pt>
                <c:pt idx="90">
                  <c:v>signal</c:v>
                </c:pt>
                <c:pt idx="91">
                  <c:v>signal</c:v>
                </c:pt>
                <c:pt idx="92">
                  <c:v>signal</c:v>
                </c:pt>
                <c:pt idx="93">
                  <c:v>signal</c:v>
                </c:pt>
                <c:pt idx="94">
                  <c:v>signal</c:v>
                </c:pt>
                <c:pt idx="95">
                  <c:v>signal</c:v>
                </c:pt>
                <c:pt idx="96">
                  <c:v>signal</c:v>
                </c:pt>
                <c:pt idx="97">
                  <c:v>signal</c:v>
                </c:pt>
                <c:pt idx="98">
                  <c:v>signal</c:v>
                </c:pt>
                <c:pt idx="99">
                  <c:v>signal</c:v>
                </c:pt>
                <c:pt idx="100">
                  <c:v>signal</c:v>
                </c:pt>
                <c:pt idx="101">
                  <c:v>signal</c:v>
                </c:pt>
                <c:pt idx="102">
                  <c:v>signal</c:v>
                </c:pt>
                <c:pt idx="103">
                  <c:v>signal</c:v>
                </c:pt>
                <c:pt idx="104">
                  <c:v>signal</c:v>
                </c:pt>
                <c:pt idx="105">
                  <c:v>signal</c:v>
                </c:pt>
                <c:pt idx="106">
                  <c:v>signal</c:v>
                </c:pt>
                <c:pt idx="107">
                  <c:v>signal</c:v>
                </c:pt>
                <c:pt idx="108">
                  <c:v>signal</c:v>
                </c:pt>
                <c:pt idx="109">
                  <c:v>signal</c:v>
                </c:pt>
                <c:pt idx="110">
                  <c:v>signal</c:v>
                </c:pt>
                <c:pt idx="111">
                  <c:v>signal</c:v>
                </c:pt>
                <c:pt idx="112">
                  <c:v>0</c:v>
                </c:pt>
                <c:pt idx="113">
                  <c:v>signal</c:v>
                </c:pt>
                <c:pt idx="114">
                  <c:v>signal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signal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signal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signal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signal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signal</c:v>
                </c:pt>
                <c:pt idx="197">
                  <c:v>signal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signal</c:v>
                </c:pt>
                <c:pt idx="211">
                  <c:v>0</c:v>
                </c:pt>
                <c:pt idx="212">
                  <c:v>signal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signal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signal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signal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signal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signal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signal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strCache>
            </c:strRef>
          </c:xVal>
          <c:yVal>
            <c:numRef>
              <c:f>Analysis!$O$2:$O$903</c:f>
              <c:numCache>
                <c:formatCode>0.00000;[Red]\(0.00000\);\-</c:formatCode>
                <c:ptCount val="902"/>
                <c:pt idx="0">
                  <c:v>208.22538799591561</c:v>
                </c:pt>
                <c:pt idx="1">
                  <c:v>611.57159291379674</c:v>
                </c:pt>
                <c:pt idx="2">
                  <c:v>620.55967232023556</c:v>
                </c:pt>
                <c:pt idx="3">
                  <c:v>965.64378684048665</c:v>
                </c:pt>
                <c:pt idx="4">
                  <c:v>1240.4061424334759</c:v>
                </c:pt>
                <c:pt idx="5">
                  <c:v>1049.8528230938252</c:v>
                </c:pt>
                <c:pt idx="6">
                  <c:v>1124.6473431369825</c:v>
                </c:pt>
                <c:pt idx="7">
                  <c:v>1394.4670556770184</c:v>
                </c:pt>
                <c:pt idx="8">
                  <c:v>1601.2330455078791</c:v>
                </c:pt>
                <c:pt idx="9">
                  <c:v>1538.8456025108035</c:v>
                </c:pt>
                <c:pt idx="10">
                  <c:v>1584.3428354169041</c:v>
                </c:pt>
                <c:pt idx="11">
                  <c:v>1771.1044500611738</c:v>
                </c:pt>
                <c:pt idx="12">
                  <c:v>1776.0606294477782</c:v>
                </c:pt>
                <c:pt idx="13">
                  <c:v>1852.6062210185089</c:v>
                </c:pt>
                <c:pt idx="14">
                  <c:v>1840.5895401592081</c:v>
                </c:pt>
                <c:pt idx="15">
                  <c:v>2125.7805795872396</c:v>
                </c:pt>
                <c:pt idx="16">
                  <c:v>2142.960210125405</c:v>
                </c:pt>
                <c:pt idx="17">
                  <c:v>1996.9823421476794</c:v>
                </c:pt>
                <c:pt idx="18">
                  <c:v>2567.4303378792738</c:v>
                </c:pt>
                <c:pt idx="19">
                  <c:v>2092.6837942448387</c:v>
                </c:pt>
                <c:pt idx="20">
                  <c:v>2856.0454404927227</c:v>
                </c:pt>
                <c:pt idx="21">
                  <c:v>3577.3277333072365</c:v>
                </c:pt>
                <c:pt idx="22">
                  <c:v>4037.0460061766944</c:v>
                </c:pt>
                <c:pt idx="23">
                  <c:v>3906.7464862919451</c:v>
                </c:pt>
                <c:pt idx="24">
                  <c:v>3992.7851009835294</c:v>
                </c:pt>
                <c:pt idx="25">
                  <c:v>3199.9652031232417</c:v>
                </c:pt>
                <c:pt idx="26">
                  <c:v>3112.7628520705875</c:v>
                </c:pt>
                <c:pt idx="27">
                  <c:v>3169.0151612833683</c:v>
                </c:pt>
                <c:pt idx="28">
                  <c:v>2918.2906352536565</c:v>
                </c:pt>
                <c:pt idx="29">
                  <c:v>3022.2005406159656</c:v>
                </c:pt>
                <c:pt idx="30">
                  <c:v>3067.4799062689135</c:v>
                </c:pt>
                <c:pt idx="31">
                  <c:v>3134.2263871172163</c:v>
                </c:pt>
                <c:pt idx="32">
                  <c:v>3095.5985647201687</c:v>
                </c:pt>
                <c:pt idx="33">
                  <c:v>3038.996551814023</c:v>
                </c:pt>
                <c:pt idx="34">
                  <c:v>2478.4281246658002</c:v>
                </c:pt>
                <c:pt idx="35">
                  <c:v>2833.6206698488472</c:v>
                </c:pt>
                <c:pt idx="36">
                  <c:v>2631.9161173906255</c:v>
                </c:pt>
                <c:pt idx="37">
                  <c:v>2682.2552190031224</c:v>
                </c:pt>
                <c:pt idx="38">
                  <c:v>2808.2769217836953</c:v>
                </c:pt>
                <c:pt idx="39">
                  <c:v>2793.845556931406</c:v>
                </c:pt>
                <c:pt idx="40">
                  <c:v>3021.5966767292548</c:v>
                </c:pt>
                <c:pt idx="41">
                  <c:v>3548.3940808045177</c:v>
                </c:pt>
                <c:pt idx="42">
                  <c:v>1318.5298084816377</c:v>
                </c:pt>
                <c:pt idx="43">
                  <c:v>1319.5898511912185</c:v>
                </c:pt>
                <c:pt idx="44">
                  <c:v>1543.6847046179005</c:v>
                </c:pt>
                <c:pt idx="45">
                  <c:v>1853.8095028858029</c:v>
                </c:pt>
                <c:pt idx="46">
                  <c:v>1875.7048807716244</c:v>
                </c:pt>
                <c:pt idx="47">
                  <c:v>1974.0441281335011</c:v>
                </c:pt>
                <c:pt idx="48">
                  <c:v>2360.8368626938773</c:v>
                </c:pt>
                <c:pt idx="49">
                  <c:v>2422.0335076181977</c:v>
                </c:pt>
                <c:pt idx="50">
                  <c:v>1816.7129042219078</c:v>
                </c:pt>
                <c:pt idx="51">
                  <c:v>1772.1784231831855</c:v>
                </c:pt>
                <c:pt idx="52">
                  <c:v>2001.8594728434809</c:v>
                </c:pt>
                <c:pt idx="53">
                  <c:v>2350.9835435393206</c:v>
                </c:pt>
                <c:pt idx="54">
                  <c:v>2666.6860458501465</c:v>
                </c:pt>
                <c:pt idx="55">
                  <c:v>1754.7678215811993</c:v>
                </c:pt>
                <c:pt idx="56">
                  <c:v>1452.8170803425057</c:v>
                </c:pt>
                <c:pt idx="57">
                  <c:v>1775.2609204638823</c:v>
                </c:pt>
                <c:pt idx="58">
                  <c:v>1862.4811124841447</c:v>
                </c:pt>
                <c:pt idx="59">
                  <c:v>1619.0556212999791</c:v>
                </c:pt>
                <c:pt idx="60">
                  <c:v>1411.289095959844</c:v>
                </c:pt>
                <c:pt idx="61">
                  <c:v>1004.1481611566309</c:v>
                </c:pt>
                <c:pt idx="62">
                  <c:v>997.90951646098415</c:v>
                </c:pt>
                <c:pt idx="63">
                  <c:v>1065.5233091531845</c:v>
                </c:pt>
                <c:pt idx="64">
                  <c:v>1339.3899614855031</c:v>
                </c:pt>
                <c:pt idx="65">
                  <c:v>1475.0234689484478</c:v>
                </c:pt>
                <c:pt idx="66">
                  <c:v>1560.2041808953643</c:v>
                </c:pt>
                <c:pt idx="67">
                  <c:v>2115.0663655724752</c:v>
                </c:pt>
                <c:pt idx="68">
                  <c:v>2380.5078458795733</c:v>
                </c:pt>
                <c:pt idx="69">
                  <c:v>2548.1963997362013</c:v>
                </c:pt>
                <c:pt idx="70">
                  <c:v>2880.8148019949076</c:v>
                </c:pt>
                <c:pt idx="71">
                  <c:v>3110.9138731809667</c:v>
                </c:pt>
                <c:pt idx="72">
                  <c:v>3421.6724313599962</c:v>
                </c:pt>
                <c:pt idx="73">
                  <c:v>3511.5425096673484</c:v>
                </c:pt>
                <c:pt idx="74">
                  <c:v>3656.9614592462317</c:v>
                </c:pt>
                <c:pt idx="75">
                  <c:v>3787.6010424206834</c:v>
                </c:pt>
                <c:pt idx="76">
                  <c:v>3583.9302092043204</c:v>
                </c:pt>
                <c:pt idx="77">
                  <c:v>3705.1930060279556</c:v>
                </c:pt>
                <c:pt idx="78">
                  <c:v>4041.6658539332125</c:v>
                </c:pt>
                <c:pt idx="79">
                  <c:v>4302.7760293797619</c:v>
                </c:pt>
                <c:pt idx="80">
                  <c:v>4451.7530727517005</c:v>
                </c:pt>
                <c:pt idx="81">
                  <c:v>4496.0206146309756</c:v>
                </c:pt>
                <c:pt idx="82">
                  <c:v>4251.8720566328175</c:v>
                </c:pt>
                <c:pt idx="83">
                  <c:v>4573.1530988941786</c:v>
                </c:pt>
                <c:pt idx="84">
                  <c:v>3908.8290811029756</c:v>
                </c:pt>
                <c:pt idx="85">
                  <c:v>3506.1279015519067</c:v>
                </c:pt>
                <c:pt idx="86">
                  <c:v>3490.2962460894564</c:v>
                </c:pt>
                <c:pt idx="87">
                  <c:v>3720.6130175140647</c:v>
                </c:pt>
                <c:pt idx="88">
                  <c:v>3795.9294999563913</c:v>
                </c:pt>
                <c:pt idx="89">
                  <c:v>4025.8633482876576</c:v>
                </c:pt>
                <c:pt idx="90">
                  <c:v>4397.7051559924957</c:v>
                </c:pt>
                <c:pt idx="91">
                  <c:v>4671.6686053655994</c:v>
                </c:pt>
                <c:pt idx="92">
                  <c:v>4350.2180349961018</c:v>
                </c:pt>
                <c:pt idx="93">
                  <c:v>4567.0644715232665</c:v>
                </c:pt>
                <c:pt idx="94">
                  <c:v>4703.9084802352936</c:v>
                </c:pt>
                <c:pt idx="95">
                  <c:v>4764.8805313549583</c:v>
                </c:pt>
                <c:pt idx="96">
                  <c:v>5130.4503552944961</c:v>
                </c:pt>
                <c:pt idx="97">
                  <c:v>5171.8293027169284</c:v>
                </c:pt>
                <c:pt idx="98">
                  <c:v>5560.1037842816841</c:v>
                </c:pt>
                <c:pt idx="99">
                  <c:v>6437.1837805605082</c:v>
                </c:pt>
                <c:pt idx="100">
                  <c:v>6642.6415400881997</c:v>
                </c:pt>
                <c:pt idx="101">
                  <c:v>6808.683217200678</c:v>
                </c:pt>
                <c:pt idx="102">
                  <c:v>6798.5385830450214</c:v>
                </c:pt>
                <c:pt idx="103">
                  <c:v>6695.7121674245973</c:v>
                </c:pt>
                <c:pt idx="104">
                  <c:v>6809.6763090430359</c:v>
                </c:pt>
                <c:pt idx="105">
                  <c:v>6858.4953301154155</c:v>
                </c:pt>
                <c:pt idx="106">
                  <c:v>6852.912956380681</c:v>
                </c:pt>
                <c:pt idx="107">
                  <c:v>6813.6991760883975</c:v>
                </c:pt>
                <c:pt idx="108">
                  <c:v>7079.2999070123242</c:v>
                </c:pt>
                <c:pt idx="109">
                  <c:v>7013.3036287528203</c:v>
                </c:pt>
                <c:pt idx="110">
                  <c:v>7138.2824110258352</c:v>
                </c:pt>
                <c:pt idx="111">
                  <c:v>7447.7127960071621</c:v>
                </c:pt>
                <c:pt idx="112">
                  <c:v>7447.7127960071621</c:v>
                </c:pt>
                <c:pt idx="113">
                  <c:v>7161.286179446568</c:v>
                </c:pt>
                <c:pt idx="114">
                  <c:v>7590.2461604788741</c:v>
                </c:pt>
                <c:pt idx="115">
                  <c:v>7590.2461604788741</c:v>
                </c:pt>
                <c:pt idx="116">
                  <c:v>7590.2461604788741</c:v>
                </c:pt>
                <c:pt idx="117">
                  <c:v>7590.2461604788741</c:v>
                </c:pt>
                <c:pt idx="118">
                  <c:v>7590.2461604788741</c:v>
                </c:pt>
                <c:pt idx="119">
                  <c:v>7590.2461604788741</c:v>
                </c:pt>
                <c:pt idx="120">
                  <c:v>7590.2461604788741</c:v>
                </c:pt>
                <c:pt idx="121">
                  <c:v>7590.2461604788741</c:v>
                </c:pt>
                <c:pt idx="122">
                  <c:v>7590.2461604788741</c:v>
                </c:pt>
                <c:pt idx="123">
                  <c:v>7590.2461604788741</c:v>
                </c:pt>
                <c:pt idx="124">
                  <c:v>7590.2461604788741</c:v>
                </c:pt>
                <c:pt idx="125">
                  <c:v>7590.2461604788741</c:v>
                </c:pt>
                <c:pt idx="126">
                  <c:v>7590.2461604788741</c:v>
                </c:pt>
                <c:pt idx="127">
                  <c:v>7590.2461604788741</c:v>
                </c:pt>
                <c:pt idx="128">
                  <c:v>7590.2461604788741</c:v>
                </c:pt>
                <c:pt idx="129">
                  <c:v>7590.2461604788741</c:v>
                </c:pt>
                <c:pt idx="130">
                  <c:v>7590.2461604788741</c:v>
                </c:pt>
                <c:pt idx="131">
                  <c:v>7590.2461604788741</c:v>
                </c:pt>
                <c:pt idx="132">
                  <c:v>7590.2461604788741</c:v>
                </c:pt>
                <c:pt idx="133">
                  <c:v>7590.2461604788741</c:v>
                </c:pt>
                <c:pt idx="134">
                  <c:v>7590.2461604788741</c:v>
                </c:pt>
                <c:pt idx="135">
                  <c:v>7590.2461604788741</c:v>
                </c:pt>
                <c:pt idx="136">
                  <c:v>7590.2461604788741</c:v>
                </c:pt>
                <c:pt idx="137">
                  <c:v>7590.2461604788741</c:v>
                </c:pt>
                <c:pt idx="138">
                  <c:v>8145.660651114451</c:v>
                </c:pt>
                <c:pt idx="139">
                  <c:v>8145.660651114451</c:v>
                </c:pt>
                <c:pt idx="140">
                  <c:v>8145.660651114451</c:v>
                </c:pt>
                <c:pt idx="141">
                  <c:v>8145.660651114451</c:v>
                </c:pt>
                <c:pt idx="142">
                  <c:v>8145.660651114451</c:v>
                </c:pt>
                <c:pt idx="143">
                  <c:v>8145.660651114451</c:v>
                </c:pt>
                <c:pt idx="144">
                  <c:v>8145.660651114451</c:v>
                </c:pt>
                <c:pt idx="145">
                  <c:v>8145.660651114451</c:v>
                </c:pt>
                <c:pt idx="146">
                  <c:v>8145.660651114451</c:v>
                </c:pt>
                <c:pt idx="147">
                  <c:v>8145.660651114451</c:v>
                </c:pt>
                <c:pt idx="148">
                  <c:v>8145.660651114451</c:v>
                </c:pt>
                <c:pt idx="149">
                  <c:v>8145.660651114451</c:v>
                </c:pt>
                <c:pt idx="150">
                  <c:v>8145.660651114451</c:v>
                </c:pt>
                <c:pt idx="151">
                  <c:v>8145.660651114451</c:v>
                </c:pt>
                <c:pt idx="152">
                  <c:v>8145.660651114451</c:v>
                </c:pt>
                <c:pt idx="153">
                  <c:v>8145.660651114451</c:v>
                </c:pt>
                <c:pt idx="154">
                  <c:v>8145.660651114451</c:v>
                </c:pt>
                <c:pt idx="155">
                  <c:v>8145.660651114451</c:v>
                </c:pt>
                <c:pt idx="156">
                  <c:v>8145.660651114451</c:v>
                </c:pt>
                <c:pt idx="157">
                  <c:v>8145.660651114451</c:v>
                </c:pt>
                <c:pt idx="158">
                  <c:v>7917.5027619460425</c:v>
                </c:pt>
                <c:pt idx="159">
                  <c:v>7917.5027619460425</c:v>
                </c:pt>
                <c:pt idx="160">
                  <c:v>7917.5027619460425</c:v>
                </c:pt>
                <c:pt idx="161">
                  <c:v>7917.5027619460425</c:v>
                </c:pt>
                <c:pt idx="162">
                  <c:v>7917.5027619460425</c:v>
                </c:pt>
                <c:pt idx="163">
                  <c:v>7925.793038531925</c:v>
                </c:pt>
                <c:pt idx="164">
                  <c:v>7925.793038531925</c:v>
                </c:pt>
                <c:pt idx="165">
                  <c:v>7925.793038531925</c:v>
                </c:pt>
                <c:pt idx="166">
                  <c:v>7925.793038531925</c:v>
                </c:pt>
                <c:pt idx="167">
                  <c:v>7925.793038531925</c:v>
                </c:pt>
                <c:pt idx="168">
                  <c:v>7925.793038531925</c:v>
                </c:pt>
                <c:pt idx="169">
                  <c:v>7925.793038531925</c:v>
                </c:pt>
                <c:pt idx="170">
                  <c:v>7925.793038531925</c:v>
                </c:pt>
                <c:pt idx="171">
                  <c:v>7754.5109698841206</c:v>
                </c:pt>
                <c:pt idx="172">
                  <c:v>7754.5109698841206</c:v>
                </c:pt>
                <c:pt idx="173">
                  <c:v>7754.5109698841206</c:v>
                </c:pt>
                <c:pt idx="174">
                  <c:v>7754.5109698841206</c:v>
                </c:pt>
                <c:pt idx="175">
                  <c:v>7754.5109698841206</c:v>
                </c:pt>
                <c:pt idx="176">
                  <c:v>7754.5109698841206</c:v>
                </c:pt>
                <c:pt idx="177">
                  <c:v>7754.5109698841206</c:v>
                </c:pt>
                <c:pt idx="178">
                  <c:v>7754.5109698841206</c:v>
                </c:pt>
                <c:pt idx="179">
                  <c:v>7754.5109698841206</c:v>
                </c:pt>
                <c:pt idx="180">
                  <c:v>7754.5109698841206</c:v>
                </c:pt>
                <c:pt idx="181">
                  <c:v>7754.5109698841206</c:v>
                </c:pt>
                <c:pt idx="182">
                  <c:v>7754.5109698841206</c:v>
                </c:pt>
                <c:pt idx="183">
                  <c:v>7754.5109698841206</c:v>
                </c:pt>
                <c:pt idx="184">
                  <c:v>7754.5109698841206</c:v>
                </c:pt>
                <c:pt idx="185">
                  <c:v>7754.5109698841206</c:v>
                </c:pt>
                <c:pt idx="186">
                  <c:v>7754.5109698841206</c:v>
                </c:pt>
                <c:pt idx="187">
                  <c:v>7754.5109698841206</c:v>
                </c:pt>
                <c:pt idx="188">
                  <c:v>7754.5109698841206</c:v>
                </c:pt>
                <c:pt idx="189">
                  <c:v>7754.5109698841206</c:v>
                </c:pt>
                <c:pt idx="190">
                  <c:v>7754.5109698841206</c:v>
                </c:pt>
                <c:pt idx="191">
                  <c:v>7754.5109698841206</c:v>
                </c:pt>
                <c:pt idx="192">
                  <c:v>7754.5109698841206</c:v>
                </c:pt>
                <c:pt idx="193">
                  <c:v>7754.5109698841206</c:v>
                </c:pt>
                <c:pt idx="194">
                  <c:v>7754.5109698841206</c:v>
                </c:pt>
                <c:pt idx="195">
                  <c:v>7754.5109698841206</c:v>
                </c:pt>
                <c:pt idx="196">
                  <c:v>7511.8210796692138</c:v>
                </c:pt>
                <c:pt idx="197">
                  <c:v>6818.3442760601938</c:v>
                </c:pt>
                <c:pt idx="198">
                  <c:v>6818.3442760601938</c:v>
                </c:pt>
                <c:pt idx="199">
                  <c:v>6818.3442760601938</c:v>
                </c:pt>
                <c:pt idx="200">
                  <c:v>6818.3442760601938</c:v>
                </c:pt>
                <c:pt idx="201">
                  <c:v>6818.3442760601938</c:v>
                </c:pt>
                <c:pt idx="202">
                  <c:v>6818.3442760601938</c:v>
                </c:pt>
                <c:pt idx="203">
                  <c:v>6818.3442760601938</c:v>
                </c:pt>
                <c:pt idx="204">
                  <c:v>6818.3442760601938</c:v>
                </c:pt>
                <c:pt idx="205">
                  <c:v>6818.3442760601938</c:v>
                </c:pt>
                <c:pt idx="206">
                  <c:v>6818.3442760601938</c:v>
                </c:pt>
                <c:pt idx="207">
                  <c:v>6818.3442760601938</c:v>
                </c:pt>
                <c:pt idx="208">
                  <c:v>6818.3442760601938</c:v>
                </c:pt>
                <c:pt idx="209">
                  <c:v>6818.3442760601938</c:v>
                </c:pt>
                <c:pt idx="210">
                  <c:v>6702.1659726135822</c:v>
                </c:pt>
                <c:pt idx="211">
                  <c:v>6702.1659726135822</c:v>
                </c:pt>
                <c:pt idx="212">
                  <c:v>6537.0393473971426</c:v>
                </c:pt>
                <c:pt idx="213">
                  <c:v>6537.0393473971426</c:v>
                </c:pt>
                <c:pt idx="214">
                  <c:v>6537.0393473971426</c:v>
                </c:pt>
                <c:pt idx="215">
                  <c:v>6537.0393473971426</c:v>
                </c:pt>
                <c:pt idx="216">
                  <c:v>6537.0393473971426</c:v>
                </c:pt>
                <c:pt idx="217">
                  <c:v>6537.0393473971426</c:v>
                </c:pt>
                <c:pt idx="218">
                  <c:v>6537.0393473971426</c:v>
                </c:pt>
                <c:pt idx="219">
                  <c:v>6537.0393473971426</c:v>
                </c:pt>
                <c:pt idx="220">
                  <c:v>6537.0393473971426</c:v>
                </c:pt>
                <c:pt idx="221">
                  <c:v>6537.0393473971426</c:v>
                </c:pt>
                <c:pt idx="222">
                  <c:v>6537.0393473971426</c:v>
                </c:pt>
                <c:pt idx="223">
                  <c:v>6537.0393473971426</c:v>
                </c:pt>
                <c:pt idx="224">
                  <c:v>6537.0393473971426</c:v>
                </c:pt>
                <c:pt idx="225">
                  <c:v>6537.0393473971426</c:v>
                </c:pt>
                <c:pt idx="226">
                  <c:v>6537.0393473971426</c:v>
                </c:pt>
                <c:pt idx="227">
                  <c:v>6537.0393473971426</c:v>
                </c:pt>
                <c:pt idx="228">
                  <c:v>6537.0393473971426</c:v>
                </c:pt>
                <c:pt idx="229">
                  <c:v>6537.0393473971426</c:v>
                </c:pt>
                <c:pt idx="230">
                  <c:v>6537.0393473971426</c:v>
                </c:pt>
                <c:pt idx="231">
                  <c:v>6537.0393473971426</c:v>
                </c:pt>
                <c:pt idx="232">
                  <c:v>6537.0393473971426</c:v>
                </c:pt>
                <c:pt idx="233">
                  <c:v>6537.0393473971426</c:v>
                </c:pt>
                <c:pt idx="234">
                  <c:v>6537.0393473971426</c:v>
                </c:pt>
                <c:pt idx="235">
                  <c:v>6537.0393473971426</c:v>
                </c:pt>
                <c:pt idx="236">
                  <c:v>6537.0393473971426</c:v>
                </c:pt>
                <c:pt idx="237">
                  <c:v>6537.0393473971426</c:v>
                </c:pt>
                <c:pt idx="238">
                  <c:v>6537.0393473971426</c:v>
                </c:pt>
                <c:pt idx="239">
                  <c:v>6537.0393473971426</c:v>
                </c:pt>
                <c:pt idx="240">
                  <c:v>6537.0393473971426</c:v>
                </c:pt>
                <c:pt idx="241">
                  <c:v>6537.0393473971426</c:v>
                </c:pt>
                <c:pt idx="242">
                  <c:v>6537.0393473971426</c:v>
                </c:pt>
                <c:pt idx="243">
                  <c:v>6537.0393473971426</c:v>
                </c:pt>
                <c:pt idx="244">
                  <c:v>6656.6619720812587</c:v>
                </c:pt>
                <c:pt idx="245">
                  <c:v>6656.6619720812587</c:v>
                </c:pt>
                <c:pt idx="246">
                  <c:v>6656.6619720812587</c:v>
                </c:pt>
                <c:pt idx="247">
                  <c:v>6656.6619720812587</c:v>
                </c:pt>
                <c:pt idx="248">
                  <c:v>7202.1547941459639</c:v>
                </c:pt>
                <c:pt idx="249">
                  <c:v>7202.1547941459639</c:v>
                </c:pt>
                <c:pt idx="250">
                  <c:v>7202.1547941459639</c:v>
                </c:pt>
                <c:pt idx="251">
                  <c:v>7202.1547941459639</c:v>
                </c:pt>
                <c:pt idx="252">
                  <c:v>7202.1547941459639</c:v>
                </c:pt>
                <c:pt idx="253">
                  <c:v>7202.1547941459639</c:v>
                </c:pt>
                <c:pt idx="254">
                  <c:v>7202.1547941459639</c:v>
                </c:pt>
                <c:pt idx="255">
                  <c:v>7202.1547941459639</c:v>
                </c:pt>
                <c:pt idx="256">
                  <c:v>7202.1547941459639</c:v>
                </c:pt>
                <c:pt idx="257">
                  <c:v>7202.1547941459639</c:v>
                </c:pt>
                <c:pt idx="258">
                  <c:v>7202.1547941459639</c:v>
                </c:pt>
                <c:pt idx="259">
                  <c:v>7202.1547941459639</c:v>
                </c:pt>
                <c:pt idx="260">
                  <c:v>7202.1547941459639</c:v>
                </c:pt>
                <c:pt idx="261">
                  <c:v>7202.1547941459639</c:v>
                </c:pt>
                <c:pt idx="262">
                  <c:v>7202.1547941459639</c:v>
                </c:pt>
                <c:pt idx="263">
                  <c:v>7202.1547941459639</c:v>
                </c:pt>
                <c:pt idx="264">
                  <c:v>7202.1547941459639</c:v>
                </c:pt>
                <c:pt idx="265">
                  <c:v>7202.1547941459639</c:v>
                </c:pt>
                <c:pt idx="266">
                  <c:v>6396.1479268067396</c:v>
                </c:pt>
                <c:pt idx="267">
                  <c:v>6396.1479268067396</c:v>
                </c:pt>
                <c:pt idx="268">
                  <c:v>6396.1479268067396</c:v>
                </c:pt>
                <c:pt idx="269">
                  <c:v>6396.1479268067396</c:v>
                </c:pt>
                <c:pt idx="270">
                  <c:v>6396.1479268067396</c:v>
                </c:pt>
                <c:pt idx="271">
                  <c:v>6396.1479268067396</c:v>
                </c:pt>
                <c:pt idx="272">
                  <c:v>5952.0115164342906</c:v>
                </c:pt>
                <c:pt idx="273">
                  <c:v>5952.0115164342906</c:v>
                </c:pt>
                <c:pt idx="274">
                  <c:v>5952.0115164342906</c:v>
                </c:pt>
                <c:pt idx="275">
                  <c:v>5952.0115164342906</c:v>
                </c:pt>
                <c:pt idx="276">
                  <c:v>5952.0115164342906</c:v>
                </c:pt>
                <c:pt idx="277">
                  <c:v>5952.0115164342906</c:v>
                </c:pt>
                <c:pt idx="278">
                  <c:v>5952.0115164342906</c:v>
                </c:pt>
                <c:pt idx="279">
                  <c:v>5952.0115164342906</c:v>
                </c:pt>
                <c:pt idx="280">
                  <c:v>5952.0115164342906</c:v>
                </c:pt>
                <c:pt idx="281">
                  <c:v>5952.0115164342906</c:v>
                </c:pt>
                <c:pt idx="282">
                  <c:v>5952.0115164342906</c:v>
                </c:pt>
                <c:pt idx="283">
                  <c:v>5952.0115164342906</c:v>
                </c:pt>
                <c:pt idx="284">
                  <c:v>5952.0115164342906</c:v>
                </c:pt>
                <c:pt idx="285">
                  <c:v>5952.0115164342906</c:v>
                </c:pt>
                <c:pt idx="286">
                  <c:v>5952.0115164342906</c:v>
                </c:pt>
                <c:pt idx="287">
                  <c:v>5952.0115164342906</c:v>
                </c:pt>
                <c:pt idx="288">
                  <c:v>5952.0115164342906</c:v>
                </c:pt>
                <c:pt idx="289">
                  <c:v>5952.0115164342906</c:v>
                </c:pt>
                <c:pt idx="290">
                  <c:v>5952.0115164342906</c:v>
                </c:pt>
                <c:pt idx="291">
                  <c:v>5952.0115164342906</c:v>
                </c:pt>
                <c:pt idx="292">
                  <c:v>5952.0115164342906</c:v>
                </c:pt>
                <c:pt idx="293">
                  <c:v>5952.0115164342906</c:v>
                </c:pt>
                <c:pt idx="294">
                  <c:v>5952.0115164342906</c:v>
                </c:pt>
                <c:pt idx="295">
                  <c:v>5952.0115164342906</c:v>
                </c:pt>
                <c:pt idx="296">
                  <c:v>5952.0115164342906</c:v>
                </c:pt>
                <c:pt idx="297">
                  <c:v>5952.0115164342906</c:v>
                </c:pt>
                <c:pt idx="298">
                  <c:v>5952.0115164342906</c:v>
                </c:pt>
                <c:pt idx="299">
                  <c:v>5952.0115164342906</c:v>
                </c:pt>
                <c:pt idx="300">
                  <c:v>5952.0115164342906</c:v>
                </c:pt>
                <c:pt idx="301">
                  <c:v>5952.0115164342906</c:v>
                </c:pt>
                <c:pt idx="302">
                  <c:v>5952.0115164342906</c:v>
                </c:pt>
                <c:pt idx="303">
                  <c:v>5952.0115164342906</c:v>
                </c:pt>
                <c:pt idx="304">
                  <c:v>5952.0115164342906</c:v>
                </c:pt>
                <c:pt idx="305">
                  <c:v>5952.0115164342906</c:v>
                </c:pt>
                <c:pt idx="306">
                  <c:v>5952.0115164342906</c:v>
                </c:pt>
                <c:pt idx="307">
                  <c:v>5952.0115164342906</c:v>
                </c:pt>
                <c:pt idx="308">
                  <c:v>5952.0115164342906</c:v>
                </c:pt>
                <c:pt idx="309">
                  <c:v>5952.0115164342906</c:v>
                </c:pt>
                <c:pt idx="310">
                  <c:v>5952.0115164342906</c:v>
                </c:pt>
                <c:pt idx="311">
                  <c:v>5952.0115164342906</c:v>
                </c:pt>
                <c:pt idx="312">
                  <c:v>5952.0115164342906</c:v>
                </c:pt>
                <c:pt idx="313">
                  <c:v>5952.0115164342906</c:v>
                </c:pt>
                <c:pt idx="314">
                  <c:v>5952.0115164342906</c:v>
                </c:pt>
                <c:pt idx="315">
                  <c:v>5952.0115164342906</c:v>
                </c:pt>
                <c:pt idx="316">
                  <c:v>5952.0115164342906</c:v>
                </c:pt>
                <c:pt idx="317">
                  <c:v>5952.0115164342906</c:v>
                </c:pt>
                <c:pt idx="318">
                  <c:v>5952.0115164342906</c:v>
                </c:pt>
                <c:pt idx="319">
                  <c:v>5952.0115164342906</c:v>
                </c:pt>
                <c:pt idx="320">
                  <c:v>5952.0115164342906</c:v>
                </c:pt>
                <c:pt idx="321">
                  <c:v>5952.0115164342906</c:v>
                </c:pt>
                <c:pt idx="322">
                  <c:v>5952.0115164342906</c:v>
                </c:pt>
                <c:pt idx="323">
                  <c:v>5952.0115164342906</c:v>
                </c:pt>
                <c:pt idx="324">
                  <c:v>5952.0115164342906</c:v>
                </c:pt>
                <c:pt idx="325">
                  <c:v>5952.0115164342906</c:v>
                </c:pt>
                <c:pt idx="326">
                  <c:v>5952.0115164342906</c:v>
                </c:pt>
                <c:pt idx="327">
                  <c:v>5952.0115164342906</c:v>
                </c:pt>
                <c:pt idx="328">
                  <c:v>5952.0115164342906</c:v>
                </c:pt>
                <c:pt idx="329">
                  <c:v>6036.1935072209162</c:v>
                </c:pt>
                <c:pt idx="330">
                  <c:v>6036.1935072209162</c:v>
                </c:pt>
                <c:pt idx="331">
                  <c:v>6036.1935072209162</c:v>
                </c:pt>
                <c:pt idx="332">
                  <c:v>6036.1935072209162</c:v>
                </c:pt>
                <c:pt idx="333">
                  <c:v>6036.1935072209162</c:v>
                </c:pt>
                <c:pt idx="334">
                  <c:v>6036.1935072209162</c:v>
                </c:pt>
                <c:pt idx="335">
                  <c:v>6036.1935072209162</c:v>
                </c:pt>
                <c:pt idx="336">
                  <c:v>6036.1935072209162</c:v>
                </c:pt>
                <c:pt idx="337">
                  <c:v>6036.1935072209162</c:v>
                </c:pt>
                <c:pt idx="338">
                  <c:v>6622.2355933590607</c:v>
                </c:pt>
                <c:pt idx="339">
                  <c:v>6622.2355933590607</c:v>
                </c:pt>
                <c:pt idx="340">
                  <c:v>6622.2355933590607</c:v>
                </c:pt>
                <c:pt idx="341">
                  <c:v>6622.2355933590607</c:v>
                </c:pt>
                <c:pt idx="342">
                  <c:v>6622.2355933590607</c:v>
                </c:pt>
                <c:pt idx="343">
                  <c:v>6622.2355933590607</c:v>
                </c:pt>
                <c:pt idx="344">
                  <c:v>6622.2355933590607</c:v>
                </c:pt>
                <c:pt idx="345">
                  <c:v>6622.2355933590607</c:v>
                </c:pt>
                <c:pt idx="346">
                  <c:v>6622.2355933590607</c:v>
                </c:pt>
                <c:pt idx="347">
                  <c:v>6622.2355933590607</c:v>
                </c:pt>
                <c:pt idx="348">
                  <c:v>6622.2355933590607</c:v>
                </c:pt>
                <c:pt idx="349">
                  <c:v>6622.2355933590607</c:v>
                </c:pt>
                <c:pt idx="350">
                  <c:v>6622.2355933590607</c:v>
                </c:pt>
                <c:pt idx="351">
                  <c:v>6622.2355933590607</c:v>
                </c:pt>
                <c:pt idx="352">
                  <c:v>6622.2355933590607</c:v>
                </c:pt>
                <c:pt idx="353">
                  <c:v>6622.2355933590607</c:v>
                </c:pt>
                <c:pt idx="354">
                  <c:v>6622.2355933590607</c:v>
                </c:pt>
                <c:pt idx="355">
                  <c:v>6622.2355933590607</c:v>
                </c:pt>
                <c:pt idx="356">
                  <c:v>6622.2355933590607</c:v>
                </c:pt>
                <c:pt idx="357">
                  <c:v>6622.2355933590607</c:v>
                </c:pt>
                <c:pt idx="358">
                  <c:v>6622.2355933590607</c:v>
                </c:pt>
                <c:pt idx="359">
                  <c:v>6622.2355933590607</c:v>
                </c:pt>
                <c:pt idx="360">
                  <c:v>6622.2355933590607</c:v>
                </c:pt>
                <c:pt idx="361">
                  <c:v>6622.2355933590607</c:v>
                </c:pt>
                <c:pt idx="362">
                  <c:v>6622.2355933590607</c:v>
                </c:pt>
                <c:pt idx="363">
                  <c:v>6622.2355933590607</c:v>
                </c:pt>
                <c:pt idx="364">
                  <c:v>6622.2355933590607</c:v>
                </c:pt>
                <c:pt idx="365">
                  <c:v>6622.2355933590607</c:v>
                </c:pt>
                <c:pt idx="366">
                  <c:v>6622.2355933590607</c:v>
                </c:pt>
                <c:pt idx="367">
                  <c:v>6622.2355933590607</c:v>
                </c:pt>
                <c:pt idx="368">
                  <c:v>6622.2355933590607</c:v>
                </c:pt>
                <c:pt idx="369">
                  <c:v>6622.2355933590607</c:v>
                </c:pt>
                <c:pt idx="370">
                  <c:v>6622.2355933590607</c:v>
                </c:pt>
                <c:pt idx="371">
                  <c:v>6622.2355933590607</c:v>
                </c:pt>
                <c:pt idx="372">
                  <c:v>6622.2355933590607</c:v>
                </c:pt>
                <c:pt idx="373">
                  <c:v>6622.2355933590607</c:v>
                </c:pt>
                <c:pt idx="374">
                  <c:v>6622.2355933590607</c:v>
                </c:pt>
                <c:pt idx="375">
                  <c:v>6622.2355933590607</c:v>
                </c:pt>
                <c:pt idx="376">
                  <c:v>6622.2355933590607</c:v>
                </c:pt>
                <c:pt idx="377">
                  <c:v>6622.2355933590607</c:v>
                </c:pt>
                <c:pt idx="378">
                  <c:v>6622.2355933590607</c:v>
                </c:pt>
                <c:pt idx="379">
                  <c:v>6622.2355933590607</c:v>
                </c:pt>
                <c:pt idx="380">
                  <c:v>6622.2355933590607</c:v>
                </c:pt>
                <c:pt idx="381">
                  <c:v>6622.2355933590607</c:v>
                </c:pt>
                <c:pt idx="382">
                  <c:v>6622.2355933590607</c:v>
                </c:pt>
                <c:pt idx="383">
                  <c:v>6622.2355933590607</c:v>
                </c:pt>
                <c:pt idx="384">
                  <c:v>6622.2355933590607</c:v>
                </c:pt>
                <c:pt idx="385">
                  <c:v>6622.2355933590607</c:v>
                </c:pt>
                <c:pt idx="386">
                  <c:v>6622.2355933590607</c:v>
                </c:pt>
                <c:pt idx="387">
                  <c:v>6622.2355933590607</c:v>
                </c:pt>
                <c:pt idx="388">
                  <c:v>6622.2355933590607</c:v>
                </c:pt>
                <c:pt idx="389">
                  <c:v>6622.2355933590607</c:v>
                </c:pt>
                <c:pt idx="390">
                  <c:v>6622.2355933590607</c:v>
                </c:pt>
                <c:pt idx="391">
                  <c:v>6622.2355933590607</c:v>
                </c:pt>
                <c:pt idx="392">
                  <c:v>6622.2355933590607</c:v>
                </c:pt>
                <c:pt idx="393">
                  <c:v>6622.2355933590607</c:v>
                </c:pt>
                <c:pt idx="394">
                  <c:v>6622.2355933590607</c:v>
                </c:pt>
                <c:pt idx="395">
                  <c:v>6622.2355933590607</c:v>
                </c:pt>
                <c:pt idx="396">
                  <c:v>6622.2355933590607</c:v>
                </c:pt>
                <c:pt idx="397">
                  <c:v>6622.2355933590607</c:v>
                </c:pt>
                <c:pt idx="398">
                  <c:v>6622.2355933590607</c:v>
                </c:pt>
                <c:pt idx="399">
                  <c:v>6622.2355933590607</c:v>
                </c:pt>
                <c:pt idx="400">
                  <c:v>6622.2355933590607</c:v>
                </c:pt>
                <c:pt idx="401">
                  <c:v>6622.2355933590607</c:v>
                </c:pt>
                <c:pt idx="402">
                  <c:v>6622.2355933590607</c:v>
                </c:pt>
                <c:pt idx="403">
                  <c:v>6622.2355933590607</c:v>
                </c:pt>
                <c:pt idx="404">
                  <c:v>6622.2355933590607</c:v>
                </c:pt>
                <c:pt idx="405">
                  <c:v>6622.2355933590607</c:v>
                </c:pt>
                <c:pt idx="406">
                  <c:v>6622.2355933590607</c:v>
                </c:pt>
                <c:pt idx="407">
                  <c:v>6622.2355933590607</c:v>
                </c:pt>
                <c:pt idx="408">
                  <c:v>6622.2355933590607</c:v>
                </c:pt>
                <c:pt idx="409">
                  <c:v>6622.2355933590607</c:v>
                </c:pt>
                <c:pt idx="410">
                  <c:v>6622.2355933590607</c:v>
                </c:pt>
                <c:pt idx="411">
                  <c:v>6622.2355933590607</c:v>
                </c:pt>
                <c:pt idx="412">
                  <c:v>6622.2355933590607</c:v>
                </c:pt>
                <c:pt idx="413">
                  <c:v>6622.2355933590607</c:v>
                </c:pt>
                <c:pt idx="414">
                  <c:v>6622.2355933590607</c:v>
                </c:pt>
                <c:pt idx="415">
                  <c:v>6622.2355933590607</c:v>
                </c:pt>
                <c:pt idx="416">
                  <c:v>6622.2355933590607</c:v>
                </c:pt>
                <c:pt idx="417">
                  <c:v>6622.2355933590607</c:v>
                </c:pt>
                <c:pt idx="418">
                  <c:v>6622.2355933590607</c:v>
                </c:pt>
                <c:pt idx="419">
                  <c:v>6622.2355933590607</c:v>
                </c:pt>
                <c:pt idx="420">
                  <c:v>6622.2355933590607</c:v>
                </c:pt>
                <c:pt idx="421">
                  <c:v>6622.2355933590607</c:v>
                </c:pt>
                <c:pt idx="422">
                  <c:v>6622.2355933590607</c:v>
                </c:pt>
                <c:pt idx="423">
                  <c:v>6622.2355933590607</c:v>
                </c:pt>
                <c:pt idx="424">
                  <c:v>6622.2355933590607</c:v>
                </c:pt>
                <c:pt idx="425">
                  <c:v>6622.2355933590607</c:v>
                </c:pt>
                <c:pt idx="426">
                  <c:v>6622.2355933590607</c:v>
                </c:pt>
                <c:pt idx="427">
                  <c:v>6622.2355933590607</c:v>
                </c:pt>
                <c:pt idx="428">
                  <c:v>6622.2355933590607</c:v>
                </c:pt>
                <c:pt idx="429">
                  <c:v>6622.2355933590607</c:v>
                </c:pt>
                <c:pt idx="430">
                  <c:v>6622.2355933590607</c:v>
                </c:pt>
                <c:pt idx="431">
                  <c:v>6622.2355933590607</c:v>
                </c:pt>
                <c:pt idx="432">
                  <c:v>6622.2355933590607</c:v>
                </c:pt>
                <c:pt idx="433">
                  <c:v>6622.2355933590607</c:v>
                </c:pt>
                <c:pt idx="434">
                  <c:v>6622.2355933590607</c:v>
                </c:pt>
                <c:pt idx="435">
                  <c:v>6622.2355933590607</c:v>
                </c:pt>
                <c:pt idx="436">
                  <c:v>6622.2355933590607</c:v>
                </c:pt>
                <c:pt idx="437">
                  <c:v>6622.2355933590607</c:v>
                </c:pt>
                <c:pt idx="438">
                  <c:v>6622.2355933590607</c:v>
                </c:pt>
                <c:pt idx="439">
                  <c:v>6622.2355933590607</c:v>
                </c:pt>
                <c:pt idx="440">
                  <c:v>6622.2355933590607</c:v>
                </c:pt>
                <c:pt idx="441">
                  <c:v>6622.2355933590607</c:v>
                </c:pt>
                <c:pt idx="442">
                  <c:v>6622.2355933590607</c:v>
                </c:pt>
                <c:pt idx="443">
                  <c:v>6622.2355933590607</c:v>
                </c:pt>
                <c:pt idx="444">
                  <c:v>6622.2355933590607</c:v>
                </c:pt>
                <c:pt idx="445">
                  <c:v>6622.2355933590607</c:v>
                </c:pt>
                <c:pt idx="446">
                  <c:v>6622.2355933590607</c:v>
                </c:pt>
                <c:pt idx="447">
                  <c:v>6622.2355933590607</c:v>
                </c:pt>
                <c:pt idx="448">
                  <c:v>6622.2355933590607</c:v>
                </c:pt>
                <c:pt idx="449">
                  <c:v>6622.2355933590607</c:v>
                </c:pt>
                <c:pt idx="450">
                  <c:v>6622.2355933590607</c:v>
                </c:pt>
                <c:pt idx="451">
                  <c:v>6622.2355933590607</c:v>
                </c:pt>
                <c:pt idx="452">
                  <c:v>6622.2355933590607</c:v>
                </c:pt>
                <c:pt idx="453">
                  <c:v>6622.2355933590607</c:v>
                </c:pt>
                <c:pt idx="454">
                  <c:v>6622.2355933590607</c:v>
                </c:pt>
                <c:pt idx="455">
                  <c:v>6622.2355933590607</c:v>
                </c:pt>
                <c:pt idx="456">
                  <c:v>6622.2355933590607</c:v>
                </c:pt>
                <c:pt idx="457">
                  <c:v>6622.2355933590607</c:v>
                </c:pt>
                <c:pt idx="458">
                  <c:v>6622.2355933590607</c:v>
                </c:pt>
                <c:pt idx="459">
                  <c:v>6622.2355933590607</c:v>
                </c:pt>
                <c:pt idx="460">
                  <c:v>6622.2355933590607</c:v>
                </c:pt>
                <c:pt idx="461">
                  <c:v>6622.2355933590607</c:v>
                </c:pt>
                <c:pt idx="462">
                  <c:v>6622.2355933590607</c:v>
                </c:pt>
                <c:pt idx="463">
                  <c:v>6622.2355933590607</c:v>
                </c:pt>
                <c:pt idx="464">
                  <c:v>6622.2355933590607</c:v>
                </c:pt>
                <c:pt idx="465">
                  <c:v>6622.2355933590607</c:v>
                </c:pt>
                <c:pt idx="466">
                  <c:v>6622.2355933590607</c:v>
                </c:pt>
                <c:pt idx="467">
                  <c:v>6622.2355933590607</c:v>
                </c:pt>
                <c:pt idx="468">
                  <c:v>6622.2355933590607</c:v>
                </c:pt>
                <c:pt idx="469">
                  <c:v>6622.2355933590607</c:v>
                </c:pt>
                <c:pt idx="470">
                  <c:v>6622.2355933590607</c:v>
                </c:pt>
                <c:pt idx="471">
                  <c:v>6622.2355933590607</c:v>
                </c:pt>
                <c:pt idx="472">
                  <c:v>6622.2355933590607</c:v>
                </c:pt>
                <c:pt idx="473">
                  <c:v>6622.2355933590607</c:v>
                </c:pt>
                <c:pt idx="474">
                  <c:v>6622.2355933590607</c:v>
                </c:pt>
                <c:pt idx="475">
                  <c:v>6622.2355933590607</c:v>
                </c:pt>
                <c:pt idx="476">
                  <c:v>6622.2355933590607</c:v>
                </c:pt>
                <c:pt idx="477">
                  <c:v>6622.2355933590607</c:v>
                </c:pt>
                <c:pt idx="478">
                  <c:v>6622.2355933590607</c:v>
                </c:pt>
                <c:pt idx="479">
                  <c:v>6622.2355933590607</c:v>
                </c:pt>
                <c:pt idx="480">
                  <c:v>6622.2355933590607</c:v>
                </c:pt>
                <c:pt idx="481">
                  <c:v>6622.2355933590607</c:v>
                </c:pt>
                <c:pt idx="482">
                  <c:v>6622.2355933590607</c:v>
                </c:pt>
                <c:pt idx="483">
                  <c:v>6622.2355933590607</c:v>
                </c:pt>
                <c:pt idx="484">
                  <c:v>6622.2355933590607</c:v>
                </c:pt>
                <c:pt idx="485">
                  <c:v>6622.2355933590607</c:v>
                </c:pt>
                <c:pt idx="486">
                  <c:v>6622.2355933590607</c:v>
                </c:pt>
                <c:pt idx="487">
                  <c:v>6622.2355933590607</c:v>
                </c:pt>
                <c:pt idx="488">
                  <c:v>6622.2355933590607</c:v>
                </c:pt>
                <c:pt idx="489">
                  <c:v>6622.2355933590607</c:v>
                </c:pt>
                <c:pt idx="490">
                  <c:v>6622.2355933590607</c:v>
                </c:pt>
                <c:pt idx="491">
                  <c:v>6622.2355933590607</c:v>
                </c:pt>
                <c:pt idx="492">
                  <c:v>6622.2355933590607</c:v>
                </c:pt>
                <c:pt idx="493">
                  <c:v>6622.2355933590607</c:v>
                </c:pt>
                <c:pt idx="494">
                  <c:v>6622.2355933590607</c:v>
                </c:pt>
                <c:pt idx="495">
                  <c:v>6622.2355933590607</c:v>
                </c:pt>
                <c:pt idx="496">
                  <c:v>6622.2355933590607</c:v>
                </c:pt>
                <c:pt idx="497">
                  <c:v>6622.2355933590607</c:v>
                </c:pt>
                <c:pt idx="498">
                  <c:v>6622.2355933590607</c:v>
                </c:pt>
                <c:pt idx="499">
                  <c:v>6622.2355933590607</c:v>
                </c:pt>
                <c:pt idx="500">
                  <c:v>6622.2355933590607</c:v>
                </c:pt>
                <c:pt idx="501">
                  <c:v>6622.2355933590607</c:v>
                </c:pt>
                <c:pt idx="502">
                  <c:v>6622.2355933590607</c:v>
                </c:pt>
                <c:pt idx="503">
                  <c:v>6622.2355933590607</c:v>
                </c:pt>
                <c:pt idx="504">
                  <c:v>6622.2355933590607</c:v>
                </c:pt>
                <c:pt idx="505">
                  <c:v>6622.2355933590607</c:v>
                </c:pt>
                <c:pt idx="506">
                  <c:v>6622.2355933590607</c:v>
                </c:pt>
                <c:pt idx="507">
                  <c:v>6622.2355933590607</c:v>
                </c:pt>
                <c:pt idx="508">
                  <c:v>6622.2355933590607</c:v>
                </c:pt>
                <c:pt idx="509">
                  <c:v>6622.2355933590607</c:v>
                </c:pt>
                <c:pt idx="510">
                  <c:v>6622.2355933590607</c:v>
                </c:pt>
                <c:pt idx="511">
                  <c:v>6622.2355933590607</c:v>
                </c:pt>
                <c:pt idx="512">
                  <c:v>6622.2355933590607</c:v>
                </c:pt>
                <c:pt idx="513">
                  <c:v>6622.2355933590607</c:v>
                </c:pt>
                <c:pt idx="514">
                  <c:v>6622.2355933590607</c:v>
                </c:pt>
                <c:pt idx="515">
                  <c:v>6622.2355933590607</c:v>
                </c:pt>
                <c:pt idx="516">
                  <c:v>6622.2355933590607</c:v>
                </c:pt>
                <c:pt idx="517">
                  <c:v>6622.2355933590607</c:v>
                </c:pt>
                <c:pt idx="518">
                  <c:v>6622.2355933590607</c:v>
                </c:pt>
                <c:pt idx="519">
                  <c:v>6622.2355933590607</c:v>
                </c:pt>
                <c:pt idx="520">
                  <c:v>6622.2355933590607</c:v>
                </c:pt>
                <c:pt idx="521">
                  <c:v>6622.2355933590607</c:v>
                </c:pt>
                <c:pt idx="522">
                  <c:v>6622.2355933590607</c:v>
                </c:pt>
                <c:pt idx="523">
                  <c:v>6622.2355933590607</c:v>
                </c:pt>
                <c:pt idx="524">
                  <c:v>6622.2355933590607</c:v>
                </c:pt>
                <c:pt idx="525">
                  <c:v>6622.2355933590607</c:v>
                </c:pt>
                <c:pt idx="526">
                  <c:v>6622.2355933590607</c:v>
                </c:pt>
                <c:pt idx="527">
                  <c:v>6622.2355933590607</c:v>
                </c:pt>
                <c:pt idx="528">
                  <c:v>6622.2355933590607</c:v>
                </c:pt>
                <c:pt idx="529">
                  <c:v>6622.2355933590607</c:v>
                </c:pt>
                <c:pt idx="530">
                  <c:v>6622.2355933590607</c:v>
                </c:pt>
                <c:pt idx="531">
                  <c:v>6622.2355933590607</c:v>
                </c:pt>
                <c:pt idx="532">
                  <c:v>6622.2355933590607</c:v>
                </c:pt>
                <c:pt idx="533">
                  <c:v>6622.2355933590607</c:v>
                </c:pt>
                <c:pt idx="534">
                  <c:v>6622.2355933590607</c:v>
                </c:pt>
                <c:pt idx="535">
                  <c:v>6622.2355933590607</c:v>
                </c:pt>
                <c:pt idx="536">
                  <c:v>6622.2355933590607</c:v>
                </c:pt>
                <c:pt idx="537">
                  <c:v>6622.2355933590607</c:v>
                </c:pt>
                <c:pt idx="538">
                  <c:v>6622.2355933590607</c:v>
                </c:pt>
                <c:pt idx="539">
                  <c:v>6622.2355933590607</c:v>
                </c:pt>
                <c:pt idx="540">
                  <c:v>6622.2355933590607</c:v>
                </c:pt>
                <c:pt idx="541">
                  <c:v>6622.2355933590607</c:v>
                </c:pt>
                <c:pt idx="542">
                  <c:v>6622.2355933590607</c:v>
                </c:pt>
                <c:pt idx="543">
                  <c:v>6622.2355933590607</c:v>
                </c:pt>
                <c:pt idx="544">
                  <c:v>6622.2355933590607</c:v>
                </c:pt>
                <c:pt idx="545">
                  <c:v>6622.2355933590607</c:v>
                </c:pt>
                <c:pt idx="546">
                  <c:v>6622.2355933590607</c:v>
                </c:pt>
                <c:pt idx="547">
                  <c:v>6622.2355933590607</c:v>
                </c:pt>
                <c:pt idx="548">
                  <c:v>6622.2355933590607</c:v>
                </c:pt>
                <c:pt idx="549">
                  <c:v>6622.2355933590607</c:v>
                </c:pt>
                <c:pt idx="550">
                  <c:v>6622.2355933590607</c:v>
                </c:pt>
                <c:pt idx="551">
                  <c:v>6622.2355933590607</c:v>
                </c:pt>
                <c:pt idx="552">
                  <c:v>6622.2355933590607</c:v>
                </c:pt>
                <c:pt idx="553">
                  <c:v>6622.2355933590607</c:v>
                </c:pt>
                <c:pt idx="554">
                  <c:v>6622.2355933590607</c:v>
                </c:pt>
                <c:pt idx="555">
                  <c:v>6622.2355933590607</c:v>
                </c:pt>
                <c:pt idx="556">
                  <c:v>6622.2355933590607</c:v>
                </c:pt>
                <c:pt idx="557">
                  <c:v>6622.2355933590607</c:v>
                </c:pt>
                <c:pt idx="558">
                  <c:v>6622.2355933590607</c:v>
                </c:pt>
                <c:pt idx="559">
                  <c:v>6622.2355933590607</c:v>
                </c:pt>
                <c:pt idx="560">
                  <c:v>6622.2355933590607</c:v>
                </c:pt>
                <c:pt idx="561">
                  <c:v>6622.2355933590607</c:v>
                </c:pt>
                <c:pt idx="562">
                  <c:v>6622.2355933590607</c:v>
                </c:pt>
                <c:pt idx="563">
                  <c:v>6622.2355933590607</c:v>
                </c:pt>
                <c:pt idx="564">
                  <c:v>6622.2355933590607</c:v>
                </c:pt>
                <c:pt idx="565">
                  <c:v>6622.2355933590607</c:v>
                </c:pt>
                <c:pt idx="566">
                  <c:v>6622.2355933590607</c:v>
                </c:pt>
                <c:pt idx="567">
                  <c:v>6622.2355933590607</c:v>
                </c:pt>
                <c:pt idx="568">
                  <c:v>6622.2355933590607</c:v>
                </c:pt>
                <c:pt idx="569">
                  <c:v>6622.2355933590607</c:v>
                </c:pt>
                <c:pt idx="570">
                  <c:v>6622.2355933590607</c:v>
                </c:pt>
                <c:pt idx="571">
                  <c:v>6622.2355933590607</c:v>
                </c:pt>
                <c:pt idx="572">
                  <c:v>6622.2355933590607</c:v>
                </c:pt>
                <c:pt idx="573">
                  <c:v>6622.2355933590607</c:v>
                </c:pt>
                <c:pt idx="574">
                  <c:v>6622.2355933590607</c:v>
                </c:pt>
                <c:pt idx="575">
                  <c:v>6622.2355933590607</c:v>
                </c:pt>
                <c:pt idx="576">
                  <c:v>6622.2355933590607</c:v>
                </c:pt>
                <c:pt idx="577">
                  <c:v>6622.2355933590607</c:v>
                </c:pt>
                <c:pt idx="578">
                  <c:v>6622.2355933590607</c:v>
                </c:pt>
                <c:pt idx="579">
                  <c:v>6622.2355933590607</c:v>
                </c:pt>
                <c:pt idx="580">
                  <c:v>6622.2355933590607</c:v>
                </c:pt>
                <c:pt idx="581">
                  <c:v>6622.2355933590607</c:v>
                </c:pt>
                <c:pt idx="582">
                  <c:v>6622.2355933590607</c:v>
                </c:pt>
                <c:pt idx="583">
                  <c:v>6622.2355933590607</c:v>
                </c:pt>
                <c:pt idx="584">
                  <c:v>6622.2355933590607</c:v>
                </c:pt>
                <c:pt idx="585">
                  <c:v>6622.2355933590607</c:v>
                </c:pt>
                <c:pt idx="586">
                  <c:v>6622.2355933590607</c:v>
                </c:pt>
                <c:pt idx="587">
                  <c:v>6622.2355933590607</c:v>
                </c:pt>
                <c:pt idx="588">
                  <c:v>6622.2355933590607</c:v>
                </c:pt>
                <c:pt idx="589">
                  <c:v>6622.2355933590607</c:v>
                </c:pt>
                <c:pt idx="590">
                  <c:v>6622.2355933590607</c:v>
                </c:pt>
                <c:pt idx="591">
                  <c:v>6622.2355933590607</c:v>
                </c:pt>
                <c:pt idx="592">
                  <c:v>6622.2355933590607</c:v>
                </c:pt>
                <c:pt idx="593">
                  <c:v>6622.2355933590607</c:v>
                </c:pt>
                <c:pt idx="594">
                  <c:v>6622.2355933590607</c:v>
                </c:pt>
                <c:pt idx="595">
                  <c:v>6622.2355933590607</c:v>
                </c:pt>
                <c:pt idx="596">
                  <c:v>6622.2355933590607</c:v>
                </c:pt>
                <c:pt idx="597">
                  <c:v>6622.2355933590607</c:v>
                </c:pt>
                <c:pt idx="598">
                  <c:v>6622.2355933590607</c:v>
                </c:pt>
                <c:pt idx="599">
                  <c:v>6622.2355933590607</c:v>
                </c:pt>
                <c:pt idx="600">
                  <c:v>6622.2355933590607</c:v>
                </c:pt>
                <c:pt idx="601">
                  <c:v>6622.2355933590607</c:v>
                </c:pt>
                <c:pt idx="602">
                  <c:v>6622.2355933590607</c:v>
                </c:pt>
                <c:pt idx="603">
                  <c:v>6622.2355933590607</c:v>
                </c:pt>
                <c:pt idx="604">
                  <c:v>6622.2355933590607</c:v>
                </c:pt>
                <c:pt idx="605">
                  <c:v>6622.2355933590607</c:v>
                </c:pt>
                <c:pt idx="606">
                  <c:v>6622.2355933590607</c:v>
                </c:pt>
                <c:pt idx="607">
                  <c:v>6622.2355933590607</c:v>
                </c:pt>
                <c:pt idx="608">
                  <c:v>6622.2355933590607</c:v>
                </c:pt>
                <c:pt idx="609">
                  <c:v>6622.2355933590607</c:v>
                </c:pt>
                <c:pt idx="610">
                  <c:v>6622.2355933590607</c:v>
                </c:pt>
                <c:pt idx="611">
                  <c:v>6622.2355933590607</c:v>
                </c:pt>
                <c:pt idx="612">
                  <c:v>6622.2355933590607</c:v>
                </c:pt>
                <c:pt idx="613">
                  <c:v>6622.2355933590607</c:v>
                </c:pt>
                <c:pt idx="614">
                  <c:v>6622.2355933590607</c:v>
                </c:pt>
                <c:pt idx="615">
                  <c:v>6622.2355933590607</c:v>
                </c:pt>
                <c:pt idx="616">
                  <c:v>6622.2355933590607</c:v>
                </c:pt>
                <c:pt idx="617">
                  <c:v>6622.2355933590607</c:v>
                </c:pt>
                <c:pt idx="618">
                  <c:v>6622.2355933590607</c:v>
                </c:pt>
                <c:pt idx="619">
                  <c:v>6622.2355933590607</c:v>
                </c:pt>
                <c:pt idx="620">
                  <c:v>6622.2355933590607</c:v>
                </c:pt>
                <c:pt idx="621">
                  <c:v>6622.2355933590607</c:v>
                </c:pt>
                <c:pt idx="622">
                  <c:v>6622.2355933590607</c:v>
                </c:pt>
                <c:pt idx="623">
                  <c:v>6622.2355933590607</c:v>
                </c:pt>
                <c:pt idx="624">
                  <c:v>6622.2355933590607</c:v>
                </c:pt>
                <c:pt idx="625">
                  <c:v>6622.2355933590607</c:v>
                </c:pt>
                <c:pt idx="626">
                  <c:v>6622.2355933590607</c:v>
                </c:pt>
                <c:pt idx="627">
                  <c:v>6622.2355933590607</c:v>
                </c:pt>
                <c:pt idx="628">
                  <c:v>6622.2355933590607</c:v>
                </c:pt>
                <c:pt idx="629">
                  <c:v>6622.2355933590607</c:v>
                </c:pt>
                <c:pt idx="630">
                  <c:v>6622.2355933590607</c:v>
                </c:pt>
                <c:pt idx="631">
                  <c:v>6622.2355933590607</c:v>
                </c:pt>
                <c:pt idx="632">
                  <c:v>6622.2355933590607</c:v>
                </c:pt>
                <c:pt idx="633">
                  <c:v>6622.2355933590607</c:v>
                </c:pt>
                <c:pt idx="634">
                  <c:v>6622.2355933590607</c:v>
                </c:pt>
                <c:pt idx="635">
                  <c:v>6622.2355933590607</c:v>
                </c:pt>
                <c:pt idx="636">
                  <c:v>6622.2355933590607</c:v>
                </c:pt>
                <c:pt idx="637">
                  <c:v>6622.2355933590607</c:v>
                </c:pt>
                <c:pt idx="638">
                  <c:v>6622.2355933590607</c:v>
                </c:pt>
                <c:pt idx="639">
                  <c:v>6622.2355933590607</c:v>
                </c:pt>
                <c:pt idx="640">
                  <c:v>6622.2355933590607</c:v>
                </c:pt>
                <c:pt idx="641">
                  <c:v>6622.2355933590607</c:v>
                </c:pt>
                <c:pt idx="642">
                  <c:v>6622.2355933590607</c:v>
                </c:pt>
                <c:pt idx="643">
                  <c:v>6622.2355933590607</c:v>
                </c:pt>
                <c:pt idx="644">
                  <c:v>6622.2355933590607</c:v>
                </c:pt>
                <c:pt idx="645">
                  <c:v>6622.2355933590607</c:v>
                </c:pt>
                <c:pt idx="646">
                  <c:v>6622.2355933590607</c:v>
                </c:pt>
                <c:pt idx="647">
                  <c:v>6622.2355933590607</c:v>
                </c:pt>
                <c:pt idx="648">
                  <c:v>6622.2355933590607</c:v>
                </c:pt>
                <c:pt idx="649">
                  <c:v>6622.2355933590607</c:v>
                </c:pt>
                <c:pt idx="650">
                  <c:v>6622.2355933590607</c:v>
                </c:pt>
                <c:pt idx="651">
                  <c:v>6622.2355933590607</c:v>
                </c:pt>
                <c:pt idx="652">
                  <c:v>6622.2355933590607</c:v>
                </c:pt>
                <c:pt idx="653">
                  <c:v>6622.2355933590607</c:v>
                </c:pt>
                <c:pt idx="654">
                  <c:v>6622.2355933590607</c:v>
                </c:pt>
                <c:pt idx="655">
                  <c:v>6622.2355933590607</c:v>
                </c:pt>
                <c:pt idx="656">
                  <c:v>6622.2355933590607</c:v>
                </c:pt>
                <c:pt idx="657">
                  <c:v>6622.2355933590607</c:v>
                </c:pt>
                <c:pt idx="658">
                  <c:v>6622.2355933590607</c:v>
                </c:pt>
                <c:pt idx="659">
                  <c:v>6622.2355933590607</c:v>
                </c:pt>
                <c:pt idx="660">
                  <c:v>6622.2355933590607</c:v>
                </c:pt>
                <c:pt idx="661">
                  <c:v>6622.2355933590607</c:v>
                </c:pt>
                <c:pt idx="662">
                  <c:v>6622.2355933590607</c:v>
                </c:pt>
                <c:pt idx="663">
                  <c:v>6622.2355933590607</c:v>
                </c:pt>
                <c:pt idx="664">
                  <c:v>6622.2355933590607</c:v>
                </c:pt>
                <c:pt idx="665">
                  <c:v>6622.2355933590607</c:v>
                </c:pt>
                <c:pt idx="666">
                  <c:v>6622.2355933590607</c:v>
                </c:pt>
                <c:pt idx="667">
                  <c:v>6622.2355933590607</c:v>
                </c:pt>
                <c:pt idx="668">
                  <c:v>6622.2355933590607</c:v>
                </c:pt>
                <c:pt idx="669">
                  <c:v>6622.2355933590607</c:v>
                </c:pt>
                <c:pt idx="670">
                  <c:v>6622.2355933590607</c:v>
                </c:pt>
                <c:pt idx="671">
                  <c:v>6622.2355933590607</c:v>
                </c:pt>
                <c:pt idx="672">
                  <c:v>6622.2355933590607</c:v>
                </c:pt>
                <c:pt idx="673">
                  <c:v>6622.2355933590607</c:v>
                </c:pt>
                <c:pt idx="674">
                  <c:v>6622.2355933590607</c:v>
                </c:pt>
                <c:pt idx="675">
                  <c:v>6622.2355933590607</c:v>
                </c:pt>
                <c:pt idx="676">
                  <c:v>6622.2355933590607</c:v>
                </c:pt>
                <c:pt idx="677">
                  <c:v>6622.2355933590607</c:v>
                </c:pt>
                <c:pt idx="678">
                  <c:v>6622.2355933590607</c:v>
                </c:pt>
                <c:pt idx="679">
                  <c:v>6622.2355933590607</c:v>
                </c:pt>
                <c:pt idx="680">
                  <c:v>6622.2355933590607</c:v>
                </c:pt>
                <c:pt idx="681">
                  <c:v>6622.2355933590607</c:v>
                </c:pt>
                <c:pt idx="682">
                  <c:v>6622.2355933590607</c:v>
                </c:pt>
                <c:pt idx="683">
                  <c:v>6622.2355933590607</c:v>
                </c:pt>
                <c:pt idx="684">
                  <c:v>6622.2355933590607</c:v>
                </c:pt>
                <c:pt idx="685">
                  <c:v>6622.2355933590607</c:v>
                </c:pt>
                <c:pt idx="686">
                  <c:v>6622.2355933590607</c:v>
                </c:pt>
                <c:pt idx="687">
                  <c:v>6622.2355933590607</c:v>
                </c:pt>
                <c:pt idx="688">
                  <c:v>6622.2355933590607</c:v>
                </c:pt>
                <c:pt idx="689">
                  <c:v>6622.2355933590607</c:v>
                </c:pt>
                <c:pt idx="690">
                  <c:v>6622.2355933590607</c:v>
                </c:pt>
                <c:pt idx="691">
                  <c:v>6622.2355933590607</c:v>
                </c:pt>
                <c:pt idx="692">
                  <c:v>6622.2355933590607</c:v>
                </c:pt>
                <c:pt idx="693">
                  <c:v>6622.2355933590607</c:v>
                </c:pt>
                <c:pt idx="694">
                  <c:v>6622.2355933590607</c:v>
                </c:pt>
                <c:pt idx="695">
                  <c:v>6622.2355933590607</c:v>
                </c:pt>
                <c:pt idx="696">
                  <c:v>6622.2355933590607</c:v>
                </c:pt>
                <c:pt idx="697">
                  <c:v>6622.2355933590607</c:v>
                </c:pt>
                <c:pt idx="698">
                  <c:v>6622.2355933590607</c:v>
                </c:pt>
                <c:pt idx="699">
                  <c:v>6622.2355933590607</c:v>
                </c:pt>
                <c:pt idx="700">
                  <c:v>6622.2355933590607</c:v>
                </c:pt>
                <c:pt idx="701">
                  <c:v>6622.2355933590607</c:v>
                </c:pt>
                <c:pt idx="702">
                  <c:v>6622.2355933590607</c:v>
                </c:pt>
                <c:pt idx="703">
                  <c:v>6622.2355933590607</c:v>
                </c:pt>
                <c:pt idx="704">
                  <c:v>6622.2355933590607</c:v>
                </c:pt>
                <c:pt idx="705">
                  <c:v>6622.2355933590607</c:v>
                </c:pt>
                <c:pt idx="706">
                  <c:v>6622.2355933590607</c:v>
                </c:pt>
                <c:pt idx="707">
                  <c:v>6622.2355933590607</c:v>
                </c:pt>
                <c:pt idx="708">
                  <c:v>6622.2355933590607</c:v>
                </c:pt>
                <c:pt idx="709">
                  <c:v>6622.2355933590607</c:v>
                </c:pt>
                <c:pt idx="710">
                  <c:v>6622.2355933590607</c:v>
                </c:pt>
                <c:pt idx="711">
                  <c:v>6622.2355933590607</c:v>
                </c:pt>
                <c:pt idx="712">
                  <c:v>6622.2355933590607</c:v>
                </c:pt>
                <c:pt idx="713">
                  <c:v>6622.2355933590607</c:v>
                </c:pt>
                <c:pt idx="714">
                  <c:v>6622.2355933590607</c:v>
                </c:pt>
                <c:pt idx="715">
                  <c:v>6622.2355933590607</c:v>
                </c:pt>
                <c:pt idx="716">
                  <c:v>6622.2355933590607</c:v>
                </c:pt>
                <c:pt idx="717">
                  <c:v>6622.2355933590607</c:v>
                </c:pt>
                <c:pt idx="718">
                  <c:v>6622.2355933590607</c:v>
                </c:pt>
                <c:pt idx="719">
                  <c:v>6622.2355933590607</c:v>
                </c:pt>
                <c:pt idx="720">
                  <c:v>6622.2355933590607</c:v>
                </c:pt>
                <c:pt idx="721">
                  <c:v>6622.2355933590607</c:v>
                </c:pt>
                <c:pt idx="722">
                  <c:v>6622.2355933590607</c:v>
                </c:pt>
                <c:pt idx="723">
                  <c:v>6622.2355933590607</c:v>
                </c:pt>
                <c:pt idx="724">
                  <c:v>6622.2355933590607</c:v>
                </c:pt>
                <c:pt idx="725">
                  <c:v>6622.2355933590607</c:v>
                </c:pt>
                <c:pt idx="726">
                  <c:v>6622.2355933590607</c:v>
                </c:pt>
                <c:pt idx="727">
                  <c:v>6622.2355933590607</c:v>
                </c:pt>
                <c:pt idx="728">
                  <c:v>6622.2355933590607</c:v>
                </c:pt>
                <c:pt idx="729">
                  <c:v>6622.2355933590607</c:v>
                </c:pt>
                <c:pt idx="730">
                  <c:v>6622.2355933590607</c:v>
                </c:pt>
                <c:pt idx="731">
                  <c:v>6622.2355933590607</c:v>
                </c:pt>
                <c:pt idx="732">
                  <c:v>6622.2355933590607</c:v>
                </c:pt>
                <c:pt idx="733">
                  <c:v>6622.2355933590607</c:v>
                </c:pt>
                <c:pt idx="734">
                  <c:v>6622.2355933590607</c:v>
                </c:pt>
                <c:pt idx="735">
                  <c:v>6622.2355933590607</c:v>
                </c:pt>
                <c:pt idx="736">
                  <c:v>6622.2355933590607</c:v>
                </c:pt>
                <c:pt idx="737">
                  <c:v>6622.2355933590607</c:v>
                </c:pt>
                <c:pt idx="738">
                  <c:v>6622.2355933590607</c:v>
                </c:pt>
                <c:pt idx="739">
                  <c:v>6622.2355933590607</c:v>
                </c:pt>
                <c:pt idx="740">
                  <c:v>6622.2355933590607</c:v>
                </c:pt>
                <c:pt idx="741">
                  <c:v>6622.2355933590607</c:v>
                </c:pt>
                <c:pt idx="742">
                  <c:v>6622.2355933590607</c:v>
                </c:pt>
                <c:pt idx="743">
                  <c:v>6622.2355933590607</c:v>
                </c:pt>
                <c:pt idx="744">
                  <c:v>6622.2355933590607</c:v>
                </c:pt>
                <c:pt idx="745">
                  <c:v>6622.2355933590607</c:v>
                </c:pt>
                <c:pt idx="746">
                  <c:v>6622.2355933590607</c:v>
                </c:pt>
                <c:pt idx="747">
                  <c:v>6622.2355933590607</c:v>
                </c:pt>
                <c:pt idx="748">
                  <c:v>6622.2355933590607</c:v>
                </c:pt>
                <c:pt idx="749">
                  <c:v>6622.2355933590607</c:v>
                </c:pt>
                <c:pt idx="750">
                  <c:v>6622.2355933590607</c:v>
                </c:pt>
                <c:pt idx="751">
                  <c:v>6622.2355933590607</c:v>
                </c:pt>
                <c:pt idx="752">
                  <c:v>6622.2355933590607</c:v>
                </c:pt>
                <c:pt idx="753">
                  <c:v>6622.2355933590607</c:v>
                </c:pt>
                <c:pt idx="754">
                  <c:v>6622.2355933590607</c:v>
                </c:pt>
                <c:pt idx="755">
                  <c:v>6622.2355933590607</c:v>
                </c:pt>
                <c:pt idx="756">
                  <c:v>6622.2355933590607</c:v>
                </c:pt>
                <c:pt idx="757">
                  <c:v>6622.2355933590607</c:v>
                </c:pt>
                <c:pt idx="758">
                  <c:v>6622.2355933590607</c:v>
                </c:pt>
                <c:pt idx="759">
                  <c:v>6622.2355933590607</c:v>
                </c:pt>
                <c:pt idx="760">
                  <c:v>6622.2355933590607</c:v>
                </c:pt>
                <c:pt idx="761">
                  <c:v>6622.2355933590607</c:v>
                </c:pt>
                <c:pt idx="762">
                  <c:v>6622.2355933590607</c:v>
                </c:pt>
                <c:pt idx="763">
                  <c:v>6622.2355933590607</c:v>
                </c:pt>
                <c:pt idx="764">
                  <c:v>6622.2355933590607</c:v>
                </c:pt>
                <c:pt idx="765">
                  <c:v>6622.2355933590607</c:v>
                </c:pt>
                <c:pt idx="766">
                  <c:v>6622.2355933590607</c:v>
                </c:pt>
                <c:pt idx="767">
                  <c:v>6622.2355933590607</c:v>
                </c:pt>
                <c:pt idx="768">
                  <c:v>6622.2355933590607</c:v>
                </c:pt>
                <c:pt idx="769">
                  <c:v>6622.2355933590607</c:v>
                </c:pt>
                <c:pt idx="770">
                  <c:v>6622.2355933590607</c:v>
                </c:pt>
                <c:pt idx="771">
                  <c:v>6622.2355933590607</c:v>
                </c:pt>
                <c:pt idx="772">
                  <c:v>6622.2355933590607</c:v>
                </c:pt>
                <c:pt idx="773">
                  <c:v>6622.2355933590607</c:v>
                </c:pt>
                <c:pt idx="774">
                  <c:v>6622.2355933590607</c:v>
                </c:pt>
                <c:pt idx="775">
                  <c:v>6622.2355933590607</c:v>
                </c:pt>
                <c:pt idx="776">
                  <c:v>6622.2355933590607</c:v>
                </c:pt>
                <c:pt idx="777">
                  <c:v>6622.2355933590607</c:v>
                </c:pt>
                <c:pt idx="778">
                  <c:v>6622.2355933590607</c:v>
                </c:pt>
                <c:pt idx="779">
                  <c:v>6622.2355933590607</c:v>
                </c:pt>
                <c:pt idx="780">
                  <c:v>6622.2355933590607</c:v>
                </c:pt>
                <c:pt idx="781">
                  <c:v>6622.2355933590607</c:v>
                </c:pt>
                <c:pt idx="782">
                  <c:v>6622.2355933590607</c:v>
                </c:pt>
                <c:pt idx="783">
                  <c:v>6622.2355933590607</c:v>
                </c:pt>
                <c:pt idx="784">
                  <c:v>6622.2355933590607</c:v>
                </c:pt>
                <c:pt idx="785">
                  <c:v>6622.2355933590607</c:v>
                </c:pt>
                <c:pt idx="786">
                  <c:v>6622.2355933590607</c:v>
                </c:pt>
                <c:pt idx="787">
                  <c:v>6622.2355933590607</c:v>
                </c:pt>
                <c:pt idx="788">
                  <c:v>6622.2355933590607</c:v>
                </c:pt>
                <c:pt idx="789">
                  <c:v>6622.2355933590607</c:v>
                </c:pt>
                <c:pt idx="790">
                  <c:v>6622.2355933590607</c:v>
                </c:pt>
                <c:pt idx="791">
                  <c:v>6622.2355933590607</c:v>
                </c:pt>
                <c:pt idx="792">
                  <c:v>6622.2355933590607</c:v>
                </c:pt>
                <c:pt idx="793">
                  <c:v>6622.2355933590607</c:v>
                </c:pt>
                <c:pt idx="794">
                  <c:v>6622.2355933590607</c:v>
                </c:pt>
                <c:pt idx="795">
                  <c:v>6622.2355933590607</c:v>
                </c:pt>
                <c:pt idx="796">
                  <c:v>6622.2355933590607</c:v>
                </c:pt>
                <c:pt idx="797">
                  <c:v>6622.2355933590607</c:v>
                </c:pt>
                <c:pt idx="798">
                  <c:v>6622.2355933590607</c:v>
                </c:pt>
                <c:pt idx="799">
                  <c:v>6622.2355933590607</c:v>
                </c:pt>
                <c:pt idx="800">
                  <c:v>6622.2355933590607</c:v>
                </c:pt>
                <c:pt idx="801">
                  <c:v>6622.2355933590607</c:v>
                </c:pt>
                <c:pt idx="802">
                  <c:v>6622.2355933590607</c:v>
                </c:pt>
                <c:pt idx="803">
                  <c:v>6622.2355933590607</c:v>
                </c:pt>
                <c:pt idx="804">
                  <c:v>6622.2355933590607</c:v>
                </c:pt>
                <c:pt idx="805">
                  <c:v>6622.2355933590607</c:v>
                </c:pt>
                <c:pt idx="806">
                  <c:v>6622.2355933590607</c:v>
                </c:pt>
                <c:pt idx="807">
                  <c:v>6622.2355933590607</c:v>
                </c:pt>
                <c:pt idx="808">
                  <c:v>6622.2355933590607</c:v>
                </c:pt>
                <c:pt idx="809">
                  <c:v>6622.2355933590607</c:v>
                </c:pt>
                <c:pt idx="810">
                  <c:v>6622.2355933590607</c:v>
                </c:pt>
                <c:pt idx="811">
                  <c:v>6622.2355933590607</c:v>
                </c:pt>
                <c:pt idx="812">
                  <c:v>6622.2355933590607</c:v>
                </c:pt>
                <c:pt idx="813">
                  <c:v>6622.2355933590607</c:v>
                </c:pt>
                <c:pt idx="814">
                  <c:v>6622.2355933590607</c:v>
                </c:pt>
                <c:pt idx="815">
                  <c:v>6622.2355933590607</c:v>
                </c:pt>
                <c:pt idx="816">
                  <c:v>6622.2355933590607</c:v>
                </c:pt>
                <c:pt idx="817">
                  <c:v>6622.2355933590607</c:v>
                </c:pt>
                <c:pt idx="818">
                  <c:v>6622.2355933590607</c:v>
                </c:pt>
                <c:pt idx="819">
                  <c:v>6622.2355933590607</c:v>
                </c:pt>
                <c:pt idx="820">
                  <c:v>6622.2355933590607</c:v>
                </c:pt>
                <c:pt idx="821">
                  <c:v>6622.2355933590607</c:v>
                </c:pt>
                <c:pt idx="822">
                  <c:v>6622.2355933590607</c:v>
                </c:pt>
                <c:pt idx="823">
                  <c:v>6622.2355933590607</c:v>
                </c:pt>
                <c:pt idx="824">
                  <c:v>6622.2355933590607</c:v>
                </c:pt>
                <c:pt idx="825">
                  <c:v>6622.2355933590607</c:v>
                </c:pt>
                <c:pt idx="826">
                  <c:v>6622.2355933590607</c:v>
                </c:pt>
                <c:pt idx="827">
                  <c:v>6622.2355933590607</c:v>
                </c:pt>
                <c:pt idx="828">
                  <c:v>6622.2355933590607</c:v>
                </c:pt>
                <c:pt idx="829">
                  <c:v>6622.2355933590607</c:v>
                </c:pt>
                <c:pt idx="830">
                  <c:v>6622.2355933590607</c:v>
                </c:pt>
                <c:pt idx="831">
                  <c:v>6622.2355933590607</c:v>
                </c:pt>
                <c:pt idx="832">
                  <c:v>6622.2355933590607</c:v>
                </c:pt>
                <c:pt idx="833">
                  <c:v>6622.2355933590607</c:v>
                </c:pt>
                <c:pt idx="834">
                  <c:v>6622.2355933590607</c:v>
                </c:pt>
                <c:pt idx="835">
                  <c:v>6622.2355933590607</c:v>
                </c:pt>
                <c:pt idx="836">
                  <c:v>6622.2355933590607</c:v>
                </c:pt>
                <c:pt idx="837">
                  <c:v>6622.2355933590607</c:v>
                </c:pt>
                <c:pt idx="838">
                  <c:v>6622.2355933590607</c:v>
                </c:pt>
                <c:pt idx="839">
                  <c:v>6622.2355933590607</c:v>
                </c:pt>
                <c:pt idx="840">
                  <c:v>6622.2355933590607</c:v>
                </c:pt>
                <c:pt idx="841">
                  <c:v>6622.2355933590607</c:v>
                </c:pt>
                <c:pt idx="842">
                  <c:v>6622.2355933590607</c:v>
                </c:pt>
                <c:pt idx="843">
                  <c:v>6622.2355933590607</c:v>
                </c:pt>
                <c:pt idx="844">
                  <c:v>6622.2355933590607</c:v>
                </c:pt>
                <c:pt idx="845">
                  <c:v>6622.2355933590607</c:v>
                </c:pt>
                <c:pt idx="846">
                  <c:v>6622.2355933590607</c:v>
                </c:pt>
                <c:pt idx="847">
                  <c:v>6622.2355933590607</c:v>
                </c:pt>
                <c:pt idx="848">
                  <c:v>6622.2355933590607</c:v>
                </c:pt>
                <c:pt idx="849">
                  <c:v>6622.2355933590607</c:v>
                </c:pt>
                <c:pt idx="850">
                  <c:v>6622.2355933590607</c:v>
                </c:pt>
                <c:pt idx="851">
                  <c:v>6622.2355933590607</c:v>
                </c:pt>
                <c:pt idx="852">
                  <c:v>6622.2355933590607</c:v>
                </c:pt>
                <c:pt idx="853">
                  <c:v>6622.2355933590607</c:v>
                </c:pt>
                <c:pt idx="854">
                  <c:v>6622.2355933590607</c:v>
                </c:pt>
                <c:pt idx="855">
                  <c:v>6622.2355933590607</c:v>
                </c:pt>
                <c:pt idx="856">
                  <c:v>6622.2355933590607</c:v>
                </c:pt>
                <c:pt idx="857">
                  <c:v>6622.2355933590607</c:v>
                </c:pt>
                <c:pt idx="858">
                  <c:v>6622.2355933590607</c:v>
                </c:pt>
                <c:pt idx="859">
                  <c:v>6622.2355933590607</c:v>
                </c:pt>
                <c:pt idx="860">
                  <c:v>6622.2355933590607</c:v>
                </c:pt>
                <c:pt idx="861">
                  <c:v>6622.2355933590607</c:v>
                </c:pt>
                <c:pt idx="862">
                  <c:v>6622.2355933590607</c:v>
                </c:pt>
                <c:pt idx="863">
                  <c:v>6622.2355933590607</c:v>
                </c:pt>
                <c:pt idx="864">
                  <c:v>6622.2355933590607</c:v>
                </c:pt>
                <c:pt idx="865">
                  <c:v>6622.2355933590607</c:v>
                </c:pt>
                <c:pt idx="866">
                  <c:v>6622.2355933590607</c:v>
                </c:pt>
                <c:pt idx="867">
                  <c:v>6622.2355933590607</c:v>
                </c:pt>
                <c:pt idx="868">
                  <c:v>6622.2355933590607</c:v>
                </c:pt>
                <c:pt idx="869">
                  <c:v>6622.2355933590607</c:v>
                </c:pt>
                <c:pt idx="870">
                  <c:v>6622.2355933590607</c:v>
                </c:pt>
                <c:pt idx="871">
                  <c:v>6622.2355933590607</c:v>
                </c:pt>
                <c:pt idx="872">
                  <c:v>6622.2355933590607</c:v>
                </c:pt>
                <c:pt idx="873">
                  <c:v>6622.2355933590607</c:v>
                </c:pt>
                <c:pt idx="874">
                  <c:v>6622.2355933590607</c:v>
                </c:pt>
                <c:pt idx="875">
                  <c:v>6622.2355933590607</c:v>
                </c:pt>
                <c:pt idx="876">
                  <c:v>6622.2355933590607</c:v>
                </c:pt>
                <c:pt idx="877">
                  <c:v>6622.2355933590607</c:v>
                </c:pt>
                <c:pt idx="878">
                  <c:v>6622.2355933590607</c:v>
                </c:pt>
                <c:pt idx="879">
                  <c:v>6622.2355933590607</c:v>
                </c:pt>
                <c:pt idx="880">
                  <c:v>6622.2355933590607</c:v>
                </c:pt>
                <c:pt idx="881">
                  <c:v>6622.2355933590607</c:v>
                </c:pt>
                <c:pt idx="882">
                  <c:v>6622.2355933590607</c:v>
                </c:pt>
                <c:pt idx="883">
                  <c:v>6622.2355933590607</c:v>
                </c:pt>
                <c:pt idx="884">
                  <c:v>6622.2355933590607</c:v>
                </c:pt>
                <c:pt idx="885">
                  <c:v>6622.2355933590607</c:v>
                </c:pt>
                <c:pt idx="886">
                  <c:v>6622.2355933590607</c:v>
                </c:pt>
                <c:pt idx="887">
                  <c:v>6622.2355933590607</c:v>
                </c:pt>
                <c:pt idx="888">
                  <c:v>6622.2355933590607</c:v>
                </c:pt>
                <c:pt idx="889">
                  <c:v>6622.2355933590607</c:v>
                </c:pt>
                <c:pt idx="890">
                  <c:v>6622.2355933590607</c:v>
                </c:pt>
                <c:pt idx="891">
                  <c:v>6622.2355933590607</c:v>
                </c:pt>
                <c:pt idx="892">
                  <c:v>6622.2355933590607</c:v>
                </c:pt>
                <c:pt idx="893">
                  <c:v>6622.2355933590607</c:v>
                </c:pt>
                <c:pt idx="894">
                  <c:v>6622.2355933590607</c:v>
                </c:pt>
                <c:pt idx="895">
                  <c:v>6622.2355933590607</c:v>
                </c:pt>
                <c:pt idx="896">
                  <c:v>6622.2355933590607</c:v>
                </c:pt>
                <c:pt idx="897">
                  <c:v>6622.2355933590607</c:v>
                </c:pt>
                <c:pt idx="898">
                  <c:v>6622.2355933590607</c:v>
                </c:pt>
                <c:pt idx="899">
                  <c:v>6622.2355933590607</c:v>
                </c:pt>
                <c:pt idx="900">
                  <c:v>6622.2355933590607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CC-49FB-8EB2-EBCEE1D2A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17167"/>
        <c:axId val="93732047"/>
      </c:scatterChart>
      <c:valAx>
        <c:axId val="93717167"/>
        <c:scaling>
          <c:orientation val="minMax"/>
          <c:min val="2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2047"/>
        <c:crosses val="autoZero"/>
        <c:crossBetween val="midCat"/>
      </c:valAx>
      <c:valAx>
        <c:axId val="9373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0;[Red]\(0.0000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7167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152400</xdr:colOff>
      <xdr:row>28</xdr:row>
      <xdr:rowOff>9525</xdr:rowOff>
    </xdr:from>
    <xdr:to>
      <xdr:col>24</xdr:col>
      <xdr:colOff>161924</xdr:colOff>
      <xdr:row>44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376518</xdr:colOff>
      <xdr:row>6</xdr:row>
      <xdr:rowOff>107575</xdr:rowOff>
    </xdr:from>
    <xdr:to>
      <xdr:col>26</xdr:col>
      <xdr:colOff>412376</xdr:colOff>
      <xdr:row>26</xdr:row>
      <xdr:rowOff>107577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  <sheetName val="Baseline 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4:E11" totalsRowShown="0">
  <autoFilter ref="B4:E11" xr:uid="{00000000-0009-0000-0100-000001000000}"/>
  <tableColumns count="4">
    <tableColumn id="1" xr3:uid="{00000000-0010-0000-0000-000001000000}" name="Column1"/>
    <tableColumn id="2" xr3:uid="{00000000-0010-0000-0000-000002000000}" name="Gross" dataDxfId="9"/>
    <tableColumn id="3" xr3:uid="{00000000-0010-0000-0000-000003000000}" name="Slipped" dataDxfId="8"/>
    <tableColumn id="4" xr3:uid="{00000000-0010-0000-0000-000004000000}" name="Net (Transaction costs)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13:C17" totalsRowShown="0">
  <autoFilter ref="B13:C17" xr:uid="{00000000-0009-0000-0100-000002000000}"/>
  <tableColumns count="2">
    <tableColumn id="1" xr3:uid="{00000000-0010-0000-0100-000001000000}" name="Column1"/>
    <tableColumn id="2" xr3:uid="{00000000-0010-0000-0100-000002000000}" name="Column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B19:D25" totalsRowShown="0">
  <autoFilter ref="B19:D25" xr:uid="{00000000-0009-0000-0100-000003000000}"/>
  <tableColumns count="3">
    <tableColumn id="1" xr3:uid="{00000000-0010-0000-0200-000001000000}" name="Column1"/>
    <tableColumn id="2" xr3:uid="{00000000-0010-0000-0200-000002000000}" name="Positive"/>
    <tableColumn id="3" xr3:uid="{00000000-0010-0000-0200-000003000000}" name="Negativ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B27:F29" totalsRowShown="0">
  <autoFilter ref="B27:F29" xr:uid="{00000000-0009-0000-0100-000004000000}"/>
  <tableColumns count="5">
    <tableColumn id="1" xr3:uid="{00000000-0010-0000-0300-000001000000}" name="Column1"/>
    <tableColumn id="2" xr3:uid="{00000000-0010-0000-0300-000002000000}" name="Long">
      <calculatedColumnFormula>COUNTIF([1]Trades!M:M,"LONG")</calculatedColumnFormula>
    </tableColumn>
    <tableColumn id="3" xr3:uid="{00000000-0010-0000-0300-000003000000}" name="Short">
      <calculatedColumnFormula>COUNTIF([1]Trades!M:M,"SHORT")</calculatedColumnFormula>
    </tableColumn>
    <tableColumn id="4" xr3:uid="{00000000-0010-0000-0300-000004000000}" name="Signal">
      <calculatedColumnFormula>COUNTIF([1]Trades!O:O,"Signal")</calculatedColumnFormula>
    </tableColumn>
    <tableColumn id="5" xr3:uid="{00000000-0010-0000-0300-000005000000}" name="Forced">
      <calculatedColumnFormula>COUNTIF([1]Trades!O:O,"Forced")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B31:D36" totalsRowShown="0">
  <autoFilter ref="B31:D36" xr:uid="{00000000-0009-0000-0100-000005000000}"/>
  <tableColumns count="3">
    <tableColumn id="1" xr3:uid="{00000000-0010-0000-0400-000001000000}" name="min Holding time"/>
    <tableColumn id="2" xr3:uid="{00000000-0010-0000-0400-000002000000}" name="Max Holding time"/>
    <tableColumn id="3" xr3:uid="{00000000-0010-0000-0400-000003000000}" name="Win rate">
      <calculatedColumnFormula>COUNTIFS([2]Trades!N:N,"&gt;="&amp;B32,[2]Trades!N:N,"&lt;="&amp;C32,[2]Trades!T:T,"&gt;0")/(COUNTIFS([2]Trades!N:N,"&gt;="&amp;B32,[2]Trades!N:N,"&lt;="&amp;C32,[2]Trades!T:T,"&gt;0")+COUNTIFS([2]Trades!N:N,"&gt;="&amp;B32,[2]Trades!N:N,"&lt;="&amp;C32,[2]Trades!T:T,"&lt;0"))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L1:O903" totalsRowShown="0" headerRowDxfId="6" headerRowBorderDxfId="5" tableBorderDxfId="4" headerRowCellStyle="Normal 2" dataCellStyle="Normal 2">
  <autoFilter ref="L1:O903" xr:uid="{00000000-0009-0000-0100-000006000000}"/>
  <sortState xmlns:xlrd2="http://schemas.microsoft.com/office/spreadsheetml/2017/richdata2" ref="L2:O903">
    <sortCondition ref="L1:L903"/>
  </sortState>
  <tableColumns count="4">
    <tableColumn id="1" xr3:uid="{00000000-0010-0000-0500-000001000000}" name="Exit timestamp" dataDxfId="3" dataCellStyle="Normal 2">
      <calculatedColumnFormula>Trades!P1</calculatedColumnFormula>
    </tableColumn>
    <tableColumn id="2" xr3:uid="{00000000-0010-0000-0500-000002000000}" name="Cumulative Gross PnL" dataDxfId="2" dataCellStyle="Normal 2">
      <calculatedColumnFormula>M1+Trades!T1</calculatedColumnFormula>
    </tableColumn>
    <tableColumn id="3" xr3:uid="{00000000-0010-0000-0500-000003000000}" name="Cumulative Slipped PnL" dataDxfId="1" dataCellStyle="Normal 2">
      <calculatedColumnFormula>N1+Trades!U1</calculatedColumnFormula>
    </tableColumn>
    <tableColumn id="4" xr3:uid="{00000000-0010-0000-0500-000004000000}" name="Cumulative Net PnL" dataDxfId="0" dataCellStyle="Normal 2">
      <calculatedColumnFormula>O1+Trades!W1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9"/>
  <sheetViews>
    <sheetView tabSelected="1" topLeftCell="N107" workbookViewId="0">
      <selection activeCell="V114" sqref="V114"/>
    </sheetView>
  </sheetViews>
  <sheetFormatPr defaultRowHeight="14.4" x14ac:dyDescent="0.3"/>
  <cols>
    <col min="1" max="1" width="10.21875" bestFit="1" customWidth="1"/>
    <col min="2" max="3" width="6.44140625" bestFit="1" customWidth="1"/>
    <col min="4" max="4" width="12.44140625" bestFit="1" customWidth="1"/>
    <col min="5" max="5" width="18.109375" bestFit="1" customWidth="1"/>
    <col min="6" max="7" width="12.5546875" bestFit="1" customWidth="1"/>
    <col min="8" max="9" width="19.77734375" bestFit="1" customWidth="1"/>
    <col min="10" max="10" width="12.6640625" bestFit="1" customWidth="1"/>
    <col min="11" max="11" width="16.6640625" bestFit="1" customWidth="1"/>
    <col min="12" max="13" width="13.88671875" bestFit="1" customWidth="1"/>
    <col min="14" max="14" width="8.44140625" bestFit="1" customWidth="1"/>
    <col min="15" max="15" width="15.21875" bestFit="1" customWidth="1"/>
    <col min="16" max="16" width="10.6640625" bestFit="1" customWidth="1"/>
    <col min="17" max="17" width="11" bestFit="1" customWidth="1"/>
    <col min="18" max="18" width="18.109375" bestFit="1" customWidth="1"/>
    <col min="19" max="20" width="11.109375" bestFit="1" customWidth="1"/>
    <col min="21" max="22" width="12.6640625" bestFit="1" customWidth="1"/>
    <col min="23" max="23" width="16.109375" bestFit="1" customWidth="1"/>
    <col min="24" max="24" width="15.77734375" bestFit="1" customWidth="1"/>
    <col min="25" max="25" width="12.44140625" bestFit="1" customWidth="1"/>
    <col min="26" max="26" width="12.6640625" bestFit="1" customWidth="1"/>
    <col min="27" max="28" width="15.21875" bestFit="1" customWidth="1"/>
  </cols>
  <sheetData>
    <row r="1" spans="1:28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</row>
    <row r="2" spans="1:28" x14ac:dyDescent="0.3">
      <c r="A2">
        <v>0</v>
      </c>
      <c r="B2" t="s">
        <v>28</v>
      </c>
      <c r="C2" t="s">
        <v>29</v>
      </c>
      <c r="D2">
        <v>24207</v>
      </c>
      <c r="E2" s="28">
        <v>45960.5625</v>
      </c>
      <c r="F2">
        <v>306.35500000000002</v>
      </c>
      <c r="G2">
        <v>782.97500000000002</v>
      </c>
      <c r="H2">
        <v>306.3243645</v>
      </c>
      <c r="I2">
        <v>783.05329749999999</v>
      </c>
      <c r="J2">
        <v>3.5945309709117739</v>
      </c>
      <c r="K2">
        <v>0.66743014811490775</v>
      </c>
      <c r="L2">
        <v>-326.41869726297921</v>
      </c>
      <c r="M2">
        <v>85.242842761889946</v>
      </c>
      <c r="N2" t="s">
        <v>30</v>
      </c>
      <c r="O2">
        <v>420000000000</v>
      </c>
      <c r="P2" t="s">
        <v>31</v>
      </c>
      <c r="Q2">
        <v>24214</v>
      </c>
      <c r="R2" s="28">
        <v>45960.567361111112</v>
      </c>
      <c r="S2">
        <v>305.61500000000001</v>
      </c>
      <c r="T2">
        <v>782.97500000000002</v>
      </c>
      <c r="U2">
        <v>0.36824447044600628</v>
      </c>
      <c r="V2">
        <v>241.54983597460759</v>
      </c>
      <c r="W2">
        <v>208.22538799591561</v>
      </c>
      <c r="X2">
        <v>0</v>
      </c>
      <c r="Y2">
        <v>5.2641869726297923</v>
      </c>
      <c r="Z2">
        <v>202.96120102328581</v>
      </c>
      <c r="AA2">
        <v>0</v>
      </c>
      <c r="AB2">
        <v>7</v>
      </c>
    </row>
    <row r="3" spans="1:28" x14ac:dyDescent="0.3">
      <c r="A3">
        <v>0</v>
      </c>
      <c r="B3" t="s">
        <v>28</v>
      </c>
      <c r="C3" t="s">
        <v>29</v>
      </c>
      <c r="D3">
        <v>24601</v>
      </c>
      <c r="E3" s="28">
        <v>45961.56527777778</v>
      </c>
      <c r="F3">
        <v>310.255</v>
      </c>
      <c r="G3">
        <v>784.85</v>
      </c>
      <c r="H3">
        <v>310.2239745</v>
      </c>
      <c r="I3">
        <v>784.92848500000002</v>
      </c>
      <c r="J3">
        <v>3.7200374396416791</v>
      </c>
      <c r="K3">
        <v>0.66743014811490775</v>
      </c>
      <c r="L3">
        <v>-322.31551465729802</v>
      </c>
      <c r="M3">
        <v>85.03919833279069</v>
      </c>
      <c r="N3" t="s">
        <v>30</v>
      </c>
      <c r="O3">
        <v>300000000000</v>
      </c>
      <c r="P3" t="s">
        <v>31</v>
      </c>
      <c r="Q3">
        <v>24606</v>
      </c>
      <c r="R3" s="28">
        <v>45961.568749999999</v>
      </c>
      <c r="S3">
        <v>309.23</v>
      </c>
      <c r="T3">
        <v>786.1</v>
      </c>
      <c r="U3">
        <v>0.45860297430085828</v>
      </c>
      <c r="V3">
        <v>436.67240043971151</v>
      </c>
      <c r="W3">
        <v>403.3462049178811</v>
      </c>
      <c r="X3">
        <v>0</v>
      </c>
      <c r="Y3">
        <v>5.2231551465729797</v>
      </c>
      <c r="Z3">
        <v>398.1230497713081</v>
      </c>
      <c r="AA3">
        <v>0</v>
      </c>
      <c r="AB3">
        <v>0</v>
      </c>
    </row>
    <row r="4" spans="1:28" x14ac:dyDescent="0.3">
      <c r="A4">
        <v>0</v>
      </c>
      <c r="B4" t="s">
        <v>28</v>
      </c>
      <c r="C4" t="s">
        <v>29</v>
      </c>
      <c r="D4">
        <v>24832</v>
      </c>
      <c r="E4" s="28">
        <v>45961.725694444453</v>
      </c>
      <c r="F4">
        <v>309.67</v>
      </c>
      <c r="G4">
        <v>784.45</v>
      </c>
      <c r="H4">
        <v>309.63903299999998</v>
      </c>
      <c r="I4">
        <v>784.52844500000003</v>
      </c>
      <c r="J4">
        <v>3.9794319830467719</v>
      </c>
      <c r="K4">
        <v>0.66743014811490775</v>
      </c>
      <c r="L4">
        <v>-322.92440339716472</v>
      </c>
      <c r="M4">
        <v>85.082560789713526</v>
      </c>
      <c r="N4" t="s">
        <v>30</v>
      </c>
      <c r="O4">
        <v>960000000000</v>
      </c>
      <c r="P4" t="s">
        <v>31</v>
      </c>
      <c r="Q4">
        <v>24848</v>
      </c>
      <c r="R4" s="28">
        <v>45961.736805555563</v>
      </c>
      <c r="S4">
        <v>309.315</v>
      </c>
      <c r="T4">
        <v>783.6</v>
      </c>
      <c r="U4">
        <v>0.3857815709424145</v>
      </c>
      <c r="V4">
        <v>42.317986534740911</v>
      </c>
      <c r="W4">
        <v>8.9880794064388567</v>
      </c>
      <c r="X4">
        <v>0</v>
      </c>
      <c r="Y4">
        <v>5.2292440339716473</v>
      </c>
      <c r="Z4">
        <v>3.758835372467209</v>
      </c>
      <c r="AA4">
        <v>0</v>
      </c>
      <c r="AB4">
        <v>4</v>
      </c>
    </row>
    <row r="5" spans="1:28" x14ac:dyDescent="0.3">
      <c r="A5">
        <v>0</v>
      </c>
      <c r="B5" t="s">
        <v>28</v>
      </c>
      <c r="C5" t="s">
        <v>29</v>
      </c>
      <c r="D5">
        <v>24987</v>
      </c>
      <c r="E5" s="28">
        <v>45964.604166666657</v>
      </c>
      <c r="F5">
        <v>310.94499999999999</v>
      </c>
      <c r="G5">
        <v>792.31</v>
      </c>
      <c r="H5">
        <v>310.97609449999999</v>
      </c>
      <c r="I5">
        <v>792.23076900000001</v>
      </c>
      <c r="J5">
        <v>-4.4660854829666734</v>
      </c>
      <c r="K5">
        <v>0.66743014811490775</v>
      </c>
      <c r="L5">
        <v>321.60028300824911</v>
      </c>
      <c r="M5">
        <v>-84.238511203305251</v>
      </c>
      <c r="N5" t="s">
        <v>32</v>
      </c>
      <c r="O5">
        <v>540000000000</v>
      </c>
      <c r="P5" t="s">
        <v>31</v>
      </c>
      <c r="Q5">
        <v>24996</v>
      </c>
      <c r="R5" s="28">
        <v>45964.61041666667</v>
      </c>
      <c r="S5">
        <v>311.58999999999997</v>
      </c>
      <c r="T5">
        <v>790.28</v>
      </c>
      <c r="U5">
        <v>0.26723450070590632</v>
      </c>
      <c r="V5">
        <v>378.43636028302222</v>
      </c>
      <c r="W5">
        <v>345.08411452025109</v>
      </c>
      <c r="X5">
        <v>0</v>
      </c>
      <c r="Y5">
        <v>5.2160028300824912</v>
      </c>
      <c r="Z5">
        <v>339.86811169016858</v>
      </c>
      <c r="AA5">
        <v>0</v>
      </c>
      <c r="AB5">
        <v>1</v>
      </c>
    </row>
    <row r="6" spans="1:28" x14ac:dyDescent="0.3">
      <c r="A6">
        <v>0</v>
      </c>
      <c r="B6" t="s">
        <v>28</v>
      </c>
      <c r="C6" t="s">
        <v>29</v>
      </c>
      <c r="D6">
        <v>25380</v>
      </c>
      <c r="E6" s="28">
        <v>45965.606249999997</v>
      </c>
      <c r="F6">
        <v>305.66500000000002</v>
      </c>
      <c r="G6">
        <v>775.68</v>
      </c>
      <c r="H6">
        <v>305.69556649999998</v>
      </c>
      <c r="I6">
        <v>775.60243199999991</v>
      </c>
      <c r="J6">
        <v>-3.6905638528624789</v>
      </c>
      <c r="K6">
        <v>0.66743014811490775</v>
      </c>
      <c r="L6">
        <v>327.15554610439528</v>
      </c>
      <c r="M6">
        <v>-86.044521982635601</v>
      </c>
      <c r="N6" t="s">
        <v>32</v>
      </c>
      <c r="O6">
        <v>720000000000</v>
      </c>
      <c r="P6" t="s">
        <v>31</v>
      </c>
      <c r="Q6">
        <v>25392</v>
      </c>
      <c r="R6" s="28">
        <v>45965.614583333343</v>
      </c>
      <c r="S6">
        <v>307.42500000000001</v>
      </c>
      <c r="T6">
        <v>778.79</v>
      </c>
      <c r="U6">
        <v>0.21702581558396941</v>
      </c>
      <c r="V6">
        <v>308.19529777773482</v>
      </c>
      <c r="W6">
        <v>274.76235559298919</v>
      </c>
      <c r="X6">
        <v>0</v>
      </c>
      <c r="Y6">
        <v>5.2715554610439526</v>
      </c>
      <c r="Z6">
        <v>269.49080013194532</v>
      </c>
      <c r="AA6">
        <v>0</v>
      </c>
      <c r="AB6">
        <v>2</v>
      </c>
    </row>
    <row r="7" spans="1:28" x14ac:dyDescent="0.3">
      <c r="A7">
        <v>0</v>
      </c>
      <c r="B7" t="s">
        <v>28</v>
      </c>
      <c r="C7" t="s">
        <v>29</v>
      </c>
      <c r="D7">
        <v>25694</v>
      </c>
      <c r="E7" s="28">
        <v>45965.824305555558</v>
      </c>
      <c r="F7">
        <v>308.60500000000002</v>
      </c>
      <c r="G7">
        <v>791.07</v>
      </c>
      <c r="H7">
        <v>308.5741395</v>
      </c>
      <c r="I7">
        <v>791.14910700000007</v>
      </c>
      <c r="J7">
        <v>3.628948559961215</v>
      </c>
      <c r="K7">
        <v>0.66743014811490775</v>
      </c>
      <c r="L7">
        <v>-324.0388198506181</v>
      </c>
      <c r="M7">
        <v>84.370554832683297</v>
      </c>
      <c r="N7" t="s">
        <v>30</v>
      </c>
      <c r="O7">
        <v>2220000000000</v>
      </c>
      <c r="P7" t="s">
        <v>31</v>
      </c>
      <c r="Q7">
        <v>25731</v>
      </c>
      <c r="R7" s="28">
        <v>45965.85</v>
      </c>
      <c r="S7">
        <v>309.33999999999997</v>
      </c>
      <c r="T7">
        <v>792.03</v>
      </c>
      <c r="U7">
        <v>0.2139687807957743</v>
      </c>
      <c r="V7">
        <v>-157.17279995082089</v>
      </c>
      <c r="W7">
        <v>-190.55331933965061</v>
      </c>
      <c r="X7">
        <v>0</v>
      </c>
      <c r="Y7">
        <v>5.2403881985061824</v>
      </c>
      <c r="Z7">
        <v>-195.79370753815681</v>
      </c>
      <c r="AA7">
        <v>0</v>
      </c>
      <c r="AB7">
        <v>0</v>
      </c>
    </row>
    <row r="8" spans="1:28" x14ac:dyDescent="0.3">
      <c r="A8">
        <v>0</v>
      </c>
      <c r="B8" t="s">
        <v>28</v>
      </c>
      <c r="C8" t="s">
        <v>29</v>
      </c>
      <c r="D8">
        <v>25752</v>
      </c>
      <c r="E8" s="28">
        <v>45965.864583333343</v>
      </c>
      <c r="F8">
        <v>310.22000000000003</v>
      </c>
      <c r="G8">
        <v>793.57</v>
      </c>
      <c r="H8">
        <v>310.18897800000002</v>
      </c>
      <c r="I8">
        <v>793.64935700000001</v>
      </c>
      <c r="J8">
        <v>3.5870449807148499</v>
      </c>
      <c r="K8">
        <v>0.66743014811490775</v>
      </c>
      <c r="L8">
        <v>-322.35187931145629</v>
      </c>
      <c r="M8">
        <v>84.104760527100041</v>
      </c>
      <c r="N8" t="s">
        <v>30</v>
      </c>
      <c r="O8">
        <v>360000000000</v>
      </c>
      <c r="P8" t="s">
        <v>31</v>
      </c>
      <c r="Q8">
        <v>25758</v>
      </c>
      <c r="R8" s="28">
        <v>45965.868750000001</v>
      </c>
      <c r="S8">
        <v>309.59500000000003</v>
      </c>
      <c r="T8">
        <v>792.46</v>
      </c>
      <c r="U8">
        <v>0.10046320854857881</v>
      </c>
      <c r="V8">
        <v>108.11364038457801</v>
      </c>
      <c r="W8">
        <v>74.794520043157249</v>
      </c>
      <c r="X8">
        <v>0</v>
      </c>
      <c r="Y8">
        <v>5.2235187931145637</v>
      </c>
      <c r="Z8">
        <v>69.571001250042684</v>
      </c>
      <c r="AA8">
        <v>0</v>
      </c>
      <c r="AB8">
        <v>0</v>
      </c>
    </row>
    <row r="9" spans="1:28" x14ac:dyDescent="0.3">
      <c r="A9">
        <v>0</v>
      </c>
      <c r="B9" t="s">
        <v>28</v>
      </c>
      <c r="C9" t="s">
        <v>29</v>
      </c>
      <c r="D9">
        <v>26937</v>
      </c>
      <c r="E9" s="28">
        <v>45971.604166666657</v>
      </c>
      <c r="F9">
        <v>316.57</v>
      </c>
      <c r="G9">
        <v>798.58</v>
      </c>
      <c r="H9">
        <v>316.60165699999999</v>
      </c>
      <c r="I9">
        <v>798.5001420000001</v>
      </c>
      <c r="J9">
        <v>-3.6665214631979861</v>
      </c>
      <c r="K9">
        <v>0.66743014811490775</v>
      </c>
      <c r="L9">
        <v>315.88590201219318</v>
      </c>
      <c r="M9">
        <v>-83.577117898633546</v>
      </c>
      <c r="N9" t="s">
        <v>32</v>
      </c>
      <c r="O9">
        <v>300000000000</v>
      </c>
      <c r="P9" t="s">
        <v>31</v>
      </c>
      <c r="Q9">
        <v>26942</v>
      </c>
      <c r="R9" s="28">
        <v>45971.607638888891</v>
      </c>
      <c r="S9">
        <v>319.07</v>
      </c>
      <c r="T9">
        <v>804.4</v>
      </c>
      <c r="U9">
        <v>-0.2207053507198746</v>
      </c>
      <c r="V9">
        <v>303.29592886044099</v>
      </c>
      <c r="W9">
        <v>269.81971254003599</v>
      </c>
      <c r="X9">
        <v>0</v>
      </c>
      <c r="Y9">
        <v>5.1588590201219322</v>
      </c>
      <c r="Z9">
        <v>264.66085351991399</v>
      </c>
      <c r="AA9">
        <v>0</v>
      </c>
      <c r="AB9">
        <v>0</v>
      </c>
    </row>
    <row r="10" spans="1:28" x14ac:dyDescent="0.3">
      <c r="A10">
        <v>0</v>
      </c>
      <c r="B10" t="s">
        <v>28</v>
      </c>
      <c r="C10" t="s">
        <v>29</v>
      </c>
      <c r="D10">
        <v>27327</v>
      </c>
      <c r="E10" s="28">
        <v>45972.604166666657</v>
      </c>
      <c r="F10">
        <v>318.78500000000003</v>
      </c>
      <c r="G10">
        <v>801.62</v>
      </c>
      <c r="H10">
        <v>318.75312150000002</v>
      </c>
      <c r="I10">
        <v>801.70016199999998</v>
      </c>
      <c r="J10">
        <v>3.8655946781604049</v>
      </c>
      <c r="K10">
        <v>0.66743014811490775</v>
      </c>
      <c r="L10">
        <v>-313.6910456891008</v>
      </c>
      <c r="M10">
        <v>83.260166676842871</v>
      </c>
      <c r="N10" t="s">
        <v>30</v>
      </c>
      <c r="O10">
        <v>300000000000</v>
      </c>
      <c r="P10" t="s">
        <v>31</v>
      </c>
      <c r="Q10">
        <v>27332</v>
      </c>
      <c r="R10" s="28">
        <v>45972.607638888891</v>
      </c>
      <c r="S10">
        <v>316.99</v>
      </c>
      <c r="T10">
        <v>797.74</v>
      </c>
      <c r="U10">
        <v>9.1473394528701013E-2</v>
      </c>
      <c r="V10">
        <v>240.02598030579099</v>
      </c>
      <c r="W10">
        <v>206.76598983086069</v>
      </c>
      <c r="X10">
        <v>0</v>
      </c>
      <c r="Y10">
        <v>5.136910456891008</v>
      </c>
      <c r="Z10">
        <v>201.62907937396969</v>
      </c>
      <c r="AA10">
        <v>0</v>
      </c>
      <c r="AB10">
        <v>0</v>
      </c>
    </row>
    <row r="11" spans="1:28" x14ac:dyDescent="0.3">
      <c r="A11">
        <v>0</v>
      </c>
      <c r="B11" t="s">
        <v>28</v>
      </c>
      <c r="C11" t="s">
        <v>29</v>
      </c>
      <c r="D11">
        <v>27717</v>
      </c>
      <c r="E11" s="28">
        <v>45973.604166666657</v>
      </c>
      <c r="F11">
        <v>316.63</v>
      </c>
      <c r="G11">
        <v>816.83</v>
      </c>
      <c r="H11">
        <v>316.66166299999998</v>
      </c>
      <c r="I11">
        <v>816.74831700000004</v>
      </c>
      <c r="J11">
        <v>-4.1191154444316576</v>
      </c>
      <c r="K11">
        <v>0.66743014811490775</v>
      </c>
      <c r="L11">
        <v>315.82604301550708</v>
      </c>
      <c r="M11">
        <v>-81.709798625773757</v>
      </c>
      <c r="N11" t="s">
        <v>32</v>
      </c>
      <c r="O11">
        <v>480000000000</v>
      </c>
      <c r="P11" t="s">
        <v>31</v>
      </c>
      <c r="Q11">
        <v>27725</v>
      </c>
      <c r="R11" s="28">
        <v>45973.609722222223</v>
      </c>
      <c r="S11">
        <v>320.43</v>
      </c>
      <c r="T11">
        <v>829.34</v>
      </c>
      <c r="U11">
        <v>-9.1250948730464645E-2</v>
      </c>
      <c r="V11">
        <v>177.94938265050141</v>
      </c>
      <c r="W11">
        <v>144.37854683378509</v>
      </c>
      <c r="X11">
        <v>0</v>
      </c>
      <c r="Y11">
        <v>5.158260430155071</v>
      </c>
      <c r="Z11">
        <v>139.22028640363001</v>
      </c>
      <c r="AA11">
        <v>0</v>
      </c>
      <c r="AB11">
        <v>0</v>
      </c>
    </row>
    <row r="12" spans="1:28" x14ac:dyDescent="0.3">
      <c r="A12">
        <v>1</v>
      </c>
      <c r="B12" t="s">
        <v>33</v>
      </c>
      <c r="C12" t="s">
        <v>34</v>
      </c>
      <c r="D12">
        <v>28107</v>
      </c>
      <c r="E12" s="28">
        <v>45974.604166666657</v>
      </c>
      <c r="F12">
        <v>53.854999999999997</v>
      </c>
      <c r="G12">
        <v>86.21</v>
      </c>
      <c r="H12">
        <v>53.8603855</v>
      </c>
      <c r="I12">
        <v>86.201378999999989</v>
      </c>
      <c r="J12">
        <v>-4.2210563478432883</v>
      </c>
      <c r="K12">
        <v>0.78585230619059288</v>
      </c>
      <c r="L12">
        <v>1856.837805217714</v>
      </c>
      <c r="M12">
        <v>-911.55585917015776</v>
      </c>
      <c r="N12" t="s">
        <v>32</v>
      </c>
      <c r="O12">
        <v>960000000000</v>
      </c>
      <c r="P12" t="s">
        <v>31</v>
      </c>
      <c r="Q12">
        <v>28123</v>
      </c>
      <c r="R12" s="28">
        <v>45974.615277777782</v>
      </c>
      <c r="S12">
        <v>53.83</v>
      </c>
      <c r="T12">
        <v>86.07</v>
      </c>
      <c r="U12">
        <v>-0.46599467669538941</v>
      </c>
      <c r="V12">
        <v>81.196875153382393</v>
      </c>
      <c r="W12">
        <v>45.49723290610072</v>
      </c>
      <c r="X12">
        <v>0</v>
      </c>
      <c r="Y12">
        <v>27.68393664387872</v>
      </c>
      <c r="Z12">
        <v>17.813296262222</v>
      </c>
      <c r="AA12">
        <v>0</v>
      </c>
      <c r="AB12">
        <v>0</v>
      </c>
    </row>
    <row r="13" spans="1:28" x14ac:dyDescent="0.3">
      <c r="A13">
        <v>1</v>
      </c>
      <c r="B13" t="s">
        <v>33</v>
      </c>
      <c r="C13" t="s">
        <v>34</v>
      </c>
      <c r="D13">
        <v>28839</v>
      </c>
      <c r="E13" s="28">
        <v>45975.841666666667</v>
      </c>
      <c r="F13">
        <v>52.725000000000001</v>
      </c>
      <c r="G13">
        <v>85.125</v>
      </c>
      <c r="H13">
        <v>52.730272499999998</v>
      </c>
      <c r="I13">
        <v>85.116487500000005</v>
      </c>
      <c r="J13">
        <v>-3.745893958674877</v>
      </c>
      <c r="K13">
        <v>0.78585230619059288</v>
      </c>
      <c r="L13">
        <v>1896.6334755808441</v>
      </c>
      <c r="M13">
        <v>-923.17451534871418</v>
      </c>
      <c r="N13" t="s">
        <v>32</v>
      </c>
      <c r="O13">
        <v>1140000000000</v>
      </c>
      <c r="P13" t="s">
        <v>31</v>
      </c>
      <c r="Q13">
        <v>28858</v>
      </c>
      <c r="R13" s="28">
        <v>45975.854861111111</v>
      </c>
      <c r="S13">
        <v>52.615000000000002</v>
      </c>
      <c r="T13">
        <v>84.855000000000004</v>
      </c>
      <c r="U13">
        <v>-0.36520226419633572</v>
      </c>
      <c r="V13">
        <v>40.627436830257409</v>
      </c>
      <c r="W13">
        <v>4.9561793866043047</v>
      </c>
      <c r="X13">
        <v>0</v>
      </c>
      <c r="Y13">
        <v>28.198079909295579</v>
      </c>
      <c r="Z13">
        <v>-23.241900522691271</v>
      </c>
      <c r="AA13">
        <v>0</v>
      </c>
      <c r="AB13">
        <v>0</v>
      </c>
    </row>
    <row r="14" spans="1:28" x14ac:dyDescent="0.3">
      <c r="A14">
        <v>1</v>
      </c>
      <c r="B14" t="s">
        <v>33</v>
      </c>
      <c r="C14" t="s">
        <v>34</v>
      </c>
      <c r="D14">
        <v>29105</v>
      </c>
      <c r="E14" s="28">
        <v>45978.755555555559</v>
      </c>
      <c r="F14">
        <v>52.09</v>
      </c>
      <c r="G14">
        <v>84.31</v>
      </c>
      <c r="H14">
        <v>52.095208999999997</v>
      </c>
      <c r="I14">
        <v>84.301569000000001</v>
      </c>
      <c r="J14">
        <v>-4.0396525736708373</v>
      </c>
      <c r="K14">
        <v>0.78585230619059288</v>
      </c>
      <c r="L14">
        <v>1919.754271453254</v>
      </c>
      <c r="M14">
        <v>-932.09857216296155</v>
      </c>
      <c r="N14" t="s">
        <v>32</v>
      </c>
      <c r="O14">
        <v>1020000000000</v>
      </c>
      <c r="P14" t="s">
        <v>31</v>
      </c>
      <c r="Q14">
        <v>29122</v>
      </c>
      <c r="R14" s="28">
        <v>45978.767361111109</v>
      </c>
      <c r="S14">
        <v>52.034999999999997</v>
      </c>
      <c r="T14">
        <v>84.14</v>
      </c>
      <c r="U14">
        <v>-0.2084183861681452</v>
      </c>
      <c r="V14">
        <v>52.870272337763012</v>
      </c>
      <c r="W14">
        <v>17.1796305381656</v>
      </c>
      <c r="X14">
        <v>0</v>
      </c>
      <c r="Y14">
        <v>28.51852843616215</v>
      </c>
      <c r="Z14">
        <v>-11.33889789799656</v>
      </c>
      <c r="AA14">
        <v>0</v>
      </c>
      <c r="AB14">
        <v>0</v>
      </c>
    </row>
    <row r="15" spans="1:28" x14ac:dyDescent="0.3">
      <c r="A15">
        <v>1</v>
      </c>
      <c r="B15" t="s">
        <v>33</v>
      </c>
      <c r="C15" t="s">
        <v>34</v>
      </c>
      <c r="D15">
        <v>29668</v>
      </c>
      <c r="E15" s="28">
        <v>45980.604861111111</v>
      </c>
      <c r="F15">
        <v>51.95</v>
      </c>
      <c r="G15">
        <v>84.105000000000004</v>
      </c>
      <c r="H15">
        <v>51.944805000000002</v>
      </c>
      <c r="I15">
        <v>84.113410500000001</v>
      </c>
      <c r="J15">
        <v>4.3006198284064601</v>
      </c>
      <c r="K15">
        <v>0.78585230619059288</v>
      </c>
      <c r="L15">
        <v>-1924.9278152069301</v>
      </c>
      <c r="M15">
        <v>934.37049662991842</v>
      </c>
      <c r="N15" t="s">
        <v>30</v>
      </c>
      <c r="O15">
        <v>1560000000000</v>
      </c>
      <c r="P15" t="s">
        <v>31</v>
      </c>
      <c r="Q15">
        <v>29694</v>
      </c>
      <c r="R15" s="28">
        <v>45980.622916666667</v>
      </c>
      <c r="S15">
        <v>52.164999999999999</v>
      </c>
      <c r="T15">
        <v>84.43</v>
      </c>
      <c r="U15">
        <v>0.40318604394793323</v>
      </c>
      <c r="V15">
        <v>-110.18906886475661</v>
      </c>
      <c r="W15">
        <v>-145.97786797772559</v>
      </c>
      <c r="X15">
        <v>0</v>
      </c>
      <c r="Y15">
        <v>28.59298311836848</v>
      </c>
      <c r="Z15">
        <v>-174.57085109609409</v>
      </c>
      <c r="AA15">
        <v>0</v>
      </c>
      <c r="AB15">
        <v>0</v>
      </c>
    </row>
    <row r="16" spans="1:28" x14ac:dyDescent="0.3">
      <c r="A16">
        <v>1</v>
      </c>
      <c r="B16" t="s">
        <v>33</v>
      </c>
      <c r="C16" t="s">
        <v>34</v>
      </c>
      <c r="D16">
        <v>31217</v>
      </c>
      <c r="E16" s="28">
        <v>45985.868055555547</v>
      </c>
      <c r="F16">
        <v>51.96</v>
      </c>
      <c r="G16">
        <v>84.86</v>
      </c>
      <c r="H16">
        <v>51.965195999999999</v>
      </c>
      <c r="I16">
        <v>84.851513999999995</v>
      </c>
      <c r="J16">
        <v>-3.561478750527765</v>
      </c>
      <c r="K16">
        <v>0.78585230619059288</v>
      </c>
      <c r="L16">
        <v>1924.5573518090839</v>
      </c>
      <c r="M16">
        <v>-926.0573959351791</v>
      </c>
      <c r="N16" t="s">
        <v>32</v>
      </c>
      <c r="O16">
        <v>64200000000000</v>
      </c>
      <c r="P16" t="s">
        <v>31</v>
      </c>
      <c r="Q16">
        <v>31237</v>
      </c>
      <c r="R16" s="28">
        <v>45986.611111111109</v>
      </c>
      <c r="S16">
        <v>52.51</v>
      </c>
      <c r="T16">
        <v>85.14</v>
      </c>
      <c r="U16">
        <v>0.40215491859391322</v>
      </c>
      <c r="V16">
        <v>799.21047263313949</v>
      </c>
      <c r="W16">
        <v>763.3616462478841</v>
      </c>
      <c r="X16">
        <v>0</v>
      </c>
      <c r="Y16">
        <v>28.506147477442632</v>
      </c>
      <c r="Z16">
        <v>734.8554987704415</v>
      </c>
      <c r="AA16">
        <v>0</v>
      </c>
      <c r="AB16">
        <v>0</v>
      </c>
    </row>
    <row r="17" spans="1:28" x14ac:dyDescent="0.3">
      <c r="A17">
        <v>1</v>
      </c>
      <c r="B17" t="s">
        <v>33</v>
      </c>
      <c r="C17" t="s">
        <v>34</v>
      </c>
      <c r="D17">
        <v>31444</v>
      </c>
      <c r="E17" s="28">
        <v>45986.754861111112</v>
      </c>
      <c r="F17">
        <v>52.65</v>
      </c>
      <c r="G17">
        <v>84.8</v>
      </c>
      <c r="H17">
        <v>52.655265</v>
      </c>
      <c r="I17">
        <v>84.791519999999991</v>
      </c>
      <c r="J17">
        <v>-3.5053921256827349</v>
      </c>
      <c r="K17">
        <v>0.78585230619059288</v>
      </c>
      <c r="L17">
        <v>1899.3352326685661</v>
      </c>
      <c r="M17">
        <v>-926.71262522475581</v>
      </c>
      <c r="N17" t="s">
        <v>32</v>
      </c>
      <c r="O17">
        <v>1920000000000</v>
      </c>
      <c r="P17" t="s">
        <v>31</v>
      </c>
      <c r="Q17">
        <v>31476</v>
      </c>
      <c r="R17" s="28">
        <v>45986.777083333327</v>
      </c>
      <c r="S17">
        <v>52.71</v>
      </c>
      <c r="T17">
        <v>85.025000000000006</v>
      </c>
      <c r="U17">
        <v>-0.49317776811967429</v>
      </c>
      <c r="V17">
        <v>-94.550226715459686</v>
      </c>
      <c r="W17">
        <v>-130.29951988474949</v>
      </c>
      <c r="X17">
        <v>0</v>
      </c>
      <c r="Y17">
        <v>28.26047857893322</v>
      </c>
      <c r="Z17">
        <v>-158.55999846368269</v>
      </c>
      <c r="AA17">
        <v>0</v>
      </c>
      <c r="AB17">
        <v>0</v>
      </c>
    </row>
    <row r="18" spans="1:28" x14ac:dyDescent="0.3">
      <c r="A18">
        <v>1</v>
      </c>
      <c r="B18" t="s">
        <v>33</v>
      </c>
      <c r="C18" t="s">
        <v>34</v>
      </c>
      <c r="D18">
        <v>31612</v>
      </c>
      <c r="E18" s="28">
        <v>45986.871527777781</v>
      </c>
      <c r="F18">
        <v>52.505000000000003</v>
      </c>
      <c r="G18">
        <v>85.055000000000007</v>
      </c>
      <c r="H18">
        <v>52.510250500000012</v>
      </c>
      <c r="I18">
        <v>85.046494500000009</v>
      </c>
      <c r="J18">
        <v>-3.5933744947512318</v>
      </c>
      <c r="K18">
        <v>0.78585230619059288</v>
      </c>
      <c r="L18">
        <v>1904.58051614132</v>
      </c>
      <c r="M18">
        <v>-923.93428509857483</v>
      </c>
      <c r="N18" t="s">
        <v>32</v>
      </c>
      <c r="O18">
        <v>63600000000000</v>
      </c>
      <c r="P18" t="s">
        <v>31</v>
      </c>
      <c r="Q18">
        <v>31622</v>
      </c>
      <c r="R18" s="28">
        <v>45987.607638888891</v>
      </c>
      <c r="S18">
        <v>52.78</v>
      </c>
      <c r="T18">
        <v>85.49</v>
      </c>
      <c r="U18">
        <v>-5.0359074003137577E-2</v>
      </c>
      <c r="V18">
        <v>121.84822792099121</v>
      </c>
      <c r="W18">
        <v>86.038614691584201</v>
      </c>
      <c r="X18">
        <v>0</v>
      </c>
      <c r="Y18">
        <v>28.285148012398949</v>
      </c>
      <c r="Z18">
        <v>57.753466679185252</v>
      </c>
      <c r="AA18">
        <v>0</v>
      </c>
      <c r="AB18">
        <v>0</v>
      </c>
    </row>
    <row r="19" spans="1:28" x14ac:dyDescent="0.3">
      <c r="A19">
        <v>2</v>
      </c>
      <c r="B19" t="s">
        <v>33</v>
      </c>
      <c r="C19" t="s">
        <v>34</v>
      </c>
      <c r="D19">
        <v>32007</v>
      </c>
      <c r="E19" s="28">
        <v>45989.604166666657</v>
      </c>
      <c r="F19">
        <v>53.05</v>
      </c>
      <c r="G19">
        <v>85.48</v>
      </c>
      <c r="H19">
        <v>53.044694999999997</v>
      </c>
      <c r="I19">
        <v>85.488548000000009</v>
      </c>
      <c r="J19">
        <v>4.5358081524885527</v>
      </c>
      <c r="K19">
        <v>0.73858207225207795</v>
      </c>
      <c r="L19">
        <v>-1885.0141376060319</v>
      </c>
      <c r="M19">
        <v>864.04079580261805</v>
      </c>
      <c r="N19" t="s">
        <v>30</v>
      </c>
      <c r="O19">
        <v>2880000000000</v>
      </c>
      <c r="P19" t="s">
        <v>31</v>
      </c>
      <c r="Q19">
        <v>32055</v>
      </c>
      <c r="R19" s="28">
        <v>45989.637499999997</v>
      </c>
      <c r="S19">
        <v>53.64</v>
      </c>
      <c r="T19">
        <v>85.89</v>
      </c>
      <c r="U19">
        <v>0.45483686562535858</v>
      </c>
      <c r="V19">
        <v>-757.90161490849493</v>
      </c>
      <c r="W19">
        <v>-792.81989786028782</v>
      </c>
      <c r="X19">
        <v>0</v>
      </c>
      <c r="Y19">
        <v>27.490549334086499</v>
      </c>
      <c r="Z19">
        <v>-820.31044719437432</v>
      </c>
      <c r="AA19">
        <v>0</v>
      </c>
      <c r="AB19">
        <v>0</v>
      </c>
    </row>
    <row r="20" spans="1:28" x14ac:dyDescent="0.3">
      <c r="A20">
        <v>2</v>
      </c>
      <c r="B20" t="s">
        <v>33</v>
      </c>
      <c r="C20" t="s">
        <v>34</v>
      </c>
      <c r="D20">
        <v>32217</v>
      </c>
      <c r="E20" s="28">
        <v>45992.604166666657</v>
      </c>
      <c r="F20">
        <v>53.524999999999999</v>
      </c>
      <c r="G20">
        <v>85.885000000000005</v>
      </c>
      <c r="H20">
        <v>53.530352499999999</v>
      </c>
      <c r="I20">
        <v>85.876411500000003</v>
      </c>
      <c r="J20">
        <v>-4.2270288898543331</v>
      </c>
      <c r="K20">
        <v>0.73858207225207795</v>
      </c>
      <c r="L20">
        <v>1868.285847734704</v>
      </c>
      <c r="M20">
        <v>-859.96631804398658</v>
      </c>
      <c r="N20" t="s">
        <v>32</v>
      </c>
      <c r="O20">
        <v>60000000000</v>
      </c>
      <c r="P20" t="s">
        <v>31</v>
      </c>
      <c r="Q20">
        <v>32218</v>
      </c>
      <c r="R20" s="28">
        <v>45992.604861111111</v>
      </c>
      <c r="S20">
        <v>53.54</v>
      </c>
      <c r="T20">
        <v>85.66</v>
      </c>
      <c r="U20">
        <v>0.16301467559101179</v>
      </c>
      <c r="V20">
        <v>221.5167092759259</v>
      </c>
      <c r="W20">
        <v>186.7616146442698</v>
      </c>
      <c r="X20">
        <v>0</v>
      </c>
      <c r="Y20">
        <v>27.282521657786901</v>
      </c>
      <c r="Z20">
        <v>159.4790929864829</v>
      </c>
      <c r="AA20">
        <v>0</v>
      </c>
      <c r="AB20">
        <v>0</v>
      </c>
    </row>
    <row r="21" spans="1:28" x14ac:dyDescent="0.3">
      <c r="A21">
        <v>2</v>
      </c>
      <c r="B21" t="s">
        <v>33</v>
      </c>
      <c r="C21" t="s">
        <v>34</v>
      </c>
      <c r="D21">
        <v>32614</v>
      </c>
      <c r="E21" s="28">
        <v>45993.609027777777</v>
      </c>
      <c r="F21">
        <v>53.25</v>
      </c>
      <c r="G21">
        <v>85.77</v>
      </c>
      <c r="H21">
        <v>53.255324999999999</v>
      </c>
      <c r="I21">
        <v>85.761422999999994</v>
      </c>
      <c r="J21">
        <v>-3.6888173964009101</v>
      </c>
      <c r="K21">
        <v>0.73858207225207795</v>
      </c>
      <c r="L21">
        <v>1877.93427230047</v>
      </c>
      <c r="M21">
        <v>-861.11935671222795</v>
      </c>
      <c r="N21" t="s">
        <v>32</v>
      </c>
      <c r="O21">
        <v>1020000000000</v>
      </c>
      <c r="P21" t="s">
        <v>31</v>
      </c>
      <c r="Q21">
        <v>32631</v>
      </c>
      <c r="R21" s="28">
        <v>45993.620833333327</v>
      </c>
      <c r="S21">
        <v>53.134999999999998</v>
      </c>
      <c r="T21">
        <v>85.39</v>
      </c>
      <c r="U21">
        <v>-0.28159100552270649</v>
      </c>
      <c r="V21">
        <v>111.262914236085</v>
      </c>
      <c r="W21">
        <v>76.545591570730778</v>
      </c>
      <c r="X21">
        <v>0</v>
      </c>
      <c r="Y21">
        <v>27.39053629012697</v>
      </c>
      <c r="Z21">
        <v>49.155055280603797</v>
      </c>
      <c r="AA21">
        <v>0</v>
      </c>
      <c r="AB21">
        <v>0</v>
      </c>
    </row>
    <row r="22" spans="1:28" x14ac:dyDescent="0.3">
      <c r="A22">
        <v>2</v>
      </c>
      <c r="B22" t="s">
        <v>33</v>
      </c>
      <c r="C22" t="s">
        <v>34</v>
      </c>
      <c r="D22">
        <v>32998</v>
      </c>
      <c r="E22" s="28">
        <v>45994.604166666657</v>
      </c>
      <c r="F22">
        <v>53.3</v>
      </c>
      <c r="G22">
        <v>86.31</v>
      </c>
      <c r="H22">
        <v>53.294670000000004</v>
      </c>
      <c r="I22">
        <v>86.318630999999996</v>
      </c>
      <c r="J22">
        <v>4.1634247093211707</v>
      </c>
      <c r="K22">
        <v>0.73858207225207795</v>
      </c>
      <c r="L22">
        <v>-1876.172607879925</v>
      </c>
      <c r="M22">
        <v>855.73174864103567</v>
      </c>
      <c r="N22" t="s">
        <v>30</v>
      </c>
      <c r="O22">
        <v>1020000000000</v>
      </c>
      <c r="P22" t="s">
        <v>31</v>
      </c>
      <c r="Q22">
        <v>33015</v>
      </c>
      <c r="R22" s="28">
        <v>45994.615972222222</v>
      </c>
      <c r="S22">
        <v>53.524999999999999</v>
      </c>
      <c r="T22">
        <v>86.83</v>
      </c>
      <c r="U22">
        <v>0.47469369829974212</v>
      </c>
      <c r="V22">
        <v>22.841672520349391</v>
      </c>
      <c r="W22">
        <v>-12.01668085930072</v>
      </c>
      <c r="X22">
        <v>0</v>
      </c>
      <c r="Y22">
        <v>27.319043565209601</v>
      </c>
      <c r="Z22">
        <v>-39.335724424510317</v>
      </c>
      <c r="AA22">
        <v>0</v>
      </c>
      <c r="AB22">
        <v>0</v>
      </c>
    </row>
    <row r="23" spans="1:28" x14ac:dyDescent="0.3">
      <c r="A23">
        <v>2</v>
      </c>
      <c r="B23" t="s">
        <v>33</v>
      </c>
      <c r="C23" t="s">
        <v>34</v>
      </c>
      <c r="D23">
        <v>34559</v>
      </c>
      <c r="E23" s="28">
        <v>46000.604861111111</v>
      </c>
      <c r="F23">
        <v>54.005000000000003</v>
      </c>
      <c r="G23">
        <v>89.76</v>
      </c>
      <c r="H23">
        <v>53.999599500000002</v>
      </c>
      <c r="I23">
        <v>89.768976000000009</v>
      </c>
      <c r="J23">
        <v>3.5672352167586561</v>
      </c>
      <c r="K23">
        <v>0.73858207225207795</v>
      </c>
      <c r="L23">
        <v>-1851.680399962966</v>
      </c>
      <c r="M23">
        <v>822.84098958564823</v>
      </c>
      <c r="N23" t="s">
        <v>30</v>
      </c>
      <c r="O23">
        <v>300000000000</v>
      </c>
      <c r="P23" t="s">
        <v>31</v>
      </c>
      <c r="Q23">
        <v>34564</v>
      </c>
      <c r="R23" s="28">
        <v>46000.60833333333</v>
      </c>
      <c r="S23">
        <v>53.83</v>
      </c>
      <c r="T23">
        <v>89.754999999999995</v>
      </c>
      <c r="U23">
        <v>0.1189470488794544</v>
      </c>
      <c r="V23">
        <v>319.92986504559082</v>
      </c>
      <c r="W23">
        <v>285.19103942803139</v>
      </c>
      <c r="X23">
        <v>0</v>
      </c>
      <c r="Y23">
        <v>26.745213895486149</v>
      </c>
      <c r="Z23">
        <v>258.44582553254531</v>
      </c>
      <c r="AA23">
        <v>0</v>
      </c>
      <c r="AB23">
        <v>0</v>
      </c>
    </row>
    <row r="24" spans="1:28" x14ac:dyDescent="0.3">
      <c r="A24">
        <v>2</v>
      </c>
      <c r="B24" t="s">
        <v>33</v>
      </c>
      <c r="C24" t="s">
        <v>34</v>
      </c>
      <c r="D24">
        <v>35304</v>
      </c>
      <c r="E24" s="28">
        <v>46001.851388888892</v>
      </c>
      <c r="F24">
        <v>53.914999999999999</v>
      </c>
      <c r="G24">
        <v>90.32</v>
      </c>
      <c r="H24">
        <v>53.920391500000001</v>
      </c>
      <c r="I24">
        <v>90.310967999999988</v>
      </c>
      <c r="J24">
        <v>-3.5605367620328692</v>
      </c>
      <c r="K24">
        <v>0.73858207225207795</v>
      </c>
      <c r="L24">
        <v>1854.7713994250209</v>
      </c>
      <c r="M24">
        <v>-817.73922968564875</v>
      </c>
      <c r="N24" t="s">
        <v>32</v>
      </c>
      <c r="O24">
        <v>360000000000</v>
      </c>
      <c r="P24" t="s">
        <v>31</v>
      </c>
      <c r="Q24">
        <v>35310</v>
      </c>
      <c r="R24" s="28">
        <v>46001.855555555558</v>
      </c>
      <c r="S24">
        <v>54.27</v>
      </c>
      <c r="T24">
        <v>90.385000000000005</v>
      </c>
      <c r="U24">
        <v>5.9936538940913317E-2</v>
      </c>
      <c r="V24">
        <v>605.29079686631292</v>
      </c>
      <c r="W24">
        <v>570.44799573159435</v>
      </c>
      <c r="X24">
        <v>0</v>
      </c>
      <c r="Y24">
        <v>26.725106291106702</v>
      </c>
      <c r="Z24">
        <v>543.72288944048762</v>
      </c>
      <c r="AA24">
        <v>0</v>
      </c>
      <c r="AB24">
        <v>0</v>
      </c>
    </row>
    <row r="25" spans="1:28" x14ac:dyDescent="0.3">
      <c r="A25">
        <v>2</v>
      </c>
      <c r="B25" t="s">
        <v>33</v>
      </c>
      <c r="C25" t="s">
        <v>34</v>
      </c>
      <c r="D25">
        <v>35659</v>
      </c>
      <c r="E25" s="28">
        <v>46002.82708333333</v>
      </c>
      <c r="F25">
        <v>54.484999999999999</v>
      </c>
      <c r="G25">
        <v>93.055000000000007</v>
      </c>
      <c r="H25">
        <v>54.479551499999999</v>
      </c>
      <c r="I25">
        <v>93.064305500000003</v>
      </c>
      <c r="J25">
        <v>3.9191208143867051</v>
      </c>
      <c r="K25">
        <v>0.73858207225207795</v>
      </c>
      <c r="L25">
        <v>-1835.3675323483531</v>
      </c>
      <c r="M25">
        <v>793.70487588208891</v>
      </c>
      <c r="N25" t="s">
        <v>30</v>
      </c>
      <c r="O25">
        <v>67740000000000</v>
      </c>
      <c r="P25" t="s">
        <v>31</v>
      </c>
      <c r="Q25">
        <v>35738</v>
      </c>
      <c r="R25" s="28">
        <v>46003.611111111109</v>
      </c>
      <c r="S25">
        <v>54.515000000000001</v>
      </c>
      <c r="T25">
        <v>92.57</v>
      </c>
      <c r="U25">
        <v>0.166932250874507</v>
      </c>
      <c r="V25">
        <v>-440.00789077327659</v>
      </c>
      <c r="W25">
        <v>-474.74654363443523</v>
      </c>
      <c r="X25">
        <v>0</v>
      </c>
      <c r="Y25">
        <v>26.290724082304418</v>
      </c>
      <c r="Z25">
        <v>-501.03726771673962</v>
      </c>
      <c r="AA25">
        <v>0</v>
      </c>
      <c r="AB25">
        <v>0</v>
      </c>
    </row>
    <row r="26" spans="1:28" x14ac:dyDescent="0.3">
      <c r="A26">
        <v>3</v>
      </c>
      <c r="B26" t="s">
        <v>33</v>
      </c>
      <c r="C26" t="s">
        <v>34</v>
      </c>
      <c r="D26">
        <v>36509</v>
      </c>
      <c r="E26" s="28">
        <v>46007.604166666657</v>
      </c>
      <c r="F26">
        <v>54.965000000000003</v>
      </c>
      <c r="G26">
        <v>93.105000000000004</v>
      </c>
      <c r="H26">
        <v>54.970496500000003</v>
      </c>
      <c r="I26">
        <v>93.095689500000006</v>
      </c>
      <c r="J26">
        <v>-4.8712868232379254</v>
      </c>
      <c r="K26">
        <v>0.67544694522736837</v>
      </c>
      <c r="L26">
        <v>1819.339579732557</v>
      </c>
      <c r="M26">
        <v>-725.4679611485617</v>
      </c>
      <c r="N26" t="s">
        <v>32</v>
      </c>
      <c r="O26">
        <v>420000000000</v>
      </c>
      <c r="P26" t="s">
        <v>31</v>
      </c>
      <c r="Q26">
        <v>36516</v>
      </c>
      <c r="R26" s="28">
        <v>46007.609027777777</v>
      </c>
      <c r="S26">
        <v>55.35</v>
      </c>
      <c r="T26">
        <v>93.03</v>
      </c>
      <c r="U26">
        <v>-0.41313051329431483</v>
      </c>
      <c r="V26">
        <v>754.855835283175</v>
      </c>
      <c r="W26">
        <v>721.28229281451354</v>
      </c>
      <c r="X26">
        <v>0</v>
      </c>
      <c r="Y26">
        <v>25.448075408811189</v>
      </c>
      <c r="Z26">
        <v>695.83421740570236</v>
      </c>
      <c r="AA26">
        <v>0</v>
      </c>
      <c r="AB26">
        <v>1</v>
      </c>
    </row>
    <row r="27" spans="1:28" x14ac:dyDescent="0.3">
      <c r="A27">
        <v>3</v>
      </c>
      <c r="B27" t="s">
        <v>33</v>
      </c>
      <c r="C27" t="s">
        <v>34</v>
      </c>
      <c r="D27">
        <v>37290</v>
      </c>
      <c r="E27" s="28">
        <v>46009.604861111111</v>
      </c>
      <c r="F27">
        <v>54.594999999999999</v>
      </c>
      <c r="G27">
        <v>93.11</v>
      </c>
      <c r="H27">
        <v>54.600459499999999</v>
      </c>
      <c r="I27">
        <v>93.100689000000003</v>
      </c>
      <c r="J27">
        <v>-3.9272584295802511</v>
      </c>
      <c r="K27">
        <v>0.67544694522736837</v>
      </c>
      <c r="L27">
        <v>1831.669566810147</v>
      </c>
      <c r="M27">
        <v>-725.42900357358872</v>
      </c>
      <c r="N27" t="s">
        <v>32</v>
      </c>
      <c r="O27">
        <v>1500000000000</v>
      </c>
      <c r="P27" t="s">
        <v>31</v>
      </c>
      <c r="Q27">
        <v>37315</v>
      </c>
      <c r="R27" s="28">
        <v>46009.62222222222</v>
      </c>
      <c r="S27">
        <v>55.1</v>
      </c>
      <c r="T27">
        <v>93.704999999999998</v>
      </c>
      <c r="U27">
        <v>0.1467806767397242</v>
      </c>
      <c r="V27">
        <v>493.36287411284468</v>
      </c>
      <c r="W27">
        <v>459.71827286945808</v>
      </c>
      <c r="X27">
        <v>0</v>
      </c>
      <c r="Y27">
        <v>25.570985703837358</v>
      </c>
      <c r="Z27">
        <v>434.1472871656207</v>
      </c>
      <c r="AA27">
        <v>0</v>
      </c>
      <c r="AB27">
        <v>0</v>
      </c>
    </row>
    <row r="28" spans="1:28" x14ac:dyDescent="0.3">
      <c r="A28">
        <v>3</v>
      </c>
      <c r="B28" t="s">
        <v>33</v>
      </c>
      <c r="C28" t="s">
        <v>34</v>
      </c>
      <c r="D28">
        <v>37679</v>
      </c>
      <c r="E28" s="28">
        <v>46010.604166666657</v>
      </c>
      <c r="F28">
        <v>54.57</v>
      </c>
      <c r="G28">
        <v>91.7</v>
      </c>
      <c r="H28">
        <v>54.564543</v>
      </c>
      <c r="I28">
        <v>91.70917</v>
      </c>
      <c r="J28">
        <v>4.6807257199290877</v>
      </c>
      <c r="K28">
        <v>0.67544694522736837</v>
      </c>
      <c r="L28">
        <v>-1832.5087044163461</v>
      </c>
      <c r="M28">
        <v>736.58336447913678</v>
      </c>
      <c r="N28" t="s">
        <v>30</v>
      </c>
      <c r="O28">
        <v>1320000000000</v>
      </c>
      <c r="P28" t="s">
        <v>31</v>
      </c>
      <c r="Q28">
        <v>37701</v>
      </c>
      <c r="R28" s="28">
        <v>46010.619444444441</v>
      </c>
      <c r="S28">
        <v>54.75</v>
      </c>
      <c r="T28">
        <v>92.075000000000003</v>
      </c>
      <c r="U28">
        <v>0.41292147259224332</v>
      </c>
      <c r="V28">
        <v>-53.632805115265512</v>
      </c>
      <c r="W28">
        <v>-87.202351052654251</v>
      </c>
      <c r="X28">
        <v>0</v>
      </c>
      <c r="Y28">
        <v>25.690920688954829</v>
      </c>
      <c r="Z28">
        <v>-112.8932717416091</v>
      </c>
      <c r="AA28">
        <v>0</v>
      </c>
      <c r="AB28">
        <v>0</v>
      </c>
    </row>
    <row r="29" spans="1:28" x14ac:dyDescent="0.3">
      <c r="A29">
        <v>3</v>
      </c>
      <c r="B29" t="s">
        <v>33</v>
      </c>
      <c r="C29" t="s">
        <v>34</v>
      </c>
      <c r="D29">
        <v>38190</v>
      </c>
      <c r="E29" s="28">
        <v>46013.688194444447</v>
      </c>
      <c r="F29">
        <v>55.87</v>
      </c>
      <c r="G29">
        <v>94.01</v>
      </c>
      <c r="H29">
        <v>55.864412999999999</v>
      </c>
      <c r="I29">
        <v>94.019401000000002</v>
      </c>
      <c r="J29">
        <v>3.6342178099281259</v>
      </c>
      <c r="K29">
        <v>0.67544694522736837</v>
      </c>
      <c r="L29">
        <v>-1789.869339538214</v>
      </c>
      <c r="M29">
        <v>718.48414554554665</v>
      </c>
      <c r="N29" t="s">
        <v>30</v>
      </c>
      <c r="O29">
        <v>960000000000</v>
      </c>
      <c r="P29" t="s">
        <v>31</v>
      </c>
      <c r="Q29">
        <v>38206</v>
      </c>
      <c r="R29" s="28">
        <v>46013.699305555558</v>
      </c>
      <c r="S29">
        <v>55.914999999999999</v>
      </c>
      <c r="T29">
        <v>94.114999999999995</v>
      </c>
      <c r="U29">
        <v>0.4871990736000601</v>
      </c>
      <c r="V29">
        <v>-5.1032849969476217</v>
      </c>
      <c r="W29">
        <v>-38.627822397047602</v>
      </c>
      <c r="X29">
        <v>0</v>
      </c>
      <c r="Y29">
        <v>25.083534850837609</v>
      </c>
      <c r="Z29">
        <v>-63.711357247885203</v>
      </c>
      <c r="AA29">
        <v>0</v>
      </c>
      <c r="AB29">
        <v>0</v>
      </c>
    </row>
    <row r="30" spans="1:28" x14ac:dyDescent="0.3">
      <c r="A30">
        <v>3</v>
      </c>
      <c r="B30" t="s">
        <v>33</v>
      </c>
      <c r="C30" t="s">
        <v>34</v>
      </c>
      <c r="D30">
        <v>38306</v>
      </c>
      <c r="E30" s="28">
        <v>46013.768750000003</v>
      </c>
      <c r="F30">
        <v>55.98</v>
      </c>
      <c r="G30">
        <v>93.99</v>
      </c>
      <c r="H30">
        <v>55.985598000000003</v>
      </c>
      <c r="I30">
        <v>93.980600999999993</v>
      </c>
      <c r="J30">
        <v>-4.0638487169769828</v>
      </c>
      <c r="K30">
        <v>0.67544694522736837</v>
      </c>
      <c r="L30">
        <v>1786.3522686673809</v>
      </c>
      <c r="M30">
        <v>-718.63703077707044</v>
      </c>
      <c r="N30" t="s">
        <v>32</v>
      </c>
      <c r="O30">
        <v>1620000000000</v>
      </c>
      <c r="P30" t="s">
        <v>31</v>
      </c>
      <c r="Q30">
        <v>38333</v>
      </c>
      <c r="R30" s="28">
        <v>46013.787499999999</v>
      </c>
      <c r="S30">
        <v>55.954999999999998</v>
      </c>
      <c r="T30">
        <v>93.96</v>
      </c>
      <c r="U30">
        <v>1.747268571627382E-2</v>
      </c>
      <c r="V30">
        <v>-23.099695793369069</v>
      </c>
      <c r="W30">
        <v>-56.602012906145831</v>
      </c>
      <c r="X30">
        <v>0</v>
      </c>
      <c r="Y30">
        <v>25.049892994444519</v>
      </c>
      <c r="Z30">
        <v>-81.65190590059035</v>
      </c>
      <c r="AA30">
        <v>0</v>
      </c>
      <c r="AB30">
        <v>0</v>
      </c>
    </row>
    <row r="31" spans="1:28" x14ac:dyDescent="0.3">
      <c r="A31">
        <v>3</v>
      </c>
      <c r="B31" t="s">
        <v>33</v>
      </c>
      <c r="C31" t="s">
        <v>34</v>
      </c>
      <c r="D31">
        <v>38659</v>
      </c>
      <c r="E31" s="28">
        <v>46014.743055555547</v>
      </c>
      <c r="F31">
        <v>55.95</v>
      </c>
      <c r="G31">
        <v>94.22</v>
      </c>
      <c r="H31">
        <v>55.955595000000002</v>
      </c>
      <c r="I31">
        <v>94.210577999999998</v>
      </c>
      <c r="J31">
        <v>-3.6283825468592101</v>
      </c>
      <c r="K31">
        <v>0.67544694522736837</v>
      </c>
      <c r="L31">
        <v>1787.3100983020549</v>
      </c>
      <c r="M31">
        <v>-716.88276929247343</v>
      </c>
      <c r="N31" t="s">
        <v>32</v>
      </c>
      <c r="O31">
        <v>900000000000</v>
      </c>
      <c r="P31" t="s">
        <v>31</v>
      </c>
      <c r="Q31">
        <v>38674</v>
      </c>
      <c r="R31" s="28">
        <v>46014.753472222219</v>
      </c>
      <c r="S31">
        <v>56.024999999999999</v>
      </c>
      <c r="T31">
        <v>94.29</v>
      </c>
      <c r="U31">
        <v>0.17646003124991719</v>
      </c>
      <c r="V31">
        <v>83.86646352216809</v>
      </c>
      <c r="W31">
        <v>50.33910161249716</v>
      </c>
      <c r="X31">
        <v>0</v>
      </c>
      <c r="Y31">
        <v>25.041928675945289</v>
      </c>
      <c r="Z31">
        <v>25.29717293655187</v>
      </c>
      <c r="AA31">
        <v>0</v>
      </c>
      <c r="AB31">
        <v>0</v>
      </c>
    </row>
    <row r="32" spans="1:28" x14ac:dyDescent="0.3">
      <c r="A32">
        <v>3</v>
      </c>
      <c r="B32" t="s">
        <v>33</v>
      </c>
      <c r="C32" t="s">
        <v>34</v>
      </c>
      <c r="D32">
        <v>39059</v>
      </c>
      <c r="E32" s="28">
        <v>46017.604166666657</v>
      </c>
      <c r="F32">
        <v>56.42</v>
      </c>
      <c r="G32">
        <v>95.27</v>
      </c>
      <c r="H32">
        <v>56.414358</v>
      </c>
      <c r="I32">
        <v>95.279527000000002</v>
      </c>
      <c r="J32">
        <v>3.7111055443046821</v>
      </c>
      <c r="K32">
        <v>0.67544694522736837</v>
      </c>
      <c r="L32">
        <v>-1772.421127259837</v>
      </c>
      <c r="M32">
        <v>708.98178359123381</v>
      </c>
      <c r="N32" t="s">
        <v>30</v>
      </c>
      <c r="O32">
        <v>540000000000</v>
      </c>
      <c r="P32" t="s">
        <v>31</v>
      </c>
      <c r="Q32">
        <v>39068</v>
      </c>
      <c r="R32" s="28">
        <v>46017.61041666667</v>
      </c>
      <c r="S32">
        <v>56.34</v>
      </c>
      <c r="T32">
        <v>95.295000000000002</v>
      </c>
      <c r="U32">
        <v>0.16521923481350759</v>
      </c>
      <c r="V32">
        <v>159.5182347705688</v>
      </c>
      <c r="W32">
        <v>126.02170278057299</v>
      </c>
      <c r="X32">
        <v>0</v>
      </c>
      <c r="Y32">
        <v>24.814029108510709</v>
      </c>
      <c r="Z32">
        <v>101.2076736720623</v>
      </c>
      <c r="AA32">
        <v>0</v>
      </c>
      <c r="AB32">
        <v>0</v>
      </c>
    </row>
    <row r="33" spans="1:28" x14ac:dyDescent="0.3">
      <c r="A33">
        <v>3</v>
      </c>
      <c r="B33" t="s">
        <v>33</v>
      </c>
      <c r="C33" t="s">
        <v>34</v>
      </c>
      <c r="D33">
        <v>39449</v>
      </c>
      <c r="E33" s="28">
        <v>46020.604166666657</v>
      </c>
      <c r="F33">
        <v>56.094999999999999</v>
      </c>
      <c r="G33">
        <v>95.37</v>
      </c>
      <c r="H33">
        <v>56.100609499999997</v>
      </c>
      <c r="I33">
        <v>95.36046300000001</v>
      </c>
      <c r="J33">
        <v>-3.6509998603878122</v>
      </c>
      <c r="K33">
        <v>0.67544694522736837</v>
      </c>
      <c r="L33">
        <v>1782.6900793297091</v>
      </c>
      <c r="M33">
        <v>-708.23838232921082</v>
      </c>
      <c r="N33" t="s">
        <v>32</v>
      </c>
      <c r="O33">
        <v>1380000000000</v>
      </c>
      <c r="P33" t="s">
        <v>31</v>
      </c>
      <c r="Q33">
        <v>39472</v>
      </c>
      <c r="R33" s="28">
        <v>46020.620138888888</v>
      </c>
      <c r="S33">
        <v>55.91</v>
      </c>
      <c r="T33">
        <v>94.92</v>
      </c>
      <c r="U33">
        <v>-0.4882463594947018</v>
      </c>
      <c r="V33">
        <v>-11.09039262785325</v>
      </c>
      <c r="W33">
        <v>-44.534481038722333</v>
      </c>
      <c r="X33">
        <v>0</v>
      </c>
      <c r="Y33">
        <v>24.90928461658919</v>
      </c>
      <c r="Z33">
        <v>-69.443765655311523</v>
      </c>
      <c r="AA33">
        <v>0</v>
      </c>
      <c r="AB33">
        <v>0</v>
      </c>
    </row>
    <row r="34" spans="1:28" x14ac:dyDescent="0.3">
      <c r="A34">
        <v>4</v>
      </c>
      <c r="B34" t="s">
        <v>29</v>
      </c>
      <c r="C34" t="s">
        <v>35</v>
      </c>
      <c r="D34">
        <v>39647</v>
      </c>
      <c r="E34" s="28">
        <v>46020.741666666669</v>
      </c>
      <c r="F34">
        <v>895.29</v>
      </c>
      <c r="G34">
        <v>50</v>
      </c>
      <c r="H34">
        <v>895.20047099999999</v>
      </c>
      <c r="I34">
        <v>50.005000000000003</v>
      </c>
      <c r="J34">
        <v>3.818762045885522</v>
      </c>
      <c r="K34">
        <v>1.0629441457980351</v>
      </c>
      <c r="L34">
        <v>-111.6956516882798</v>
      </c>
      <c r="M34">
        <v>2125.8882915960698</v>
      </c>
      <c r="N34" t="s">
        <v>30</v>
      </c>
      <c r="O34">
        <v>120000000000</v>
      </c>
      <c r="P34" t="s">
        <v>31</v>
      </c>
      <c r="Q34">
        <v>39649</v>
      </c>
      <c r="R34" s="28">
        <v>46020.743055555547</v>
      </c>
      <c r="S34">
        <v>894.23500000000001</v>
      </c>
      <c r="T34">
        <v>50.005000000000003</v>
      </c>
      <c r="U34">
        <v>0.4242514818579563</v>
      </c>
      <c r="V34">
        <v>128.4683539891154</v>
      </c>
      <c r="W34">
        <v>87.220192020262388</v>
      </c>
      <c r="X34">
        <v>0</v>
      </c>
      <c r="Y34">
        <v>23.258882915960701</v>
      </c>
      <c r="Z34">
        <v>63.961309104301691</v>
      </c>
      <c r="AA34">
        <v>0</v>
      </c>
      <c r="AB34">
        <v>0</v>
      </c>
    </row>
    <row r="35" spans="1:28" x14ac:dyDescent="0.3">
      <c r="A35">
        <v>4</v>
      </c>
      <c r="B35" t="s">
        <v>29</v>
      </c>
      <c r="C35" t="s">
        <v>35</v>
      </c>
      <c r="D35">
        <v>39843</v>
      </c>
      <c r="E35" s="28">
        <v>46021.606944444437</v>
      </c>
      <c r="F35">
        <v>886.02</v>
      </c>
      <c r="G35">
        <v>49.89</v>
      </c>
      <c r="H35">
        <v>886.10860200000002</v>
      </c>
      <c r="I35">
        <v>49.885010999999999</v>
      </c>
      <c r="J35">
        <v>-3.5361769730257442</v>
      </c>
      <c r="K35">
        <v>1.0629441457980351</v>
      </c>
      <c r="L35">
        <v>112.864269429584</v>
      </c>
      <c r="M35">
        <v>-2130.5755578232811</v>
      </c>
      <c r="N35" t="s">
        <v>32</v>
      </c>
      <c r="O35">
        <v>960000000000</v>
      </c>
      <c r="P35" t="s">
        <v>31</v>
      </c>
      <c r="Q35">
        <v>39859</v>
      </c>
      <c r="R35" s="28">
        <v>46021.618055555547</v>
      </c>
      <c r="S35">
        <v>885.94</v>
      </c>
      <c r="T35">
        <v>49.84</v>
      </c>
      <c r="U35">
        <v>-0.14096291227187049</v>
      </c>
      <c r="V35">
        <v>97.499636336799497</v>
      </c>
      <c r="W35">
        <v>56.252309212780773</v>
      </c>
      <c r="X35">
        <v>0</v>
      </c>
      <c r="Y35">
        <v>23.305755578232809</v>
      </c>
      <c r="Z35">
        <v>32.946553634547953</v>
      </c>
      <c r="AA35">
        <v>0</v>
      </c>
      <c r="AB35">
        <v>0</v>
      </c>
    </row>
    <row r="36" spans="1:28" x14ac:dyDescent="0.3">
      <c r="A36">
        <v>4</v>
      </c>
      <c r="B36" t="s">
        <v>29</v>
      </c>
      <c r="C36" t="s">
        <v>35</v>
      </c>
      <c r="D36">
        <v>40091</v>
      </c>
      <c r="E36" s="28">
        <v>46021.779166666667</v>
      </c>
      <c r="F36">
        <v>883.72</v>
      </c>
      <c r="G36">
        <v>49.484999999999999</v>
      </c>
      <c r="H36">
        <v>883.63162800000009</v>
      </c>
      <c r="I36">
        <v>49.489948499999997</v>
      </c>
      <c r="J36">
        <v>3.5218770474282071</v>
      </c>
      <c r="K36">
        <v>1.0629441457980351</v>
      </c>
      <c r="L36">
        <v>-113.1580138505409</v>
      </c>
      <c r="M36">
        <v>2148.0128236799742</v>
      </c>
      <c r="N36" t="s">
        <v>30</v>
      </c>
      <c r="O36">
        <v>780000000000</v>
      </c>
      <c r="P36" t="s">
        <v>31</v>
      </c>
      <c r="Q36">
        <v>40104</v>
      </c>
      <c r="R36" s="28">
        <v>46021.788194444453</v>
      </c>
      <c r="S36">
        <v>883.24</v>
      </c>
      <c r="T36">
        <v>49.5</v>
      </c>
      <c r="U36">
        <v>0.12975942766355411</v>
      </c>
      <c r="V36">
        <v>86.53603900346252</v>
      </c>
      <c r="W36">
        <v>45.279365652948087</v>
      </c>
      <c r="X36">
        <v>0</v>
      </c>
      <c r="Y36">
        <v>23.480128236799739</v>
      </c>
      <c r="Z36">
        <v>21.799237416148351</v>
      </c>
      <c r="AA36">
        <v>0</v>
      </c>
      <c r="AB36">
        <v>0</v>
      </c>
    </row>
    <row r="37" spans="1:28" x14ac:dyDescent="0.3">
      <c r="A37">
        <v>4</v>
      </c>
      <c r="B37" t="s">
        <v>29</v>
      </c>
      <c r="C37" t="s">
        <v>35</v>
      </c>
      <c r="D37">
        <v>40619</v>
      </c>
      <c r="E37" s="28">
        <v>46024.604166666657</v>
      </c>
      <c r="F37">
        <v>884.99</v>
      </c>
      <c r="G37">
        <v>49.34</v>
      </c>
      <c r="H37">
        <v>884.90150100000005</v>
      </c>
      <c r="I37">
        <v>49.344934000000002</v>
      </c>
      <c r="J37">
        <v>4.4671720557889936</v>
      </c>
      <c r="K37">
        <v>1.0629441457980351</v>
      </c>
      <c r="L37">
        <v>-112.9956270692324</v>
      </c>
      <c r="M37">
        <v>2154.3253867005169</v>
      </c>
      <c r="N37" t="s">
        <v>30</v>
      </c>
      <c r="O37">
        <v>1260000000000</v>
      </c>
      <c r="P37" t="s">
        <v>31</v>
      </c>
      <c r="Q37">
        <v>40640</v>
      </c>
      <c r="R37" s="28">
        <v>46024.618750000001</v>
      </c>
      <c r="S37">
        <v>883.29499999999996</v>
      </c>
      <c r="T37">
        <v>49.01</v>
      </c>
      <c r="U37">
        <v>0.46766325704105199</v>
      </c>
      <c r="V37">
        <v>-519.39978972882761</v>
      </c>
      <c r="W37">
        <v>-560.56842714822255</v>
      </c>
      <c r="X37">
        <v>0</v>
      </c>
      <c r="Y37">
        <v>23.54325386700517</v>
      </c>
      <c r="Z37">
        <v>-584.11168101522776</v>
      </c>
      <c r="AA37">
        <v>0</v>
      </c>
      <c r="AB37">
        <v>0</v>
      </c>
    </row>
    <row r="38" spans="1:28" x14ac:dyDescent="0.3">
      <c r="A38">
        <v>4</v>
      </c>
      <c r="B38" t="s">
        <v>29</v>
      </c>
      <c r="C38" t="s">
        <v>35</v>
      </c>
      <c r="D38">
        <v>41009</v>
      </c>
      <c r="E38" s="28">
        <v>46027.604166666657</v>
      </c>
      <c r="F38">
        <v>923.47500000000002</v>
      </c>
      <c r="G38">
        <v>49.94</v>
      </c>
      <c r="H38">
        <v>923.38265250000006</v>
      </c>
      <c r="I38">
        <v>49.944993999999987</v>
      </c>
      <c r="J38">
        <v>4.2141690897761492</v>
      </c>
      <c r="K38">
        <v>1.0629441457980351</v>
      </c>
      <c r="L38">
        <v>-108.2866347221094</v>
      </c>
      <c r="M38">
        <v>2128.4424225030739</v>
      </c>
      <c r="N38" t="s">
        <v>30</v>
      </c>
      <c r="O38">
        <v>2880000000000</v>
      </c>
      <c r="P38" t="s">
        <v>31</v>
      </c>
      <c r="Q38">
        <v>41057</v>
      </c>
      <c r="R38" s="28">
        <v>46027.637499999997</v>
      </c>
      <c r="S38">
        <v>955.77</v>
      </c>
      <c r="T38">
        <v>50.555</v>
      </c>
      <c r="U38">
        <v>0.46868178230096991</v>
      </c>
      <c r="V38">
        <v>-2188.124778511125</v>
      </c>
      <c r="W38">
        <v>-2229.86427232288</v>
      </c>
      <c r="X38">
        <v>0</v>
      </c>
      <c r="Y38">
        <v>23.28442422503074</v>
      </c>
      <c r="Z38">
        <v>-2253.1486965479112</v>
      </c>
      <c r="AA38">
        <v>0</v>
      </c>
      <c r="AB38">
        <v>0</v>
      </c>
    </row>
    <row r="39" spans="1:28" x14ac:dyDescent="0.3">
      <c r="A39">
        <v>4</v>
      </c>
      <c r="B39" t="s">
        <v>29</v>
      </c>
      <c r="C39" t="s">
        <v>35</v>
      </c>
      <c r="D39">
        <v>41392</v>
      </c>
      <c r="E39" s="28">
        <v>46027.870138888888</v>
      </c>
      <c r="F39">
        <v>949.11</v>
      </c>
      <c r="G39">
        <v>50.51</v>
      </c>
      <c r="H39">
        <v>949.20491100000004</v>
      </c>
      <c r="I39">
        <v>50.504949000000003</v>
      </c>
      <c r="J39">
        <v>-3.7224256281159191</v>
      </c>
      <c r="K39">
        <v>1.0629441457980351</v>
      </c>
      <c r="L39">
        <v>105.3618653264637</v>
      </c>
      <c r="M39">
        <v>-2104.423175208939</v>
      </c>
      <c r="N39" t="s">
        <v>32</v>
      </c>
      <c r="O39">
        <v>63600000000000</v>
      </c>
      <c r="P39" t="s">
        <v>31</v>
      </c>
      <c r="Q39">
        <v>41402</v>
      </c>
      <c r="R39" s="28">
        <v>46028.606249999997</v>
      </c>
      <c r="S39">
        <v>950.53</v>
      </c>
      <c r="T39">
        <v>50.454999999999998</v>
      </c>
      <c r="U39">
        <v>0.16799159704669431</v>
      </c>
      <c r="V39">
        <v>265.35712340006518</v>
      </c>
      <c r="W39">
        <v>224.09485342668211</v>
      </c>
      <c r="X39">
        <v>0</v>
      </c>
      <c r="Y39">
        <v>23.044231752089392</v>
      </c>
      <c r="Z39">
        <v>201.05062167459269</v>
      </c>
      <c r="AA39">
        <v>0</v>
      </c>
      <c r="AB39">
        <v>1</v>
      </c>
    </row>
    <row r="40" spans="1:28" x14ac:dyDescent="0.3">
      <c r="A40">
        <v>4</v>
      </c>
      <c r="B40" t="s">
        <v>29</v>
      </c>
      <c r="C40" t="s">
        <v>35</v>
      </c>
      <c r="D40">
        <v>42179</v>
      </c>
      <c r="E40" s="28">
        <v>46029.874305555553</v>
      </c>
      <c r="F40">
        <v>940.25</v>
      </c>
      <c r="G40">
        <v>50.585000000000001</v>
      </c>
      <c r="H40">
        <v>940.15597500000001</v>
      </c>
      <c r="I40">
        <v>50.590058499999998</v>
      </c>
      <c r="J40">
        <v>3.81762908368554</v>
      </c>
      <c r="K40">
        <v>1.0629441457980351</v>
      </c>
      <c r="L40">
        <v>-106.3546929008242</v>
      </c>
      <c r="M40">
        <v>2101.303045958357</v>
      </c>
      <c r="N40" t="s">
        <v>30</v>
      </c>
      <c r="O40">
        <v>63060000000000</v>
      </c>
      <c r="P40" t="s">
        <v>31</v>
      </c>
      <c r="Q40">
        <v>42180</v>
      </c>
      <c r="R40" s="28">
        <v>46030.604166666657</v>
      </c>
      <c r="S40">
        <v>935.86</v>
      </c>
      <c r="T40">
        <v>50.53</v>
      </c>
      <c r="U40">
        <v>0.28810108648480509</v>
      </c>
      <c r="V40">
        <v>351.32543430690788</v>
      </c>
      <c r="W40">
        <v>310.12479826790252</v>
      </c>
      <c r="X40">
        <v>0</v>
      </c>
      <c r="Y40">
        <v>23.013030459583579</v>
      </c>
      <c r="Z40">
        <v>287.11176780831897</v>
      </c>
      <c r="AA40">
        <v>0</v>
      </c>
      <c r="AB40">
        <v>0</v>
      </c>
    </row>
    <row r="41" spans="1:28" x14ac:dyDescent="0.3">
      <c r="A41">
        <v>4</v>
      </c>
      <c r="B41" t="s">
        <v>29</v>
      </c>
      <c r="C41" t="s">
        <v>35</v>
      </c>
      <c r="D41">
        <v>42576</v>
      </c>
      <c r="E41" s="28">
        <v>46031.60833333333</v>
      </c>
      <c r="F41">
        <v>943.56500000000005</v>
      </c>
      <c r="G41">
        <v>51.15</v>
      </c>
      <c r="H41">
        <v>943.47064350000005</v>
      </c>
      <c r="I41">
        <v>51.155115000000002</v>
      </c>
      <c r="J41">
        <v>3.5316793629141281</v>
      </c>
      <c r="K41">
        <v>1.0629441457980351</v>
      </c>
      <c r="L41">
        <v>-105.98103999194539</v>
      </c>
      <c r="M41">
        <v>2078.092171648163</v>
      </c>
      <c r="N41" t="s">
        <v>30</v>
      </c>
      <c r="O41">
        <v>420000000000</v>
      </c>
      <c r="P41" t="s">
        <v>31</v>
      </c>
      <c r="Q41">
        <v>42583</v>
      </c>
      <c r="R41" s="28">
        <v>46031.613194444442</v>
      </c>
      <c r="S41">
        <v>937.48</v>
      </c>
      <c r="T41">
        <v>50.97</v>
      </c>
      <c r="U41">
        <v>0.4328867329541039</v>
      </c>
      <c r="V41">
        <v>270.83803745432323</v>
      </c>
      <c r="W41">
        <v>229.6810496602954</v>
      </c>
      <c r="X41">
        <v>0</v>
      </c>
      <c r="Y41">
        <v>22.780921716481629</v>
      </c>
      <c r="Z41">
        <v>206.9001279438138</v>
      </c>
      <c r="AA41">
        <v>0</v>
      </c>
      <c r="AB41">
        <v>0</v>
      </c>
    </row>
    <row r="42" spans="1:28" x14ac:dyDescent="0.3">
      <c r="A42">
        <v>4</v>
      </c>
      <c r="B42" t="s">
        <v>29</v>
      </c>
      <c r="C42" t="s">
        <v>35</v>
      </c>
      <c r="D42">
        <v>42960</v>
      </c>
      <c r="E42" s="28">
        <v>46034.604166666657</v>
      </c>
      <c r="F42">
        <v>932.63</v>
      </c>
      <c r="G42">
        <v>50.075000000000003</v>
      </c>
      <c r="H42">
        <v>932.53673700000002</v>
      </c>
      <c r="I42">
        <v>50.080007500000001</v>
      </c>
      <c r="J42">
        <v>3.5573712294115998</v>
      </c>
      <c r="K42">
        <v>1.0629441457980351</v>
      </c>
      <c r="L42">
        <v>-107.22365782786309</v>
      </c>
      <c r="M42">
        <v>2122.7042352432049</v>
      </c>
      <c r="N42" t="s">
        <v>30</v>
      </c>
      <c r="O42">
        <v>1020000000000</v>
      </c>
      <c r="P42" t="s">
        <v>31</v>
      </c>
      <c r="Q42">
        <v>42977</v>
      </c>
      <c r="R42" s="28">
        <v>46034.615972222222</v>
      </c>
      <c r="S42">
        <v>938.03</v>
      </c>
      <c r="T42">
        <v>50.225000000000001</v>
      </c>
      <c r="U42">
        <v>9.7970410943422487E-2</v>
      </c>
      <c r="V42">
        <v>-260.60211698398069</v>
      </c>
      <c r="W42">
        <v>-301.95074123869358</v>
      </c>
      <c r="X42">
        <v>0</v>
      </c>
      <c r="Y42">
        <v>23.227042352432051</v>
      </c>
      <c r="Z42">
        <v>-325.1777835911256</v>
      </c>
      <c r="AA42">
        <v>2</v>
      </c>
      <c r="AB42">
        <v>0</v>
      </c>
    </row>
    <row r="43" spans="1:28" x14ac:dyDescent="0.3">
      <c r="A43">
        <v>4</v>
      </c>
      <c r="B43" t="s">
        <v>29</v>
      </c>
      <c r="C43" t="s">
        <v>35</v>
      </c>
      <c r="D43">
        <v>43350</v>
      </c>
      <c r="E43" s="28">
        <v>46035.604166666657</v>
      </c>
      <c r="F43">
        <v>946.24</v>
      </c>
      <c r="G43">
        <v>50.34</v>
      </c>
      <c r="H43">
        <v>946.33462399999996</v>
      </c>
      <c r="I43">
        <v>50.334966000000001</v>
      </c>
      <c r="J43">
        <v>-4.6714413484255939</v>
      </c>
      <c r="K43">
        <v>1.0629441457980351</v>
      </c>
      <c r="L43">
        <v>105.681433885695</v>
      </c>
      <c r="M43">
        <v>-2111.5298883552541</v>
      </c>
      <c r="N43" t="s">
        <v>32</v>
      </c>
      <c r="O43">
        <v>1620000000000</v>
      </c>
      <c r="P43" t="s">
        <v>31</v>
      </c>
      <c r="Q43">
        <v>43377</v>
      </c>
      <c r="R43" s="28">
        <v>46035.622916666667</v>
      </c>
      <c r="S43">
        <v>940.33</v>
      </c>
      <c r="T43">
        <v>50.14</v>
      </c>
      <c r="U43">
        <v>0.32285942291247888</v>
      </c>
      <c r="V43">
        <v>-202.27129659339701</v>
      </c>
      <c r="W43">
        <v>-243.42549118416571</v>
      </c>
      <c r="X43">
        <v>0</v>
      </c>
      <c r="Y43">
        <v>23.115298883552541</v>
      </c>
      <c r="Z43">
        <v>-266.54079006771832</v>
      </c>
      <c r="AA43">
        <v>0</v>
      </c>
      <c r="AB43">
        <v>0</v>
      </c>
    </row>
    <row r="44" spans="1:28" x14ac:dyDescent="0.3">
      <c r="A44">
        <v>5</v>
      </c>
      <c r="B44" t="s">
        <v>28</v>
      </c>
      <c r="C44" t="s">
        <v>33</v>
      </c>
      <c r="D44">
        <v>43848</v>
      </c>
      <c r="E44" s="28">
        <v>46036.668749999997</v>
      </c>
      <c r="F44">
        <v>307.38499999999999</v>
      </c>
      <c r="G44">
        <v>52.01</v>
      </c>
      <c r="H44">
        <v>307.41573849999997</v>
      </c>
      <c r="I44">
        <v>52.004798999999998</v>
      </c>
      <c r="J44">
        <v>-3.6103156757262291</v>
      </c>
      <c r="K44">
        <v>1.002253482054859</v>
      </c>
      <c r="L44">
        <v>325.32491826211429</v>
      </c>
      <c r="M44">
        <v>-1927.0399578059189</v>
      </c>
      <c r="N44" t="s">
        <v>32</v>
      </c>
      <c r="O44">
        <v>1320000000000</v>
      </c>
      <c r="P44" t="s">
        <v>31</v>
      </c>
      <c r="Q44">
        <v>43870</v>
      </c>
      <c r="R44" s="28">
        <v>46036.684027777781</v>
      </c>
      <c r="S44">
        <v>308.10000000000002</v>
      </c>
      <c r="T44">
        <v>52.24</v>
      </c>
      <c r="U44">
        <v>-0.2942904130643989</v>
      </c>
      <c r="V44">
        <v>-210.61187373794701</v>
      </c>
      <c r="W44">
        <v>-250.7245260297118</v>
      </c>
      <c r="X44">
        <v>0</v>
      </c>
      <c r="Y44">
        <v>22.523648760680331</v>
      </c>
      <c r="Z44">
        <v>-273.24817479039211</v>
      </c>
      <c r="AA44">
        <v>0</v>
      </c>
      <c r="AB44">
        <v>0</v>
      </c>
    </row>
    <row r="45" spans="1:28" x14ac:dyDescent="0.3">
      <c r="A45">
        <v>5</v>
      </c>
      <c r="B45" t="s">
        <v>28</v>
      </c>
      <c r="C45" t="s">
        <v>33</v>
      </c>
      <c r="D45">
        <v>44546</v>
      </c>
      <c r="E45" s="28">
        <v>46038.60833333333</v>
      </c>
      <c r="F45">
        <v>311.7</v>
      </c>
      <c r="G45">
        <v>52.47</v>
      </c>
      <c r="H45">
        <v>311.66883000000001</v>
      </c>
      <c r="I45">
        <v>52.475247000000003</v>
      </c>
      <c r="J45">
        <v>3.801608324958897</v>
      </c>
      <c r="K45">
        <v>1.002253482054859</v>
      </c>
      <c r="L45">
        <v>-320.82130253448832</v>
      </c>
      <c r="M45">
        <v>1910.145763397863</v>
      </c>
      <c r="N45" t="s">
        <v>30</v>
      </c>
      <c r="O45">
        <v>900000000000</v>
      </c>
      <c r="P45" t="s">
        <v>31</v>
      </c>
      <c r="Q45">
        <v>44561</v>
      </c>
      <c r="R45" s="28">
        <v>46038.618750000001</v>
      </c>
      <c r="S45">
        <v>311.01</v>
      </c>
      <c r="T45">
        <v>52.41</v>
      </c>
      <c r="U45">
        <v>0.4149364929454325</v>
      </c>
      <c r="V45">
        <v>106.75795294492011</v>
      </c>
      <c r="W45">
        <v>66.746480848302554</v>
      </c>
      <c r="X45">
        <v>0</v>
      </c>
      <c r="Y45">
        <v>22.309670659323508</v>
      </c>
      <c r="Z45">
        <v>44.436810188979052</v>
      </c>
      <c r="AA45">
        <v>0</v>
      </c>
      <c r="AB45">
        <v>0</v>
      </c>
    </row>
    <row r="46" spans="1:28" x14ac:dyDescent="0.3">
      <c r="A46">
        <v>5</v>
      </c>
      <c r="B46" t="s">
        <v>28</v>
      </c>
      <c r="C46" t="s">
        <v>33</v>
      </c>
      <c r="D46">
        <v>44880</v>
      </c>
      <c r="E46" s="28">
        <v>46038.840277777781</v>
      </c>
      <c r="F46">
        <v>313.58</v>
      </c>
      <c r="G46">
        <v>53.104999999999997</v>
      </c>
      <c r="H46">
        <v>313.611358</v>
      </c>
      <c r="I46">
        <v>53.099689499999997</v>
      </c>
      <c r="J46">
        <v>-3.5932213901973502</v>
      </c>
      <c r="K46">
        <v>1.002253482054859</v>
      </c>
      <c r="L46">
        <v>318.89788889597548</v>
      </c>
      <c r="M46">
        <v>-1887.305304688558</v>
      </c>
      <c r="N46" t="s">
        <v>32</v>
      </c>
      <c r="O46">
        <v>1140000000000</v>
      </c>
      <c r="P46" t="s">
        <v>31</v>
      </c>
      <c r="Q46">
        <v>44899</v>
      </c>
      <c r="R46" s="28">
        <v>46038.853472222218</v>
      </c>
      <c r="S46">
        <v>312.95</v>
      </c>
      <c r="T46">
        <v>52.984999999999999</v>
      </c>
      <c r="U46">
        <v>-0.35168191426910822</v>
      </c>
      <c r="V46">
        <v>25.570966558158968</v>
      </c>
      <c r="W46">
        <v>-14.43136485228956</v>
      </c>
      <c r="X46">
        <v>0</v>
      </c>
      <c r="Y46">
        <v>22.062031935845329</v>
      </c>
      <c r="Z46">
        <v>-36.493396788134888</v>
      </c>
      <c r="AA46">
        <v>0</v>
      </c>
      <c r="AB46">
        <v>0</v>
      </c>
    </row>
    <row r="47" spans="1:28" x14ac:dyDescent="0.3">
      <c r="A47">
        <v>5</v>
      </c>
      <c r="B47" t="s">
        <v>28</v>
      </c>
      <c r="C47" t="s">
        <v>33</v>
      </c>
      <c r="D47">
        <v>44931</v>
      </c>
      <c r="E47" s="28">
        <v>46042.604166666657</v>
      </c>
      <c r="F47">
        <v>306.3</v>
      </c>
      <c r="G47">
        <v>52.424999999999997</v>
      </c>
      <c r="H47">
        <v>306.33062999999999</v>
      </c>
      <c r="I47">
        <v>52.419757500000003</v>
      </c>
      <c r="J47">
        <v>-3.6301488779274158</v>
      </c>
      <c r="K47">
        <v>1.002253482054859</v>
      </c>
      <c r="L47">
        <v>326.47730982696697</v>
      </c>
      <c r="M47">
        <v>-1911.7853734952</v>
      </c>
      <c r="N47" t="s">
        <v>32</v>
      </c>
      <c r="O47">
        <v>240000000000</v>
      </c>
      <c r="P47" t="s">
        <v>31</v>
      </c>
      <c r="Q47">
        <v>44935</v>
      </c>
      <c r="R47" s="28">
        <v>46042.606944444437</v>
      </c>
      <c r="S47">
        <v>307.48</v>
      </c>
      <c r="T47">
        <v>52.33</v>
      </c>
      <c r="U47">
        <v>-0.44373601342672819</v>
      </c>
      <c r="V47">
        <v>566.86283607786515</v>
      </c>
      <c r="W47">
        <v>526.79740407526288</v>
      </c>
      <c r="X47">
        <v>0</v>
      </c>
      <c r="Y47">
        <v>22.382626833221671</v>
      </c>
      <c r="Z47">
        <v>504.41477724204123</v>
      </c>
      <c r="AA47">
        <v>0</v>
      </c>
      <c r="AB47">
        <v>0</v>
      </c>
    </row>
    <row r="48" spans="1:28" x14ac:dyDescent="0.3">
      <c r="A48">
        <v>5</v>
      </c>
      <c r="B48" t="s">
        <v>28</v>
      </c>
      <c r="C48" t="s">
        <v>33</v>
      </c>
      <c r="D48">
        <v>45514</v>
      </c>
      <c r="E48" s="28">
        <v>46043.738194444442</v>
      </c>
      <c r="F48">
        <v>301.82499999999999</v>
      </c>
      <c r="G48">
        <v>52.41</v>
      </c>
      <c r="H48">
        <v>301.85518250000001</v>
      </c>
      <c r="I48">
        <v>52.404758999999999</v>
      </c>
      <c r="J48">
        <v>-3.521413979554572</v>
      </c>
      <c r="K48">
        <v>1.002253482054859</v>
      </c>
      <c r="L48">
        <v>331.31781661558853</v>
      </c>
      <c r="M48">
        <v>-1912.332535880287</v>
      </c>
      <c r="N48" t="s">
        <v>32</v>
      </c>
      <c r="O48">
        <v>1140000000000</v>
      </c>
      <c r="P48" t="s">
        <v>31</v>
      </c>
      <c r="Q48">
        <v>45533</v>
      </c>
      <c r="R48" s="28">
        <v>46043.751388888893</v>
      </c>
      <c r="S48">
        <v>302.18</v>
      </c>
      <c r="T48">
        <v>52.45</v>
      </c>
      <c r="U48">
        <v>-0.32815204951353832</v>
      </c>
      <c r="V48">
        <v>41.124523463316507</v>
      </c>
      <c r="W48">
        <v>1.0600427095808129</v>
      </c>
      <c r="X48">
        <v>0</v>
      </c>
      <c r="Y48">
        <v>22.436503524958759</v>
      </c>
      <c r="Z48">
        <v>-21.37646081537795</v>
      </c>
      <c r="AA48">
        <v>0</v>
      </c>
      <c r="AB48">
        <v>0</v>
      </c>
    </row>
    <row r="49" spans="1:28" x14ac:dyDescent="0.3">
      <c r="A49">
        <v>5</v>
      </c>
      <c r="B49" t="s">
        <v>28</v>
      </c>
      <c r="C49" t="s">
        <v>33</v>
      </c>
      <c r="D49">
        <v>45628</v>
      </c>
      <c r="E49" s="28">
        <v>46043.817361111112</v>
      </c>
      <c r="F49">
        <v>304.52999999999997</v>
      </c>
      <c r="G49">
        <v>52.604999999999997</v>
      </c>
      <c r="H49">
        <v>304.560453</v>
      </c>
      <c r="I49">
        <v>52.599739499999998</v>
      </c>
      <c r="J49">
        <v>-3.5171855286527549</v>
      </c>
      <c r="K49">
        <v>1.002253482054859</v>
      </c>
      <c r="L49">
        <v>328.37487275473683</v>
      </c>
      <c r="M49">
        <v>-1905.2437640050539</v>
      </c>
      <c r="N49" t="s">
        <v>32</v>
      </c>
      <c r="O49">
        <v>480000000000</v>
      </c>
      <c r="P49" t="s">
        <v>31</v>
      </c>
      <c r="Q49">
        <v>45636</v>
      </c>
      <c r="R49" s="28">
        <v>46043.822916666657</v>
      </c>
      <c r="S49">
        <v>304.11</v>
      </c>
      <c r="T49">
        <v>52.46</v>
      </c>
      <c r="U49">
        <v>-0.41640349327073178</v>
      </c>
      <c r="V49">
        <v>138.34289922374921</v>
      </c>
      <c r="W49">
        <v>98.339247361876772</v>
      </c>
      <c r="X49">
        <v>0</v>
      </c>
      <c r="Y49">
        <v>22.336186367597911</v>
      </c>
      <c r="Z49">
        <v>76.003060994278869</v>
      </c>
      <c r="AA49">
        <v>0</v>
      </c>
      <c r="AB49">
        <v>0</v>
      </c>
    </row>
    <row r="50" spans="1:28" x14ac:dyDescent="0.3">
      <c r="A50">
        <v>5</v>
      </c>
      <c r="B50" t="s">
        <v>28</v>
      </c>
      <c r="C50" t="s">
        <v>33</v>
      </c>
      <c r="D50">
        <v>45990</v>
      </c>
      <c r="E50" s="28">
        <v>46044.797222222223</v>
      </c>
      <c r="F50">
        <v>304.94</v>
      </c>
      <c r="G50">
        <v>52.744999999999997</v>
      </c>
      <c r="H50">
        <v>304.97049399999997</v>
      </c>
      <c r="I50">
        <v>52.739725499999999</v>
      </c>
      <c r="J50">
        <v>-3.5602944536793109</v>
      </c>
      <c r="K50">
        <v>1.002253482054859</v>
      </c>
      <c r="L50">
        <v>327.93336394044729</v>
      </c>
      <c r="M50">
        <v>-1900.1867135365601</v>
      </c>
      <c r="N50" t="s">
        <v>32</v>
      </c>
      <c r="O50">
        <v>540000000000</v>
      </c>
      <c r="P50" t="s">
        <v>31</v>
      </c>
      <c r="Q50">
        <v>45999</v>
      </c>
      <c r="R50" s="28">
        <v>46044.803472222222</v>
      </c>
      <c r="S50">
        <v>304.93</v>
      </c>
      <c r="T50">
        <v>52.69</v>
      </c>
      <c r="U50">
        <v>0.2940957489598291</v>
      </c>
      <c r="V50">
        <v>101.2309356051088</v>
      </c>
      <c r="W50">
        <v>61.196644924320282</v>
      </c>
      <c r="X50">
        <v>0</v>
      </c>
      <c r="Y50">
        <v>22.28120077477007</v>
      </c>
      <c r="Z50">
        <v>38.915444149550211</v>
      </c>
      <c r="AA50">
        <v>0</v>
      </c>
      <c r="AB50">
        <v>0</v>
      </c>
    </row>
    <row r="51" spans="1:28" x14ac:dyDescent="0.3">
      <c r="A51">
        <v>5</v>
      </c>
      <c r="B51" t="s">
        <v>28</v>
      </c>
      <c r="C51" t="s">
        <v>33</v>
      </c>
      <c r="D51">
        <v>46103</v>
      </c>
      <c r="E51" s="28">
        <v>46045.604861111111</v>
      </c>
      <c r="F51">
        <v>299.7</v>
      </c>
      <c r="G51">
        <v>51.96</v>
      </c>
      <c r="H51">
        <v>299.72996999999998</v>
      </c>
      <c r="I51">
        <v>51.954804000000003</v>
      </c>
      <c r="J51">
        <v>-4.8014713766694914</v>
      </c>
      <c r="K51">
        <v>1.002253482054859</v>
      </c>
      <c r="L51">
        <v>333.66700033366698</v>
      </c>
      <c r="M51">
        <v>-1928.894307264932</v>
      </c>
      <c r="N51" t="s">
        <v>32</v>
      </c>
      <c r="O51">
        <v>240000000000</v>
      </c>
      <c r="P51" t="s">
        <v>31</v>
      </c>
      <c r="Q51">
        <v>46107</v>
      </c>
      <c r="R51" s="28">
        <v>46045.607638888891</v>
      </c>
      <c r="S51">
        <v>300.53500000000003</v>
      </c>
      <c r="T51">
        <v>51.92</v>
      </c>
      <c r="U51">
        <v>0.3374264844204391</v>
      </c>
      <c r="V51">
        <v>355.76771756921971</v>
      </c>
      <c r="W51">
        <v>315.70250231082588</v>
      </c>
      <c r="X51">
        <v>0</v>
      </c>
      <c r="Y51">
        <v>22.625613075985989</v>
      </c>
      <c r="Z51">
        <v>293.07688923483988</v>
      </c>
      <c r="AA51">
        <v>0</v>
      </c>
      <c r="AB51">
        <v>0</v>
      </c>
    </row>
    <row r="52" spans="1:28" x14ac:dyDescent="0.3">
      <c r="A52">
        <v>5</v>
      </c>
      <c r="B52" t="s">
        <v>28</v>
      </c>
      <c r="C52" t="s">
        <v>33</v>
      </c>
      <c r="D52">
        <v>47106</v>
      </c>
      <c r="E52" s="28">
        <v>46049.759027777778</v>
      </c>
      <c r="F52">
        <v>299.60000000000002</v>
      </c>
      <c r="G52">
        <v>51.93</v>
      </c>
      <c r="H52">
        <v>299.57004000000001</v>
      </c>
      <c r="I52">
        <v>51.935192999999998</v>
      </c>
      <c r="J52">
        <v>3.5446013748881988</v>
      </c>
      <c r="K52">
        <v>1.002253482054859</v>
      </c>
      <c r="L52">
        <v>-333.77837116154871</v>
      </c>
      <c r="M52">
        <v>1930.008630954859</v>
      </c>
      <c r="N52" t="s">
        <v>30</v>
      </c>
      <c r="O52">
        <v>360000000000</v>
      </c>
      <c r="P52" t="s">
        <v>31</v>
      </c>
      <c r="Q52">
        <v>47112</v>
      </c>
      <c r="R52" s="28">
        <v>46049.763194444437</v>
      </c>
      <c r="S52">
        <v>299.39999999999998</v>
      </c>
      <c r="T52">
        <v>51.97</v>
      </c>
      <c r="U52">
        <v>0.14705859185364281</v>
      </c>
      <c r="V52">
        <v>143.95601947051759</v>
      </c>
      <c r="W52">
        <v>103.90990536230881</v>
      </c>
      <c r="X52">
        <v>0</v>
      </c>
      <c r="Y52">
        <v>22.63787002116408</v>
      </c>
      <c r="Z52">
        <v>81.272035341144729</v>
      </c>
      <c r="AA52">
        <v>0</v>
      </c>
      <c r="AB52">
        <v>0</v>
      </c>
    </row>
    <row r="53" spans="1:28" x14ac:dyDescent="0.3">
      <c r="A53">
        <v>5</v>
      </c>
      <c r="B53" t="s">
        <v>28</v>
      </c>
      <c r="C53" t="s">
        <v>33</v>
      </c>
      <c r="D53">
        <v>47273</v>
      </c>
      <c r="E53" s="28">
        <v>46050.604166666657</v>
      </c>
      <c r="F53">
        <v>300.01499999999999</v>
      </c>
      <c r="G53">
        <v>51.95</v>
      </c>
      <c r="H53">
        <v>299.98499850000002</v>
      </c>
      <c r="I53">
        <v>51.955195000000003</v>
      </c>
      <c r="J53">
        <v>4.4236210820698556</v>
      </c>
      <c r="K53">
        <v>1.002253482054859</v>
      </c>
      <c r="L53">
        <v>-333.31666749995833</v>
      </c>
      <c r="M53">
        <v>1929.2656054953959</v>
      </c>
      <c r="N53" t="s">
        <v>30</v>
      </c>
      <c r="O53">
        <v>840000000000</v>
      </c>
      <c r="P53" t="s">
        <v>31</v>
      </c>
      <c r="Q53">
        <v>47287</v>
      </c>
      <c r="R53" s="28">
        <v>46050.613888888889</v>
      </c>
      <c r="S53">
        <v>298.54000000000002</v>
      </c>
      <c r="T53">
        <v>51.9</v>
      </c>
      <c r="U53">
        <v>-0.21634371093603591</v>
      </c>
      <c r="V53">
        <v>395.17880428764909</v>
      </c>
      <c r="W53">
        <v>355.19254518304712</v>
      </c>
      <c r="X53">
        <v>0</v>
      </c>
      <c r="Y53">
        <v>22.625822729953541</v>
      </c>
      <c r="Z53">
        <v>332.56672245309352</v>
      </c>
      <c r="AA53">
        <v>0</v>
      </c>
      <c r="AB53">
        <v>0</v>
      </c>
    </row>
    <row r="54" spans="1:28" x14ac:dyDescent="0.3">
      <c r="A54">
        <v>6</v>
      </c>
      <c r="B54" t="s">
        <v>28</v>
      </c>
      <c r="C54" t="s">
        <v>33</v>
      </c>
      <c r="D54">
        <v>47638</v>
      </c>
      <c r="E54" s="28">
        <v>46050.857638888891</v>
      </c>
      <c r="F54">
        <v>300.86</v>
      </c>
      <c r="G54">
        <v>51.64</v>
      </c>
      <c r="H54">
        <v>300.890086</v>
      </c>
      <c r="I54">
        <v>51.634836</v>
      </c>
      <c r="J54">
        <v>-3.5518788122017551</v>
      </c>
      <c r="K54">
        <v>1.049029346166849</v>
      </c>
      <c r="L54">
        <v>332.38050920694008</v>
      </c>
      <c r="M54">
        <v>-2031.4278585725201</v>
      </c>
      <c r="N54" t="s">
        <v>32</v>
      </c>
      <c r="O54">
        <v>64740000000000</v>
      </c>
      <c r="P54" t="s">
        <v>31</v>
      </c>
      <c r="Q54">
        <v>47667</v>
      </c>
      <c r="R54" s="28">
        <v>46051.606944444437</v>
      </c>
      <c r="S54">
        <v>304.89999999999998</v>
      </c>
      <c r="T54">
        <v>52.38</v>
      </c>
      <c r="U54">
        <v>0.14843382503864511</v>
      </c>
      <c r="V54">
        <v>-160.43935814764271</v>
      </c>
      <c r="W54">
        <v>-201.7045524582218</v>
      </c>
      <c r="X54">
        <v>0</v>
      </c>
      <c r="Y54">
        <v>23.638083677794601</v>
      </c>
      <c r="Z54">
        <v>-225.34263613601641</v>
      </c>
      <c r="AA54">
        <v>0</v>
      </c>
      <c r="AB54">
        <v>0</v>
      </c>
    </row>
    <row r="55" spans="1:28" x14ac:dyDescent="0.3">
      <c r="A55">
        <v>6</v>
      </c>
      <c r="B55" t="s">
        <v>28</v>
      </c>
      <c r="C55" t="s">
        <v>33</v>
      </c>
      <c r="D55">
        <v>47964</v>
      </c>
      <c r="E55" s="28">
        <v>46051.813194444447</v>
      </c>
      <c r="F55">
        <v>304.83</v>
      </c>
      <c r="G55">
        <v>52.87</v>
      </c>
      <c r="H55">
        <v>304.86048299999999</v>
      </c>
      <c r="I55">
        <v>52.864712999999988</v>
      </c>
      <c r="J55">
        <v>-4.1516297174629004</v>
      </c>
      <c r="K55">
        <v>1.049029346166849</v>
      </c>
      <c r="L55">
        <v>328.05170094806942</v>
      </c>
      <c r="M55">
        <v>-1984.1674790369759</v>
      </c>
      <c r="N55" t="s">
        <v>32</v>
      </c>
      <c r="O55">
        <v>540000000000</v>
      </c>
      <c r="P55" t="s">
        <v>31</v>
      </c>
      <c r="Q55">
        <v>47973</v>
      </c>
      <c r="R55" s="28">
        <v>46051.819444444453</v>
      </c>
      <c r="S55">
        <v>305.74</v>
      </c>
      <c r="T55">
        <v>52.884999999999998</v>
      </c>
      <c r="U55">
        <v>0.40576483883895809</v>
      </c>
      <c r="V55">
        <v>268.76453567719562</v>
      </c>
      <c r="W55">
        <v>227.7511197978489</v>
      </c>
      <c r="X55">
        <v>0</v>
      </c>
      <c r="Y55">
        <v>23.122191799850452</v>
      </c>
      <c r="Z55">
        <v>204.6289279979984</v>
      </c>
      <c r="AA55">
        <v>0</v>
      </c>
      <c r="AB55">
        <v>0</v>
      </c>
    </row>
    <row r="56" spans="1:28" x14ac:dyDescent="0.3">
      <c r="A56">
        <v>6</v>
      </c>
      <c r="B56" t="s">
        <v>28</v>
      </c>
      <c r="C56" t="s">
        <v>33</v>
      </c>
      <c r="D56">
        <v>48224</v>
      </c>
      <c r="E56" s="28">
        <v>46052.722916666673</v>
      </c>
      <c r="F56">
        <v>303.74</v>
      </c>
      <c r="G56">
        <v>52.99</v>
      </c>
      <c r="H56">
        <v>303.770374</v>
      </c>
      <c r="I56">
        <v>52.984701000000001</v>
      </c>
      <c r="J56">
        <v>-3.5960148268180601</v>
      </c>
      <c r="K56">
        <v>1.049029346166849</v>
      </c>
      <c r="L56">
        <v>329.22894580891551</v>
      </c>
      <c r="M56">
        <v>-1979.674176574541</v>
      </c>
      <c r="N56" t="s">
        <v>32</v>
      </c>
      <c r="O56">
        <v>1140000000000</v>
      </c>
      <c r="P56" t="s">
        <v>31</v>
      </c>
      <c r="Q56">
        <v>48243</v>
      </c>
      <c r="R56" s="28">
        <v>46052.736111111109</v>
      </c>
      <c r="S56">
        <v>303.51</v>
      </c>
      <c r="T56">
        <v>52.92</v>
      </c>
      <c r="U56">
        <v>2.9467072457728439E-2</v>
      </c>
      <c r="V56">
        <v>62.85453482416186</v>
      </c>
      <c r="W56">
        <v>21.89537788582146</v>
      </c>
      <c r="X56">
        <v>0</v>
      </c>
      <c r="Y56">
        <v>23.08903122383456</v>
      </c>
      <c r="Z56">
        <v>-1.1936533380131029</v>
      </c>
      <c r="AA56">
        <v>0</v>
      </c>
      <c r="AB56">
        <v>0</v>
      </c>
    </row>
    <row r="57" spans="1:28" x14ac:dyDescent="0.3">
      <c r="A57">
        <v>6</v>
      </c>
      <c r="B57" t="s">
        <v>28</v>
      </c>
      <c r="C57" t="s">
        <v>33</v>
      </c>
      <c r="D57">
        <v>48834</v>
      </c>
      <c r="E57" s="28">
        <v>46056.604861111111</v>
      </c>
      <c r="F57">
        <v>312.99</v>
      </c>
      <c r="G57">
        <v>54.57</v>
      </c>
      <c r="H57">
        <v>312.95870100000002</v>
      </c>
      <c r="I57">
        <v>54.575457</v>
      </c>
      <c r="J57">
        <v>3.5632040514477912</v>
      </c>
      <c r="K57">
        <v>1.049029346166849</v>
      </c>
      <c r="L57">
        <v>-319.49902552797221</v>
      </c>
      <c r="M57">
        <v>1922.355408038939</v>
      </c>
      <c r="N57" t="s">
        <v>30</v>
      </c>
      <c r="O57">
        <v>60000000000</v>
      </c>
      <c r="P57" t="s">
        <v>31</v>
      </c>
      <c r="Q57">
        <v>48835</v>
      </c>
      <c r="R57" s="28">
        <v>46056.605555555558</v>
      </c>
      <c r="S57">
        <v>311.17</v>
      </c>
      <c r="T57">
        <v>54.49</v>
      </c>
      <c r="U57">
        <v>2.96945488582755E-2</v>
      </c>
      <c r="V57">
        <v>427.69979381779541</v>
      </c>
      <c r="W57">
        <v>386.7927345603764</v>
      </c>
      <c r="X57">
        <v>0</v>
      </c>
      <c r="Y57">
        <v>22.418544335669111</v>
      </c>
      <c r="Z57">
        <v>364.37419022470732</v>
      </c>
      <c r="AA57">
        <v>0</v>
      </c>
      <c r="AB57">
        <v>0</v>
      </c>
    </row>
    <row r="58" spans="1:28" x14ac:dyDescent="0.3">
      <c r="A58">
        <v>6</v>
      </c>
      <c r="B58" t="s">
        <v>28</v>
      </c>
      <c r="C58" t="s">
        <v>33</v>
      </c>
      <c r="D58">
        <v>49223</v>
      </c>
      <c r="E58" s="28">
        <v>46057.604166666657</v>
      </c>
      <c r="F58">
        <v>316.18</v>
      </c>
      <c r="G58">
        <v>55.055</v>
      </c>
      <c r="H58">
        <v>316.21161799999999</v>
      </c>
      <c r="I58">
        <v>55.049494500000002</v>
      </c>
      <c r="J58">
        <v>-4.859089007060053</v>
      </c>
      <c r="K58">
        <v>1.049029346166849</v>
      </c>
      <c r="L58">
        <v>316.27553924979441</v>
      </c>
      <c r="M58">
        <v>-1905.420663276449</v>
      </c>
      <c r="N58" t="s">
        <v>32</v>
      </c>
      <c r="O58">
        <v>1860000000000</v>
      </c>
      <c r="P58" t="s">
        <v>31</v>
      </c>
      <c r="Q58">
        <v>49254</v>
      </c>
      <c r="R58" s="28">
        <v>46057.625694444447</v>
      </c>
      <c r="S58">
        <v>315.45</v>
      </c>
      <c r="T58">
        <v>55.23</v>
      </c>
      <c r="U58">
        <v>-0.18965137323514589</v>
      </c>
      <c r="V58">
        <v>-564.32975972572888</v>
      </c>
      <c r="W58">
        <v>-605.32060339628993</v>
      </c>
      <c r="X58">
        <v>0</v>
      </c>
      <c r="Y58">
        <v>22.21696202526244</v>
      </c>
      <c r="Z58">
        <v>-627.53756542155236</v>
      </c>
      <c r="AA58">
        <v>0</v>
      </c>
      <c r="AB58">
        <v>0</v>
      </c>
    </row>
    <row r="59" spans="1:28" x14ac:dyDescent="0.3">
      <c r="A59">
        <v>6</v>
      </c>
      <c r="B59" t="s">
        <v>28</v>
      </c>
      <c r="C59" t="s">
        <v>33</v>
      </c>
      <c r="D59">
        <v>49616</v>
      </c>
      <c r="E59" s="28">
        <v>46058.606249999997</v>
      </c>
      <c r="F59">
        <v>311.875</v>
      </c>
      <c r="G59">
        <v>54.77</v>
      </c>
      <c r="H59">
        <v>311.90618749999999</v>
      </c>
      <c r="I59">
        <v>54.764522999999997</v>
      </c>
      <c r="J59">
        <v>-3.8976025459049848</v>
      </c>
      <c r="K59">
        <v>1.049029346166849</v>
      </c>
      <c r="L59">
        <v>320.64128256513033</v>
      </c>
      <c r="M59">
        <v>-1915.3356694665861</v>
      </c>
      <c r="N59" t="s">
        <v>32</v>
      </c>
      <c r="O59">
        <v>120000000000</v>
      </c>
      <c r="P59" t="s">
        <v>31</v>
      </c>
      <c r="Q59">
        <v>49618</v>
      </c>
      <c r="R59" s="28">
        <v>46058.607638888891</v>
      </c>
      <c r="S59">
        <v>311.14999999999998</v>
      </c>
      <c r="T59">
        <v>54.445</v>
      </c>
      <c r="U59">
        <v>-0.18436969319392729</v>
      </c>
      <c r="V59">
        <v>390.01916271691908</v>
      </c>
      <c r="W59">
        <v>349.12407069583969</v>
      </c>
      <c r="X59">
        <v>0</v>
      </c>
      <c r="Y59">
        <v>22.359769520317158</v>
      </c>
      <c r="Z59">
        <v>326.76430117552252</v>
      </c>
      <c r="AA59">
        <v>0</v>
      </c>
      <c r="AB59">
        <v>0</v>
      </c>
    </row>
    <row r="60" spans="1:28" x14ac:dyDescent="0.3">
      <c r="A60">
        <v>6</v>
      </c>
      <c r="B60" t="s">
        <v>28</v>
      </c>
      <c r="C60" t="s">
        <v>33</v>
      </c>
      <c r="D60">
        <v>50004</v>
      </c>
      <c r="E60" s="28">
        <v>46059.604166666657</v>
      </c>
      <c r="F60">
        <v>316.02999999999997</v>
      </c>
      <c r="G60">
        <v>55.7</v>
      </c>
      <c r="H60">
        <v>315.99839700000001</v>
      </c>
      <c r="I60">
        <v>55.705570000000002</v>
      </c>
      <c r="J60">
        <v>3.6230947294132791</v>
      </c>
      <c r="K60">
        <v>1.049029346166849</v>
      </c>
      <c r="L60">
        <v>-316.42565579217171</v>
      </c>
      <c r="M60">
        <v>1883.356097247485</v>
      </c>
      <c r="N60" t="s">
        <v>30</v>
      </c>
      <c r="O60">
        <v>1620000000000</v>
      </c>
      <c r="P60" t="s">
        <v>31</v>
      </c>
      <c r="Q60">
        <v>50031</v>
      </c>
      <c r="R60" s="28">
        <v>46059.622916666667</v>
      </c>
      <c r="S60">
        <v>321.45999999999998</v>
      </c>
      <c r="T60">
        <v>56.15</v>
      </c>
      <c r="U60">
        <v>0.17975243519388259</v>
      </c>
      <c r="V60">
        <v>-870.68106719013394</v>
      </c>
      <c r="W60">
        <v>-911.91822426894726</v>
      </c>
      <c r="X60">
        <v>0</v>
      </c>
      <c r="Y60">
        <v>21.997817530396571</v>
      </c>
      <c r="Z60">
        <v>-933.91604179934382</v>
      </c>
      <c r="AA60">
        <v>0</v>
      </c>
      <c r="AB60">
        <v>0</v>
      </c>
    </row>
    <row r="61" spans="1:28" x14ac:dyDescent="0.3">
      <c r="A61">
        <v>6</v>
      </c>
      <c r="B61" t="s">
        <v>28</v>
      </c>
      <c r="C61" t="s">
        <v>33</v>
      </c>
      <c r="D61">
        <v>50394</v>
      </c>
      <c r="E61" s="28">
        <v>46062.604166666657</v>
      </c>
      <c r="F61">
        <v>320.89</v>
      </c>
      <c r="G61">
        <v>56.534999999999997</v>
      </c>
      <c r="H61">
        <v>320.92208900000003</v>
      </c>
      <c r="I61">
        <v>56.529346500000003</v>
      </c>
      <c r="J61">
        <v>-4.3146824282382417</v>
      </c>
      <c r="K61">
        <v>1.049029346166849</v>
      </c>
      <c r="L61">
        <v>311.63326996790181</v>
      </c>
      <c r="M61">
        <v>-1855.5396589136799</v>
      </c>
      <c r="N61" t="s">
        <v>32</v>
      </c>
      <c r="O61">
        <v>60000000000</v>
      </c>
      <c r="P61" t="s">
        <v>31</v>
      </c>
      <c r="Q61">
        <v>50395</v>
      </c>
      <c r="R61" s="28">
        <v>46062.604861111111</v>
      </c>
      <c r="S61">
        <v>320.89499999999998</v>
      </c>
      <c r="T61">
        <v>56.34</v>
      </c>
      <c r="U61">
        <v>-0.46827256733414369</v>
      </c>
      <c r="V61">
        <v>363.38839983799312</v>
      </c>
      <c r="W61">
        <v>322.44384012137658</v>
      </c>
      <c r="X61">
        <v>0</v>
      </c>
      <c r="Y61">
        <v>21.671729288815818</v>
      </c>
      <c r="Z61">
        <v>300.77211083256083</v>
      </c>
      <c r="AA61">
        <v>0</v>
      </c>
      <c r="AB61">
        <v>0</v>
      </c>
    </row>
    <row r="62" spans="1:28" x14ac:dyDescent="0.3">
      <c r="A62">
        <v>6</v>
      </c>
      <c r="B62" t="s">
        <v>28</v>
      </c>
      <c r="C62" t="s">
        <v>33</v>
      </c>
      <c r="D62">
        <v>50785</v>
      </c>
      <c r="E62" s="28">
        <v>46063.604861111111</v>
      </c>
      <c r="F62">
        <v>325.55</v>
      </c>
      <c r="G62">
        <v>56.74</v>
      </c>
      <c r="H62">
        <v>325.51744500000001</v>
      </c>
      <c r="I62">
        <v>56.745674000000001</v>
      </c>
      <c r="J62">
        <v>4.0609214064613957</v>
      </c>
      <c r="K62">
        <v>1.049029346166849</v>
      </c>
      <c r="L62">
        <v>-307.17247734602978</v>
      </c>
      <c r="M62">
        <v>1848.8356471040699</v>
      </c>
      <c r="N62" t="s">
        <v>30</v>
      </c>
      <c r="O62">
        <v>1500000000000</v>
      </c>
      <c r="P62" t="s">
        <v>31</v>
      </c>
      <c r="Q62">
        <v>50810</v>
      </c>
      <c r="R62" s="28">
        <v>46063.62222222222</v>
      </c>
      <c r="S62">
        <v>325.10000000000002</v>
      </c>
      <c r="T62">
        <v>56.575000000000003</v>
      </c>
      <c r="U62">
        <v>0.30658079857563819</v>
      </c>
      <c r="V62">
        <v>-166.83026696645999</v>
      </c>
      <c r="W62">
        <v>-207.76652534013519</v>
      </c>
      <c r="X62">
        <v>0</v>
      </c>
      <c r="Y62">
        <v>21.560081244500999</v>
      </c>
      <c r="Z62">
        <v>-229.32660658463621</v>
      </c>
      <c r="AA62">
        <v>0</v>
      </c>
      <c r="AB62">
        <v>0</v>
      </c>
    </row>
    <row r="63" spans="1:28" x14ac:dyDescent="0.3">
      <c r="A63">
        <v>6</v>
      </c>
      <c r="B63" t="s">
        <v>28</v>
      </c>
      <c r="C63" t="s">
        <v>33</v>
      </c>
      <c r="D63">
        <v>51174</v>
      </c>
      <c r="E63" s="28">
        <v>46064.604166666657</v>
      </c>
      <c r="F63">
        <v>323.52999999999997</v>
      </c>
      <c r="G63">
        <v>55.94</v>
      </c>
      <c r="H63">
        <v>323.49764699999997</v>
      </c>
      <c r="I63">
        <v>55.945594</v>
      </c>
      <c r="J63">
        <v>4.6345613147110241</v>
      </c>
      <c r="K63">
        <v>1.049029346166849</v>
      </c>
      <c r="L63">
        <v>-309.09034710845981</v>
      </c>
      <c r="M63">
        <v>1875.275913776992</v>
      </c>
      <c r="N63" t="s">
        <v>30</v>
      </c>
      <c r="O63">
        <v>1260000000000</v>
      </c>
      <c r="P63" t="s">
        <v>31</v>
      </c>
      <c r="Q63">
        <v>51195</v>
      </c>
      <c r="R63" s="28">
        <v>46064.618750000001</v>
      </c>
      <c r="S63">
        <v>321.07499999999999</v>
      </c>
      <c r="T63">
        <v>55.34</v>
      </c>
      <c r="U63">
        <v>0.29875456474032003</v>
      </c>
      <c r="V63">
        <v>-366.34874611492057</v>
      </c>
      <c r="W63">
        <v>-407.1409348032131</v>
      </c>
      <c r="X63">
        <v>0</v>
      </c>
      <c r="Y63">
        <v>21.843662608854519</v>
      </c>
      <c r="Z63">
        <v>-428.98459741206761</v>
      </c>
      <c r="AA63">
        <v>0</v>
      </c>
      <c r="AB63">
        <v>0</v>
      </c>
    </row>
    <row r="64" spans="1:28" x14ac:dyDescent="0.3">
      <c r="A64">
        <v>7</v>
      </c>
      <c r="B64" t="s">
        <v>28</v>
      </c>
      <c r="C64" t="s">
        <v>33</v>
      </c>
      <c r="D64">
        <v>51565</v>
      </c>
      <c r="E64" s="28">
        <v>46065.604861111111</v>
      </c>
      <c r="F64">
        <v>310.43</v>
      </c>
      <c r="G64">
        <v>53.52</v>
      </c>
      <c r="H64">
        <v>310.398957</v>
      </c>
      <c r="I64">
        <v>53.525352000000012</v>
      </c>
      <c r="J64">
        <v>4.075568730273786</v>
      </c>
      <c r="K64">
        <v>1.010146982915971</v>
      </c>
      <c r="L64">
        <v>-322.13381438649623</v>
      </c>
      <c r="M64">
        <v>1887.419624282458</v>
      </c>
      <c r="N64" t="s">
        <v>30</v>
      </c>
      <c r="O64">
        <v>840000000000</v>
      </c>
      <c r="P64" t="s">
        <v>31</v>
      </c>
      <c r="Q64">
        <v>51579</v>
      </c>
      <c r="R64" s="28">
        <v>46065.614583333343</v>
      </c>
      <c r="S64">
        <v>310.47000000000003</v>
      </c>
      <c r="T64">
        <v>53.62</v>
      </c>
      <c r="U64">
        <v>7.7876738339145699E-2</v>
      </c>
      <c r="V64">
        <v>175.8566098527686</v>
      </c>
      <c r="W64">
        <v>135.63350746294469</v>
      </c>
      <c r="X64">
        <v>0</v>
      </c>
      <c r="Y64">
        <v>22.09553438668954</v>
      </c>
      <c r="Z64">
        <v>113.5379730762552</v>
      </c>
      <c r="AA64">
        <v>0</v>
      </c>
      <c r="AB64">
        <v>0</v>
      </c>
    </row>
    <row r="65" spans="1:28" x14ac:dyDescent="0.3">
      <c r="A65">
        <v>7</v>
      </c>
      <c r="B65" t="s">
        <v>28</v>
      </c>
      <c r="C65" t="s">
        <v>33</v>
      </c>
      <c r="D65">
        <v>52344</v>
      </c>
      <c r="E65" s="28">
        <v>46070.604166666657</v>
      </c>
      <c r="F65">
        <v>304.58999999999997</v>
      </c>
      <c r="G65">
        <v>53.24</v>
      </c>
      <c r="H65">
        <v>304.62045899999998</v>
      </c>
      <c r="I65">
        <v>53.234676</v>
      </c>
      <c r="J65">
        <v>-4.9584326804218293</v>
      </c>
      <c r="K65">
        <v>1.010146982915971</v>
      </c>
      <c r="L65">
        <v>328.31018746511711</v>
      </c>
      <c r="M65">
        <v>-1897.345948377106</v>
      </c>
      <c r="N65" t="s">
        <v>32</v>
      </c>
      <c r="O65">
        <v>720000000000</v>
      </c>
      <c r="P65" t="s">
        <v>31</v>
      </c>
      <c r="Q65">
        <v>52356</v>
      </c>
      <c r="R65" s="28">
        <v>46070.612500000003</v>
      </c>
      <c r="S65">
        <v>306.60500000000002</v>
      </c>
      <c r="T65">
        <v>53.274999999999999</v>
      </c>
      <c r="U65">
        <v>-0.14343058562202879</v>
      </c>
      <c r="V65">
        <v>595.13791954903286</v>
      </c>
      <c r="W65">
        <v>554.86218467711092</v>
      </c>
      <c r="X65">
        <v>0</v>
      </c>
      <c r="Y65">
        <v>22.256561358422228</v>
      </c>
      <c r="Z65">
        <v>532.60562331868869</v>
      </c>
      <c r="AA65">
        <v>0</v>
      </c>
      <c r="AB65">
        <v>0</v>
      </c>
    </row>
    <row r="66" spans="1:28" x14ac:dyDescent="0.3">
      <c r="A66">
        <v>7</v>
      </c>
      <c r="B66" t="s">
        <v>28</v>
      </c>
      <c r="C66" t="s">
        <v>33</v>
      </c>
      <c r="D66">
        <v>53127</v>
      </c>
      <c r="E66" s="28">
        <v>46072.604166666657</v>
      </c>
      <c r="F66">
        <v>306.26</v>
      </c>
      <c r="G66">
        <v>52.18</v>
      </c>
      <c r="H66">
        <v>306.22937400000001</v>
      </c>
      <c r="I66">
        <v>52.185217999999999</v>
      </c>
      <c r="J66">
        <v>4.6566311301594041</v>
      </c>
      <c r="K66">
        <v>1.010146982915971</v>
      </c>
      <c r="L66">
        <v>-326.51995036896761</v>
      </c>
      <c r="M66">
        <v>1935.8891968493131</v>
      </c>
      <c r="N66" t="s">
        <v>30</v>
      </c>
      <c r="O66">
        <v>1080000000000</v>
      </c>
      <c r="P66" t="s">
        <v>31</v>
      </c>
      <c r="Q66">
        <v>53145</v>
      </c>
      <c r="R66" s="28">
        <v>46072.616666666669</v>
      </c>
      <c r="S66">
        <v>306.84500000000003</v>
      </c>
      <c r="T66">
        <v>52.46</v>
      </c>
      <c r="U66">
        <v>0.36883765175630667</v>
      </c>
      <c r="V66">
        <v>351.03480415195179</v>
      </c>
      <c r="W66">
        <v>310.75855817902931</v>
      </c>
      <c r="X66">
        <v>0</v>
      </c>
      <c r="Y66">
        <v>22.624091472182801</v>
      </c>
      <c r="Z66">
        <v>288.13446670684652</v>
      </c>
      <c r="AA66">
        <v>0</v>
      </c>
      <c r="AB66">
        <v>0</v>
      </c>
    </row>
    <row r="67" spans="1:28" x14ac:dyDescent="0.3">
      <c r="A67">
        <v>7</v>
      </c>
      <c r="B67" t="s">
        <v>28</v>
      </c>
      <c r="C67" t="s">
        <v>33</v>
      </c>
      <c r="D67">
        <v>53372</v>
      </c>
      <c r="E67" s="28">
        <v>46072.774305555547</v>
      </c>
      <c r="F67">
        <v>305.2</v>
      </c>
      <c r="G67">
        <v>52.24</v>
      </c>
      <c r="H67">
        <v>305.23052000000001</v>
      </c>
      <c r="I67">
        <v>52.234775999999997</v>
      </c>
      <c r="J67">
        <v>-3.7749881529900149</v>
      </c>
      <c r="K67">
        <v>1.010146982915971</v>
      </c>
      <c r="L67">
        <v>327.65399737876811</v>
      </c>
      <c r="M67">
        <v>-1933.665740650787</v>
      </c>
      <c r="N67" t="s">
        <v>32</v>
      </c>
      <c r="O67">
        <v>660000000000</v>
      </c>
      <c r="P67" t="s">
        <v>31</v>
      </c>
      <c r="Q67">
        <v>53383</v>
      </c>
      <c r="R67" s="28">
        <v>46072.781944444447</v>
      </c>
      <c r="S67">
        <v>306.63</v>
      </c>
      <c r="T67">
        <v>52.414999999999999</v>
      </c>
      <c r="U67">
        <v>-0.25681306697959139</v>
      </c>
      <c r="V67">
        <v>130.15371163775831</v>
      </c>
      <c r="W67">
        <v>89.870078307352458</v>
      </c>
      <c r="X67">
        <v>0</v>
      </c>
      <c r="Y67">
        <v>22.613197380295549</v>
      </c>
      <c r="Z67">
        <v>67.256880927056898</v>
      </c>
      <c r="AA67">
        <v>0</v>
      </c>
      <c r="AB67">
        <v>0</v>
      </c>
    </row>
    <row r="68" spans="1:28" x14ac:dyDescent="0.3">
      <c r="A68">
        <v>7</v>
      </c>
      <c r="B68" t="s">
        <v>28</v>
      </c>
      <c r="C68" t="s">
        <v>33</v>
      </c>
      <c r="D68">
        <v>53517</v>
      </c>
      <c r="E68" s="28">
        <v>46073.604166666657</v>
      </c>
      <c r="F68">
        <v>307.62</v>
      </c>
      <c r="G68">
        <v>52.44</v>
      </c>
      <c r="H68">
        <v>307.58923800000002</v>
      </c>
      <c r="I68">
        <v>52.445244000000002</v>
      </c>
      <c r="J68">
        <v>4.0646379047212484</v>
      </c>
      <c r="K68">
        <v>1.010146982915971</v>
      </c>
      <c r="L68">
        <v>-325.07639295234378</v>
      </c>
      <c r="M68">
        <v>1926.290966658984</v>
      </c>
      <c r="N68" t="s">
        <v>30</v>
      </c>
      <c r="O68">
        <v>1080000000000</v>
      </c>
      <c r="P68" t="s">
        <v>31</v>
      </c>
      <c r="Q68">
        <v>53535</v>
      </c>
      <c r="R68" s="28">
        <v>46073.616666666669</v>
      </c>
      <c r="S68">
        <v>305.99</v>
      </c>
      <c r="T68">
        <v>52.08</v>
      </c>
      <c r="U68">
        <v>0.27083471387508978</v>
      </c>
      <c r="V68">
        <v>-163.59022748491429</v>
      </c>
      <c r="W68">
        <v>-203.67083321636301</v>
      </c>
      <c r="X68">
        <v>0</v>
      </c>
      <c r="Y68">
        <v>22.513673596113279</v>
      </c>
      <c r="Z68">
        <v>-226.18450681247629</v>
      </c>
      <c r="AA68">
        <v>0</v>
      </c>
      <c r="AB68">
        <v>0</v>
      </c>
    </row>
    <row r="69" spans="1:28" x14ac:dyDescent="0.3">
      <c r="A69">
        <v>7</v>
      </c>
      <c r="B69" t="s">
        <v>28</v>
      </c>
      <c r="C69" t="s">
        <v>33</v>
      </c>
      <c r="D69">
        <v>53762</v>
      </c>
      <c r="E69" s="28">
        <v>46073.774305555547</v>
      </c>
      <c r="F69">
        <v>309.98500000000001</v>
      </c>
      <c r="G69">
        <v>52.664999999999999</v>
      </c>
      <c r="H69">
        <v>309.9540015</v>
      </c>
      <c r="I69">
        <v>52.670266499999997</v>
      </c>
      <c r="J69">
        <v>4.2167222232767623</v>
      </c>
      <c r="K69">
        <v>1.010146982915971</v>
      </c>
      <c r="L69">
        <v>-322.59625465748343</v>
      </c>
      <c r="M69">
        <v>1918.061298615725</v>
      </c>
      <c r="N69" t="s">
        <v>30</v>
      </c>
      <c r="O69">
        <v>1740000000000</v>
      </c>
      <c r="P69" t="s">
        <v>31</v>
      </c>
      <c r="Q69">
        <v>53791</v>
      </c>
      <c r="R69" s="28">
        <v>46073.794444444437</v>
      </c>
      <c r="S69">
        <v>310.69</v>
      </c>
      <c r="T69">
        <v>52.98</v>
      </c>
      <c r="U69">
        <v>-0.45026262429605401</v>
      </c>
      <c r="V69">
        <v>376.75894953042808</v>
      </c>
      <c r="W69">
        <v>336.47284790525691</v>
      </c>
      <c r="X69">
        <v>0</v>
      </c>
      <c r="Y69">
        <v>22.406575532732081</v>
      </c>
      <c r="Z69">
        <v>314.06627237252479</v>
      </c>
      <c r="AA69">
        <v>0</v>
      </c>
      <c r="AB69">
        <v>0</v>
      </c>
    </row>
    <row r="70" spans="1:28" x14ac:dyDescent="0.3">
      <c r="A70">
        <v>7</v>
      </c>
      <c r="B70" t="s">
        <v>28</v>
      </c>
      <c r="C70" t="s">
        <v>33</v>
      </c>
      <c r="D70">
        <v>53907</v>
      </c>
      <c r="E70" s="28">
        <v>46076.604166666657</v>
      </c>
      <c r="F70">
        <v>309.82</v>
      </c>
      <c r="G70">
        <v>53.09</v>
      </c>
      <c r="H70">
        <v>309.85098199999999</v>
      </c>
      <c r="I70">
        <v>53.084691000000007</v>
      </c>
      <c r="J70">
        <v>-4.3878530153906263</v>
      </c>
      <c r="K70">
        <v>1.010146982915971</v>
      </c>
      <c r="L70">
        <v>322.76805887289402</v>
      </c>
      <c r="M70">
        <v>-1902.7066922508409</v>
      </c>
      <c r="N70" t="s">
        <v>32</v>
      </c>
      <c r="O70">
        <v>1320000000000</v>
      </c>
      <c r="P70" t="s">
        <v>31</v>
      </c>
      <c r="Q70">
        <v>53929</v>
      </c>
      <c r="R70" s="28">
        <v>46076.619444444441</v>
      </c>
      <c r="S70">
        <v>306.24</v>
      </c>
      <c r="T70">
        <v>52.59</v>
      </c>
      <c r="U70">
        <v>-0.28515227122360992</v>
      </c>
      <c r="V70">
        <v>-204.15630463953491</v>
      </c>
      <c r="W70">
        <v>-244.14855799815851</v>
      </c>
      <c r="X70">
        <v>0</v>
      </c>
      <c r="Y70">
        <v>22.254747511237351</v>
      </c>
      <c r="Z70">
        <v>-266.40330550939581</v>
      </c>
      <c r="AA70">
        <v>0</v>
      </c>
      <c r="AB70">
        <v>0</v>
      </c>
    </row>
    <row r="71" spans="1:28" x14ac:dyDescent="0.3">
      <c r="A71">
        <v>7</v>
      </c>
      <c r="B71" t="s">
        <v>28</v>
      </c>
      <c r="C71" t="s">
        <v>33</v>
      </c>
      <c r="D71">
        <v>54298</v>
      </c>
      <c r="E71" s="28">
        <v>46077.604166666657</v>
      </c>
      <c r="F71">
        <v>294.07</v>
      </c>
      <c r="G71">
        <v>50.25</v>
      </c>
      <c r="H71">
        <v>294.040593</v>
      </c>
      <c r="I71">
        <v>50.255025000000003</v>
      </c>
      <c r="J71">
        <v>3.6402653643952072</v>
      </c>
      <c r="K71">
        <v>1.010146982915971</v>
      </c>
      <c r="L71">
        <v>-340.05508892440582</v>
      </c>
      <c r="M71">
        <v>2010.2427520715851</v>
      </c>
      <c r="N71" t="s">
        <v>30</v>
      </c>
      <c r="O71">
        <v>1560000000000</v>
      </c>
      <c r="P71" t="s">
        <v>31</v>
      </c>
      <c r="Q71">
        <v>54324</v>
      </c>
      <c r="R71" s="28">
        <v>46077.62222222222</v>
      </c>
      <c r="S71">
        <v>292.95</v>
      </c>
      <c r="T71">
        <v>49.75</v>
      </c>
      <c r="U71">
        <v>0.32317564303634372</v>
      </c>
      <c r="V71">
        <v>-624.25967644045636</v>
      </c>
      <c r="W71">
        <v>-664.32401779120278</v>
      </c>
      <c r="X71">
        <v>0</v>
      </c>
      <c r="Y71">
        <v>23.502978409959901</v>
      </c>
      <c r="Z71">
        <v>-687.82699620116273</v>
      </c>
      <c r="AA71">
        <v>0</v>
      </c>
      <c r="AB71">
        <v>0</v>
      </c>
    </row>
    <row r="72" spans="1:28" x14ac:dyDescent="0.3">
      <c r="A72">
        <v>8</v>
      </c>
      <c r="B72" t="s">
        <v>28</v>
      </c>
      <c r="C72" t="s">
        <v>33</v>
      </c>
      <c r="D72">
        <v>55468</v>
      </c>
      <c r="E72" s="28">
        <v>46080.604166666657</v>
      </c>
      <c r="F72">
        <v>302.83499999999998</v>
      </c>
      <c r="G72">
        <v>51.37</v>
      </c>
      <c r="H72">
        <v>302.80471649999998</v>
      </c>
      <c r="I72">
        <v>51.375137000000002</v>
      </c>
      <c r="J72">
        <v>3.934397936976795</v>
      </c>
      <c r="K72">
        <v>0.96877792326346956</v>
      </c>
      <c r="L72">
        <v>-330.21282216388471</v>
      </c>
      <c r="M72">
        <v>1885.8826615991229</v>
      </c>
      <c r="N72" t="s">
        <v>30</v>
      </c>
      <c r="O72">
        <v>2100000000000</v>
      </c>
      <c r="P72" t="s">
        <v>31</v>
      </c>
      <c r="Q72">
        <v>55503</v>
      </c>
      <c r="R72" s="28">
        <v>46080.628472222219</v>
      </c>
      <c r="S72">
        <v>297.54000000000002</v>
      </c>
      <c r="T72">
        <v>50.25</v>
      </c>
      <c r="U72">
        <v>5.749173956535495E-2</v>
      </c>
      <c r="V72">
        <v>-363.7116876332575</v>
      </c>
      <c r="W72">
        <v>-402.70117955106889</v>
      </c>
      <c r="X72">
        <v>0</v>
      </c>
      <c r="Y72">
        <v>22.160954837630079</v>
      </c>
      <c r="Z72">
        <v>-424.86213438869902</v>
      </c>
      <c r="AA72">
        <v>0</v>
      </c>
      <c r="AB72">
        <v>0</v>
      </c>
    </row>
    <row r="73" spans="1:28" x14ac:dyDescent="0.3">
      <c r="A73">
        <v>8</v>
      </c>
      <c r="B73" t="s">
        <v>28</v>
      </c>
      <c r="C73" t="s">
        <v>33</v>
      </c>
      <c r="D73">
        <v>56633</v>
      </c>
      <c r="E73" s="28">
        <v>46084.870138888888</v>
      </c>
      <c r="F73">
        <v>300.68</v>
      </c>
      <c r="G73">
        <v>49.88</v>
      </c>
      <c r="H73">
        <v>300.64993199999998</v>
      </c>
      <c r="I73">
        <v>49.884988</v>
      </c>
      <c r="J73">
        <v>3.5957734442424671</v>
      </c>
      <c r="K73">
        <v>0.96877792326346956</v>
      </c>
      <c r="L73">
        <v>-332.57948649727291</v>
      </c>
      <c r="M73">
        <v>1942.21716772949</v>
      </c>
      <c r="N73" t="s">
        <v>30</v>
      </c>
      <c r="O73">
        <v>63540000000000</v>
      </c>
      <c r="P73" t="s">
        <v>31</v>
      </c>
      <c r="Q73">
        <v>56647</v>
      </c>
      <c r="R73" s="28">
        <v>46085.605555555558</v>
      </c>
      <c r="S73">
        <v>299.52</v>
      </c>
      <c r="T73">
        <v>49.82</v>
      </c>
      <c r="U73">
        <v>0.37164097552966741</v>
      </c>
      <c r="V73">
        <v>269.25917427307098</v>
      </c>
      <c r="W73">
        <v>229.93384833126629</v>
      </c>
      <c r="X73">
        <v>0</v>
      </c>
      <c r="Y73">
        <v>22.74796654226763</v>
      </c>
      <c r="Z73">
        <v>207.18588178899861</v>
      </c>
      <c r="AA73">
        <v>0</v>
      </c>
      <c r="AB73">
        <v>0</v>
      </c>
    </row>
    <row r="74" spans="1:28" x14ac:dyDescent="0.3">
      <c r="A74">
        <v>8</v>
      </c>
      <c r="B74" t="s">
        <v>28</v>
      </c>
      <c r="C74" t="s">
        <v>33</v>
      </c>
      <c r="D74">
        <v>57037</v>
      </c>
      <c r="E74" s="28">
        <v>46086.604861111111</v>
      </c>
      <c r="F74">
        <v>298.98</v>
      </c>
      <c r="G74">
        <v>50.104999999999997</v>
      </c>
      <c r="H74">
        <v>298.95010200000002</v>
      </c>
      <c r="I74">
        <v>50.110010499999987</v>
      </c>
      <c r="J74">
        <v>4.033613404581768</v>
      </c>
      <c r="K74">
        <v>0.96877792326346956</v>
      </c>
      <c r="L74">
        <v>-334.47053314602982</v>
      </c>
      <c r="M74">
        <v>1933.495505964414</v>
      </c>
      <c r="N74" t="s">
        <v>30</v>
      </c>
      <c r="O74">
        <v>720000000000</v>
      </c>
      <c r="P74" t="s">
        <v>31</v>
      </c>
      <c r="Q74">
        <v>57049</v>
      </c>
      <c r="R74" s="28">
        <v>46086.613194444442</v>
      </c>
      <c r="S74">
        <v>299.43</v>
      </c>
      <c r="T74">
        <v>50.2</v>
      </c>
      <c r="U74">
        <v>0.1896668712687502</v>
      </c>
      <c r="V74">
        <v>33.170333150921238</v>
      </c>
      <c r="W74">
        <v>-6.2386446956467134</v>
      </c>
      <c r="X74">
        <v>0</v>
      </c>
      <c r="Y74">
        <v>22.679660391104441</v>
      </c>
      <c r="Z74">
        <v>-28.91830508675115</v>
      </c>
      <c r="AA74">
        <v>0</v>
      </c>
      <c r="AB74">
        <v>0</v>
      </c>
    </row>
    <row r="75" spans="1:28" x14ac:dyDescent="0.3">
      <c r="A75">
        <v>8</v>
      </c>
      <c r="B75" t="s">
        <v>28</v>
      </c>
      <c r="C75" t="s">
        <v>33</v>
      </c>
      <c r="D75">
        <v>57818</v>
      </c>
      <c r="E75" s="28">
        <v>46090.5625</v>
      </c>
      <c r="F75">
        <v>286.09500000000003</v>
      </c>
      <c r="G75">
        <v>47.64</v>
      </c>
      <c r="H75">
        <v>286.06639050000001</v>
      </c>
      <c r="I75">
        <v>47.644764000000002</v>
      </c>
      <c r="J75">
        <v>4.8158246540165557</v>
      </c>
      <c r="K75">
        <v>0.96877792326346956</v>
      </c>
      <c r="L75">
        <v>-349.53424561771442</v>
      </c>
      <c r="M75">
        <v>2033.5388817453179</v>
      </c>
      <c r="N75" t="s">
        <v>30</v>
      </c>
      <c r="O75">
        <v>780000000000</v>
      </c>
      <c r="P75" t="s">
        <v>31</v>
      </c>
      <c r="Q75">
        <v>57831</v>
      </c>
      <c r="R75" s="28">
        <v>46090.571527777778</v>
      </c>
      <c r="S75">
        <v>284.52999999999997</v>
      </c>
      <c r="T75">
        <v>47.524999999999999</v>
      </c>
      <c r="U75">
        <v>0.35677660429548941</v>
      </c>
      <c r="V75">
        <v>313.16412299102637</v>
      </c>
      <c r="W75">
        <v>273.86665233231849</v>
      </c>
      <c r="X75">
        <v>0</v>
      </c>
      <c r="Y75">
        <v>23.830731273630331</v>
      </c>
      <c r="Z75">
        <v>250.03592105868819</v>
      </c>
      <c r="AA75">
        <v>0</v>
      </c>
      <c r="AB75">
        <v>0</v>
      </c>
    </row>
    <row r="76" spans="1:28" x14ac:dyDescent="0.3">
      <c r="A76">
        <v>8</v>
      </c>
      <c r="B76" t="s">
        <v>28</v>
      </c>
      <c r="C76" t="s">
        <v>33</v>
      </c>
      <c r="D76">
        <v>58208</v>
      </c>
      <c r="E76" s="28">
        <v>46091.5625</v>
      </c>
      <c r="F76">
        <v>290.255</v>
      </c>
      <c r="G76">
        <v>48.28</v>
      </c>
      <c r="H76">
        <v>290.28402549999998</v>
      </c>
      <c r="I76">
        <v>48.275171999999998</v>
      </c>
      <c r="J76">
        <v>-4.3455249506303142</v>
      </c>
      <c r="K76">
        <v>0.96877792326346956</v>
      </c>
      <c r="L76">
        <v>344.52464212502798</v>
      </c>
      <c r="M76">
        <v>-2006.5822768506</v>
      </c>
      <c r="N76" t="s">
        <v>32</v>
      </c>
      <c r="O76">
        <v>840000000000</v>
      </c>
      <c r="P76" t="s">
        <v>31</v>
      </c>
      <c r="Q76">
        <v>58222</v>
      </c>
      <c r="R76" s="28">
        <v>46091.572222222218</v>
      </c>
      <c r="S76">
        <v>289.8</v>
      </c>
      <c r="T76">
        <v>48.05</v>
      </c>
      <c r="U76">
        <v>-0.45764643065864019</v>
      </c>
      <c r="V76">
        <v>304.75521150876358</v>
      </c>
      <c r="W76">
        <v>265.44148030709829</v>
      </c>
      <c r="X76">
        <v>0</v>
      </c>
      <c r="Y76">
        <v>23.511069189756281</v>
      </c>
      <c r="Z76">
        <v>241.930411117342</v>
      </c>
      <c r="AA76">
        <v>0</v>
      </c>
      <c r="AB76">
        <v>0</v>
      </c>
    </row>
    <row r="77" spans="1:28" x14ac:dyDescent="0.3">
      <c r="A77">
        <v>8</v>
      </c>
      <c r="B77" t="s">
        <v>28</v>
      </c>
      <c r="C77" t="s">
        <v>33</v>
      </c>
      <c r="D77">
        <v>58467</v>
      </c>
      <c r="E77" s="28">
        <v>46091.742361111108</v>
      </c>
      <c r="F77">
        <v>291.815</v>
      </c>
      <c r="G77">
        <v>49.12</v>
      </c>
      <c r="H77">
        <v>291.84418149999999</v>
      </c>
      <c r="I77">
        <v>49.115088</v>
      </c>
      <c r="J77">
        <v>-3.727536180721426</v>
      </c>
      <c r="K77">
        <v>0.96877792326346956</v>
      </c>
      <c r="L77">
        <v>342.68286414337848</v>
      </c>
      <c r="M77">
        <v>-1972.267759086868</v>
      </c>
      <c r="N77" t="s">
        <v>32</v>
      </c>
      <c r="O77">
        <v>1380000000000</v>
      </c>
      <c r="P77" t="s">
        <v>31</v>
      </c>
      <c r="Q77">
        <v>58490</v>
      </c>
      <c r="R77" s="28">
        <v>46091.758333333331</v>
      </c>
      <c r="S77">
        <v>291.93</v>
      </c>
      <c r="T77">
        <v>49.034999999999997</v>
      </c>
      <c r="U77">
        <v>-0.23788929543751439</v>
      </c>
      <c r="V77">
        <v>207.05128889887709</v>
      </c>
      <c r="W77">
        <v>167.68855385662781</v>
      </c>
      <c r="X77">
        <v>0</v>
      </c>
      <c r="Y77">
        <v>23.149506232302471</v>
      </c>
      <c r="Z77">
        <v>144.53904762432529</v>
      </c>
      <c r="AA77">
        <v>0</v>
      </c>
      <c r="AB77">
        <v>0</v>
      </c>
    </row>
    <row r="78" spans="1:28" x14ac:dyDescent="0.3">
      <c r="A78">
        <v>8</v>
      </c>
      <c r="B78" t="s">
        <v>28</v>
      </c>
      <c r="C78" t="s">
        <v>33</v>
      </c>
      <c r="D78">
        <v>58598</v>
      </c>
      <c r="E78" s="28">
        <v>46092.5625</v>
      </c>
      <c r="F78">
        <v>289.2</v>
      </c>
      <c r="G78">
        <v>48.39</v>
      </c>
      <c r="H78">
        <v>289.17108000000002</v>
      </c>
      <c r="I78">
        <v>48.394838999999997</v>
      </c>
      <c r="J78">
        <v>3.989190328545241</v>
      </c>
      <c r="K78">
        <v>0.96877792326346956</v>
      </c>
      <c r="L78">
        <v>-345.78146611341629</v>
      </c>
      <c r="M78">
        <v>2002.020920155961</v>
      </c>
      <c r="N78" t="s">
        <v>30</v>
      </c>
      <c r="O78">
        <v>540000000000</v>
      </c>
      <c r="P78" t="s">
        <v>31</v>
      </c>
      <c r="Q78">
        <v>58607</v>
      </c>
      <c r="R78" s="28">
        <v>46092.568749999999</v>
      </c>
      <c r="S78">
        <v>288.79000000000002</v>
      </c>
      <c r="T78">
        <v>48.505000000000003</v>
      </c>
      <c r="U78">
        <v>-9.1354239169039366E-3</v>
      </c>
      <c r="V78">
        <v>372.00280692442919</v>
      </c>
      <c r="W78">
        <v>332.61840225870611</v>
      </c>
      <c r="X78">
        <v>0</v>
      </c>
      <c r="Y78">
        <v>23.478023862693771</v>
      </c>
      <c r="Z78">
        <v>309.14037839601241</v>
      </c>
      <c r="AA78">
        <v>0</v>
      </c>
      <c r="AB78">
        <v>0</v>
      </c>
    </row>
    <row r="79" spans="1:28" x14ac:dyDescent="0.3">
      <c r="A79">
        <v>8</v>
      </c>
      <c r="B79" t="s">
        <v>28</v>
      </c>
      <c r="C79" t="s">
        <v>33</v>
      </c>
      <c r="D79">
        <v>58990</v>
      </c>
      <c r="E79" s="28">
        <v>46093.563888888893</v>
      </c>
      <c r="F79">
        <v>282.64999999999998</v>
      </c>
      <c r="G79">
        <v>47.515000000000001</v>
      </c>
      <c r="H79">
        <v>282.621735</v>
      </c>
      <c r="I79">
        <v>47.519751499999998</v>
      </c>
      <c r="J79">
        <v>3.5310655190632612</v>
      </c>
      <c r="K79">
        <v>0.96877792326346956</v>
      </c>
      <c r="L79">
        <v>-353.79444542720682</v>
      </c>
      <c r="M79">
        <v>2038.8886104671569</v>
      </c>
      <c r="N79" t="s">
        <v>30</v>
      </c>
      <c r="O79">
        <v>780000000000</v>
      </c>
      <c r="P79" t="s">
        <v>31</v>
      </c>
      <c r="Q79">
        <v>59003</v>
      </c>
      <c r="R79" s="28">
        <v>46093.572916666657</v>
      </c>
      <c r="S79">
        <v>281.19</v>
      </c>
      <c r="T79">
        <v>47.344999999999999</v>
      </c>
      <c r="U79">
        <v>0.24275071841649179</v>
      </c>
      <c r="V79">
        <v>169.92882654429459</v>
      </c>
      <c r="W79">
        <v>130.6395831744519</v>
      </c>
      <c r="X79">
        <v>0</v>
      </c>
      <c r="Y79">
        <v>23.926830558943639</v>
      </c>
      <c r="Z79">
        <v>106.71275261550829</v>
      </c>
      <c r="AA79">
        <v>0</v>
      </c>
      <c r="AB79">
        <v>0</v>
      </c>
    </row>
    <row r="80" spans="1:28" x14ac:dyDescent="0.3">
      <c r="A80">
        <v>9</v>
      </c>
      <c r="B80" t="s">
        <v>28</v>
      </c>
      <c r="C80" t="s">
        <v>33</v>
      </c>
      <c r="D80">
        <v>60161</v>
      </c>
      <c r="E80" s="28">
        <v>46098.5625</v>
      </c>
      <c r="F80">
        <v>289.625</v>
      </c>
      <c r="G80">
        <v>47.65</v>
      </c>
      <c r="H80">
        <v>289.59603750000002</v>
      </c>
      <c r="I80">
        <v>47.654764999999998</v>
      </c>
      <c r="J80">
        <v>3.682555493572631</v>
      </c>
      <c r="K80">
        <v>0.81444705018759989</v>
      </c>
      <c r="L80">
        <v>-345.27406128614592</v>
      </c>
      <c r="M80">
        <v>1709.2278073192019</v>
      </c>
      <c r="N80" t="s">
        <v>30</v>
      </c>
      <c r="O80">
        <v>360000000000</v>
      </c>
      <c r="P80" t="s">
        <v>31</v>
      </c>
      <c r="Q80">
        <v>60167</v>
      </c>
      <c r="R80" s="28">
        <v>46098.566666666673</v>
      </c>
      <c r="S80">
        <v>291</v>
      </c>
      <c r="T80">
        <v>48.02</v>
      </c>
      <c r="U80">
        <v>0.39314071275139079</v>
      </c>
      <c r="V80">
        <v>157.66245443966201</v>
      </c>
      <c r="W80">
        <v>121.2627968236353</v>
      </c>
      <c r="X80">
        <v>0</v>
      </c>
      <c r="Y80">
        <v>20.545018686053481</v>
      </c>
      <c r="Z80">
        <v>100.7177781375818</v>
      </c>
      <c r="AA80">
        <v>0</v>
      </c>
      <c r="AB80">
        <v>0</v>
      </c>
    </row>
    <row r="81" spans="1:28" x14ac:dyDescent="0.3">
      <c r="A81">
        <v>9</v>
      </c>
      <c r="B81" t="s">
        <v>28</v>
      </c>
      <c r="C81" t="s">
        <v>33</v>
      </c>
      <c r="D81">
        <v>60506</v>
      </c>
      <c r="E81" s="28">
        <v>46098.802083333343</v>
      </c>
      <c r="F81">
        <v>286.86</v>
      </c>
      <c r="G81">
        <v>47.475000000000001</v>
      </c>
      <c r="H81">
        <v>286.88868600000001</v>
      </c>
      <c r="I81">
        <v>47.470252500000001</v>
      </c>
      <c r="J81">
        <v>-4.4312396332796542</v>
      </c>
      <c r="K81">
        <v>0.81444705018759989</v>
      </c>
      <c r="L81">
        <v>348.60210555671762</v>
      </c>
      <c r="M81">
        <v>-1715.5282784362289</v>
      </c>
      <c r="N81" t="s">
        <v>32</v>
      </c>
      <c r="O81">
        <v>780000000000</v>
      </c>
      <c r="P81" t="s">
        <v>31</v>
      </c>
      <c r="Q81">
        <v>60519</v>
      </c>
      <c r="R81" s="28">
        <v>46098.811111111107</v>
      </c>
      <c r="S81">
        <v>286.84500000000003</v>
      </c>
      <c r="T81">
        <v>47.424999999999997</v>
      </c>
      <c r="U81">
        <v>-0.23845242360756061</v>
      </c>
      <c r="V81">
        <v>80.547382338472758</v>
      </c>
      <c r="W81">
        <v>44.267541879275377</v>
      </c>
      <c r="X81">
        <v>0</v>
      </c>
      <c r="Y81">
        <v>20.641303839929471</v>
      </c>
      <c r="Z81">
        <v>23.62623803934591</v>
      </c>
      <c r="AA81">
        <v>0</v>
      </c>
      <c r="AB81">
        <v>0</v>
      </c>
    </row>
    <row r="82" spans="1:28" x14ac:dyDescent="0.3">
      <c r="A82">
        <v>9</v>
      </c>
      <c r="B82" t="s">
        <v>28</v>
      </c>
      <c r="C82" t="s">
        <v>33</v>
      </c>
      <c r="D82">
        <v>60554</v>
      </c>
      <c r="E82" s="28">
        <v>46099.564583333333</v>
      </c>
      <c r="F82">
        <v>285.52499999999998</v>
      </c>
      <c r="G82">
        <v>47.375</v>
      </c>
      <c r="H82">
        <v>285.55355250000002</v>
      </c>
      <c r="I82">
        <v>47.370262500000003</v>
      </c>
      <c r="J82">
        <v>-3.7668691164191461</v>
      </c>
      <c r="K82">
        <v>0.81444705018759989</v>
      </c>
      <c r="L82">
        <v>350.2320287190264</v>
      </c>
      <c r="M82">
        <v>-1719.1494463062791</v>
      </c>
      <c r="N82" t="s">
        <v>32</v>
      </c>
      <c r="O82">
        <v>720000000000</v>
      </c>
      <c r="P82" t="s">
        <v>31</v>
      </c>
      <c r="Q82">
        <v>60566</v>
      </c>
      <c r="R82" s="28">
        <v>46099.572916666657</v>
      </c>
      <c r="S82">
        <v>286.89999999999998</v>
      </c>
      <c r="T82">
        <v>47.5</v>
      </c>
      <c r="U82">
        <v>-0.36593961571871192</v>
      </c>
      <c r="V82">
        <v>266.67535870037642</v>
      </c>
      <c r="W82">
        <v>230.3167714246085</v>
      </c>
      <c r="X82">
        <v>0</v>
      </c>
      <c r="Y82">
        <v>20.693814750253061</v>
      </c>
      <c r="Z82">
        <v>209.62295667435541</v>
      </c>
      <c r="AA82">
        <v>0</v>
      </c>
      <c r="AB82">
        <v>0</v>
      </c>
    </row>
    <row r="83" spans="1:28" x14ac:dyDescent="0.3">
      <c r="A83">
        <v>9</v>
      </c>
      <c r="B83" t="s">
        <v>28</v>
      </c>
      <c r="C83" t="s">
        <v>33</v>
      </c>
      <c r="D83">
        <v>61331</v>
      </c>
      <c r="E83" s="28">
        <v>46101.5625</v>
      </c>
      <c r="F83">
        <v>288.13</v>
      </c>
      <c r="G83">
        <v>47.3</v>
      </c>
      <c r="H83">
        <v>288.15881300000001</v>
      </c>
      <c r="I83">
        <v>47.295270000000002</v>
      </c>
      <c r="J83">
        <v>-4.796941551264422</v>
      </c>
      <c r="K83">
        <v>0.81444705018759989</v>
      </c>
      <c r="L83">
        <v>347.0655606844133</v>
      </c>
      <c r="M83">
        <v>-1721.8753703754751</v>
      </c>
      <c r="N83" t="s">
        <v>32</v>
      </c>
      <c r="O83">
        <v>1620000000000</v>
      </c>
      <c r="P83" t="s">
        <v>31</v>
      </c>
      <c r="Q83">
        <v>61358</v>
      </c>
      <c r="R83" s="28">
        <v>46101.581250000003</v>
      </c>
      <c r="S83">
        <v>288.005</v>
      </c>
      <c r="T83">
        <v>47.21</v>
      </c>
      <c r="U83">
        <v>5.6809218071837003E-3</v>
      </c>
      <c r="V83">
        <v>111.5855882482347</v>
      </c>
      <c r="W83">
        <v>75.316482442326446</v>
      </c>
      <c r="X83">
        <v>0</v>
      </c>
      <c r="Y83">
        <v>20.68940931059889</v>
      </c>
      <c r="Z83">
        <v>54.627073131727563</v>
      </c>
      <c r="AA83">
        <v>0</v>
      </c>
      <c r="AB83">
        <v>0</v>
      </c>
    </row>
    <row r="84" spans="1:28" x14ac:dyDescent="0.3">
      <c r="A84">
        <v>9</v>
      </c>
      <c r="B84" t="s">
        <v>28</v>
      </c>
      <c r="C84" t="s">
        <v>33</v>
      </c>
      <c r="D84">
        <v>61711</v>
      </c>
      <c r="E84" s="28">
        <v>46101.826388888891</v>
      </c>
      <c r="F84">
        <v>285.69499999999999</v>
      </c>
      <c r="G84">
        <v>46.91</v>
      </c>
      <c r="H84">
        <v>285.7235695</v>
      </c>
      <c r="I84">
        <v>46.905309000000003</v>
      </c>
      <c r="J84">
        <v>-3.7985191049783231</v>
      </c>
      <c r="K84">
        <v>0.81444705018759989</v>
      </c>
      <c r="L84">
        <v>350.02362659479508</v>
      </c>
      <c r="M84">
        <v>-1736.190684688979</v>
      </c>
      <c r="N84" t="s">
        <v>32</v>
      </c>
      <c r="O84">
        <v>237300000000000</v>
      </c>
      <c r="P84" t="s">
        <v>31</v>
      </c>
      <c r="Q84">
        <v>61737</v>
      </c>
      <c r="R84" s="28">
        <v>46104.572916666657</v>
      </c>
      <c r="S84">
        <v>292.12</v>
      </c>
      <c r="T84">
        <v>47.97</v>
      </c>
      <c r="U84">
        <v>1.0318508698612221E-2</v>
      </c>
      <c r="V84">
        <v>408.5396751012413</v>
      </c>
      <c r="W84">
        <v>371.84180770483817</v>
      </c>
      <c r="X84">
        <v>0</v>
      </c>
      <c r="Y84">
        <v>20.862143112837739</v>
      </c>
      <c r="Z84">
        <v>350.97966459200052</v>
      </c>
      <c r="AA84">
        <v>0</v>
      </c>
      <c r="AB84">
        <v>0</v>
      </c>
    </row>
    <row r="85" spans="1:28" x14ac:dyDescent="0.3">
      <c r="A85">
        <v>9</v>
      </c>
      <c r="B85" t="s">
        <v>28</v>
      </c>
      <c r="C85" t="s">
        <v>33</v>
      </c>
      <c r="D85">
        <v>62112</v>
      </c>
      <c r="E85" s="28">
        <v>46105.5625</v>
      </c>
      <c r="F85">
        <v>286.98</v>
      </c>
      <c r="G85">
        <v>47.35</v>
      </c>
      <c r="H85">
        <v>287.00869799999998</v>
      </c>
      <c r="I85">
        <v>47.345264999999998</v>
      </c>
      <c r="J85">
        <v>-4.3256654332070488</v>
      </c>
      <c r="K85">
        <v>0.81444705018759989</v>
      </c>
      <c r="L85">
        <v>348.45633842079587</v>
      </c>
      <c r="M85">
        <v>-1720.0571281681091</v>
      </c>
      <c r="N85" t="s">
        <v>32</v>
      </c>
      <c r="O85">
        <v>1080000000000</v>
      </c>
      <c r="P85" t="s">
        <v>31</v>
      </c>
      <c r="Q85">
        <v>62130</v>
      </c>
      <c r="R85" s="28">
        <v>46105.574999999997</v>
      </c>
      <c r="S85">
        <v>288.70999999999998</v>
      </c>
      <c r="T85">
        <v>47.64</v>
      </c>
      <c r="U85">
        <v>-0.34533234217353581</v>
      </c>
      <c r="V85">
        <v>104.01289829921311</v>
      </c>
      <c r="W85">
        <v>67.613792692200377</v>
      </c>
      <c r="X85">
        <v>0</v>
      </c>
      <c r="Y85">
        <v>20.685134665889048</v>
      </c>
      <c r="Z85">
        <v>46.928658026311332</v>
      </c>
      <c r="AA85">
        <v>0</v>
      </c>
      <c r="AB85">
        <v>0</v>
      </c>
    </row>
    <row r="86" spans="1:28" x14ac:dyDescent="0.3">
      <c r="A86">
        <v>9</v>
      </c>
      <c r="B86" t="s">
        <v>28</v>
      </c>
      <c r="C86" t="s">
        <v>33</v>
      </c>
      <c r="D86">
        <v>62589</v>
      </c>
      <c r="E86" s="28">
        <v>46106.622916666667</v>
      </c>
      <c r="F86">
        <v>295.58999999999997</v>
      </c>
      <c r="G86">
        <v>48.66</v>
      </c>
      <c r="H86">
        <v>295.56044100000003</v>
      </c>
      <c r="I86">
        <v>48.664866000000004</v>
      </c>
      <c r="J86">
        <v>3.5881352196890308</v>
      </c>
      <c r="K86">
        <v>0.81444705018759989</v>
      </c>
      <c r="L86">
        <v>-338.30643797151458</v>
      </c>
      <c r="M86">
        <v>1673.7506169083431</v>
      </c>
      <c r="N86" t="s">
        <v>30</v>
      </c>
      <c r="O86">
        <v>480000000000</v>
      </c>
      <c r="P86" t="s">
        <v>31</v>
      </c>
      <c r="Q86">
        <v>62597</v>
      </c>
      <c r="R86" s="28">
        <v>46106.628472222219</v>
      </c>
      <c r="S86">
        <v>294.86</v>
      </c>
      <c r="T86">
        <v>48.585000000000001</v>
      </c>
      <c r="U86">
        <v>8.2929969426686956E-2</v>
      </c>
      <c r="V86">
        <v>121.43240345107399</v>
      </c>
      <c r="W86">
        <v>85.180711946916546</v>
      </c>
      <c r="X86">
        <v>0</v>
      </c>
      <c r="Y86">
        <v>20.120570548798579</v>
      </c>
      <c r="Z86">
        <v>65.060141398117963</v>
      </c>
      <c r="AA86">
        <v>0</v>
      </c>
      <c r="AB86">
        <v>0</v>
      </c>
    </row>
    <row r="87" spans="1:28" x14ac:dyDescent="0.3">
      <c r="A87">
        <v>9</v>
      </c>
      <c r="B87" t="s">
        <v>28</v>
      </c>
      <c r="C87" t="s">
        <v>33</v>
      </c>
      <c r="D87">
        <v>62894</v>
      </c>
      <c r="E87" s="28">
        <v>46107.563194444447</v>
      </c>
      <c r="F87">
        <v>293.85000000000002</v>
      </c>
      <c r="G87">
        <v>48.805</v>
      </c>
      <c r="H87">
        <v>293.87938500000001</v>
      </c>
      <c r="I87">
        <v>48.800119500000001</v>
      </c>
      <c r="J87">
        <v>-4.2488124499288347</v>
      </c>
      <c r="K87">
        <v>0.81444705018759989</v>
      </c>
      <c r="L87">
        <v>340.3096818104475</v>
      </c>
      <c r="M87">
        <v>-1668.777891993853</v>
      </c>
      <c r="N87" t="s">
        <v>32</v>
      </c>
      <c r="O87">
        <v>780000000000</v>
      </c>
      <c r="P87" t="s">
        <v>31</v>
      </c>
      <c r="Q87">
        <v>62907</v>
      </c>
      <c r="R87" s="28">
        <v>46107.572222222218</v>
      </c>
      <c r="S87">
        <v>294.77999999999997</v>
      </c>
      <c r="T87">
        <v>48.835000000000001</v>
      </c>
      <c r="U87">
        <v>-0.49528238982585743</v>
      </c>
      <c r="V87">
        <v>266.42466732388158</v>
      </c>
      <c r="W87">
        <v>230.09907118605921</v>
      </c>
      <c r="X87">
        <v>0</v>
      </c>
      <c r="Y87">
        <v>20.090875738043</v>
      </c>
      <c r="Z87">
        <v>210.00819544801621</v>
      </c>
      <c r="AA87">
        <v>0</v>
      </c>
      <c r="AB87">
        <v>0</v>
      </c>
    </row>
    <row r="88" spans="1:28" x14ac:dyDescent="0.3">
      <c r="A88">
        <v>10</v>
      </c>
      <c r="B88" t="s">
        <v>36</v>
      </c>
      <c r="C88" t="s">
        <v>37</v>
      </c>
      <c r="D88">
        <v>63459</v>
      </c>
      <c r="E88" s="28">
        <v>46108.68472222222</v>
      </c>
      <c r="F88">
        <v>51.03</v>
      </c>
      <c r="G88">
        <v>203</v>
      </c>
      <c r="H88">
        <v>51.024897000000003</v>
      </c>
      <c r="I88">
        <v>203.02029999999999</v>
      </c>
      <c r="J88">
        <v>3.5523458610373102</v>
      </c>
      <c r="K88">
        <v>0.90418154948810281</v>
      </c>
      <c r="L88">
        <v>-1959.631589261219</v>
      </c>
      <c r="M88">
        <v>445.40963028970577</v>
      </c>
      <c r="N88" t="s">
        <v>30</v>
      </c>
      <c r="O88">
        <v>1080000000000</v>
      </c>
      <c r="P88" t="s">
        <v>31</v>
      </c>
      <c r="Q88">
        <v>63477</v>
      </c>
      <c r="R88" s="28">
        <v>46108.697222222218</v>
      </c>
      <c r="S88">
        <v>50.975000000000001</v>
      </c>
      <c r="T88">
        <v>203.17</v>
      </c>
      <c r="U88">
        <v>0.1338196310140963</v>
      </c>
      <c r="V88">
        <v>183.4993745586109</v>
      </c>
      <c r="W88">
        <v>145.41894957888331</v>
      </c>
      <c r="X88">
        <v>0</v>
      </c>
      <c r="Y88">
        <v>24.050412195509249</v>
      </c>
      <c r="Z88">
        <v>121.368537383374</v>
      </c>
      <c r="AA88">
        <v>0</v>
      </c>
      <c r="AB88">
        <v>0</v>
      </c>
    </row>
    <row r="89" spans="1:28" x14ac:dyDescent="0.3">
      <c r="A89">
        <v>10</v>
      </c>
      <c r="B89" t="s">
        <v>36</v>
      </c>
      <c r="C89" t="s">
        <v>37</v>
      </c>
      <c r="D89">
        <v>64254</v>
      </c>
      <c r="E89" s="28">
        <v>46112.736111111109</v>
      </c>
      <c r="F89">
        <v>51.725000000000001</v>
      </c>
      <c r="G89">
        <v>205.76499999999999</v>
      </c>
      <c r="H89">
        <v>51.719827500000001</v>
      </c>
      <c r="I89">
        <v>205.78557649999999</v>
      </c>
      <c r="J89">
        <v>3.88209231152267</v>
      </c>
      <c r="K89">
        <v>0.90418154948810281</v>
      </c>
      <c r="L89">
        <v>-1933.3011116481391</v>
      </c>
      <c r="M89">
        <v>439.42436735504231</v>
      </c>
      <c r="N89" t="s">
        <v>30</v>
      </c>
      <c r="O89">
        <v>240000000000</v>
      </c>
      <c r="P89" t="s">
        <v>31</v>
      </c>
      <c r="Q89">
        <v>64258</v>
      </c>
      <c r="R89" s="28">
        <v>46112.738888888889</v>
      </c>
      <c r="S89">
        <v>51.835000000000001</v>
      </c>
      <c r="T89">
        <v>206.93</v>
      </c>
      <c r="U89">
        <v>0.21192774522584029</v>
      </c>
      <c r="V89">
        <v>299.26626568733911</v>
      </c>
      <c r="W89">
        <v>261.11017544654959</v>
      </c>
      <c r="X89">
        <v>0</v>
      </c>
      <c r="Y89">
        <v>23.727254790031811</v>
      </c>
      <c r="Z89">
        <v>237.3829206565178</v>
      </c>
      <c r="AA89">
        <v>0</v>
      </c>
      <c r="AB89">
        <v>2</v>
      </c>
    </row>
    <row r="90" spans="1:28" x14ac:dyDescent="0.3">
      <c r="A90">
        <v>10</v>
      </c>
      <c r="B90" t="s">
        <v>36</v>
      </c>
      <c r="C90" t="s">
        <v>37</v>
      </c>
      <c r="D90">
        <v>64722</v>
      </c>
      <c r="E90" s="28">
        <v>46113.789583333331</v>
      </c>
      <c r="F90">
        <v>52.865000000000002</v>
      </c>
      <c r="G90">
        <v>210.84</v>
      </c>
      <c r="H90">
        <v>52.870286499999999</v>
      </c>
      <c r="I90">
        <v>210.818916</v>
      </c>
      <c r="J90">
        <v>-3.8590103261116311</v>
      </c>
      <c r="K90">
        <v>0.90418154948810281</v>
      </c>
      <c r="L90">
        <v>1891.6107065165991</v>
      </c>
      <c r="M90">
        <v>-428.8472535989863</v>
      </c>
      <c r="N90" t="s">
        <v>32</v>
      </c>
      <c r="O90">
        <v>240000000000</v>
      </c>
      <c r="P90" t="s">
        <v>31</v>
      </c>
      <c r="Q90">
        <v>64726</v>
      </c>
      <c r="R90" s="28">
        <v>46113.792361111111</v>
      </c>
      <c r="S90">
        <v>52.88</v>
      </c>
      <c r="T90">
        <v>210.47</v>
      </c>
      <c r="U90">
        <v>5.4271450886599168E-2</v>
      </c>
      <c r="V90">
        <v>187.0476444293769</v>
      </c>
      <c r="W90">
        <v>148.97704337193881</v>
      </c>
      <c r="X90">
        <v>0</v>
      </c>
      <c r="Y90">
        <v>23.204579601155849</v>
      </c>
      <c r="Z90">
        <v>125.77246377078291</v>
      </c>
      <c r="AA90">
        <v>0</v>
      </c>
      <c r="AB90">
        <v>1</v>
      </c>
    </row>
    <row r="91" spans="1:28" x14ac:dyDescent="0.3">
      <c r="A91">
        <v>10</v>
      </c>
      <c r="B91" t="s">
        <v>36</v>
      </c>
      <c r="C91" t="s">
        <v>37</v>
      </c>
      <c r="D91">
        <v>65242</v>
      </c>
      <c r="E91" s="28">
        <v>46118.607638888891</v>
      </c>
      <c r="F91">
        <v>53.325000000000003</v>
      </c>
      <c r="G91">
        <v>211.72</v>
      </c>
      <c r="H91">
        <v>53.319667500000001</v>
      </c>
      <c r="I91">
        <v>211.74117200000001</v>
      </c>
      <c r="J91">
        <v>3.5283094695702362</v>
      </c>
      <c r="K91">
        <v>0.90418154948810281</v>
      </c>
      <c r="L91">
        <v>-1875.293014533521</v>
      </c>
      <c r="M91">
        <v>427.06477871155431</v>
      </c>
      <c r="N91" t="s">
        <v>30</v>
      </c>
      <c r="O91">
        <v>540000000000</v>
      </c>
      <c r="P91" t="s">
        <v>31</v>
      </c>
      <c r="Q91">
        <v>65251</v>
      </c>
      <c r="R91" s="28">
        <v>46118.613888888889</v>
      </c>
      <c r="S91">
        <v>53.27</v>
      </c>
      <c r="T91">
        <v>212.32</v>
      </c>
      <c r="U91">
        <v>0.40382193561864049</v>
      </c>
      <c r="V91">
        <v>359.37998302627329</v>
      </c>
      <c r="W91">
        <v>321.28104226136128</v>
      </c>
      <c r="X91">
        <v>0</v>
      </c>
      <c r="Y91">
        <v>23.023577932450749</v>
      </c>
      <c r="Z91">
        <v>298.2574643289106</v>
      </c>
      <c r="AA91">
        <v>0</v>
      </c>
      <c r="AB91">
        <v>6</v>
      </c>
    </row>
    <row r="92" spans="1:28" x14ac:dyDescent="0.3">
      <c r="A92">
        <v>10</v>
      </c>
      <c r="B92" t="s">
        <v>36</v>
      </c>
      <c r="C92" t="s">
        <v>37</v>
      </c>
      <c r="D92">
        <v>65779</v>
      </c>
      <c r="E92" s="28">
        <v>46119.709722222222</v>
      </c>
      <c r="F92">
        <v>53.424999999999997</v>
      </c>
      <c r="G92">
        <v>213.31</v>
      </c>
      <c r="H92">
        <v>53.4196575</v>
      </c>
      <c r="I92">
        <v>213.33133100000001</v>
      </c>
      <c r="J92">
        <v>3.5378142745057541</v>
      </c>
      <c r="K92">
        <v>0.90418154948810281</v>
      </c>
      <c r="L92">
        <v>-1871.782873186711</v>
      </c>
      <c r="M92">
        <v>423.88146335760291</v>
      </c>
      <c r="N92" t="s">
        <v>30</v>
      </c>
      <c r="O92">
        <v>1620000000000</v>
      </c>
      <c r="P92" t="s">
        <v>31</v>
      </c>
      <c r="Q92">
        <v>65806</v>
      </c>
      <c r="R92" s="28">
        <v>46119.728472222218</v>
      </c>
      <c r="S92">
        <v>53.395000000000003</v>
      </c>
      <c r="T92">
        <v>213.23</v>
      </c>
      <c r="U92">
        <v>0.46336470984441153</v>
      </c>
      <c r="V92">
        <v>22.2429691269766</v>
      </c>
      <c r="W92">
        <v>-15.83165546245039</v>
      </c>
      <c r="X92">
        <v>0</v>
      </c>
      <c r="Y92">
        <v>22.956643365443131</v>
      </c>
      <c r="Z92">
        <v>-38.78829882789352</v>
      </c>
      <c r="AA92">
        <v>0</v>
      </c>
      <c r="AB92">
        <v>1</v>
      </c>
    </row>
    <row r="93" spans="1:28" x14ac:dyDescent="0.3">
      <c r="A93">
        <v>10</v>
      </c>
      <c r="B93" t="s">
        <v>36</v>
      </c>
      <c r="C93" t="s">
        <v>37</v>
      </c>
      <c r="D93">
        <v>65872</v>
      </c>
      <c r="E93" s="28">
        <v>46119.774305555547</v>
      </c>
      <c r="F93">
        <v>53.575000000000003</v>
      </c>
      <c r="G93">
        <v>213.33</v>
      </c>
      <c r="H93">
        <v>53.5696425</v>
      </c>
      <c r="I93">
        <v>213.35133300000001</v>
      </c>
      <c r="J93">
        <v>3.633571010706512</v>
      </c>
      <c r="K93">
        <v>0.90418154948810281</v>
      </c>
      <c r="L93">
        <v>-1866.542230517965</v>
      </c>
      <c r="M93">
        <v>423.84172384948329</v>
      </c>
      <c r="N93" t="s">
        <v>30</v>
      </c>
      <c r="O93">
        <v>300000000000</v>
      </c>
      <c r="P93" t="s">
        <v>31</v>
      </c>
      <c r="Q93">
        <v>65877</v>
      </c>
      <c r="R93" s="28">
        <v>46119.777777777781</v>
      </c>
      <c r="S93">
        <v>53.51</v>
      </c>
      <c r="T93">
        <v>213.78</v>
      </c>
      <c r="U93">
        <v>-0.42482070908762037</v>
      </c>
      <c r="V93">
        <v>312.05402071593937</v>
      </c>
      <c r="W93">
        <v>273.96344937310408</v>
      </c>
      <c r="X93">
        <v>0</v>
      </c>
      <c r="Y93">
        <v>22.90383954367449</v>
      </c>
      <c r="Z93">
        <v>251.05960982942969</v>
      </c>
      <c r="AA93">
        <v>0</v>
      </c>
      <c r="AB93">
        <v>0</v>
      </c>
    </row>
    <row r="94" spans="1:28" x14ac:dyDescent="0.3">
      <c r="A94">
        <v>10</v>
      </c>
      <c r="B94" t="s">
        <v>36</v>
      </c>
      <c r="C94" t="s">
        <v>37</v>
      </c>
      <c r="D94">
        <v>66010</v>
      </c>
      <c r="E94" s="28">
        <v>46119.870138888888</v>
      </c>
      <c r="F94">
        <v>53.77</v>
      </c>
      <c r="G94">
        <v>214.595</v>
      </c>
      <c r="H94">
        <v>53.764623</v>
      </c>
      <c r="I94">
        <v>214.61645949999999</v>
      </c>
      <c r="J94">
        <v>3.6411829482452172</v>
      </c>
      <c r="K94">
        <v>0.90418154948810281</v>
      </c>
      <c r="L94">
        <v>-1859.7731076808629</v>
      </c>
      <c r="M94">
        <v>421.34325100216807</v>
      </c>
      <c r="N94" t="s">
        <v>30</v>
      </c>
      <c r="O94">
        <v>64020000000000</v>
      </c>
      <c r="P94" t="s">
        <v>31</v>
      </c>
      <c r="Q94">
        <v>66028</v>
      </c>
      <c r="R94" s="28">
        <v>46120.611111111109</v>
      </c>
      <c r="S94">
        <v>55.5</v>
      </c>
      <c r="T94">
        <v>221.56</v>
      </c>
      <c r="U94">
        <v>0.26064238289366709</v>
      </c>
      <c r="V94">
        <v>-282.75173305778429</v>
      </c>
      <c r="W94">
        <v>-321.4505703694972</v>
      </c>
      <c r="X94">
        <v>0</v>
      </c>
      <c r="Y94">
        <v>22.811163586830311</v>
      </c>
      <c r="Z94">
        <v>-344.26173395632748</v>
      </c>
      <c r="AA94">
        <v>0</v>
      </c>
      <c r="AB94">
        <v>1</v>
      </c>
    </row>
    <row r="95" spans="1:28" x14ac:dyDescent="0.3">
      <c r="A95">
        <v>10</v>
      </c>
      <c r="B95" t="s">
        <v>36</v>
      </c>
      <c r="C95" t="s">
        <v>37</v>
      </c>
      <c r="D95">
        <v>66538</v>
      </c>
      <c r="E95" s="28">
        <v>46121.694444444453</v>
      </c>
      <c r="F95">
        <v>56.18</v>
      </c>
      <c r="G95">
        <v>222.24</v>
      </c>
      <c r="H95">
        <v>56.174382000000001</v>
      </c>
      <c r="I95">
        <v>222.262224</v>
      </c>
      <c r="J95">
        <v>4.0678942296955141</v>
      </c>
      <c r="K95">
        <v>0.90418154948810281</v>
      </c>
      <c r="L95">
        <v>-1779.9928800284799</v>
      </c>
      <c r="M95">
        <v>406.8491493376992</v>
      </c>
      <c r="N95" t="s">
        <v>30</v>
      </c>
      <c r="O95">
        <v>780000000000</v>
      </c>
      <c r="P95" t="s">
        <v>31</v>
      </c>
      <c r="Q95">
        <v>66551</v>
      </c>
      <c r="R95" s="28">
        <v>46121.703472222223</v>
      </c>
      <c r="S95">
        <v>56.18</v>
      </c>
      <c r="T95">
        <v>222.67</v>
      </c>
      <c r="U95">
        <v>0.38411161075719069</v>
      </c>
      <c r="V95">
        <v>174.9451342152019</v>
      </c>
      <c r="W95">
        <v>136.84400871202681</v>
      </c>
      <c r="X95">
        <v>0</v>
      </c>
      <c r="Y95">
        <v>21.868420293661789</v>
      </c>
      <c r="Z95">
        <v>114.97558841836501</v>
      </c>
      <c r="AA95">
        <v>0</v>
      </c>
      <c r="AB95">
        <v>0</v>
      </c>
    </row>
    <row r="96" spans="1:28" x14ac:dyDescent="0.3">
      <c r="A96">
        <v>12</v>
      </c>
      <c r="B96" t="s">
        <v>36</v>
      </c>
      <c r="C96" t="s">
        <v>37</v>
      </c>
      <c r="D96">
        <v>71114</v>
      </c>
      <c r="E96" s="28">
        <v>46139.604166666657</v>
      </c>
      <c r="F96">
        <v>55.95</v>
      </c>
      <c r="G96">
        <v>220.35</v>
      </c>
      <c r="H96">
        <v>55.944405000000003</v>
      </c>
      <c r="I96">
        <v>220.37203500000001</v>
      </c>
      <c r="J96">
        <v>3.8584047850779659</v>
      </c>
      <c r="K96">
        <v>0.94405449064772462</v>
      </c>
      <c r="L96">
        <v>-1787.3100983020549</v>
      </c>
      <c r="M96">
        <v>428.43407789776472</v>
      </c>
      <c r="N96" t="s">
        <v>30</v>
      </c>
      <c r="O96">
        <v>420000000000</v>
      </c>
      <c r="P96" t="s">
        <v>31</v>
      </c>
      <c r="Q96">
        <v>71121</v>
      </c>
      <c r="R96" s="28">
        <v>46139.609027777777</v>
      </c>
      <c r="S96">
        <v>56.1</v>
      </c>
      <c r="T96">
        <v>221.92</v>
      </c>
      <c r="U96">
        <v>-0.20461089945307109</v>
      </c>
      <c r="V96">
        <v>404.54498755418189</v>
      </c>
      <c r="W96">
        <v>365.56982393953808</v>
      </c>
      <c r="X96">
        <v>0</v>
      </c>
      <c r="Y96">
        <v>22.1574417619982</v>
      </c>
      <c r="Z96">
        <v>343.41238217753988</v>
      </c>
      <c r="AA96">
        <v>0</v>
      </c>
      <c r="AB96">
        <v>1</v>
      </c>
    </row>
    <row r="97" spans="1:28" x14ac:dyDescent="0.3">
      <c r="A97">
        <v>12</v>
      </c>
      <c r="B97" t="s">
        <v>36</v>
      </c>
      <c r="C97" t="s">
        <v>37</v>
      </c>
      <c r="D97">
        <v>71504</v>
      </c>
      <c r="E97" s="28">
        <v>46140.604166666657</v>
      </c>
      <c r="F97">
        <v>56.55</v>
      </c>
      <c r="G97">
        <v>223.04</v>
      </c>
      <c r="H97">
        <v>56.544345</v>
      </c>
      <c r="I97">
        <v>223.06230400000001</v>
      </c>
      <c r="J97">
        <v>3.7118362261002611</v>
      </c>
      <c r="K97">
        <v>0.94405449064772462</v>
      </c>
      <c r="L97">
        <v>-1768.346595932803</v>
      </c>
      <c r="M97">
        <v>423.26689860461107</v>
      </c>
      <c r="N97" t="s">
        <v>30</v>
      </c>
      <c r="O97">
        <v>720000000000</v>
      </c>
      <c r="P97" t="s">
        <v>31</v>
      </c>
      <c r="Q97">
        <v>71516</v>
      </c>
      <c r="R97" s="28">
        <v>46140.612500000003</v>
      </c>
      <c r="S97">
        <v>56.58</v>
      </c>
      <c r="T97">
        <v>223.35499999999999</v>
      </c>
      <c r="U97">
        <v>0.28678400683238942</v>
      </c>
      <c r="V97">
        <v>80.278675182465449</v>
      </c>
      <c r="W97">
        <v>41.378947422432489</v>
      </c>
      <c r="X97">
        <v>0</v>
      </c>
      <c r="Y97">
        <v>21.916134945374139</v>
      </c>
      <c r="Z97">
        <v>19.46281247705835</v>
      </c>
      <c r="AA97">
        <v>0</v>
      </c>
      <c r="AB97">
        <v>3</v>
      </c>
    </row>
    <row r="98" spans="1:28" x14ac:dyDescent="0.3">
      <c r="A98">
        <v>12</v>
      </c>
      <c r="B98" t="s">
        <v>36</v>
      </c>
      <c r="C98" t="s">
        <v>37</v>
      </c>
      <c r="D98">
        <v>71896</v>
      </c>
      <c r="E98" s="28">
        <v>46141.605555555558</v>
      </c>
      <c r="F98">
        <v>56.18</v>
      </c>
      <c r="G98">
        <v>221.73</v>
      </c>
      <c r="H98">
        <v>56.185617999999998</v>
      </c>
      <c r="I98">
        <v>221.70782700000001</v>
      </c>
      <c r="J98">
        <v>-3.7173685191356829</v>
      </c>
      <c r="K98">
        <v>0.94405449064772462</v>
      </c>
      <c r="L98">
        <v>1779.9928800284799</v>
      </c>
      <c r="M98">
        <v>-425.76759601665299</v>
      </c>
      <c r="N98" t="s">
        <v>32</v>
      </c>
      <c r="O98">
        <v>60000000000</v>
      </c>
      <c r="P98" t="s">
        <v>31</v>
      </c>
      <c r="Q98">
        <v>71897</v>
      </c>
      <c r="R98" s="28">
        <v>46141.606249999997</v>
      </c>
      <c r="S98">
        <v>56.42</v>
      </c>
      <c r="T98">
        <v>221.73</v>
      </c>
      <c r="U98">
        <v>0.30732377143313272</v>
      </c>
      <c r="V98">
        <v>427.19829120683869</v>
      </c>
      <c r="W98">
        <v>388.27448156475549</v>
      </c>
      <c r="X98">
        <v>0</v>
      </c>
      <c r="Y98">
        <v>22.05760476045133</v>
      </c>
      <c r="Z98">
        <v>366.21687680430409</v>
      </c>
      <c r="AA98">
        <v>0</v>
      </c>
      <c r="AB98">
        <v>1</v>
      </c>
    </row>
    <row r="99" spans="1:28" x14ac:dyDescent="0.3">
      <c r="A99">
        <v>12</v>
      </c>
      <c r="B99" t="s">
        <v>36</v>
      </c>
      <c r="C99" t="s">
        <v>37</v>
      </c>
      <c r="D99">
        <v>72054</v>
      </c>
      <c r="E99" s="28">
        <v>46141.715277777781</v>
      </c>
      <c r="F99">
        <v>55.57</v>
      </c>
      <c r="G99">
        <v>218.78</v>
      </c>
      <c r="H99">
        <v>55.575557000000003</v>
      </c>
      <c r="I99">
        <v>218.75812199999999</v>
      </c>
      <c r="J99">
        <v>-3.5022308892687222</v>
      </c>
      <c r="K99">
        <v>0.94405449064772462</v>
      </c>
      <c r="L99">
        <v>1799.532121648371</v>
      </c>
      <c r="M99">
        <v>-431.50858883249128</v>
      </c>
      <c r="N99" t="s">
        <v>32</v>
      </c>
      <c r="O99">
        <v>360000000000</v>
      </c>
      <c r="P99" t="s">
        <v>31</v>
      </c>
      <c r="Q99">
        <v>72060</v>
      </c>
      <c r="R99" s="28">
        <v>46141.719444444447</v>
      </c>
      <c r="S99">
        <v>55.695</v>
      </c>
      <c r="T99">
        <v>218.73500000000001</v>
      </c>
      <c r="U99">
        <v>0.29640827913932299</v>
      </c>
      <c r="V99">
        <v>244.35940170350321</v>
      </c>
      <c r="W99">
        <v>205.45775952769151</v>
      </c>
      <c r="X99">
        <v>0</v>
      </c>
      <c r="Y99">
        <v>22.310407104808629</v>
      </c>
      <c r="Z99">
        <v>183.14735242288279</v>
      </c>
      <c r="AA99">
        <v>0</v>
      </c>
      <c r="AB99">
        <v>5</v>
      </c>
    </row>
    <row r="100" spans="1:28" x14ac:dyDescent="0.3">
      <c r="A100">
        <v>12</v>
      </c>
      <c r="B100" t="s">
        <v>36</v>
      </c>
      <c r="C100" t="s">
        <v>37</v>
      </c>
      <c r="D100">
        <v>72560</v>
      </c>
      <c r="E100" s="28">
        <v>46142.79583333333</v>
      </c>
      <c r="F100">
        <v>56.64</v>
      </c>
      <c r="G100">
        <v>222.57</v>
      </c>
      <c r="H100">
        <v>56.634335999999998</v>
      </c>
      <c r="I100">
        <v>222.59225699999999</v>
      </c>
      <c r="J100">
        <v>3.700470940687608</v>
      </c>
      <c r="K100">
        <v>0.94405449064772462</v>
      </c>
      <c r="L100">
        <v>-1765.536723163842</v>
      </c>
      <c r="M100">
        <v>424.16070928145058</v>
      </c>
      <c r="N100" t="s">
        <v>30</v>
      </c>
      <c r="O100">
        <v>1080000000000</v>
      </c>
      <c r="P100" t="s">
        <v>31</v>
      </c>
      <c r="Q100">
        <v>72578</v>
      </c>
      <c r="R100" s="28">
        <v>46142.808333333327</v>
      </c>
      <c r="S100">
        <v>56.715000000000003</v>
      </c>
      <c r="T100">
        <v>222.95</v>
      </c>
      <c r="U100">
        <v>-1.71753934551769E-4</v>
      </c>
      <c r="V100">
        <v>28.76581528965616</v>
      </c>
      <c r="W100">
        <v>-10.144634155656689</v>
      </c>
      <c r="X100">
        <v>0</v>
      </c>
      <c r="Y100">
        <v>21.89697432445293</v>
      </c>
      <c r="Z100">
        <v>-32.041608480109623</v>
      </c>
      <c r="AA100">
        <v>0</v>
      </c>
      <c r="AB100">
        <v>3</v>
      </c>
    </row>
    <row r="101" spans="1:28" x14ac:dyDescent="0.3">
      <c r="A101">
        <v>12</v>
      </c>
      <c r="B101" t="s">
        <v>36</v>
      </c>
      <c r="C101" t="s">
        <v>37</v>
      </c>
      <c r="D101">
        <v>73065</v>
      </c>
      <c r="E101" s="28">
        <v>46146.604166666657</v>
      </c>
      <c r="F101">
        <v>55.67</v>
      </c>
      <c r="G101">
        <v>219.065</v>
      </c>
      <c r="H101">
        <v>55.675567000000001</v>
      </c>
      <c r="I101">
        <v>219.0430935</v>
      </c>
      <c r="J101">
        <v>-4.4109964921465226</v>
      </c>
      <c r="K101">
        <v>0.94405449064772462</v>
      </c>
      <c r="L101">
        <v>1796.2996227770791</v>
      </c>
      <c r="M101">
        <v>-430.94720318066538</v>
      </c>
      <c r="N101" t="s">
        <v>32</v>
      </c>
      <c r="O101">
        <v>1380000000000</v>
      </c>
      <c r="P101" t="s">
        <v>31</v>
      </c>
      <c r="Q101">
        <v>73088</v>
      </c>
      <c r="R101" s="28">
        <v>46146.620138888888</v>
      </c>
      <c r="S101">
        <v>55.87</v>
      </c>
      <c r="T101">
        <v>219.69499999999999</v>
      </c>
      <c r="U101">
        <v>-0.41828776250499489</v>
      </c>
      <c r="V101">
        <v>87.763186551590877</v>
      </c>
      <c r="W101">
        <v>48.819021072379712</v>
      </c>
      <c r="X101">
        <v>0</v>
      </c>
      <c r="Y101">
        <v>22.27246825957744</v>
      </c>
      <c r="Z101">
        <v>26.546552812802268</v>
      </c>
      <c r="AA101">
        <v>0</v>
      </c>
      <c r="AB101">
        <v>1</v>
      </c>
    </row>
    <row r="102" spans="1:28" x14ac:dyDescent="0.3">
      <c r="A102">
        <v>13</v>
      </c>
      <c r="B102" t="s">
        <v>36</v>
      </c>
      <c r="C102" t="s">
        <v>37</v>
      </c>
      <c r="D102">
        <v>75608</v>
      </c>
      <c r="E102" s="28">
        <v>46154.743055555547</v>
      </c>
      <c r="F102">
        <v>54.45</v>
      </c>
      <c r="G102">
        <v>214.715</v>
      </c>
      <c r="H102">
        <v>54.444555000000001</v>
      </c>
      <c r="I102">
        <v>214.73647149999999</v>
      </c>
      <c r="J102">
        <v>3.6354004325012448</v>
      </c>
      <c r="K102">
        <v>0.96501910880198527</v>
      </c>
      <c r="L102">
        <v>-1836.547291092746</v>
      </c>
      <c r="M102">
        <v>449.44186889690297</v>
      </c>
      <c r="N102" t="s">
        <v>30</v>
      </c>
      <c r="O102">
        <v>1200000000000</v>
      </c>
      <c r="P102" t="s">
        <v>31</v>
      </c>
      <c r="Q102">
        <v>75628</v>
      </c>
      <c r="R102" s="28">
        <v>46154.756944444453</v>
      </c>
      <c r="S102">
        <v>54.62</v>
      </c>
      <c r="T102">
        <v>215.41</v>
      </c>
      <c r="U102">
        <v>0.44565455766834738</v>
      </c>
      <c r="V102">
        <v>0.14905939758767769</v>
      </c>
      <c r="W102">
        <v>-39.213780292283332</v>
      </c>
      <c r="X102">
        <v>0</v>
      </c>
      <c r="Y102">
        <v>22.859891599896489</v>
      </c>
      <c r="Z102">
        <v>-62.073671892179817</v>
      </c>
      <c r="AA102">
        <v>0</v>
      </c>
      <c r="AB102">
        <v>0</v>
      </c>
    </row>
    <row r="103" spans="1:28" x14ac:dyDescent="0.3">
      <c r="A103">
        <v>13</v>
      </c>
      <c r="B103" t="s">
        <v>36</v>
      </c>
      <c r="C103" t="s">
        <v>37</v>
      </c>
      <c r="D103">
        <v>75803</v>
      </c>
      <c r="E103" s="28">
        <v>46155.606944444437</v>
      </c>
      <c r="F103">
        <v>53.965000000000003</v>
      </c>
      <c r="G103">
        <v>214.3</v>
      </c>
      <c r="H103">
        <v>53.9703965</v>
      </c>
      <c r="I103">
        <v>214.27857</v>
      </c>
      <c r="J103">
        <v>-3.894545598021919</v>
      </c>
      <c r="K103">
        <v>0.96501910880198527</v>
      </c>
      <c r="L103">
        <v>1853.0529046604281</v>
      </c>
      <c r="M103">
        <v>-450.31222995892921</v>
      </c>
      <c r="N103" t="s">
        <v>32</v>
      </c>
      <c r="O103">
        <v>1200000000000</v>
      </c>
      <c r="P103" t="s">
        <v>31</v>
      </c>
      <c r="Q103">
        <v>75823</v>
      </c>
      <c r="R103" s="28">
        <v>46155.620833333327</v>
      </c>
      <c r="S103">
        <v>53.84</v>
      </c>
      <c r="T103">
        <v>213.845</v>
      </c>
      <c r="U103">
        <v>-0.47533808501658281</v>
      </c>
      <c r="V103">
        <v>-26.739548451235091</v>
      </c>
      <c r="W103">
        <v>-65.996278259504294</v>
      </c>
      <c r="X103">
        <v>0</v>
      </c>
      <c r="Y103">
        <v>23.033651346193569</v>
      </c>
      <c r="Z103">
        <v>-89.029929605697873</v>
      </c>
      <c r="AA103">
        <v>0</v>
      </c>
      <c r="AB103">
        <v>0</v>
      </c>
    </row>
    <row r="104" spans="1:28" x14ac:dyDescent="0.3">
      <c r="A104">
        <v>13</v>
      </c>
      <c r="B104" t="s">
        <v>36</v>
      </c>
      <c r="C104" t="s">
        <v>37</v>
      </c>
      <c r="D104">
        <v>77305</v>
      </c>
      <c r="E104" s="28">
        <v>46160.834722222222</v>
      </c>
      <c r="F104">
        <v>53.68</v>
      </c>
      <c r="G104">
        <v>213.76</v>
      </c>
      <c r="H104">
        <v>53.674632000000003</v>
      </c>
      <c r="I104">
        <v>213.78137599999999</v>
      </c>
      <c r="J104">
        <v>3.740328380464673</v>
      </c>
      <c r="K104">
        <v>0.96501910880198527</v>
      </c>
      <c r="L104">
        <v>-1862.8912071535019</v>
      </c>
      <c r="M104">
        <v>451.44980763565928</v>
      </c>
      <c r="N104" t="s">
        <v>30</v>
      </c>
      <c r="O104">
        <v>120000000000</v>
      </c>
      <c r="P104" t="s">
        <v>31</v>
      </c>
      <c r="Q104">
        <v>77307</v>
      </c>
      <c r="R104" s="28">
        <v>46160.836111111108</v>
      </c>
      <c r="S104">
        <v>53.66</v>
      </c>
      <c r="T104">
        <v>214.45</v>
      </c>
      <c r="U104">
        <v>-5.5096645983412733E-2</v>
      </c>
      <c r="V104">
        <v>348.75819141167977</v>
      </c>
      <c r="W104">
        <v>309.43038498132711</v>
      </c>
      <c r="X104">
        <v>0</v>
      </c>
      <c r="Y104">
        <v>23.143410147891611</v>
      </c>
      <c r="Z104">
        <v>286.28697483343552</v>
      </c>
      <c r="AA104">
        <v>0</v>
      </c>
      <c r="AB104">
        <v>1</v>
      </c>
    </row>
    <row r="105" spans="1:28" x14ac:dyDescent="0.3">
      <c r="A105">
        <v>13</v>
      </c>
      <c r="B105" t="s">
        <v>36</v>
      </c>
      <c r="C105" t="s">
        <v>37</v>
      </c>
      <c r="D105">
        <v>77753</v>
      </c>
      <c r="E105" s="28">
        <v>46162.604166666657</v>
      </c>
      <c r="F105">
        <v>53.47</v>
      </c>
      <c r="G105">
        <v>213.35</v>
      </c>
      <c r="H105">
        <v>53.464652999999998</v>
      </c>
      <c r="I105">
        <v>213.37133499999999</v>
      </c>
      <c r="J105">
        <v>4.0842757255555622</v>
      </c>
      <c r="K105">
        <v>0.96501910880198527</v>
      </c>
      <c r="L105">
        <v>-1870.207593042828</v>
      </c>
      <c r="M105">
        <v>452.31736995640279</v>
      </c>
      <c r="N105" t="s">
        <v>30</v>
      </c>
      <c r="O105">
        <v>600000000000</v>
      </c>
      <c r="P105" t="s">
        <v>31</v>
      </c>
      <c r="Q105">
        <v>77763</v>
      </c>
      <c r="R105" s="28">
        <v>46162.611111111109</v>
      </c>
      <c r="S105">
        <v>53.46</v>
      </c>
      <c r="T105">
        <v>213.875</v>
      </c>
      <c r="U105">
        <v>-0.27669785825482962</v>
      </c>
      <c r="V105">
        <v>256.16869515753859</v>
      </c>
      <c r="W105">
        <v>216.84643652716451</v>
      </c>
      <c r="X105">
        <v>0</v>
      </c>
      <c r="Y105">
        <v>23.225249629992309</v>
      </c>
      <c r="Z105">
        <v>193.62118689717221</v>
      </c>
      <c r="AA105">
        <v>0</v>
      </c>
      <c r="AB105">
        <v>0</v>
      </c>
    </row>
    <row r="106" spans="1:28" x14ac:dyDescent="0.3">
      <c r="A106">
        <v>14</v>
      </c>
      <c r="B106" t="s">
        <v>33</v>
      </c>
      <c r="C106" t="s">
        <v>37</v>
      </c>
      <c r="D106">
        <v>78872</v>
      </c>
      <c r="E106" s="28">
        <v>46164.838888888888</v>
      </c>
      <c r="F106">
        <v>51.865000000000002</v>
      </c>
      <c r="G106">
        <v>219.91499999999999</v>
      </c>
      <c r="H106">
        <v>51.859813500000001</v>
      </c>
      <c r="I106">
        <v>219.9369915</v>
      </c>
      <c r="J106">
        <v>3.6861175662481371</v>
      </c>
      <c r="K106">
        <v>1.197461461745291</v>
      </c>
      <c r="L106">
        <v>-1928.082521931939</v>
      </c>
      <c r="M106">
        <v>544.51104369656071</v>
      </c>
      <c r="N106" t="s">
        <v>30</v>
      </c>
      <c r="O106">
        <v>420000000000</v>
      </c>
      <c r="P106" t="s">
        <v>31</v>
      </c>
      <c r="Q106">
        <v>78879</v>
      </c>
      <c r="R106" s="28">
        <v>46164.84375</v>
      </c>
      <c r="S106">
        <v>51.86</v>
      </c>
      <c r="T106">
        <v>220.09</v>
      </c>
      <c r="U106">
        <v>9.3534192080980141E-2</v>
      </c>
      <c r="V106">
        <v>104.9298452565689</v>
      </c>
      <c r="W106">
        <v>60.972051119664549</v>
      </c>
      <c r="X106">
        <v>0</v>
      </c>
      <c r="Y106">
        <v>24.725935656284989</v>
      </c>
      <c r="Z106">
        <v>36.246115463379553</v>
      </c>
      <c r="AA106">
        <v>0</v>
      </c>
      <c r="AB106">
        <v>0</v>
      </c>
    </row>
    <row r="107" spans="1:28" x14ac:dyDescent="0.3">
      <c r="A107">
        <v>14</v>
      </c>
      <c r="B107" t="s">
        <v>33</v>
      </c>
      <c r="C107" t="s">
        <v>37</v>
      </c>
      <c r="D107">
        <v>78925</v>
      </c>
      <c r="E107" s="28">
        <v>46168.604166666657</v>
      </c>
      <c r="F107">
        <v>52.27</v>
      </c>
      <c r="G107">
        <v>219.61500000000001</v>
      </c>
      <c r="H107">
        <v>52.264773000000012</v>
      </c>
      <c r="I107">
        <v>219.63696150000001</v>
      </c>
      <c r="J107">
        <v>4.5385376666382484</v>
      </c>
      <c r="K107">
        <v>1.197461461745291</v>
      </c>
      <c r="L107">
        <v>-1913.143294432753</v>
      </c>
      <c r="M107">
        <v>545.25486043543992</v>
      </c>
      <c r="N107" t="s">
        <v>30</v>
      </c>
      <c r="O107">
        <v>120000000000</v>
      </c>
      <c r="P107" t="s">
        <v>31</v>
      </c>
      <c r="Q107">
        <v>78927</v>
      </c>
      <c r="R107" s="28">
        <v>46168.605555555558</v>
      </c>
      <c r="S107">
        <v>52.34</v>
      </c>
      <c r="T107">
        <v>221.55</v>
      </c>
      <c r="U107">
        <v>0.1760002778080153</v>
      </c>
      <c r="V107">
        <v>921.14812433228417</v>
      </c>
      <c r="W107">
        <v>877.07999627882373</v>
      </c>
      <c r="X107">
        <v>0</v>
      </c>
      <c r="Y107">
        <v>24.58398154868193</v>
      </c>
      <c r="Z107">
        <v>852.49601473014184</v>
      </c>
      <c r="AA107">
        <v>0</v>
      </c>
      <c r="AB107">
        <v>0</v>
      </c>
    </row>
    <row r="108" spans="1:28" x14ac:dyDescent="0.3">
      <c r="A108">
        <v>14</v>
      </c>
      <c r="B108" t="s">
        <v>33</v>
      </c>
      <c r="C108" t="s">
        <v>37</v>
      </c>
      <c r="D108">
        <v>79575</v>
      </c>
      <c r="E108" s="28">
        <v>46169.784722222219</v>
      </c>
      <c r="F108">
        <v>51.34</v>
      </c>
      <c r="G108">
        <v>221.11</v>
      </c>
      <c r="H108">
        <v>51.334866000000012</v>
      </c>
      <c r="I108">
        <v>221.13211100000001</v>
      </c>
      <c r="J108">
        <v>4.2066279512531546</v>
      </c>
      <c r="K108">
        <v>1.197461461745291</v>
      </c>
      <c r="L108">
        <v>-1947.798987144527</v>
      </c>
      <c r="M108">
        <v>541.56820665971293</v>
      </c>
      <c r="N108" t="s">
        <v>30</v>
      </c>
      <c r="O108">
        <v>720000000000</v>
      </c>
      <c r="P108" t="s">
        <v>31</v>
      </c>
      <c r="Q108">
        <v>79587</v>
      </c>
      <c r="R108" s="28">
        <v>46169.793055555558</v>
      </c>
      <c r="S108">
        <v>51.26</v>
      </c>
      <c r="T108">
        <v>221.21</v>
      </c>
      <c r="U108">
        <v>0.42371126691732602</v>
      </c>
      <c r="V108">
        <v>209.98073963754089</v>
      </c>
      <c r="W108">
        <v>166.04167711247811</v>
      </c>
      <c r="X108">
        <v>0</v>
      </c>
      <c r="Y108">
        <v>24.893671938042399</v>
      </c>
      <c r="Z108">
        <v>141.14800517443581</v>
      </c>
      <c r="AA108">
        <v>0</v>
      </c>
      <c r="AB108">
        <v>4</v>
      </c>
    </row>
    <row r="109" spans="1:28" x14ac:dyDescent="0.3">
      <c r="A109">
        <v>14</v>
      </c>
      <c r="B109" t="s">
        <v>33</v>
      </c>
      <c r="C109" t="s">
        <v>37</v>
      </c>
      <c r="D109">
        <v>80653</v>
      </c>
      <c r="E109" s="28">
        <v>46174.718055555553</v>
      </c>
      <c r="F109">
        <v>51.414999999999999</v>
      </c>
      <c r="G109">
        <v>216.9</v>
      </c>
      <c r="H109">
        <v>51.409858499999999</v>
      </c>
      <c r="I109">
        <v>216.92169000000001</v>
      </c>
      <c r="J109">
        <v>3.8863324827740389</v>
      </c>
      <c r="K109">
        <v>1.197461461745291</v>
      </c>
      <c r="L109">
        <v>-1944.957697170086</v>
      </c>
      <c r="M109">
        <v>552.07997314213526</v>
      </c>
      <c r="N109" t="s">
        <v>30</v>
      </c>
      <c r="O109">
        <v>1620000000000</v>
      </c>
      <c r="P109" t="s">
        <v>31</v>
      </c>
      <c r="Q109">
        <v>80680</v>
      </c>
      <c r="R109" s="28">
        <v>46174.736805555563</v>
      </c>
      <c r="S109">
        <v>51.484999999999999</v>
      </c>
      <c r="T109">
        <v>217.04</v>
      </c>
      <c r="U109">
        <v>-0.34813488587850999</v>
      </c>
      <c r="V109">
        <v>-58.855842562015198</v>
      </c>
      <c r="W109">
        <v>-102.8264156204242</v>
      </c>
      <c r="X109">
        <v>0</v>
      </c>
      <c r="Y109">
        <v>24.97037670312222</v>
      </c>
      <c r="Z109">
        <v>-127.7967923235464</v>
      </c>
      <c r="AA109">
        <v>0</v>
      </c>
      <c r="AB109">
        <v>0</v>
      </c>
    </row>
    <row r="110" spans="1:28" x14ac:dyDescent="0.3">
      <c r="A110">
        <v>14</v>
      </c>
      <c r="B110" t="s">
        <v>33</v>
      </c>
      <c r="C110" t="s">
        <v>37</v>
      </c>
      <c r="D110">
        <v>81521</v>
      </c>
      <c r="E110" s="28">
        <v>46176.77847222222</v>
      </c>
      <c r="F110">
        <v>52.344999999999999</v>
      </c>
      <c r="G110">
        <v>220.09</v>
      </c>
      <c r="H110">
        <v>52.350234499999999</v>
      </c>
      <c r="I110">
        <v>220.06799100000001</v>
      </c>
      <c r="J110">
        <v>-3.7912998160572431</v>
      </c>
      <c r="K110">
        <v>1.197461461745291</v>
      </c>
      <c r="L110">
        <v>1910.402139650397</v>
      </c>
      <c r="M110">
        <v>-544.07808703043816</v>
      </c>
      <c r="N110" t="s">
        <v>32</v>
      </c>
      <c r="O110">
        <v>540000000000</v>
      </c>
      <c r="P110" t="s">
        <v>31</v>
      </c>
      <c r="Q110">
        <v>81530</v>
      </c>
      <c r="R110" s="28">
        <v>46176.784722222219</v>
      </c>
      <c r="S110">
        <v>52.365000000000002</v>
      </c>
      <c r="T110">
        <v>219.87</v>
      </c>
      <c r="U110">
        <v>-0.30403709470153922</v>
      </c>
      <c r="V110">
        <v>157.90522193970969</v>
      </c>
      <c r="W110">
        <v>113.96414161843821</v>
      </c>
      <c r="X110">
        <v>0</v>
      </c>
      <c r="Y110">
        <v>24.54480226680835</v>
      </c>
      <c r="Z110">
        <v>89.419339351629873</v>
      </c>
      <c r="AA110">
        <v>0</v>
      </c>
      <c r="AB110">
        <v>3</v>
      </c>
    </row>
    <row r="111" spans="1:28" x14ac:dyDescent="0.3">
      <c r="A111">
        <v>15</v>
      </c>
      <c r="B111" t="s">
        <v>36</v>
      </c>
      <c r="C111" t="s">
        <v>35</v>
      </c>
      <c r="D111">
        <v>82775</v>
      </c>
      <c r="E111" s="28">
        <v>46181.834027777782</v>
      </c>
      <c r="F111">
        <v>55.454999999999998</v>
      </c>
      <c r="G111">
        <v>49.034999999999997</v>
      </c>
      <c r="H111">
        <v>55.460545499999988</v>
      </c>
      <c r="I111">
        <v>49.030096499999999</v>
      </c>
      <c r="J111">
        <v>-3.618709709195238</v>
      </c>
      <c r="K111">
        <v>0.71674203224516841</v>
      </c>
      <c r="L111">
        <v>1803.2639076728881</v>
      </c>
      <c r="M111">
        <v>-1461.694773621226</v>
      </c>
      <c r="N111" t="s">
        <v>32</v>
      </c>
      <c r="O111">
        <v>1020000000000</v>
      </c>
      <c r="P111" t="s">
        <v>31</v>
      </c>
      <c r="Q111">
        <v>82792</v>
      </c>
      <c r="R111" s="28">
        <v>46181.845833333333</v>
      </c>
      <c r="S111">
        <v>55.475000000000001</v>
      </c>
      <c r="T111">
        <v>49.04</v>
      </c>
      <c r="U111">
        <v>-0.32664993217280558</v>
      </c>
      <c r="V111">
        <v>28.756804285353521</v>
      </c>
      <c r="W111">
        <v>-5.5823737347344888</v>
      </c>
      <c r="X111">
        <v>0</v>
      </c>
      <c r="Y111">
        <v>32.649586812941138</v>
      </c>
      <c r="Z111">
        <v>-38.231960547675627</v>
      </c>
      <c r="AA111">
        <v>0</v>
      </c>
      <c r="AB111">
        <v>0</v>
      </c>
    </row>
    <row r="112" spans="1:28" x14ac:dyDescent="0.3">
      <c r="A112">
        <v>15</v>
      </c>
      <c r="B112" t="s">
        <v>36</v>
      </c>
      <c r="C112" t="s">
        <v>35</v>
      </c>
      <c r="D112">
        <v>82834</v>
      </c>
      <c r="E112" s="28">
        <v>46182.604166666657</v>
      </c>
      <c r="F112">
        <v>55.9</v>
      </c>
      <c r="G112">
        <v>49.39</v>
      </c>
      <c r="H112">
        <v>55.894410000000001</v>
      </c>
      <c r="I112">
        <v>49.394939000000001</v>
      </c>
      <c r="J112">
        <v>3.616000328049747</v>
      </c>
      <c r="K112">
        <v>0.71674203224516841</v>
      </c>
      <c r="L112">
        <v>-1788.9087656529521</v>
      </c>
      <c r="M112">
        <v>1451.1885649831311</v>
      </c>
      <c r="N112" t="s">
        <v>30</v>
      </c>
      <c r="O112">
        <v>300000000000</v>
      </c>
      <c r="P112" t="s">
        <v>31</v>
      </c>
      <c r="Q112">
        <v>82839</v>
      </c>
      <c r="R112" s="28">
        <v>46182.607638888891</v>
      </c>
      <c r="S112">
        <v>56</v>
      </c>
      <c r="T112">
        <v>49.72</v>
      </c>
      <c r="U112">
        <v>-0.28239712615868451</v>
      </c>
      <c r="V112">
        <v>300.00134987913299</v>
      </c>
      <c r="W112">
        <v>265.60073092392668</v>
      </c>
      <c r="X112">
        <v>0</v>
      </c>
      <c r="Y112">
        <v>32.400973306360832</v>
      </c>
      <c r="Z112">
        <v>233.19975761756589</v>
      </c>
      <c r="AA112">
        <v>0</v>
      </c>
      <c r="AB112">
        <v>0</v>
      </c>
    </row>
    <row r="113" spans="1:28" x14ac:dyDescent="0.3">
      <c r="A113">
        <v>15</v>
      </c>
      <c r="B113" t="s">
        <v>36</v>
      </c>
      <c r="C113" t="s">
        <v>35</v>
      </c>
      <c r="D113">
        <v>83127</v>
      </c>
      <c r="E113" s="28">
        <v>46182.807638888888</v>
      </c>
      <c r="F113">
        <v>55.734999999999999</v>
      </c>
      <c r="G113">
        <v>49.335000000000001</v>
      </c>
      <c r="H113">
        <v>55.740573500000004</v>
      </c>
      <c r="I113">
        <v>49.330066500000001</v>
      </c>
      <c r="J113">
        <v>-3.9384352450546358</v>
      </c>
      <c r="K113">
        <v>0.71674203224516841</v>
      </c>
      <c r="L113">
        <v>1794.2047187584101</v>
      </c>
      <c r="M113">
        <v>-1452.8063894702921</v>
      </c>
      <c r="N113" t="s">
        <v>32</v>
      </c>
      <c r="O113">
        <v>900000000000</v>
      </c>
      <c r="P113" t="s">
        <v>31</v>
      </c>
      <c r="Q113">
        <v>83142</v>
      </c>
      <c r="R113" s="28">
        <v>46182.818055555559</v>
      </c>
      <c r="S113">
        <v>55.84</v>
      </c>
      <c r="T113">
        <v>49.354999999999997</v>
      </c>
      <c r="U113">
        <v>-0.28138329554464592</v>
      </c>
      <c r="V113">
        <v>159.33536768024021</v>
      </c>
      <c r="W113">
        <v>124.9787822730154</v>
      </c>
      <c r="X113">
        <v>0</v>
      </c>
      <c r="Y113">
        <v>32.470111082287019</v>
      </c>
      <c r="Z113">
        <v>92.508671190728421</v>
      </c>
      <c r="AA113">
        <v>0</v>
      </c>
      <c r="AB113">
        <v>0</v>
      </c>
    </row>
    <row r="114" spans="1:28" x14ac:dyDescent="0.3">
      <c r="A114">
        <v>15</v>
      </c>
      <c r="B114" t="s">
        <v>36</v>
      </c>
      <c r="C114" t="s">
        <v>35</v>
      </c>
      <c r="D114">
        <v>83635</v>
      </c>
      <c r="E114" s="28">
        <v>46184.618750000001</v>
      </c>
      <c r="F114">
        <v>56.774999999999999</v>
      </c>
      <c r="G114">
        <v>50.005000000000003</v>
      </c>
      <c r="H114">
        <v>56.780677500000003</v>
      </c>
      <c r="I114">
        <v>49.999999500000001</v>
      </c>
      <c r="J114">
        <v>-3.732359997184135</v>
      </c>
      <c r="K114">
        <v>0.71674203224516841</v>
      </c>
      <c r="L114">
        <v>1761.3386173491849</v>
      </c>
      <c r="M114">
        <v>-1433.3407304172949</v>
      </c>
      <c r="N114" t="s">
        <v>32</v>
      </c>
      <c r="O114">
        <v>2460000000000</v>
      </c>
      <c r="P114" t="s">
        <v>31</v>
      </c>
      <c r="Q114">
        <v>83676</v>
      </c>
      <c r="R114" s="28">
        <v>46184.647222222222</v>
      </c>
      <c r="S114">
        <v>56.64</v>
      </c>
      <c r="T114">
        <v>50.015000000000001</v>
      </c>
      <c r="U114">
        <v>-0.36151531318020619</v>
      </c>
      <c r="V114">
        <v>-252.11412064630659</v>
      </c>
      <c r="W114">
        <v>-286.42661656059443</v>
      </c>
      <c r="X114">
        <v>0</v>
      </c>
      <c r="Y114">
        <v>31.946793477664809</v>
      </c>
      <c r="Z114">
        <v>-318.37341003825918</v>
      </c>
      <c r="AA114">
        <v>0</v>
      </c>
      <c r="AB114">
        <v>0</v>
      </c>
    </row>
    <row r="115" spans="1:28" x14ac:dyDescent="0.3">
      <c r="A115">
        <v>15</v>
      </c>
      <c r="B115" t="s">
        <v>36</v>
      </c>
      <c r="C115" t="s">
        <v>35</v>
      </c>
      <c r="D115">
        <v>84005</v>
      </c>
      <c r="E115" s="28">
        <v>46185.604166666657</v>
      </c>
      <c r="F115">
        <v>58.26</v>
      </c>
      <c r="G115">
        <v>51.09</v>
      </c>
      <c r="H115">
        <v>58.254173999999999</v>
      </c>
      <c r="I115">
        <v>51.095109000000001</v>
      </c>
      <c r="J115">
        <v>4.7237316780747456</v>
      </c>
      <c r="K115">
        <v>0.71674203224516841</v>
      </c>
      <c r="L115">
        <v>-1716.4435290078959</v>
      </c>
      <c r="M115">
        <v>1402.9008264732199</v>
      </c>
      <c r="N115" t="s">
        <v>30</v>
      </c>
      <c r="O115">
        <v>1020000000000</v>
      </c>
      <c r="P115" t="s">
        <v>31</v>
      </c>
      <c r="Q115">
        <v>84022</v>
      </c>
      <c r="R115" s="28">
        <v>46185.615972222222</v>
      </c>
      <c r="S115">
        <v>58.52</v>
      </c>
      <c r="T115">
        <v>51.27</v>
      </c>
      <c r="U115">
        <v>0.47374405302859091</v>
      </c>
      <c r="V115">
        <v>-193.7531687768824</v>
      </c>
      <c r="W115">
        <v>-228.1578891684087</v>
      </c>
      <c r="X115">
        <v>0</v>
      </c>
      <c r="Y115">
        <v>31.193443554811161</v>
      </c>
      <c r="Z115">
        <v>-259.35133272321991</v>
      </c>
      <c r="AA115">
        <v>0</v>
      </c>
      <c r="AB115">
        <v>0</v>
      </c>
    </row>
    <row r="116" spans="1:28" x14ac:dyDescent="0.3">
      <c r="A116">
        <v>15</v>
      </c>
      <c r="B116" t="s">
        <v>36</v>
      </c>
      <c r="C116" t="s">
        <v>35</v>
      </c>
      <c r="D116">
        <v>84213</v>
      </c>
      <c r="E116" s="28">
        <v>46185.748611111107</v>
      </c>
      <c r="F116">
        <v>58.645000000000003</v>
      </c>
      <c r="G116">
        <v>51.414999999999999</v>
      </c>
      <c r="H116">
        <v>58.650864499999997</v>
      </c>
      <c r="I116">
        <v>51.409858499999999</v>
      </c>
      <c r="J116">
        <v>-3.6589472426244378</v>
      </c>
      <c r="K116">
        <v>0.71674203224516841</v>
      </c>
      <c r="L116">
        <v>1705.175206752494</v>
      </c>
      <c r="M116">
        <v>-1394.032932500571</v>
      </c>
      <c r="N116" t="s">
        <v>32</v>
      </c>
      <c r="O116">
        <v>960000000000</v>
      </c>
      <c r="P116" t="s">
        <v>31</v>
      </c>
      <c r="Q116">
        <v>84229</v>
      </c>
      <c r="R116" s="28">
        <v>46185.759722222218</v>
      </c>
      <c r="S116">
        <v>58.67</v>
      </c>
      <c r="T116">
        <v>51.414999999999999</v>
      </c>
      <c r="U116">
        <v>-0.23370122353748371</v>
      </c>
      <c r="V116">
        <v>42.629380168809917</v>
      </c>
      <c r="W116">
        <v>8.2902765858823741</v>
      </c>
      <c r="X116">
        <v>0</v>
      </c>
      <c r="Y116">
        <v>30.99208139253064</v>
      </c>
      <c r="Z116">
        <v>-22.701804806648269</v>
      </c>
      <c r="AA116">
        <v>0</v>
      </c>
      <c r="AB116">
        <v>0</v>
      </c>
    </row>
    <row r="117" spans="1:28" x14ac:dyDescent="0.3">
      <c r="A117">
        <v>15</v>
      </c>
      <c r="B117" t="s">
        <v>36</v>
      </c>
      <c r="C117" t="s">
        <v>35</v>
      </c>
      <c r="D117">
        <v>84760</v>
      </c>
      <c r="E117" s="28">
        <v>46188.854861111111</v>
      </c>
      <c r="F117">
        <v>57.96</v>
      </c>
      <c r="G117">
        <v>48.82</v>
      </c>
      <c r="H117">
        <v>57.954203999999997</v>
      </c>
      <c r="I117">
        <v>48.824882000000002</v>
      </c>
      <c r="J117">
        <v>3.558018281985321</v>
      </c>
      <c r="K117">
        <v>0.71674203224516841</v>
      </c>
      <c r="L117">
        <v>-1725.327812284334</v>
      </c>
      <c r="M117">
        <v>1468.131979199444</v>
      </c>
      <c r="N117" t="s">
        <v>30</v>
      </c>
      <c r="O117">
        <v>1680000000000</v>
      </c>
      <c r="P117" t="s">
        <v>31</v>
      </c>
      <c r="Q117">
        <v>84788</v>
      </c>
      <c r="R117" s="28">
        <v>46188.874305555553</v>
      </c>
      <c r="S117">
        <v>57.8</v>
      </c>
      <c r="T117">
        <v>48.49</v>
      </c>
      <c r="U117">
        <v>0.44409772618093141</v>
      </c>
      <c r="V117">
        <v>-208.431103170314</v>
      </c>
      <c r="W117">
        <v>-242.68989021490711</v>
      </c>
      <c r="X117">
        <v>0</v>
      </c>
      <c r="Y117">
        <v>31.934597914837781</v>
      </c>
      <c r="Z117">
        <v>-274.6244881297448</v>
      </c>
      <c r="AA117">
        <v>0</v>
      </c>
      <c r="AB117">
        <v>0</v>
      </c>
    </row>
    <row r="118" spans="1:28" x14ac:dyDescent="0.3">
      <c r="A118">
        <v>15</v>
      </c>
      <c r="B118" t="s">
        <v>36</v>
      </c>
      <c r="C118" t="s">
        <v>35</v>
      </c>
      <c r="D118">
        <v>85173</v>
      </c>
      <c r="E118" s="28">
        <v>46189.868055555547</v>
      </c>
      <c r="F118">
        <v>58.79</v>
      </c>
      <c r="G118">
        <v>49.08</v>
      </c>
      <c r="H118">
        <v>58.784120999999999</v>
      </c>
      <c r="I118">
        <v>49.084907999999999</v>
      </c>
      <c r="J118">
        <v>3.9061094348266341</v>
      </c>
      <c r="K118">
        <v>0.71674203224516841</v>
      </c>
      <c r="L118">
        <v>-1700.969552645008</v>
      </c>
      <c r="M118">
        <v>1460.3545889265861</v>
      </c>
      <c r="N118" t="s">
        <v>30</v>
      </c>
      <c r="O118">
        <v>64260000000000</v>
      </c>
      <c r="P118" t="s">
        <v>31</v>
      </c>
      <c r="Q118">
        <v>85194</v>
      </c>
      <c r="R118" s="28">
        <v>46190.611805555563</v>
      </c>
      <c r="S118">
        <v>59.16</v>
      </c>
      <c r="T118">
        <v>49.454999999999998</v>
      </c>
      <c r="U118">
        <v>0.2423977271380959</v>
      </c>
      <c r="V118">
        <v>-81.725763631178779</v>
      </c>
      <c r="W118">
        <v>-116.1783034466113</v>
      </c>
      <c r="X118">
        <v>0</v>
      </c>
      <c r="Y118">
        <v>31.61324141571594</v>
      </c>
      <c r="Z118">
        <v>-147.79154486232721</v>
      </c>
      <c r="AA118">
        <v>0</v>
      </c>
      <c r="AB118">
        <v>0</v>
      </c>
    </row>
    <row r="119" spans="1:28" x14ac:dyDescent="0.3">
      <c r="A119">
        <v>15</v>
      </c>
      <c r="B119" t="s">
        <v>36</v>
      </c>
      <c r="C119" t="s">
        <v>35</v>
      </c>
      <c r="D119">
        <v>85875</v>
      </c>
      <c r="E119" s="28">
        <v>46191.813194444447</v>
      </c>
      <c r="F119">
        <v>57.854999999999997</v>
      </c>
      <c r="G119">
        <v>48.295000000000002</v>
      </c>
      <c r="H119">
        <v>57.849214500000002</v>
      </c>
      <c r="I119">
        <v>48.299829500000001</v>
      </c>
      <c r="J119">
        <v>3.595451202139242</v>
      </c>
      <c r="K119">
        <v>0.71674203224516841</v>
      </c>
      <c r="L119">
        <v>-1728.4590787313109</v>
      </c>
      <c r="M119">
        <v>1484.091587628468</v>
      </c>
      <c r="N119" t="s">
        <v>30</v>
      </c>
      <c r="O119">
        <v>1260000000000</v>
      </c>
      <c r="P119" t="s">
        <v>31</v>
      </c>
      <c r="Q119">
        <v>85896</v>
      </c>
      <c r="R119" s="28">
        <v>46191.827777777777</v>
      </c>
      <c r="S119">
        <v>57.965000000000003</v>
      </c>
      <c r="T119">
        <v>48.335000000000001</v>
      </c>
      <c r="U119">
        <v>0.4200184629734931</v>
      </c>
      <c r="V119">
        <v>-130.76683515531809</v>
      </c>
      <c r="W119">
        <v>-165.12662521643961</v>
      </c>
      <c r="X119">
        <v>0</v>
      </c>
      <c r="Y119">
        <v>32.12550666359779</v>
      </c>
      <c r="Z119">
        <v>-197.25213188003741</v>
      </c>
      <c r="AA119">
        <v>0</v>
      </c>
      <c r="AB119">
        <v>0</v>
      </c>
    </row>
    <row r="120" spans="1:28" x14ac:dyDescent="0.3">
      <c r="A120">
        <v>15</v>
      </c>
      <c r="B120" t="s">
        <v>36</v>
      </c>
      <c r="C120" t="s">
        <v>35</v>
      </c>
      <c r="D120">
        <v>86343</v>
      </c>
      <c r="E120" s="28">
        <v>46195.866666666669</v>
      </c>
      <c r="F120">
        <v>58.64</v>
      </c>
      <c r="G120">
        <v>48.585000000000001</v>
      </c>
      <c r="H120">
        <v>58.634135999999998</v>
      </c>
      <c r="I120">
        <v>48.589858499999998</v>
      </c>
      <c r="J120">
        <v>4.1714586811520622</v>
      </c>
      <c r="K120">
        <v>0.71674203224516841</v>
      </c>
      <c r="L120">
        <v>-1705.3206002728509</v>
      </c>
      <c r="M120">
        <v>1475.2331630033309</v>
      </c>
      <c r="N120" t="s">
        <v>30</v>
      </c>
      <c r="O120">
        <v>300000000000</v>
      </c>
      <c r="P120" t="s">
        <v>31</v>
      </c>
      <c r="Q120">
        <v>86348</v>
      </c>
      <c r="R120" s="28">
        <v>46195.870138888888</v>
      </c>
      <c r="S120">
        <v>58.58</v>
      </c>
      <c r="T120">
        <v>48.62</v>
      </c>
      <c r="U120">
        <v>0.36700134310946292</v>
      </c>
      <c r="V120">
        <v>153.95239672148651</v>
      </c>
      <c r="W120">
        <v>119.62262468411581</v>
      </c>
      <c r="X120">
        <v>0</v>
      </c>
      <c r="Y120">
        <v>31.80553763276183</v>
      </c>
      <c r="Z120">
        <v>87.817087051353951</v>
      </c>
      <c r="AA120">
        <v>0</v>
      </c>
      <c r="AB120">
        <v>0</v>
      </c>
    </row>
    <row r="121" spans="1:28" x14ac:dyDescent="0.3">
      <c r="A121">
        <v>16</v>
      </c>
      <c r="B121" t="s">
        <v>33</v>
      </c>
      <c r="C121" t="s">
        <v>36</v>
      </c>
      <c r="D121">
        <v>86746</v>
      </c>
      <c r="E121" s="28">
        <v>46197.604166666657</v>
      </c>
      <c r="F121">
        <v>58.25</v>
      </c>
      <c r="G121">
        <v>59.91</v>
      </c>
      <c r="H121">
        <v>58.244174999999998</v>
      </c>
      <c r="I121">
        <v>59.915990999999998</v>
      </c>
      <c r="J121">
        <v>4.3389704654171926</v>
      </c>
      <c r="K121">
        <v>1.201911734394435</v>
      </c>
      <c r="L121">
        <v>-1716.7381974248931</v>
      </c>
      <c r="M121">
        <v>2006.1955172666239</v>
      </c>
      <c r="N121" t="s">
        <v>30</v>
      </c>
      <c r="O121">
        <v>300000000000</v>
      </c>
      <c r="P121" t="s">
        <v>31</v>
      </c>
      <c r="Q121">
        <v>86751</v>
      </c>
      <c r="R121" s="28">
        <v>46197.607638888891</v>
      </c>
      <c r="S121">
        <v>57.93</v>
      </c>
      <c r="T121">
        <v>59.93</v>
      </c>
      <c r="U121">
        <v>0.20509554850200451</v>
      </c>
      <c r="V121">
        <v>589.48013352130488</v>
      </c>
      <c r="W121">
        <v>545.49282206470525</v>
      </c>
      <c r="X121">
        <v>0</v>
      </c>
      <c r="Y121">
        <v>37.229337146915171</v>
      </c>
      <c r="Z121">
        <v>508.26348491779009</v>
      </c>
      <c r="AA121">
        <v>0</v>
      </c>
      <c r="AB121">
        <v>0</v>
      </c>
    </row>
    <row r="122" spans="1:28" x14ac:dyDescent="0.3">
      <c r="A122">
        <v>16</v>
      </c>
      <c r="B122" t="s">
        <v>33</v>
      </c>
      <c r="C122" t="s">
        <v>36</v>
      </c>
      <c r="D122">
        <v>87138</v>
      </c>
      <c r="E122" s="28">
        <v>46198.604861111111</v>
      </c>
      <c r="F122">
        <v>58.13</v>
      </c>
      <c r="G122">
        <v>60.67</v>
      </c>
      <c r="H122">
        <v>58.135812999999999</v>
      </c>
      <c r="I122">
        <v>60.663933</v>
      </c>
      <c r="J122">
        <v>-3.522880514364541</v>
      </c>
      <c r="K122">
        <v>1.201911734394435</v>
      </c>
      <c r="L122">
        <v>1720.282126268708</v>
      </c>
      <c r="M122">
        <v>-1981.064338873306</v>
      </c>
      <c r="N122" t="s">
        <v>32</v>
      </c>
      <c r="O122">
        <v>2340000000000</v>
      </c>
      <c r="P122" t="s">
        <v>31</v>
      </c>
      <c r="Q122">
        <v>87177</v>
      </c>
      <c r="R122" s="28">
        <v>46198.631944444453</v>
      </c>
      <c r="S122">
        <v>58.62</v>
      </c>
      <c r="T122">
        <v>61.48</v>
      </c>
      <c r="U122">
        <v>-0.43782017639025422</v>
      </c>
      <c r="V122">
        <v>-761.72387261571009</v>
      </c>
      <c r="W122">
        <v>-806.00686733922453</v>
      </c>
      <c r="X122">
        <v>0</v>
      </c>
      <c r="Y122">
        <v>37.013464651420144</v>
      </c>
      <c r="Z122">
        <v>-843.02033199064465</v>
      </c>
      <c r="AA122">
        <v>0</v>
      </c>
      <c r="AB122">
        <v>0</v>
      </c>
    </row>
    <row r="123" spans="1:28" x14ac:dyDescent="0.3">
      <c r="A123">
        <v>16</v>
      </c>
      <c r="B123" t="s">
        <v>33</v>
      </c>
      <c r="C123" t="s">
        <v>36</v>
      </c>
      <c r="D123">
        <v>87522</v>
      </c>
      <c r="E123" s="28">
        <v>46198.871527777781</v>
      </c>
      <c r="F123">
        <v>58.16</v>
      </c>
      <c r="G123">
        <v>61.145000000000003</v>
      </c>
      <c r="H123">
        <v>58.165815999999992</v>
      </c>
      <c r="I123">
        <v>61.138885500000001</v>
      </c>
      <c r="J123">
        <v>-3.5860799766382758</v>
      </c>
      <c r="K123">
        <v>1.201911734394435</v>
      </c>
      <c r="L123">
        <v>1719.39477303989</v>
      </c>
      <c r="M123">
        <v>-1965.674600367053</v>
      </c>
      <c r="N123" t="s">
        <v>32</v>
      </c>
      <c r="O123">
        <v>64680000000000</v>
      </c>
      <c r="P123" t="s">
        <v>31</v>
      </c>
      <c r="Q123">
        <v>87550</v>
      </c>
      <c r="R123" s="28">
        <v>46199.620138888888</v>
      </c>
      <c r="S123">
        <v>57.67</v>
      </c>
      <c r="T123">
        <v>60.92</v>
      </c>
      <c r="U123">
        <v>-0.35084928073749111</v>
      </c>
      <c r="V123">
        <v>-400.22665370694762</v>
      </c>
      <c r="W123">
        <v>-444.13641037244929</v>
      </c>
      <c r="X123">
        <v>0</v>
      </c>
      <c r="Y123">
        <v>36.850693734069431</v>
      </c>
      <c r="Z123">
        <v>-480.9871041065187</v>
      </c>
      <c r="AA123">
        <v>0</v>
      </c>
      <c r="AB123">
        <v>0</v>
      </c>
    </row>
    <row r="124" spans="1:28" x14ac:dyDescent="0.3">
      <c r="A124">
        <v>16</v>
      </c>
      <c r="B124" t="s">
        <v>33</v>
      </c>
      <c r="C124" t="s">
        <v>36</v>
      </c>
      <c r="D124">
        <v>87882</v>
      </c>
      <c r="E124" s="28">
        <v>46199.850694444453</v>
      </c>
      <c r="F124">
        <v>57.93</v>
      </c>
      <c r="G124">
        <v>60.75</v>
      </c>
      <c r="H124">
        <v>57.924207000000003</v>
      </c>
      <c r="I124">
        <v>60.756075000000003</v>
      </c>
      <c r="J124">
        <v>3.54188539804279</v>
      </c>
      <c r="K124">
        <v>1.201911734394435</v>
      </c>
      <c r="L124">
        <v>-1726.221301570861</v>
      </c>
      <c r="M124">
        <v>1978.455529867382</v>
      </c>
      <c r="N124" t="s">
        <v>30</v>
      </c>
      <c r="O124">
        <v>300000000000</v>
      </c>
      <c r="P124" t="s">
        <v>31</v>
      </c>
      <c r="Q124">
        <v>87887</v>
      </c>
      <c r="R124" s="28">
        <v>46199.854166666657</v>
      </c>
      <c r="S124">
        <v>57.85</v>
      </c>
      <c r="T124">
        <v>60.744999999999997</v>
      </c>
      <c r="U124">
        <v>0.30870253405584758</v>
      </c>
      <c r="V124">
        <v>128.20542647632399</v>
      </c>
      <c r="W124">
        <v>84.181990786625732</v>
      </c>
      <c r="X124">
        <v>0</v>
      </c>
      <c r="Y124">
        <v>37.046768314382433</v>
      </c>
      <c r="Z124">
        <v>47.135222472243299</v>
      </c>
      <c r="AA124">
        <v>0</v>
      </c>
      <c r="AB124">
        <v>0</v>
      </c>
    </row>
    <row r="125" spans="1:28" x14ac:dyDescent="0.3">
      <c r="A125">
        <v>16</v>
      </c>
      <c r="B125" t="s">
        <v>33</v>
      </c>
      <c r="C125" t="s">
        <v>36</v>
      </c>
      <c r="D125">
        <v>88309</v>
      </c>
      <c r="E125" s="28">
        <v>46203.604166666657</v>
      </c>
      <c r="F125">
        <v>57.524999999999999</v>
      </c>
      <c r="G125">
        <v>60.56</v>
      </c>
      <c r="H125">
        <v>57.519247499999999</v>
      </c>
      <c r="I125">
        <v>60.566056000000003</v>
      </c>
      <c r="J125">
        <v>4.4308710802388962</v>
      </c>
      <c r="K125">
        <v>1.201911734394435</v>
      </c>
      <c r="L125">
        <v>-1738.374619730552</v>
      </c>
      <c r="M125">
        <v>1984.6627054069261</v>
      </c>
      <c r="N125" t="s">
        <v>30</v>
      </c>
      <c r="O125">
        <v>420000000000</v>
      </c>
      <c r="P125" t="s">
        <v>31</v>
      </c>
      <c r="Q125">
        <v>88316</v>
      </c>
      <c r="R125" s="28">
        <v>46203.609027777777</v>
      </c>
      <c r="S125">
        <v>56.94</v>
      </c>
      <c r="T125">
        <v>60.365000000000002</v>
      </c>
      <c r="U125">
        <v>-0.14683431632167659</v>
      </c>
      <c r="V125">
        <v>629.93992498802322</v>
      </c>
      <c r="W125">
        <v>586.04208613814467</v>
      </c>
      <c r="X125">
        <v>0</v>
      </c>
      <c r="Y125">
        <v>37.230373251374793</v>
      </c>
      <c r="Z125">
        <v>548.8117128867699</v>
      </c>
      <c r="AA125">
        <v>0</v>
      </c>
      <c r="AB125">
        <v>0</v>
      </c>
    </row>
    <row r="126" spans="1:28" x14ac:dyDescent="0.3">
      <c r="A126">
        <v>16</v>
      </c>
      <c r="B126" t="s">
        <v>33</v>
      </c>
      <c r="C126" t="s">
        <v>36</v>
      </c>
      <c r="D126">
        <v>88699</v>
      </c>
      <c r="E126" s="28">
        <v>46204.604166666657</v>
      </c>
      <c r="F126">
        <v>57.08</v>
      </c>
      <c r="G126">
        <v>60.37</v>
      </c>
      <c r="H126">
        <v>57.074292</v>
      </c>
      <c r="I126">
        <v>60.376036999999997</v>
      </c>
      <c r="J126">
        <v>3.6100370481743691</v>
      </c>
      <c r="K126">
        <v>1.201911734394435</v>
      </c>
      <c r="L126">
        <v>-1751.9271198318149</v>
      </c>
      <c r="M126">
        <v>1990.9089521193221</v>
      </c>
      <c r="N126" t="s">
        <v>30</v>
      </c>
      <c r="O126">
        <v>480000000000</v>
      </c>
      <c r="P126" t="s">
        <v>31</v>
      </c>
      <c r="Q126">
        <v>88707</v>
      </c>
      <c r="R126" s="28">
        <v>46204.609722222223</v>
      </c>
      <c r="S126">
        <v>57.06</v>
      </c>
      <c r="T126">
        <v>60.59</v>
      </c>
      <c r="U126">
        <v>-0.34701371399519709</v>
      </c>
      <c r="V126">
        <v>473.03851186289211</v>
      </c>
      <c r="W126">
        <v>428.9599810323059</v>
      </c>
      <c r="X126">
        <v>0</v>
      </c>
      <c r="Y126">
        <v>37.428360719511367</v>
      </c>
      <c r="Z126">
        <v>391.53162031279447</v>
      </c>
      <c r="AA126">
        <v>0</v>
      </c>
      <c r="AB126">
        <v>0</v>
      </c>
    </row>
    <row r="127" spans="1:28" x14ac:dyDescent="0.3">
      <c r="A127">
        <v>16</v>
      </c>
      <c r="B127" t="s">
        <v>33</v>
      </c>
      <c r="C127" t="s">
        <v>36</v>
      </c>
      <c r="D127">
        <v>89479</v>
      </c>
      <c r="E127" s="28">
        <v>46209.604166666657</v>
      </c>
      <c r="F127">
        <v>59.33</v>
      </c>
      <c r="G127">
        <v>62.664999999999999</v>
      </c>
      <c r="H127">
        <v>59.335932999999997</v>
      </c>
      <c r="I127">
        <v>62.658733499999997</v>
      </c>
      <c r="J127">
        <v>-4.5666412551678306</v>
      </c>
      <c r="K127">
        <v>1.201911734394435</v>
      </c>
      <c r="L127">
        <v>1685.4879487611661</v>
      </c>
      <c r="M127">
        <v>-1917.9952675248301</v>
      </c>
      <c r="N127" t="s">
        <v>32</v>
      </c>
      <c r="O127">
        <v>540000000000</v>
      </c>
      <c r="P127" t="s">
        <v>31</v>
      </c>
      <c r="Q127">
        <v>89488</v>
      </c>
      <c r="R127" s="28">
        <v>46209.61041666667</v>
      </c>
      <c r="S127">
        <v>59.68</v>
      </c>
      <c r="T127">
        <v>62.66</v>
      </c>
      <c r="U127">
        <v>-0.46461982834872612</v>
      </c>
      <c r="V127">
        <v>599.51075840403973</v>
      </c>
      <c r="W127">
        <v>555.41449063557718</v>
      </c>
      <c r="X127">
        <v>0</v>
      </c>
      <c r="Y127">
        <v>36.034832162859963</v>
      </c>
      <c r="Z127">
        <v>519.37965847271721</v>
      </c>
      <c r="AA127">
        <v>0</v>
      </c>
      <c r="AB127">
        <v>0</v>
      </c>
    </row>
    <row r="128" spans="1:28" x14ac:dyDescent="0.3">
      <c r="A128">
        <v>16</v>
      </c>
      <c r="B128" t="s">
        <v>33</v>
      </c>
      <c r="C128" t="s">
        <v>36</v>
      </c>
      <c r="D128">
        <v>89870</v>
      </c>
      <c r="E128" s="28">
        <v>46210.604861111111</v>
      </c>
      <c r="F128">
        <v>60.52</v>
      </c>
      <c r="G128">
        <v>63.24</v>
      </c>
      <c r="H128">
        <v>60.513948000000013</v>
      </c>
      <c r="I128">
        <v>63.246324000000001</v>
      </c>
      <c r="J128">
        <v>3.8878682652601979</v>
      </c>
      <c r="K128">
        <v>1.201911734394435</v>
      </c>
      <c r="L128">
        <v>-1652.346331791143</v>
      </c>
      <c r="M128">
        <v>1900.55618974452</v>
      </c>
      <c r="N128" t="s">
        <v>30</v>
      </c>
      <c r="O128">
        <v>1560000000000</v>
      </c>
      <c r="P128" t="s">
        <v>31</v>
      </c>
      <c r="Q128">
        <v>89896</v>
      </c>
      <c r="R128" s="28">
        <v>46210.622916666667</v>
      </c>
      <c r="S128">
        <v>60.62</v>
      </c>
      <c r="T128">
        <v>63.26</v>
      </c>
      <c r="U128">
        <v>0.46160954296843731</v>
      </c>
      <c r="V128">
        <v>-127.2235093842221</v>
      </c>
      <c r="W128">
        <v>-171.28206864780441</v>
      </c>
      <c r="X128">
        <v>0</v>
      </c>
      <c r="Y128">
        <v>35.529025215356633</v>
      </c>
      <c r="Z128">
        <v>-206.81109386316101</v>
      </c>
      <c r="AA128">
        <v>0</v>
      </c>
      <c r="AB128">
        <v>0</v>
      </c>
    </row>
    <row r="129" spans="1:28" x14ac:dyDescent="0.3">
      <c r="A129">
        <v>16</v>
      </c>
      <c r="B129" t="s">
        <v>33</v>
      </c>
      <c r="C129" t="s">
        <v>36</v>
      </c>
      <c r="D129">
        <v>90259</v>
      </c>
      <c r="E129" s="28">
        <v>46211.604166666657</v>
      </c>
      <c r="F129">
        <v>59.24</v>
      </c>
      <c r="G129">
        <v>62.225000000000001</v>
      </c>
      <c r="H129">
        <v>59.234076000000002</v>
      </c>
      <c r="I129">
        <v>62.231222500000001</v>
      </c>
      <c r="J129">
        <v>3.9383759778718939</v>
      </c>
      <c r="K129">
        <v>1.201911734394435</v>
      </c>
      <c r="L129">
        <v>-1688.0486158001349</v>
      </c>
      <c r="M129">
        <v>1931.5576285969221</v>
      </c>
      <c r="N129" t="s">
        <v>30</v>
      </c>
      <c r="O129">
        <v>1860000000000</v>
      </c>
      <c r="P129" t="s">
        <v>31</v>
      </c>
      <c r="Q129">
        <v>90290</v>
      </c>
      <c r="R129" s="28">
        <v>46211.625694444447</v>
      </c>
      <c r="S129">
        <v>59.23</v>
      </c>
      <c r="T129">
        <v>61.88</v>
      </c>
      <c r="U129">
        <v>0.1933589485578765</v>
      </c>
      <c r="V129">
        <v>-649.50689570792588</v>
      </c>
      <c r="W129">
        <v>-693.47680360902007</v>
      </c>
      <c r="X129">
        <v>0</v>
      </c>
      <c r="Y129">
        <v>36.196062443970568</v>
      </c>
      <c r="Z129">
        <v>-729.67286605299068</v>
      </c>
      <c r="AA129">
        <v>0</v>
      </c>
      <c r="AB12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9250"/>
  <sheetViews>
    <sheetView topLeftCell="N351" workbookViewId="0">
      <selection activeCell="U372" sqref="U372"/>
    </sheetView>
  </sheetViews>
  <sheetFormatPr defaultRowHeight="14.4" x14ac:dyDescent="0.3"/>
  <cols>
    <col min="1" max="1" width="10.5546875" bestFit="1" customWidth="1"/>
    <col min="2" max="3" width="6.44140625" bestFit="1" customWidth="1"/>
    <col min="4" max="4" width="16" bestFit="1" customWidth="1"/>
    <col min="5" max="6" width="12.88671875" bestFit="1" customWidth="1"/>
    <col min="7" max="8" width="20.44140625" bestFit="1" customWidth="1"/>
    <col min="9" max="9" width="12.6640625" bestFit="1" customWidth="1"/>
    <col min="10" max="10" width="17.21875" bestFit="1" customWidth="1"/>
    <col min="11" max="12" width="14.44140625" bestFit="1" customWidth="1"/>
    <col min="13" max="13" width="8.77734375" bestFit="1" customWidth="1"/>
    <col min="14" max="14" width="15.6640625" bestFit="1" customWidth="1"/>
    <col min="15" max="15" width="11.109375" bestFit="1" customWidth="1"/>
    <col min="16" max="16" width="14.6640625" bestFit="1" customWidth="1"/>
    <col min="17" max="18" width="11.5546875" bestFit="1" customWidth="1"/>
    <col min="19" max="20" width="12.6640625" bestFit="1" customWidth="1"/>
    <col min="21" max="21" width="16.77734375" bestFit="1" customWidth="1"/>
    <col min="22" max="22" width="16" bestFit="1" customWidth="1"/>
    <col min="23" max="23" width="12.6640625" bestFit="1" customWidth="1"/>
    <col min="24" max="24" width="10.5546875" bestFit="1" customWidth="1"/>
    <col min="25" max="25" width="10.5546875" customWidth="1"/>
    <col min="26" max="26" width="11.5546875" bestFit="1" customWidth="1"/>
    <col min="27" max="27" width="12.109375" bestFit="1" customWidth="1"/>
    <col min="31" max="32" width="10.5546875" bestFit="1" customWidth="1"/>
    <col min="33" max="33" width="13" bestFit="1" customWidth="1"/>
    <col min="36" max="36" width="18.44140625" bestFit="1" customWidth="1"/>
    <col min="37" max="37" width="12.21875" bestFit="1" customWidth="1"/>
    <col min="38" max="38" width="7.33203125" bestFit="1" customWidth="1"/>
    <col min="39" max="39" width="12.21875" bestFit="1" customWidth="1"/>
    <col min="40" max="40" width="11.5546875" bestFit="1" customWidth="1"/>
  </cols>
  <sheetData>
    <row r="1" spans="1:40" x14ac:dyDescent="0.3">
      <c r="A1" s="26" t="s">
        <v>0</v>
      </c>
      <c r="B1" s="26" t="s">
        <v>1</v>
      </c>
      <c r="C1" s="26" t="s">
        <v>2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  <c r="J1" s="26" t="s">
        <v>10</v>
      </c>
      <c r="K1" s="26" t="s">
        <v>11</v>
      </c>
      <c r="L1" s="26" t="s">
        <v>12</v>
      </c>
      <c r="M1" s="26" t="s">
        <v>13</v>
      </c>
      <c r="N1" s="26" t="s">
        <v>14</v>
      </c>
      <c r="O1" s="26" t="s">
        <v>15</v>
      </c>
      <c r="P1" s="26" t="s">
        <v>17</v>
      </c>
      <c r="Q1" s="26" t="s">
        <v>18</v>
      </c>
      <c r="R1" s="26" t="s">
        <v>19</v>
      </c>
      <c r="S1" s="26" t="s">
        <v>20</v>
      </c>
      <c r="T1" s="26" t="s">
        <v>21</v>
      </c>
      <c r="U1" s="26" t="s">
        <v>22</v>
      </c>
      <c r="V1" s="26" t="s">
        <v>23</v>
      </c>
      <c r="W1" s="26" t="s">
        <v>25</v>
      </c>
      <c r="X1" s="18" t="s">
        <v>38</v>
      </c>
      <c r="Y1" s="18" t="s">
        <v>39</v>
      </c>
      <c r="Z1" s="18" t="s">
        <v>40</v>
      </c>
      <c r="AA1" s="18"/>
      <c r="AE1" t="s">
        <v>41</v>
      </c>
      <c r="AF1" t="s">
        <v>42</v>
      </c>
      <c r="AG1" t="s">
        <v>43</v>
      </c>
    </row>
    <row r="2" spans="1:40" x14ac:dyDescent="0.3">
      <c r="A2">
        <v>0</v>
      </c>
      <c r="B2" t="s">
        <v>28</v>
      </c>
      <c r="C2" t="s">
        <v>29</v>
      </c>
      <c r="D2">
        <v>24207</v>
      </c>
      <c r="E2">
        <v>306.35500000000002</v>
      </c>
      <c r="F2">
        <v>782.97500000000002</v>
      </c>
      <c r="G2">
        <v>306.3243645</v>
      </c>
      <c r="H2">
        <v>783.05329749999999</v>
      </c>
      <c r="I2">
        <v>3.5945309709117739</v>
      </c>
      <c r="J2">
        <v>0.66743014811490775</v>
      </c>
      <c r="K2">
        <v>-3.2641869726297922E-2</v>
      </c>
      <c r="L2">
        <v>8.5242842761889936E-3</v>
      </c>
      <c r="M2" t="s">
        <v>30</v>
      </c>
      <c r="N2">
        <v>7</v>
      </c>
      <c r="O2" t="s">
        <v>31</v>
      </c>
      <c r="P2">
        <v>24214</v>
      </c>
      <c r="Q2">
        <v>305.61500000000001</v>
      </c>
      <c r="R2">
        <v>782.97500000000002</v>
      </c>
      <c r="S2">
        <v>0.36824447044600628</v>
      </c>
      <c r="T2">
        <v>2.4154983597460759E-2</v>
      </c>
      <c r="U2">
        <v>2.0822538799591561E-2</v>
      </c>
      <c r="V2">
        <v>3.334793782259439E-3</v>
      </c>
      <c r="W2">
        <v>1.7487745017332121E-2</v>
      </c>
      <c r="X2" s="19">
        <f t="shared" ref="X2:X65" si="0">WORKDAY(DATE(2025,8,2),INT(D2/390))</f>
        <v>45958</v>
      </c>
      <c r="Y2" s="19">
        <f t="shared" ref="Y2:Y65" si="1">WORKDAY(DATE(2025,8,2),INT(P2/390))</f>
        <v>45958</v>
      </c>
      <c r="Z2">
        <f t="array" ref="Z2">_xlfn.XLOOKUP(INT(X2),INT($AE$2:$AE$1000),$AG$2:$AG$1000,"")</f>
        <v>16.420000000000002</v>
      </c>
      <c r="AE2" s="19">
        <f t="shared" ref="AE2:AE65" si="2">IF(ISNUMBER(AF2),DATE(YEAR(AF2),DAY(AF2),MONTH(AF2)),DATE(RIGHT(AF2,4),LEFT(AF2,2),MID(AF2,4,2)))</f>
        <v>45870</v>
      </c>
      <c r="AF2" s="19">
        <v>45665</v>
      </c>
      <c r="AG2">
        <v>20.38</v>
      </c>
      <c r="AJ2" s="16" t="s">
        <v>44</v>
      </c>
      <c r="AK2" s="16" t="s">
        <v>45</v>
      </c>
      <c r="AL2" s="17" t="s">
        <v>46</v>
      </c>
      <c r="AM2" s="17" t="s">
        <v>47</v>
      </c>
      <c r="AN2" s="17" t="s">
        <v>48</v>
      </c>
    </row>
    <row r="3" spans="1:40" x14ac:dyDescent="0.3">
      <c r="A3">
        <v>0</v>
      </c>
      <c r="B3" t="s">
        <v>28</v>
      </c>
      <c r="C3" t="s">
        <v>29</v>
      </c>
      <c r="D3">
        <v>24601</v>
      </c>
      <c r="E3">
        <v>310.255</v>
      </c>
      <c r="F3">
        <v>784.85</v>
      </c>
      <c r="G3">
        <v>310.2239745</v>
      </c>
      <c r="H3">
        <v>784.92848500000002</v>
      </c>
      <c r="I3">
        <v>3.7200374396416791</v>
      </c>
      <c r="J3">
        <v>0.66743014811490775</v>
      </c>
      <c r="K3">
        <v>-3.2231551465729813E-2</v>
      </c>
      <c r="L3">
        <v>8.5039198332790694E-3</v>
      </c>
      <c r="M3" t="s">
        <v>30</v>
      </c>
      <c r="N3">
        <v>5</v>
      </c>
      <c r="O3" t="s">
        <v>31</v>
      </c>
      <c r="P3">
        <v>24606</v>
      </c>
      <c r="Q3">
        <v>309.23</v>
      </c>
      <c r="R3">
        <v>786.1</v>
      </c>
      <c r="S3">
        <v>0.45860297430085828</v>
      </c>
      <c r="T3">
        <v>4.3667240043971163E-2</v>
      </c>
      <c r="U3">
        <v>4.0334620491788112E-2</v>
      </c>
      <c r="V3">
        <v>3.334793782259439E-3</v>
      </c>
      <c r="W3">
        <v>3.6999826709528671E-2</v>
      </c>
      <c r="X3" s="19">
        <f t="shared" si="0"/>
        <v>45959</v>
      </c>
      <c r="Y3" s="19">
        <f t="shared" si="1"/>
        <v>45959</v>
      </c>
      <c r="Z3">
        <f t="array" ref="Z3">_xlfn.XLOOKUP(INT(X3),INT($AE$2:$AE$1000),$AG$2:$AG$1000,"")</f>
        <v>16.920000000000002</v>
      </c>
      <c r="AE3" s="19">
        <f t="shared" si="2"/>
        <v>45873</v>
      </c>
      <c r="AF3" s="19">
        <v>45755</v>
      </c>
      <c r="AG3">
        <v>17.52</v>
      </c>
      <c r="AJ3" s="20" t="s">
        <v>49</v>
      </c>
      <c r="AK3" s="15">
        <f>AL3*AM3</f>
        <v>-0.22820727341290387</v>
      </c>
      <c r="AL3">
        <f>COUNTIF(Z:Z,"&lt;15")</f>
        <v>35</v>
      </c>
      <c r="AM3" s="14">
        <f>AVERAGEIF(Z:Z,"&lt;15",W:W)</f>
        <v>-6.5202078117972536E-3</v>
      </c>
      <c r="AN3" s="14">
        <f>COUNTIFS(Z:Z,"&lt;15",T:T,"&gt;0")/COUNTIFS(Z:Z,"&lt;15")</f>
        <v>0.65714285714285714</v>
      </c>
    </row>
    <row r="4" spans="1:40" x14ac:dyDescent="0.3">
      <c r="A4">
        <v>0</v>
      </c>
      <c r="B4" t="s">
        <v>28</v>
      </c>
      <c r="C4" t="s">
        <v>29</v>
      </c>
      <c r="D4">
        <v>24832</v>
      </c>
      <c r="E4">
        <v>309.67</v>
      </c>
      <c r="F4">
        <v>784.45</v>
      </c>
      <c r="G4">
        <v>309.63903299999998</v>
      </c>
      <c r="H4">
        <v>784.52844500000003</v>
      </c>
      <c r="I4">
        <v>3.9794319830467719</v>
      </c>
      <c r="J4">
        <v>0.66743014811490775</v>
      </c>
      <c r="K4">
        <v>-3.2292440339716469E-2</v>
      </c>
      <c r="L4">
        <v>8.5082560789713525E-3</v>
      </c>
      <c r="M4" t="s">
        <v>30</v>
      </c>
      <c r="N4">
        <v>16</v>
      </c>
      <c r="O4" t="s">
        <v>31</v>
      </c>
      <c r="P4">
        <v>24848</v>
      </c>
      <c r="Q4">
        <v>309.315</v>
      </c>
      <c r="R4">
        <v>783.6</v>
      </c>
      <c r="S4">
        <v>0.3857815709424145</v>
      </c>
      <c r="T4">
        <v>4.231798653474091E-3</v>
      </c>
      <c r="U4">
        <v>8.988079406438837E-4</v>
      </c>
      <c r="V4">
        <v>3.334793782259439E-3</v>
      </c>
      <c r="W4">
        <v>-2.4359858416155549E-3</v>
      </c>
      <c r="X4" s="19">
        <f t="shared" si="0"/>
        <v>45959</v>
      </c>
      <c r="Y4" s="19">
        <f t="shared" si="1"/>
        <v>45959</v>
      </c>
      <c r="Z4">
        <f t="array" ref="Z4">_xlfn.XLOOKUP(INT(X4),INT($AE$2:$AE$1000),$AG$2:$AG$1000,"")</f>
        <v>16.920000000000002</v>
      </c>
      <c r="AE4" s="19">
        <f t="shared" si="2"/>
        <v>45874</v>
      </c>
      <c r="AF4" s="19">
        <v>45785</v>
      </c>
      <c r="AG4">
        <v>17.850000000000001</v>
      </c>
      <c r="AJ4" s="15" t="s">
        <v>50</v>
      </c>
      <c r="AK4" s="15">
        <f>AL4*AM4</f>
        <v>0.40578096354083953</v>
      </c>
      <c r="AL4" s="14">
        <f>COUNTIFS(Z:Z,"&gt;=15",Z:Z,"&lt;20")</f>
        <v>242</v>
      </c>
      <c r="AM4" s="14">
        <f>AVERAGEIFS(W:W,Z:Z,"&gt;=15",Z:Z,"&lt;20")</f>
        <v>1.6767808410778494E-3</v>
      </c>
      <c r="AN4" s="14">
        <f>COUNTIFS(Z:Z,"&gt;=15",Z:Z,"&lt;20",T:T,"&gt;0")/COUNTIFS(Z:Z,"&gt;=15",Z:Z,"&lt;20")</f>
        <v>0.73553719008264462</v>
      </c>
    </row>
    <row r="5" spans="1:40" x14ac:dyDescent="0.3">
      <c r="A5">
        <v>0</v>
      </c>
      <c r="B5" t="s">
        <v>28</v>
      </c>
      <c r="C5" t="s">
        <v>29</v>
      </c>
      <c r="D5">
        <v>24987</v>
      </c>
      <c r="E5">
        <v>310.94499999999999</v>
      </c>
      <c r="F5">
        <v>792.31</v>
      </c>
      <c r="G5">
        <v>310.97609449999999</v>
      </c>
      <c r="H5">
        <v>792.23076900000001</v>
      </c>
      <c r="I5">
        <v>-4.4660854829666734</v>
      </c>
      <c r="J5">
        <v>0.66743014811490775</v>
      </c>
      <c r="K5">
        <v>3.2160028300824907E-2</v>
      </c>
      <c r="L5">
        <v>-8.4238511203305246E-3</v>
      </c>
      <c r="M5" t="s">
        <v>32</v>
      </c>
      <c r="N5">
        <v>9</v>
      </c>
      <c r="O5" t="s">
        <v>31</v>
      </c>
      <c r="P5">
        <v>24996</v>
      </c>
      <c r="Q5">
        <v>311.58999999999997</v>
      </c>
      <c r="R5">
        <v>790.28</v>
      </c>
      <c r="S5">
        <v>0.26723450070590632</v>
      </c>
      <c r="T5">
        <v>3.7843636028302208E-2</v>
      </c>
      <c r="U5">
        <v>3.4508411452025108E-2</v>
      </c>
      <c r="V5">
        <v>3.3349268102001932E-3</v>
      </c>
      <c r="W5">
        <v>3.117348464182491E-2</v>
      </c>
      <c r="X5" s="19">
        <f t="shared" si="0"/>
        <v>45960</v>
      </c>
      <c r="Y5" s="19">
        <f t="shared" si="1"/>
        <v>45960</v>
      </c>
      <c r="Z5">
        <f t="array" ref="Z5">_xlfn.XLOOKUP(INT(X5),INT($AE$2:$AE$1000),$AG$2:$AG$1000,"")</f>
        <v>16.91</v>
      </c>
      <c r="AE5" s="19">
        <f t="shared" si="2"/>
        <v>45875</v>
      </c>
      <c r="AF5" s="19">
        <v>45816</v>
      </c>
      <c r="AG5">
        <v>16.77</v>
      </c>
      <c r="AJ5" s="15" t="s">
        <v>51</v>
      </c>
      <c r="AK5" s="15">
        <f>AL5*AM5</f>
        <v>0.46837252597734408</v>
      </c>
      <c r="AL5" s="14">
        <f>COUNTIFS(Z:Z,"&gt;=20")</f>
        <v>83</v>
      </c>
      <c r="AM5" s="14">
        <f>AVERAGEIFS(W:W,Z:Z,"&gt;=20")</f>
        <v>5.6430424816547482E-3</v>
      </c>
      <c r="AN5" s="14">
        <f>COUNTIFS(Z:Z,"&gt;=20",T:T,"&gt;0")/COUNTIFS(Z:Z,"&gt;=20")</f>
        <v>0.77108433734939763</v>
      </c>
    </row>
    <row r="6" spans="1:40" x14ac:dyDescent="0.3">
      <c r="A6">
        <v>0</v>
      </c>
      <c r="B6" t="s">
        <v>28</v>
      </c>
      <c r="C6" t="s">
        <v>29</v>
      </c>
      <c r="D6">
        <v>25380</v>
      </c>
      <c r="E6">
        <v>305.66500000000002</v>
      </c>
      <c r="F6">
        <v>775.68</v>
      </c>
      <c r="G6">
        <v>305.69556649999998</v>
      </c>
      <c r="H6">
        <v>775.60243199999991</v>
      </c>
      <c r="I6">
        <v>-3.6905638528624789</v>
      </c>
      <c r="J6">
        <v>0.66743014811490775</v>
      </c>
      <c r="K6">
        <v>3.2715554610439533E-2</v>
      </c>
      <c r="L6">
        <v>-8.6044521982635604E-3</v>
      </c>
      <c r="M6" t="s">
        <v>32</v>
      </c>
      <c r="N6">
        <v>12</v>
      </c>
      <c r="O6" t="s">
        <v>31</v>
      </c>
      <c r="P6">
        <v>25392</v>
      </c>
      <c r="Q6">
        <v>307.42500000000001</v>
      </c>
      <c r="R6">
        <v>778.79</v>
      </c>
      <c r="S6">
        <v>0.21702581558396941</v>
      </c>
      <c r="T6">
        <v>3.081952977777349E-2</v>
      </c>
      <c r="U6">
        <v>2.7476235559298932E-2</v>
      </c>
      <c r="V6">
        <v>3.3349268102001932E-3</v>
      </c>
      <c r="W6">
        <v>2.4141308749098742E-2</v>
      </c>
      <c r="X6" s="19">
        <f t="shared" si="0"/>
        <v>45961</v>
      </c>
      <c r="Y6" s="19">
        <f t="shared" si="1"/>
        <v>45961</v>
      </c>
      <c r="Z6">
        <f t="array" ref="Z6">_xlfn.XLOOKUP(INT(X6),INT($AE$2:$AE$1000),$AG$2:$AG$1000,"")</f>
        <v>17.440000000000001</v>
      </c>
      <c r="AE6" s="19">
        <f t="shared" si="2"/>
        <v>45876</v>
      </c>
      <c r="AF6" s="19">
        <v>45846</v>
      </c>
      <c r="AG6">
        <v>16.57</v>
      </c>
    </row>
    <row r="7" spans="1:40" x14ac:dyDescent="0.3">
      <c r="A7">
        <v>0</v>
      </c>
      <c r="B7" t="s">
        <v>28</v>
      </c>
      <c r="C7" t="s">
        <v>29</v>
      </c>
      <c r="D7">
        <v>25694</v>
      </c>
      <c r="E7">
        <v>308.60500000000002</v>
      </c>
      <c r="F7">
        <v>791.07</v>
      </c>
      <c r="G7">
        <v>308.5741395</v>
      </c>
      <c r="H7">
        <v>791.14910700000007</v>
      </c>
      <c r="I7">
        <v>3.628948559961215</v>
      </c>
      <c r="J7">
        <v>0.66743014811490775</v>
      </c>
      <c r="K7">
        <v>-3.2403881985061812E-2</v>
      </c>
      <c r="L7">
        <v>8.4370554832683287E-3</v>
      </c>
      <c r="M7" t="s">
        <v>30</v>
      </c>
      <c r="N7">
        <v>37</v>
      </c>
      <c r="O7" t="s">
        <v>31</v>
      </c>
      <c r="P7">
        <v>25731</v>
      </c>
      <c r="Q7">
        <v>309.33999999999997</v>
      </c>
      <c r="R7">
        <v>792.03</v>
      </c>
      <c r="S7">
        <v>0.2139687807957743</v>
      </c>
      <c r="T7">
        <v>-1.571727999508208E-2</v>
      </c>
      <c r="U7">
        <v>-1.9055331933965049E-2</v>
      </c>
      <c r="V7">
        <v>3.3347937822594382E-3</v>
      </c>
      <c r="W7">
        <v>-2.239012571622449E-2</v>
      </c>
      <c r="X7" s="19">
        <f t="shared" si="0"/>
        <v>45961</v>
      </c>
      <c r="Y7" s="19">
        <f t="shared" si="1"/>
        <v>45961</v>
      </c>
      <c r="Z7">
        <f t="array" ref="Z7">_xlfn.XLOOKUP(INT(X7),INT($AE$2:$AE$1000),$AG$2:$AG$1000,"")</f>
        <v>17.440000000000001</v>
      </c>
      <c r="AE7" s="19">
        <f t="shared" si="2"/>
        <v>45877</v>
      </c>
      <c r="AF7" s="19">
        <v>45877</v>
      </c>
      <c r="AG7">
        <v>15.15</v>
      </c>
    </row>
    <row r="8" spans="1:40" x14ac:dyDescent="0.3">
      <c r="A8">
        <v>0</v>
      </c>
      <c r="B8" t="s">
        <v>28</v>
      </c>
      <c r="C8" t="s">
        <v>29</v>
      </c>
      <c r="D8">
        <v>25752</v>
      </c>
      <c r="E8">
        <v>310.22000000000003</v>
      </c>
      <c r="F8">
        <v>793.57</v>
      </c>
      <c r="G8">
        <v>310.18897800000002</v>
      </c>
      <c r="H8">
        <v>793.64935700000001</v>
      </c>
      <c r="I8">
        <v>3.5870449807148499</v>
      </c>
      <c r="J8">
        <v>0.66743014811490775</v>
      </c>
      <c r="K8">
        <v>-3.2235187931145638E-2</v>
      </c>
      <c r="L8">
        <v>8.4104760527100031E-3</v>
      </c>
      <c r="M8" t="s">
        <v>30</v>
      </c>
      <c r="N8">
        <v>6</v>
      </c>
      <c r="O8" t="s">
        <v>31</v>
      </c>
      <c r="P8">
        <v>25758</v>
      </c>
      <c r="Q8">
        <v>309.59500000000003</v>
      </c>
      <c r="R8">
        <v>792.46</v>
      </c>
      <c r="S8">
        <v>0.10046320854857881</v>
      </c>
      <c r="T8">
        <v>1.081136403845781E-2</v>
      </c>
      <c r="U8">
        <v>7.4794520043157276E-3</v>
      </c>
      <c r="V8">
        <v>3.334793782259439E-3</v>
      </c>
      <c r="W8">
        <v>4.144658222056289E-3</v>
      </c>
      <c r="X8" s="19">
        <f t="shared" si="0"/>
        <v>45964</v>
      </c>
      <c r="Y8" s="19">
        <f t="shared" si="1"/>
        <v>45964</v>
      </c>
      <c r="Z8">
        <f t="array" ref="Z8">_xlfn.XLOOKUP(INT(X8),INT($AE$2:$AE$1000),$AG$2:$AG$1000,"")</f>
        <v>17.170000000000002</v>
      </c>
      <c r="AE8" s="19">
        <f t="shared" si="2"/>
        <v>45880</v>
      </c>
      <c r="AF8" s="19">
        <v>45969</v>
      </c>
      <c r="AG8">
        <v>16.25</v>
      </c>
    </row>
    <row r="9" spans="1:40" x14ac:dyDescent="0.3">
      <c r="A9">
        <v>0</v>
      </c>
      <c r="B9" t="s">
        <v>28</v>
      </c>
      <c r="C9" t="s">
        <v>29</v>
      </c>
      <c r="D9">
        <v>26937</v>
      </c>
      <c r="E9">
        <v>316.57</v>
      </c>
      <c r="F9">
        <v>798.58</v>
      </c>
      <c r="G9">
        <v>316.60165699999999</v>
      </c>
      <c r="H9">
        <v>798.5001420000001</v>
      </c>
      <c r="I9">
        <v>-3.6665214631979861</v>
      </c>
      <c r="J9">
        <v>0.66743014811490775</v>
      </c>
      <c r="K9">
        <v>3.1588590201219319E-2</v>
      </c>
      <c r="L9">
        <v>-8.3577117898633538E-3</v>
      </c>
      <c r="M9" t="s">
        <v>32</v>
      </c>
      <c r="N9">
        <v>5</v>
      </c>
      <c r="O9" t="s">
        <v>31</v>
      </c>
      <c r="P9">
        <v>26942</v>
      </c>
      <c r="Q9">
        <v>319.07</v>
      </c>
      <c r="R9">
        <v>804.4</v>
      </c>
      <c r="S9">
        <v>-0.2207053507198746</v>
      </c>
      <c r="T9">
        <v>3.0329592886044109E-2</v>
      </c>
      <c r="U9">
        <v>2.69819712540036E-2</v>
      </c>
      <c r="V9">
        <v>3.3349268102001932E-3</v>
      </c>
      <c r="W9">
        <v>2.364704444380341E-2</v>
      </c>
      <c r="X9" s="19">
        <f t="shared" si="0"/>
        <v>45967</v>
      </c>
      <c r="Y9" s="19">
        <f t="shared" si="1"/>
        <v>45967</v>
      </c>
      <c r="Z9">
        <f t="array" ref="Z9">_xlfn.XLOOKUP(INT(X9),INT($AE$2:$AE$1000),$AG$2:$AG$1000,"")</f>
        <v>19.5</v>
      </c>
      <c r="AE9" s="19">
        <f t="shared" si="2"/>
        <v>45881</v>
      </c>
      <c r="AF9" s="19">
        <v>45999</v>
      </c>
      <c r="AG9">
        <v>14.73</v>
      </c>
    </row>
    <row r="10" spans="1:40" x14ac:dyDescent="0.3">
      <c r="A10">
        <v>0</v>
      </c>
      <c r="B10" t="s">
        <v>28</v>
      </c>
      <c r="C10" t="s">
        <v>29</v>
      </c>
      <c r="D10">
        <v>27327</v>
      </c>
      <c r="E10">
        <v>318.78500000000003</v>
      </c>
      <c r="F10">
        <v>801.62</v>
      </c>
      <c r="G10">
        <v>318.75312150000002</v>
      </c>
      <c r="H10">
        <v>801.70016199999998</v>
      </c>
      <c r="I10">
        <v>3.8655946781604049</v>
      </c>
      <c r="J10">
        <v>0.66743014811490775</v>
      </c>
      <c r="K10">
        <v>-3.1369104568910081E-2</v>
      </c>
      <c r="L10">
        <v>8.3260166676842867E-3</v>
      </c>
      <c r="M10" t="s">
        <v>30</v>
      </c>
      <c r="N10">
        <v>5</v>
      </c>
      <c r="O10" t="s">
        <v>31</v>
      </c>
      <c r="P10">
        <v>27332</v>
      </c>
      <c r="Q10">
        <v>316.99</v>
      </c>
      <c r="R10">
        <v>797.74</v>
      </c>
      <c r="S10">
        <v>9.1473394528701013E-2</v>
      </c>
      <c r="T10">
        <v>2.4002598030579091E-2</v>
      </c>
      <c r="U10">
        <v>2.0676598983086079E-2</v>
      </c>
      <c r="V10">
        <v>3.334793782259439E-3</v>
      </c>
      <c r="W10">
        <v>1.7341805200826631E-2</v>
      </c>
      <c r="X10" s="19">
        <f t="shared" si="0"/>
        <v>45968</v>
      </c>
      <c r="Y10" s="19">
        <f t="shared" si="1"/>
        <v>45968</v>
      </c>
      <c r="Z10">
        <f t="array" ref="Z10">_xlfn.XLOOKUP(INT(X10),INT($AE$2:$AE$1000),$AG$2:$AG$1000,"")</f>
        <v>19.079999999999998</v>
      </c>
      <c r="AE10" s="19">
        <f t="shared" si="2"/>
        <v>45882</v>
      </c>
      <c r="AF10" t="s">
        <v>52</v>
      </c>
      <c r="AG10">
        <v>14.49</v>
      </c>
      <c r="AJ10" s="16" t="s">
        <v>53</v>
      </c>
      <c r="AK10" s="17" t="s">
        <v>54</v>
      </c>
      <c r="AL10" s="17" t="s">
        <v>55</v>
      </c>
    </row>
    <row r="11" spans="1:40" x14ac:dyDescent="0.3">
      <c r="A11">
        <v>0</v>
      </c>
      <c r="B11" t="s">
        <v>28</v>
      </c>
      <c r="C11" t="s">
        <v>29</v>
      </c>
      <c r="D11">
        <v>27717</v>
      </c>
      <c r="E11">
        <v>316.63</v>
      </c>
      <c r="F11">
        <v>816.83</v>
      </c>
      <c r="G11">
        <v>316.66166299999998</v>
      </c>
      <c r="H11">
        <v>816.74831700000004</v>
      </c>
      <c r="I11">
        <v>-4.1191154444316576</v>
      </c>
      <c r="J11">
        <v>0.66743014811490775</v>
      </c>
      <c r="K11">
        <v>3.1582604301550708E-2</v>
      </c>
      <c r="L11">
        <v>-8.1709798625773759E-3</v>
      </c>
      <c r="M11" t="s">
        <v>32</v>
      </c>
      <c r="N11">
        <v>8</v>
      </c>
      <c r="O11" t="s">
        <v>31</v>
      </c>
      <c r="P11">
        <v>27725</v>
      </c>
      <c r="Q11">
        <v>320.43</v>
      </c>
      <c r="R11">
        <v>829.34</v>
      </c>
      <c r="S11">
        <v>-9.1250948730464645E-2</v>
      </c>
      <c r="T11">
        <v>1.7794938265050141E-2</v>
      </c>
      <c r="U11">
        <v>1.4437854683378489E-2</v>
      </c>
      <c r="V11">
        <v>3.3349268102001932E-3</v>
      </c>
      <c r="W11">
        <v>1.1102927873178301E-2</v>
      </c>
      <c r="X11" s="19">
        <f t="shared" si="0"/>
        <v>45971</v>
      </c>
      <c r="Y11" s="19">
        <f t="shared" si="1"/>
        <v>45971</v>
      </c>
      <c r="Z11">
        <f t="array" ref="Z11">_xlfn.XLOOKUP(INT(X11),INT($AE$2:$AE$1000),$AG$2:$AG$1000,"")</f>
        <v>17.600000000000001</v>
      </c>
      <c r="AE11" s="19">
        <f t="shared" si="2"/>
        <v>45883</v>
      </c>
      <c r="AF11" t="s">
        <v>56</v>
      </c>
      <c r="AG11">
        <v>14.83</v>
      </c>
      <c r="AJ11" s="21" t="s">
        <v>46</v>
      </c>
      <c r="AK11" s="22"/>
      <c r="AL11" s="22"/>
    </row>
    <row r="12" spans="1:40" x14ac:dyDescent="0.3">
      <c r="A12">
        <v>1</v>
      </c>
      <c r="B12" t="s">
        <v>33</v>
      </c>
      <c r="C12" t="s">
        <v>34</v>
      </c>
      <c r="D12">
        <v>28107</v>
      </c>
      <c r="E12">
        <v>53.854999999999997</v>
      </c>
      <c r="F12">
        <v>86.21</v>
      </c>
      <c r="G12">
        <v>53.8603855</v>
      </c>
      <c r="H12">
        <v>86.201378999999989</v>
      </c>
      <c r="I12">
        <v>-4.2210563478432883</v>
      </c>
      <c r="J12">
        <v>0.78585230619059288</v>
      </c>
      <c r="K12">
        <v>0.1856837805217714</v>
      </c>
      <c r="L12">
        <v>-9.1155585917015766E-2</v>
      </c>
      <c r="M12" t="s">
        <v>32</v>
      </c>
      <c r="N12">
        <v>16</v>
      </c>
      <c r="O12" t="s">
        <v>31</v>
      </c>
      <c r="P12">
        <v>28123</v>
      </c>
      <c r="Q12">
        <v>53.83</v>
      </c>
      <c r="R12">
        <v>86.07</v>
      </c>
      <c r="S12">
        <v>-0.46599467669538941</v>
      </c>
      <c r="T12">
        <v>8.1196875153382378E-3</v>
      </c>
      <c r="U12">
        <v>4.5497232906100702E-3</v>
      </c>
      <c r="V12">
        <v>3.5717474419199478E-3</v>
      </c>
      <c r="W12">
        <v>9.7797584869012237E-4</v>
      </c>
      <c r="X12" s="19">
        <f t="shared" si="0"/>
        <v>45972</v>
      </c>
      <c r="Y12" s="19">
        <f t="shared" si="1"/>
        <v>45972</v>
      </c>
      <c r="Z12">
        <f t="array" ref="Z12">_xlfn.XLOOKUP(INT(X12),INT($AE$2:$AE$1000),$AG$2:$AG$1000,"")</f>
        <v>17.28</v>
      </c>
      <c r="AE12" s="19">
        <f t="shared" si="2"/>
        <v>45884</v>
      </c>
      <c r="AF12" t="s">
        <v>57</v>
      </c>
      <c r="AG12">
        <v>15.09</v>
      </c>
      <c r="AJ12" s="21" t="s">
        <v>58</v>
      </c>
      <c r="AK12" s="22"/>
      <c r="AL12" s="22"/>
    </row>
    <row r="13" spans="1:40" x14ac:dyDescent="0.3">
      <c r="A13">
        <v>1</v>
      </c>
      <c r="B13" t="s">
        <v>28</v>
      </c>
      <c r="C13" t="s">
        <v>29</v>
      </c>
      <c r="D13">
        <v>28497</v>
      </c>
      <c r="E13">
        <v>305.70999999999998</v>
      </c>
      <c r="F13">
        <v>787.29</v>
      </c>
      <c r="G13">
        <v>305.67942900000003</v>
      </c>
      <c r="H13">
        <v>787.36872899999992</v>
      </c>
      <c r="I13">
        <v>3.961248784974861</v>
      </c>
      <c r="J13">
        <v>0.65390315097189344</v>
      </c>
      <c r="K13">
        <v>-3.2710738935592558E-2</v>
      </c>
      <c r="L13">
        <v>8.3057469416846844E-3</v>
      </c>
      <c r="M13" t="s">
        <v>30</v>
      </c>
      <c r="N13">
        <v>7</v>
      </c>
      <c r="O13" t="s">
        <v>31</v>
      </c>
      <c r="P13">
        <v>28504</v>
      </c>
      <c r="Q13">
        <v>304.36500000000001</v>
      </c>
      <c r="R13">
        <v>786.38</v>
      </c>
      <c r="S13">
        <v>3.0918090914119251E-2</v>
      </c>
      <c r="T13">
        <v>3.6437714151438233E-2</v>
      </c>
      <c r="U13">
        <v>3.3135063266853192E-2</v>
      </c>
      <c r="V13">
        <v>3.3077370825739809E-3</v>
      </c>
      <c r="W13">
        <v>2.9827326184279211E-2</v>
      </c>
      <c r="X13" s="19">
        <f t="shared" si="0"/>
        <v>45973</v>
      </c>
      <c r="Y13" s="19">
        <f t="shared" si="1"/>
        <v>45973</v>
      </c>
      <c r="Z13">
        <f t="array" ref="Z13">_xlfn.XLOOKUP(INT(X13),INT($AE$2:$AE$1000),$AG$2:$AG$1000,"")</f>
        <v>17.510000000000002</v>
      </c>
      <c r="AE13" s="19">
        <f t="shared" si="2"/>
        <v>45887</v>
      </c>
      <c r="AF13" t="s">
        <v>59</v>
      </c>
      <c r="AG13">
        <v>14.99</v>
      </c>
      <c r="AJ13" s="21" t="s">
        <v>60</v>
      </c>
      <c r="AK13" s="22"/>
      <c r="AL13" s="22"/>
    </row>
    <row r="14" spans="1:40" x14ac:dyDescent="0.3">
      <c r="A14">
        <v>1</v>
      </c>
      <c r="B14" t="s">
        <v>28</v>
      </c>
      <c r="C14" t="s">
        <v>29</v>
      </c>
      <c r="D14">
        <v>28630</v>
      </c>
      <c r="E14">
        <v>304.8</v>
      </c>
      <c r="F14">
        <v>797.31500000000005</v>
      </c>
      <c r="G14">
        <v>304.83048000000002</v>
      </c>
      <c r="H14">
        <v>797.23526850000007</v>
      </c>
      <c r="I14">
        <v>-3.626108387612347</v>
      </c>
      <c r="J14">
        <v>0.65390315097189344</v>
      </c>
      <c r="K14">
        <v>3.2808398950131233E-2</v>
      </c>
      <c r="L14">
        <v>-8.2013150507878746E-3</v>
      </c>
      <c r="M14" t="s">
        <v>32</v>
      </c>
      <c r="N14">
        <v>9</v>
      </c>
      <c r="O14" t="s">
        <v>31</v>
      </c>
      <c r="P14">
        <v>28639</v>
      </c>
      <c r="Q14">
        <v>305.47000000000003</v>
      </c>
      <c r="R14">
        <v>796.03</v>
      </c>
      <c r="S14">
        <v>0.26313252588381159</v>
      </c>
      <c r="T14">
        <v>3.2520317136851537E-2</v>
      </c>
      <c r="U14">
        <v>2.921136654116133E-2</v>
      </c>
      <c r="V14">
        <v>3.307875521313593E-3</v>
      </c>
      <c r="W14">
        <v>2.5903491019847739E-2</v>
      </c>
      <c r="X14" s="19">
        <f t="shared" si="0"/>
        <v>45973</v>
      </c>
      <c r="Y14" s="19">
        <f t="shared" si="1"/>
        <v>45973</v>
      </c>
      <c r="Z14">
        <f t="array" ref="Z14">_xlfn.XLOOKUP(INT(X14),INT($AE$2:$AE$1000),$AG$2:$AG$1000,"")</f>
        <v>17.510000000000002</v>
      </c>
      <c r="AE14" s="19">
        <f t="shared" si="2"/>
        <v>45888</v>
      </c>
      <c r="AF14" t="s">
        <v>61</v>
      </c>
      <c r="AG14">
        <v>15.57</v>
      </c>
      <c r="AJ14" s="21" t="s">
        <v>62</v>
      </c>
      <c r="AK14" s="22"/>
      <c r="AL14" s="22"/>
    </row>
    <row r="15" spans="1:40" x14ac:dyDescent="0.3">
      <c r="A15">
        <v>1</v>
      </c>
      <c r="B15" t="s">
        <v>28</v>
      </c>
      <c r="C15" t="s">
        <v>29</v>
      </c>
      <c r="D15">
        <v>28708</v>
      </c>
      <c r="E15">
        <v>304.81</v>
      </c>
      <c r="F15">
        <v>797.11</v>
      </c>
      <c r="G15">
        <v>304.84048100000001</v>
      </c>
      <c r="H15">
        <v>797.03028900000004</v>
      </c>
      <c r="I15">
        <v>-3.5560199780060682</v>
      </c>
      <c r="J15">
        <v>0.65390315097189344</v>
      </c>
      <c r="K15">
        <v>3.2807322594403068E-2</v>
      </c>
      <c r="L15">
        <v>-8.2034242572780851E-3</v>
      </c>
      <c r="M15" t="s">
        <v>32</v>
      </c>
      <c r="N15">
        <v>27</v>
      </c>
      <c r="O15" t="s">
        <v>31</v>
      </c>
      <c r="P15">
        <v>28735</v>
      </c>
      <c r="Q15">
        <v>304.57</v>
      </c>
      <c r="R15">
        <v>796.62</v>
      </c>
      <c r="S15">
        <v>0.12160767258253349</v>
      </c>
      <c r="T15">
        <v>-3.8540795365906988E-3</v>
      </c>
      <c r="U15">
        <v>-7.1606964950039851E-3</v>
      </c>
      <c r="V15">
        <v>3.3078755213135922E-3</v>
      </c>
      <c r="W15">
        <v>-1.046857201631758E-2</v>
      </c>
      <c r="X15" s="19">
        <f t="shared" si="0"/>
        <v>45973</v>
      </c>
      <c r="Y15" s="19">
        <f t="shared" si="1"/>
        <v>45973</v>
      </c>
      <c r="Z15">
        <f t="array" ref="Z15">_xlfn.XLOOKUP(INT(X15),INT($AE$2:$AE$1000),$AG$2:$AG$1000,"")</f>
        <v>17.510000000000002</v>
      </c>
      <c r="AE15" s="19">
        <f t="shared" si="2"/>
        <v>45889</v>
      </c>
      <c r="AF15" t="s">
        <v>63</v>
      </c>
      <c r="AG15">
        <v>15.69</v>
      </c>
      <c r="AJ15" s="21" t="s">
        <v>64</v>
      </c>
      <c r="AK15" s="22"/>
      <c r="AL15" s="22"/>
    </row>
    <row r="16" spans="1:40" x14ac:dyDescent="0.3">
      <c r="A16">
        <v>1</v>
      </c>
      <c r="B16" t="s">
        <v>33</v>
      </c>
      <c r="C16" t="s">
        <v>34</v>
      </c>
      <c r="D16">
        <v>28839</v>
      </c>
      <c r="E16">
        <v>52.725000000000001</v>
      </c>
      <c r="F16">
        <v>85.125</v>
      </c>
      <c r="G16">
        <v>52.730272499999998</v>
      </c>
      <c r="H16">
        <v>85.116487500000005</v>
      </c>
      <c r="I16">
        <v>-3.745893958674877</v>
      </c>
      <c r="J16">
        <v>0.78585230619059288</v>
      </c>
      <c r="K16">
        <v>0.18966334755808439</v>
      </c>
      <c r="L16">
        <v>-9.231745153487142E-2</v>
      </c>
      <c r="M16" t="s">
        <v>32</v>
      </c>
      <c r="N16">
        <v>19</v>
      </c>
      <c r="O16" t="s">
        <v>31</v>
      </c>
      <c r="P16">
        <v>28858</v>
      </c>
      <c r="Q16">
        <v>52.615000000000002</v>
      </c>
      <c r="R16">
        <v>84.855000000000004</v>
      </c>
      <c r="S16">
        <v>-0.36520226419633572</v>
      </c>
      <c r="T16">
        <v>4.0627436830257407E-3</v>
      </c>
      <c r="U16">
        <v>4.9561793866042744E-4</v>
      </c>
      <c r="V16">
        <v>3.5717474419199478E-3</v>
      </c>
      <c r="W16">
        <v>-3.0761295032595199E-3</v>
      </c>
      <c r="X16" s="19">
        <f t="shared" si="0"/>
        <v>45973</v>
      </c>
      <c r="Y16" s="19">
        <f t="shared" si="1"/>
        <v>45973</v>
      </c>
      <c r="Z16">
        <f t="array" ref="Z16">_xlfn.XLOOKUP(INT(X16),INT($AE$2:$AE$1000),$AG$2:$AG$1000,"")</f>
        <v>17.510000000000002</v>
      </c>
      <c r="AE16" s="19">
        <f t="shared" si="2"/>
        <v>45890</v>
      </c>
      <c r="AF16" t="s">
        <v>65</v>
      </c>
      <c r="AG16">
        <v>16.600000000000001</v>
      </c>
      <c r="AJ16" s="21" t="s">
        <v>66</v>
      </c>
      <c r="AK16" s="22"/>
      <c r="AL16" s="22"/>
    </row>
    <row r="17" spans="1:38" x14ac:dyDescent="0.3">
      <c r="A17">
        <v>1</v>
      </c>
      <c r="B17" t="s">
        <v>33</v>
      </c>
      <c r="C17" t="s">
        <v>34</v>
      </c>
      <c r="D17">
        <v>29105</v>
      </c>
      <c r="E17">
        <v>52.09</v>
      </c>
      <c r="F17">
        <v>84.31</v>
      </c>
      <c r="G17">
        <v>52.095208999999997</v>
      </c>
      <c r="H17">
        <v>84.301569000000001</v>
      </c>
      <c r="I17">
        <v>-4.0396525736708373</v>
      </c>
      <c r="J17">
        <v>0.78585230619059288</v>
      </c>
      <c r="K17">
        <v>0.19197542714532539</v>
      </c>
      <c r="L17">
        <v>-9.3209857216296155E-2</v>
      </c>
      <c r="M17" t="s">
        <v>32</v>
      </c>
      <c r="N17">
        <v>17</v>
      </c>
      <c r="O17" t="s">
        <v>31</v>
      </c>
      <c r="P17">
        <v>29122</v>
      </c>
      <c r="Q17">
        <v>52.034999999999997</v>
      </c>
      <c r="R17">
        <v>84.14</v>
      </c>
      <c r="S17">
        <v>-0.2084183861681452</v>
      </c>
      <c r="T17">
        <v>5.2870272337762984E-3</v>
      </c>
      <c r="U17">
        <v>1.717963053816557E-3</v>
      </c>
      <c r="V17">
        <v>3.5717474419199478E-3</v>
      </c>
      <c r="W17">
        <v>-1.853784388103391E-3</v>
      </c>
      <c r="X17" s="19">
        <f t="shared" si="0"/>
        <v>45974</v>
      </c>
      <c r="Y17" s="19">
        <f t="shared" si="1"/>
        <v>45974</v>
      </c>
      <c r="Z17">
        <f t="array" ref="Z17">_xlfn.XLOOKUP(INT(X17),INT($AE$2:$AE$1000),$AG$2:$AG$1000,"")</f>
        <v>20</v>
      </c>
      <c r="AE17" s="19">
        <f t="shared" si="2"/>
        <v>45891</v>
      </c>
      <c r="AF17" t="s">
        <v>67</v>
      </c>
      <c r="AG17">
        <v>14.22</v>
      </c>
      <c r="AJ17" s="21" t="s">
        <v>48</v>
      </c>
      <c r="AK17" s="22"/>
      <c r="AL17" s="22"/>
    </row>
    <row r="18" spans="1:38" x14ac:dyDescent="0.3">
      <c r="A18">
        <v>1</v>
      </c>
      <c r="B18" t="s">
        <v>28</v>
      </c>
      <c r="C18" t="s">
        <v>29</v>
      </c>
      <c r="D18">
        <v>29594</v>
      </c>
      <c r="E18">
        <v>301.3</v>
      </c>
      <c r="F18">
        <v>781.25</v>
      </c>
      <c r="G18">
        <v>301.26987000000003</v>
      </c>
      <c r="H18">
        <v>781.328125</v>
      </c>
      <c r="I18">
        <v>3.5359515155939381</v>
      </c>
      <c r="J18">
        <v>0.65390315097189344</v>
      </c>
      <c r="K18">
        <v>-3.3189512114171919E-2</v>
      </c>
      <c r="L18">
        <v>8.369960332440236E-3</v>
      </c>
      <c r="M18" t="s">
        <v>30</v>
      </c>
      <c r="N18">
        <v>5</v>
      </c>
      <c r="O18" t="s">
        <v>31</v>
      </c>
      <c r="P18">
        <v>29599</v>
      </c>
      <c r="Q18">
        <v>300.495</v>
      </c>
      <c r="R18">
        <v>781.25</v>
      </c>
      <c r="S18">
        <v>-0.42317359330307769</v>
      </c>
      <c r="T18">
        <v>2.6717557251908618E-2</v>
      </c>
      <c r="U18">
        <v>2.3412422705689901E-2</v>
      </c>
      <c r="V18">
        <v>3.3077370825739809E-3</v>
      </c>
      <c r="W18">
        <v>2.0104685623115921E-2</v>
      </c>
      <c r="X18" s="19">
        <f t="shared" si="0"/>
        <v>45975</v>
      </c>
      <c r="Y18" s="19">
        <f t="shared" si="1"/>
        <v>45975</v>
      </c>
      <c r="Z18">
        <f t="array" ref="Z18">_xlfn.XLOOKUP(INT(X18),INT($AE$2:$AE$1000),$AG$2:$AG$1000,"")</f>
        <v>19.829999999999998</v>
      </c>
      <c r="AE18" s="19">
        <f t="shared" si="2"/>
        <v>45894</v>
      </c>
      <c r="AF18" t="s">
        <v>68</v>
      </c>
      <c r="AG18">
        <v>14.79</v>
      </c>
      <c r="AJ18" s="21" t="s">
        <v>69</v>
      </c>
      <c r="AK18" s="22"/>
      <c r="AL18" s="22"/>
    </row>
    <row r="19" spans="1:38" x14ac:dyDescent="0.3">
      <c r="A19">
        <v>1</v>
      </c>
      <c r="B19" t="s">
        <v>28</v>
      </c>
      <c r="C19" t="s">
        <v>29</v>
      </c>
      <c r="D19">
        <v>29667</v>
      </c>
      <c r="E19">
        <v>300.82</v>
      </c>
      <c r="F19">
        <v>776.07</v>
      </c>
      <c r="G19">
        <v>300.789918</v>
      </c>
      <c r="H19">
        <v>776.14760699999999</v>
      </c>
      <c r="I19">
        <v>4.3180526865916153</v>
      </c>
      <c r="J19">
        <v>0.65390315097189344</v>
      </c>
      <c r="K19">
        <v>-3.324247058041354E-2</v>
      </c>
      <c r="L19">
        <v>8.4258269353523953E-3</v>
      </c>
      <c r="M19" t="s">
        <v>30</v>
      </c>
      <c r="N19">
        <v>24</v>
      </c>
      <c r="O19" t="s">
        <v>31</v>
      </c>
      <c r="P19">
        <v>29691</v>
      </c>
      <c r="Q19">
        <v>302.36</v>
      </c>
      <c r="R19">
        <v>779.06500000000005</v>
      </c>
      <c r="S19">
        <v>0.36508654889452202</v>
      </c>
      <c r="T19">
        <v>-2.5958053022457069E-2</v>
      </c>
      <c r="U19">
        <v>-2.9273502200037081E-2</v>
      </c>
      <c r="V19">
        <v>3.3077370825739809E-3</v>
      </c>
      <c r="W19">
        <v>-3.2581239282611058E-2</v>
      </c>
      <c r="X19" s="19">
        <f t="shared" si="0"/>
        <v>45978</v>
      </c>
      <c r="Y19" s="19">
        <f t="shared" si="1"/>
        <v>45978</v>
      </c>
      <c r="Z19">
        <f t="array" ref="Z19">_xlfn.XLOOKUP(INT(X19),INT($AE$2:$AE$1000),$AG$2:$AG$1000,"")</f>
        <v>22.38</v>
      </c>
      <c r="AE19" s="19">
        <f t="shared" si="2"/>
        <v>45895</v>
      </c>
      <c r="AF19" t="s">
        <v>70</v>
      </c>
      <c r="AG19">
        <v>14.62</v>
      </c>
      <c r="AJ19" s="21" t="s">
        <v>71</v>
      </c>
      <c r="AK19" s="22"/>
      <c r="AL19" s="22"/>
    </row>
    <row r="20" spans="1:38" x14ac:dyDescent="0.3">
      <c r="A20">
        <v>1</v>
      </c>
      <c r="B20" t="s">
        <v>28</v>
      </c>
      <c r="C20" t="s">
        <v>29</v>
      </c>
      <c r="D20">
        <v>30059</v>
      </c>
      <c r="E20">
        <v>307.04000000000002</v>
      </c>
      <c r="F20">
        <v>805.745</v>
      </c>
      <c r="G20">
        <v>307.07070399999998</v>
      </c>
      <c r="H20">
        <v>805.66442549999999</v>
      </c>
      <c r="I20">
        <v>-3.861825877035987</v>
      </c>
      <c r="J20">
        <v>0.65390315097189344</v>
      </c>
      <c r="K20">
        <v>3.2569046378322038E-2</v>
      </c>
      <c r="L20">
        <v>-8.1155098818099201E-3</v>
      </c>
      <c r="M20" t="s">
        <v>32</v>
      </c>
      <c r="N20">
        <v>6</v>
      </c>
      <c r="O20" t="s">
        <v>31</v>
      </c>
      <c r="P20">
        <v>30065</v>
      </c>
      <c r="Q20">
        <v>308.48</v>
      </c>
      <c r="R20">
        <v>807.56</v>
      </c>
      <c r="S20">
        <v>-0.31972299532199389</v>
      </c>
      <c r="T20">
        <v>3.2169776349299142E-2</v>
      </c>
      <c r="U20">
        <v>2.885580713963343E-2</v>
      </c>
      <c r="V20">
        <v>3.3078755213135922E-3</v>
      </c>
      <c r="W20">
        <v>2.5547931618319839E-2</v>
      </c>
      <c r="X20" s="19">
        <f t="shared" si="0"/>
        <v>45979</v>
      </c>
      <c r="Y20" s="19">
        <f t="shared" si="1"/>
        <v>45979</v>
      </c>
      <c r="Z20">
        <f t="array" ref="Z20">_xlfn.XLOOKUP(INT(X20),INT($AE$2:$AE$1000),$AG$2:$AG$1000,"")</f>
        <v>24.69</v>
      </c>
      <c r="AE20" s="19">
        <f t="shared" si="2"/>
        <v>45896</v>
      </c>
      <c r="AF20" t="s">
        <v>72</v>
      </c>
      <c r="AG20">
        <v>14.85</v>
      </c>
      <c r="AJ20" s="21" t="s">
        <v>73</v>
      </c>
      <c r="AK20" s="22"/>
      <c r="AL20" s="22"/>
    </row>
    <row r="21" spans="1:38" x14ac:dyDescent="0.3">
      <c r="A21">
        <v>1</v>
      </c>
      <c r="B21" t="s">
        <v>33</v>
      </c>
      <c r="C21" t="s">
        <v>34</v>
      </c>
      <c r="D21">
        <v>31217</v>
      </c>
      <c r="E21">
        <v>51.96</v>
      </c>
      <c r="F21">
        <v>84.86</v>
      </c>
      <c r="G21">
        <v>51.965195999999999</v>
      </c>
      <c r="H21">
        <v>84.851513999999995</v>
      </c>
      <c r="I21">
        <v>-3.561478750527765</v>
      </c>
      <c r="J21">
        <v>0.78585230619059288</v>
      </c>
      <c r="K21">
        <v>0.19245573518090839</v>
      </c>
      <c r="L21">
        <v>-9.2605739593517908E-2</v>
      </c>
      <c r="M21" t="s">
        <v>32</v>
      </c>
      <c r="N21">
        <v>20</v>
      </c>
      <c r="O21" t="s">
        <v>31</v>
      </c>
      <c r="P21">
        <v>31237</v>
      </c>
      <c r="Q21">
        <v>52.51</v>
      </c>
      <c r="R21">
        <v>85.14</v>
      </c>
      <c r="S21">
        <v>0.40215491859391322</v>
      </c>
      <c r="T21">
        <v>7.9921047263313949E-2</v>
      </c>
      <c r="U21">
        <v>7.63361646247884E-2</v>
      </c>
      <c r="V21">
        <v>3.5717474419199478E-3</v>
      </c>
      <c r="W21">
        <v>7.2764417182868454E-2</v>
      </c>
      <c r="X21" s="19">
        <f t="shared" si="0"/>
        <v>45982</v>
      </c>
      <c r="Y21" s="19">
        <f t="shared" si="1"/>
        <v>45982</v>
      </c>
      <c r="Z21">
        <f t="array" ref="Z21">_xlfn.XLOOKUP(INT(X21),INT($AE$2:$AE$1000),$AG$2:$AG$1000,"")</f>
        <v>23.43</v>
      </c>
      <c r="AE21" s="19">
        <f t="shared" si="2"/>
        <v>45897</v>
      </c>
      <c r="AF21" t="s">
        <v>74</v>
      </c>
      <c r="AG21">
        <v>14.43</v>
      </c>
      <c r="AJ21" s="21" t="s">
        <v>75</v>
      </c>
      <c r="AK21" s="22"/>
      <c r="AL21" s="22"/>
    </row>
    <row r="22" spans="1:38" x14ac:dyDescent="0.3">
      <c r="A22">
        <v>1</v>
      </c>
      <c r="B22" t="s">
        <v>33</v>
      </c>
      <c r="C22" t="s">
        <v>34</v>
      </c>
      <c r="D22">
        <v>31444</v>
      </c>
      <c r="E22">
        <v>52.65</v>
      </c>
      <c r="F22">
        <v>84.8</v>
      </c>
      <c r="G22">
        <v>52.655265</v>
      </c>
      <c r="H22">
        <v>84.791519999999991</v>
      </c>
      <c r="I22">
        <v>-3.5053921256827349</v>
      </c>
      <c r="J22">
        <v>0.78585230619059288</v>
      </c>
      <c r="K22">
        <v>0.18993352326685661</v>
      </c>
      <c r="L22">
        <v>-9.2671262522475581E-2</v>
      </c>
      <c r="M22" t="s">
        <v>32</v>
      </c>
      <c r="N22">
        <v>32</v>
      </c>
      <c r="O22" t="s">
        <v>31</v>
      </c>
      <c r="P22">
        <v>31476</v>
      </c>
      <c r="Q22">
        <v>52.71</v>
      </c>
      <c r="R22">
        <v>85.025000000000006</v>
      </c>
      <c r="S22">
        <v>-0.49317776811967429</v>
      </c>
      <c r="T22">
        <v>-9.4550226715459686E-3</v>
      </c>
      <c r="U22">
        <v>-1.3029951988474949E-2</v>
      </c>
      <c r="V22">
        <v>3.5717474419199478E-3</v>
      </c>
      <c r="W22">
        <v>-1.6601699430394891E-2</v>
      </c>
      <c r="X22" s="19">
        <f t="shared" si="0"/>
        <v>45982</v>
      </c>
      <c r="Y22" s="19">
        <f t="shared" si="1"/>
        <v>45982</v>
      </c>
      <c r="Z22">
        <f t="array" ref="Z22">_xlfn.XLOOKUP(INT(X22),INT($AE$2:$AE$1000),$AG$2:$AG$1000,"")</f>
        <v>23.43</v>
      </c>
      <c r="AE22" s="19">
        <f t="shared" si="2"/>
        <v>45898</v>
      </c>
      <c r="AF22" t="s">
        <v>76</v>
      </c>
      <c r="AG22">
        <v>15.36</v>
      </c>
    </row>
    <row r="23" spans="1:38" x14ac:dyDescent="0.3">
      <c r="A23">
        <v>1</v>
      </c>
      <c r="B23" t="s">
        <v>33</v>
      </c>
      <c r="C23" t="s">
        <v>34</v>
      </c>
      <c r="D23">
        <v>31612</v>
      </c>
      <c r="E23">
        <v>52.505000000000003</v>
      </c>
      <c r="F23">
        <v>85.055000000000007</v>
      </c>
      <c r="G23">
        <v>52.510250500000012</v>
      </c>
      <c r="H23">
        <v>85.046494500000009</v>
      </c>
      <c r="I23">
        <v>-3.5933744947512318</v>
      </c>
      <c r="J23">
        <v>0.78585230619059288</v>
      </c>
      <c r="K23">
        <v>0.19045805161413201</v>
      </c>
      <c r="L23">
        <v>-9.2393428509857489E-2</v>
      </c>
      <c r="M23" t="s">
        <v>32</v>
      </c>
      <c r="N23">
        <v>10</v>
      </c>
      <c r="O23" t="s">
        <v>31</v>
      </c>
      <c r="P23">
        <v>31622</v>
      </c>
      <c r="Q23">
        <v>52.78</v>
      </c>
      <c r="R23">
        <v>85.49</v>
      </c>
      <c r="S23">
        <v>-5.0359074003137577E-2</v>
      </c>
      <c r="T23">
        <v>1.218482279209912E-2</v>
      </c>
      <c r="U23">
        <v>8.6038614691584248E-3</v>
      </c>
      <c r="V23">
        <v>3.5717474419199478E-3</v>
      </c>
      <c r="W23">
        <v>5.032114027238477E-3</v>
      </c>
      <c r="X23" s="19">
        <f t="shared" si="0"/>
        <v>45985</v>
      </c>
      <c r="Y23" s="19">
        <f t="shared" si="1"/>
        <v>45985</v>
      </c>
      <c r="Z23">
        <f t="array" ref="Z23">_xlfn.XLOOKUP(INT(X23),INT($AE$2:$AE$1000),$AG$2:$AG$1000,"")</f>
        <v>20.52</v>
      </c>
      <c r="AE23" s="19">
        <f t="shared" si="2"/>
        <v>45901</v>
      </c>
      <c r="AF23" s="19">
        <v>45666</v>
      </c>
      <c r="AG23">
        <v>16.12</v>
      </c>
    </row>
    <row r="24" spans="1:38" x14ac:dyDescent="0.3">
      <c r="A24">
        <v>2</v>
      </c>
      <c r="B24" t="s">
        <v>33</v>
      </c>
      <c r="C24" t="s">
        <v>34</v>
      </c>
      <c r="D24">
        <v>32007</v>
      </c>
      <c r="E24">
        <v>53.05</v>
      </c>
      <c r="F24">
        <v>85.48</v>
      </c>
      <c r="G24">
        <v>53.044694999999997</v>
      </c>
      <c r="H24">
        <v>85.488548000000009</v>
      </c>
      <c r="I24">
        <v>4.5358081524885527</v>
      </c>
      <c r="J24">
        <v>0.73858207225207795</v>
      </c>
      <c r="K24">
        <v>-0.1885014137606032</v>
      </c>
      <c r="L24">
        <v>8.6404079580261806E-2</v>
      </c>
      <c r="M24" t="s">
        <v>30</v>
      </c>
      <c r="N24">
        <v>48</v>
      </c>
      <c r="O24" t="s">
        <v>31</v>
      </c>
      <c r="P24">
        <v>32055</v>
      </c>
      <c r="Q24">
        <v>53.64</v>
      </c>
      <c r="R24">
        <v>85.89</v>
      </c>
      <c r="S24">
        <v>0.45483686562535858</v>
      </c>
      <c r="T24">
        <v>-7.5790161490849495E-2</v>
      </c>
      <c r="U24">
        <v>-7.9281989786028781E-2</v>
      </c>
      <c r="V24">
        <v>3.4771118609186061E-3</v>
      </c>
      <c r="W24">
        <v>-8.2759101646947386E-2</v>
      </c>
      <c r="X24" s="19">
        <f t="shared" si="0"/>
        <v>45986</v>
      </c>
      <c r="Y24" s="19">
        <f t="shared" si="1"/>
        <v>45986</v>
      </c>
      <c r="Z24">
        <f t="array" ref="Z24">_xlfn.XLOOKUP(INT(X24),INT($AE$2:$AE$1000),$AG$2:$AG$1000,"")</f>
        <v>18.559999999999999</v>
      </c>
      <c r="AE24" s="19">
        <f t="shared" si="2"/>
        <v>45902</v>
      </c>
      <c r="AF24" s="19">
        <v>45697</v>
      </c>
      <c r="AG24">
        <v>17.170000000000002</v>
      </c>
    </row>
    <row r="25" spans="1:38" x14ac:dyDescent="0.3">
      <c r="A25">
        <v>2</v>
      </c>
      <c r="B25" t="s">
        <v>33</v>
      </c>
      <c r="C25" t="s">
        <v>34</v>
      </c>
      <c r="D25">
        <v>32217</v>
      </c>
      <c r="E25">
        <v>53.524999999999999</v>
      </c>
      <c r="F25">
        <v>85.885000000000005</v>
      </c>
      <c r="G25">
        <v>53.530352499999999</v>
      </c>
      <c r="H25">
        <v>85.876411500000003</v>
      </c>
      <c r="I25">
        <v>-4.2270288898543331</v>
      </c>
      <c r="J25">
        <v>0.73858207225207795</v>
      </c>
      <c r="K25">
        <v>0.18682858477347031</v>
      </c>
      <c r="L25">
        <v>-8.5996631804398663E-2</v>
      </c>
      <c r="M25" t="s">
        <v>32</v>
      </c>
      <c r="N25">
        <v>1</v>
      </c>
      <c r="O25" t="s">
        <v>31</v>
      </c>
      <c r="P25">
        <v>32218</v>
      </c>
      <c r="Q25">
        <v>53.54</v>
      </c>
      <c r="R25">
        <v>85.66</v>
      </c>
      <c r="S25">
        <v>0.16301467559101179</v>
      </c>
      <c r="T25">
        <v>2.2151670927592591E-2</v>
      </c>
      <c r="U25">
        <v>1.867616146442698E-2</v>
      </c>
      <c r="V25">
        <v>3.4772164280897052E-3</v>
      </c>
      <c r="W25">
        <v>1.519894503633727E-2</v>
      </c>
      <c r="X25" s="19">
        <f t="shared" si="0"/>
        <v>45986</v>
      </c>
      <c r="Y25" s="19">
        <f t="shared" si="1"/>
        <v>45986</v>
      </c>
      <c r="Z25">
        <f t="array" ref="Z25">_xlfn.XLOOKUP(INT(X25),INT($AE$2:$AE$1000),$AG$2:$AG$1000,"")</f>
        <v>18.559999999999999</v>
      </c>
      <c r="AE25" s="19">
        <f t="shared" si="2"/>
        <v>45903</v>
      </c>
      <c r="AF25" s="19">
        <v>45725</v>
      </c>
      <c r="AG25">
        <v>16.350000000000001</v>
      </c>
    </row>
    <row r="26" spans="1:38" x14ac:dyDescent="0.3">
      <c r="A26">
        <v>2</v>
      </c>
      <c r="B26" t="s">
        <v>77</v>
      </c>
      <c r="C26" t="s">
        <v>29</v>
      </c>
      <c r="D26">
        <v>32607</v>
      </c>
      <c r="E26">
        <v>103.21</v>
      </c>
      <c r="F26">
        <v>813.89</v>
      </c>
      <c r="G26">
        <v>103.199679</v>
      </c>
      <c r="H26">
        <v>813.97138899999993</v>
      </c>
      <c r="I26">
        <v>3.70431523111837</v>
      </c>
      <c r="J26">
        <v>0.75132766209878421</v>
      </c>
      <c r="K26">
        <v>-9.688983625617674E-2</v>
      </c>
      <c r="L26">
        <v>9.231317034228019E-3</v>
      </c>
      <c r="M26" t="s">
        <v>30</v>
      </c>
      <c r="N26">
        <v>13</v>
      </c>
      <c r="O26" t="s">
        <v>31</v>
      </c>
      <c r="P26">
        <v>32620</v>
      </c>
      <c r="Q26">
        <v>103.19</v>
      </c>
      <c r="R26">
        <v>813.36</v>
      </c>
      <c r="S26">
        <v>0.28206385727704819</v>
      </c>
      <c r="T26">
        <v>-2.9548013030174492E-3</v>
      </c>
      <c r="U26">
        <v>-6.4567735877388756E-3</v>
      </c>
      <c r="V26">
        <v>3.502605589729989E-3</v>
      </c>
      <c r="W26">
        <v>-9.9593791774688634E-3</v>
      </c>
      <c r="X26" s="19">
        <f t="shared" si="0"/>
        <v>45987</v>
      </c>
      <c r="Y26" s="19">
        <f t="shared" si="1"/>
        <v>45987</v>
      </c>
      <c r="Z26">
        <f t="array" ref="Z26">_xlfn.XLOOKUP(INT(X26),INT($AE$2:$AE$1000),$AG$2:$AG$1000,"")</f>
        <v>17.190000000000001</v>
      </c>
      <c r="AE26" s="19">
        <f t="shared" si="2"/>
        <v>45904</v>
      </c>
      <c r="AF26" s="19">
        <v>45756</v>
      </c>
      <c r="AG26">
        <v>15.3</v>
      </c>
    </row>
    <row r="27" spans="1:38" x14ac:dyDescent="0.3">
      <c r="A27">
        <v>2</v>
      </c>
      <c r="B27" t="s">
        <v>33</v>
      </c>
      <c r="C27" t="s">
        <v>34</v>
      </c>
      <c r="D27">
        <v>32998</v>
      </c>
      <c r="E27">
        <v>53.3</v>
      </c>
      <c r="F27">
        <v>86.31</v>
      </c>
      <c r="G27">
        <v>53.294670000000004</v>
      </c>
      <c r="H27">
        <v>86.318630999999996</v>
      </c>
      <c r="I27">
        <v>4.1634247093211707</v>
      </c>
      <c r="J27">
        <v>0.73858207225207795</v>
      </c>
      <c r="K27">
        <v>-0.18761726078799251</v>
      </c>
      <c r="L27">
        <v>8.5573174864103582E-2</v>
      </c>
      <c r="M27" t="s">
        <v>30</v>
      </c>
      <c r="N27">
        <v>17</v>
      </c>
      <c r="O27" t="s">
        <v>31</v>
      </c>
      <c r="P27">
        <v>33015</v>
      </c>
      <c r="Q27">
        <v>53.524999999999999</v>
      </c>
      <c r="R27">
        <v>86.83</v>
      </c>
      <c r="S27">
        <v>0.47469369829974212</v>
      </c>
      <c r="T27">
        <v>2.2841672520349451E-3</v>
      </c>
      <c r="U27">
        <v>-1.2016680859300651E-3</v>
      </c>
      <c r="V27">
        <v>3.4771118609186061E-3</v>
      </c>
      <c r="W27">
        <v>-4.6787799468486707E-3</v>
      </c>
      <c r="X27" s="19">
        <f t="shared" si="0"/>
        <v>45988</v>
      </c>
      <c r="Y27" s="19">
        <f t="shared" si="1"/>
        <v>45988</v>
      </c>
      <c r="Z27">
        <f t="array" ref="Z27">_xlfn.XLOOKUP(INT(X27),INT($AE$2:$AE$1000),$AG$2:$AG$1000,"")</f>
        <v>17.21</v>
      </c>
      <c r="AE27" s="19">
        <f t="shared" si="2"/>
        <v>45905</v>
      </c>
      <c r="AF27" s="19">
        <v>45786</v>
      </c>
      <c r="AG27">
        <v>15.18</v>
      </c>
    </row>
    <row r="28" spans="1:38" x14ac:dyDescent="0.3">
      <c r="A28">
        <v>2</v>
      </c>
      <c r="B28" t="s">
        <v>33</v>
      </c>
      <c r="C28" t="s">
        <v>78</v>
      </c>
      <c r="D28">
        <v>33388</v>
      </c>
      <c r="E28">
        <v>54.38</v>
      </c>
      <c r="F28">
        <v>174.26499999999999</v>
      </c>
      <c r="G28">
        <v>54.374561999999997</v>
      </c>
      <c r="H28">
        <v>174.28242650000001</v>
      </c>
      <c r="I28">
        <v>4.3692741836154454</v>
      </c>
      <c r="J28">
        <v>0.67069500706447904</v>
      </c>
      <c r="K28">
        <v>-0.18389113644722321</v>
      </c>
      <c r="L28">
        <v>3.8487074688806078E-2</v>
      </c>
      <c r="M28" t="s">
        <v>30</v>
      </c>
      <c r="N28">
        <v>17</v>
      </c>
      <c r="O28" t="s">
        <v>31</v>
      </c>
      <c r="P28">
        <v>33405</v>
      </c>
      <c r="Q28">
        <v>54.445</v>
      </c>
      <c r="R28">
        <v>174.3</v>
      </c>
      <c r="S28">
        <v>0.44094134941546631</v>
      </c>
      <c r="T28">
        <v>-1.060587625495992E-2</v>
      </c>
      <c r="U28">
        <v>-1.394859626623567E-2</v>
      </c>
      <c r="V28">
        <v>3.3413241531303709E-3</v>
      </c>
      <c r="W28">
        <v>-1.7289920419366039E-2</v>
      </c>
      <c r="X28" s="19">
        <f t="shared" si="0"/>
        <v>45989</v>
      </c>
      <c r="Y28" s="19">
        <f t="shared" si="1"/>
        <v>45989</v>
      </c>
      <c r="Z28">
        <f t="array" ref="Z28">_xlfn.XLOOKUP(INT(X28),INT($AE$2:$AE$1000),$AG$2:$AG$1000,"")</f>
        <v>16.350000000000001</v>
      </c>
      <c r="AE28" s="19">
        <f t="shared" si="2"/>
        <v>45908</v>
      </c>
      <c r="AF28" s="19">
        <v>45878</v>
      </c>
      <c r="AG28">
        <v>15.11</v>
      </c>
    </row>
    <row r="29" spans="1:38" x14ac:dyDescent="0.3">
      <c r="A29">
        <v>2</v>
      </c>
      <c r="B29" t="s">
        <v>78</v>
      </c>
      <c r="C29" t="s">
        <v>34</v>
      </c>
      <c r="D29">
        <v>34137</v>
      </c>
      <c r="E29">
        <v>176.815</v>
      </c>
      <c r="F29">
        <v>90.16</v>
      </c>
      <c r="G29">
        <v>176.79731849999999</v>
      </c>
      <c r="H29">
        <v>90.169015999999999</v>
      </c>
      <c r="I29">
        <v>3.7864964905869569</v>
      </c>
      <c r="J29">
        <v>0.92309383295926084</v>
      </c>
      <c r="K29">
        <v>-5.6556287645278973E-2</v>
      </c>
      <c r="L29">
        <v>0.10238396550124899</v>
      </c>
      <c r="M29" t="s">
        <v>30</v>
      </c>
      <c r="N29">
        <v>21</v>
      </c>
      <c r="O29" t="s">
        <v>31</v>
      </c>
      <c r="P29">
        <v>34158</v>
      </c>
      <c r="Q29">
        <v>176.23</v>
      </c>
      <c r="R29">
        <v>89.77</v>
      </c>
      <c r="S29">
        <v>0.3157069733465101</v>
      </c>
      <c r="T29">
        <v>-6.8443182729985147E-3</v>
      </c>
      <c r="U29">
        <v>-1.068320442143539E-2</v>
      </c>
      <c r="V29">
        <v>3.8461722846851129E-3</v>
      </c>
      <c r="W29">
        <v>-1.4529376706120501E-2</v>
      </c>
      <c r="X29" s="19">
        <f t="shared" si="0"/>
        <v>45993</v>
      </c>
      <c r="Y29" s="19">
        <f t="shared" si="1"/>
        <v>45993</v>
      </c>
      <c r="Z29">
        <f t="array" ref="Z29">_xlfn.XLOOKUP(INT(X29),INT($AE$2:$AE$1000),$AG$2:$AG$1000,"")</f>
        <v>16.59</v>
      </c>
      <c r="AE29" s="19">
        <f t="shared" si="2"/>
        <v>45909</v>
      </c>
      <c r="AF29" s="19">
        <v>45909</v>
      </c>
      <c r="AG29">
        <v>15.04</v>
      </c>
    </row>
    <row r="30" spans="1:38" x14ac:dyDescent="0.3">
      <c r="A30">
        <v>2</v>
      </c>
      <c r="B30" t="s">
        <v>33</v>
      </c>
      <c r="C30" t="s">
        <v>78</v>
      </c>
      <c r="D30">
        <v>34168</v>
      </c>
      <c r="E30">
        <v>53.62</v>
      </c>
      <c r="F30">
        <v>176.72499999999999</v>
      </c>
      <c r="G30">
        <v>53.625362000000003</v>
      </c>
      <c r="H30">
        <v>176.70732749999999</v>
      </c>
      <c r="I30">
        <v>-4.898697035620776</v>
      </c>
      <c r="J30">
        <v>0.67069500706447904</v>
      </c>
      <c r="K30">
        <v>0.18649757553151811</v>
      </c>
      <c r="L30">
        <v>-3.7951337222491388E-2</v>
      </c>
      <c r="M30" t="s">
        <v>32</v>
      </c>
      <c r="N30">
        <v>18</v>
      </c>
      <c r="O30" t="s">
        <v>31</v>
      </c>
      <c r="P30">
        <v>34186</v>
      </c>
      <c r="Q30">
        <v>54.055</v>
      </c>
      <c r="R30">
        <v>178.35</v>
      </c>
      <c r="S30">
        <v>-0.49695160493823098</v>
      </c>
      <c r="T30">
        <v>1.94555223696623E-2</v>
      </c>
      <c r="U30">
        <v>1.609985261869927E-2</v>
      </c>
      <c r="V30">
        <v>3.3414558751275452E-3</v>
      </c>
      <c r="W30">
        <v>1.275839674357172E-2</v>
      </c>
      <c r="X30" s="19">
        <f t="shared" si="0"/>
        <v>45993</v>
      </c>
      <c r="Y30" s="19">
        <f t="shared" si="1"/>
        <v>45993</v>
      </c>
      <c r="Z30">
        <f t="array" ref="Z30">_xlfn.XLOOKUP(INT(X30),INT($AE$2:$AE$1000),$AG$2:$AG$1000,"")</f>
        <v>16.59</v>
      </c>
      <c r="AE30" s="19">
        <f t="shared" si="2"/>
        <v>45910</v>
      </c>
      <c r="AF30" s="19">
        <v>45939</v>
      </c>
      <c r="AG30">
        <v>15.35</v>
      </c>
    </row>
    <row r="31" spans="1:38" x14ac:dyDescent="0.3">
      <c r="A31">
        <v>2</v>
      </c>
      <c r="B31" t="s">
        <v>77</v>
      </c>
      <c r="C31" t="s">
        <v>29</v>
      </c>
      <c r="D31">
        <v>34331</v>
      </c>
      <c r="E31">
        <v>108.3</v>
      </c>
      <c r="F31">
        <v>862.15499999999997</v>
      </c>
      <c r="G31">
        <v>108.31083</v>
      </c>
      <c r="H31">
        <v>862.06878449999999</v>
      </c>
      <c r="I31">
        <v>-3.563046197479212</v>
      </c>
      <c r="J31">
        <v>0.75132766209878421</v>
      </c>
      <c r="K31">
        <v>9.2336103416435833E-2</v>
      </c>
      <c r="L31">
        <v>-8.7145311701351171E-3</v>
      </c>
      <c r="M31" t="s">
        <v>32</v>
      </c>
      <c r="N31">
        <v>33</v>
      </c>
      <c r="O31" t="s">
        <v>31</v>
      </c>
      <c r="P31">
        <v>34364</v>
      </c>
      <c r="Q31">
        <v>108.22</v>
      </c>
      <c r="R31">
        <v>862.35</v>
      </c>
      <c r="S31">
        <v>-0.42040733039021022</v>
      </c>
      <c r="T31">
        <v>-9.0862218514914921E-3</v>
      </c>
      <c r="U31">
        <v>-1.258830842021956E-2</v>
      </c>
      <c r="V31">
        <v>3.5027050586651492E-3</v>
      </c>
      <c r="W31">
        <v>-1.60910134788847E-2</v>
      </c>
      <c r="X31" s="19">
        <f t="shared" si="0"/>
        <v>45994</v>
      </c>
      <c r="Y31" s="19">
        <f t="shared" si="1"/>
        <v>45994</v>
      </c>
      <c r="Z31">
        <f t="array" ref="Z31">_xlfn.XLOOKUP(INT(X31),INT($AE$2:$AE$1000),$AG$2:$AG$1000,"")</f>
        <v>16.079999999999998</v>
      </c>
      <c r="AE31" s="19">
        <f t="shared" si="2"/>
        <v>45911</v>
      </c>
      <c r="AF31" s="19">
        <v>45970</v>
      </c>
      <c r="AG31">
        <v>14.71</v>
      </c>
    </row>
    <row r="32" spans="1:38" x14ac:dyDescent="0.3">
      <c r="A32">
        <v>2</v>
      </c>
      <c r="B32" t="s">
        <v>33</v>
      </c>
      <c r="C32" t="s">
        <v>78</v>
      </c>
      <c r="D32">
        <v>34528</v>
      </c>
      <c r="E32">
        <v>53.87</v>
      </c>
      <c r="F32">
        <v>176.875</v>
      </c>
      <c r="G32">
        <v>53.875387000000003</v>
      </c>
      <c r="H32">
        <v>176.85731250000001</v>
      </c>
      <c r="I32">
        <v>-3.5067484329989691</v>
      </c>
      <c r="J32">
        <v>0.67069500706447904</v>
      </c>
      <c r="K32">
        <v>0.18563207722294409</v>
      </c>
      <c r="L32">
        <v>-3.7919152342868072E-2</v>
      </c>
      <c r="M32" t="s">
        <v>32</v>
      </c>
      <c r="N32">
        <v>27</v>
      </c>
      <c r="O32" t="s">
        <v>31</v>
      </c>
      <c r="P32">
        <v>34555</v>
      </c>
      <c r="Q32">
        <v>53.86</v>
      </c>
      <c r="R32">
        <v>176.61</v>
      </c>
      <c r="S32">
        <v>0.18115972650564999</v>
      </c>
      <c r="T32">
        <v>8.1922545986304503E-3</v>
      </c>
      <c r="U32">
        <v>4.852055074115816E-3</v>
      </c>
      <c r="V32">
        <v>3.3414558751275452E-3</v>
      </c>
      <c r="W32">
        <v>1.510599198988271E-3</v>
      </c>
      <c r="X32" s="19">
        <f t="shared" si="0"/>
        <v>45994</v>
      </c>
      <c r="Y32" s="19">
        <f t="shared" si="1"/>
        <v>45994</v>
      </c>
      <c r="Z32">
        <f t="array" ref="Z32">_xlfn.XLOOKUP(INT(X32),INT($AE$2:$AE$1000),$AG$2:$AG$1000,"")</f>
        <v>16.079999999999998</v>
      </c>
      <c r="AE32" s="19">
        <f t="shared" si="2"/>
        <v>45912</v>
      </c>
      <c r="AF32" s="19">
        <v>46000</v>
      </c>
      <c r="AG32">
        <v>14.76</v>
      </c>
    </row>
    <row r="33" spans="1:33" x14ac:dyDescent="0.3">
      <c r="A33">
        <v>2</v>
      </c>
      <c r="B33" t="s">
        <v>33</v>
      </c>
      <c r="C33" t="s">
        <v>34</v>
      </c>
      <c r="D33">
        <v>34559</v>
      </c>
      <c r="E33">
        <v>54.005000000000003</v>
      </c>
      <c r="F33">
        <v>89.76</v>
      </c>
      <c r="G33">
        <v>53.999599500000002</v>
      </c>
      <c r="H33">
        <v>89.768976000000009</v>
      </c>
      <c r="I33">
        <v>3.5672352167586561</v>
      </c>
      <c r="J33">
        <v>0.73858207225207795</v>
      </c>
      <c r="K33">
        <v>-0.18516803999629661</v>
      </c>
      <c r="L33">
        <v>8.2284098958564839E-2</v>
      </c>
      <c r="M33" t="s">
        <v>30</v>
      </c>
      <c r="N33">
        <v>5</v>
      </c>
      <c r="O33" t="s">
        <v>31</v>
      </c>
      <c r="P33">
        <v>34564</v>
      </c>
      <c r="Q33">
        <v>53.83</v>
      </c>
      <c r="R33">
        <v>89.754999999999995</v>
      </c>
      <c r="S33">
        <v>0.1189470488794544</v>
      </c>
      <c r="T33">
        <v>3.1992986504559083E-2</v>
      </c>
      <c r="U33">
        <v>2.8519103942803142E-2</v>
      </c>
      <c r="V33">
        <v>3.477111860918607E-3</v>
      </c>
      <c r="W33">
        <v>2.5041992081884529E-2</v>
      </c>
      <c r="X33" s="19">
        <f t="shared" si="0"/>
        <v>45994</v>
      </c>
      <c r="Y33" s="19">
        <f t="shared" si="1"/>
        <v>45994</v>
      </c>
      <c r="Z33">
        <f t="array" ref="Z33">_xlfn.XLOOKUP(INT(X33),INT($AE$2:$AE$1000),$AG$2:$AG$1000,"")</f>
        <v>16.079999999999998</v>
      </c>
      <c r="AE33" s="19">
        <f t="shared" si="2"/>
        <v>45915</v>
      </c>
      <c r="AF33" t="s">
        <v>79</v>
      </c>
      <c r="AG33">
        <v>15.69</v>
      </c>
    </row>
    <row r="34" spans="1:33" x14ac:dyDescent="0.3">
      <c r="A34">
        <v>2</v>
      </c>
      <c r="B34" t="s">
        <v>77</v>
      </c>
      <c r="C34" t="s">
        <v>29</v>
      </c>
      <c r="D34">
        <v>34740</v>
      </c>
      <c r="E34">
        <v>108.74</v>
      </c>
      <c r="F34">
        <v>879.65499999999997</v>
      </c>
      <c r="G34">
        <v>108.750874</v>
      </c>
      <c r="H34">
        <v>879.56703449999998</v>
      </c>
      <c r="I34">
        <v>-4.3476102095108198</v>
      </c>
      <c r="J34">
        <v>0.75132766209878421</v>
      </c>
      <c r="K34">
        <v>9.196247930844216E-2</v>
      </c>
      <c r="L34">
        <v>-8.5411628661098294E-3</v>
      </c>
      <c r="M34" t="s">
        <v>32</v>
      </c>
      <c r="N34">
        <v>8</v>
      </c>
      <c r="O34" t="s">
        <v>31</v>
      </c>
      <c r="P34">
        <v>34748</v>
      </c>
      <c r="Q34">
        <v>108.34</v>
      </c>
      <c r="R34">
        <v>873.51</v>
      </c>
      <c r="S34">
        <v>-0.43288763180259993</v>
      </c>
      <c r="T34">
        <v>1.5700454088868668E-2</v>
      </c>
      <c r="U34">
        <v>1.2206725808424241E-2</v>
      </c>
      <c r="V34">
        <v>3.5027050586651492E-3</v>
      </c>
      <c r="W34">
        <v>8.7040207497590897E-3</v>
      </c>
      <c r="X34" s="19">
        <f t="shared" si="0"/>
        <v>45995</v>
      </c>
      <c r="Y34" s="19">
        <f t="shared" si="1"/>
        <v>45995</v>
      </c>
      <c r="Z34">
        <f t="array" ref="Z34">_xlfn.XLOOKUP(INT(X34),INT($AE$2:$AE$1000),$AG$2:$AG$1000,"")</f>
        <v>15.78</v>
      </c>
      <c r="AE34" s="19">
        <f t="shared" si="2"/>
        <v>45916</v>
      </c>
      <c r="AF34" t="s">
        <v>80</v>
      </c>
      <c r="AG34">
        <v>16.36</v>
      </c>
    </row>
    <row r="35" spans="1:33" x14ac:dyDescent="0.3">
      <c r="A35">
        <v>2</v>
      </c>
      <c r="B35" t="s">
        <v>77</v>
      </c>
      <c r="C35" t="s">
        <v>29</v>
      </c>
      <c r="D35">
        <v>34911</v>
      </c>
      <c r="E35">
        <v>108.75</v>
      </c>
      <c r="F35">
        <v>876.11</v>
      </c>
      <c r="G35">
        <v>108.739125</v>
      </c>
      <c r="H35">
        <v>876.19761100000005</v>
      </c>
      <c r="I35">
        <v>3.6938441083687339</v>
      </c>
      <c r="J35">
        <v>0.75132766209878421</v>
      </c>
      <c r="K35">
        <v>-9.1954022988505746E-2</v>
      </c>
      <c r="L35">
        <v>8.5757229354622606E-3</v>
      </c>
      <c r="M35" t="s">
        <v>30</v>
      </c>
      <c r="N35">
        <v>51</v>
      </c>
      <c r="O35" t="s">
        <v>31</v>
      </c>
      <c r="P35">
        <v>34962</v>
      </c>
      <c r="Q35">
        <v>109.84</v>
      </c>
      <c r="R35">
        <v>877</v>
      </c>
      <c r="S35">
        <v>9.6414886190268223E-2</v>
      </c>
      <c r="T35">
        <v>-9.2597491644910282E-2</v>
      </c>
      <c r="U35">
        <v>-9.6110933196954809E-2</v>
      </c>
      <c r="V35">
        <v>3.502605589729989E-3</v>
      </c>
      <c r="W35">
        <v>-9.9613538786684802E-2</v>
      </c>
      <c r="X35" s="19">
        <f t="shared" si="0"/>
        <v>45995</v>
      </c>
      <c r="Y35" s="19">
        <f t="shared" si="1"/>
        <v>45995</v>
      </c>
      <c r="Z35">
        <f t="array" ref="Z35">_xlfn.XLOOKUP(INT(X35),INT($AE$2:$AE$1000),$AG$2:$AG$1000,"")</f>
        <v>15.78</v>
      </c>
      <c r="AE35" s="19">
        <f t="shared" si="2"/>
        <v>45917</v>
      </c>
      <c r="AF35" t="s">
        <v>81</v>
      </c>
      <c r="AG35">
        <v>15.72</v>
      </c>
    </row>
    <row r="36" spans="1:33" x14ac:dyDescent="0.3">
      <c r="A36">
        <v>2</v>
      </c>
      <c r="B36" t="s">
        <v>78</v>
      </c>
      <c r="C36" t="s">
        <v>34</v>
      </c>
      <c r="D36">
        <v>35099</v>
      </c>
      <c r="E36">
        <v>179.37</v>
      </c>
      <c r="F36">
        <v>89.49</v>
      </c>
      <c r="G36">
        <v>179.38793699999999</v>
      </c>
      <c r="H36">
        <v>89.481050999999994</v>
      </c>
      <c r="I36">
        <v>-3.5849633006762409</v>
      </c>
      <c r="J36">
        <v>0.92309383295926084</v>
      </c>
      <c r="K36">
        <v>5.5750682945866083E-2</v>
      </c>
      <c r="L36">
        <v>-0.10315050094527441</v>
      </c>
      <c r="M36" t="s">
        <v>32</v>
      </c>
      <c r="N36">
        <v>18</v>
      </c>
      <c r="O36" t="s">
        <v>31</v>
      </c>
      <c r="P36">
        <v>35117</v>
      </c>
      <c r="Q36">
        <v>179.17</v>
      </c>
      <c r="R36">
        <v>89.594999999999999</v>
      </c>
      <c r="S36">
        <v>-0.48575458697800789</v>
      </c>
      <c r="T36">
        <v>-2.1980939188428389E-2</v>
      </c>
      <c r="U36">
        <v>-2.5827094920948399E-2</v>
      </c>
      <c r="V36">
        <v>3.8462030471519298E-3</v>
      </c>
      <c r="W36">
        <v>-2.967329796810033E-2</v>
      </c>
      <c r="X36" s="19">
        <f t="shared" si="0"/>
        <v>45995</v>
      </c>
      <c r="Y36" s="19">
        <f t="shared" si="1"/>
        <v>45996</v>
      </c>
      <c r="Z36">
        <f t="array" ref="Z36">_xlfn.XLOOKUP(INT(X36),INT($AE$2:$AE$1000),$AG$2:$AG$1000,"")</f>
        <v>15.78</v>
      </c>
      <c r="AE36" s="19">
        <f t="shared" si="2"/>
        <v>45918</v>
      </c>
      <c r="AF36" t="s">
        <v>82</v>
      </c>
      <c r="AG36">
        <v>15.7</v>
      </c>
    </row>
    <row r="37" spans="1:33" x14ac:dyDescent="0.3">
      <c r="A37">
        <v>2</v>
      </c>
      <c r="B37" t="s">
        <v>77</v>
      </c>
      <c r="C37" t="s">
        <v>29</v>
      </c>
      <c r="D37">
        <v>35134</v>
      </c>
      <c r="E37">
        <v>110.185</v>
      </c>
      <c r="F37">
        <v>875.68</v>
      </c>
      <c r="G37">
        <v>110.1739815</v>
      </c>
      <c r="H37">
        <v>875.76756799999998</v>
      </c>
      <c r="I37">
        <v>3.512681560631814</v>
      </c>
      <c r="J37">
        <v>0.75132766209878421</v>
      </c>
      <c r="K37">
        <v>-9.0756455052865628E-2</v>
      </c>
      <c r="L37">
        <v>8.5799340181205944E-3</v>
      </c>
      <c r="M37" t="s">
        <v>30</v>
      </c>
      <c r="N37">
        <v>14</v>
      </c>
      <c r="O37" t="s">
        <v>31</v>
      </c>
      <c r="P37">
        <v>35148</v>
      </c>
      <c r="Q37">
        <v>110.13</v>
      </c>
      <c r="R37">
        <v>876.85</v>
      </c>
      <c r="S37">
        <v>-4.9898770449096222E-3</v>
      </c>
      <c r="T37">
        <v>1.503012782910995E-2</v>
      </c>
      <c r="U37">
        <v>1.152696781313404E-2</v>
      </c>
      <c r="V37">
        <v>3.5026055897299881E-3</v>
      </c>
      <c r="W37">
        <v>8.0243622234040541E-3</v>
      </c>
      <c r="X37" s="19">
        <f t="shared" si="0"/>
        <v>45996</v>
      </c>
      <c r="Y37" s="19">
        <f t="shared" si="1"/>
        <v>45996</v>
      </c>
      <c r="Z37">
        <f t="array" ref="Z37">_xlfn.XLOOKUP(INT(X37),INT($AE$2:$AE$1000),$AG$2:$AG$1000,"")</f>
        <v>15.41</v>
      </c>
      <c r="AE37" s="19">
        <f t="shared" si="2"/>
        <v>45919</v>
      </c>
      <c r="AF37" t="s">
        <v>83</v>
      </c>
      <c r="AG37">
        <v>15.45</v>
      </c>
    </row>
    <row r="38" spans="1:33" x14ac:dyDescent="0.3">
      <c r="A38">
        <v>2</v>
      </c>
      <c r="B38" t="s">
        <v>33</v>
      </c>
      <c r="C38" t="s">
        <v>34</v>
      </c>
      <c r="D38">
        <v>35304</v>
      </c>
      <c r="E38">
        <v>53.914999999999999</v>
      </c>
      <c r="F38">
        <v>90.32</v>
      </c>
      <c r="G38">
        <v>53.920391500000001</v>
      </c>
      <c r="H38">
        <v>90.310967999999988</v>
      </c>
      <c r="I38">
        <v>-3.5605367620328692</v>
      </c>
      <c r="J38">
        <v>0.73858207225207795</v>
      </c>
      <c r="K38">
        <v>0.18547713994250209</v>
      </c>
      <c r="L38">
        <v>-8.177392296856488E-2</v>
      </c>
      <c r="M38" t="s">
        <v>32</v>
      </c>
      <c r="N38">
        <v>6</v>
      </c>
      <c r="O38" t="s">
        <v>31</v>
      </c>
      <c r="P38">
        <v>35310</v>
      </c>
      <c r="Q38">
        <v>54.27</v>
      </c>
      <c r="R38">
        <v>90.385000000000005</v>
      </c>
      <c r="S38">
        <v>5.9936538940913317E-2</v>
      </c>
      <c r="T38">
        <v>6.0529079686631279E-2</v>
      </c>
      <c r="U38">
        <v>5.704479957315943E-2</v>
      </c>
      <c r="V38">
        <v>3.4772164280897052E-3</v>
      </c>
      <c r="W38">
        <v>5.3567583145069722E-2</v>
      </c>
      <c r="X38" s="19">
        <f t="shared" si="0"/>
        <v>45996</v>
      </c>
      <c r="Y38" s="19">
        <f t="shared" si="1"/>
        <v>45996</v>
      </c>
      <c r="Z38">
        <f t="array" ref="Z38">_xlfn.XLOOKUP(INT(X38),INT($AE$2:$AE$1000),$AG$2:$AG$1000,"")</f>
        <v>15.41</v>
      </c>
      <c r="AE38" s="19">
        <f t="shared" si="2"/>
        <v>45922</v>
      </c>
      <c r="AF38" t="s">
        <v>84</v>
      </c>
      <c r="AG38">
        <v>16.100000000000001</v>
      </c>
    </row>
    <row r="39" spans="1:33" x14ac:dyDescent="0.3">
      <c r="A39">
        <v>2</v>
      </c>
      <c r="B39" t="s">
        <v>78</v>
      </c>
      <c r="C39" t="s">
        <v>34</v>
      </c>
      <c r="D39">
        <v>35419</v>
      </c>
      <c r="E39">
        <v>180.74</v>
      </c>
      <c r="F39">
        <v>91.4</v>
      </c>
      <c r="G39">
        <v>180.75807399999999</v>
      </c>
      <c r="H39">
        <v>91.390860000000004</v>
      </c>
      <c r="I39">
        <v>-3.5942999519372099</v>
      </c>
      <c r="J39">
        <v>0.92309383295926084</v>
      </c>
      <c r="K39">
        <v>5.5328095606949207E-2</v>
      </c>
      <c r="L39">
        <v>-0.1009949489014508</v>
      </c>
      <c r="M39" t="s">
        <v>32</v>
      </c>
      <c r="N39">
        <v>3</v>
      </c>
      <c r="O39" t="s">
        <v>31</v>
      </c>
      <c r="P39">
        <v>35422</v>
      </c>
      <c r="Q39">
        <v>181.41499999999999</v>
      </c>
      <c r="R39">
        <v>91.52</v>
      </c>
      <c r="S39">
        <v>-0.2029423933377654</v>
      </c>
      <c r="T39">
        <v>2.5227070666516652E-2</v>
      </c>
      <c r="U39">
        <v>2.1375936414759308E-2</v>
      </c>
      <c r="V39">
        <v>3.8462030471519298E-3</v>
      </c>
      <c r="W39">
        <v>1.7529733367607381E-2</v>
      </c>
      <c r="X39" s="19">
        <f t="shared" si="0"/>
        <v>45996</v>
      </c>
      <c r="Y39" s="19">
        <f t="shared" si="1"/>
        <v>45996</v>
      </c>
      <c r="Z39">
        <f t="array" ref="Z39">_xlfn.XLOOKUP(INT(X39),INT($AE$2:$AE$1000),$AG$2:$AG$1000,"")</f>
        <v>15.41</v>
      </c>
      <c r="AE39" s="19">
        <f t="shared" si="2"/>
        <v>45923</v>
      </c>
      <c r="AF39" t="s">
        <v>85</v>
      </c>
      <c r="AG39">
        <v>16.64</v>
      </c>
    </row>
    <row r="40" spans="1:33" x14ac:dyDescent="0.3">
      <c r="A40">
        <v>2</v>
      </c>
      <c r="B40" t="s">
        <v>77</v>
      </c>
      <c r="C40" t="s">
        <v>29</v>
      </c>
      <c r="D40">
        <v>35618</v>
      </c>
      <c r="E40">
        <v>111.32</v>
      </c>
      <c r="F40">
        <v>910.59</v>
      </c>
      <c r="G40">
        <v>111.331132</v>
      </c>
      <c r="H40">
        <v>910.49894100000006</v>
      </c>
      <c r="I40">
        <v>-3.663874520139311</v>
      </c>
      <c r="J40">
        <v>0.75132766209878421</v>
      </c>
      <c r="K40">
        <v>8.9831117499101693E-2</v>
      </c>
      <c r="L40">
        <v>-8.25099838674688E-3</v>
      </c>
      <c r="M40" t="s">
        <v>32</v>
      </c>
      <c r="N40">
        <v>43</v>
      </c>
      <c r="O40" t="s">
        <v>31</v>
      </c>
      <c r="P40">
        <v>35661</v>
      </c>
      <c r="Q40">
        <v>111.57</v>
      </c>
      <c r="R40">
        <v>916.47</v>
      </c>
      <c r="S40">
        <v>-0.47184013832005428</v>
      </c>
      <c r="T40">
        <v>-2.6058091139296191E-2</v>
      </c>
      <c r="U40">
        <v>-2.956784382848221E-2</v>
      </c>
      <c r="V40">
        <v>3.5027050586651492E-3</v>
      </c>
      <c r="W40">
        <v>-3.3070548887147347E-2</v>
      </c>
      <c r="X40" s="19">
        <f t="shared" si="0"/>
        <v>45999</v>
      </c>
      <c r="Y40" s="19">
        <f t="shared" si="1"/>
        <v>45999</v>
      </c>
      <c r="Z40">
        <f t="array" ref="Z40">_xlfn.XLOOKUP(INT(X40),INT($AE$2:$AE$1000),$AG$2:$AG$1000,"")</f>
        <v>16.66</v>
      </c>
      <c r="AE40" s="19">
        <f t="shared" si="2"/>
        <v>45924</v>
      </c>
      <c r="AF40" t="s">
        <v>86</v>
      </c>
      <c r="AG40">
        <v>16.18</v>
      </c>
    </row>
    <row r="41" spans="1:33" x14ac:dyDescent="0.3">
      <c r="A41">
        <v>3</v>
      </c>
      <c r="B41" t="s">
        <v>29</v>
      </c>
      <c r="C41" t="s">
        <v>35</v>
      </c>
      <c r="D41">
        <v>35731</v>
      </c>
      <c r="E41">
        <v>908.86</v>
      </c>
      <c r="F41">
        <v>49.83</v>
      </c>
      <c r="G41">
        <v>908.95088599999997</v>
      </c>
      <c r="H41">
        <v>49.825017000000003</v>
      </c>
      <c r="I41">
        <v>-3.6441848148041709</v>
      </c>
      <c r="J41">
        <v>1.0056626233731401</v>
      </c>
      <c r="K41">
        <v>1.10027947098563E-2</v>
      </c>
      <c r="L41">
        <v>-0.20181870828278961</v>
      </c>
      <c r="M41" t="s">
        <v>32</v>
      </c>
      <c r="N41">
        <v>11</v>
      </c>
      <c r="O41" t="s">
        <v>31</v>
      </c>
      <c r="P41">
        <v>35742</v>
      </c>
      <c r="Q41">
        <v>908.79</v>
      </c>
      <c r="R41">
        <v>49.67</v>
      </c>
      <c r="S41">
        <v>-9.3667049593776322E-2</v>
      </c>
      <c r="T41">
        <v>3.1520797695555151E-2</v>
      </c>
      <c r="U41">
        <v>2.7512778567704461E-2</v>
      </c>
      <c r="V41">
        <v>4.0113241142216054E-3</v>
      </c>
      <c r="W41">
        <v>2.350145445348286E-2</v>
      </c>
      <c r="X41" s="19">
        <f t="shared" si="0"/>
        <v>45999</v>
      </c>
      <c r="Y41" s="19">
        <f t="shared" si="1"/>
        <v>45999</v>
      </c>
      <c r="Z41">
        <f t="array" ref="Z41">_xlfn.XLOOKUP(INT(X41),INT($AE$2:$AE$1000),$AG$2:$AG$1000,"")</f>
        <v>16.66</v>
      </c>
      <c r="AE41" s="19">
        <f t="shared" si="2"/>
        <v>45925</v>
      </c>
      <c r="AF41" t="s">
        <v>87</v>
      </c>
      <c r="AG41">
        <v>16.739999999999998</v>
      </c>
    </row>
    <row r="42" spans="1:33" x14ac:dyDescent="0.3">
      <c r="A42">
        <v>3</v>
      </c>
      <c r="B42" t="s">
        <v>33</v>
      </c>
      <c r="C42" t="s">
        <v>34</v>
      </c>
      <c r="D42">
        <v>36509</v>
      </c>
      <c r="E42">
        <v>54.965000000000003</v>
      </c>
      <c r="F42">
        <v>93.105000000000004</v>
      </c>
      <c r="G42">
        <v>54.970496500000003</v>
      </c>
      <c r="H42">
        <v>93.095689500000006</v>
      </c>
      <c r="I42">
        <v>-4.8712868232379254</v>
      </c>
      <c r="J42">
        <v>0.67544694522736837</v>
      </c>
      <c r="K42">
        <v>0.18193395797325571</v>
      </c>
      <c r="L42">
        <v>-7.2546796114856163E-2</v>
      </c>
      <c r="M42" t="s">
        <v>32</v>
      </c>
      <c r="N42">
        <v>7</v>
      </c>
      <c r="O42" t="s">
        <v>31</v>
      </c>
      <c r="P42">
        <v>36516</v>
      </c>
      <c r="Q42">
        <v>55.35</v>
      </c>
      <c r="R42">
        <v>93.03</v>
      </c>
      <c r="S42">
        <v>-0.41313051329431483</v>
      </c>
      <c r="T42">
        <v>7.5485583528317496E-2</v>
      </c>
      <c r="U42">
        <v>7.212822928145135E-2</v>
      </c>
      <c r="V42">
        <v>3.350958801065691E-3</v>
      </c>
      <c r="W42">
        <v>6.8777270480385663E-2</v>
      </c>
      <c r="X42" s="19">
        <f t="shared" si="0"/>
        <v>46001</v>
      </c>
      <c r="Y42" s="19">
        <f t="shared" si="1"/>
        <v>46001</v>
      </c>
      <c r="Z42">
        <f t="array" ref="Z42">_xlfn.XLOOKUP(INT(X42),INT($AE$2:$AE$1000),$AG$2:$AG$1000,"")</f>
        <v>15.77</v>
      </c>
      <c r="AE42" s="19">
        <f t="shared" si="2"/>
        <v>45926</v>
      </c>
      <c r="AF42" t="s">
        <v>88</v>
      </c>
      <c r="AG42">
        <v>15.29</v>
      </c>
    </row>
    <row r="43" spans="1:33" x14ac:dyDescent="0.3">
      <c r="A43">
        <v>3</v>
      </c>
      <c r="B43" t="s">
        <v>29</v>
      </c>
      <c r="C43" t="s">
        <v>35</v>
      </c>
      <c r="D43">
        <v>36843</v>
      </c>
      <c r="E43">
        <v>880.93</v>
      </c>
      <c r="F43">
        <v>49.674999999999997</v>
      </c>
      <c r="G43">
        <v>881.01809299999991</v>
      </c>
      <c r="H43">
        <v>49.670032499999998</v>
      </c>
      <c r="I43">
        <v>-4.5580957718656521</v>
      </c>
      <c r="J43">
        <v>1.0056626233731401</v>
      </c>
      <c r="K43">
        <v>1.1351639744361069E-2</v>
      </c>
      <c r="L43">
        <v>-0.2024484395315834</v>
      </c>
      <c r="M43" t="s">
        <v>32</v>
      </c>
      <c r="N43">
        <v>10</v>
      </c>
      <c r="O43" t="s">
        <v>31</v>
      </c>
      <c r="P43">
        <v>36853</v>
      </c>
      <c r="Q43">
        <v>882.23</v>
      </c>
      <c r="R43">
        <v>49.494999999999997</v>
      </c>
      <c r="S43">
        <v>-0.193447105339357</v>
      </c>
      <c r="T43">
        <v>5.119785078335512E-2</v>
      </c>
      <c r="U43">
        <v>4.7188693895354142E-2</v>
      </c>
      <c r="V43">
        <v>4.0113241142216054E-3</v>
      </c>
      <c r="W43">
        <v>4.3177369781132527E-2</v>
      </c>
      <c r="X43" s="19">
        <f t="shared" si="0"/>
        <v>46002</v>
      </c>
      <c r="Y43" s="19">
        <f t="shared" si="1"/>
        <v>46002</v>
      </c>
      <c r="Z43">
        <f t="array" ref="Z43">_xlfn.XLOOKUP(INT(X43),INT($AE$2:$AE$1000),$AG$2:$AG$1000,"")</f>
        <v>14.85</v>
      </c>
      <c r="AE43" s="19">
        <f t="shared" si="2"/>
        <v>45929</v>
      </c>
      <c r="AF43" t="s">
        <v>89</v>
      </c>
      <c r="AG43">
        <v>16.12</v>
      </c>
    </row>
    <row r="44" spans="1:33" x14ac:dyDescent="0.3">
      <c r="A44">
        <v>3</v>
      </c>
      <c r="B44" t="s">
        <v>29</v>
      </c>
      <c r="C44" t="s">
        <v>35</v>
      </c>
      <c r="D44">
        <v>37260</v>
      </c>
      <c r="E44">
        <v>870.79</v>
      </c>
      <c r="F44">
        <v>50.055</v>
      </c>
      <c r="G44">
        <v>870.70292099999995</v>
      </c>
      <c r="H44">
        <v>50.060005500000003</v>
      </c>
      <c r="I44">
        <v>3.5231039080407238</v>
      </c>
      <c r="J44">
        <v>1.0056626233731401</v>
      </c>
      <c r="K44">
        <v>-1.1483825032441809E-2</v>
      </c>
      <c r="L44">
        <v>0.20091152200042761</v>
      </c>
      <c r="M44" t="s">
        <v>30</v>
      </c>
      <c r="N44">
        <v>19</v>
      </c>
      <c r="O44" t="s">
        <v>31</v>
      </c>
      <c r="P44">
        <v>37279</v>
      </c>
      <c r="Q44">
        <v>872.05</v>
      </c>
      <c r="R44">
        <v>50.21</v>
      </c>
      <c r="S44">
        <v>9.5208526763866967E-4</v>
      </c>
      <c r="T44">
        <v>1.6671666369189941E-2</v>
      </c>
      <c r="U44">
        <v>1.265578003189748E-2</v>
      </c>
      <c r="V44">
        <v>4.0113263792709557E-3</v>
      </c>
      <c r="W44">
        <v>8.6444536526265204E-3</v>
      </c>
      <c r="X44" s="19">
        <f t="shared" si="0"/>
        <v>46003</v>
      </c>
      <c r="Y44" s="19">
        <f t="shared" si="1"/>
        <v>46003</v>
      </c>
      <c r="Z44">
        <f t="array" ref="Z44">_xlfn.XLOOKUP(INT(X44),INT($AE$2:$AE$1000),$AG$2:$AG$1000,"")</f>
        <v>15.74</v>
      </c>
      <c r="AE44" s="19">
        <f t="shared" si="2"/>
        <v>45930</v>
      </c>
      <c r="AF44" t="s">
        <v>90</v>
      </c>
      <c r="AG44">
        <v>16.28</v>
      </c>
    </row>
    <row r="45" spans="1:33" x14ac:dyDescent="0.3">
      <c r="A45">
        <v>3</v>
      </c>
      <c r="B45" t="s">
        <v>29</v>
      </c>
      <c r="C45" t="s">
        <v>35</v>
      </c>
      <c r="D45">
        <v>37289</v>
      </c>
      <c r="E45">
        <v>884.51</v>
      </c>
      <c r="F45">
        <v>50.244999999999997</v>
      </c>
      <c r="G45">
        <v>884.42154900000003</v>
      </c>
      <c r="H45">
        <v>50.250024499999988</v>
      </c>
      <c r="I45">
        <v>5.1381237130141946</v>
      </c>
      <c r="J45">
        <v>1.0056626233731401</v>
      </c>
      <c r="K45">
        <v>-1.1305694678409511E-2</v>
      </c>
      <c r="L45">
        <v>0.200151780947983</v>
      </c>
      <c r="M45" t="s">
        <v>30</v>
      </c>
      <c r="N45">
        <v>26</v>
      </c>
      <c r="O45" t="s">
        <v>31</v>
      </c>
      <c r="P45">
        <v>37315</v>
      </c>
      <c r="Q45">
        <v>885.7</v>
      </c>
      <c r="R45">
        <v>50.145000000000003</v>
      </c>
      <c r="S45">
        <v>0.44876964063955621</v>
      </c>
      <c r="T45">
        <v>-3.3468954762105103E-2</v>
      </c>
      <c r="U45">
        <v>-3.7479623868708067E-2</v>
      </c>
      <c r="V45">
        <v>4.0113263792709549E-3</v>
      </c>
      <c r="W45">
        <v>-4.1490950247979018E-2</v>
      </c>
      <c r="X45" s="19">
        <f t="shared" si="0"/>
        <v>46003</v>
      </c>
      <c r="Y45" s="19">
        <f t="shared" si="1"/>
        <v>46003</v>
      </c>
      <c r="Z45">
        <f t="array" ref="Z45">_xlfn.XLOOKUP(INT(X45),INT($AE$2:$AE$1000),$AG$2:$AG$1000,"")</f>
        <v>15.74</v>
      </c>
      <c r="AE45" s="19">
        <f t="shared" si="2"/>
        <v>45931</v>
      </c>
      <c r="AF45" s="19">
        <v>45667</v>
      </c>
      <c r="AG45">
        <v>16.29</v>
      </c>
    </row>
    <row r="46" spans="1:33" x14ac:dyDescent="0.3">
      <c r="A46">
        <v>3</v>
      </c>
      <c r="B46" t="s">
        <v>29</v>
      </c>
      <c r="C46" t="s">
        <v>35</v>
      </c>
      <c r="D46">
        <v>37679</v>
      </c>
      <c r="E46">
        <v>883.68</v>
      </c>
      <c r="F46">
        <v>50</v>
      </c>
      <c r="G46">
        <v>883.591632</v>
      </c>
      <c r="H46">
        <v>50.005000000000003</v>
      </c>
      <c r="I46">
        <v>4.5849354878037376</v>
      </c>
      <c r="J46">
        <v>1.0056626233731401</v>
      </c>
      <c r="K46">
        <v>-1.1316313597682421E-2</v>
      </c>
      <c r="L46">
        <v>0.20113252467462811</v>
      </c>
      <c r="M46" t="s">
        <v>30</v>
      </c>
      <c r="N46">
        <v>36</v>
      </c>
      <c r="O46" t="s">
        <v>31</v>
      </c>
      <c r="P46">
        <v>37715</v>
      </c>
      <c r="Q46">
        <v>891.16</v>
      </c>
      <c r="R46">
        <v>50.11</v>
      </c>
      <c r="S46">
        <v>0.39585256623021481</v>
      </c>
      <c r="T46">
        <v>-6.2521447996455717E-2</v>
      </c>
      <c r="U46">
        <v>-6.65434503035435E-2</v>
      </c>
      <c r="V46">
        <v>4.0113263792709566E-3</v>
      </c>
      <c r="W46">
        <v>-7.0554776682814457E-2</v>
      </c>
      <c r="X46" s="19">
        <f t="shared" si="0"/>
        <v>46006</v>
      </c>
      <c r="Y46" s="19">
        <f t="shared" si="1"/>
        <v>46006</v>
      </c>
      <c r="Z46">
        <f t="array" ref="Z46">_xlfn.XLOOKUP(INT(X46),INT($AE$2:$AE$1000),$AG$2:$AG$1000,"")</f>
        <v>16.5</v>
      </c>
      <c r="AE46" s="19">
        <f t="shared" si="2"/>
        <v>45932</v>
      </c>
      <c r="AF46" s="19">
        <v>45698</v>
      </c>
      <c r="AG46">
        <v>16.63</v>
      </c>
    </row>
    <row r="47" spans="1:33" x14ac:dyDescent="0.3">
      <c r="A47">
        <v>3</v>
      </c>
      <c r="B47" t="s">
        <v>29</v>
      </c>
      <c r="C47" t="s">
        <v>35</v>
      </c>
      <c r="D47">
        <v>38059</v>
      </c>
      <c r="E47">
        <v>893.32</v>
      </c>
      <c r="F47">
        <v>50.024999999999999</v>
      </c>
      <c r="G47">
        <v>893.40933200000006</v>
      </c>
      <c r="H47">
        <v>50.019997500000002</v>
      </c>
      <c r="I47">
        <v>-3.656172644862294</v>
      </c>
      <c r="J47">
        <v>1.0056626233731401</v>
      </c>
      <c r="K47">
        <v>1.1194196928312359E-2</v>
      </c>
      <c r="L47">
        <v>-0.20103200867029289</v>
      </c>
      <c r="M47" t="s">
        <v>32</v>
      </c>
      <c r="N47">
        <v>10</v>
      </c>
      <c r="O47" t="s">
        <v>31</v>
      </c>
      <c r="P47">
        <v>38069</v>
      </c>
      <c r="Q47">
        <v>899.46</v>
      </c>
      <c r="R47">
        <v>50.215000000000003</v>
      </c>
      <c r="S47">
        <v>0.1558203160171639</v>
      </c>
      <c r="T47">
        <v>3.0536287492481121E-2</v>
      </c>
      <c r="U47">
        <v>2.6514269400657792E-2</v>
      </c>
      <c r="V47">
        <v>4.0113241142216071E-3</v>
      </c>
      <c r="W47">
        <v>2.250294528643618E-2</v>
      </c>
      <c r="X47" s="19">
        <f t="shared" si="0"/>
        <v>46007</v>
      </c>
      <c r="Y47" s="19">
        <f t="shared" si="1"/>
        <v>46007</v>
      </c>
      <c r="Z47">
        <f t="array" ref="Z47">_xlfn.XLOOKUP(INT(X47),INT($AE$2:$AE$1000),$AG$2:$AG$1000,"")</f>
        <v>16.48</v>
      </c>
      <c r="AE47" s="19">
        <f t="shared" si="2"/>
        <v>45933</v>
      </c>
      <c r="AF47" s="19">
        <v>45726</v>
      </c>
      <c r="AG47">
        <v>16.649999999999999</v>
      </c>
    </row>
    <row r="48" spans="1:33" x14ac:dyDescent="0.3">
      <c r="A48">
        <v>3</v>
      </c>
      <c r="B48" t="s">
        <v>33</v>
      </c>
      <c r="C48" t="s">
        <v>34</v>
      </c>
      <c r="D48">
        <v>38190</v>
      </c>
      <c r="E48">
        <v>55.87</v>
      </c>
      <c r="F48">
        <v>94.01</v>
      </c>
      <c r="G48">
        <v>55.864412999999999</v>
      </c>
      <c r="H48">
        <v>94.019401000000002</v>
      </c>
      <c r="I48">
        <v>3.6342178099281259</v>
      </c>
      <c r="J48">
        <v>0.67544694522736837</v>
      </c>
      <c r="K48">
        <v>-0.1789869339538214</v>
      </c>
      <c r="L48">
        <v>7.1848414554554652E-2</v>
      </c>
      <c r="M48" t="s">
        <v>30</v>
      </c>
      <c r="N48">
        <v>16</v>
      </c>
      <c r="O48" t="s">
        <v>31</v>
      </c>
      <c r="P48">
        <v>38206</v>
      </c>
      <c r="Q48">
        <v>55.914999999999999</v>
      </c>
      <c r="R48">
        <v>94.114999999999995</v>
      </c>
      <c r="S48">
        <v>0.4871990736000601</v>
      </c>
      <c r="T48">
        <v>-5.1032849969476386E-4</v>
      </c>
      <c r="U48">
        <v>-3.8627822397047621E-3</v>
      </c>
      <c r="V48">
        <v>3.3508289798437822E-3</v>
      </c>
      <c r="W48">
        <v>-7.2136112195485443E-3</v>
      </c>
      <c r="X48" s="19">
        <f t="shared" si="0"/>
        <v>46007</v>
      </c>
      <c r="Y48" s="19">
        <f t="shared" si="1"/>
        <v>46007</v>
      </c>
      <c r="Z48">
        <f t="array" ref="Z48">_xlfn.XLOOKUP(INT(X48),INT($AE$2:$AE$1000),$AG$2:$AG$1000,"")</f>
        <v>16.48</v>
      </c>
      <c r="AE48" s="19">
        <f t="shared" si="2"/>
        <v>45936</v>
      </c>
      <c r="AF48" s="19">
        <v>45818</v>
      </c>
      <c r="AG48">
        <v>16.37</v>
      </c>
    </row>
    <row r="49" spans="1:33" x14ac:dyDescent="0.3">
      <c r="A49">
        <v>3</v>
      </c>
      <c r="B49" t="s">
        <v>33</v>
      </c>
      <c r="C49" t="s">
        <v>34</v>
      </c>
      <c r="D49">
        <v>38306</v>
      </c>
      <c r="E49">
        <v>55.98</v>
      </c>
      <c r="F49">
        <v>93.99</v>
      </c>
      <c r="G49">
        <v>55.985598000000003</v>
      </c>
      <c r="H49">
        <v>93.980600999999993</v>
      </c>
      <c r="I49">
        <v>-4.0638487169769828</v>
      </c>
      <c r="J49">
        <v>0.67544694522736837</v>
      </c>
      <c r="K49">
        <v>0.17863522686673811</v>
      </c>
      <c r="L49">
        <v>-7.1863703077707036E-2</v>
      </c>
      <c r="M49" t="s">
        <v>32</v>
      </c>
      <c r="N49">
        <v>27</v>
      </c>
      <c r="O49" t="s">
        <v>31</v>
      </c>
      <c r="P49">
        <v>38333</v>
      </c>
      <c r="Q49">
        <v>55.954999999999998</v>
      </c>
      <c r="R49">
        <v>93.96</v>
      </c>
      <c r="S49">
        <v>1.747268571627382E-2</v>
      </c>
      <c r="T49">
        <v>-2.3099695793369068E-3</v>
      </c>
      <c r="U49">
        <v>-5.6602012906145829E-3</v>
      </c>
      <c r="V49">
        <v>3.350958801065691E-3</v>
      </c>
      <c r="W49">
        <v>-9.0111600916802752E-3</v>
      </c>
      <c r="X49" s="19">
        <f t="shared" si="0"/>
        <v>46008</v>
      </c>
      <c r="Y49" s="19">
        <f t="shared" si="1"/>
        <v>46008</v>
      </c>
      <c r="Z49">
        <f t="array" ref="Z49">_xlfn.XLOOKUP(INT(X49),INT($AE$2:$AE$1000),$AG$2:$AG$1000,"")</f>
        <v>17.62</v>
      </c>
      <c r="AE49" s="19">
        <f t="shared" si="2"/>
        <v>45937</v>
      </c>
      <c r="AF49" s="19">
        <v>45848</v>
      </c>
      <c r="AG49">
        <v>17.239999999999998</v>
      </c>
    </row>
    <row r="50" spans="1:33" x14ac:dyDescent="0.3">
      <c r="A50">
        <v>3</v>
      </c>
      <c r="B50" t="s">
        <v>29</v>
      </c>
      <c r="C50" t="s">
        <v>35</v>
      </c>
      <c r="D50">
        <v>38463</v>
      </c>
      <c r="E50">
        <v>894.82500000000005</v>
      </c>
      <c r="F50">
        <v>50.664999999999999</v>
      </c>
      <c r="G50">
        <v>894.91448250000008</v>
      </c>
      <c r="H50">
        <v>50.659933500000001</v>
      </c>
      <c r="I50">
        <v>-3.9756673822213111</v>
      </c>
      <c r="J50">
        <v>1.0056626233731401</v>
      </c>
      <c r="K50">
        <v>1.1175369485653621E-2</v>
      </c>
      <c r="L50">
        <v>-0.19849257344777271</v>
      </c>
      <c r="M50" t="s">
        <v>32</v>
      </c>
      <c r="N50">
        <v>24</v>
      </c>
      <c r="O50" t="s">
        <v>31</v>
      </c>
      <c r="P50">
        <v>38487</v>
      </c>
      <c r="Q50">
        <v>897.08</v>
      </c>
      <c r="R50">
        <v>50.72</v>
      </c>
      <c r="S50">
        <v>-0.40826683467968072</v>
      </c>
      <c r="T50">
        <v>1.428336665052142E-2</v>
      </c>
      <c r="U50">
        <v>1.0268429648802809E-2</v>
      </c>
      <c r="V50">
        <v>4.0113241142216063E-3</v>
      </c>
      <c r="W50">
        <v>6.2571055345812029E-3</v>
      </c>
      <c r="X50" s="19">
        <f t="shared" si="0"/>
        <v>46008</v>
      </c>
      <c r="Y50" s="19">
        <f t="shared" si="1"/>
        <v>46008</v>
      </c>
      <c r="Z50">
        <f t="array" ref="Z50">_xlfn.XLOOKUP(INT(X50),INT($AE$2:$AE$1000),$AG$2:$AG$1000,"")</f>
        <v>17.62</v>
      </c>
      <c r="AE50" s="19">
        <f t="shared" si="2"/>
        <v>45938</v>
      </c>
      <c r="AF50" s="19">
        <v>45879</v>
      </c>
      <c r="AG50">
        <v>16.3</v>
      </c>
    </row>
    <row r="51" spans="1:33" x14ac:dyDescent="0.3">
      <c r="A51">
        <v>3</v>
      </c>
      <c r="B51" t="s">
        <v>33</v>
      </c>
      <c r="C51" t="s">
        <v>34</v>
      </c>
      <c r="D51">
        <v>38659</v>
      </c>
      <c r="E51">
        <v>55.95</v>
      </c>
      <c r="F51">
        <v>94.22</v>
      </c>
      <c r="G51">
        <v>55.955595000000002</v>
      </c>
      <c r="H51">
        <v>94.210577999999998</v>
      </c>
      <c r="I51">
        <v>-3.6283825468592101</v>
      </c>
      <c r="J51">
        <v>0.67544694522736837</v>
      </c>
      <c r="K51">
        <v>0.17873100983020551</v>
      </c>
      <c r="L51">
        <v>-7.1688276929247327E-2</v>
      </c>
      <c r="M51" t="s">
        <v>32</v>
      </c>
      <c r="N51">
        <v>15</v>
      </c>
      <c r="O51" t="s">
        <v>31</v>
      </c>
      <c r="P51">
        <v>38674</v>
      </c>
      <c r="Q51">
        <v>56.024999999999999</v>
      </c>
      <c r="R51">
        <v>94.29</v>
      </c>
      <c r="S51">
        <v>0.17646003124991719</v>
      </c>
      <c r="T51">
        <v>8.3866463522168123E-3</v>
      </c>
      <c r="U51">
        <v>5.0339101612497167E-3</v>
      </c>
      <c r="V51">
        <v>3.350958801065691E-3</v>
      </c>
      <c r="W51">
        <v>1.682951360184025E-3</v>
      </c>
      <c r="X51" s="19">
        <f t="shared" si="0"/>
        <v>46009</v>
      </c>
      <c r="Y51" s="19">
        <f t="shared" si="1"/>
        <v>46009</v>
      </c>
      <c r="Z51">
        <f t="array" ref="Z51">_xlfn.XLOOKUP(INT(X51),INT($AE$2:$AE$1000),$AG$2:$AG$1000,"")</f>
        <v>16.87</v>
      </c>
      <c r="AE51" s="19">
        <f t="shared" si="2"/>
        <v>45939</v>
      </c>
      <c r="AF51" s="19">
        <v>45910</v>
      </c>
      <c r="AG51">
        <v>16.43</v>
      </c>
    </row>
    <row r="52" spans="1:33" x14ac:dyDescent="0.3">
      <c r="A52">
        <v>3</v>
      </c>
      <c r="B52" t="s">
        <v>33</v>
      </c>
      <c r="C52" t="s">
        <v>34</v>
      </c>
      <c r="D52">
        <v>39059</v>
      </c>
      <c r="E52">
        <v>56.42</v>
      </c>
      <c r="F52">
        <v>95.27</v>
      </c>
      <c r="G52">
        <v>56.414358</v>
      </c>
      <c r="H52">
        <v>95.279527000000002</v>
      </c>
      <c r="I52">
        <v>3.7111055443046821</v>
      </c>
      <c r="J52">
        <v>0.67544694522736837</v>
      </c>
      <c r="K52">
        <v>-0.1772421127259837</v>
      </c>
      <c r="L52">
        <v>7.0898178359123376E-2</v>
      </c>
      <c r="M52" t="s">
        <v>30</v>
      </c>
      <c r="N52">
        <v>9</v>
      </c>
      <c r="O52" t="s">
        <v>31</v>
      </c>
      <c r="P52">
        <v>39068</v>
      </c>
      <c r="Q52">
        <v>56.34</v>
      </c>
      <c r="R52">
        <v>95.295000000000002</v>
      </c>
      <c r="S52">
        <v>0.16521923481350759</v>
      </c>
      <c r="T52">
        <v>1.5951823477056881E-2</v>
      </c>
      <c r="U52">
        <v>1.26021702780573E-2</v>
      </c>
      <c r="V52">
        <v>3.3508289798437822E-3</v>
      </c>
      <c r="W52">
        <v>9.2513412982135178E-3</v>
      </c>
      <c r="X52" s="19">
        <f t="shared" si="0"/>
        <v>46010</v>
      </c>
      <c r="Y52" s="19">
        <f t="shared" si="1"/>
        <v>46010</v>
      </c>
      <c r="Z52">
        <f t="array" ref="Z52">_xlfn.XLOOKUP(INT(X52),INT($AE$2:$AE$1000),$AG$2:$AG$1000,"")</f>
        <v>14.91</v>
      </c>
      <c r="AE52" s="19">
        <f t="shared" si="2"/>
        <v>45940</v>
      </c>
      <c r="AF52" s="19">
        <v>45940</v>
      </c>
      <c r="AG52">
        <v>21.66</v>
      </c>
    </row>
    <row r="53" spans="1:33" x14ac:dyDescent="0.3">
      <c r="A53">
        <v>3</v>
      </c>
      <c r="B53" t="s">
        <v>29</v>
      </c>
      <c r="C53" t="s">
        <v>35</v>
      </c>
      <c r="D53">
        <v>39214</v>
      </c>
      <c r="E53">
        <v>907.96</v>
      </c>
      <c r="F53">
        <v>50.414999999999999</v>
      </c>
      <c r="G53">
        <v>907.86920400000008</v>
      </c>
      <c r="H53">
        <v>50.420041500000004</v>
      </c>
      <c r="I53">
        <v>3.732813865498787</v>
      </c>
      <c r="J53">
        <v>1.0056626233731401</v>
      </c>
      <c r="K53">
        <v>-1.1013701044098861E-2</v>
      </c>
      <c r="L53">
        <v>0.19947686668117429</v>
      </c>
      <c r="M53" t="s">
        <v>30</v>
      </c>
      <c r="N53">
        <v>12</v>
      </c>
      <c r="O53" t="s">
        <v>31</v>
      </c>
      <c r="P53">
        <v>39226</v>
      </c>
      <c r="Q53">
        <v>907.33</v>
      </c>
      <c r="R53">
        <v>50.435000000000002</v>
      </c>
      <c r="S53">
        <v>-8.3456283806915041E-2</v>
      </c>
      <c r="T53">
        <v>1.0928168991406339E-2</v>
      </c>
      <c r="U53">
        <v>6.9171386540936566E-3</v>
      </c>
      <c r="V53">
        <v>4.0113263792709566E-3</v>
      </c>
      <c r="W53">
        <v>2.9058122748227009E-3</v>
      </c>
      <c r="X53" s="19">
        <f t="shared" si="0"/>
        <v>46010</v>
      </c>
      <c r="Y53" s="19">
        <f t="shared" si="1"/>
        <v>46010</v>
      </c>
      <c r="Z53">
        <f t="array" ref="Z53">_xlfn.XLOOKUP(INT(X53),INT($AE$2:$AE$1000),$AG$2:$AG$1000,"")</f>
        <v>14.91</v>
      </c>
      <c r="AE53" s="19">
        <f t="shared" si="2"/>
        <v>45943</v>
      </c>
      <c r="AF53" t="s">
        <v>91</v>
      </c>
      <c r="AG53">
        <v>19.03</v>
      </c>
    </row>
    <row r="54" spans="1:33" x14ac:dyDescent="0.3">
      <c r="A54">
        <v>3</v>
      </c>
      <c r="B54" t="s">
        <v>29</v>
      </c>
      <c r="C54" t="s">
        <v>35</v>
      </c>
      <c r="D54">
        <v>39278</v>
      </c>
      <c r="E54">
        <v>907.55</v>
      </c>
      <c r="F54">
        <v>50.43</v>
      </c>
      <c r="G54">
        <v>907.45924500000001</v>
      </c>
      <c r="H54">
        <v>50.435043</v>
      </c>
      <c r="I54">
        <v>4.0552673848993219</v>
      </c>
      <c r="J54">
        <v>1.0056626233731401</v>
      </c>
      <c r="K54">
        <v>-1.10186766569335E-2</v>
      </c>
      <c r="L54">
        <v>0.1994175338832323</v>
      </c>
      <c r="M54" t="s">
        <v>30</v>
      </c>
      <c r="N54">
        <v>18</v>
      </c>
      <c r="O54" t="s">
        <v>31</v>
      </c>
      <c r="P54">
        <v>39296</v>
      </c>
      <c r="Q54">
        <v>906.87</v>
      </c>
      <c r="R54">
        <v>50.454999999999998</v>
      </c>
      <c r="S54">
        <v>-0.18415413824764529</v>
      </c>
      <c r="T54">
        <v>1.247813847379475E-2</v>
      </c>
      <c r="U54">
        <v>8.4670639532266299E-3</v>
      </c>
      <c r="V54">
        <v>4.0113263792709557E-3</v>
      </c>
      <c r="W54">
        <v>4.4557375739556742E-3</v>
      </c>
      <c r="X54" s="19">
        <f t="shared" si="0"/>
        <v>46010</v>
      </c>
      <c r="Y54" s="19">
        <f t="shared" si="1"/>
        <v>46010</v>
      </c>
      <c r="Z54">
        <f t="array" ref="Z54">_xlfn.XLOOKUP(INT(X54),INT($AE$2:$AE$1000),$AG$2:$AG$1000,"")</f>
        <v>14.91</v>
      </c>
      <c r="AE54" s="19">
        <f t="shared" si="2"/>
        <v>45944</v>
      </c>
      <c r="AF54" t="s">
        <v>92</v>
      </c>
      <c r="AG54">
        <v>20.81</v>
      </c>
    </row>
    <row r="55" spans="1:33" x14ac:dyDescent="0.3">
      <c r="A55">
        <v>3</v>
      </c>
      <c r="B55" t="s">
        <v>33</v>
      </c>
      <c r="C55" t="s">
        <v>34</v>
      </c>
      <c r="D55">
        <v>39449</v>
      </c>
      <c r="E55">
        <v>56.094999999999999</v>
      </c>
      <c r="F55">
        <v>95.37</v>
      </c>
      <c r="G55">
        <v>56.100609499999997</v>
      </c>
      <c r="H55">
        <v>95.36046300000001</v>
      </c>
      <c r="I55">
        <v>-3.6509998603878122</v>
      </c>
      <c r="J55">
        <v>0.67544694522736837</v>
      </c>
      <c r="K55">
        <v>0.17826900793297079</v>
      </c>
      <c r="L55">
        <v>-7.0823838232921085E-2</v>
      </c>
      <c r="M55" t="s">
        <v>32</v>
      </c>
      <c r="N55">
        <v>23</v>
      </c>
      <c r="O55" t="s">
        <v>31</v>
      </c>
      <c r="P55">
        <v>39472</v>
      </c>
      <c r="Q55">
        <v>55.91</v>
      </c>
      <c r="R55">
        <v>94.92</v>
      </c>
      <c r="S55">
        <v>-0.4882463594947018</v>
      </c>
      <c r="T55">
        <v>-1.109039262785327E-3</v>
      </c>
      <c r="U55">
        <v>-4.4534481038722316E-3</v>
      </c>
      <c r="V55">
        <v>3.350958801065691E-3</v>
      </c>
      <c r="W55">
        <v>-7.8044069049379239E-3</v>
      </c>
      <c r="X55" s="19">
        <f t="shared" si="0"/>
        <v>46013</v>
      </c>
      <c r="Y55" s="19">
        <f t="shared" si="1"/>
        <v>46013</v>
      </c>
      <c r="Z55">
        <f t="array" ref="Z55">_xlfn.XLOOKUP(INT(X55),INT($AE$2:$AE$1000),$AG$2:$AG$1000,"")</f>
        <v>14.08</v>
      </c>
      <c r="AE55" s="19">
        <f t="shared" si="2"/>
        <v>45945</v>
      </c>
      <c r="AF55" t="s">
        <v>93</v>
      </c>
      <c r="AG55">
        <v>20.64</v>
      </c>
    </row>
    <row r="56" spans="1:33" x14ac:dyDescent="0.3">
      <c r="A56">
        <v>4</v>
      </c>
      <c r="B56" t="s">
        <v>29</v>
      </c>
      <c r="C56" t="s">
        <v>35</v>
      </c>
      <c r="D56">
        <v>39647</v>
      </c>
      <c r="E56">
        <v>895.29</v>
      </c>
      <c r="F56">
        <v>50</v>
      </c>
      <c r="G56">
        <v>895.20047099999999</v>
      </c>
      <c r="H56">
        <v>50.005000000000003</v>
      </c>
      <c r="I56">
        <v>3.818762045885522</v>
      </c>
      <c r="J56">
        <v>1.0629441457980351</v>
      </c>
      <c r="K56">
        <v>-1.116956516882798E-2</v>
      </c>
      <c r="L56">
        <v>0.212588829159607</v>
      </c>
      <c r="M56" t="s">
        <v>30</v>
      </c>
      <c r="N56">
        <v>2</v>
      </c>
      <c r="O56" t="s">
        <v>31</v>
      </c>
      <c r="P56">
        <v>39649</v>
      </c>
      <c r="Q56">
        <v>894.23500000000001</v>
      </c>
      <c r="R56">
        <v>50.005000000000003</v>
      </c>
      <c r="S56">
        <v>0.4242514818579563</v>
      </c>
      <c r="T56">
        <v>1.284683539891154E-2</v>
      </c>
      <c r="U56">
        <v>8.7220192020262405E-3</v>
      </c>
      <c r="V56">
        <v>4.1259008804252302E-3</v>
      </c>
      <c r="W56">
        <v>4.5961183216010103E-3</v>
      </c>
      <c r="X56" s="19">
        <f t="shared" si="0"/>
        <v>46013</v>
      </c>
      <c r="Y56" s="19">
        <f t="shared" si="1"/>
        <v>46013</v>
      </c>
      <c r="Z56">
        <f t="array" ref="Z56">_xlfn.XLOOKUP(INT(X56),INT($AE$2:$AE$1000),$AG$2:$AG$1000,"")</f>
        <v>14.08</v>
      </c>
      <c r="AE56" s="19">
        <f t="shared" si="2"/>
        <v>45946</v>
      </c>
      <c r="AF56" t="s">
        <v>94</v>
      </c>
      <c r="AG56">
        <v>25.31</v>
      </c>
    </row>
    <row r="57" spans="1:33" x14ac:dyDescent="0.3">
      <c r="A57">
        <v>4</v>
      </c>
      <c r="B57" t="s">
        <v>33</v>
      </c>
      <c r="C57" t="s">
        <v>34</v>
      </c>
      <c r="D57">
        <v>39839</v>
      </c>
      <c r="E57">
        <v>55.6</v>
      </c>
      <c r="F57">
        <v>94.82</v>
      </c>
      <c r="G57">
        <v>55.594439999999999</v>
      </c>
      <c r="H57">
        <v>94.829481999999999</v>
      </c>
      <c r="I57">
        <v>5.0316061210214436</v>
      </c>
      <c r="J57">
        <v>0.6533346050381017</v>
      </c>
      <c r="K57">
        <v>-0.17985611510791369</v>
      </c>
      <c r="L57">
        <v>6.8902616013299056E-2</v>
      </c>
      <c r="M57" t="s">
        <v>30</v>
      </c>
      <c r="N57">
        <v>15</v>
      </c>
      <c r="O57" t="s">
        <v>31</v>
      </c>
      <c r="P57">
        <v>39854</v>
      </c>
      <c r="Q57">
        <v>55.325000000000003</v>
      </c>
      <c r="R57">
        <v>94.34</v>
      </c>
      <c r="S57">
        <v>-8.6236820989901611E-2</v>
      </c>
      <c r="T57">
        <v>1.6387175968293161E-2</v>
      </c>
      <c r="U57">
        <v>1.3088760126950091E-2</v>
      </c>
      <c r="V57">
        <v>3.30659987699721E-3</v>
      </c>
      <c r="W57">
        <v>9.7821602499528829E-3</v>
      </c>
      <c r="X57" s="19">
        <f t="shared" si="0"/>
        <v>46014</v>
      </c>
      <c r="Y57" s="19">
        <f t="shared" si="1"/>
        <v>46014</v>
      </c>
      <c r="Z57">
        <f t="array" ref="Z57">_xlfn.XLOOKUP(INT(X57),INT($AE$2:$AE$1000),$AG$2:$AG$1000,"")</f>
        <v>14</v>
      </c>
      <c r="AE57" s="19">
        <f t="shared" si="2"/>
        <v>45947</v>
      </c>
      <c r="AF57" t="s">
        <v>95</v>
      </c>
      <c r="AG57">
        <v>20.78</v>
      </c>
    </row>
    <row r="58" spans="1:33" x14ac:dyDescent="0.3">
      <c r="A58">
        <v>4</v>
      </c>
      <c r="B58" t="s">
        <v>29</v>
      </c>
      <c r="C58" t="s">
        <v>35</v>
      </c>
      <c r="D58">
        <v>40091</v>
      </c>
      <c r="E58">
        <v>883.72</v>
      </c>
      <c r="F58">
        <v>49.484999999999999</v>
      </c>
      <c r="G58">
        <v>883.63162800000009</v>
      </c>
      <c r="H58">
        <v>49.489948499999997</v>
      </c>
      <c r="I58">
        <v>3.5218770474282071</v>
      </c>
      <c r="J58">
        <v>1.0629441457980351</v>
      </c>
      <c r="K58">
        <v>-1.131580138505409E-2</v>
      </c>
      <c r="L58">
        <v>0.21480128236799739</v>
      </c>
      <c r="M58" t="s">
        <v>30</v>
      </c>
      <c r="N58">
        <v>13</v>
      </c>
      <c r="O58" t="s">
        <v>31</v>
      </c>
      <c r="P58">
        <v>40104</v>
      </c>
      <c r="Q58">
        <v>883.24</v>
      </c>
      <c r="R58">
        <v>49.5</v>
      </c>
      <c r="S58">
        <v>0.12975942766355411</v>
      </c>
      <c r="T58">
        <v>8.6536039003462517E-3</v>
      </c>
      <c r="U58">
        <v>4.527936565294809E-3</v>
      </c>
      <c r="V58">
        <v>4.1259008804252302E-3</v>
      </c>
      <c r="W58">
        <v>4.0203568486957882E-4</v>
      </c>
      <c r="X58" s="19">
        <f t="shared" si="0"/>
        <v>46014</v>
      </c>
      <c r="Y58" s="19">
        <f t="shared" si="1"/>
        <v>46014</v>
      </c>
      <c r="Z58">
        <f t="array" ref="Z58">_xlfn.XLOOKUP(INT(X58),INT($AE$2:$AE$1000),$AG$2:$AG$1000,"")</f>
        <v>14</v>
      </c>
      <c r="AE58" s="19">
        <f t="shared" si="2"/>
        <v>45950</v>
      </c>
      <c r="AF58" t="s">
        <v>96</v>
      </c>
      <c r="AG58">
        <v>18.23</v>
      </c>
    </row>
    <row r="59" spans="1:33" x14ac:dyDescent="0.3">
      <c r="A59">
        <v>4</v>
      </c>
      <c r="B59" t="s">
        <v>29</v>
      </c>
      <c r="C59" t="s">
        <v>35</v>
      </c>
      <c r="D59">
        <v>40619</v>
      </c>
      <c r="E59">
        <v>884.99</v>
      </c>
      <c r="F59">
        <v>49.34</v>
      </c>
      <c r="G59">
        <v>884.90150100000005</v>
      </c>
      <c r="H59">
        <v>49.344934000000002</v>
      </c>
      <c r="I59">
        <v>4.4671720557889936</v>
      </c>
      <c r="J59">
        <v>1.0629441457980351</v>
      </c>
      <c r="K59">
        <v>-1.129956270692324E-2</v>
      </c>
      <c r="L59">
        <v>0.21543253867005169</v>
      </c>
      <c r="M59" t="s">
        <v>30</v>
      </c>
      <c r="N59">
        <v>21</v>
      </c>
      <c r="O59" t="s">
        <v>31</v>
      </c>
      <c r="P59">
        <v>40640</v>
      </c>
      <c r="Q59">
        <v>883.29499999999996</v>
      </c>
      <c r="R59">
        <v>49.01</v>
      </c>
      <c r="S59">
        <v>0.46766325704105199</v>
      </c>
      <c r="T59">
        <v>-5.1939978972882772E-2</v>
      </c>
      <c r="U59">
        <v>-5.6056842714822253E-2</v>
      </c>
      <c r="V59">
        <v>4.1259008804252302E-3</v>
      </c>
      <c r="W59">
        <v>-6.018274359524748E-2</v>
      </c>
      <c r="X59" s="19">
        <f t="shared" si="0"/>
        <v>46016</v>
      </c>
      <c r="Y59" s="19">
        <f t="shared" si="1"/>
        <v>46016</v>
      </c>
      <c r="Z59" t="str">
        <f t="array" ref="Z59">_xlfn.XLOOKUP(INT(X59),INT($AE$2:$AE$1000),$AG$2:$AG$1000,"")</f>
        <v/>
      </c>
      <c r="AE59" s="19">
        <f t="shared" si="2"/>
        <v>45951</v>
      </c>
      <c r="AF59" t="s">
        <v>97</v>
      </c>
      <c r="AG59">
        <v>17.87</v>
      </c>
    </row>
    <row r="60" spans="1:33" x14ac:dyDescent="0.3">
      <c r="A60">
        <v>4</v>
      </c>
      <c r="B60" t="s">
        <v>29</v>
      </c>
      <c r="C60" t="s">
        <v>35</v>
      </c>
      <c r="D60">
        <v>41009</v>
      </c>
      <c r="E60">
        <v>923.47500000000002</v>
      </c>
      <c r="F60">
        <v>49.94</v>
      </c>
      <c r="G60">
        <v>923.38265250000006</v>
      </c>
      <c r="H60">
        <v>49.944993999999987</v>
      </c>
      <c r="I60">
        <v>4.2141690897761492</v>
      </c>
      <c r="J60">
        <v>1.0629441457980351</v>
      </c>
      <c r="K60">
        <v>-1.0828663472210939E-2</v>
      </c>
      <c r="L60">
        <v>0.2128442422503074</v>
      </c>
      <c r="M60" t="s">
        <v>30</v>
      </c>
      <c r="N60">
        <v>48</v>
      </c>
      <c r="O60" t="s">
        <v>31</v>
      </c>
      <c r="P60">
        <v>41057</v>
      </c>
      <c r="Q60">
        <v>955.77</v>
      </c>
      <c r="R60">
        <v>50.555</v>
      </c>
      <c r="S60">
        <v>0.46868178230096991</v>
      </c>
      <c r="T60">
        <v>-0.21881247785111249</v>
      </c>
      <c r="U60">
        <v>-0.22298642723228801</v>
      </c>
      <c r="V60">
        <v>4.1259008804252302E-3</v>
      </c>
      <c r="W60">
        <v>-0.22711232811271331</v>
      </c>
      <c r="X60" s="19">
        <f t="shared" si="0"/>
        <v>46017</v>
      </c>
      <c r="Y60" s="19">
        <f t="shared" si="1"/>
        <v>46017</v>
      </c>
      <c r="Z60">
        <f t="array" ref="Z60">_xlfn.XLOOKUP(INT(X60),INT($AE$2:$AE$1000),$AG$2:$AG$1000,"")</f>
        <v>13.6</v>
      </c>
      <c r="AE60" s="19">
        <f t="shared" si="2"/>
        <v>45952</v>
      </c>
      <c r="AF60" t="s">
        <v>98</v>
      </c>
      <c r="AG60">
        <v>18.600000000000001</v>
      </c>
    </row>
    <row r="61" spans="1:33" x14ac:dyDescent="0.3">
      <c r="A61">
        <v>4</v>
      </c>
      <c r="B61" t="s">
        <v>33</v>
      </c>
      <c r="C61" t="s">
        <v>34</v>
      </c>
      <c r="D61">
        <v>41201</v>
      </c>
      <c r="E61">
        <v>57.27</v>
      </c>
      <c r="F61">
        <v>97.02</v>
      </c>
      <c r="G61">
        <v>57.264273000000003</v>
      </c>
      <c r="H61">
        <v>97.029702</v>
      </c>
      <c r="I61">
        <v>3.6553077959710518</v>
      </c>
      <c r="J61">
        <v>0.6533346050381017</v>
      </c>
      <c r="K61">
        <v>-0.17461148943600491</v>
      </c>
      <c r="L61">
        <v>6.7340198416625613E-2</v>
      </c>
      <c r="M61" t="s">
        <v>30</v>
      </c>
      <c r="N61">
        <v>8</v>
      </c>
      <c r="O61" t="s">
        <v>31</v>
      </c>
      <c r="P61">
        <v>41209</v>
      </c>
      <c r="Q61">
        <v>57.21</v>
      </c>
      <c r="R61">
        <v>97.1</v>
      </c>
      <c r="S61">
        <v>0.1047635235052741</v>
      </c>
      <c r="T61">
        <v>1.5863905239490619E-2</v>
      </c>
      <c r="U61">
        <v>1.255774497676327E-2</v>
      </c>
      <c r="V61">
        <v>3.3065998769972109E-3</v>
      </c>
      <c r="W61">
        <v>9.2511450997660588E-3</v>
      </c>
      <c r="X61" s="19">
        <f t="shared" si="0"/>
        <v>46017</v>
      </c>
      <c r="Y61" s="19">
        <f t="shared" si="1"/>
        <v>46017</v>
      </c>
      <c r="Z61">
        <f t="array" ref="Z61">_xlfn.XLOOKUP(INT(X61),INT($AE$2:$AE$1000),$AG$2:$AG$1000,"")</f>
        <v>13.6</v>
      </c>
      <c r="AE61" s="19">
        <f t="shared" si="2"/>
        <v>45953</v>
      </c>
      <c r="AF61" t="s">
        <v>99</v>
      </c>
      <c r="AG61">
        <v>17.3</v>
      </c>
    </row>
    <row r="62" spans="1:33" x14ac:dyDescent="0.3">
      <c r="A62">
        <v>4</v>
      </c>
      <c r="B62" t="s">
        <v>29</v>
      </c>
      <c r="C62" t="s">
        <v>35</v>
      </c>
      <c r="D62">
        <v>41392</v>
      </c>
      <c r="E62">
        <v>949.11</v>
      </c>
      <c r="F62">
        <v>50.51</v>
      </c>
      <c r="G62">
        <v>949.20491100000004</v>
      </c>
      <c r="H62">
        <v>50.504949000000003</v>
      </c>
      <c r="I62">
        <v>-3.7224256281159191</v>
      </c>
      <c r="J62">
        <v>1.0629441457980351</v>
      </c>
      <c r="K62">
        <v>1.0536186532646369E-2</v>
      </c>
      <c r="L62">
        <v>-0.2104423175208939</v>
      </c>
      <c r="M62" t="s">
        <v>32</v>
      </c>
      <c r="N62">
        <v>10</v>
      </c>
      <c r="O62" t="s">
        <v>31</v>
      </c>
      <c r="P62">
        <v>41402</v>
      </c>
      <c r="Q62">
        <v>950.53</v>
      </c>
      <c r="R62">
        <v>50.454999999999998</v>
      </c>
      <c r="S62">
        <v>0.16799159704669431</v>
      </c>
      <c r="T62">
        <v>2.6535712340006529E-2</v>
      </c>
      <c r="U62">
        <v>2.240948534266821E-2</v>
      </c>
      <c r="V62">
        <v>4.1258757027669108E-3</v>
      </c>
      <c r="W62">
        <v>1.8283609639901291E-2</v>
      </c>
      <c r="X62" s="19">
        <f t="shared" si="0"/>
        <v>46020</v>
      </c>
      <c r="Y62" s="19">
        <f t="shared" si="1"/>
        <v>46020</v>
      </c>
      <c r="Z62">
        <f t="array" ref="Z62">_xlfn.XLOOKUP(INT(X62),INT($AE$2:$AE$1000),$AG$2:$AG$1000,"")</f>
        <v>14.2</v>
      </c>
      <c r="AE62" s="19">
        <f t="shared" si="2"/>
        <v>45954</v>
      </c>
      <c r="AF62" t="s">
        <v>100</v>
      </c>
      <c r="AG62">
        <v>16.37</v>
      </c>
    </row>
    <row r="63" spans="1:33" x14ac:dyDescent="0.3">
      <c r="A63">
        <v>4</v>
      </c>
      <c r="B63" t="s">
        <v>33</v>
      </c>
      <c r="C63" t="s">
        <v>34</v>
      </c>
      <c r="D63">
        <v>41790</v>
      </c>
      <c r="E63">
        <v>56.664999999999999</v>
      </c>
      <c r="F63">
        <v>95.724999999999994</v>
      </c>
      <c r="G63">
        <v>56.670666500000003</v>
      </c>
      <c r="H63">
        <v>95.71542749999999</v>
      </c>
      <c r="I63">
        <v>-4.5347558837523056</v>
      </c>
      <c r="J63">
        <v>0.6533346050381017</v>
      </c>
      <c r="K63">
        <v>0.1764757786993735</v>
      </c>
      <c r="L63">
        <v>-6.8251199272718902E-2</v>
      </c>
      <c r="M63" t="s">
        <v>32</v>
      </c>
      <c r="N63">
        <v>35</v>
      </c>
      <c r="O63" t="s">
        <v>31</v>
      </c>
      <c r="P63">
        <v>41825</v>
      </c>
      <c r="Q63">
        <v>56.145000000000003</v>
      </c>
      <c r="R63">
        <v>94.71</v>
      </c>
      <c r="S63">
        <v>-6.4708702039577279E-2</v>
      </c>
      <c r="T63">
        <v>-2.24924376618638E-2</v>
      </c>
      <c r="U63">
        <v>-2.5783002634721511E-2</v>
      </c>
      <c r="V63">
        <v>3.3067385431551962E-3</v>
      </c>
      <c r="W63">
        <v>-2.9089741177876709E-2</v>
      </c>
      <c r="X63" s="19">
        <f t="shared" si="0"/>
        <v>46021</v>
      </c>
      <c r="Y63" s="19">
        <f t="shared" si="1"/>
        <v>46021</v>
      </c>
      <c r="Z63">
        <f t="array" ref="Z63">_xlfn.XLOOKUP(INT(X63),INT($AE$2:$AE$1000),$AG$2:$AG$1000,"")</f>
        <v>14.33</v>
      </c>
      <c r="AE63" s="19">
        <f t="shared" si="2"/>
        <v>45957</v>
      </c>
      <c r="AF63" t="s">
        <v>101</v>
      </c>
      <c r="AG63">
        <v>15.79</v>
      </c>
    </row>
    <row r="64" spans="1:33" x14ac:dyDescent="0.3">
      <c r="A64">
        <v>4</v>
      </c>
      <c r="B64" t="s">
        <v>29</v>
      </c>
      <c r="C64" t="s">
        <v>35</v>
      </c>
      <c r="D64">
        <v>42179</v>
      </c>
      <c r="E64">
        <v>940.25</v>
      </c>
      <c r="F64">
        <v>50.585000000000001</v>
      </c>
      <c r="G64">
        <v>940.15597500000001</v>
      </c>
      <c r="H64">
        <v>50.590058499999998</v>
      </c>
      <c r="I64">
        <v>3.81762908368554</v>
      </c>
      <c r="J64">
        <v>1.0629441457980351</v>
      </c>
      <c r="K64">
        <v>-1.063546929008242E-2</v>
      </c>
      <c r="L64">
        <v>0.2101303045958357</v>
      </c>
      <c r="M64" t="s">
        <v>30</v>
      </c>
      <c r="N64">
        <v>1</v>
      </c>
      <c r="O64" t="s">
        <v>31</v>
      </c>
      <c r="P64">
        <v>42180</v>
      </c>
      <c r="Q64">
        <v>935.86</v>
      </c>
      <c r="R64">
        <v>50.53</v>
      </c>
      <c r="S64">
        <v>0.28810108648480509</v>
      </c>
      <c r="T64">
        <v>3.5132543430690791E-2</v>
      </c>
      <c r="U64">
        <v>3.101247982679025E-2</v>
      </c>
      <c r="V64">
        <v>4.1259008804252302E-3</v>
      </c>
      <c r="W64">
        <v>2.6886578946365019E-2</v>
      </c>
      <c r="X64" s="19">
        <f t="shared" si="0"/>
        <v>46022</v>
      </c>
      <c r="Y64" s="19">
        <f t="shared" si="1"/>
        <v>46022</v>
      </c>
      <c r="Z64">
        <f t="array" ref="Z64">_xlfn.XLOOKUP(INT(X64),INT($AE$2:$AE$1000),$AG$2:$AG$1000,"")</f>
        <v>14.95</v>
      </c>
      <c r="AE64" s="19">
        <f t="shared" si="2"/>
        <v>45958</v>
      </c>
      <c r="AF64" t="s">
        <v>102</v>
      </c>
      <c r="AG64">
        <v>16.420000000000002</v>
      </c>
    </row>
    <row r="65" spans="1:33" x14ac:dyDescent="0.3">
      <c r="A65">
        <v>4</v>
      </c>
      <c r="B65" t="s">
        <v>29</v>
      </c>
      <c r="C65" t="s">
        <v>35</v>
      </c>
      <c r="D65">
        <v>42576</v>
      </c>
      <c r="E65">
        <v>943.56500000000005</v>
      </c>
      <c r="F65">
        <v>51.15</v>
      </c>
      <c r="G65">
        <v>943.47064350000005</v>
      </c>
      <c r="H65">
        <v>51.155115000000002</v>
      </c>
      <c r="I65">
        <v>3.5316793629141281</v>
      </c>
      <c r="J65">
        <v>1.0629441457980351</v>
      </c>
      <c r="K65">
        <v>-1.0598103999194541E-2</v>
      </c>
      <c r="L65">
        <v>0.20780921716481621</v>
      </c>
      <c r="M65" t="s">
        <v>30</v>
      </c>
      <c r="N65">
        <v>7</v>
      </c>
      <c r="O65" t="s">
        <v>31</v>
      </c>
      <c r="P65">
        <v>42583</v>
      </c>
      <c r="Q65">
        <v>937.48</v>
      </c>
      <c r="R65">
        <v>50.97</v>
      </c>
      <c r="S65">
        <v>0.4328867329541039</v>
      </c>
      <c r="T65">
        <v>2.708380374543232E-2</v>
      </c>
      <c r="U65">
        <v>2.2968104966029541E-2</v>
      </c>
      <c r="V65">
        <v>4.1259008804252302E-3</v>
      </c>
      <c r="W65">
        <v>1.884220408560431E-2</v>
      </c>
      <c r="X65" s="19">
        <f t="shared" si="0"/>
        <v>46023</v>
      </c>
      <c r="Y65" s="19">
        <f t="shared" si="1"/>
        <v>46023</v>
      </c>
      <c r="Z65" t="str">
        <f t="array" ref="Z65">_xlfn.XLOOKUP(INT(X65),INT($AE$2:$AE$1000),$AG$2:$AG$1000,"")</f>
        <v/>
      </c>
      <c r="AE65" s="19">
        <f t="shared" si="2"/>
        <v>45959</v>
      </c>
      <c r="AF65" t="s">
        <v>103</v>
      </c>
      <c r="AG65">
        <v>16.920000000000002</v>
      </c>
    </row>
    <row r="66" spans="1:33" x14ac:dyDescent="0.3">
      <c r="A66">
        <v>4</v>
      </c>
      <c r="B66" t="s">
        <v>29</v>
      </c>
      <c r="C66" t="s">
        <v>35</v>
      </c>
      <c r="D66">
        <v>42960</v>
      </c>
      <c r="E66">
        <v>932.63</v>
      </c>
      <c r="F66">
        <v>50.075000000000003</v>
      </c>
      <c r="G66">
        <v>932.53673700000002</v>
      </c>
      <c r="H66">
        <v>50.080007500000001</v>
      </c>
      <c r="I66">
        <v>3.5573712294115998</v>
      </c>
      <c r="J66">
        <v>1.0629441457980351</v>
      </c>
      <c r="K66">
        <v>-1.0722365782786311E-2</v>
      </c>
      <c r="L66">
        <v>0.21227042352432049</v>
      </c>
      <c r="M66" t="s">
        <v>30</v>
      </c>
      <c r="N66">
        <v>17</v>
      </c>
      <c r="O66" t="s">
        <v>31</v>
      </c>
      <c r="P66">
        <v>42977</v>
      </c>
      <c r="Q66">
        <v>938.03</v>
      </c>
      <c r="R66">
        <v>50.225000000000001</v>
      </c>
      <c r="S66">
        <v>9.7970410943422487E-2</v>
      </c>
      <c r="T66">
        <v>-2.6060211698398079E-2</v>
      </c>
      <c r="U66">
        <v>-3.0195074123869362E-2</v>
      </c>
      <c r="V66">
        <v>4.1259008804252302E-3</v>
      </c>
      <c r="W66">
        <v>-3.4320975004294603E-2</v>
      </c>
      <c r="X66" s="19">
        <f t="shared" ref="X66:X129" si="3">WORKDAY(DATE(2025,8,2),INT(D66/390))</f>
        <v>46024</v>
      </c>
      <c r="Y66" s="19">
        <f t="shared" ref="Y66:Y129" si="4">WORKDAY(DATE(2025,8,2),INT(P66/390))</f>
        <v>46024</v>
      </c>
      <c r="Z66">
        <f t="array" ref="Z66">_xlfn.XLOOKUP(INT(X66),INT($AE$2:$AE$1000),$AG$2:$AG$1000,"")</f>
        <v>14.51</v>
      </c>
      <c r="AE66" s="19">
        <f t="shared" ref="AE66:AE129" si="5">IF(ISNUMBER(AF66),DATE(YEAR(AF66),DAY(AF66),MONTH(AF66)),DATE(RIGHT(AF66,4),LEFT(AF66,2),MID(AF66,4,2)))</f>
        <v>45960</v>
      </c>
      <c r="AF66" t="s">
        <v>104</v>
      </c>
      <c r="AG66">
        <v>16.91</v>
      </c>
    </row>
    <row r="67" spans="1:33" x14ac:dyDescent="0.3">
      <c r="A67">
        <v>4</v>
      </c>
      <c r="B67" t="s">
        <v>33</v>
      </c>
      <c r="C67" t="s">
        <v>34</v>
      </c>
      <c r="D67">
        <v>43332</v>
      </c>
      <c r="E67">
        <v>55.17</v>
      </c>
      <c r="F67">
        <v>94.905000000000001</v>
      </c>
      <c r="G67">
        <v>55.164482999999997</v>
      </c>
      <c r="H67">
        <v>94.914490499999999</v>
      </c>
      <c r="I67">
        <v>3.729497213089267</v>
      </c>
      <c r="J67">
        <v>0.6533346050381017</v>
      </c>
      <c r="K67">
        <v>-0.18125793003443899</v>
      </c>
      <c r="L67">
        <v>6.8840904592814042E-2</v>
      </c>
      <c r="M67" t="s">
        <v>30</v>
      </c>
      <c r="N67">
        <v>6</v>
      </c>
      <c r="O67" t="s">
        <v>31</v>
      </c>
      <c r="P67">
        <v>43338</v>
      </c>
      <c r="Q67">
        <v>55.115000000000002</v>
      </c>
      <c r="R67">
        <v>94.924999999999997</v>
      </c>
      <c r="S67">
        <v>0.1938784814554087</v>
      </c>
      <c r="T67">
        <v>1.13460042437501E-2</v>
      </c>
      <c r="U67">
        <v>8.0401942704814294E-3</v>
      </c>
      <c r="V67">
        <v>3.3065998769972109E-3</v>
      </c>
      <c r="W67">
        <v>4.7335943934842181E-3</v>
      </c>
      <c r="X67" s="19">
        <f t="shared" si="3"/>
        <v>46027</v>
      </c>
      <c r="Y67" s="19">
        <f t="shared" si="4"/>
        <v>46027</v>
      </c>
      <c r="Z67">
        <f t="array" ref="Z67">_xlfn.XLOOKUP(INT(X67),INT($AE$2:$AE$1000),$AG$2:$AG$1000,"")</f>
        <v>14.9</v>
      </c>
      <c r="AE67" s="19">
        <f t="shared" si="5"/>
        <v>45961</v>
      </c>
      <c r="AF67" t="s">
        <v>105</v>
      </c>
      <c r="AG67">
        <v>17.440000000000001</v>
      </c>
    </row>
    <row r="68" spans="1:33" x14ac:dyDescent="0.3">
      <c r="A68">
        <v>4</v>
      </c>
      <c r="B68" t="s">
        <v>29</v>
      </c>
      <c r="C68" t="s">
        <v>35</v>
      </c>
      <c r="D68">
        <v>43350</v>
      </c>
      <c r="E68">
        <v>946.24</v>
      </c>
      <c r="F68">
        <v>50.34</v>
      </c>
      <c r="G68">
        <v>946.33462399999996</v>
      </c>
      <c r="H68">
        <v>50.334966000000001</v>
      </c>
      <c r="I68">
        <v>-4.6714413484255939</v>
      </c>
      <c r="J68">
        <v>1.0629441457980351</v>
      </c>
      <c r="K68">
        <v>1.05681433885695E-2</v>
      </c>
      <c r="L68">
        <v>-0.21115298883552541</v>
      </c>
      <c r="M68" t="s">
        <v>32</v>
      </c>
      <c r="N68">
        <v>27</v>
      </c>
      <c r="O68" t="s">
        <v>31</v>
      </c>
      <c r="P68">
        <v>43377</v>
      </c>
      <c r="Q68">
        <v>940.33</v>
      </c>
      <c r="R68">
        <v>50.14</v>
      </c>
      <c r="S68">
        <v>0.32285942291247888</v>
      </c>
      <c r="T68">
        <v>-2.0227129659339711E-2</v>
      </c>
      <c r="U68">
        <v>-2.434254911841657E-2</v>
      </c>
      <c r="V68">
        <v>4.1258757027669108E-3</v>
      </c>
      <c r="W68">
        <v>-2.8468424821183481E-2</v>
      </c>
      <c r="X68" s="19">
        <f t="shared" si="3"/>
        <v>46027</v>
      </c>
      <c r="Y68" s="19">
        <f t="shared" si="4"/>
        <v>46027</v>
      </c>
      <c r="Z68">
        <f t="array" ref="Z68">_xlfn.XLOOKUP(INT(X68),INT($AE$2:$AE$1000),$AG$2:$AG$1000,"")</f>
        <v>14.9</v>
      </c>
      <c r="AE68" s="19">
        <f t="shared" si="5"/>
        <v>45964</v>
      </c>
      <c r="AF68" s="19">
        <v>45727</v>
      </c>
      <c r="AG68">
        <v>17.170000000000002</v>
      </c>
    </row>
    <row r="69" spans="1:33" x14ac:dyDescent="0.3">
      <c r="A69">
        <v>5</v>
      </c>
      <c r="B69" t="s">
        <v>77</v>
      </c>
      <c r="C69" t="s">
        <v>37</v>
      </c>
      <c r="D69">
        <v>43551</v>
      </c>
      <c r="E69">
        <v>116.49</v>
      </c>
      <c r="F69">
        <v>213.91</v>
      </c>
      <c r="G69">
        <v>116.501649</v>
      </c>
      <c r="H69">
        <v>213.888609</v>
      </c>
      <c r="I69">
        <v>-3.5693742622700708</v>
      </c>
      <c r="J69">
        <v>1.0729530851129121</v>
      </c>
      <c r="K69">
        <v>8.5844278478839395E-2</v>
      </c>
      <c r="L69">
        <v>-5.0159089575658553E-2</v>
      </c>
      <c r="M69" t="s">
        <v>32</v>
      </c>
      <c r="N69">
        <v>18</v>
      </c>
      <c r="O69" t="s">
        <v>31</v>
      </c>
      <c r="P69">
        <v>43569</v>
      </c>
      <c r="Q69">
        <v>116.64</v>
      </c>
      <c r="R69">
        <v>214.05500000000001</v>
      </c>
      <c r="S69">
        <v>-0.47805493385592351</v>
      </c>
      <c r="T69">
        <v>5.6035737833553942E-3</v>
      </c>
      <c r="U69">
        <v>1.45565264215439E-3</v>
      </c>
      <c r="V69">
        <v>4.1458915796088024E-3</v>
      </c>
      <c r="W69">
        <v>-2.690238937454412E-3</v>
      </c>
      <c r="X69" s="19">
        <f t="shared" si="3"/>
        <v>46027</v>
      </c>
      <c r="Y69" s="19">
        <f t="shared" si="4"/>
        <v>46027</v>
      </c>
      <c r="Z69">
        <f t="array" ref="Z69">_xlfn.XLOOKUP(INT(X69),INT($AE$2:$AE$1000),$AG$2:$AG$1000,"")</f>
        <v>14.9</v>
      </c>
      <c r="AE69" s="19">
        <f t="shared" si="5"/>
        <v>45965</v>
      </c>
      <c r="AF69" s="19">
        <v>45758</v>
      </c>
      <c r="AG69">
        <v>19</v>
      </c>
    </row>
    <row r="70" spans="1:33" x14ac:dyDescent="0.3">
      <c r="A70">
        <v>5</v>
      </c>
      <c r="B70" t="s">
        <v>33</v>
      </c>
      <c r="C70" t="s">
        <v>29</v>
      </c>
      <c r="D70">
        <v>43573</v>
      </c>
      <c r="E70">
        <v>54.725000000000001</v>
      </c>
      <c r="F70">
        <v>940</v>
      </c>
      <c r="G70">
        <v>54.719527500000012</v>
      </c>
      <c r="H70">
        <v>940.09399999999994</v>
      </c>
      <c r="I70">
        <v>3.5409454156076259</v>
      </c>
      <c r="J70">
        <v>0.39029275790549622</v>
      </c>
      <c r="K70">
        <v>-0.18273184102329831</v>
      </c>
      <c r="L70">
        <v>4.1520506160159171E-3</v>
      </c>
      <c r="M70" t="s">
        <v>30</v>
      </c>
      <c r="N70">
        <v>10</v>
      </c>
      <c r="O70" t="s">
        <v>31</v>
      </c>
      <c r="P70">
        <v>43583</v>
      </c>
      <c r="Q70">
        <v>54.704999999999998</v>
      </c>
      <c r="R70">
        <v>940.79</v>
      </c>
      <c r="S70">
        <v>0.37552119913989868</v>
      </c>
      <c r="T70">
        <v>6.9347568071189613E-3</v>
      </c>
      <c r="U70">
        <v>4.154208742992215E-3</v>
      </c>
      <c r="V70">
        <v>2.7804635743625739E-3</v>
      </c>
      <c r="W70">
        <v>1.3737451686296419E-3</v>
      </c>
      <c r="X70" s="19">
        <f t="shared" si="3"/>
        <v>46027</v>
      </c>
      <c r="Y70" s="19">
        <f t="shared" si="4"/>
        <v>46027</v>
      </c>
      <c r="Z70">
        <f t="array" ref="Z70">_xlfn.XLOOKUP(INT(X70),INT($AE$2:$AE$1000),$AG$2:$AG$1000,"")</f>
        <v>14.9</v>
      </c>
      <c r="AE70" s="19">
        <f t="shared" si="5"/>
        <v>45966</v>
      </c>
      <c r="AF70" s="19">
        <v>45788</v>
      </c>
      <c r="AG70">
        <v>18.010000000000002</v>
      </c>
    </row>
    <row r="71" spans="1:33" x14ac:dyDescent="0.3">
      <c r="A71">
        <v>5</v>
      </c>
      <c r="B71" t="s">
        <v>33</v>
      </c>
      <c r="C71" t="s">
        <v>36</v>
      </c>
      <c r="D71">
        <v>43629</v>
      </c>
      <c r="E71">
        <v>54.47</v>
      </c>
      <c r="F71">
        <v>53.75</v>
      </c>
      <c r="G71">
        <v>54.475447000000003</v>
      </c>
      <c r="H71">
        <v>53.744624999999999</v>
      </c>
      <c r="I71">
        <v>-3.514188773653395</v>
      </c>
      <c r="J71">
        <v>0.40079226058962503</v>
      </c>
      <c r="K71">
        <v>0.18358729575913349</v>
      </c>
      <c r="L71">
        <v>-7.456600197016279E-2</v>
      </c>
      <c r="M71" t="s">
        <v>32</v>
      </c>
      <c r="N71">
        <v>30</v>
      </c>
      <c r="O71" t="s">
        <v>31</v>
      </c>
      <c r="P71">
        <v>43659</v>
      </c>
      <c r="Q71">
        <v>54.395000000000003</v>
      </c>
      <c r="R71">
        <v>53.704999999999998</v>
      </c>
      <c r="S71">
        <v>-0.31862565966831952</v>
      </c>
      <c r="T71">
        <v>-1.0413577093276781E-2</v>
      </c>
      <c r="U71">
        <v>-1.321344916272851E-2</v>
      </c>
      <c r="V71">
        <v>2.8017043627271321E-3</v>
      </c>
      <c r="W71">
        <v>-1.6015153525455642E-2</v>
      </c>
      <c r="X71" s="19">
        <f t="shared" si="3"/>
        <v>46027</v>
      </c>
      <c r="Y71" s="19">
        <f t="shared" si="4"/>
        <v>46027</v>
      </c>
      <c r="Z71">
        <f t="array" ref="Z71">_xlfn.XLOOKUP(INT(X71),INT($AE$2:$AE$1000),$AG$2:$AG$1000,"")</f>
        <v>14.9</v>
      </c>
      <c r="AE71" s="19">
        <f t="shared" si="5"/>
        <v>45967</v>
      </c>
      <c r="AF71" s="19">
        <v>45819</v>
      </c>
      <c r="AG71">
        <v>19.5</v>
      </c>
    </row>
    <row r="72" spans="1:33" x14ac:dyDescent="0.3">
      <c r="A72">
        <v>5</v>
      </c>
      <c r="B72" t="s">
        <v>77</v>
      </c>
      <c r="C72" t="s">
        <v>34</v>
      </c>
      <c r="D72">
        <v>43674</v>
      </c>
      <c r="E72">
        <v>116.22499999999999</v>
      </c>
      <c r="F72">
        <v>93.174999999999997</v>
      </c>
      <c r="G72">
        <v>116.21337750000001</v>
      </c>
      <c r="H72">
        <v>93.184317499999992</v>
      </c>
      <c r="I72">
        <v>3.6451096162304681</v>
      </c>
      <c r="J72">
        <v>1.595454876936593</v>
      </c>
      <c r="K72">
        <v>-8.6040008604000864E-2</v>
      </c>
      <c r="L72">
        <v>0.1712320769451669</v>
      </c>
      <c r="M72" t="s">
        <v>30</v>
      </c>
      <c r="N72">
        <v>9</v>
      </c>
      <c r="O72" t="s">
        <v>31</v>
      </c>
      <c r="P72">
        <v>43683</v>
      </c>
      <c r="Q72">
        <v>116.23</v>
      </c>
      <c r="R72">
        <v>93.34</v>
      </c>
      <c r="S72">
        <v>0.3828852521901922</v>
      </c>
      <c r="T72">
        <v>2.7823092652932781E-2</v>
      </c>
      <c r="U72">
        <v>2.2629314549787258E-2</v>
      </c>
      <c r="V72">
        <v>5.1910288448485734E-3</v>
      </c>
      <c r="W72">
        <v>1.7438285704938689E-2</v>
      </c>
      <c r="X72" s="19">
        <f t="shared" si="3"/>
        <v>46027</v>
      </c>
      <c r="Y72" s="19">
        <f t="shared" si="4"/>
        <v>46028</v>
      </c>
      <c r="Z72">
        <f t="array" ref="Z72">_xlfn.XLOOKUP(INT(X72),INT($AE$2:$AE$1000),$AG$2:$AG$1000,"")</f>
        <v>14.9</v>
      </c>
      <c r="AE72" s="19">
        <f t="shared" si="5"/>
        <v>45968</v>
      </c>
      <c r="AF72" s="19">
        <v>45849</v>
      </c>
      <c r="AG72">
        <v>19.079999999999998</v>
      </c>
    </row>
    <row r="73" spans="1:33" x14ac:dyDescent="0.3">
      <c r="A73">
        <v>5</v>
      </c>
      <c r="B73" t="s">
        <v>34</v>
      </c>
      <c r="C73" t="s">
        <v>37</v>
      </c>
      <c r="D73">
        <v>43730</v>
      </c>
      <c r="E73">
        <v>93.584999999999994</v>
      </c>
      <c r="F73">
        <v>212.42</v>
      </c>
      <c r="G73">
        <v>93.575641499999989</v>
      </c>
      <c r="H73">
        <v>212.44124199999999</v>
      </c>
      <c r="I73">
        <v>4.456270002205394</v>
      </c>
      <c r="J73">
        <v>0.63178402664115341</v>
      </c>
      <c r="K73">
        <v>-0.1068547309932147</v>
      </c>
      <c r="L73">
        <v>2.974221008573362E-2</v>
      </c>
      <c r="M73" t="s">
        <v>30</v>
      </c>
      <c r="N73">
        <v>23</v>
      </c>
      <c r="O73" t="s">
        <v>31</v>
      </c>
      <c r="P73">
        <v>43753</v>
      </c>
      <c r="Q73">
        <v>93.51</v>
      </c>
      <c r="R73">
        <v>212.48</v>
      </c>
      <c r="S73">
        <v>0.45547284702811952</v>
      </c>
      <c r="T73">
        <v>9.7986374296339749E-3</v>
      </c>
      <c r="U73">
        <v>6.5356923335740079E-3</v>
      </c>
      <c r="V73">
        <v>3.2634944100876349E-3</v>
      </c>
      <c r="W73">
        <v>3.272197923486373E-3</v>
      </c>
      <c r="X73" s="19">
        <f t="shared" si="3"/>
        <v>46028</v>
      </c>
      <c r="Y73" s="19">
        <f t="shared" si="4"/>
        <v>46028</v>
      </c>
      <c r="Z73">
        <f t="array" ref="Z73">_xlfn.XLOOKUP(INT(X73),INT($AE$2:$AE$1000),$AG$2:$AG$1000,"")</f>
        <v>14.75</v>
      </c>
      <c r="AE73" s="19">
        <f t="shared" si="5"/>
        <v>45971</v>
      </c>
      <c r="AF73" s="19">
        <v>45941</v>
      </c>
      <c r="AG73">
        <v>17.600000000000001</v>
      </c>
    </row>
    <row r="74" spans="1:33" x14ac:dyDescent="0.3">
      <c r="A74">
        <v>5</v>
      </c>
      <c r="B74" t="s">
        <v>29</v>
      </c>
      <c r="C74" t="s">
        <v>78</v>
      </c>
      <c r="D74">
        <v>43755</v>
      </c>
      <c r="E74">
        <v>937.19</v>
      </c>
      <c r="F74">
        <v>182.19</v>
      </c>
      <c r="G74">
        <v>937.09628100000009</v>
      </c>
      <c r="H74">
        <v>182.20821900000001</v>
      </c>
      <c r="I74">
        <v>3.9130352662118471</v>
      </c>
      <c r="J74">
        <v>1.3474916341208181</v>
      </c>
      <c r="K74">
        <v>-1.067019494446163E-2</v>
      </c>
      <c r="L74">
        <v>7.3960790060970297E-2</v>
      </c>
      <c r="M74" t="s">
        <v>30</v>
      </c>
      <c r="N74">
        <v>3</v>
      </c>
      <c r="O74" t="s">
        <v>31</v>
      </c>
      <c r="P74">
        <v>43758</v>
      </c>
      <c r="Q74">
        <v>930.49</v>
      </c>
      <c r="R74">
        <v>181.68</v>
      </c>
      <c r="S74">
        <v>0.20878746831932599</v>
      </c>
      <c r="T74">
        <v>3.3770303196799259E-2</v>
      </c>
      <c r="U74">
        <v>2.9086240959465111E-2</v>
      </c>
      <c r="V74">
        <v>4.6950527665684597E-3</v>
      </c>
      <c r="W74">
        <v>2.4391188192896651E-2</v>
      </c>
      <c r="X74" s="19">
        <f t="shared" si="3"/>
        <v>46028</v>
      </c>
      <c r="Y74" s="19">
        <f t="shared" si="4"/>
        <v>46028</v>
      </c>
      <c r="Z74">
        <f t="array" ref="Z74">_xlfn.XLOOKUP(INT(X74),INT($AE$2:$AE$1000),$AG$2:$AG$1000,"")</f>
        <v>14.75</v>
      </c>
      <c r="AE74" s="19">
        <f t="shared" si="5"/>
        <v>45972</v>
      </c>
      <c r="AF74" s="19">
        <v>45972</v>
      </c>
      <c r="AG74">
        <v>17.28</v>
      </c>
    </row>
    <row r="75" spans="1:33" x14ac:dyDescent="0.3">
      <c r="A75">
        <v>5</v>
      </c>
      <c r="B75" t="s">
        <v>78</v>
      </c>
      <c r="C75" t="s">
        <v>37</v>
      </c>
      <c r="D75">
        <v>43759</v>
      </c>
      <c r="E75">
        <v>180.995</v>
      </c>
      <c r="F75">
        <v>210.72</v>
      </c>
      <c r="G75">
        <v>181.01309950000001</v>
      </c>
      <c r="H75">
        <v>210.698928</v>
      </c>
      <c r="I75">
        <v>-4.0511276107678258</v>
      </c>
      <c r="J75">
        <v>0.70922290002602395</v>
      </c>
      <c r="K75">
        <v>5.5250145031630712E-2</v>
      </c>
      <c r="L75">
        <v>-3.3657123197894073E-2</v>
      </c>
      <c r="M75" t="s">
        <v>32</v>
      </c>
      <c r="N75">
        <v>20</v>
      </c>
      <c r="O75" t="s">
        <v>31</v>
      </c>
      <c r="P75">
        <v>43779</v>
      </c>
      <c r="Q75">
        <v>180.22</v>
      </c>
      <c r="R75">
        <v>209.9</v>
      </c>
      <c r="S75">
        <v>-0.38250453969318732</v>
      </c>
      <c r="T75">
        <v>-1.52200213772412E-2</v>
      </c>
      <c r="U75">
        <v>-1.8631425406952E-2</v>
      </c>
      <c r="V75">
        <v>3.4185039554720429E-3</v>
      </c>
      <c r="W75">
        <v>-2.2049929362424042E-2</v>
      </c>
      <c r="X75" s="19">
        <f t="shared" si="3"/>
        <v>46028</v>
      </c>
      <c r="Y75" s="19">
        <f t="shared" si="4"/>
        <v>46028</v>
      </c>
      <c r="Z75">
        <f t="array" ref="Z75">_xlfn.XLOOKUP(INT(X75),INT($AE$2:$AE$1000),$AG$2:$AG$1000,"")</f>
        <v>14.75</v>
      </c>
      <c r="AE75" s="19">
        <f t="shared" si="5"/>
        <v>45973</v>
      </c>
      <c r="AF75" s="19">
        <v>46002</v>
      </c>
      <c r="AG75">
        <v>17.510000000000002</v>
      </c>
    </row>
    <row r="76" spans="1:33" x14ac:dyDescent="0.3">
      <c r="A76">
        <v>5</v>
      </c>
      <c r="B76" t="s">
        <v>28</v>
      </c>
      <c r="C76" t="s">
        <v>33</v>
      </c>
      <c r="D76">
        <v>43848</v>
      </c>
      <c r="E76">
        <v>307.38499999999999</v>
      </c>
      <c r="F76">
        <v>52.01</v>
      </c>
      <c r="G76">
        <v>307.41573849999997</v>
      </c>
      <c r="H76">
        <v>52.004798999999998</v>
      </c>
      <c r="I76">
        <v>-3.6103156757262291</v>
      </c>
      <c r="J76">
        <v>1.002253482054859</v>
      </c>
      <c r="K76">
        <v>3.2532491826211429E-2</v>
      </c>
      <c r="L76">
        <v>-0.19270399578059191</v>
      </c>
      <c r="M76" t="s">
        <v>32</v>
      </c>
      <c r="N76">
        <v>22</v>
      </c>
      <c r="O76" t="s">
        <v>31</v>
      </c>
      <c r="P76">
        <v>43870</v>
      </c>
      <c r="Q76">
        <v>308.10000000000002</v>
      </c>
      <c r="R76">
        <v>52.24</v>
      </c>
      <c r="S76">
        <v>-0.2942904130643989</v>
      </c>
      <c r="T76">
        <v>-2.1061187373794709E-2</v>
      </c>
      <c r="U76">
        <v>-2.5072452602971189E-2</v>
      </c>
      <c r="V76">
        <v>4.0045065134133064E-3</v>
      </c>
      <c r="W76">
        <v>-2.9076959116384488E-2</v>
      </c>
      <c r="X76" s="19">
        <f t="shared" si="3"/>
        <v>46028</v>
      </c>
      <c r="Y76" s="19">
        <f t="shared" si="4"/>
        <v>46028</v>
      </c>
      <c r="Z76">
        <f t="array" ref="Z76">_xlfn.XLOOKUP(INT(X76),INT($AE$2:$AE$1000),$AG$2:$AG$1000,"")</f>
        <v>14.75</v>
      </c>
      <c r="AE76" s="19">
        <f t="shared" si="5"/>
        <v>45974</v>
      </c>
      <c r="AF76" t="s">
        <v>106</v>
      </c>
      <c r="AG76">
        <v>20</v>
      </c>
    </row>
    <row r="77" spans="1:33" x14ac:dyDescent="0.3">
      <c r="A77">
        <v>5</v>
      </c>
      <c r="B77" t="s">
        <v>33</v>
      </c>
      <c r="C77" t="s">
        <v>78</v>
      </c>
      <c r="D77">
        <v>43988</v>
      </c>
      <c r="E77">
        <v>51.805</v>
      </c>
      <c r="F77">
        <v>180.12</v>
      </c>
      <c r="G77">
        <v>51.810180500000001</v>
      </c>
      <c r="H77">
        <v>180.10198800000001</v>
      </c>
      <c r="I77">
        <v>-3.6459869412352268</v>
      </c>
      <c r="J77">
        <v>0.54272081108663817</v>
      </c>
      <c r="K77">
        <v>0.19303156066016791</v>
      </c>
      <c r="L77">
        <v>-3.013106879228504E-2</v>
      </c>
      <c r="M77" t="s">
        <v>32</v>
      </c>
      <c r="N77">
        <v>7</v>
      </c>
      <c r="O77" t="s">
        <v>31</v>
      </c>
      <c r="P77">
        <v>43995</v>
      </c>
      <c r="Q77">
        <v>51.85</v>
      </c>
      <c r="R77">
        <v>180</v>
      </c>
      <c r="S77">
        <v>-0.44328830812541697</v>
      </c>
      <c r="T77">
        <v>1.2302148484782231E-2</v>
      </c>
      <c r="U77">
        <v>9.2161997934117126E-3</v>
      </c>
      <c r="V77">
        <v>3.0855330780110591E-3</v>
      </c>
      <c r="W77">
        <v>6.1306667154006544E-3</v>
      </c>
      <c r="X77" s="19">
        <f t="shared" si="3"/>
        <v>46028</v>
      </c>
      <c r="Y77" s="19">
        <f t="shared" si="4"/>
        <v>46028</v>
      </c>
      <c r="Z77">
        <f t="array" ref="Z77">_xlfn.XLOOKUP(INT(X77),INT($AE$2:$AE$1000),$AG$2:$AG$1000,"")</f>
        <v>14.75</v>
      </c>
      <c r="AE77" s="19">
        <f t="shared" si="5"/>
        <v>45975</v>
      </c>
      <c r="AF77" t="s">
        <v>107</v>
      </c>
      <c r="AG77">
        <v>19.829999999999998</v>
      </c>
    </row>
    <row r="78" spans="1:33" x14ac:dyDescent="0.3">
      <c r="A78">
        <v>5</v>
      </c>
      <c r="B78" t="s">
        <v>33</v>
      </c>
      <c r="C78" t="s">
        <v>34</v>
      </c>
      <c r="D78">
        <v>44003</v>
      </c>
      <c r="E78">
        <v>52.16</v>
      </c>
      <c r="F78">
        <v>88.9</v>
      </c>
      <c r="G78">
        <v>52.154783999999999</v>
      </c>
      <c r="H78">
        <v>88.90889</v>
      </c>
      <c r="I78">
        <v>3.5004358448484649</v>
      </c>
      <c r="J78">
        <v>0.60699763809152618</v>
      </c>
      <c r="K78">
        <v>-0.19171779141104289</v>
      </c>
      <c r="L78">
        <v>6.8278699447865701E-2</v>
      </c>
      <c r="M78" t="s">
        <v>30</v>
      </c>
      <c r="N78">
        <v>21</v>
      </c>
      <c r="O78" t="s">
        <v>31</v>
      </c>
      <c r="P78">
        <v>44024</v>
      </c>
      <c r="Q78">
        <v>52.29</v>
      </c>
      <c r="R78">
        <v>88.99</v>
      </c>
      <c r="S78">
        <v>0.49471769269850158</v>
      </c>
      <c r="T78">
        <v>-1.8778229933128901E-2</v>
      </c>
      <c r="U78">
        <v>-2.1995332048894329E-2</v>
      </c>
      <c r="V78">
        <v>3.2139166757106708E-3</v>
      </c>
      <c r="W78">
        <v>-2.5209248724605001E-2</v>
      </c>
      <c r="X78" s="19">
        <f t="shared" si="3"/>
        <v>46028</v>
      </c>
      <c r="Y78" s="19">
        <f t="shared" si="4"/>
        <v>46028</v>
      </c>
      <c r="Z78">
        <f t="array" ref="Z78">_xlfn.XLOOKUP(INT(X78),INT($AE$2:$AE$1000),$AG$2:$AG$1000,"")</f>
        <v>14.75</v>
      </c>
      <c r="AE78" s="19">
        <f t="shared" si="5"/>
        <v>45978</v>
      </c>
      <c r="AF78" t="s">
        <v>108</v>
      </c>
      <c r="AG78">
        <v>22.38</v>
      </c>
    </row>
    <row r="79" spans="1:33" x14ac:dyDescent="0.3">
      <c r="A79">
        <v>5</v>
      </c>
      <c r="B79" t="s">
        <v>77</v>
      </c>
      <c r="C79" t="s">
        <v>37</v>
      </c>
      <c r="D79">
        <v>44055</v>
      </c>
      <c r="E79">
        <v>111.95</v>
      </c>
      <c r="F79">
        <v>211.97</v>
      </c>
      <c r="G79">
        <v>111.938805</v>
      </c>
      <c r="H79">
        <v>211.991197</v>
      </c>
      <c r="I79">
        <v>3.5253183081807768</v>
      </c>
      <c r="J79">
        <v>1.0729530851129121</v>
      </c>
      <c r="K79">
        <v>-8.9325591782045549E-2</v>
      </c>
      <c r="L79">
        <v>5.061815752761769E-2</v>
      </c>
      <c r="M79" t="s">
        <v>30</v>
      </c>
      <c r="N79">
        <v>12</v>
      </c>
      <c r="O79" t="s">
        <v>31</v>
      </c>
      <c r="P79">
        <v>44067</v>
      </c>
      <c r="Q79">
        <v>111.89</v>
      </c>
      <c r="R79">
        <v>212.22</v>
      </c>
      <c r="S79">
        <v>0.48651662719937983</v>
      </c>
      <c r="T79">
        <v>1.801407488882736E-2</v>
      </c>
      <c r="U79">
        <v>1.386743921821406E-2</v>
      </c>
      <c r="V79">
        <v>4.145920760842847E-3</v>
      </c>
      <c r="W79">
        <v>9.7215184573712123E-3</v>
      </c>
      <c r="X79" s="19">
        <f t="shared" si="3"/>
        <v>46028</v>
      </c>
      <c r="Y79" s="19">
        <f t="shared" si="4"/>
        <v>46028</v>
      </c>
      <c r="Z79">
        <f t="array" ref="Z79">_xlfn.XLOOKUP(INT(X79),INT($AE$2:$AE$1000),$AG$2:$AG$1000,"")</f>
        <v>14.75</v>
      </c>
      <c r="AE79" s="19">
        <f t="shared" si="5"/>
        <v>45979</v>
      </c>
      <c r="AF79" t="s">
        <v>109</v>
      </c>
      <c r="AG79">
        <v>24.69</v>
      </c>
    </row>
    <row r="80" spans="1:33" x14ac:dyDescent="0.3">
      <c r="A80">
        <v>5</v>
      </c>
      <c r="B80" t="s">
        <v>77</v>
      </c>
      <c r="C80" t="s">
        <v>37</v>
      </c>
      <c r="D80">
        <v>44130</v>
      </c>
      <c r="E80">
        <v>111.99</v>
      </c>
      <c r="F80">
        <v>212.03</v>
      </c>
      <c r="G80">
        <v>111.978801</v>
      </c>
      <c r="H80">
        <v>212.05120299999999</v>
      </c>
      <c r="I80">
        <v>3.5570737216228929</v>
      </c>
      <c r="J80">
        <v>1.0729530851129121</v>
      </c>
      <c r="K80">
        <v>-8.9293686936333605E-2</v>
      </c>
      <c r="L80">
        <v>5.060383366094006E-2</v>
      </c>
      <c r="M80" t="s">
        <v>30</v>
      </c>
      <c r="N80">
        <v>39</v>
      </c>
      <c r="O80" t="s">
        <v>31</v>
      </c>
      <c r="P80">
        <v>44169</v>
      </c>
      <c r="Q80">
        <v>115.77</v>
      </c>
      <c r="R80">
        <v>213.67</v>
      </c>
      <c r="S80">
        <v>0.46817261302304131</v>
      </c>
      <c r="T80">
        <v>-0.25453984941540009</v>
      </c>
      <c r="U80">
        <v>-0.25872780762800812</v>
      </c>
      <c r="V80">
        <v>4.145920760842847E-3</v>
      </c>
      <c r="W80">
        <v>-0.26287372838885092</v>
      </c>
      <c r="X80" s="19">
        <f t="shared" si="3"/>
        <v>46029</v>
      </c>
      <c r="Y80" s="19">
        <f t="shared" si="4"/>
        <v>46029</v>
      </c>
      <c r="Z80">
        <f t="array" ref="Z80">_xlfn.XLOOKUP(INT(X80),INT($AE$2:$AE$1000),$AG$2:$AG$1000,"")</f>
        <v>15.38</v>
      </c>
      <c r="AE80" s="19">
        <f t="shared" si="5"/>
        <v>45980</v>
      </c>
      <c r="AF80" t="s">
        <v>110</v>
      </c>
      <c r="AG80">
        <v>23.66</v>
      </c>
    </row>
    <row r="81" spans="1:33" x14ac:dyDescent="0.3">
      <c r="A81">
        <v>5</v>
      </c>
      <c r="B81" t="s">
        <v>29</v>
      </c>
      <c r="C81" t="s">
        <v>78</v>
      </c>
      <c r="D81">
        <v>44270</v>
      </c>
      <c r="E81">
        <v>965.85</v>
      </c>
      <c r="F81">
        <v>191.13</v>
      </c>
      <c r="G81">
        <v>965.94658500000003</v>
      </c>
      <c r="H81">
        <v>191.11088699999999</v>
      </c>
      <c r="I81">
        <v>-3.570193529745612</v>
      </c>
      <c r="J81">
        <v>1.3474916341208181</v>
      </c>
      <c r="K81">
        <v>1.035357457162085E-2</v>
      </c>
      <c r="L81">
        <v>-7.0501315027511002E-2</v>
      </c>
      <c r="M81" t="s">
        <v>32</v>
      </c>
      <c r="N81">
        <v>15</v>
      </c>
      <c r="O81" t="s">
        <v>31</v>
      </c>
      <c r="P81">
        <v>44285</v>
      </c>
      <c r="Q81">
        <v>971.46</v>
      </c>
      <c r="R81">
        <v>191.07</v>
      </c>
      <c r="S81">
        <v>0.2009864605742876</v>
      </c>
      <c r="T81">
        <v>6.2313632248443947E-2</v>
      </c>
      <c r="U81">
        <v>5.7613263632758552E-2</v>
      </c>
      <c r="V81">
        <v>4.6949137699148109E-3</v>
      </c>
      <c r="W81">
        <v>5.2918349862843737E-2</v>
      </c>
      <c r="X81" s="19">
        <f t="shared" si="3"/>
        <v>46029</v>
      </c>
      <c r="Y81" s="19">
        <f t="shared" si="4"/>
        <v>46029</v>
      </c>
      <c r="Z81">
        <f t="array" ref="Z81">_xlfn.XLOOKUP(INT(X81),INT($AE$2:$AE$1000),$AG$2:$AG$1000,"")</f>
        <v>15.38</v>
      </c>
      <c r="AE81" s="19">
        <f t="shared" si="5"/>
        <v>45981</v>
      </c>
      <c r="AF81" t="s">
        <v>111</v>
      </c>
      <c r="AG81">
        <v>26.42</v>
      </c>
    </row>
    <row r="82" spans="1:33" x14ac:dyDescent="0.3">
      <c r="A82">
        <v>5</v>
      </c>
      <c r="B82" t="s">
        <v>35</v>
      </c>
      <c r="C82" t="s">
        <v>37</v>
      </c>
      <c r="D82">
        <v>44423</v>
      </c>
      <c r="E82">
        <v>50.335000000000001</v>
      </c>
      <c r="F82">
        <v>215.755</v>
      </c>
      <c r="G82">
        <v>50.340033499999997</v>
      </c>
      <c r="H82">
        <v>215.73342450000001</v>
      </c>
      <c r="I82">
        <v>-3.7312056425527711</v>
      </c>
      <c r="J82">
        <v>0.8270898444556487</v>
      </c>
      <c r="K82">
        <v>0.19866891824774011</v>
      </c>
      <c r="L82">
        <v>-3.8334677966009999E-2</v>
      </c>
      <c r="M82" t="s">
        <v>32</v>
      </c>
      <c r="N82">
        <v>10</v>
      </c>
      <c r="O82" t="s">
        <v>31</v>
      </c>
      <c r="P82">
        <v>44433</v>
      </c>
      <c r="Q82">
        <v>50.4</v>
      </c>
      <c r="R82">
        <v>215.77500000000001</v>
      </c>
      <c r="S82">
        <v>0.27256059573573371</v>
      </c>
      <c r="T82">
        <v>1.2146786126782071E-2</v>
      </c>
      <c r="U82">
        <v>8.4912384205460961E-3</v>
      </c>
      <c r="V82">
        <v>3.6542142709424059E-3</v>
      </c>
      <c r="W82">
        <v>4.8370241496036902E-3</v>
      </c>
      <c r="X82" s="19">
        <f t="shared" si="3"/>
        <v>46029</v>
      </c>
      <c r="Y82" s="19">
        <f t="shared" si="4"/>
        <v>46029</v>
      </c>
      <c r="Z82">
        <f t="array" ref="Z82">_xlfn.XLOOKUP(INT(X82),INT($AE$2:$AE$1000),$AG$2:$AG$1000,"")</f>
        <v>15.38</v>
      </c>
      <c r="AE82" s="19">
        <f t="shared" si="5"/>
        <v>45982</v>
      </c>
      <c r="AF82" t="s">
        <v>112</v>
      </c>
      <c r="AG82">
        <v>23.43</v>
      </c>
    </row>
    <row r="83" spans="1:33" x14ac:dyDescent="0.3">
      <c r="A83">
        <v>5</v>
      </c>
      <c r="B83" t="s">
        <v>34</v>
      </c>
      <c r="C83" t="s">
        <v>37</v>
      </c>
      <c r="D83">
        <v>44465</v>
      </c>
      <c r="E83">
        <v>89.19</v>
      </c>
      <c r="F83">
        <v>215.75</v>
      </c>
      <c r="G83">
        <v>89.198919000000004</v>
      </c>
      <c r="H83">
        <v>215.72842499999999</v>
      </c>
      <c r="I83">
        <v>-3.8503718180462321</v>
      </c>
      <c r="J83">
        <v>0.63178402664115341</v>
      </c>
      <c r="K83">
        <v>0.11212019284673171</v>
      </c>
      <c r="L83">
        <v>-2.9283153030876169E-2</v>
      </c>
      <c r="M83" t="s">
        <v>32</v>
      </c>
      <c r="N83">
        <v>18</v>
      </c>
      <c r="O83" t="s">
        <v>31</v>
      </c>
      <c r="P83">
        <v>44483</v>
      </c>
      <c r="Q83">
        <v>89.16</v>
      </c>
      <c r="R83">
        <v>215.6</v>
      </c>
      <c r="S83">
        <v>-0.36362385067986058</v>
      </c>
      <c r="T83">
        <v>1.0288671692295129E-3</v>
      </c>
      <c r="U83">
        <v>-2.2339252761787282E-3</v>
      </c>
      <c r="V83">
        <v>3.2636416964769801E-3</v>
      </c>
      <c r="W83">
        <v>-5.4975669726557083E-3</v>
      </c>
      <c r="X83" s="19">
        <f t="shared" si="3"/>
        <v>46030</v>
      </c>
      <c r="Y83" s="19">
        <f t="shared" si="4"/>
        <v>46030</v>
      </c>
      <c r="Z83">
        <f t="array" ref="Z83">_xlfn.XLOOKUP(INT(X83),INT($AE$2:$AE$1000),$AG$2:$AG$1000,"")</f>
        <v>15.45</v>
      </c>
      <c r="AE83" s="19">
        <f t="shared" si="5"/>
        <v>45985</v>
      </c>
      <c r="AF83" t="s">
        <v>113</v>
      </c>
      <c r="AG83">
        <v>20.52</v>
      </c>
    </row>
    <row r="84" spans="1:33" x14ac:dyDescent="0.3">
      <c r="A84">
        <v>5</v>
      </c>
      <c r="B84" t="s">
        <v>36</v>
      </c>
      <c r="C84" t="s">
        <v>37</v>
      </c>
      <c r="D84">
        <v>44540</v>
      </c>
      <c r="E84">
        <v>54.08</v>
      </c>
      <c r="F84">
        <v>223.25</v>
      </c>
      <c r="G84">
        <v>54.085408000000001</v>
      </c>
      <c r="H84">
        <v>223.227675</v>
      </c>
      <c r="I84">
        <v>-5.2658472854774079</v>
      </c>
      <c r="J84">
        <v>0.96257307278179516</v>
      </c>
      <c r="K84">
        <v>0.1849112426035503</v>
      </c>
      <c r="L84">
        <v>-4.3116375040617931E-2</v>
      </c>
      <c r="M84" t="s">
        <v>32</v>
      </c>
      <c r="N84">
        <v>22</v>
      </c>
      <c r="O84" t="s">
        <v>31</v>
      </c>
      <c r="P84">
        <v>44562</v>
      </c>
      <c r="Q84">
        <v>54.09</v>
      </c>
      <c r="R84">
        <v>222.08500000000001</v>
      </c>
      <c r="S84">
        <v>-0.43648752354559689</v>
      </c>
      <c r="T84">
        <v>5.2079689348356002E-2</v>
      </c>
      <c r="U84">
        <v>4.8159381349241477E-2</v>
      </c>
      <c r="V84">
        <v>3.9251536309490341E-3</v>
      </c>
      <c r="W84">
        <v>4.4234227718292447E-2</v>
      </c>
      <c r="X84" s="19">
        <f t="shared" si="3"/>
        <v>46030</v>
      </c>
      <c r="Y84" s="19">
        <f t="shared" si="4"/>
        <v>46030</v>
      </c>
      <c r="Z84">
        <f t="array" ref="Z84">_xlfn.XLOOKUP(INT(X84),INT($AE$2:$AE$1000),$AG$2:$AG$1000,"")</f>
        <v>15.45</v>
      </c>
      <c r="AE84" s="19">
        <f t="shared" si="5"/>
        <v>45986</v>
      </c>
      <c r="AF84" t="s">
        <v>114</v>
      </c>
      <c r="AG84">
        <v>18.559999999999999</v>
      </c>
    </row>
    <row r="85" spans="1:33" x14ac:dyDescent="0.3">
      <c r="A85">
        <v>5</v>
      </c>
      <c r="B85" t="s">
        <v>36</v>
      </c>
      <c r="C85" t="s">
        <v>37</v>
      </c>
      <c r="D85">
        <v>44678</v>
      </c>
      <c r="E85">
        <v>54.744999999999997</v>
      </c>
      <c r="F85">
        <v>223.35</v>
      </c>
      <c r="G85">
        <v>54.750474500000003</v>
      </c>
      <c r="H85">
        <v>223.327665</v>
      </c>
      <c r="I85">
        <v>-3.979476730420588</v>
      </c>
      <c r="J85">
        <v>0.96257307278179516</v>
      </c>
      <c r="K85">
        <v>0.18266508356927569</v>
      </c>
      <c r="L85">
        <v>-4.3097070641674291E-2</v>
      </c>
      <c r="M85" t="s">
        <v>32</v>
      </c>
      <c r="N85">
        <v>35</v>
      </c>
      <c r="O85" t="s">
        <v>31</v>
      </c>
      <c r="P85">
        <v>44713</v>
      </c>
      <c r="Q85">
        <v>54.695</v>
      </c>
      <c r="R85">
        <v>222.88</v>
      </c>
      <c r="S85">
        <v>0.11532049006353461</v>
      </c>
      <c r="T85">
        <v>1.11223690231236E-2</v>
      </c>
      <c r="U85">
        <v>7.2001617652988729E-3</v>
      </c>
      <c r="V85">
        <v>3.9251536309490341E-3</v>
      </c>
      <c r="W85">
        <v>3.2750081343498388E-3</v>
      </c>
      <c r="X85" s="19">
        <f t="shared" si="3"/>
        <v>46030</v>
      </c>
      <c r="Y85" s="19">
        <f t="shared" si="4"/>
        <v>46030</v>
      </c>
      <c r="Z85">
        <f t="array" ref="Z85">_xlfn.XLOOKUP(INT(X85),INT($AE$2:$AE$1000),$AG$2:$AG$1000,"")</f>
        <v>15.45</v>
      </c>
      <c r="AE85" s="19">
        <f t="shared" si="5"/>
        <v>45987</v>
      </c>
      <c r="AF85" t="s">
        <v>115</v>
      </c>
      <c r="AG85">
        <v>17.190000000000001</v>
      </c>
    </row>
    <row r="86" spans="1:33" x14ac:dyDescent="0.3">
      <c r="A86">
        <v>5</v>
      </c>
      <c r="B86" t="s">
        <v>36</v>
      </c>
      <c r="C86" t="s">
        <v>37</v>
      </c>
      <c r="D86">
        <v>44768</v>
      </c>
      <c r="E86">
        <v>54.97</v>
      </c>
      <c r="F86">
        <v>223.7</v>
      </c>
      <c r="G86">
        <v>54.964503000000001</v>
      </c>
      <c r="H86">
        <v>223.72237000000001</v>
      </c>
      <c r="I86">
        <v>3.607953722638348</v>
      </c>
      <c r="J86">
        <v>0.96257307278179516</v>
      </c>
      <c r="K86">
        <v>-0.18191740949608881</v>
      </c>
      <c r="L86">
        <v>4.3029641161457098E-2</v>
      </c>
      <c r="M86" t="s">
        <v>30</v>
      </c>
      <c r="N86">
        <v>17</v>
      </c>
      <c r="O86" t="s">
        <v>31</v>
      </c>
      <c r="P86">
        <v>44785</v>
      </c>
      <c r="Q86">
        <v>54.9</v>
      </c>
      <c r="R86">
        <v>223.57</v>
      </c>
      <c r="S86">
        <v>0.1518145595532466</v>
      </c>
      <c r="T86">
        <v>7.1403653137370399E-3</v>
      </c>
      <c r="U86">
        <v>3.217051975375237E-3</v>
      </c>
      <c r="V86">
        <v>3.9251386601781473E-3</v>
      </c>
      <c r="W86">
        <v>-7.0808668480290982E-4</v>
      </c>
      <c r="X86" s="19">
        <f t="shared" si="3"/>
        <v>46030</v>
      </c>
      <c r="Y86" s="19">
        <f t="shared" si="4"/>
        <v>46030</v>
      </c>
      <c r="Z86">
        <f t="array" ref="Z86">_xlfn.XLOOKUP(INT(X86),INT($AE$2:$AE$1000),$AG$2:$AG$1000,"")</f>
        <v>15.45</v>
      </c>
      <c r="AE86" s="19">
        <f t="shared" si="5"/>
        <v>45988</v>
      </c>
      <c r="AF86" t="s">
        <v>116</v>
      </c>
      <c r="AG86">
        <v>17.21</v>
      </c>
    </row>
    <row r="87" spans="1:33" x14ac:dyDescent="0.3">
      <c r="A87">
        <v>5</v>
      </c>
      <c r="B87" t="s">
        <v>78</v>
      </c>
      <c r="C87" t="s">
        <v>36</v>
      </c>
      <c r="D87">
        <v>44812</v>
      </c>
      <c r="E87">
        <v>191.53</v>
      </c>
      <c r="F87">
        <v>54.725000000000001</v>
      </c>
      <c r="G87">
        <v>191.51084700000001</v>
      </c>
      <c r="H87">
        <v>54.730472499999998</v>
      </c>
      <c r="I87">
        <v>3.6066587164096071</v>
      </c>
      <c r="J87">
        <v>0.73571008103418623</v>
      </c>
      <c r="K87">
        <v>-5.2211141857672429E-2</v>
      </c>
      <c r="L87">
        <v>0.13443765756677681</v>
      </c>
      <c r="M87" t="s">
        <v>30</v>
      </c>
      <c r="N87">
        <v>12</v>
      </c>
      <c r="O87" t="s">
        <v>31</v>
      </c>
      <c r="P87">
        <v>44824</v>
      </c>
      <c r="Q87">
        <v>191.31</v>
      </c>
      <c r="R87">
        <v>54.71</v>
      </c>
      <c r="S87">
        <v>0.13187442278154549</v>
      </c>
      <c r="T87">
        <v>9.4698863451861456E-3</v>
      </c>
      <c r="U87">
        <v>5.9998164847267534E-3</v>
      </c>
      <c r="V87">
        <v>3.4713673040845791E-3</v>
      </c>
      <c r="W87">
        <v>2.5284491806421738E-3</v>
      </c>
      <c r="X87" s="19">
        <f t="shared" si="3"/>
        <v>46030</v>
      </c>
      <c r="Y87" s="19">
        <f t="shared" si="4"/>
        <v>46030</v>
      </c>
      <c r="Z87">
        <f t="array" ref="Z87">_xlfn.XLOOKUP(INT(X87),INT($AE$2:$AE$1000),$AG$2:$AG$1000,"")</f>
        <v>15.45</v>
      </c>
      <c r="AE87" s="19">
        <f t="shared" si="5"/>
        <v>45989</v>
      </c>
      <c r="AF87" t="s">
        <v>117</v>
      </c>
      <c r="AG87">
        <v>16.350000000000001</v>
      </c>
    </row>
    <row r="88" spans="1:33" x14ac:dyDescent="0.3">
      <c r="A88">
        <v>5</v>
      </c>
      <c r="B88" t="s">
        <v>77</v>
      </c>
      <c r="C88" t="s">
        <v>34</v>
      </c>
      <c r="D88">
        <v>44837</v>
      </c>
      <c r="E88">
        <v>118.55500000000001</v>
      </c>
      <c r="F88">
        <v>88.76</v>
      </c>
      <c r="G88">
        <v>118.5431445</v>
      </c>
      <c r="H88">
        <v>88.768876000000006</v>
      </c>
      <c r="I88">
        <v>3.8613974642095532</v>
      </c>
      <c r="J88">
        <v>1.595454876936593</v>
      </c>
      <c r="K88">
        <v>-8.4349036312260123E-2</v>
      </c>
      <c r="L88">
        <v>0.1797493101550916</v>
      </c>
      <c r="M88" t="s">
        <v>30</v>
      </c>
      <c r="N88">
        <v>8</v>
      </c>
      <c r="O88" t="s">
        <v>31</v>
      </c>
      <c r="P88">
        <v>44845</v>
      </c>
      <c r="Q88">
        <v>118.55</v>
      </c>
      <c r="R88">
        <v>88.85</v>
      </c>
      <c r="S88">
        <v>0.43567614126260229</v>
      </c>
      <c r="T88">
        <v>1.659918309551842E-2</v>
      </c>
      <c r="U88">
        <v>1.1406697772373849E-2</v>
      </c>
      <c r="V88">
        <v>5.1910288448485734E-3</v>
      </c>
      <c r="W88">
        <v>6.2156689275252716E-3</v>
      </c>
      <c r="X88" s="19">
        <f t="shared" si="3"/>
        <v>46030</v>
      </c>
      <c r="Y88" s="19">
        <f t="shared" si="4"/>
        <v>46030</v>
      </c>
      <c r="Z88">
        <f t="array" ref="Z88">_xlfn.XLOOKUP(INT(X88),INT($AE$2:$AE$1000),$AG$2:$AG$1000,"")</f>
        <v>15.45</v>
      </c>
      <c r="AE88" s="19">
        <f t="shared" si="5"/>
        <v>45992</v>
      </c>
      <c r="AF88" s="19">
        <v>45669</v>
      </c>
      <c r="AG88">
        <v>17.239999999999998</v>
      </c>
    </row>
    <row r="89" spans="1:33" x14ac:dyDescent="0.3">
      <c r="A89">
        <v>5</v>
      </c>
      <c r="B89" t="s">
        <v>77</v>
      </c>
      <c r="C89" t="s">
        <v>34</v>
      </c>
      <c r="D89">
        <v>44858</v>
      </c>
      <c r="E89">
        <v>118.72</v>
      </c>
      <c r="F89">
        <v>88.66</v>
      </c>
      <c r="G89">
        <v>118.708128</v>
      </c>
      <c r="H89">
        <v>88.668865999999994</v>
      </c>
      <c r="I89">
        <v>3.560580375629625</v>
      </c>
      <c r="J89">
        <v>1.595454876936593</v>
      </c>
      <c r="K89">
        <v>-8.4231805929919135E-2</v>
      </c>
      <c r="L89">
        <v>0.17995205018459201</v>
      </c>
      <c r="M89" t="s">
        <v>30</v>
      </c>
      <c r="N89">
        <v>6</v>
      </c>
      <c r="O89" t="s">
        <v>31</v>
      </c>
      <c r="P89">
        <v>44864</v>
      </c>
      <c r="Q89">
        <v>118.52500000000001</v>
      </c>
      <c r="R89">
        <v>88.724999999999994</v>
      </c>
      <c r="S89">
        <v>0.42946286581679521</v>
      </c>
      <c r="T89">
        <v>2.8122085418331728E-2</v>
      </c>
      <c r="U89">
        <v>2.2931648496349221E-2</v>
      </c>
      <c r="V89">
        <v>5.1910288448485734E-3</v>
      </c>
      <c r="W89">
        <v>1.7740619651500651E-2</v>
      </c>
      <c r="X89" s="19">
        <f t="shared" si="3"/>
        <v>46031</v>
      </c>
      <c r="Y89" s="19">
        <f t="shared" si="4"/>
        <v>46031</v>
      </c>
      <c r="Z89">
        <f t="array" ref="Z89">_xlfn.XLOOKUP(INT(X89),INT($AE$2:$AE$1000),$AG$2:$AG$1000,"")</f>
        <v>14.49</v>
      </c>
      <c r="AE89" s="19">
        <f t="shared" si="5"/>
        <v>45993</v>
      </c>
      <c r="AF89" s="19">
        <v>45700</v>
      </c>
      <c r="AG89">
        <v>16.59</v>
      </c>
    </row>
    <row r="90" spans="1:33" x14ac:dyDescent="0.3">
      <c r="A90">
        <v>5</v>
      </c>
      <c r="B90" t="s">
        <v>28</v>
      </c>
      <c r="C90" t="s">
        <v>33</v>
      </c>
      <c r="D90">
        <v>44880</v>
      </c>
      <c r="E90">
        <v>313.58</v>
      </c>
      <c r="F90">
        <v>53.104999999999997</v>
      </c>
      <c r="G90">
        <v>313.611358</v>
      </c>
      <c r="H90">
        <v>53.099689499999997</v>
      </c>
      <c r="I90">
        <v>-3.5932213901973502</v>
      </c>
      <c r="J90">
        <v>1.002253482054859</v>
      </c>
      <c r="K90">
        <v>3.1889788889597551E-2</v>
      </c>
      <c r="L90">
        <v>-0.18873053046885579</v>
      </c>
      <c r="M90" t="s">
        <v>32</v>
      </c>
      <c r="N90">
        <v>19</v>
      </c>
      <c r="O90" t="s">
        <v>31</v>
      </c>
      <c r="P90">
        <v>44899</v>
      </c>
      <c r="Q90">
        <v>312.95</v>
      </c>
      <c r="R90">
        <v>52.984999999999999</v>
      </c>
      <c r="S90">
        <v>-0.35168191426910822</v>
      </c>
      <c r="T90">
        <v>2.5570966558158999E-3</v>
      </c>
      <c r="U90">
        <v>-1.4431364852289521E-3</v>
      </c>
      <c r="V90">
        <v>4.0045065134133064E-3</v>
      </c>
      <c r="W90">
        <v>-5.4476429986422582E-3</v>
      </c>
      <c r="X90" s="19">
        <f t="shared" si="3"/>
        <v>46031</v>
      </c>
      <c r="Y90" s="19">
        <f t="shared" si="4"/>
        <v>46031</v>
      </c>
      <c r="Z90">
        <f t="array" ref="Z90">_xlfn.XLOOKUP(INT(X90),INT($AE$2:$AE$1000),$AG$2:$AG$1000,"")</f>
        <v>14.49</v>
      </c>
      <c r="AE90" s="19">
        <f t="shared" si="5"/>
        <v>45994</v>
      </c>
      <c r="AF90" s="19">
        <v>45728</v>
      </c>
      <c r="AG90">
        <v>16.079999999999998</v>
      </c>
    </row>
    <row r="91" spans="1:33" x14ac:dyDescent="0.3">
      <c r="A91">
        <v>5</v>
      </c>
      <c r="B91" t="s">
        <v>28</v>
      </c>
      <c r="C91" t="s">
        <v>33</v>
      </c>
      <c r="D91">
        <v>44931</v>
      </c>
      <c r="E91">
        <v>306.3</v>
      </c>
      <c r="F91">
        <v>52.424999999999997</v>
      </c>
      <c r="G91">
        <v>306.33062999999999</v>
      </c>
      <c r="H91">
        <v>52.419757500000003</v>
      </c>
      <c r="I91">
        <v>-3.6301488779274158</v>
      </c>
      <c r="J91">
        <v>1.002253482054859</v>
      </c>
      <c r="K91">
        <v>3.2647730982696702E-2</v>
      </c>
      <c r="L91">
        <v>-0.19117853734952001</v>
      </c>
      <c r="M91" t="s">
        <v>32</v>
      </c>
      <c r="N91">
        <v>4</v>
      </c>
      <c r="O91" t="s">
        <v>31</v>
      </c>
      <c r="P91">
        <v>44935</v>
      </c>
      <c r="Q91">
        <v>307.48</v>
      </c>
      <c r="R91">
        <v>52.33</v>
      </c>
      <c r="S91">
        <v>-0.44373601342672819</v>
      </c>
      <c r="T91">
        <v>5.668628360778652E-2</v>
      </c>
      <c r="U91">
        <v>5.2679740407526293E-2</v>
      </c>
      <c r="V91">
        <v>4.0045065134133064E-3</v>
      </c>
      <c r="W91">
        <v>4.8675233894112983E-2</v>
      </c>
      <c r="X91" s="19">
        <f t="shared" si="3"/>
        <v>46031</v>
      </c>
      <c r="Y91" s="19">
        <f t="shared" si="4"/>
        <v>46031</v>
      </c>
      <c r="Z91">
        <f t="array" ref="Z91">_xlfn.XLOOKUP(INT(X91),INT($AE$2:$AE$1000),$AG$2:$AG$1000,"")</f>
        <v>14.49</v>
      </c>
      <c r="AE91" s="19">
        <f t="shared" si="5"/>
        <v>45995</v>
      </c>
      <c r="AF91" s="19">
        <v>45759</v>
      </c>
      <c r="AG91">
        <v>15.78</v>
      </c>
    </row>
    <row r="92" spans="1:33" x14ac:dyDescent="0.3">
      <c r="A92">
        <v>5</v>
      </c>
      <c r="B92" t="s">
        <v>77</v>
      </c>
      <c r="C92" t="s">
        <v>34</v>
      </c>
      <c r="D92">
        <v>44937</v>
      </c>
      <c r="E92">
        <v>115.125</v>
      </c>
      <c r="F92">
        <v>87.724999999999994</v>
      </c>
      <c r="G92">
        <v>115.13651249999999</v>
      </c>
      <c r="H92">
        <v>87.716227500000002</v>
      </c>
      <c r="I92">
        <v>-3.500885227245341</v>
      </c>
      <c r="J92">
        <v>1.595454876936593</v>
      </c>
      <c r="K92">
        <v>8.6862106406080344E-2</v>
      </c>
      <c r="L92">
        <v>-0.18187003441853439</v>
      </c>
      <c r="M92" t="s">
        <v>32</v>
      </c>
      <c r="N92">
        <v>18</v>
      </c>
      <c r="O92" t="s">
        <v>31</v>
      </c>
      <c r="P92">
        <v>44955</v>
      </c>
      <c r="Q92">
        <v>114.95</v>
      </c>
      <c r="R92">
        <v>87.66</v>
      </c>
      <c r="S92">
        <v>-0.42205903081060309</v>
      </c>
      <c r="T92">
        <v>-3.3793163838594909E-3</v>
      </c>
      <c r="U92">
        <v>-8.567523895643624E-3</v>
      </c>
      <c r="V92">
        <v>5.190790662897799E-3</v>
      </c>
      <c r="W92">
        <v>-1.375831455854142E-2</v>
      </c>
      <c r="X92" s="19">
        <f t="shared" si="3"/>
        <v>46031</v>
      </c>
      <c r="Y92" s="19">
        <f t="shared" si="4"/>
        <v>46031</v>
      </c>
      <c r="Z92">
        <f t="array" ref="Z92">_xlfn.XLOOKUP(INT(X92),INT($AE$2:$AE$1000),$AG$2:$AG$1000,"")</f>
        <v>14.49</v>
      </c>
      <c r="AE92" s="19">
        <f t="shared" si="5"/>
        <v>45996</v>
      </c>
      <c r="AF92" s="19">
        <v>45789</v>
      </c>
      <c r="AG92">
        <v>15.41</v>
      </c>
    </row>
    <row r="93" spans="1:33" x14ac:dyDescent="0.3">
      <c r="A93">
        <v>5</v>
      </c>
      <c r="B93" t="s">
        <v>33</v>
      </c>
      <c r="C93" t="s">
        <v>37</v>
      </c>
      <c r="D93">
        <v>45024</v>
      </c>
      <c r="E93">
        <v>53.034999999999997</v>
      </c>
      <c r="F93">
        <v>223.065</v>
      </c>
      <c r="G93">
        <v>53.040303499999993</v>
      </c>
      <c r="H93">
        <v>223.04269350000001</v>
      </c>
      <c r="I93">
        <v>-3.6389905474390289</v>
      </c>
      <c r="J93">
        <v>0.38436799874417199</v>
      </c>
      <c r="K93">
        <v>0.18855472800980491</v>
      </c>
      <c r="L93">
        <v>-1.7231210577373049E-2</v>
      </c>
      <c r="M93" t="s">
        <v>32</v>
      </c>
      <c r="N93">
        <v>53</v>
      </c>
      <c r="O93" t="s">
        <v>31</v>
      </c>
      <c r="P93">
        <v>45077</v>
      </c>
      <c r="Q93">
        <v>52.85</v>
      </c>
      <c r="R93">
        <v>223.18</v>
      </c>
      <c r="S93">
        <v>8.3257810667259818E-2</v>
      </c>
      <c r="T93">
        <v>-3.6864213898211047E-2</v>
      </c>
      <c r="U93">
        <v>-3.9629659792151793E-2</v>
      </c>
      <c r="V93">
        <v>2.7688591238885949E-3</v>
      </c>
      <c r="W93">
        <v>-4.2398518916040392E-2</v>
      </c>
      <c r="X93" s="19">
        <f t="shared" si="3"/>
        <v>46031</v>
      </c>
      <c r="Y93" s="19">
        <f t="shared" si="4"/>
        <v>46031</v>
      </c>
      <c r="Z93">
        <f t="array" ref="Z93">_xlfn.XLOOKUP(INT(X93),INT($AE$2:$AE$1000),$AG$2:$AG$1000,"")</f>
        <v>14.49</v>
      </c>
      <c r="AE93" s="19">
        <f t="shared" si="5"/>
        <v>45999</v>
      </c>
      <c r="AF93" s="19">
        <v>45881</v>
      </c>
      <c r="AG93">
        <v>16.66</v>
      </c>
    </row>
    <row r="94" spans="1:33" x14ac:dyDescent="0.3">
      <c r="A94">
        <v>5</v>
      </c>
      <c r="B94" t="s">
        <v>78</v>
      </c>
      <c r="C94" t="s">
        <v>35</v>
      </c>
      <c r="D94">
        <v>45082</v>
      </c>
      <c r="E94">
        <v>185.10499999999999</v>
      </c>
      <c r="F94">
        <v>49.67</v>
      </c>
      <c r="G94">
        <v>185.0864895</v>
      </c>
      <c r="H94">
        <v>49.674967000000002</v>
      </c>
      <c r="I94">
        <v>3.9729367656829448</v>
      </c>
      <c r="J94">
        <v>0.83779571666773978</v>
      </c>
      <c r="K94">
        <v>-5.4023392128791772E-2</v>
      </c>
      <c r="L94">
        <v>0.1686723810484678</v>
      </c>
      <c r="M94" t="s">
        <v>30</v>
      </c>
      <c r="N94">
        <v>17</v>
      </c>
      <c r="O94" t="s">
        <v>31</v>
      </c>
      <c r="P94">
        <v>45099</v>
      </c>
      <c r="Q94">
        <v>185.24</v>
      </c>
      <c r="R94">
        <v>49.774999999999999</v>
      </c>
      <c r="S94">
        <v>0.47402270596460983</v>
      </c>
      <c r="T94">
        <v>1.041744207270066E-2</v>
      </c>
      <c r="U94">
        <v>6.7393502635712081E-3</v>
      </c>
      <c r="V94">
        <v>3.6755589924788129E-3</v>
      </c>
      <c r="W94">
        <v>3.0637912710923948E-3</v>
      </c>
      <c r="X94" s="19">
        <f t="shared" si="3"/>
        <v>46031</v>
      </c>
      <c r="Y94" s="19">
        <f t="shared" si="4"/>
        <v>46031</v>
      </c>
      <c r="Z94">
        <f t="array" ref="Z94">_xlfn.XLOOKUP(INT(X94),INT($AE$2:$AE$1000),$AG$2:$AG$1000,"")</f>
        <v>14.49</v>
      </c>
      <c r="AE94" s="19">
        <f t="shared" si="5"/>
        <v>46000</v>
      </c>
      <c r="AF94" s="19">
        <v>45912</v>
      </c>
      <c r="AG94">
        <v>16.93</v>
      </c>
    </row>
    <row r="95" spans="1:33" x14ac:dyDescent="0.3">
      <c r="A95">
        <v>5</v>
      </c>
      <c r="B95" t="s">
        <v>33</v>
      </c>
      <c r="C95" t="s">
        <v>78</v>
      </c>
      <c r="D95">
        <v>45117</v>
      </c>
      <c r="E95">
        <v>52.575000000000003</v>
      </c>
      <c r="F95">
        <v>184.35499999999999</v>
      </c>
      <c r="G95">
        <v>52.580257500000002</v>
      </c>
      <c r="H95">
        <v>184.33656450000001</v>
      </c>
      <c r="I95">
        <v>-3.6616368689965721</v>
      </c>
      <c r="J95">
        <v>0.54272081108663817</v>
      </c>
      <c r="K95">
        <v>0.19020446980504041</v>
      </c>
      <c r="L95">
        <v>-2.943889838011652E-2</v>
      </c>
      <c r="M95" t="s">
        <v>32</v>
      </c>
      <c r="N95">
        <v>20</v>
      </c>
      <c r="O95" t="s">
        <v>31</v>
      </c>
      <c r="P95">
        <v>45137</v>
      </c>
      <c r="Q95">
        <v>52.52</v>
      </c>
      <c r="R95">
        <v>184</v>
      </c>
      <c r="S95">
        <v>-0.20243217523675919</v>
      </c>
      <c r="T95">
        <v>-1.0436914336104179E-5</v>
      </c>
      <c r="U95">
        <v>-3.0937873310323831E-3</v>
      </c>
      <c r="V95">
        <v>3.0855330780110591E-3</v>
      </c>
      <c r="W95">
        <v>-6.1793204090434418E-3</v>
      </c>
      <c r="X95" s="19">
        <f t="shared" si="3"/>
        <v>46031</v>
      </c>
      <c r="Y95" s="19">
        <f t="shared" si="4"/>
        <v>46031</v>
      </c>
      <c r="Z95">
        <f t="array" ref="Z95">_xlfn.XLOOKUP(INT(X95),INT($AE$2:$AE$1000),$AG$2:$AG$1000,"")</f>
        <v>14.49</v>
      </c>
      <c r="AE95" s="19">
        <f t="shared" si="5"/>
        <v>46001</v>
      </c>
      <c r="AF95" s="19">
        <v>45942</v>
      </c>
      <c r="AG95">
        <v>15.77</v>
      </c>
    </row>
    <row r="96" spans="1:33" x14ac:dyDescent="0.3">
      <c r="A96">
        <v>5</v>
      </c>
      <c r="B96" t="s">
        <v>29</v>
      </c>
      <c r="C96" t="s">
        <v>78</v>
      </c>
      <c r="D96">
        <v>45161</v>
      </c>
      <c r="E96">
        <v>951.89</v>
      </c>
      <c r="F96">
        <v>183.79</v>
      </c>
      <c r="G96">
        <v>951.79481099999998</v>
      </c>
      <c r="H96">
        <v>183.808379</v>
      </c>
      <c r="I96">
        <v>3.5088337198281918</v>
      </c>
      <c r="J96">
        <v>1.3474916341208181</v>
      </c>
      <c r="K96">
        <v>-1.0505415541711751E-2</v>
      </c>
      <c r="L96">
        <v>7.3316917901997819E-2</v>
      </c>
      <c r="M96" t="s">
        <v>30</v>
      </c>
      <c r="N96">
        <v>22</v>
      </c>
      <c r="O96" t="s">
        <v>31</v>
      </c>
      <c r="P96">
        <v>45183</v>
      </c>
      <c r="Q96">
        <v>946.19</v>
      </c>
      <c r="R96">
        <v>183.04499999999999</v>
      </c>
      <c r="S96">
        <v>-0.1878884970577632</v>
      </c>
      <c r="T96">
        <v>5.2597647507675593E-3</v>
      </c>
      <c r="U96">
        <v>5.7623167976802309E-4</v>
      </c>
      <c r="V96">
        <v>4.6950527665684614E-3</v>
      </c>
      <c r="W96">
        <v>-4.1188210868004366E-3</v>
      </c>
      <c r="X96" s="19">
        <f t="shared" si="3"/>
        <v>46031</v>
      </c>
      <c r="Y96" s="19">
        <f t="shared" si="4"/>
        <v>46031</v>
      </c>
      <c r="Z96">
        <f t="array" ref="Z96">_xlfn.XLOOKUP(INT(X96),INT($AE$2:$AE$1000),$AG$2:$AG$1000,"")</f>
        <v>14.49</v>
      </c>
      <c r="AE96" s="19">
        <f t="shared" si="5"/>
        <v>46002</v>
      </c>
      <c r="AF96" s="19">
        <v>45973</v>
      </c>
      <c r="AG96">
        <v>14.85</v>
      </c>
    </row>
    <row r="97" spans="1:33" x14ac:dyDescent="0.3">
      <c r="A97">
        <v>5</v>
      </c>
      <c r="B97" t="s">
        <v>29</v>
      </c>
      <c r="C97" t="s">
        <v>78</v>
      </c>
      <c r="D97">
        <v>45320</v>
      </c>
      <c r="E97">
        <v>942.6</v>
      </c>
      <c r="F97">
        <v>182.04</v>
      </c>
      <c r="G97">
        <v>942.69425999999999</v>
      </c>
      <c r="H97">
        <v>182.02179599999999</v>
      </c>
      <c r="I97">
        <v>-3.6763721749581029</v>
      </c>
      <c r="J97">
        <v>1.3474916341208181</v>
      </c>
      <c r="K97">
        <v>1.060895395713983E-2</v>
      </c>
      <c r="L97">
        <v>-7.4021733361943412E-2</v>
      </c>
      <c r="M97" t="s">
        <v>32</v>
      </c>
      <c r="N97">
        <v>10</v>
      </c>
      <c r="O97" t="s">
        <v>31</v>
      </c>
      <c r="P97">
        <v>45330</v>
      </c>
      <c r="Q97">
        <v>950.08500000000004</v>
      </c>
      <c r="R97">
        <v>183.06</v>
      </c>
      <c r="S97">
        <v>3.055764098590763E-2</v>
      </c>
      <c r="T97">
        <v>3.9058523400087031E-3</v>
      </c>
      <c r="U97">
        <v>-8.0462194707128787E-4</v>
      </c>
      <c r="V97">
        <v>4.6949137699148118E-3</v>
      </c>
      <c r="W97">
        <v>-5.4995357169860997E-3</v>
      </c>
      <c r="X97" s="19">
        <f t="shared" si="3"/>
        <v>46034</v>
      </c>
      <c r="Y97" s="19">
        <f t="shared" si="4"/>
        <v>46034</v>
      </c>
      <c r="Z97">
        <f t="array" ref="Z97">_xlfn.XLOOKUP(INT(X97),INT($AE$2:$AE$1000),$AG$2:$AG$1000,"")</f>
        <v>15.12</v>
      </c>
      <c r="AE97" s="19">
        <f t="shared" si="5"/>
        <v>46003</v>
      </c>
      <c r="AF97" s="19">
        <v>46003</v>
      </c>
      <c r="AG97">
        <v>15.74</v>
      </c>
    </row>
    <row r="98" spans="1:33" x14ac:dyDescent="0.3">
      <c r="A98">
        <v>5</v>
      </c>
      <c r="B98" t="s">
        <v>28</v>
      </c>
      <c r="C98" t="s">
        <v>33</v>
      </c>
      <c r="D98">
        <v>45514</v>
      </c>
      <c r="E98">
        <v>301.82499999999999</v>
      </c>
      <c r="F98">
        <v>52.41</v>
      </c>
      <c r="G98">
        <v>301.85518250000001</v>
      </c>
      <c r="H98">
        <v>52.404758999999999</v>
      </c>
      <c r="I98">
        <v>-3.521413979554572</v>
      </c>
      <c r="J98">
        <v>1.002253482054859</v>
      </c>
      <c r="K98">
        <v>3.3131781661558848E-2</v>
      </c>
      <c r="L98">
        <v>-0.19123325358802881</v>
      </c>
      <c r="M98" t="s">
        <v>32</v>
      </c>
      <c r="N98">
        <v>19</v>
      </c>
      <c r="O98" t="s">
        <v>31</v>
      </c>
      <c r="P98">
        <v>45533</v>
      </c>
      <c r="Q98">
        <v>302.18</v>
      </c>
      <c r="R98">
        <v>52.45</v>
      </c>
      <c r="S98">
        <v>-0.32815204951353832</v>
      </c>
      <c r="T98">
        <v>4.1124523463316482E-3</v>
      </c>
      <c r="U98">
        <v>1.060042709580787E-4</v>
      </c>
      <c r="V98">
        <v>4.0045065134133064E-3</v>
      </c>
      <c r="W98">
        <v>-3.8985022424552281E-3</v>
      </c>
      <c r="X98" s="19">
        <f t="shared" si="3"/>
        <v>46034</v>
      </c>
      <c r="Y98" s="19">
        <f t="shared" si="4"/>
        <v>46034</v>
      </c>
      <c r="Z98">
        <f t="array" ref="Z98">_xlfn.XLOOKUP(INT(X98),INT($AE$2:$AE$1000),$AG$2:$AG$1000,"")</f>
        <v>15.12</v>
      </c>
      <c r="AE98" s="19">
        <f t="shared" si="5"/>
        <v>46006</v>
      </c>
      <c r="AF98" t="s">
        <v>118</v>
      </c>
      <c r="AG98">
        <v>16.5</v>
      </c>
    </row>
    <row r="99" spans="1:33" x14ac:dyDescent="0.3">
      <c r="A99">
        <v>5</v>
      </c>
      <c r="B99" t="s">
        <v>77</v>
      </c>
      <c r="C99" t="s">
        <v>78</v>
      </c>
      <c r="D99">
        <v>45558</v>
      </c>
      <c r="E99">
        <v>114.29</v>
      </c>
      <c r="F99">
        <v>183.26499999999999</v>
      </c>
      <c r="G99">
        <v>114.301429</v>
      </c>
      <c r="H99">
        <v>183.24667350000001</v>
      </c>
      <c r="I99">
        <v>-3.5155871539595629</v>
      </c>
      <c r="J99">
        <v>1.4055877728458459</v>
      </c>
      <c r="K99">
        <v>8.7496718873042251E-2</v>
      </c>
      <c r="L99">
        <v>-7.6697011041161486E-2</v>
      </c>
      <c r="M99" t="s">
        <v>32</v>
      </c>
      <c r="N99">
        <v>18</v>
      </c>
      <c r="O99" t="s">
        <v>31</v>
      </c>
      <c r="P99">
        <v>45576</v>
      </c>
      <c r="Q99">
        <v>114.17</v>
      </c>
      <c r="R99">
        <v>183.11500000000001</v>
      </c>
      <c r="S99">
        <v>-0.45261173108776881</v>
      </c>
      <c r="T99">
        <v>1.0049453914070109E-3</v>
      </c>
      <c r="U99">
        <v>-3.8040297384922682E-3</v>
      </c>
      <c r="V99">
        <v>4.8110944281371231E-3</v>
      </c>
      <c r="W99">
        <v>-8.6151241666293909E-3</v>
      </c>
      <c r="X99" s="19">
        <f t="shared" si="3"/>
        <v>46034</v>
      </c>
      <c r="Y99" s="19">
        <f t="shared" si="4"/>
        <v>46034</v>
      </c>
      <c r="Z99">
        <f t="array" ref="Z99">_xlfn.XLOOKUP(INT(X99),INT($AE$2:$AE$1000),$AG$2:$AG$1000,"")</f>
        <v>15.12</v>
      </c>
      <c r="AE99" s="19">
        <f t="shared" si="5"/>
        <v>46007</v>
      </c>
      <c r="AF99" t="s">
        <v>119</v>
      </c>
      <c r="AG99">
        <v>16.48</v>
      </c>
    </row>
    <row r="100" spans="1:33" x14ac:dyDescent="0.3">
      <c r="A100">
        <v>5</v>
      </c>
      <c r="B100" t="s">
        <v>28</v>
      </c>
      <c r="C100" t="s">
        <v>33</v>
      </c>
      <c r="D100">
        <v>45628</v>
      </c>
      <c r="E100">
        <v>304.52999999999997</v>
      </c>
      <c r="F100">
        <v>52.604999999999997</v>
      </c>
      <c r="G100">
        <v>304.560453</v>
      </c>
      <c r="H100">
        <v>52.599739499999998</v>
      </c>
      <c r="I100">
        <v>-3.5171855286527549</v>
      </c>
      <c r="J100">
        <v>1.002253482054859</v>
      </c>
      <c r="K100">
        <v>3.2837487275473677E-2</v>
      </c>
      <c r="L100">
        <v>-0.1905243764005054</v>
      </c>
      <c r="M100" t="s">
        <v>32</v>
      </c>
      <c r="N100">
        <v>8</v>
      </c>
      <c r="O100" t="s">
        <v>31</v>
      </c>
      <c r="P100">
        <v>45636</v>
      </c>
      <c r="Q100">
        <v>304.11</v>
      </c>
      <c r="R100">
        <v>52.46</v>
      </c>
      <c r="S100">
        <v>-0.41640349327073178</v>
      </c>
      <c r="T100">
        <v>1.3834289922374921E-2</v>
      </c>
      <c r="U100">
        <v>9.8339247361876846E-3</v>
      </c>
      <c r="V100">
        <v>4.0045065134133072E-3</v>
      </c>
      <c r="W100">
        <v>5.8294182227743773E-3</v>
      </c>
      <c r="X100" s="19">
        <f t="shared" si="3"/>
        <v>46034</v>
      </c>
      <c r="Y100" s="19">
        <f t="shared" si="4"/>
        <v>46035</v>
      </c>
      <c r="Z100">
        <f t="array" ref="Z100">_xlfn.XLOOKUP(INT(X100),INT($AE$2:$AE$1000),$AG$2:$AG$1000,"")</f>
        <v>15.12</v>
      </c>
      <c r="AE100" s="19">
        <f t="shared" si="5"/>
        <v>46008</v>
      </c>
      <c r="AF100" t="s">
        <v>120</v>
      </c>
      <c r="AG100">
        <v>17.62</v>
      </c>
    </row>
    <row r="101" spans="1:33" x14ac:dyDescent="0.3">
      <c r="A101">
        <v>5</v>
      </c>
      <c r="B101" t="s">
        <v>33</v>
      </c>
      <c r="C101" t="s">
        <v>77</v>
      </c>
      <c r="D101">
        <v>45702</v>
      </c>
      <c r="E101">
        <v>52.115000000000002</v>
      </c>
      <c r="F101">
        <v>114</v>
      </c>
      <c r="G101">
        <v>52.120211500000003</v>
      </c>
      <c r="H101">
        <v>113.98860000000001</v>
      </c>
      <c r="I101">
        <v>-3.858577886822343</v>
      </c>
      <c r="J101">
        <v>0.36985582956875818</v>
      </c>
      <c r="K101">
        <v>0.19188333493236109</v>
      </c>
      <c r="L101">
        <v>-3.2443493821820893E-2</v>
      </c>
      <c r="M101" t="s">
        <v>32</v>
      </c>
      <c r="N101">
        <v>36</v>
      </c>
      <c r="O101" t="s">
        <v>31</v>
      </c>
      <c r="P101">
        <v>45738</v>
      </c>
      <c r="Q101">
        <v>52.805</v>
      </c>
      <c r="R101">
        <v>114.41</v>
      </c>
      <c r="S101">
        <v>0.42318049579020139</v>
      </c>
      <c r="T101">
        <v>0.1190976686363823</v>
      </c>
      <c r="U101">
        <v>0.1163433868438879</v>
      </c>
      <c r="V101">
        <v>2.739837687971603E-3</v>
      </c>
      <c r="W101">
        <v>0.11360354915591631</v>
      </c>
      <c r="X101" s="19">
        <f t="shared" si="3"/>
        <v>46035</v>
      </c>
      <c r="Y101" s="19">
        <f t="shared" si="4"/>
        <v>46035</v>
      </c>
      <c r="Z101">
        <f t="array" ref="Z101">_xlfn.XLOOKUP(INT(X101),INT($AE$2:$AE$1000),$AG$2:$AG$1000,"")</f>
        <v>15.98</v>
      </c>
      <c r="AE101" s="19">
        <f t="shared" si="5"/>
        <v>46009</v>
      </c>
      <c r="AF101" t="s">
        <v>121</v>
      </c>
      <c r="AG101">
        <v>16.87</v>
      </c>
    </row>
    <row r="102" spans="1:33" x14ac:dyDescent="0.3">
      <c r="A102">
        <v>5</v>
      </c>
      <c r="B102" t="s">
        <v>33</v>
      </c>
      <c r="C102" t="s">
        <v>34</v>
      </c>
      <c r="D102">
        <v>45806</v>
      </c>
      <c r="E102">
        <v>52.82</v>
      </c>
      <c r="F102">
        <v>88.224999999999994</v>
      </c>
      <c r="G102">
        <v>52.814717999999999</v>
      </c>
      <c r="H102">
        <v>88.233822499999988</v>
      </c>
      <c r="I102">
        <v>3.5419216132306008</v>
      </c>
      <c r="J102">
        <v>0.60699763809152618</v>
      </c>
      <c r="K102">
        <v>-0.18932222642938279</v>
      </c>
      <c r="L102">
        <v>6.8801092444491493E-2</v>
      </c>
      <c r="M102" t="s">
        <v>30</v>
      </c>
      <c r="N102">
        <v>9</v>
      </c>
      <c r="O102" t="s">
        <v>31</v>
      </c>
      <c r="P102">
        <v>45815</v>
      </c>
      <c r="Q102">
        <v>52.805</v>
      </c>
      <c r="R102">
        <v>88.355000000000004</v>
      </c>
      <c r="S102">
        <v>0.2694315323905429</v>
      </c>
      <c r="T102">
        <v>1.178397541422541E-2</v>
      </c>
      <c r="U102">
        <v>8.569369707180613E-3</v>
      </c>
      <c r="V102">
        <v>3.2139166757106708E-3</v>
      </c>
      <c r="W102">
        <v>5.3554530314699426E-3</v>
      </c>
      <c r="X102" s="19">
        <f t="shared" si="3"/>
        <v>46035</v>
      </c>
      <c r="Y102" s="19">
        <f t="shared" si="4"/>
        <v>46035</v>
      </c>
      <c r="Z102">
        <f t="array" ref="Z102">_xlfn.XLOOKUP(INT(X102),INT($AE$2:$AE$1000),$AG$2:$AG$1000,"")</f>
        <v>15.98</v>
      </c>
      <c r="AE102" s="19">
        <f t="shared" si="5"/>
        <v>46010</v>
      </c>
      <c r="AF102" t="s">
        <v>122</v>
      </c>
      <c r="AG102">
        <v>14.91</v>
      </c>
    </row>
    <row r="103" spans="1:33" x14ac:dyDescent="0.3">
      <c r="A103">
        <v>5</v>
      </c>
      <c r="B103" t="s">
        <v>33</v>
      </c>
      <c r="C103" t="s">
        <v>123</v>
      </c>
      <c r="D103">
        <v>45868</v>
      </c>
      <c r="E103">
        <v>52.9</v>
      </c>
      <c r="F103">
        <v>237.13</v>
      </c>
      <c r="G103">
        <v>52.905290000000001</v>
      </c>
      <c r="H103">
        <v>237.10628700000001</v>
      </c>
      <c r="I103">
        <v>-4.5091658239065699</v>
      </c>
      <c r="J103">
        <v>0.42398871967426333</v>
      </c>
      <c r="K103">
        <v>0.1890359168241966</v>
      </c>
      <c r="L103">
        <v>-1.7880011794132469E-2</v>
      </c>
      <c r="M103" t="s">
        <v>32</v>
      </c>
      <c r="N103">
        <v>10</v>
      </c>
      <c r="O103" t="s">
        <v>31</v>
      </c>
      <c r="P103">
        <v>45878</v>
      </c>
      <c r="Q103">
        <v>53.06</v>
      </c>
      <c r="R103">
        <v>237.25</v>
      </c>
      <c r="S103">
        <v>-0.1170974968328455</v>
      </c>
      <c r="T103">
        <v>2.8100145276576179E-2</v>
      </c>
      <c r="U103">
        <v>2.524892870241752E-2</v>
      </c>
      <c r="V103">
        <v>2.8480926416045919E-3</v>
      </c>
      <c r="W103">
        <v>2.2400836060812931E-2</v>
      </c>
      <c r="X103" s="19">
        <f t="shared" si="3"/>
        <v>46035</v>
      </c>
      <c r="Y103" s="19">
        <f t="shared" si="4"/>
        <v>46035</v>
      </c>
      <c r="Z103">
        <f t="array" ref="Z103">_xlfn.XLOOKUP(INT(X103),INT($AE$2:$AE$1000),$AG$2:$AG$1000,"")</f>
        <v>15.98</v>
      </c>
      <c r="AE103" s="19">
        <f t="shared" si="5"/>
        <v>46013</v>
      </c>
      <c r="AF103" t="s">
        <v>124</v>
      </c>
      <c r="AG103">
        <v>14.08</v>
      </c>
    </row>
    <row r="104" spans="1:33" x14ac:dyDescent="0.3">
      <c r="A104">
        <v>5</v>
      </c>
      <c r="B104" t="s">
        <v>35</v>
      </c>
      <c r="C104" t="s">
        <v>37</v>
      </c>
      <c r="D104">
        <v>45920</v>
      </c>
      <c r="E104">
        <v>50.994999999999997</v>
      </c>
      <c r="F104">
        <v>225.28</v>
      </c>
      <c r="G104">
        <v>51.000099499999997</v>
      </c>
      <c r="H104">
        <v>225.25747200000001</v>
      </c>
      <c r="I104">
        <v>-3.5020228025193871</v>
      </c>
      <c r="J104">
        <v>0.8270898444556487</v>
      </c>
      <c r="K104">
        <v>0.19609765663300319</v>
      </c>
      <c r="L104">
        <v>-3.6713860283009971E-2</v>
      </c>
      <c r="M104" t="s">
        <v>32</v>
      </c>
      <c r="N104">
        <v>14</v>
      </c>
      <c r="O104" t="s">
        <v>31</v>
      </c>
      <c r="P104">
        <v>45934</v>
      </c>
      <c r="Q104">
        <v>50.865000000000002</v>
      </c>
      <c r="R104">
        <v>224.53</v>
      </c>
      <c r="S104">
        <v>-0.47536521026343492</v>
      </c>
      <c r="T104">
        <v>2.0426998499679491E-3</v>
      </c>
      <c r="U104">
        <v>-1.6061770298845921E-3</v>
      </c>
      <c r="V104">
        <v>3.6542142709424059E-3</v>
      </c>
      <c r="W104">
        <v>-5.2603913008269984E-3</v>
      </c>
      <c r="X104" s="19">
        <f t="shared" si="3"/>
        <v>46035</v>
      </c>
      <c r="Y104" s="19">
        <f t="shared" si="4"/>
        <v>46035</v>
      </c>
      <c r="Z104">
        <f t="array" ref="Z104">_xlfn.XLOOKUP(INT(X104),INT($AE$2:$AE$1000),$AG$2:$AG$1000,"")</f>
        <v>15.98</v>
      </c>
      <c r="AE104" s="19">
        <f t="shared" si="5"/>
        <v>46014</v>
      </c>
      <c r="AF104" t="s">
        <v>125</v>
      </c>
      <c r="AG104">
        <v>14</v>
      </c>
    </row>
    <row r="105" spans="1:33" x14ac:dyDescent="0.3">
      <c r="A105">
        <v>5</v>
      </c>
      <c r="B105" t="s">
        <v>33</v>
      </c>
      <c r="C105" t="s">
        <v>35</v>
      </c>
      <c r="D105">
        <v>45986</v>
      </c>
      <c r="E105">
        <v>52.73</v>
      </c>
      <c r="F105">
        <v>50.875</v>
      </c>
      <c r="G105">
        <v>52.724726999999987</v>
      </c>
      <c r="H105">
        <v>50.880087500000002</v>
      </c>
      <c r="I105">
        <v>3.6684609996630551</v>
      </c>
      <c r="J105">
        <v>0.46640178561759321</v>
      </c>
      <c r="K105">
        <v>-0.1896453631708705</v>
      </c>
      <c r="L105">
        <v>9.1676026657020779E-2</v>
      </c>
      <c r="M105" t="s">
        <v>30</v>
      </c>
      <c r="N105">
        <v>10</v>
      </c>
      <c r="O105" t="s">
        <v>31</v>
      </c>
      <c r="P105">
        <v>45996</v>
      </c>
      <c r="Q105">
        <v>52.73</v>
      </c>
      <c r="R105">
        <v>50.935000000000002</v>
      </c>
      <c r="S105">
        <v>0.46197028620369041</v>
      </c>
      <c r="T105">
        <v>5.5005615994214553E-3</v>
      </c>
      <c r="U105">
        <v>2.5672079720251038E-3</v>
      </c>
      <c r="V105">
        <v>2.93269685159231E-3</v>
      </c>
      <c r="W105">
        <v>-3.6548887956720571E-4</v>
      </c>
      <c r="X105" s="19">
        <f t="shared" si="3"/>
        <v>46035</v>
      </c>
      <c r="Y105" s="19">
        <f t="shared" si="4"/>
        <v>46035</v>
      </c>
      <c r="Z105">
        <f t="array" ref="Z105">_xlfn.XLOOKUP(INT(X105),INT($AE$2:$AE$1000),$AG$2:$AG$1000,"")</f>
        <v>15.98</v>
      </c>
      <c r="AE105" s="19">
        <f t="shared" si="5"/>
        <v>46015</v>
      </c>
      <c r="AF105" t="s">
        <v>126</v>
      </c>
      <c r="AG105">
        <v>13.47</v>
      </c>
    </row>
    <row r="106" spans="1:33" x14ac:dyDescent="0.3">
      <c r="A106">
        <v>5</v>
      </c>
      <c r="B106" t="s">
        <v>36</v>
      </c>
      <c r="C106" t="s">
        <v>37</v>
      </c>
      <c r="D106">
        <v>46038</v>
      </c>
      <c r="E106">
        <v>56.314999999999998</v>
      </c>
      <c r="F106">
        <v>222.92500000000001</v>
      </c>
      <c r="G106">
        <v>56.309368499999998</v>
      </c>
      <c r="H106">
        <v>222.9472925</v>
      </c>
      <c r="I106">
        <v>3.7686028374970628</v>
      </c>
      <c r="J106">
        <v>0.96257307278179516</v>
      </c>
      <c r="K106">
        <v>-0.17757258279321669</v>
      </c>
      <c r="L106">
        <v>4.3179233947820798E-2</v>
      </c>
      <c r="M106" t="s">
        <v>30</v>
      </c>
      <c r="N106">
        <v>41</v>
      </c>
      <c r="O106" t="s">
        <v>31</v>
      </c>
      <c r="P106">
        <v>46079</v>
      </c>
      <c r="Q106">
        <v>56.34</v>
      </c>
      <c r="R106">
        <v>222.38</v>
      </c>
      <c r="S106">
        <v>0.1007883073618074</v>
      </c>
      <c r="T106">
        <v>-2.7971997071394451E-2</v>
      </c>
      <c r="U106">
        <v>-3.1895233880164027E-2</v>
      </c>
      <c r="V106">
        <v>3.9251386601781464E-3</v>
      </c>
      <c r="W106">
        <v>-3.5820372540342177E-2</v>
      </c>
      <c r="X106" s="19">
        <f t="shared" si="3"/>
        <v>46036</v>
      </c>
      <c r="Y106" s="19">
        <f t="shared" si="4"/>
        <v>46036</v>
      </c>
      <c r="Z106">
        <f t="array" ref="Z106">_xlfn.XLOOKUP(INT(X106),INT($AE$2:$AE$1000),$AG$2:$AG$1000,"")</f>
        <v>16.75</v>
      </c>
      <c r="AE106" s="19">
        <f t="shared" si="5"/>
        <v>46017</v>
      </c>
      <c r="AF106" t="s">
        <v>127</v>
      </c>
      <c r="AG106">
        <v>13.6</v>
      </c>
    </row>
    <row r="107" spans="1:33" x14ac:dyDescent="0.3">
      <c r="A107">
        <v>5</v>
      </c>
      <c r="B107" t="s">
        <v>33</v>
      </c>
      <c r="C107" t="s">
        <v>77</v>
      </c>
      <c r="D107">
        <v>46102</v>
      </c>
      <c r="E107">
        <v>52.06</v>
      </c>
      <c r="F107">
        <v>114.9</v>
      </c>
      <c r="G107">
        <v>52.065206000000003</v>
      </c>
      <c r="H107">
        <v>114.88851</v>
      </c>
      <c r="I107">
        <v>-5.0796513061434974</v>
      </c>
      <c r="J107">
        <v>0.36985582956875818</v>
      </c>
      <c r="K107">
        <v>0.19208605455243949</v>
      </c>
      <c r="L107">
        <v>-3.2189367238360148E-2</v>
      </c>
      <c r="M107" t="s">
        <v>32</v>
      </c>
      <c r="N107">
        <v>33</v>
      </c>
      <c r="O107" t="s">
        <v>31</v>
      </c>
      <c r="P107">
        <v>46135</v>
      </c>
      <c r="Q107">
        <v>51.82</v>
      </c>
      <c r="R107">
        <v>115.43</v>
      </c>
      <c r="S107">
        <v>-0.31371531947127312</v>
      </c>
      <c r="T107">
        <v>-6.3161017728916774E-2</v>
      </c>
      <c r="U107">
        <v>-6.5897825359208406E-2</v>
      </c>
      <c r="V107">
        <v>2.739837687971603E-3</v>
      </c>
      <c r="W107">
        <v>-6.8637663047180011E-2</v>
      </c>
      <c r="X107" s="19">
        <f t="shared" si="3"/>
        <v>46036</v>
      </c>
      <c r="Y107" s="19">
        <f t="shared" si="4"/>
        <v>46036</v>
      </c>
      <c r="Z107">
        <f t="array" ref="Z107">_xlfn.XLOOKUP(INT(X107),INT($AE$2:$AE$1000),$AG$2:$AG$1000,"")</f>
        <v>16.75</v>
      </c>
      <c r="AE107" s="19">
        <f t="shared" si="5"/>
        <v>46020</v>
      </c>
      <c r="AF107" t="s">
        <v>128</v>
      </c>
      <c r="AG107">
        <v>14.2</v>
      </c>
    </row>
    <row r="108" spans="1:33" x14ac:dyDescent="0.3">
      <c r="A108">
        <v>5</v>
      </c>
      <c r="B108" t="s">
        <v>77</v>
      </c>
      <c r="C108" t="s">
        <v>37</v>
      </c>
      <c r="D108">
        <v>46225</v>
      </c>
      <c r="E108">
        <v>113.89</v>
      </c>
      <c r="F108">
        <v>218.55</v>
      </c>
      <c r="G108">
        <v>113.90138899999999</v>
      </c>
      <c r="H108">
        <v>218.52814499999999</v>
      </c>
      <c r="I108">
        <v>-3.5851047201173181</v>
      </c>
      <c r="J108">
        <v>1.0729530851129121</v>
      </c>
      <c r="K108">
        <v>8.7804021424181228E-2</v>
      </c>
      <c r="L108">
        <v>-4.9094169989151767E-2</v>
      </c>
      <c r="M108" t="s">
        <v>32</v>
      </c>
      <c r="N108">
        <v>31</v>
      </c>
      <c r="O108" t="s">
        <v>31</v>
      </c>
      <c r="P108">
        <v>46256</v>
      </c>
      <c r="Q108">
        <v>113.44499999999999</v>
      </c>
      <c r="R108">
        <v>218.64</v>
      </c>
      <c r="S108">
        <v>-0.38168556496189521</v>
      </c>
      <c r="T108">
        <v>-4.3491264832783733E-2</v>
      </c>
      <c r="U108">
        <v>-4.7633705571584022E-2</v>
      </c>
      <c r="V108">
        <v>4.1458915796088024E-3</v>
      </c>
      <c r="W108">
        <v>-5.1779597151192833E-2</v>
      </c>
      <c r="X108" s="19">
        <f t="shared" si="3"/>
        <v>46036</v>
      </c>
      <c r="Y108" s="19">
        <f t="shared" si="4"/>
        <v>46036</v>
      </c>
      <c r="Z108">
        <f t="array" ref="Z108">_xlfn.XLOOKUP(INT(X108),INT($AE$2:$AE$1000),$AG$2:$AG$1000,"")</f>
        <v>16.75</v>
      </c>
      <c r="AE108" s="19">
        <f t="shared" si="5"/>
        <v>46021</v>
      </c>
      <c r="AF108" t="s">
        <v>129</v>
      </c>
      <c r="AG108">
        <v>14.33</v>
      </c>
    </row>
    <row r="109" spans="1:33" x14ac:dyDescent="0.3">
      <c r="A109">
        <v>5</v>
      </c>
      <c r="B109" t="s">
        <v>33</v>
      </c>
      <c r="C109" t="s">
        <v>36</v>
      </c>
      <c r="D109">
        <v>46344</v>
      </c>
      <c r="E109">
        <v>51.555</v>
      </c>
      <c r="F109">
        <v>55.405000000000001</v>
      </c>
      <c r="G109">
        <v>51.549844499999999</v>
      </c>
      <c r="H109">
        <v>55.410540500000003</v>
      </c>
      <c r="I109">
        <v>3.7136460651004541</v>
      </c>
      <c r="J109">
        <v>0.40079226058962503</v>
      </c>
      <c r="K109">
        <v>-0.19396760740956259</v>
      </c>
      <c r="L109">
        <v>7.2338644633088173E-2</v>
      </c>
      <c r="M109" t="s">
        <v>30</v>
      </c>
      <c r="N109">
        <v>11</v>
      </c>
      <c r="O109" t="s">
        <v>31</v>
      </c>
      <c r="P109">
        <v>46355</v>
      </c>
      <c r="Q109">
        <v>51.524999999999999</v>
      </c>
      <c r="R109">
        <v>55.41</v>
      </c>
      <c r="S109">
        <v>0.49350773810771759</v>
      </c>
      <c r="T109">
        <v>6.18072144545221E-3</v>
      </c>
      <c r="U109">
        <v>3.3796826577722652E-3</v>
      </c>
      <c r="V109">
        <v>2.8014646796313681E-3</v>
      </c>
      <c r="W109">
        <v>5.782179781408975E-4</v>
      </c>
      <c r="X109" s="19">
        <f t="shared" si="3"/>
        <v>46036</v>
      </c>
      <c r="Y109" s="19">
        <f t="shared" si="4"/>
        <v>46036</v>
      </c>
      <c r="Z109">
        <f t="array" ref="Z109">_xlfn.XLOOKUP(INT(X109),INT($AE$2:$AE$1000),$AG$2:$AG$1000,"")</f>
        <v>16.75</v>
      </c>
      <c r="AE109" s="19">
        <f t="shared" si="5"/>
        <v>46022</v>
      </c>
      <c r="AF109" t="s">
        <v>130</v>
      </c>
      <c r="AG109">
        <v>14.95</v>
      </c>
    </row>
    <row r="110" spans="1:33" x14ac:dyDescent="0.3">
      <c r="A110">
        <v>5</v>
      </c>
      <c r="B110" t="s">
        <v>35</v>
      </c>
      <c r="C110" t="s">
        <v>37</v>
      </c>
      <c r="D110">
        <v>46482</v>
      </c>
      <c r="E110">
        <v>49.54</v>
      </c>
      <c r="F110">
        <v>219.06</v>
      </c>
      <c r="G110">
        <v>49.535046000000001</v>
      </c>
      <c r="H110">
        <v>219.081906</v>
      </c>
      <c r="I110">
        <v>3.861198659381432</v>
      </c>
      <c r="J110">
        <v>0.8270898444556487</v>
      </c>
      <c r="K110">
        <v>-0.20185708518368989</v>
      </c>
      <c r="L110">
        <v>3.7756315368193592E-2</v>
      </c>
      <c r="M110" t="s">
        <v>30</v>
      </c>
      <c r="N110">
        <v>12</v>
      </c>
      <c r="O110" t="s">
        <v>31</v>
      </c>
      <c r="P110">
        <v>46494</v>
      </c>
      <c r="Q110">
        <v>49.655000000000001</v>
      </c>
      <c r="R110">
        <v>220.1</v>
      </c>
      <c r="S110">
        <v>-0.19040376392426761</v>
      </c>
      <c r="T110">
        <v>1.605300318679629E-2</v>
      </c>
      <c r="U110">
        <v>1.2392575484608211E-2</v>
      </c>
      <c r="V110">
        <v>3.6541451068801889E-3</v>
      </c>
      <c r="W110">
        <v>8.7384303777280209E-3</v>
      </c>
      <c r="X110" s="19">
        <f t="shared" si="3"/>
        <v>46037</v>
      </c>
      <c r="Y110" s="19">
        <f t="shared" si="4"/>
        <v>46037</v>
      </c>
      <c r="Z110">
        <f t="array" ref="Z110">_xlfn.XLOOKUP(INT(X110),INT($AE$2:$AE$1000),$AG$2:$AG$1000,"")</f>
        <v>15.84</v>
      </c>
      <c r="AE110" s="19">
        <f t="shared" si="5"/>
        <v>46024</v>
      </c>
      <c r="AF110" s="19">
        <v>46054</v>
      </c>
      <c r="AG110">
        <v>14.51</v>
      </c>
    </row>
    <row r="111" spans="1:33" x14ac:dyDescent="0.3">
      <c r="A111">
        <v>5</v>
      </c>
      <c r="B111" t="s">
        <v>78</v>
      </c>
      <c r="C111" t="s">
        <v>37</v>
      </c>
      <c r="D111">
        <v>46495</v>
      </c>
      <c r="E111">
        <v>181.02500000000001</v>
      </c>
      <c r="F111">
        <v>220.1</v>
      </c>
      <c r="G111">
        <v>181.00689750000001</v>
      </c>
      <c r="H111">
        <v>220.12200999999999</v>
      </c>
      <c r="I111">
        <v>4.4008486758878158</v>
      </c>
      <c r="J111">
        <v>0.70922290002602395</v>
      </c>
      <c r="K111">
        <v>-5.5240988813699772E-2</v>
      </c>
      <c r="L111">
        <v>3.2222757838529029E-2</v>
      </c>
      <c r="M111" t="s">
        <v>30</v>
      </c>
      <c r="N111">
        <v>25</v>
      </c>
      <c r="O111" t="s">
        <v>31</v>
      </c>
      <c r="P111">
        <v>46520</v>
      </c>
      <c r="Q111">
        <v>180.98</v>
      </c>
      <c r="R111">
        <v>219.84</v>
      </c>
      <c r="S111">
        <v>0.28609925925224111</v>
      </c>
      <c r="T111">
        <v>-5.8920725413998858E-3</v>
      </c>
      <c r="U111">
        <v>-9.3094319652987732E-3</v>
      </c>
      <c r="V111">
        <v>3.4183876446320532E-3</v>
      </c>
      <c r="W111">
        <v>-1.2727819609930829E-2</v>
      </c>
      <c r="X111" s="19">
        <f t="shared" si="3"/>
        <v>46037</v>
      </c>
      <c r="Y111" s="19">
        <f t="shared" si="4"/>
        <v>46037</v>
      </c>
      <c r="Z111">
        <f t="array" ref="Z111">_xlfn.XLOOKUP(INT(X111),INT($AE$2:$AE$1000),$AG$2:$AG$1000,"")</f>
        <v>15.84</v>
      </c>
      <c r="AE111" s="19">
        <f t="shared" si="5"/>
        <v>46027</v>
      </c>
      <c r="AF111" s="19">
        <v>46143</v>
      </c>
      <c r="AG111">
        <v>14.9</v>
      </c>
    </row>
    <row r="112" spans="1:33" x14ac:dyDescent="0.3">
      <c r="A112">
        <v>5</v>
      </c>
      <c r="B112" t="s">
        <v>33</v>
      </c>
      <c r="C112" t="s">
        <v>77</v>
      </c>
      <c r="D112">
        <v>46676</v>
      </c>
      <c r="E112">
        <v>52.055</v>
      </c>
      <c r="F112">
        <v>115.02</v>
      </c>
      <c r="G112">
        <v>52.049794499999997</v>
      </c>
      <c r="H112">
        <v>115.031502</v>
      </c>
      <c r="I112">
        <v>3.5401046588014089</v>
      </c>
      <c r="J112">
        <v>0.36985582956875818</v>
      </c>
      <c r="K112">
        <v>-0.19210450485063871</v>
      </c>
      <c r="L112">
        <v>3.2155784173948723E-2</v>
      </c>
      <c r="M112" t="s">
        <v>30</v>
      </c>
      <c r="N112">
        <v>6</v>
      </c>
      <c r="O112" t="s">
        <v>31</v>
      </c>
      <c r="P112">
        <v>46682</v>
      </c>
      <c r="Q112">
        <v>52.024999999999999</v>
      </c>
      <c r="R112">
        <v>115.03</v>
      </c>
      <c r="S112">
        <v>0.47241648956207272</v>
      </c>
      <c r="T112">
        <v>6.0846929872590324E-3</v>
      </c>
      <c r="U112">
        <v>3.3455254858509491E-3</v>
      </c>
      <c r="V112">
        <v>2.7395856303034298E-3</v>
      </c>
      <c r="W112">
        <v>6.0593985554751846E-4</v>
      </c>
      <c r="X112" s="19">
        <f t="shared" si="3"/>
        <v>46037</v>
      </c>
      <c r="Y112" s="19">
        <f t="shared" si="4"/>
        <v>46037</v>
      </c>
      <c r="Z112">
        <f t="array" ref="Z112">_xlfn.XLOOKUP(INT(X112),INT($AE$2:$AE$1000),$AG$2:$AG$1000,"")</f>
        <v>15.84</v>
      </c>
      <c r="AE112" s="19">
        <f t="shared" si="5"/>
        <v>46028</v>
      </c>
      <c r="AF112" s="19">
        <v>46174</v>
      </c>
      <c r="AG112">
        <v>14.75</v>
      </c>
    </row>
    <row r="113" spans="1:33" x14ac:dyDescent="0.3">
      <c r="A113">
        <v>5</v>
      </c>
      <c r="B113" t="s">
        <v>35</v>
      </c>
      <c r="C113" t="s">
        <v>37</v>
      </c>
      <c r="D113">
        <v>46691</v>
      </c>
      <c r="E113">
        <v>49.975000000000001</v>
      </c>
      <c r="F113">
        <v>220.4</v>
      </c>
      <c r="G113">
        <v>49.979997500000003</v>
      </c>
      <c r="H113">
        <v>220.37796</v>
      </c>
      <c r="I113">
        <v>-3.5006591740868038</v>
      </c>
      <c r="J113">
        <v>0.8270898444556487</v>
      </c>
      <c r="K113">
        <v>0.20010005002501249</v>
      </c>
      <c r="L113">
        <v>-3.7526762452615638E-2</v>
      </c>
      <c r="M113" t="s">
        <v>32</v>
      </c>
      <c r="N113">
        <v>20</v>
      </c>
      <c r="O113" t="s">
        <v>31</v>
      </c>
      <c r="P113">
        <v>46711</v>
      </c>
      <c r="Q113">
        <v>49.984999999999999</v>
      </c>
      <c r="R113">
        <v>220.7</v>
      </c>
      <c r="S113">
        <v>-0.32883155523824731</v>
      </c>
      <c r="T113">
        <v>-9.2570282355343252E-3</v>
      </c>
      <c r="U113">
        <v>-1.2912533827369021E-2</v>
      </c>
      <c r="V113">
        <v>3.6542142709424059E-3</v>
      </c>
      <c r="W113">
        <v>-1.6566748098311431E-2</v>
      </c>
      <c r="X113" s="19">
        <f t="shared" si="3"/>
        <v>46037</v>
      </c>
      <c r="Y113" s="19">
        <f t="shared" si="4"/>
        <v>46037</v>
      </c>
      <c r="Z113">
        <f t="array" ref="Z113">_xlfn.XLOOKUP(INT(X113),INT($AE$2:$AE$1000),$AG$2:$AG$1000,"")</f>
        <v>15.84</v>
      </c>
      <c r="AE113" s="19">
        <f t="shared" si="5"/>
        <v>46029</v>
      </c>
      <c r="AF113" s="19">
        <v>46204</v>
      </c>
      <c r="AG113">
        <v>15.38</v>
      </c>
    </row>
    <row r="114" spans="1:33" x14ac:dyDescent="0.3">
      <c r="A114">
        <v>5</v>
      </c>
      <c r="B114" t="s">
        <v>77</v>
      </c>
      <c r="C114" t="s">
        <v>37</v>
      </c>
      <c r="D114">
        <v>46760</v>
      </c>
      <c r="E114">
        <v>114.88</v>
      </c>
      <c r="F114">
        <v>220.7</v>
      </c>
      <c r="G114">
        <v>114.868512</v>
      </c>
      <c r="H114">
        <v>220.72207</v>
      </c>
      <c r="I114">
        <v>3.614150282742977</v>
      </c>
      <c r="J114">
        <v>1.0729530851129121</v>
      </c>
      <c r="K114">
        <v>-8.7047353760445687E-2</v>
      </c>
      <c r="L114">
        <v>4.8615907798500779E-2</v>
      </c>
      <c r="M114" t="s">
        <v>30</v>
      </c>
      <c r="N114">
        <v>16</v>
      </c>
      <c r="O114" t="s">
        <v>31</v>
      </c>
      <c r="P114">
        <v>46776</v>
      </c>
      <c r="Q114">
        <v>115.04</v>
      </c>
      <c r="R114">
        <v>220.98</v>
      </c>
      <c r="S114">
        <v>0.42089109152633808</v>
      </c>
      <c r="T114">
        <v>-3.1512241809197698E-4</v>
      </c>
      <c r="U114">
        <v>-4.4637825913957773E-3</v>
      </c>
      <c r="V114">
        <v>4.145920760842847E-3</v>
      </c>
      <c r="W114">
        <v>-8.6097033522386235E-3</v>
      </c>
      <c r="X114" s="19">
        <f t="shared" si="3"/>
        <v>46037</v>
      </c>
      <c r="Y114" s="19">
        <f t="shared" si="4"/>
        <v>46037</v>
      </c>
      <c r="Z114">
        <f t="array" ref="Z114">_xlfn.XLOOKUP(INT(X114),INT($AE$2:$AE$1000),$AG$2:$AG$1000,"")</f>
        <v>15.84</v>
      </c>
      <c r="AE114" s="19">
        <f t="shared" si="5"/>
        <v>46030</v>
      </c>
      <c r="AF114" s="19">
        <v>46235</v>
      </c>
      <c r="AG114">
        <v>15.45</v>
      </c>
    </row>
    <row r="115" spans="1:33" x14ac:dyDescent="0.3">
      <c r="A115">
        <v>5</v>
      </c>
      <c r="B115" t="s">
        <v>33</v>
      </c>
      <c r="C115" t="s">
        <v>35</v>
      </c>
      <c r="D115">
        <v>46778</v>
      </c>
      <c r="E115">
        <v>52.1</v>
      </c>
      <c r="F115">
        <v>50.23</v>
      </c>
      <c r="G115">
        <v>52.10521</v>
      </c>
      <c r="H115">
        <v>50.224977000000003</v>
      </c>
      <c r="I115">
        <v>-3.666760167132685</v>
      </c>
      <c r="J115">
        <v>0.46640178561759321</v>
      </c>
      <c r="K115">
        <v>0.19193857965451061</v>
      </c>
      <c r="L115">
        <v>-9.2853232255144982E-2</v>
      </c>
      <c r="M115" t="s">
        <v>32</v>
      </c>
      <c r="N115">
        <v>10</v>
      </c>
      <c r="O115" t="s">
        <v>31</v>
      </c>
      <c r="P115">
        <v>46788</v>
      </c>
      <c r="Q115">
        <v>52.145000000000003</v>
      </c>
      <c r="R115">
        <v>50.234999999999999</v>
      </c>
      <c r="S115">
        <v>-0.25864448290463232</v>
      </c>
      <c r="T115">
        <v>8.1729699231773388E-3</v>
      </c>
      <c r="U115">
        <v>5.2392562017176091E-3</v>
      </c>
      <c r="V115">
        <v>2.9329102908780629E-3</v>
      </c>
      <c r="W115">
        <v>2.3063459108395462E-3</v>
      </c>
      <c r="X115" s="19">
        <f t="shared" si="3"/>
        <v>46037</v>
      </c>
      <c r="Y115" s="19">
        <f t="shared" si="4"/>
        <v>46037</v>
      </c>
      <c r="Z115">
        <f t="array" ref="Z115">_xlfn.XLOOKUP(INT(X115),INT($AE$2:$AE$1000),$AG$2:$AG$1000,"")</f>
        <v>15.84</v>
      </c>
      <c r="AE115" s="19">
        <f t="shared" si="5"/>
        <v>46031</v>
      </c>
      <c r="AF115" s="19">
        <v>46266</v>
      </c>
      <c r="AG115">
        <v>14.49</v>
      </c>
    </row>
    <row r="116" spans="1:33" x14ac:dyDescent="0.3">
      <c r="A116">
        <v>5</v>
      </c>
      <c r="B116" t="s">
        <v>77</v>
      </c>
      <c r="C116" t="s">
        <v>34</v>
      </c>
      <c r="D116">
        <v>46828</v>
      </c>
      <c r="E116">
        <v>115.1</v>
      </c>
      <c r="F116">
        <v>88.25</v>
      </c>
      <c r="G116">
        <v>115.11151</v>
      </c>
      <c r="H116">
        <v>88.241174999999998</v>
      </c>
      <c r="I116">
        <v>-3.5729462394681288</v>
      </c>
      <c r="J116">
        <v>1.595454876936593</v>
      </c>
      <c r="K116">
        <v>8.6880973066898348E-2</v>
      </c>
      <c r="L116">
        <v>-0.18078808803814081</v>
      </c>
      <c r="M116" t="s">
        <v>32</v>
      </c>
      <c r="N116">
        <v>6</v>
      </c>
      <c r="O116" t="s">
        <v>31</v>
      </c>
      <c r="P116">
        <v>46834</v>
      </c>
      <c r="Q116">
        <v>115.14</v>
      </c>
      <c r="R116">
        <v>88.194999999999993</v>
      </c>
      <c r="S116">
        <v>-0.44870840519357708</v>
      </c>
      <c r="T116">
        <v>1.341858376477546E-2</v>
      </c>
      <c r="U116">
        <v>8.228320821493107E-3</v>
      </c>
      <c r="V116">
        <v>5.190790662897799E-3</v>
      </c>
      <c r="W116">
        <v>3.037530158595308E-3</v>
      </c>
      <c r="X116" s="19">
        <f t="shared" si="3"/>
        <v>46038</v>
      </c>
      <c r="Y116" s="19">
        <f t="shared" si="4"/>
        <v>46038</v>
      </c>
      <c r="Z116">
        <f t="array" ref="Z116">_xlfn.XLOOKUP(INT(X116),INT($AE$2:$AE$1000),$AG$2:$AG$1000,"")</f>
        <v>15.86</v>
      </c>
      <c r="AE116" s="19">
        <f t="shared" si="5"/>
        <v>46034</v>
      </c>
      <c r="AF116" s="19">
        <v>46357</v>
      </c>
      <c r="AG116">
        <v>15.12</v>
      </c>
    </row>
    <row r="117" spans="1:33" x14ac:dyDescent="0.3">
      <c r="A117">
        <v>5</v>
      </c>
      <c r="B117" t="s">
        <v>33</v>
      </c>
      <c r="C117" t="s">
        <v>123</v>
      </c>
      <c r="D117">
        <v>46883</v>
      </c>
      <c r="E117">
        <v>52.09</v>
      </c>
      <c r="F117">
        <v>218.61</v>
      </c>
      <c r="G117">
        <v>52.084791000000003</v>
      </c>
      <c r="H117">
        <v>218.63186099999999</v>
      </c>
      <c r="I117">
        <v>4.462598363102078</v>
      </c>
      <c r="J117">
        <v>0.42398871967426333</v>
      </c>
      <c r="K117">
        <v>-0.19197542714532539</v>
      </c>
      <c r="L117">
        <v>1.9394754113456081E-2</v>
      </c>
      <c r="M117" t="s">
        <v>30</v>
      </c>
      <c r="N117">
        <v>15</v>
      </c>
      <c r="O117" t="s">
        <v>31</v>
      </c>
      <c r="P117">
        <v>46898</v>
      </c>
      <c r="Q117">
        <v>51.924999999999997</v>
      </c>
      <c r="R117">
        <v>217.52</v>
      </c>
      <c r="S117">
        <v>0.38837762153413352</v>
      </c>
      <c r="T117">
        <v>1.05356634953127E-2</v>
      </c>
      <c r="U117">
        <v>7.6929676787104891E-3</v>
      </c>
      <c r="V117">
        <v>2.847862237092462E-3</v>
      </c>
      <c r="W117">
        <v>4.8451054416180266E-3</v>
      </c>
      <c r="X117" s="19">
        <f t="shared" si="3"/>
        <v>46038</v>
      </c>
      <c r="Y117" s="19">
        <f t="shared" si="4"/>
        <v>46038</v>
      </c>
      <c r="Z117">
        <f t="array" ref="Z117">_xlfn.XLOOKUP(INT(X117),INT($AE$2:$AE$1000),$AG$2:$AG$1000,"")</f>
        <v>15.86</v>
      </c>
      <c r="AE117" s="19">
        <f t="shared" si="5"/>
        <v>46035</v>
      </c>
      <c r="AF117" t="s">
        <v>131</v>
      </c>
      <c r="AG117">
        <v>15.98</v>
      </c>
    </row>
    <row r="118" spans="1:33" x14ac:dyDescent="0.3">
      <c r="A118">
        <v>5</v>
      </c>
      <c r="B118" t="s">
        <v>33</v>
      </c>
      <c r="C118" t="s">
        <v>29</v>
      </c>
      <c r="D118">
        <v>46940</v>
      </c>
      <c r="E118">
        <v>51.87</v>
      </c>
      <c r="F118">
        <v>924.93</v>
      </c>
      <c r="G118">
        <v>51.875186999999997</v>
      </c>
      <c r="H118">
        <v>924.83750699999996</v>
      </c>
      <c r="I118">
        <v>-3.610862614216606</v>
      </c>
      <c r="J118">
        <v>0.39029275790549622</v>
      </c>
      <c r="K118">
        <v>0.19278966647387699</v>
      </c>
      <c r="L118">
        <v>-4.2197004952320306E-3</v>
      </c>
      <c r="M118" t="s">
        <v>32</v>
      </c>
      <c r="N118">
        <v>19</v>
      </c>
      <c r="O118" t="s">
        <v>31</v>
      </c>
      <c r="P118">
        <v>46959</v>
      </c>
      <c r="Q118">
        <v>52</v>
      </c>
      <c r="R118">
        <v>928.11</v>
      </c>
      <c r="S118">
        <v>-0.40503900698928852</v>
      </c>
      <c r="T118">
        <v>1.1644009066766379E-2</v>
      </c>
      <c r="U118">
        <v>8.8595754205335643E-3</v>
      </c>
      <c r="V118">
        <v>2.7807074572594121E-3</v>
      </c>
      <c r="W118">
        <v>6.0788679632741522E-3</v>
      </c>
      <c r="X118" s="19">
        <f t="shared" si="3"/>
        <v>46038</v>
      </c>
      <c r="Y118" s="19">
        <f t="shared" si="4"/>
        <v>46038</v>
      </c>
      <c r="Z118">
        <f t="array" ref="Z118">_xlfn.XLOOKUP(INT(X118),INT($AE$2:$AE$1000),$AG$2:$AG$1000,"")</f>
        <v>15.86</v>
      </c>
      <c r="AE118" s="19">
        <f t="shared" si="5"/>
        <v>46036</v>
      </c>
      <c r="AF118" t="s">
        <v>132</v>
      </c>
      <c r="AG118">
        <v>16.75</v>
      </c>
    </row>
    <row r="119" spans="1:33" x14ac:dyDescent="0.3">
      <c r="A119">
        <v>5</v>
      </c>
      <c r="B119" t="s">
        <v>28</v>
      </c>
      <c r="C119" t="s">
        <v>33</v>
      </c>
      <c r="D119">
        <v>47106</v>
      </c>
      <c r="E119">
        <v>299.60000000000002</v>
      </c>
      <c r="F119">
        <v>51.93</v>
      </c>
      <c r="G119">
        <v>299.57004000000001</v>
      </c>
      <c r="H119">
        <v>51.935192999999998</v>
      </c>
      <c r="I119">
        <v>3.5446013748881988</v>
      </c>
      <c r="J119">
        <v>1.002253482054859</v>
      </c>
      <c r="K119">
        <v>-3.3377837116154871E-2</v>
      </c>
      <c r="L119">
        <v>0.19300086309548589</v>
      </c>
      <c r="M119" t="s">
        <v>30</v>
      </c>
      <c r="N119">
        <v>6</v>
      </c>
      <c r="O119" t="s">
        <v>31</v>
      </c>
      <c r="P119">
        <v>47112</v>
      </c>
      <c r="Q119">
        <v>299.39999999999998</v>
      </c>
      <c r="R119">
        <v>51.97</v>
      </c>
      <c r="S119">
        <v>0.14705859185364281</v>
      </c>
      <c r="T119">
        <v>1.4395601947051761E-2</v>
      </c>
      <c r="U119">
        <v>1.039099053623088E-2</v>
      </c>
      <c r="V119">
        <v>4.0045074148061278E-3</v>
      </c>
      <c r="W119">
        <v>6.386483121424754E-3</v>
      </c>
      <c r="X119" s="19">
        <f t="shared" si="3"/>
        <v>46038</v>
      </c>
      <c r="Y119" s="19">
        <f t="shared" si="4"/>
        <v>46038</v>
      </c>
      <c r="Z119">
        <f t="array" ref="Z119">_xlfn.XLOOKUP(INT(X119),INT($AE$2:$AE$1000),$AG$2:$AG$1000,"")</f>
        <v>15.86</v>
      </c>
      <c r="AE119" s="19">
        <f t="shared" si="5"/>
        <v>46037</v>
      </c>
      <c r="AF119" t="s">
        <v>133</v>
      </c>
      <c r="AG119">
        <v>15.84</v>
      </c>
    </row>
    <row r="120" spans="1:33" x14ac:dyDescent="0.3">
      <c r="A120">
        <v>5</v>
      </c>
      <c r="B120" t="s">
        <v>28</v>
      </c>
      <c r="C120" t="s">
        <v>34</v>
      </c>
      <c r="D120">
        <v>47231</v>
      </c>
      <c r="E120">
        <v>299.89999999999998</v>
      </c>
      <c r="F120">
        <v>88.885000000000005</v>
      </c>
      <c r="G120">
        <v>299.87000999999998</v>
      </c>
      <c r="H120">
        <v>88.893888500000003</v>
      </c>
      <c r="I120">
        <v>3.6244069461286448</v>
      </c>
      <c r="J120">
        <v>0.62227424945427001</v>
      </c>
      <c r="K120">
        <v>-3.334444814938313E-2</v>
      </c>
      <c r="L120">
        <v>7.000891595367835E-2</v>
      </c>
      <c r="M120" t="s">
        <v>30</v>
      </c>
      <c r="N120">
        <v>19</v>
      </c>
      <c r="O120" t="s">
        <v>31</v>
      </c>
      <c r="P120">
        <v>47250</v>
      </c>
      <c r="Q120">
        <v>300.08</v>
      </c>
      <c r="R120">
        <v>88.974999999999994</v>
      </c>
      <c r="S120">
        <v>0.47360136298901312</v>
      </c>
      <c r="T120">
        <v>2.9880176894110481E-4</v>
      </c>
      <c r="U120">
        <v>-2.9469770102780188E-3</v>
      </c>
      <c r="V120">
        <v>3.2444729537584312E-3</v>
      </c>
      <c r="W120">
        <v>-6.1914499640364504E-3</v>
      </c>
      <c r="X120" s="19">
        <f t="shared" si="3"/>
        <v>46041</v>
      </c>
      <c r="Y120" s="19">
        <f t="shared" si="4"/>
        <v>46041</v>
      </c>
      <c r="Z120">
        <f t="array" ref="Z120">_xlfn.XLOOKUP(INT(X120),INT($AE$2:$AE$1000),$AG$2:$AG$1000,"")</f>
        <v>18.84</v>
      </c>
      <c r="AE120" s="19">
        <f t="shared" si="5"/>
        <v>46038</v>
      </c>
      <c r="AF120" t="s">
        <v>134</v>
      </c>
      <c r="AG120">
        <v>15.86</v>
      </c>
    </row>
    <row r="121" spans="1:33" x14ac:dyDescent="0.3">
      <c r="A121">
        <v>5</v>
      </c>
      <c r="B121" t="s">
        <v>78</v>
      </c>
      <c r="C121" t="s">
        <v>35</v>
      </c>
      <c r="D121">
        <v>47268</v>
      </c>
      <c r="E121">
        <v>182.83</v>
      </c>
      <c r="F121">
        <v>50.86</v>
      </c>
      <c r="G121">
        <v>182.84828300000001</v>
      </c>
      <c r="H121">
        <v>50.854914000000001</v>
      </c>
      <c r="I121">
        <v>-3.789543788202864</v>
      </c>
      <c r="J121">
        <v>0.83779571666773978</v>
      </c>
      <c r="K121">
        <v>5.4695618880927631E-2</v>
      </c>
      <c r="L121">
        <v>-0.16472585856620919</v>
      </c>
      <c r="M121" t="s">
        <v>32</v>
      </c>
      <c r="N121">
        <v>7</v>
      </c>
      <c r="O121" t="s">
        <v>31</v>
      </c>
      <c r="P121">
        <v>47275</v>
      </c>
      <c r="Q121">
        <v>183</v>
      </c>
      <c r="R121">
        <v>50.81</v>
      </c>
      <c r="S121">
        <v>-6.8661207322118251E-2</v>
      </c>
      <c r="T121">
        <v>1.753454813806701E-2</v>
      </c>
      <c r="U121">
        <v>1.38588505085037E-2</v>
      </c>
      <c r="V121">
        <v>3.675623874192146E-3</v>
      </c>
      <c r="W121">
        <v>1.018322663431155E-2</v>
      </c>
      <c r="X121" s="19">
        <f t="shared" si="3"/>
        <v>46041</v>
      </c>
      <c r="Y121" s="19">
        <f t="shared" si="4"/>
        <v>46041</v>
      </c>
      <c r="Z121">
        <f t="array" ref="Z121">_xlfn.XLOOKUP(INT(X121),INT($AE$2:$AE$1000),$AG$2:$AG$1000,"")</f>
        <v>18.84</v>
      </c>
      <c r="AE121" s="19">
        <f t="shared" si="5"/>
        <v>46041</v>
      </c>
      <c r="AF121" t="s">
        <v>135</v>
      </c>
      <c r="AG121">
        <v>18.84</v>
      </c>
    </row>
    <row r="122" spans="1:33" x14ac:dyDescent="0.3">
      <c r="A122">
        <v>5</v>
      </c>
      <c r="B122" t="s">
        <v>77</v>
      </c>
      <c r="C122" t="s">
        <v>34</v>
      </c>
      <c r="D122">
        <v>47277</v>
      </c>
      <c r="E122">
        <v>115.05500000000001</v>
      </c>
      <c r="F122">
        <v>88.44</v>
      </c>
      <c r="G122">
        <v>115.04349449999999</v>
      </c>
      <c r="H122">
        <v>88.448843999999994</v>
      </c>
      <c r="I122">
        <v>3.512318880332693</v>
      </c>
      <c r="J122">
        <v>1.595454876936593</v>
      </c>
      <c r="K122">
        <v>-8.6914953717787138E-2</v>
      </c>
      <c r="L122">
        <v>0.1803996921004741</v>
      </c>
      <c r="M122" t="s">
        <v>30</v>
      </c>
      <c r="N122">
        <v>4</v>
      </c>
      <c r="O122" t="s">
        <v>31</v>
      </c>
      <c r="P122">
        <v>47281</v>
      </c>
      <c r="Q122">
        <v>115.43</v>
      </c>
      <c r="R122">
        <v>89.02</v>
      </c>
      <c r="S122">
        <v>0.29451302287880898</v>
      </c>
      <c r="T122">
        <v>7.2038713774104479E-2</v>
      </c>
      <c r="U122">
        <v>6.6834081527327047E-2</v>
      </c>
      <c r="V122">
        <v>5.1910288448485734E-3</v>
      </c>
      <c r="W122">
        <v>6.1643052682478473E-2</v>
      </c>
      <c r="X122" s="19">
        <f t="shared" si="3"/>
        <v>46041</v>
      </c>
      <c r="Y122" s="19">
        <f t="shared" si="4"/>
        <v>46041</v>
      </c>
      <c r="Z122">
        <f t="array" ref="Z122">_xlfn.XLOOKUP(INT(X122),INT($AE$2:$AE$1000),$AG$2:$AG$1000,"")</f>
        <v>18.84</v>
      </c>
      <c r="AE122" s="19">
        <f t="shared" si="5"/>
        <v>46042</v>
      </c>
      <c r="AF122" t="s">
        <v>136</v>
      </c>
      <c r="AG122">
        <v>20.09</v>
      </c>
    </row>
    <row r="123" spans="1:33" x14ac:dyDescent="0.3">
      <c r="A123">
        <v>6</v>
      </c>
      <c r="B123" t="s">
        <v>36</v>
      </c>
      <c r="C123" t="s">
        <v>35</v>
      </c>
      <c r="D123">
        <v>47437</v>
      </c>
      <c r="E123">
        <v>55.835000000000001</v>
      </c>
      <c r="F123">
        <v>50.56</v>
      </c>
      <c r="G123">
        <v>55.840583500000001</v>
      </c>
      <c r="H123">
        <v>50.554944000000013</v>
      </c>
      <c r="I123">
        <v>-3.51413549225397</v>
      </c>
      <c r="J123">
        <v>1.289086186889977</v>
      </c>
      <c r="K123">
        <v>0.17909913136921279</v>
      </c>
      <c r="L123">
        <v>-0.25496166671083398</v>
      </c>
      <c r="M123" t="s">
        <v>32</v>
      </c>
      <c r="N123">
        <v>7</v>
      </c>
      <c r="O123" t="s">
        <v>31</v>
      </c>
      <c r="P123">
        <v>47444</v>
      </c>
      <c r="Q123">
        <v>55.84</v>
      </c>
      <c r="R123">
        <v>50.51</v>
      </c>
      <c r="S123">
        <v>-0.34185569059834869</v>
      </c>
      <c r="T123">
        <v>1.364357899238931E-2</v>
      </c>
      <c r="U123">
        <v>9.0665918773779278E-3</v>
      </c>
      <c r="V123">
        <v>4.5781145565425754E-3</v>
      </c>
      <c r="W123">
        <v>4.4884773208353516E-3</v>
      </c>
      <c r="X123" s="19">
        <f t="shared" si="3"/>
        <v>46041</v>
      </c>
      <c r="Y123" s="19">
        <f t="shared" si="4"/>
        <v>46041</v>
      </c>
      <c r="Z123">
        <f t="array" ref="Z123">_xlfn.XLOOKUP(INT(X123),INT($AE$2:$AE$1000),$AG$2:$AG$1000,"")</f>
        <v>18.84</v>
      </c>
      <c r="AE123" s="19">
        <f t="shared" si="5"/>
        <v>46043</v>
      </c>
      <c r="AF123" t="s">
        <v>137</v>
      </c>
      <c r="AG123">
        <v>16.899999999999999</v>
      </c>
    </row>
    <row r="124" spans="1:33" x14ac:dyDescent="0.3">
      <c r="A124">
        <v>6</v>
      </c>
      <c r="B124" t="s">
        <v>28</v>
      </c>
      <c r="C124" t="s">
        <v>33</v>
      </c>
      <c r="D124">
        <v>47638</v>
      </c>
      <c r="E124">
        <v>300.86</v>
      </c>
      <c r="F124">
        <v>51.64</v>
      </c>
      <c r="G124">
        <v>300.890086</v>
      </c>
      <c r="H124">
        <v>51.634836</v>
      </c>
      <c r="I124">
        <v>-3.5518788122017551</v>
      </c>
      <c r="J124">
        <v>1.049029346166849</v>
      </c>
      <c r="K124">
        <v>3.3238050920694012E-2</v>
      </c>
      <c r="L124">
        <v>-0.20314278585725201</v>
      </c>
      <c r="M124" t="s">
        <v>32</v>
      </c>
      <c r="N124">
        <v>29</v>
      </c>
      <c r="O124" t="s">
        <v>31</v>
      </c>
      <c r="P124">
        <v>47667</v>
      </c>
      <c r="Q124">
        <v>304.89999999999998</v>
      </c>
      <c r="R124">
        <v>52.38</v>
      </c>
      <c r="S124">
        <v>0.14843382503864511</v>
      </c>
      <c r="T124">
        <v>-1.6043935814764269E-2</v>
      </c>
      <c r="U124">
        <v>-2.0170455245822141E-2</v>
      </c>
      <c r="V124">
        <v>4.098048886464466E-3</v>
      </c>
      <c r="W124">
        <v>-2.4268504132286609E-2</v>
      </c>
      <c r="X124" s="19">
        <f t="shared" si="3"/>
        <v>46042</v>
      </c>
      <c r="Y124" s="19">
        <f t="shared" si="4"/>
        <v>46042</v>
      </c>
      <c r="Z124">
        <f t="array" ref="Z124">_xlfn.XLOOKUP(INT(X124),INT($AE$2:$AE$1000),$AG$2:$AG$1000,"")</f>
        <v>20.09</v>
      </c>
      <c r="AE124" s="19">
        <f t="shared" si="5"/>
        <v>46044</v>
      </c>
      <c r="AF124" t="s">
        <v>138</v>
      </c>
      <c r="AG124">
        <v>15.64</v>
      </c>
    </row>
    <row r="125" spans="1:33" x14ac:dyDescent="0.3">
      <c r="A125">
        <v>6</v>
      </c>
      <c r="B125" t="s">
        <v>28</v>
      </c>
      <c r="C125" t="s">
        <v>33</v>
      </c>
      <c r="D125">
        <v>47964</v>
      </c>
      <c r="E125">
        <v>304.83</v>
      </c>
      <c r="F125">
        <v>52.87</v>
      </c>
      <c r="G125">
        <v>304.86048299999999</v>
      </c>
      <c r="H125">
        <v>52.864712999999988</v>
      </c>
      <c r="I125">
        <v>-4.1516297174629004</v>
      </c>
      <c r="J125">
        <v>1.049029346166849</v>
      </c>
      <c r="K125">
        <v>3.2805170094806942E-2</v>
      </c>
      <c r="L125">
        <v>-0.19841674790369759</v>
      </c>
      <c r="M125" t="s">
        <v>32</v>
      </c>
      <c r="N125">
        <v>9</v>
      </c>
      <c r="O125" t="s">
        <v>31</v>
      </c>
      <c r="P125">
        <v>47973</v>
      </c>
      <c r="Q125">
        <v>305.74</v>
      </c>
      <c r="R125">
        <v>52.884999999999998</v>
      </c>
      <c r="S125">
        <v>0.40576483883895809</v>
      </c>
      <c r="T125">
        <v>2.687645356771956E-2</v>
      </c>
      <c r="U125">
        <v>2.2775111979784889E-2</v>
      </c>
      <c r="V125">
        <v>4.0980488864644643E-3</v>
      </c>
      <c r="W125">
        <v>1.8677063093320422E-2</v>
      </c>
      <c r="X125" s="19">
        <f t="shared" si="3"/>
        <v>46042</v>
      </c>
      <c r="Y125" s="19">
        <f t="shared" si="4"/>
        <v>46043</v>
      </c>
      <c r="Z125">
        <f t="array" ref="Z125">_xlfn.XLOOKUP(INT(X125),INT($AE$2:$AE$1000),$AG$2:$AG$1000,"")</f>
        <v>20.09</v>
      </c>
      <c r="AE125" s="19">
        <f t="shared" si="5"/>
        <v>46045</v>
      </c>
      <c r="AF125" t="s">
        <v>139</v>
      </c>
      <c r="AG125">
        <v>16.09</v>
      </c>
    </row>
    <row r="126" spans="1:33" x14ac:dyDescent="0.3">
      <c r="A126">
        <v>6</v>
      </c>
      <c r="B126" t="s">
        <v>36</v>
      </c>
      <c r="C126" t="s">
        <v>35</v>
      </c>
      <c r="D126">
        <v>48053</v>
      </c>
      <c r="E126">
        <v>56.15</v>
      </c>
      <c r="F126">
        <v>51.28</v>
      </c>
      <c r="G126">
        <v>56.155614999999997</v>
      </c>
      <c r="H126">
        <v>51.274872000000002</v>
      </c>
      <c r="I126">
        <v>-4.071286273905784</v>
      </c>
      <c r="J126">
        <v>1.289086186889977</v>
      </c>
      <c r="K126">
        <v>0.17809439002671409</v>
      </c>
      <c r="L126">
        <v>-0.25138186171801408</v>
      </c>
      <c r="M126" t="s">
        <v>32</v>
      </c>
      <c r="N126">
        <v>22</v>
      </c>
      <c r="O126" t="s">
        <v>31</v>
      </c>
      <c r="P126">
        <v>48075</v>
      </c>
      <c r="Q126">
        <v>56.27</v>
      </c>
      <c r="R126">
        <v>51.484999999999999</v>
      </c>
      <c r="S126">
        <v>-0.44388247140557952</v>
      </c>
      <c r="T126">
        <v>-3.0161954848985959E-2</v>
      </c>
      <c r="U126">
        <v>-3.4747417683609748E-2</v>
      </c>
      <c r="V126">
        <v>4.5781145565425736E-3</v>
      </c>
      <c r="W126">
        <v>-3.9325532240152332E-2</v>
      </c>
      <c r="X126" s="19">
        <f t="shared" si="3"/>
        <v>46043</v>
      </c>
      <c r="Y126" s="19">
        <f t="shared" si="4"/>
        <v>46043</v>
      </c>
      <c r="Z126">
        <f t="array" ref="Z126">_xlfn.XLOOKUP(INT(X126),INT($AE$2:$AE$1000),$AG$2:$AG$1000,"")</f>
        <v>16.899999999999999</v>
      </c>
      <c r="AE126" s="19">
        <f t="shared" si="5"/>
        <v>46048</v>
      </c>
      <c r="AF126" t="s">
        <v>140</v>
      </c>
      <c r="AG126">
        <v>16.149999999999999</v>
      </c>
    </row>
    <row r="127" spans="1:33" x14ac:dyDescent="0.3">
      <c r="A127">
        <v>6</v>
      </c>
      <c r="B127" t="s">
        <v>28</v>
      </c>
      <c r="C127" t="s">
        <v>33</v>
      </c>
      <c r="D127">
        <v>48224</v>
      </c>
      <c r="E127">
        <v>303.74</v>
      </c>
      <c r="F127">
        <v>52.99</v>
      </c>
      <c r="G127">
        <v>303.770374</v>
      </c>
      <c r="H127">
        <v>52.984701000000001</v>
      </c>
      <c r="I127">
        <v>-3.5960148268180601</v>
      </c>
      <c r="J127">
        <v>1.049029346166849</v>
      </c>
      <c r="K127">
        <v>3.2922894580891551E-2</v>
      </c>
      <c r="L127">
        <v>-0.1979674176574541</v>
      </c>
      <c r="M127" t="s">
        <v>32</v>
      </c>
      <c r="N127">
        <v>19</v>
      </c>
      <c r="O127" t="s">
        <v>31</v>
      </c>
      <c r="P127">
        <v>48243</v>
      </c>
      <c r="Q127">
        <v>303.51</v>
      </c>
      <c r="R127">
        <v>52.92</v>
      </c>
      <c r="S127">
        <v>2.9467072457728439E-2</v>
      </c>
      <c r="T127">
        <v>6.2854534824161859E-3</v>
      </c>
      <c r="U127">
        <v>2.1895377885821458E-3</v>
      </c>
      <c r="V127">
        <v>4.0980488864644652E-3</v>
      </c>
      <c r="W127">
        <v>-1.9085110978823189E-3</v>
      </c>
      <c r="X127" s="19">
        <f t="shared" si="3"/>
        <v>46043</v>
      </c>
      <c r="Y127" s="19">
        <f t="shared" si="4"/>
        <v>46043</v>
      </c>
      <c r="Z127">
        <f t="array" ref="Z127">_xlfn.XLOOKUP(INT(X127),INT($AE$2:$AE$1000),$AG$2:$AG$1000,"")</f>
        <v>16.899999999999999</v>
      </c>
      <c r="AE127" s="19">
        <f t="shared" si="5"/>
        <v>46049</v>
      </c>
      <c r="AF127" t="s">
        <v>141</v>
      </c>
      <c r="AG127">
        <v>16.350000000000001</v>
      </c>
    </row>
    <row r="128" spans="1:33" x14ac:dyDescent="0.3">
      <c r="A128">
        <v>6</v>
      </c>
      <c r="B128" t="s">
        <v>36</v>
      </c>
      <c r="C128" t="s">
        <v>35</v>
      </c>
      <c r="D128">
        <v>48429</v>
      </c>
      <c r="E128">
        <v>55.945</v>
      </c>
      <c r="F128">
        <v>51.29</v>
      </c>
      <c r="G128">
        <v>55.939405499999999</v>
      </c>
      <c r="H128">
        <v>51.295129000000003</v>
      </c>
      <c r="I128">
        <v>3.5235707609145139</v>
      </c>
      <c r="J128">
        <v>1.289086186889977</v>
      </c>
      <c r="K128">
        <v>-0.178746983644651</v>
      </c>
      <c r="L128">
        <v>0.25133284985181842</v>
      </c>
      <c r="M128" t="s">
        <v>30</v>
      </c>
      <c r="N128">
        <v>13</v>
      </c>
      <c r="O128" t="s">
        <v>31</v>
      </c>
      <c r="P128">
        <v>48442</v>
      </c>
      <c r="Q128">
        <v>56.1</v>
      </c>
      <c r="R128">
        <v>51.44</v>
      </c>
      <c r="S128">
        <v>0.39165568317049848</v>
      </c>
      <c r="T128">
        <v>9.9941450128512993E-3</v>
      </c>
      <c r="U128">
        <v>5.4094320680779309E-3</v>
      </c>
      <c r="V128">
        <v>4.5782301910173321E-3</v>
      </c>
      <c r="W128">
        <v>8.3120187706059879E-4</v>
      </c>
      <c r="X128" s="19">
        <f t="shared" si="3"/>
        <v>46044</v>
      </c>
      <c r="Y128" s="19">
        <f t="shared" si="4"/>
        <v>46044</v>
      </c>
      <c r="Z128">
        <f t="array" ref="Z128">_xlfn.XLOOKUP(INT(X128),INT($AE$2:$AE$1000),$AG$2:$AG$1000,"")</f>
        <v>15.64</v>
      </c>
      <c r="AE128" s="19">
        <f t="shared" si="5"/>
        <v>46050</v>
      </c>
      <c r="AF128" t="s">
        <v>142</v>
      </c>
      <c r="AG128">
        <v>16.350000000000001</v>
      </c>
    </row>
    <row r="129" spans="1:33" x14ac:dyDescent="0.3">
      <c r="A129">
        <v>6</v>
      </c>
      <c r="B129" t="s">
        <v>36</v>
      </c>
      <c r="C129" t="s">
        <v>35</v>
      </c>
      <c r="D129">
        <v>48445</v>
      </c>
      <c r="E129">
        <v>56.03</v>
      </c>
      <c r="F129">
        <v>51.74</v>
      </c>
      <c r="G129">
        <v>56.035603000000002</v>
      </c>
      <c r="H129">
        <v>51.734826000000012</v>
      </c>
      <c r="I129">
        <v>-4.1677101427326164</v>
      </c>
      <c r="J129">
        <v>1.289086186889977</v>
      </c>
      <c r="K129">
        <v>0.17847581652686059</v>
      </c>
      <c r="L129">
        <v>-0.2491469244085768</v>
      </c>
      <c r="M129" t="s">
        <v>32</v>
      </c>
      <c r="N129">
        <v>20</v>
      </c>
      <c r="O129" t="s">
        <v>31</v>
      </c>
      <c r="P129">
        <v>48465</v>
      </c>
      <c r="Q129">
        <v>56.72</v>
      </c>
      <c r="R129">
        <v>52.09</v>
      </c>
      <c r="S129">
        <v>-0.2189655012497754</v>
      </c>
      <c r="T129">
        <v>3.5946889860531177E-2</v>
      </c>
      <c r="U129">
        <v>3.134768251305764E-2</v>
      </c>
      <c r="V129">
        <v>4.5781145565425762E-3</v>
      </c>
      <c r="W129">
        <v>2.6769567956515059E-2</v>
      </c>
      <c r="X129" s="19">
        <f t="shared" si="3"/>
        <v>46044</v>
      </c>
      <c r="Y129" s="19">
        <f t="shared" si="4"/>
        <v>46044</v>
      </c>
      <c r="Z129">
        <f t="array" ref="Z129">_xlfn.XLOOKUP(INT(X129),INT($AE$2:$AE$1000),$AG$2:$AG$1000,"")</f>
        <v>15.64</v>
      </c>
      <c r="AE129" s="19">
        <f t="shared" si="5"/>
        <v>46051</v>
      </c>
      <c r="AF129" t="s">
        <v>143</v>
      </c>
      <c r="AG129">
        <v>16.88</v>
      </c>
    </row>
    <row r="130" spans="1:33" x14ac:dyDescent="0.3">
      <c r="A130">
        <v>6</v>
      </c>
      <c r="B130" t="s">
        <v>34</v>
      </c>
      <c r="C130" t="s">
        <v>123</v>
      </c>
      <c r="D130">
        <v>48823</v>
      </c>
      <c r="E130">
        <v>92.6</v>
      </c>
      <c r="F130">
        <v>224.17500000000001</v>
      </c>
      <c r="G130">
        <v>92.590739999999997</v>
      </c>
      <c r="H130">
        <v>224.1974175</v>
      </c>
      <c r="I130">
        <v>3.5583005144350981</v>
      </c>
      <c r="J130">
        <v>0.64995808535787292</v>
      </c>
      <c r="K130">
        <v>-0.10799136069114471</v>
      </c>
      <c r="L130">
        <v>2.8993334910577581E-2</v>
      </c>
      <c r="M130" t="s">
        <v>30</v>
      </c>
      <c r="N130">
        <v>8</v>
      </c>
      <c r="O130" t="s">
        <v>31</v>
      </c>
      <c r="P130">
        <v>48831</v>
      </c>
      <c r="Q130">
        <v>92.25</v>
      </c>
      <c r="R130">
        <v>223.82</v>
      </c>
      <c r="S130">
        <v>0.20521502647197731</v>
      </c>
      <c r="T130">
        <v>2.7504342348644469E-2</v>
      </c>
      <c r="U130">
        <v>2.420923513894294E-2</v>
      </c>
      <c r="V130">
        <v>3.2998461623328181E-3</v>
      </c>
      <c r="W130">
        <v>2.0909388976610131E-2</v>
      </c>
      <c r="X130" s="19">
        <f t="shared" ref="X130:X193" si="6">WORKDAY(DATE(2025,8,2),INT(D130/390))</f>
        <v>46045</v>
      </c>
      <c r="Y130" s="19">
        <f t="shared" ref="Y130:Y193" si="7">WORKDAY(DATE(2025,8,2),INT(P130/390))</f>
        <v>46045</v>
      </c>
      <c r="Z130">
        <f t="array" ref="Z130">_xlfn.XLOOKUP(INT(X130),INT($AE$2:$AE$1000),$AG$2:$AG$1000,"")</f>
        <v>16.09</v>
      </c>
      <c r="AE130" s="19">
        <f t="shared" ref="AE130:AE193" si="8">IF(ISNUMBER(AF130),DATE(YEAR(AF130),DAY(AF130),MONTH(AF130)),DATE(RIGHT(AF130,4),LEFT(AF130,2),MID(AF130,4,2)))</f>
        <v>46052</v>
      </c>
      <c r="AF130" t="s">
        <v>144</v>
      </c>
      <c r="AG130">
        <v>17.440000000000001</v>
      </c>
    </row>
    <row r="131" spans="1:33" x14ac:dyDescent="0.3">
      <c r="A131">
        <v>6</v>
      </c>
      <c r="B131" t="s">
        <v>36</v>
      </c>
      <c r="C131" t="s">
        <v>35</v>
      </c>
      <c r="D131">
        <v>48833</v>
      </c>
      <c r="E131">
        <v>57.62</v>
      </c>
      <c r="F131">
        <v>53.09</v>
      </c>
      <c r="G131">
        <v>57.625761999999987</v>
      </c>
      <c r="H131">
        <v>53.084691000000007</v>
      </c>
      <c r="I131">
        <v>-5.0323775058687206</v>
      </c>
      <c r="J131">
        <v>1.289086186889977</v>
      </c>
      <c r="K131">
        <v>0.17355085039916701</v>
      </c>
      <c r="L131">
        <v>-0.24281148745337661</v>
      </c>
      <c r="M131" t="s">
        <v>32</v>
      </c>
      <c r="N131">
        <v>22</v>
      </c>
      <c r="O131" t="s">
        <v>31</v>
      </c>
      <c r="P131">
        <v>48855</v>
      </c>
      <c r="Q131">
        <v>58.634999999999998</v>
      </c>
      <c r="R131">
        <v>53.82</v>
      </c>
      <c r="S131">
        <v>-0.2466694749158895</v>
      </c>
      <c r="T131">
        <v>-1.098272685809615E-3</v>
      </c>
      <c r="U131">
        <v>-5.7117857094867164E-3</v>
      </c>
      <c r="V131">
        <v>4.5781145565425736E-3</v>
      </c>
      <c r="W131">
        <v>-1.028990026602929E-2</v>
      </c>
      <c r="X131" s="19">
        <f t="shared" si="6"/>
        <v>46045</v>
      </c>
      <c r="Y131" s="19">
        <f t="shared" si="7"/>
        <v>46045</v>
      </c>
      <c r="Z131">
        <f t="array" ref="Z131">_xlfn.XLOOKUP(INT(X131),INT($AE$2:$AE$1000),$AG$2:$AG$1000,"")</f>
        <v>16.09</v>
      </c>
      <c r="AE131" s="19">
        <f t="shared" si="8"/>
        <v>46055</v>
      </c>
      <c r="AF131" s="19">
        <v>46055</v>
      </c>
      <c r="AG131">
        <v>16.34</v>
      </c>
    </row>
    <row r="132" spans="1:33" x14ac:dyDescent="0.3">
      <c r="A132">
        <v>6</v>
      </c>
      <c r="B132" t="s">
        <v>36</v>
      </c>
      <c r="C132" t="s">
        <v>35</v>
      </c>
      <c r="D132">
        <v>49213</v>
      </c>
      <c r="E132">
        <v>58.704999999999998</v>
      </c>
      <c r="F132">
        <v>54.045000000000002</v>
      </c>
      <c r="G132">
        <v>58.710870499999999</v>
      </c>
      <c r="H132">
        <v>54.039595499999997</v>
      </c>
      <c r="I132">
        <v>-3.5292797079080298</v>
      </c>
      <c r="J132">
        <v>1.289086186889977</v>
      </c>
      <c r="K132">
        <v>0.1703432416318883</v>
      </c>
      <c r="L132">
        <v>-0.2385208968248638</v>
      </c>
      <c r="M132" t="s">
        <v>32</v>
      </c>
      <c r="N132">
        <v>7</v>
      </c>
      <c r="O132" t="s">
        <v>31</v>
      </c>
      <c r="P132">
        <v>49220</v>
      </c>
      <c r="Q132">
        <v>58.76</v>
      </c>
      <c r="R132">
        <v>54.015000000000001</v>
      </c>
      <c r="S132">
        <v>7.5274115590421818E-3</v>
      </c>
      <c r="T132">
        <v>1.6524505194499991E-2</v>
      </c>
      <c r="U132">
        <v>1.194611149558251E-2</v>
      </c>
      <c r="V132">
        <v>4.5781145565425762E-3</v>
      </c>
      <c r="W132">
        <v>7.3679969390399351E-3</v>
      </c>
      <c r="X132" s="19">
        <f t="shared" si="6"/>
        <v>46048</v>
      </c>
      <c r="Y132" s="19">
        <f t="shared" si="7"/>
        <v>46048</v>
      </c>
      <c r="Z132">
        <f t="array" ref="Z132">_xlfn.XLOOKUP(INT(X132),INT($AE$2:$AE$1000),$AG$2:$AG$1000,"")</f>
        <v>16.149999999999999</v>
      </c>
      <c r="AE132" s="19">
        <f t="shared" si="8"/>
        <v>46056</v>
      </c>
      <c r="AF132" s="19">
        <v>46083</v>
      </c>
      <c r="AG132">
        <v>18</v>
      </c>
    </row>
    <row r="133" spans="1:33" x14ac:dyDescent="0.3">
      <c r="A133">
        <v>6</v>
      </c>
      <c r="B133" t="s">
        <v>28</v>
      </c>
      <c r="C133" t="s">
        <v>33</v>
      </c>
      <c r="D133">
        <v>49223</v>
      </c>
      <c r="E133">
        <v>316.18</v>
      </c>
      <c r="F133">
        <v>55.055</v>
      </c>
      <c r="G133">
        <v>316.21161799999999</v>
      </c>
      <c r="H133">
        <v>55.049494500000002</v>
      </c>
      <c r="I133">
        <v>-4.859089007060053</v>
      </c>
      <c r="J133">
        <v>1.049029346166849</v>
      </c>
      <c r="K133">
        <v>3.1627553924979443E-2</v>
      </c>
      <c r="L133">
        <v>-0.19054206632764489</v>
      </c>
      <c r="M133" t="s">
        <v>32</v>
      </c>
      <c r="N133">
        <v>31</v>
      </c>
      <c r="O133" t="s">
        <v>31</v>
      </c>
      <c r="P133">
        <v>49254</v>
      </c>
      <c r="Q133">
        <v>315.45</v>
      </c>
      <c r="R133">
        <v>55.23</v>
      </c>
      <c r="S133">
        <v>-0.18965137323514589</v>
      </c>
      <c r="T133">
        <v>-5.6432975972572887E-2</v>
      </c>
      <c r="U133">
        <v>-6.0532060339628997E-2</v>
      </c>
      <c r="V133">
        <v>4.0980488864644652E-3</v>
      </c>
      <c r="W133">
        <v>-6.4630109226093468E-2</v>
      </c>
      <c r="X133" s="19">
        <f t="shared" si="6"/>
        <v>46048</v>
      </c>
      <c r="Y133" s="19">
        <f t="shared" si="7"/>
        <v>46048</v>
      </c>
      <c r="Z133">
        <f t="array" ref="Z133">_xlfn.XLOOKUP(INT(X133),INT($AE$2:$AE$1000),$AG$2:$AG$1000,"")</f>
        <v>16.149999999999999</v>
      </c>
      <c r="AE133" s="19">
        <f t="shared" si="8"/>
        <v>46057</v>
      </c>
      <c r="AF133" s="19">
        <v>46114</v>
      </c>
      <c r="AG133">
        <v>18.64</v>
      </c>
    </row>
    <row r="134" spans="1:33" x14ac:dyDescent="0.3">
      <c r="A134">
        <v>6</v>
      </c>
      <c r="B134" t="s">
        <v>34</v>
      </c>
      <c r="C134" t="s">
        <v>123</v>
      </c>
      <c r="D134">
        <v>49529</v>
      </c>
      <c r="E134">
        <v>92.99</v>
      </c>
      <c r="F134">
        <v>224.49</v>
      </c>
      <c r="G134">
        <v>92.980700999999996</v>
      </c>
      <c r="H134">
        <v>224.512449</v>
      </c>
      <c r="I134">
        <v>3.6108445177792809</v>
      </c>
      <c r="J134">
        <v>0.64995808535787292</v>
      </c>
      <c r="K134">
        <v>-0.10753844499408539</v>
      </c>
      <c r="L134">
        <v>2.8952652027167038E-2</v>
      </c>
      <c r="M134" t="s">
        <v>30</v>
      </c>
      <c r="N134">
        <v>14</v>
      </c>
      <c r="O134" t="s">
        <v>31</v>
      </c>
      <c r="P134">
        <v>49543</v>
      </c>
      <c r="Q134">
        <v>93.13</v>
      </c>
      <c r="R134">
        <v>225.21</v>
      </c>
      <c r="S134">
        <v>0.36827108663498798</v>
      </c>
      <c r="T134">
        <v>5.7905271603882202E-3</v>
      </c>
      <c r="U134">
        <v>2.4870208604967571E-3</v>
      </c>
      <c r="V134">
        <v>3.2998461623328181E-3</v>
      </c>
      <c r="W134">
        <v>-8.1282530183606101E-4</v>
      </c>
      <c r="X134" s="19">
        <f t="shared" si="6"/>
        <v>46048</v>
      </c>
      <c r="Y134" s="19">
        <f t="shared" si="7"/>
        <v>46049</v>
      </c>
      <c r="Z134">
        <f t="array" ref="Z134">_xlfn.XLOOKUP(INT(X134),INT($AE$2:$AE$1000),$AG$2:$AG$1000,"")</f>
        <v>16.149999999999999</v>
      </c>
      <c r="AE134" s="19">
        <f t="shared" si="8"/>
        <v>46058</v>
      </c>
      <c r="AF134" s="19">
        <v>46144</v>
      </c>
      <c r="AG134">
        <v>21.77</v>
      </c>
    </row>
    <row r="135" spans="1:33" x14ac:dyDescent="0.3">
      <c r="A135">
        <v>6</v>
      </c>
      <c r="B135" t="s">
        <v>36</v>
      </c>
      <c r="C135" t="s">
        <v>35</v>
      </c>
      <c r="D135">
        <v>49613</v>
      </c>
      <c r="E135">
        <v>59.52</v>
      </c>
      <c r="F135">
        <v>54.84</v>
      </c>
      <c r="G135">
        <v>59.514048000000003</v>
      </c>
      <c r="H135">
        <v>54.845484000000013</v>
      </c>
      <c r="I135">
        <v>4.0247619332941413</v>
      </c>
      <c r="J135">
        <v>1.289086186889977</v>
      </c>
      <c r="K135">
        <v>-0.168010752688172</v>
      </c>
      <c r="L135">
        <v>0.23506312671224949</v>
      </c>
      <c r="M135" t="s">
        <v>30</v>
      </c>
      <c r="N135">
        <v>2</v>
      </c>
      <c r="O135" t="s">
        <v>31</v>
      </c>
      <c r="P135">
        <v>49615</v>
      </c>
      <c r="Q135">
        <v>59.15</v>
      </c>
      <c r="R135">
        <v>54.93</v>
      </c>
      <c r="S135">
        <v>0.18462776406469469</v>
      </c>
      <c r="T135">
        <v>8.3319659898726015E-2</v>
      </c>
      <c r="U135">
        <v>7.8745588354653784E-2</v>
      </c>
      <c r="V135">
        <v>4.5782301910173321E-3</v>
      </c>
      <c r="W135">
        <v>7.4167358163636454E-2</v>
      </c>
      <c r="X135" s="19">
        <f t="shared" si="6"/>
        <v>46049</v>
      </c>
      <c r="Y135" s="19">
        <f t="shared" si="7"/>
        <v>46049</v>
      </c>
      <c r="Z135">
        <f t="array" ref="Z135">_xlfn.XLOOKUP(INT(X135),INT($AE$2:$AE$1000),$AG$2:$AG$1000,"")</f>
        <v>16.350000000000001</v>
      </c>
      <c r="AE135" s="19">
        <f t="shared" si="8"/>
        <v>46059</v>
      </c>
      <c r="AF135" s="19">
        <v>46175</v>
      </c>
      <c r="AG135">
        <v>17.760000000000002</v>
      </c>
    </row>
    <row r="136" spans="1:33" x14ac:dyDescent="0.3">
      <c r="A136">
        <v>6</v>
      </c>
      <c r="B136" t="s">
        <v>28</v>
      </c>
      <c r="C136" t="s">
        <v>33</v>
      </c>
      <c r="D136">
        <v>49616</v>
      </c>
      <c r="E136">
        <v>311.875</v>
      </c>
      <c r="F136">
        <v>54.77</v>
      </c>
      <c r="G136">
        <v>311.90618749999999</v>
      </c>
      <c r="H136">
        <v>54.764522999999997</v>
      </c>
      <c r="I136">
        <v>-3.8976025459049848</v>
      </c>
      <c r="J136">
        <v>1.049029346166849</v>
      </c>
      <c r="K136">
        <v>3.2064128256513023E-2</v>
      </c>
      <c r="L136">
        <v>-0.1915335669466586</v>
      </c>
      <c r="M136" t="s">
        <v>32</v>
      </c>
      <c r="N136">
        <v>2</v>
      </c>
      <c r="O136" t="s">
        <v>31</v>
      </c>
      <c r="P136">
        <v>49618</v>
      </c>
      <c r="Q136">
        <v>311.14999999999998</v>
      </c>
      <c r="R136">
        <v>54.445</v>
      </c>
      <c r="S136">
        <v>-0.18436969319392729</v>
      </c>
      <c r="T136">
        <v>3.900191627169191E-2</v>
      </c>
      <c r="U136">
        <v>3.4912407069583963E-2</v>
      </c>
      <c r="V136">
        <v>4.0980488864644652E-3</v>
      </c>
      <c r="W136">
        <v>3.0814358183119499E-2</v>
      </c>
      <c r="X136" s="19">
        <f t="shared" si="6"/>
        <v>46049</v>
      </c>
      <c r="Y136" s="19">
        <f t="shared" si="7"/>
        <v>46049</v>
      </c>
      <c r="Z136">
        <f t="array" ref="Z136">_xlfn.XLOOKUP(INT(X136),INT($AE$2:$AE$1000),$AG$2:$AG$1000,"")</f>
        <v>16.350000000000001</v>
      </c>
      <c r="AE136" s="19">
        <f t="shared" si="8"/>
        <v>46062</v>
      </c>
      <c r="AF136" s="19">
        <v>46267</v>
      </c>
      <c r="AG136">
        <v>17.36</v>
      </c>
    </row>
    <row r="137" spans="1:33" x14ac:dyDescent="0.3">
      <c r="A137">
        <v>6</v>
      </c>
      <c r="B137" t="s">
        <v>36</v>
      </c>
      <c r="C137" t="s">
        <v>35</v>
      </c>
      <c r="D137">
        <v>49993</v>
      </c>
      <c r="E137">
        <v>59.04</v>
      </c>
      <c r="F137">
        <v>55.12</v>
      </c>
      <c r="G137">
        <v>59.045904</v>
      </c>
      <c r="H137">
        <v>55.114488000000001</v>
      </c>
      <c r="I137">
        <v>-3.7197802549707881</v>
      </c>
      <c r="J137">
        <v>1.289086186889977</v>
      </c>
      <c r="K137">
        <v>0.1693766937669377</v>
      </c>
      <c r="L137">
        <v>-0.23386904696842831</v>
      </c>
      <c r="M137" t="s">
        <v>32</v>
      </c>
      <c r="N137">
        <v>19</v>
      </c>
      <c r="O137" t="s">
        <v>31</v>
      </c>
      <c r="P137">
        <v>50012</v>
      </c>
      <c r="Q137">
        <v>59.95</v>
      </c>
      <c r="R137">
        <v>55.79</v>
      </c>
      <c r="S137">
        <v>-0.47342312295961297</v>
      </c>
      <c r="T137">
        <v>-2.5594701409334402E-3</v>
      </c>
      <c r="U137">
        <v>-7.1687250199914399E-3</v>
      </c>
      <c r="V137">
        <v>4.5781145565425762E-3</v>
      </c>
      <c r="W137">
        <v>-1.174683957653402E-2</v>
      </c>
      <c r="X137" s="19">
        <f t="shared" si="6"/>
        <v>46050</v>
      </c>
      <c r="Y137" s="19">
        <f t="shared" si="7"/>
        <v>46050</v>
      </c>
      <c r="Z137">
        <f t="array" ref="Z137">_xlfn.XLOOKUP(INT(X137),INT($AE$2:$AE$1000),$AG$2:$AG$1000,"")</f>
        <v>16.350000000000001</v>
      </c>
      <c r="AE137" s="19">
        <f t="shared" si="8"/>
        <v>46063</v>
      </c>
      <c r="AF137" s="19">
        <v>46297</v>
      </c>
      <c r="AG137">
        <v>17.79</v>
      </c>
    </row>
    <row r="138" spans="1:33" x14ac:dyDescent="0.3">
      <c r="A138">
        <v>6</v>
      </c>
      <c r="B138" t="s">
        <v>28</v>
      </c>
      <c r="C138" t="s">
        <v>33</v>
      </c>
      <c r="D138">
        <v>50394</v>
      </c>
      <c r="E138">
        <v>320.89</v>
      </c>
      <c r="F138">
        <v>56.534999999999997</v>
      </c>
      <c r="G138">
        <v>320.92208900000003</v>
      </c>
      <c r="H138">
        <v>56.529346500000003</v>
      </c>
      <c r="I138">
        <v>-4.3146824282382417</v>
      </c>
      <c r="J138">
        <v>1.049029346166849</v>
      </c>
      <c r="K138">
        <v>3.116332699679018E-2</v>
      </c>
      <c r="L138">
        <v>-0.18555396589136811</v>
      </c>
      <c r="M138" t="s">
        <v>32</v>
      </c>
      <c r="N138">
        <v>1</v>
      </c>
      <c r="O138" t="s">
        <v>31</v>
      </c>
      <c r="P138">
        <v>50395</v>
      </c>
      <c r="Q138">
        <v>320.89499999999998</v>
      </c>
      <c r="R138">
        <v>56.34</v>
      </c>
      <c r="S138">
        <v>-0.46827256733414369</v>
      </c>
      <c r="T138">
        <v>3.6338839983799318E-2</v>
      </c>
      <c r="U138">
        <v>3.2244384012137667E-2</v>
      </c>
      <c r="V138">
        <v>4.0980488864644652E-3</v>
      </c>
      <c r="W138">
        <v>2.8146335125673199E-2</v>
      </c>
      <c r="X138" s="19">
        <f t="shared" si="6"/>
        <v>46051</v>
      </c>
      <c r="Y138" s="19">
        <f t="shared" si="7"/>
        <v>46051</v>
      </c>
      <c r="Z138">
        <f t="array" ref="Z138">_xlfn.XLOOKUP(INT(X138),INT($AE$2:$AE$1000),$AG$2:$AG$1000,"")</f>
        <v>16.88</v>
      </c>
      <c r="AE138" s="19">
        <f t="shared" si="8"/>
        <v>46064</v>
      </c>
      <c r="AF138" s="19">
        <v>46328</v>
      </c>
      <c r="AG138">
        <v>17.649999999999999</v>
      </c>
    </row>
    <row r="139" spans="1:33" x14ac:dyDescent="0.3">
      <c r="A139">
        <v>6</v>
      </c>
      <c r="B139" t="s">
        <v>36</v>
      </c>
      <c r="C139" t="s">
        <v>35</v>
      </c>
      <c r="D139">
        <v>50398</v>
      </c>
      <c r="E139">
        <v>60.4</v>
      </c>
      <c r="F139">
        <v>55.46</v>
      </c>
      <c r="G139">
        <v>60.39396</v>
      </c>
      <c r="H139">
        <v>55.465546000000003</v>
      </c>
      <c r="I139">
        <v>3.804718142203563</v>
      </c>
      <c r="J139">
        <v>1.289086186889977</v>
      </c>
      <c r="K139">
        <v>-0.16556291390728481</v>
      </c>
      <c r="L139">
        <v>0.23243530236025539</v>
      </c>
      <c r="M139" t="s">
        <v>30</v>
      </c>
      <c r="N139">
        <v>25</v>
      </c>
      <c r="O139" t="s">
        <v>31</v>
      </c>
      <c r="P139">
        <v>50423</v>
      </c>
      <c r="Q139">
        <v>60.564999999999998</v>
      </c>
      <c r="R139">
        <v>55.49</v>
      </c>
      <c r="S139">
        <v>0.3410817055269435</v>
      </c>
      <c r="T139">
        <v>-2.034482172389392E-2</v>
      </c>
      <c r="U139">
        <v>-2.4926423191661211E-2</v>
      </c>
      <c r="V139">
        <v>4.5782301910173321E-3</v>
      </c>
      <c r="W139">
        <v>-2.950465338267854E-2</v>
      </c>
      <c r="X139" s="19">
        <f t="shared" si="6"/>
        <v>46051</v>
      </c>
      <c r="Y139" s="19">
        <f t="shared" si="7"/>
        <v>46051</v>
      </c>
      <c r="Z139">
        <f t="array" ref="Z139">_xlfn.XLOOKUP(INT(X139),INT($AE$2:$AE$1000),$AG$2:$AG$1000,"")</f>
        <v>16.88</v>
      </c>
      <c r="AE139" s="19">
        <f t="shared" si="8"/>
        <v>46065</v>
      </c>
      <c r="AF139" s="19">
        <v>46358</v>
      </c>
      <c r="AG139">
        <v>20.82</v>
      </c>
    </row>
    <row r="140" spans="1:33" x14ac:dyDescent="0.3">
      <c r="A140">
        <v>6</v>
      </c>
      <c r="B140" t="s">
        <v>36</v>
      </c>
      <c r="C140" t="s">
        <v>35</v>
      </c>
      <c r="D140">
        <v>50784</v>
      </c>
      <c r="E140">
        <v>60.56</v>
      </c>
      <c r="F140">
        <v>54.76</v>
      </c>
      <c r="G140">
        <v>60.553944000000001</v>
      </c>
      <c r="H140">
        <v>54.765476</v>
      </c>
      <c r="I140">
        <v>4.2383734480908899</v>
      </c>
      <c r="J140">
        <v>1.289086186889977</v>
      </c>
      <c r="K140">
        <v>-0.1651254953764861</v>
      </c>
      <c r="L140">
        <v>0.23540653522461219</v>
      </c>
      <c r="M140" t="s">
        <v>30</v>
      </c>
      <c r="N140">
        <v>10</v>
      </c>
      <c r="O140" t="s">
        <v>31</v>
      </c>
      <c r="P140">
        <v>50794</v>
      </c>
      <c r="Q140">
        <v>60.79</v>
      </c>
      <c r="R140">
        <v>55.024999999999999</v>
      </c>
      <c r="S140">
        <v>0.37289506145999168</v>
      </c>
      <c r="T140">
        <v>2.440386789793109E-2</v>
      </c>
      <c r="U140">
        <v>1.981565936457386E-2</v>
      </c>
      <c r="V140">
        <v>4.5782301910173321E-3</v>
      </c>
      <c r="W140">
        <v>1.523742917355652E-2</v>
      </c>
      <c r="X140" s="19">
        <f t="shared" si="6"/>
        <v>46052</v>
      </c>
      <c r="Y140" s="19">
        <f t="shared" si="7"/>
        <v>46052</v>
      </c>
      <c r="Z140">
        <f t="array" ref="Z140">_xlfn.XLOOKUP(INT(X140),INT($AE$2:$AE$1000),$AG$2:$AG$1000,"")</f>
        <v>17.440000000000001</v>
      </c>
      <c r="AE140" s="19">
        <f t="shared" si="8"/>
        <v>46066</v>
      </c>
      <c r="AF140" t="s">
        <v>145</v>
      </c>
      <c r="AG140">
        <v>20.6</v>
      </c>
    </row>
    <row r="141" spans="1:33" x14ac:dyDescent="0.3">
      <c r="A141">
        <v>6</v>
      </c>
      <c r="B141" t="s">
        <v>28</v>
      </c>
      <c r="C141" t="s">
        <v>33</v>
      </c>
      <c r="D141">
        <v>51174</v>
      </c>
      <c r="E141">
        <v>323.52999999999997</v>
      </c>
      <c r="F141">
        <v>55.94</v>
      </c>
      <c r="G141">
        <v>323.49764699999997</v>
      </c>
      <c r="H141">
        <v>55.945594</v>
      </c>
      <c r="I141">
        <v>4.6345613147110241</v>
      </c>
      <c r="J141">
        <v>1.049029346166849</v>
      </c>
      <c r="K141">
        <v>-3.0909034710845981E-2</v>
      </c>
      <c r="L141">
        <v>0.1875275913776992</v>
      </c>
      <c r="M141" t="s">
        <v>30</v>
      </c>
      <c r="N141">
        <v>21</v>
      </c>
      <c r="O141" t="s">
        <v>31</v>
      </c>
      <c r="P141">
        <v>51195</v>
      </c>
      <c r="Q141">
        <v>321.07499999999999</v>
      </c>
      <c r="R141">
        <v>55.34</v>
      </c>
      <c r="S141">
        <v>0.29875456474032003</v>
      </c>
      <c r="T141">
        <v>-3.6634874611492042E-2</v>
      </c>
      <c r="U141">
        <v>-4.0714093480321317E-2</v>
      </c>
      <c r="V141">
        <v>4.0980684982029319E-3</v>
      </c>
      <c r="W141">
        <v>-4.4812161978524251E-2</v>
      </c>
      <c r="X141" s="19">
        <f t="shared" si="6"/>
        <v>46055</v>
      </c>
      <c r="Y141" s="19">
        <f t="shared" si="7"/>
        <v>46055</v>
      </c>
      <c r="Z141">
        <f t="array" ref="Z141">_xlfn.XLOOKUP(INT(X141),INT($AE$2:$AE$1000),$AG$2:$AG$1000,"")</f>
        <v>16.34</v>
      </c>
      <c r="AE141" s="19">
        <f t="shared" si="8"/>
        <v>46069</v>
      </c>
      <c r="AF141" t="s">
        <v>146</v>
      </c>
      <c r="AG141">
        <v>21.2</v>
      </c>
    </row>
    <row r="142" spans="1:33" x14ac:dyDescent="0.3">
      <c r="A142">
        <v>7</v>
      </c>
      <c r="B142" t="s">
        <v>28</v>
      </c>
      <c r="C142" t="s">
        <v>33</v>
      </c>
      <c r="D142">
        <v>51565</v>
      </c>
      <c r="E142">
        <v>310.43</v>
      </c>
      <c r="F142">
        <v>53.52</v>
      </c>
      <c r="G142">
        <v>310.398957</v>
      </c>
      <c r="H142">
        <v>53.525352000000012</v>
      </c>
      <c r="I142">
        <v>4.075568730273786</v>
      </c>
      <c r="J142">
        <v>1.010146982915971</v>
      </c>
      <c r="K142">
        <v>-3.2213381438649623E-2</v>
      </c>
      <c r="L142">
        <v>0.18874196242824581</v>
      </c>
      <c r="M142" t="s">
        <v>30</v>
      </c>
      <c r="N142">
        <v>14</v>
      </c>
      <c r="O142" t="s">
        <v>31</v>
      </c>
      <c r="P142">
        <v>51579</v>
      </c>
      <c r="Q142">
        <v>310.47000000000003</v>
      </c>
      <c r="R142">
        <v>53.62</v>
      </c>
      <c r="S142">
        <v>7.7876738339145699E-2</v>
      </c>
      <c r="T142">
        <v>1.758566098527686E-2</v>
      </c>
      <c r="U142">
        <v>1.3563350746294471E-2</v>
      </c>
      <c r="V142">
        <v>4.0202959952285256E-3</v>
      </c>
      <c r="W142">
        <v>9.543054751065946E-3</v>
      </c>
      <c r="X142" s="19">
        <f t="shared" si="6"/>
        <v>46056</v>
      </c>
      <c r="Y142" s="19">
        <f t="shared" si="7"/>
        <v>46056</v>
      </c>
      <c r="Z142">
        <f t="array" ref="Z142">_xlfn.XLOOKUP(INT(X142),INT($AE$2:$AE$1000),$AG$2:$AG$1000,"")</f>
        <v>18</v>
      </c>
      <c r="AE142" s="19">
        <f t="shared" si="8"/>
        <v>46070</v>
      </c>
      <c r="AF142" t="s">
        <v>147</v>
      </c>
      <c r="AG142">
        <v>20.29</v>
      </c>
    </row>
    <row r="143" spans="1:33" x14ac:dyDescent="0.3">
      <c r="A143">
        <v>7</v>
      </c>
      <c r="B143" t="s">
        <v>28</v>
      </c>
      <c r="C143" t="s">
        <v>33</v>
      </c>
      <c r="D143">
        <v>52344</v>
      </c>
      <c r="E143">
        <v>304.58999999999997</v>
      </c>
      <c r="F143">
        <v>53.24</v>
      </c>
      <c r="G143">
        <v>304.62045899999998</v>
      </c>
      <c r="H143">
        <v>53.234676</v>
      </c>
      <c r="I143">
        <v>-4.9584326804218293</v>
      </c>
      <c r="J143">
        <v>1.010146982915971</v>
      </c>
      <c r="K143">
        <v>3.283101874651171E-2</v>
      </c>
      <c r="L143">
        <v>-0.1897345948377106</v>
      </c>
      <c r="M143" t="s">
        <v>32</v>
      </c>
      <c r="N143">
        <v>12</v>
      </c>
      <c r="O143" t="s">
        <v>31</v>
      </c>
      <c r="P143">
        <v>52356</v>
      </c>
      <c r="Q143">
        <v>306.60500000000002</v>
      </c>
      <c r="R143">
        <v>53.274999999999999</v>
      </c>
      <c r="S143">
        <v>-0.14343058562202879</v>
      </c>
      <c r="T143">
        <v>5.9513791954903278E-2</v>
      </c>
      <c r="U143">
        <v>5.5486218467711103E-2</v>
      </c>
      <c r="V143">
        <v>4.0202919364353594E-3</v>
      </c>
      <c r="W143">
        <v>5.1465926531275727E-2</v>
      </c>
      <c r="X143" s="19">
        <f t="shared" si="6"/>
        <v>46058</v>
      </c>
      <c r="Y143" s="19">
        <f t="shared" si="7"/>
        <v>46058</v>
      </c>
      <c r="Z143">
        <f t="array" ref="Z143">_xlfn.XLOOKUP(INT(X143),INT($AE$2:$AE$1000),$AG$2:$AG$1000,"")</f>
        <v>21.77</v>
      </c>
      <c r="AE143" s="19">
        <f t="shared" si="8"/>
        <v>46071</v>
      </c>
      <c r="AF143" t="s">
        <v>148</v>
      </c>
      <c r="AG143">
        <v>19.62</v>
      </c>
    </row>
    <row r="144" spans="1:33" x14ac:dyDescent="0.3">
      <c r="A144">
        <v>7</v>
      </c>
      <c r="B144" t="s">
        <v>28</v>
      </c>
      <c r="C144" t="s">
        <v>33</v>
      </c>
      <c r="D144">
        <v>53127</v>
      </c>
      <c r="E144">
        <v>306.26</v>
      </c>
      <c r="F144">
        <v>52.18</v>
      </c>
      <c r="G144">
        <v>306.22937400000001</v>
      </c>
      <c r="H144">
        <v>52.185217999999999</v>
      </c>
      <c r="I144">
        <v>4.6566311301594041</v>
      </c>
      <c r="J144">
        <v>1.010146982915971</v>
      </c>
      <c r="K144">
        <v>-3.2651995036896753E-2</v>
      </c>
      <c r="L144">
        <v>0.19358891968493119</v>
      </c>
      <c r="M144" t="s">
        <v>30</v>
      </c>
      <c r="N144">
        <v>18</v>
      </c>
      <c r="O144" t="s">
        <v>31</v>
      </c>
      <c r="P144">
        <v>53145</v>
      </c>
      <c r="Q144">
        <v>306.84500000000003</v>
      </c>
      <c r="R144">
        <v>52.46</v>
      </c>
      <c r="S144">
        <v>0.36883765175630667</v>
      </c>
      <c r="T144">
        <v>3.5103480415195183E-2</v>
      </c>
      <c r="U144">
        <v>3.1075855817902918E-2</v>
      </c>
      <c r="V144">
        <v>4.0202959952285256E-3</v>
      </c>
      <c r="W144">
        <v>2.7055559822674401E-2</v>
      </c>
      <c r="X144" s="19">
        <f t="shared" si="6"/>
        <v>46062</v>
      </c>
      <c r="Y144" s="19">
        <f t="shared" si="7"/>
        <v>46062</v>
      </c>
      <c r="Z144">
        <f t="array" ref="Z144">_xlfn.XLOOKUP(INT(X144),INT($AE$2:$AE$1000),$AG$2:$AG$1000,"")</f>
        <v>17.36</v>
      </c>
      <c r="AE144" s="19">
        <f t="shared" si="8"/>
        <v>46072</v>
      </c>
      <c r="AF144" t="s">
        <v>149</v>
      </c>
      <c r="AG144">
        <v>20.23</v>
      </c>
    </row>
    <row r="145" spans="1:33" x14ac:dyDescent="0.3">
      <c r="A145">
        <v>7</v>
      </c>
      <c r="B145" t="s">
        <v>28</v>
      </c>
      <c r="C145" t="s">
        <v>33</v>
      </c>
      <c r="D145">
        <v>53372</v>
      </c>
      <c r="E145">
        <v>305.2</v>
      </c>
      <c r="F145">
        <v>52.24</v>
      </c>
      <c r="G145">
        <v>305.23052000000001</v>
      </c>
      <c r="H145">
        <v>52.234775999999997</v>
      </c>
      <c r="I145">
        <v>-3.7749881529900149</v>
      </c>
      <c r="J145">
        <v>1.010146982915971</v>
      </c>
      <c r="K145">
        <v>3.2765399737876802E-2</v>
      </c>
      <c r="L145">
        <v>-0.19336657406507871</v>
      </c>
      <c r="M145" t="s">
        <v>32</v>
      </c>
      <c r="N145">
        <v>11</v>
      </c>
      <c r="O145" t="s">
        <v>31</v>
      </c>
      <c r="P145">
        <v>53383</v>
      </c>
      <c r="Q145">
        <v>306.63</v>
      </c>
      <c r="R145">
        <v>52.414999999999999</v>
      </c>
      <c r="S145">
        <v>-0.25681306697959139</v>
      </c>
      <c r="T145">
        <v>1.3015371163775821E-2</v>
      </c>
      <c r="U145">
        <v>8.9870078307352427E-3</v>
      </c>
      <c r="V145">
        <v>4.0202919364353603E-3</v>
      </c>
      <c r="W145">
        <v>4.9667158942998824E-3</v>
      </c>
      <c r="X145" s="19">
        <f t="shared" si="6"/>
        <v>46062</v>
      </c>
      <c r="Y145" s="19">
        <f t="shared" si="7"/>
        <v>46062</v>
      </c>
      <c r="Z145">
        <f t="array" ref="Z145">_xlfn.XLOOKUP(INT(X145),INT($AE$2:$AE$1000),$AG$2:$AG$1000,"")</f>
        <v>17.36</v>
      </c>
      <c r="AE145" s="19">
        <f t="shared" si="8"/>
        <v>46073</v>
      </c>
      <c r="AF145" t="s">
        <v>150</v>
      </c>
      <c r="AG145">
        <v>19.09</v>
      </c>
    </row>
    <row r="146" spans="1:33" x14ac:dyDescent="0.3">
      <c r="A146">
        <v>7</v>
      </c>
      <c r="B146" t="s">
        <v>28</v>
      </c>
      <c r="C146" t="s">
        <v>33</v>
      </c>
      <c r="D146">
        <v>53517</v>
      </c>
      <c r="E146">
        <v>307.62</v>
      </c>
      <c r="F146">
        <v>52.44</v>
      </c>
      <c r="G146">
        <v>307.58923800000002</v>
      </c>
      <c r="H146">
        <v>52.445244000000002</v>
      </c>
      <c r="I146">
        <v>4.0646379047212484</v>
      </c>
      <c r="J146">
        <v>1.010146982915971</v>
      </c>
      <c r="K146">
        <v>-3.2507639295234383E-2</v>
      </c>
      <c r="L146">
        <v>0.19262909666589839</v>
      </c>
      <c r="M146" t="s">
        <v>30</v>
      </c>
      <c r="N146">
        <v>18</v>
      </c>
      <c r="O146" t="s">
        <v>31</v>
      </c>
      <c r="P146">
        <v>53535</v>
      </c>
      <c r="Q146">
        <v>305.99</v>
      </c>
      <c r="R146">
        <v>52.08</v>
      </c>
      <c r="S146">
        <v>0.27083471387508978</v>
      </c>
      <c r="T146">
        <v>-1.635902274849144E-2</v>
      </c>
      <c r="U146">
        <v>-2.0367083321636309E-2</v>
      </c>
      <c r="V146">
        <v>4.0202959952285256E-3</v>
      </c>
      <c r="W146">
        <v>-2.438737931686483E-2</v>
      </c>
      <c r="X146" s="19">
        <f t="shared" si="6"/>
        <v>46063</v>
      </c>
      <c r="Y146" s="19">
        <f t="shared" si="7"/>
        <v>46063</v>
      </c>
      <c r="Z146">
        <f t="array" ref="Z146">_xlfn.XLOOKUP(INT(X146),INT($AE$2:$AE$1000),$AG$2:$AG$1000,"")</f>
        <v>17.79</v>
      </c>
      <c r="AE146" s="19">
        <f t="shared" si="8"/>
        <v>46076</v>
      </c>
      <c r="AF146" t="s">
        <v>151</v>
      </c>
      <c r="AG146">
        <v>21.01</v>
      </c>
    </row>
    <row r="147" spans="1:33" x14ac:dyDescent="0.3">
      <c r="A147">
        <v>7</v>
      </c>
      <c r="B147" t="s">
        <v>28</v>
      </c>
      <c r="C147" t="s">
        <v>33</v>
      </c>
      <c r="D147">
        <v>53762</v>
      </c>
      <c r="E147">
        <v>309.98500000000001</v>
      </c>
      <c r="F147">
        <v>52.664999999999999</v>
      </c>
      <c r="G147">
        <v>309.9540015</v>
      </c>
      <c r="H147">
        <v>52.670266499999997</v>
      </c>
      <c r="I147">
        <v>4.2167222232767623</v>
      </c>
      <c r="J147">
        <v>1.010146982915971</v>
      </c>
      <c r="K147">
        <v>-3.2259625465748343E-2</v>
      </c>
      <c r="L147">
        <v>0.19180612986157239</v>
      </c>
      <c r="M147" t="s">
        <v>30</v>
      </c>
      <c r="N147">
        <v>29</v>
      </c>
      <c r="O147" t="s">
        <v>31</v>
      </c>
      <c r="P147">
        <v>53791</v>
      </c>
      <c r="Q147">
        <v>310.69</v>
      </c>
      <c r="R147">
        <v>52.98</v>
      </c>
      <c r="S147">
        <v>-0.45026262429605401</v>
      </c>
      <c r="T147">
        <v>3.7675894953042813E-2</v>
      </c>
      <c r="U147">
        <v>3.3647284790525693E-2</v>
      </c>
      <c r="V147">
        <v>4.0202959952285256E-3</v>
      </c>
      <c r="W147">
        <v>2.9626988795297161E-2</v>
      </c>
      <c r="X147" s="19">
        <f t="shared" si="6"/>
        <v>46063</v>
      </c>
      <c r="Y147" s="19">
        <f t="shared" si="7"/>
        <v>46063</v>
      </c>
      <c r="Z147">
        <f t="array" ref="Z147">_xlfn.XLOOKUP(INT(X147),INT($AE$2:$AE$1000),$AG$2:$AG$1000,"")</f>
        <v>17.79</v>
      </c>
      <c r="AE147" s="19">
        <f t="shared" si="8"/>
        <v>46077</v>
      </c>
      <c r="AF147" t="s">
        <v>152</v>
      </c>
      <c r="AG147">
        <v>19.55</v>
      </c>
    </row>
    <row r="148" spans="1:33" x14ac:dyDescent="0.3">
      <c r="A148">
        <v>7</v>
      </c>
      <c r="B148" t="s">
        <v>28</v>
      </c>
      <c r="C148" t="s">
        <v>33</v>
      </c>
      <c r="D148">
        <v>53907</v>
      </c>
      <c r="E148">
        <v>309.82</v>
      </c>
      <c r="F148">
        <v>53.09</v>
      </c>
      <c r="G148">
        <v>309.85098199999999</v>
      </c>
      <c r="H148">
        <v>53.084691000000007</v>
      </c>
      <c r="I148">
        <v>-4.3878530153906263</v>
      </c>
      <c r="J148">
        <v>1.010146982915971</v>
      </c>
      <c r="K148">
        <v>3.2276805887289393E-2</v>
      </c>
      <c r="L148">
        <v>-0.19027066922508409</v>
      </c>
      <c r="M148" t="s">
        <v>32</v>
      </c>
      <c r="N148">
        <v>22</v>
      </c>
      <c r="O148" t="s">
        <v>31</v>
      </c>
      <c r="P148">
        <v>53929</v>
      </c>
      <c r="Q148">
        <v>306.24</v>
      </c>
      <c r="R148">
        <v>52.59</v>
      </c>
      <c r="S148">
        <v>-0.28515227122360992</v>
      </c>
      <c r="T148">
        <v>-2.041563046395348E-2</v>
      </c>
      <c r="U148">
        <v>-2.4414855799815841E-2</v>
      </c>
      <c r="V148">
        <v>4.0202919364353594E-3</v>
      </c>
      <c r="W148">
        <v>-2.84351477362512E-2</v>
      </c>
      <c r="X148" s="19">
        <f t="shared" si="6"/>
        <v>46064</v>
      </c>
      <c r="Y148" s="19">
        <f t="shared" si="7"/>
        <v>46064</v>
      </c>
      <c r="Z148">
        <f t="array" ref="Z148">_xlfn.XLOOKUP(INT(X148),INT($AE$2:$AE$1000),$AG$2:$AG$1000,"")</f>
        <v>17.649999999999999</v>
      </c>
      <c r="AE148" s="19">
        <f t="shared" si="8"/>
        <v>46078</v>
      </c>
      <c r="AF148" t="s">
        <v>153</v>
      </c>
      <c r="AG148">
        <v>17.93</v>
      </c>
    </row>
    <row r="149" spans="1:33" x14ac:dyDescent="0.3">
      <c r="A149">
        <v>7</v>
      </c>
      <c r="B149" t="s">
        <v>28</v>
      </c>
      <c r="C149" t="s">
        <v>33</v>
      </c>
      <c r="D149">
        <v>54298</v>
      </c>
      <c r="E149">
        <v>294.07</v>
      </c>
      <c r="F149">
        <v>50.25</v>
      </c>
      <c r="G149">
        <v>294.040593</v>
      </c>
      <c r="H149">
        <v>50.255025000000003</v>
      </c>
      <c r="I149">
        <v>3.6402653643952072</v>
      </c>
      <c r="J149">
        <v>1.010146982915971</v>
      </c>
      <c r="K149">
        <v>-3.4005508892440577E-2</v>
      </c>
      <c r="L149">
        <v>0.20102427520715849</v>
      </c>
      <c r="M149" t="s">
        <v>30</v>
      </c>
      <c r="N149">
        <v>26</v>
      </c>
      <c r="O149" t="s">
        <v>31</v>
      </c>
      <c r="P149">
        <v>54324</v>
      </c>
      <c r="Q149">
        <v>292.95</v>
      </c>
      <c r="R149">
        <v>49.75</v>
      </c>
      <c r="S149">
        <v>0.32317564303634372</v>
      </c>
      <c r="T149">
        <v>-6.2425967644045628E-2</v>
      </c>
      <c r="U149">
        <v>-6.6432401779120256E-2</v>
      </c>
      <c r="V149">
        <v>4.0202959952285256E-3</v>
      </c>
      <c r="W149">
        <v>-7.0452697774348788E-2</v>
      </c>
      <c r="X149" s="19">
        <f t="shared" si="6"/>
        <v>46065</v>
      </c>
      <c r="Y149" s="19">
        <f t="shared" si="7"/>
        <v>46065</v>
      </c>
      <c r="Z149">
        <f t="array" ref="Z149">_xlfn.XLOOKUP(INT(X149),INT($AE$2:$AE$1000),$AG$2:$AG$1000,"")</f>
        <v>20.82</v>
      </c>
      <c r="AE149" s="19">
        <f t="shared" si="8"/>
        <v>46079</v>
      </c>
      <c r="AF149" t="s">
        <v>154</v>
      </c>
      <c r="AG149">
        <v>18.63</v>
      </c>
    </row>
    <row r="150" spans="1:33" x14ac:dyDescent="0.3">
      <c r="A150">
        <v>8</v>
      </c>
      <c r="B150" t="s">
        <v>28</v>
      </c>
      <c r="C150" t="s">
        <v>33</v>
      </c>
      <c r="D150">
        <v>55468</v>
      </c>
      <c r="E150">
        <v>302.83499999999998</v>
      </c>
      <c r="F150">
        <v>51.37</v>
      </c>
      <c r="G150">
        <v>302.80471649999998</v>
      </c>
      <c r="H150">
        <v>51.375137000000002</v>
      </c>
      <c r="I150">
        <v>3.934397936976795</v>
      </c>
      <c r="J150">
        <v>0.96877792326346956</v>
      </c>
      <c r="K150">
        <v>-3.3021282216388462E-2</v>
      </c>
      <c r="L150">
        <v>0.18858826615991231</v>
      </c>
      <c r="M150" t="s">
        <v>30</v>
      </c>
      <c r="N150">
        <v>35</v>
      </c>
      <c r="O150" t="s">
        <v>31</v>
      </c>
      <c r="P150">
        <v>55503</v>
      </c>
      <c r="Q150">
        <v>297.54000000000002</v>
      </c>
      <c r="R150">
        <v>50.25</v>
      </c>
      <c r="S150">
        <v>5.749173956535495E-2</v>
      </c>
      <c r="T150">
        <v>-3.6371168763325801E-2</v>
      </c>
      <c r="U150">
        <v>-4.0270117955106932E-2</v>
      </c>
      <c r="V150">
        <v>3.9375496021115926E-3</v>
      </c>
      <c r="W150">
        <v>-4.4207667557218527E-2</v>
      </c>
      <c r="X150" s="19">
        <f t="shared" si="6"/>
        <v>46070</v>
      </c>
      <c r="Y150" s="19">
        <f t="shared" si="7"/>
        <v>46070</v>
      </c>
      <c r="Z150">
        <f t="array" ref="Z150">_xlfn.XLOOKUP(INT(X150),INT($AE$2:$AE$1000),$AG$2:$AG$1000,"")</f>
        <v>20.29</v>
      </c>
      <c r="AE150" s="19">
        <f t="shared" si="8"/>
        <v>46080</v>
      </c>
      <c r="AF150" t="s">
        <v>155</v>
      </c>
      <c r="AG150">
        <v>19.86</v>
      </c>
    </row>
    <row r="151" spans="1:33" x14ac:dyDescent="0.3">
      <c r="A151">
        <v>8</v>
      </c>
      <c r="B151" t="s">
        <v>36</v>
      </c>
      <c r="C151" t="s">
        <v>37</v>
      </c>
      <c r="D151">
        <v>55858</v>
      </c>
      <c r="E151">
        <v>53.58</v>
      </c>
      <c r="F151">
        <v>208.7</v>
      </c>
      <c r="G151">
        <v>53.585357999999999</v>
      </c>
      <c r="H151">
        <v>208.67912999999999</v>
      </c>
      <c r="I151">
        <v>-4.5499292658440256</v>
      </c>
      <c r="J151">
        <v>0.84871972876069857</v>
      </c>
      <c r="K151">
        <v>0.1866368047779022</v>
      </c>
      <c r="L151">
        <v>-4.0666973107843729E-2</v>
      </c>
      <c r="M151" t="s">
        <v>32</v>
      </c>
      <c r="N151">
        <v>11</v>
      </c>
      <c r="O151" t="s">
        <v>31</v>
      </c>
      <c r="P151">
        <v>55869</v>
      </c>
      <c r="Q151">
        <v>53.984999999999999</v>
      </c>
      <c r="R151">
        <v>209.87</v>
      </c>
      <c r="S151">
        <v>-0.32101361362627118</v>
      </c>
      <c r="T151">
        <v>2.800754739887279E-2</v>
      </c>
      <c r="U151">
        <v>2.4297791114904672E-2</v>
      </c>
      <c r="V151">
        <v>3.6974697135756449E-3</v>
      </c>
      <c r="W151">
        <v>2.060032140132902E-2</v>
      </c>
      <c r="X151" s="19">
        <f t="shared" si="6"/>
        <v>46071</v>
      </c>
      <c r="Y151" s="19">
        <f t="shared" si="7"/>
        <v>46071</v>
      </c>
      <c r="Z151">
        <f t="array" ref="Z151">_xlfn.XLOOKUP(INT(X151),INT($AE$2:$AE$1000),$AG$2:$AG$1000,"")</f>
        <v>19.62</v>
      </c>
      <c r="AE151" s="19">
        <f t="shared" si="8"/>
        <v>46083</v>
      </c>
      <c r="AF151" s="19">
        <v>46056</v>
      </c>
      <c r="AG151">
        <v>21.44</v>
      </c>
    </row>
    <row r="152" spans="1:33" x14ac:dyDescent="0.3">
      <c r="A152">
        <v>8</v>
      </c>
      <c r="B152" t="s">
        <v>36</v>
      </c>
      <c r="C152" t="s">
        <v>37</v>
      </c>
      <c r="D152">
        <v>56250</v>
      </c>
      <c r="E152">
        <v>53.32</v>
      </c>
      <c r="F152">
        <v>209.535</v>
      </c>
      <c r="G152">
        <v>53.325332000000003</v>
      </c>
      <c r="H152">
        <v>209.51404650000001</v>
      </c>
      <c r="I152">
        <v>-4.0623365334675539</v>
      </c>
      <c r="J152">
        <v>0.84871972876069857</v>
      </c>
      <c r="K152">
        <v>0.18754688672168041</v>
      </c>
      <c r="L152">
        <v>-4.05049146329109E-2</v>
      </c>
      <c r="M152" t="s">
        <v>32</v>
      </c>
      <c r="N152">
        <v>26</v>
      </c>
      <c r="O152" t="s">
        <v>31</v>
      </c>
      <c r="P152">
        <v>56276</v>
      </c>
      <c r="Q152">
        <v>53.32</v>
      </c>
      <c r="R152">
        <v>210.09</v>
      </c>
      <c r="S152">
        <v>-0.2642526821812835</v>
      </c>
      <c r="T152">
        <v>-2.2480227621265829E-2</v>
      </c>
      <c r="U152">
        <v>-2.617991510154969E-2</v>
      </c>
      <c r="V152">
        <v>3.6974697135756449E-3</v>
      </c>
      <c r="W152">
        <v>-2.9877384815125332E-2</v>
      </c>
      <c r="X152" s="19">
        <f t="shared" si="6"/>
        <v>46072</v>
      </c>
      <c r="Y152" s="19">
        <f t="shared" si="7"/>
        <v>46072</v>
      </c>
      <c r="Z152">
        <f t="array" ref="Z152">_xlfn.XLOOKUP(INT(X152),INT($AE$2:$AE$1000),$AG$2:$AG$1000,"")</f>
        <v>20.23</v>
      </c>
      <c r="AE152" s="19">
        <f t="shared" si="8"/>
        <v>46084</v>
      </c>
      <c r="AF152" s="19">
        <v>46084</v>
      </c>
      <c r="AG152">
        <v>23.57</v>
      </c>
    </row>
    <row r="153" spans="1:33" x14ac:dyDescent="0.3">
      <c r="A153">
        <v>8</v>
      </c>
      <c r="B153" t="s">
        <v>28</v>
      </c>
      <c r="C153" t="s">
        <v>33</v>
      </c>
      <c r="D153">
        <v>56633</v>
      </c>
      <c r="E153">
        <v>300.68</v>
      </c>
      <c r="F153">
        <v>49.88</v>
      </c>
      <c r="G153">
        <v>300.64993199999998</v>
      </c>
      <c r="H153">
        <v>49.884988</v>
      </c>
      <c r="I153">
        <v>3.5957734442424671</v>
      </c>
      <c r="J153">
        <v>0.96877792326346956</v>
      </c>
      <c r="K153">
        <v>-3.3257948649727281E-2</v>
      </c>
      <c r="L153">
        <v>0.194221716772949</v>
      </c>
      <c r="M153" t="s">
        <v>30</v>
      </c>
      <c r="N153">
        <v>14</v>
      </c>
      <c r="O153" t="s">
        <v>31</v>
      </c>
      <c r="P153">
        <v>56647</v>
      </c>
      <c r="Q153">
        <v>299.52</v>
      </c>
      <c r="R153">
        <v>49.82</v>
      </c>
      <c r="S153">
        <v>0.37164097552966741</v>
      </c>
      <c r="T153">
        <v>2.69259174273071E-2</v>
      </c>
      <c r="U153">
        <v>2.2993384833126618E-2</v>
      </c>
      <c r="V153">
        <v>3.9375496021115926E-3</v>
      </c>
      <c r="W153">
        <v>1.905583523101503E-2</v>
      </c>
      <c r="X153" s="19">
        <f t="shared" si="6"/>
        <v>46073</v>
      </c>
      <c r="Y153" s="19">
        <f t="shared" si="7"/>
        <v>46073</v>
      </c>
      <c r="Z153">
        <f t="array" ref="Z153">_xlfn.XLOOKUP(INT(X153),INT($AE$2:$AE$1000),$AG$2:$AG$1000,"")</f>
        <v>19.09</v>
      </c>
      <c r="AE153" s="19">
        <f t="shared" si="8"/>
        <v>46085</v>
      </c>
      <c r="AF153" s="19">
        <v>46115</v>
      </c>
      <c r="AG153">
        <v>21.15</v>
      </c>
    </row>
    <row r="154" spans="1:33" x14ac:dyDescent="0.3">
      <c r="A154">
        <v>8</v>
      </c>
      <c r="B154" t="s">
        <v>36</v>
      </c>
      <c r="C154" t="s">
        <v>37</v>
      </c>
      <c r="D154">
        <v>56706</v>
      </c>
      <c r="E154">
        <v>54.35</v>
      </c>
      <c r="F154">
        <v>214.1</v>
      </c>
      <c r="G154">
        <v>54.344565000000003</v>
      </c>
      <c r="H154">
        <v>214.12141</v>
      </c>
      <c r="I154">
        <v>3.6003093980396872</v>
      </c>
      <c r="J154">
        <v>0.84871972876069857</v>
      </c>
      <c r="K154">
        <v>-0.18399264029438819</v>
      </c>
      <c r="L154">
        <v>3.9641276448421227E-2</v>
      </c>
      <c r="M154" t="s">
        <v>30</v>
      </c>
      <c r="N154">
        <v>7</v>
      </c>
      <c r="O154" t="s">
        <v>31</v>
      </c>
      <c r="P154">
        <v>56713</v>
      </c>
      <c r="Q154">
        <v>54.13</v>
      </c>
      <c r="R154">
        <v>214.24</v>
      </c>
      <c r="S154">
        <v>-0.4906239703615386</v>
      </c>
      <c r="T154">
        <v>4.602815956754476E-2</v>
      </c>
      <c r="U154">
        <v>4.233421297024037E-2</v>
      </c>
      <c r="V154">
        <v>3.6974092014671498E-3</v>
      </c>
      <c r="W154">
        <v>3.8636803768773223E-2</v>
      </c>
      <c r="X154" s="19">
        <f t="shared" si="6"/>
        <v>46073</v>
      </c>
      <c r="Y154" s="19">
        <f t="shared" si="7"/>
        <v>46073</v>
      </c>
      <c r="Z154">
        <f t="array" ref="Z154">_xlfn.XLOOKUP(INT(X154),INT($AE$2:$AE$1000),$AG$2:$AG$1000,"")</f>
        <v>19.09</v>
      </c>
      <c r="AE154" s="19">
        <f t="shared" si="8"/>
        <v>46086</v>
      </c>
      <c r="AF154" s="19">
        <v>46145</v>
      </c>
      <c r="AG154">
        <v>23.75</v>
      </c>
    </row>
    <row r="155" spans="1:33" x14ac:dyDescent="0.3">
      <c r="A155">
        <v>8</v>
      </c>
      <c r="B155" t="s">
        <v>36</v>
      </c>
      <c r="C155" t="s">
        <v>37</v>
      </c>
      <c r="D155">
        <v>56879</v>
      </c>
      <c r="E155">
        <v>54.18</v>
      </c>
      <c r="F155">
        <v>214.01</v>
      </c>
      <c r="G155">
        <v>54.185417999999999</v>
      </c>
      <c r="H155">
        <v>213.98859899999999</v>
      </c>
      <c r="I155">
        <v>-3.609450234398119</v>
      </c>
      <c r="J155">
        <v>0.84871972876069857</v>
      </c>
      <c r="K155">
        <v>0.1845699520118125</v>
      </c>
      <c r="L155">
        <v>-3.965794723427403E-2</v>
      </c>
      <c r="M155" t="s">
        <v>32</v>
      </c>
      <c r="N155">
        <v>5</v>
      </c>
      <c r="O155" t="s">
        <v>31</v>
      </c>
      <c r="P155">
        <v>56884</v>
      </c>
      <c r="Q155">
        <v>54.23</v>
      </c>
      <c r="R155">
        <v>213.87</v>
      </c>
      <c r="S155">
        <v>-0.33792079020628868</v>
      </c>
      <c r="T155">
        <v>1.478061021338792E-2</v>
      </c>
      <c r="U155">
        <v>1.1082803117367829E-2</v>
      </c>
      <c r="V155">
        <v>3.697469713575644E-3</v>
      </c>
      <c r="W155">
        <v>7.3853334037921829E-3</v>
      </c>
      <c r="X155" s="19">
        <f t="shared" si="6"/>
        <v>46073</v>
      </c>
      <c r="Y155" s="19">
        <f t="shared" si="7"/>
        <v>46073</v>
      </c>
      <c r="Z155">
        <f t="array" ref="Z155">_xlfn.XLOOKUP(INT(X155),INT($AE$2:$AE$1000),$AG$2:$AG$1000,"")</f>
        <v>19.09</v>
      </c>
      <c r="AE155" s="19">
        <f t="shared" si="8"/>
        <v>46087</v>
      </c>
      <c r="AF155" s="19">
        <v>46176</v>
      </c>
      <c r="AG155">
        <v>29.49</v>
      </c>
    </row>
    <row r="156" spans="1:33" x14ac:dyDescent="0.3">
      <c r="A156">
        <v>8</v>
      </c>
      <c r="B156" t="s">
        <v>36</v>
      </c>
      <c r="C156" t="s">
        <v>37</v>
      </c>
      <c r="D156">
        <v>56926</v>
      </c>
      <c r="E156">
        <v>54.35</v>
      </c>
      <c r="F156">
        <v>214.48</v>
      </c>
      <c r="G156">
        <v>54.355435</v>
      </c>
      <c r="H156">
        <v>214.458552</v>
      </c>
      <c r="I156">
        <v>-3.551413533572763</v>
      </c>
      <c r="J156">
        <v>0.84871972876069857</v>
      </c>
      <c r="K156">
        <v>0.18399264029438819</v>
      </c>
      <c r="L156">
        <v>-3.9571042929909483E-2</v>
      </c>
      <c r="M156" t="s">
        <v>32</v>
      </c>
      <c r="N156">
        <v>10</v>
      </c>
      <c r="O156" t="s">
        <v>31</v>
      </c>
      <c r="P156">
        <v>56936</v>
      </c>
      <c r="Q156">
        <v>54.4</v>
      </c>
      <c r="R156">
        <v>214.39</v>
      </c>
      <c r="S156">
        <v>-0.17014130705030711</v>
      </c>
      <c r="T156">
        <v>1.2761025878410879E-2</v>
      </c>
      <c r="U156">
        <v>9.0630225970754572E-3</v>
      </c>
      <c r="V156">
        <v>3.6974697135756449E-3</v>
      </c>
      <c r="W156">
        <v>5.3655528834998124E-3</v>
      </c>
      <c r="X156" s="19">
        <f t="shared" si="6"/>
        <v>46073</v>
      </c>
      <c r="Y156" s="19">
        <f t="shared" si="7"/>
        <v>46073</v>
      </c>
      <c r="Z156">
        <f t="array" ref="Z156">_xlfn.XLOOKUP(INT(X156),INT($AE$2:$AE$1000),$AG$2:$AG$1000,"")</f>
        <v>19.09</v>
      </c>
      <c r="AE156" s="19">
        <f t="shared" si="8"/>
        <v>46090</v>
      </c>
      <c r="AF156" s="19">
        <v>46268</v>
      </c>
      <c r="AG156">
        <v>25.5</v>
      </c>
    </row>
    <row r="157" spans="1:33" x14ac:dyDescent="0.3">
      <c r="A157">
        <v>8</v>
      </c>
      <c r="B157" t="s">
        <v>28</v>
      </c>
      <c r="C157" t="s">
        <v>33</v>
      </c>
      <c r="D157">
        <v>57037</v>
      </c>
      <c r="E157">
        <v>298.98</v>
      </c>
      <c r="F157">
        <v>50.104999999999997</v>
      </c>
      <c r="G157">
        <v>298.95010200000002</v>
      </c>
      <c r="H157">
        <v>50.110010499999987</v>
      </c>
      <c r="I157">
        <v>4.033613404581768</v>
      </c>
      <c r="J157">
        <v>0.96877792326346956</v>
      </c>
      <c r="K157">
        <v>-3.344705331460298E-2</v>
      </c>
      <c r="L157">
        <v>0.19334955059644141</v>
      </c>
      <c r="M157" t="s">
        <v>30</v>
      </c>
      <c r="N157">
        <v>12</v>
      </c>
      <c r="O157" t="s">
        <v>31</v>
      </c>
      <c r="P157">
        <v>57049</v>
      </c>
      <c r="Q157">
        <v>299.43</v>
      </c>
      <c r="R157">
        <v>50.2</v>
      </c>
      <c r="S157">
        <v>0.1896668712687502</v>
      </c>
      <c r="T157">
        <v>3.3170333150921278E-3</v>
      </c>
      <c r="U157">
        <v>-6.2386446956467015E-4</v>
      </c>
      <c r="V157">
        <v>3.9375496021115917E-3</v>
      </c>
      <c r="W157">
        <v>-4.5614140716762619E-3</v>
      </c>
      <c r="X157" s="19">
        <f t="shared" si="6"/>
        <v>46076</v>
      </c>
      <c r="Y157" s="19">
        <f t="shared" si="7"/>
        <v>46076</v>
      </c>
      <c r="Z157">
        <f t="array" ref="Z157">_xlfn.XLOOKUP(INT(X157),INT($AE$2:$AE$1000),$AG$2:$AG$1000,"")</f>
        <v>21.01</v>
      </c>
      <c r="AE157" s="19">
        <f t="shared" si="8"/>
        <v>46091</v>
      </c>
      <c r="AF157" s="19">
        <v>46298</v>
      </c>
      <c r="AG157">
        <v>24.93</v>
      </c>
    </row>
    <row r="158" spans="1:33" x14ac:dyDescent="0.3">
      <c r="A158">
        <v>8</v>
      </c>
      <c r="B158" t="s">
        <v>36</v>
      </c>
      <c r="C158" t="s">
        <v>37</v>
      </c>
      <c r="D158">
        <v>57428</v>
      </c>
      <c r="E158">
        <v>52.255000000000003</v>
      </c>
      <c r="F158">
        <v>207.41</v>
      </c>
      <c r="G158">
        <v>52.260225499999997</v>
      </c>
      <c r="H158">
        <v>207.38925900000001</v>
      </c>
      <c r="I158">
        <v>-3.9444040353076599</v>
      </c>
      <c r="J158">
        <v>0.84871972876069857</v>
      </c>
      <c r="K158">
        <v>0.19136924696201321</v>
      </c>
      <c r="L158">
        <v>-4.0919903995019463E-2</v>
      </c>
      <c r="M158" t="s">
        <v>32</v>
      </c>
      <c r="N158">
        <v>13</v>
      </c>
      <c r="O158" t="s">
        <v>31</v>
      </c>
      <c r="P158">
        <v>57441</v>
      </c>
      <c r="Q158">
        <v>51.55</v>
      </c>
      <c r="R158">
        <v>203.035</v>
      </c>
      <c r="S158">
        <v>-0.22770206441823301</v>
      </c>
      <c r="T158">
        <v>4.4109260869989793E-2</v>
      </c>
      <c r="U158">
        <v>4.0443215402376408E-2</v>
      </c>
      <c r="V158">
        <v>3.6974697135756449E-3</v>
      </c>
      <c r="W158">
        <v>3.674574568880077E-2</v>
      </c>
      <c r="X158" s="19">
        <f t="shared" si="6"/>
        <v>46077</v>
      </c>
      <c r="Y158" s="19">
        <f t="shared" si="7"/>
        <v>46077</v>
      </c>
      <c r="Z158">
        <f t="array" ref="Z158">_xlfn.XLOOKUP(INT(X158),INT($AE$2:$AE$1000),$AG$2:$AG$1000,"")</f>
        <v>19.55</v>
      </c>
      <c r="AE158" s="19">
        <f t="shared" si="8"/>
        <v>46092</v>
      </c>
      <c r="AF158" s="19">
        <v>46329</v>
      </c>
      <c r="AG158">
        <v>24.23</v>
      </c>
    </row>
    <row r="159" spans="1:33" x14ac:dyDescent="0.3">
      <c r="A159">
        <v>8</v>
      </c>
      <c r="B159" t="s">
        <v>36</v>
      </c>
      <c r="C159" t="s">
        <v>37</v>
      </c>
      <c r="D159">
        <v>57808</v>
      </c>
      <c r="E159">
        <v>52.225000000000001</v>
      </c>
      <c r="F159">
        <v>205.6</v>
      </c>
      <c r="G159">
        <v>52.219777499999999</v>
      </c>
      <c r="H159">
        <v>205.62056000000001</v>
      </c>
      <c r="I159">
        <v>3.515791886986626</v>
      </c>
      <c r="J159">
        <v>0.84871972876069857</v>
      </c>
      <c r="K159">
        <v>-0.19147917663954039</v>
      </c>
      <c r="L159">
        <v>4.1280142449450323E-2</v>
      </c>
      <c r="M159" t="s">
        <v>30</v>
      </c>
      <c r="N159">
        <v>11</v>
      </c>
      <c r="O159" t="s">
        <v>31</v>
      </c>
      <c r="P159">
        <v>57819</v>
      </c>
      <c r="Q159">
        <v>51.34</v>
      </c>
      <c r="R159">
        <v>201.99</v>
      </c>
      <c r="S159">
        <v>0.1242715702554488</v>
      </c>
      <c r="T159">
        <v>2.0437757083477889E-2</v>
      </c>
      <c r="U159">
        <v>1.6772165664514092E-2</v>
      </c>
      <c r="V159">
        <v>3.697409201467149E-3</v>
      </c>
      <c r="W159">
        <v>1.3074756463046939E-2</v>
      </c>
      <c r="X159" s="19">
        <f t="shared" si="6"/>
        <v>46078</v>
      </c>
      <c r="Y159" s="19">
        <f t="shared" si="7"/>
        <v>46078</v>
      </c>
      <c r="Z159">
        <f t="array" ref="Z159">_xlfn.XLOOKUP(INT(X159),INT($AE$2:$AE$1000),$AG$2:$AG$1000,"")</f>
        <v>17.93</v>
      </c>
      <c r="AE159" s="19">
        <f t="shared" si="8"/>
        <v>46093</v>
      </c>
      <c r="AF159" s="19">
        <v>46359</v>
      </c>
      <c r="AG159">
        <v>27.29</v>
      </c>
    </row>
    <row r="160" spans="1:33" x14ac:dyDescent="0.3">
      <c r="A160">
        <v>8</v>
      </c>
      <c r="B160" t="s">
        <v>36</v>
      </c>
      <c r="C160" t="s">
        <v>37</v>
      </c>
      <c r="D160">
        <v>58167</v>
      </c>
      <c r="E160">
        <v>51.45</v>
      </c>
      <c r="F160">
        <v>201.73</v>
      </c>
      <c r="G160">
        <v>51.444854999999997</v>
      </c>
      <c r="H160">
        <v>201.75017299999999</v>
      </c>
      <c r="I160">
        <v>3.7976076487965971</v>
      </c>
      <c r="J160">
        <v>0.84871972876069857</v>
      </c>
      <c r="K160">
        <v>-0.1943634596695821</v>
      </c>
      <c r="L160">
        <v>4.207206309228665E-2</v>
      </c>
      <c r="M160" t="s">
        <v>30</v>
      </c>
      <c r="N160">
        <v>16</v>
      </c>
      <c r="O160" t="s">
        <v>31</v>
      </c>
      <c r="P160">
        <v>58183</v>
      </c>
      <c r="Q160">
        <v>52.164999999999999</v>
      </c>
      <c r="R160">
        <v>205.14</v>
      </c>
      <c r="S160">
        <v>0.43677213621321193</v>
      </c>
      <c r="T160">
        <v>4.4958614809468278E-3</v>
      </c>
      <c r="U160">
        <v>7.7017846254601174E-4</v>
      </c>
      <c r="V160">
        <v>3.6974092014671498E-3</v>
      </c>
      <c r="W160">
        <v>-2.9272307389211381E-3</v>
      </c>
      <c r="X160" s="19">
        <f t="shared" si="6"/>
        <v>46079</v>
      </c>
      <c r="Y160" s="19">
        <f t="shared" si="7"/>
        <v>46079</v>
      </c>
      <c r="Z160">
        <f t="array" ref="Z160">_xlfn.XLOOKUP(INT(X160),INT($AE$2:$AE$1000),$AG$2:$AG$1000,"")</f>
        <v>18.63</v>
      </c>
      <c r="AE160" s="19">
        <f t="shared" si="8"/>
        <v>46094</v>
      </c>
      <c r="AF160" t="s">
        <v>156</v>
      </c>
      <c r="AG160">
        <v>27.19</v>
      </c>
    </row>
    <row r="161" spans="1:33" x14ac:dyDescent="0.3">
      <c r="A161">
        <v>8</v>
      </c>
      <c r="B161" t="s">
        <v>28</v>
      </c>
      <c r="C161" t="s">
        <v>33</v>
      </c>
      <c r="D161">
        <v>58208</v>
      </c>
      <c r="E161">
        <v>290.255</v>
      </c>
      <c r="F161">
        <v>48.28</v>
      </c>
      <c r="G161">
        <v>290.28402549999998</v>
      </c>
      <c r="H161">
        <v>48.275171999999998</v>
      </c>
      <c r="I161">
        <v>-4.3455249506303142</v>
      </c>
      <c r="J161">
        <v>0.96877792326346956</v>
      </c>
      <c r="K161">
        <v>3.4452464212502802E-2</v>
      </c>
      <c r="L161">
        <v>-0.20065822768506</v>
      </c>
      <c r="M161" t="s">
        <v>32</v>
      </c>
      <c r="N161">
        <v>14</v>
      </c>
      <c r="O161" t="s">
        <v>31</v>
      </c>
      <c r="P161">
        <v>58222</v>
      </c>
      <c r="Q161">
        <v>289.8</v>
      </c>
      <c r="R161">
        <v>48.05</v>
      </c>
      <c r="S161">
        <v>-0.45764643065864019</v>
      </c>
      <c r="T161">
        <v>3.0475521150876369E-2</v>
      </c>
      <c r="U161">
        <v>2.6544148030709831E-2</v>
      </c>
      <c r="V161">
        <v>3.9375620909422862E-3</v>
      </c>
      <c r="W161">
        <v>2.260658593976754E-2</v>
      </c>
      <c r="X161" s="19">
        <f t="shared" si="6"/>
        <v>46079</v>
      </c>
      <c r="Y161" s="19">
        <f t="shared" si="7"/>
        <v>46079</v>
      </c>
      <c r="Z161">
        <f t="array" ref="Z161">_xlfn.XLOOKUP(INT(X161),INT($AE$2:$AE$1000),$AG$2:$AG$1000,"")</f>
        <v>18.63</v>
      </c>
      <c r="AE161" s="19">
        <f t="shared" si="8"/>
        <v>46097</v>
      </c>
      <c r="AF161" t="s">
        <v>157</v>
      </c>
      <c r="AG161">
        <v>23.51</v>
      </c>
    </row>
    <row r="162" spans="1:33" x14ac:dyDescent="0.3">
      <c r="A162">
        <v>8</v>
      </c>
      <c r="B162" t="s">
        <v>28</v>
      </c>
      <c r="C162" t="s">
        <v>33</v>
      </c>
      <c r="D162">
        <v>58467</v>
      </c>
      <c r="E162">
        <v>291.815</v>
      </c>
      <c r="F162">
        <v>49.12</v>
      </c>
      <c r="G162">
        <v>291.84418149999999</v>
      </c>
      <c r="H162">
        <v>49.115088</v>
      </c>
      <c r="I162">
        <v>-3.727536180721426</v>
      </c>
      <c r="J162">
        <v>0.96877792326346956</v>
      </c>
      <c r="K162">
        <v>3.4268286414337851E-2</v>
      </c>
      <c r="L162">
        <v>-0.19722677590868681</v>
      </c>
      <c r="M162" t="s">
        <v>32</v>
      </c>
      <c r="N162">
        <v>23</v>
      </c>
      <c r="O162" t="s">
        <v>31</v>
      </c>
      <c r="P162">
        <v>58490</v>
      </c>
      <c r="Q162">
        <v>291.93</v>
      </c>
      <c r="R162">
        <v>49.034999999999997</v>
      </c>
      <c r="S162">
        <v>-0.23788929543751439</v>
      </c>
      <c r="T162">
        <v>2.0705128889887708E-2</v>
      </c>
      <c r="U162">
        <v>1.6768855385662779E-2</v>
      </c>
      <c r="V162">
        <v>3.9375620909422862E-3</v>
      </c>
      <c r="W162">
        <v>1.283129329472049E-2</v>
      </c>
      <c r="X162" s="19">
        <f t="shared" si="6"/>
        <v>46079</v>
      </c>
      <c r="Y162" s="19">
        <f t="shared" si="7"/>
        <v>46079</v>
      </c>
      <c r="Z162">
        <f t="array" ref="Z162">_xlfn.XLOOKUP(INT(X162),INT($AE$2:$AE$1000),$AG$2:$AG$1000,"")</f>
        <v>18.63</v>
      </c>
      <c r="AE162" s="19">
        <f t="shared" si="8"/>
        <v>46098</v>
      </c>
      <c r="AF162" t="s">
        <v>158</v>
      </c>
      <c r="AG162">
        <v>22.37</v>
      </c>
    </row>
    <row r="163" spans="1:33" x14ac:dyDescent="0.3">
      <c r="A163">
        <v>8</v>
      </c>
      <c r="B163" t="s">
        <v>28</v>
      </c>
      <c r="C163" t="s">
        <v>33</v>
      </c>
      <c r="D163">
        <v>58598</v>
      </c>
      <c r="E163">
        <v>289.2</v>
      </c>
      <c r="F163">
        <v>48.39</v>
      </c>
      <c r="G163">
        <v>289.17108000000002</v>
      </c>
      <c r="H163">
        <v>48.394838999999997</v>
      </c>
      <c r="I163">
        <v>3.989190328545241</v>
      </c>
      <c r="J163">
        <v>0.96877792326346956</v>
      </c>
      <c r="K163">
        <v>-3.4578146611341627E-2</v>
      </c>
      <c r="L163">
        <v>0.20020209201559611</v>
      </c>
      <c r="M163" t="s">
        <v>30</v>
      </c>
      <c r="N163">
        <v>9</v>
      </c>
      <c r="O163" t="s">
        <v>31</v>
      </c>
      <c r="P163">
        <v>58607</v>
      </c>
      <c r="Q163">
        <v>288.79000000000002</v>
      </c>
      <c r="R163">
        <v>48.505000000000003</v>
      </c>
      <c r="S163">
        <v>-9.1354239169039366E-3</v>
      </c>
      <c r="T163">
        <v>3.7200280692442918E-2</v>
      </c>
      <c r="U163">
        <v>3.3261840225870608E-2</v>
      </c>
      <c r="V163">
        <v>3.9375496021115926E-3</v>
      </c>
      <c r="W163">
        <v>2.932429062375902E-2</v>
      </c>
      <c r="X163" s="19">
        <f t="shared" si="6"/>
        <v>46080</v>
      </c>
      <c r="Y163" s="19">
        <f t="shared" si="7"/>
        <v>46080</v>
      </c>
      <c r="Z163">
        <f t="array" ref="Z163">_xlfn.XLOOKUP(INT(X163),INT($AE$2:$AE$1000),$AG$2:$AG$1000,"")</f>
        <v>19.86</v>
      </c>
      <c r="AE163" s="19">
        <f t="shared" si="8"/>
        <v>46099</v>
      </c>
      <c r="AF163" t="s">
        <v>159</v>
      </c>
      <c r="AG163">
        <v>25.09</v>
      </c>
    </row>
    <row r="164" spans="1:33" x14ac:dyDescent="0.3">
      <c r="A164">
        <v>8</v>
      </c>
      <c r="B164" t="s">
        <v>28</v>
      </c>
      <c r="C164" t="s">
        <v>33</v>
      </c>
      <c r="D164">
        <v>58990</v>
      </c>
      <c r="E164">
        <v>282.64999999999998</v>
      </c>
      <c r="F164">
        <v>47.515000000000001</v>
      </c>
      <c r="G164">
        <v>282.621735</v>
      </c>
      <c r="H164">
        <v>47.519751499999998</v>
      </c>
      <c r="I164">
        <v>3.5310655190632612</v>
      </c>
      <c r="J164">
        <v>0.96877792326346956</v>
      </c>
      <c r="K164">
        <v>-3.5379444542720677E-2</v>
      </c>
      <c r="L164">
        <v>0.20388886104671569</v>
      </c>
      <c r="M164" t="s">
        <v>30</v>
      </c>
      <c r="N164">
        <v>13</v>
      </c>
      <c r="O164" t="s">
        <v>31</v>
      </c>
      <c r="P164">
        <v>59003</v>
      </c>
      <c r="Q164">
        <v>281.19</v>
      </c>
      <c r="R164">
        <v>47.344999999999999</v>
      </c>
      <c r="S164">
        <v>0.24275071841649179</v>
      </c>
      <c r="T164">
        <v>1.6992882654429459E-2</v>
      </c>
      <c r="U164">
        <v>1.306395831744519E-2</v>
      </c>
      <c r="V164">
        <v>3.9375496021115926E-3</v>
      </c>
      <c r="W164">
        <v>9.126408715333597E-3</v>
      </c>
      <c r="X164" s="19">
        <f t="shared" si="6"/>
        <v>46083</v>
      </c>
      <c r="Y164" s="19">
        <f t="shared" si="7"/>
        <v>46083</v>
      </c>
      <c r="Z164">
        <f t="array" ref="Z164">_xlfn.XLOOKUP(INT(X164),INT($AE$2:$AE$1000),$AG$2:$AG$1000,"")</f>
        <v>21.44</v>
      </c>
      <c r="AE164" s="19">
        <f t="shared" si="8"/>
        <v>46100</v>
      </c>
      <c r="AF164" t="s">
        <v>160</v>
      </c>
      <c r="AG164">
        <v>24.06</v>
      </c>
    </row>
    <row r="165" spans="1:33" x14ac:dyDescent="0.3">
      <c r="A165">
        <v>9</v>
      </c>
      <c r="B165" t="s">
        <v>33</v>
      </c>
      <c r="C165" t="s">
        <v>34</v>
      </c>
      <c r="D165">
        <v>60011</v>
      </c>
      <c r="E165">
        <v>47.1</v>
      </c>
      <c r="F165">
        <v>74.98</v>
      </c>
      <c r="G165">
        <v>47.095289999999999</v>
      </c>
      <c r="H165">
        <v>74.987498000000002</v>
      </c>
      <c r="I165">
        <v>4.0612607433489822</v>
      </c>
      <c r="J165">
        <v>0.79809957020448918</v>
      </c>
      <c r="K165">
        <v>-0.21231422505307851</v>
      </c>
      <c r="L165">
        <v>0.10644166047005719</v>
      </c>
      <c r="M165" t="s">
        <v>30</v>
      </c>
      <c r="N165">
        <v>11</v>
      </c>
      <c r="O165" t="s">
        <v>31</v>
      </c>
      <c r="P165">
        <v>60022</v>
      </c>
      <c r="Q165">
        <v>47.11</v>
      </c>
      <c r="R165">
        <v>75.180000000000007</v>
      </c>
      <c r="S165">
        <v>0.36151456110797198</v>
      </c>
      <c r="T165">
        <v>1.9165189843481392E-2</v>
      </c>
      <c r="U165">
        <v>1.5566649555636971E-2</v>
      </c>
      <c r="V165">
        <v>3.5961587603230189E-3</v>
      </c>
      <c r="W165">
        <v>1.197049079531395E-2</v>
      </c>
      <c r="X165" s="19">
        <f t="shared" si="6"/>
        <v>46085</v>
      </c>
      <c r="Y165" s="19">
        <f t="shared" si="7"/>
        <v>46085</v>
      </c>
      <c r="Z165">
        <f t="array" ref="Z165">_xlfn.XLOOKUP(INT(X165),INT($AE$2:$AE$1000),$AG$2:$AG$1000,"")</f>
        <v>21.15</v>
      </c>
      <c r="AE165" s="19">
        <f t="shared" si="8"/>
        <v>46101</v>
      </c>
      <c r="AF165" t="s">
        <v>161</v>
      </c>
      <c r="AG165">
        <v>26.78</v>
      </c>
    </row>
    <row r="166" spans="1:33" x14ac:dyDescent="0.3">
      <c r="A166">
        <v>9</v>
      </c>
      <c r="B166" t="s">
        <v>28</v>
      </c>
      <c r="C166" t="s">
        <v>33</v>
      </c>
      <c r="D166">
        <v>60161</v>
      </c>
      <c r="E166">
        <v>289.625</v>
      </c>
      <c r="F166">
        <v>47.65</v>
      </c>
      <c r="G166">
        <v>289.59603750000002</v>
      </c>
      <c r="H166">
        <v>47.654764999999998</v>
      </c>
      <c r="I166">
        <v>3.682555493572631</v>
      </c>
      <c r="J166">
        <v>0.81444705018759989</v>
      </c>
      <c r="K166">
        <v>-3.4527406128614588E-2</v>
      </c>
      <c r="L166">
        <v>0.17092278073192019</v>
      </c>
      <c r="M166" t="s">
        <v>30</v>
      </c>
      <c r="N166">
        <v>6</v>
      </c>
      <c r="O166" t="s">
        <v>31</v>
      </c>
      <c r="P166">
        <v>60167</v>
      </c>
      <c r="Q166">
        <v>291</v>
      </c>
      <c r="R166">
        <v>48.02</v>
      </c>
      <c r="S166">
        <v>0.39314071275139079</v>
      </c>
      <c r="T166">
        <v>1.5766245443966199E-2</v>
      </c>
      <c r="U166">
        <v>1.212627968236352E-2</v>
      </c>
      <c r="V166">
        <v>3.628856989785237E-3</v>
      </c>
      <c r="W166">
        <v>8.4974226925782874E-3</v>
      </c>
      <c r="X166" s="19">
        <f t="shared" si="6"/>
        <v>46086</v>
      </c>
      <c r="Y166" s="19">
        <f t="shared" si="7"/>
        <v>46086</v>
      </c>
      <c r="Z166">
        <f t="array" ref="Z166">_xlfn.XLOOKUP(INT(X166),INT($AE$2:$AE$1000),$AG$2:$AG$1000,"")</f>
        <v>23.75</v>
      </c>
      <c r="AE166" s="19">
        <f t="shared" si="8"/>
        <v>46104</v>
      </c>
      <c r="AF166" t="s">
        <v>162</v>
      </c>
      <c r="AG166">
        <v>26.15</v>
      </c>
    </row>
    <row r="167" spans="1:33" x14ac:dyDescent="0.3">
      <c r="A167">
        <v>9</v>
      </c>
      <c r="B167" t="s">
        <v>28</v>
      </c>
      <c r="C167" t="s">
        <v>33</v>
      </c>
      <c r="D167">
        <v>60506</v>
      </c>
      <c r="E167">
        <v>286.86</v>
      </c>
      <c r="F167">
        <v>47.475000000000001</v>
      </c>
      <c r="G167">
        <v>286.88868600000001</v>
      </c>
      <c r="H167">
        <v>47.470252500000001</v>
      </c>
      <c r="I167">
        <v>-4.4312396332796542</v>
      </c>
      <c r="J167">
        <v>0.81444705018759989</v>
      </c>
      <c r="K167">
        <v>3.4860210555671747E-2</v>
      </c>
      <c r="L167">
        <v>-0.17155282784362291</v>
      </c>
      <c r="M167" t="s">
        <v>32</v>
      </c>
      <c r="N167">
        <v>13</v>
      </c>
      <c r="O167" t="s">
        <v>31</v>
      </c>
      <c r="P167">
        <v>60519</v>
      </c>
      <c r="Q167">
        <v>286.84500000000003</v>
      </c>
      <c r="R167">
        <v>47.424999999999997</v>
      </c>
      <c r="S167">
        <v>-0.23845242360756061</v>
      </c>
      <c r="T167">
        <v>8.0547382338472771E-3</v>
      </c>
      <c r="U167">
        <v>4.4267541879275379E-3</v>
      </c>
      <c r="V167">
        <v>3.6289312109651622E-3</v>
      </c>
      <c r="W167">
        <v>7.978229769623757E-4</v>
      </c>
      <c r="X167" s="19">
        <f t="shared" si="6"/>
        <v>46087</v>
      </c>
      <c r="Y167" s="19">
        <f t="shared" si="7"/>
        <v>46087</v>
      </c>
      <c r="Z167">
        <f t="array" ref="Z167">_xlfn.XLOOKUP(INT(X167),INT($AE$2:$AE$1000),$AG$2:$AG$1000,"")</f>
        <v>29.49</v>
      </c>
      <c r="AE167" s="19">
        <f t="shared" si="8"/>
        <v>46105</v>
      </c>
      <c r="AF167" t="s">
        <v>163</v>
      </c>
      <c r="AG167">
        <v>26.95</v>
      </c>
    </row>
    <row r="168" spans="1:33" x14ac:dyDescent="0.3">
      <c r="A168">
        <v>9</v>
      </c>
      <c r="B168" t="s">
        <v>36</v>
      </c>
      <c r="C168" t="s">
        <v>37</v>
      </c>
      <c r="D168">
        <v>60551</v>
      </c>
      <c r="E168">
        <v>51.78</v>
      </c>
      <c r="F168">
        <v>203.61</v>
      </c>
      <c r="G168">
        <v>51.774822</v>
      </c>
      <c r="H168">
        <v>203.63036099999999</v>
      </c>
      <c r="I168">
        <v>4.0757978754471358</v>
      </c>
      <c r="J168">
        <v>0.85868120102046064</v>
      </c>
      <c r="K168">
        <v>-0.19312475859405179</v>
      </c>
      <c r="L168">
        <v>4.2172840283898658E-2</v>
      </c>
      <c r="M168" t="s">
        <v>30</v>
      </c>
      <c r="N168">
        <v>10</v>
      </c>
      <c r="O168" t="s">
        <v>31</v>
      </c>
      <c r="P168">
        <v>60561</v>
      </c>
      <c r="Q168">
        <v>51.825000000000003</v>
      </c>
      <c r="R168">
        <v>204.64</v>
      </c>
      <c r="S168">
        <v>0.35079511794278129</v>
      </c>
      <c r="T168">
        <v>3.4747411355681823E-2</v>
      </c>
      <c r="U168">
        <v>3.102483608967798E-2</v>
      </c>
      <c r="V168">
        <v>3.7173341382811258E-3</v>
      </c>
      <c r="W168">
        <v>2.7307501951396859E-2</v>
      </c>
      <c r="X168" s="19">
        <f t="shared" si="6"/>
        <v>46087</v>
      </c>
      <c r="Y168" s="19">
        <f t="shared" si="7"/>
        <v>46087</v>
      </c>
      <c r="Z168">
        <f t="array" ref="Z168">_xlfn.XLOOKUP(INT(X168),INT($AE$2:$AE$1000),$AG$2:$AG$1000,"")</f>
        <v>29.49</v>
      </c>
      <c r="AE168" s="19">
        <f t="shared" si="8"/>
        <v>46106</v>
      </c>
      <c r="AF168" t="s">
        <v>164</v>
      </c>
      <c r="AG168">
        <v>25.33</v>
      </c>
    </row>
    <row r="169" spans="1:33" x14ac:dyDescent="0.3">
      <c r="A169">
        <v>9</v>
      </c>
      <c r="B169" t="s">
        <v>33</v>
      </c>
      <c r="C169" t="s">
        <v>34</v>
      </c>
      <c r="D169">
        <v>60948</v>
      </c>
      <c r="E169">
        <v>46.645000000000003</v>
      </c>
      <c r="F169">
        <v>75.385000000000005</v>
      </c>
      <c r="G169">
        <v>46.640335500000013</v>
      </c>
      <c r="H169">
        <v>75.392538500000001</v>
      </c>
      <c r="I169">
        <v>4.0040848111445371</v>
      </c>
      <c r="J169">
        <v>0.79809957020448918</v>
      </c>
      <c r="K169">
        <v>-0.2143852502947797</v>
      </c>
      <c r="L169">
        <v>0.10586981099747821</v>
      </c>
      <c r="M169" t="s">
        <v>30</v>
      </c>
      <c r="N169">
        <v>7</v>
      </c>
      <c r="O169" t="s">
        <v>31</v>
      </c>
      <c r="P169">
        <v>60955</v>
      </c>
      <c r="Q169">
        <v>46.66</v>
      </c>
      <c r="R169">
        <v>75.775000000000006</v>
      </c>
      <c r="S169">
        <v>9.9103199099043471E-2</v>
      </c>
      <c r="T169">
        <v>3.8073447534596253E-2</v>
      </c>
      <c r="U169">
        <v>3.4472797893684383E-2</v>
      </c>
      <c r="V169">
        <v>3.5961587603230189E-3</v>
      </c>
      <c r="W169">
        <v>3.0876639133361361E-2</v>
      </c>
      <c r="X169" s="19">
        <f t="shared" si="6"/>
        <v>46090</v>
      </c>
      <c r="Y169" s="19">
        <f t="shared" si="7"/>
        <v>46090</v>
      </c>
      <c r="Z169">
        <f t="array" ref="Z169">_xlfn.XLOOKUP(INT(X169),INT($AE$2:$AE$1000),$AG$2:$AG$1000,"")</f>
        <v>25.5</v>
      </c>
      <c r="AE169" s="19">
        <f t="shared" si="8"/>
        <v>46107</v>
      </c>
      <c r="AF169" t="s">
        <v>165</v>
      </c>
      <c r="AG169">
        <v>27.44</v>
      </c>
    </row>
    <row r="170" spans="1:33" x14ac:dyDescent="0.3">
      <c r="A170">
        <v>9</v>
      </c>
      <c r="B170" t="s">
        <v>36</v>
      </c>
      <c r="C170" t="s">
        <v>37</v>
      </c>
      <c r="D170">
        <v>61272</v>
      </c>
      <c r="E170">
        <v>51.47</v>
      </c>
      <c r="F170">
        <v>201.56</v>
      </c>
      <c r="G170">
        <v>51.464852999999998</v>
      </c>
      <c r="H170">
        <v>201.58015599999999</v>
      </c>
      <c r="I170">
        <v>4.4079331904982686</v>
      </c>
      <c r="J170">
        <v>0.85868120102046064</v>
      </c>
      <c r="K170">
        <v>-0.1942879347192539</v>
      </c>
      <c r="L170">
        <v>4.260176627408517E-2</v>
      </c>
      <c r="M170" t="s">
        <v>30</v>
      </c>
      <c r="N170">
        <v>19</v>
      </c>
      <c r="O170" t="s">
        <v>31</v>
      </c>
      <c r="P170">
        <v>61291</v>
      </c>
      <c r="Q170">
        <v>51.52</v>
      </c>
      <c r="R170">
        <v>202.11</v>
      </c>
      <c r="S170">
        <v>0.13344754834079101</v>
      </c>
      <c r="T170">
        <v>1.37165747147838E-2</v>
      </c>
      <c r="U170">
        <v>9.9958977759246198E-3</v>
      </c>
      <c r="V170">
        <v>3.7173341382811249E-3</v>
      </c>
      <c r="W170">
        <v>6.2785636376434936E-3</v>
      </c>
      <c r="X170" s="19">
        <f t="shared" si="6"/>
        <v>46091</v>
      </c>
      <c r="Y170" s="19">
        <f t="shared" si="7"/>
        <v>46091</v>
      </c>
      <c r="Z170">
        <f t="array" ref="Z170">_xlfn.XLOOKUP(INT(X170),INT($AE$2:$AE$1000),$AG$2:$AG$1000,"")</f>
        <v>24.93</v>
      </c>
      <c r="AE170" s="19">
        <f t="shared" si="8"/>
        <v>46108</v>
      </c>
      <c r="AF170" t="s">
        <v>166</v>
      </c>
      <c r="AG170">
        <v>31.05</v>
      </c>
    </row>
    <row r="171" spans="1:33" x14ac:dyDescent="0.3">
      <c r="A171">
        <v>9</v>
      </c>
      <c r="B171" t="s">
        <v>28</v>
      </c>
      <c r="C171" t="s">
        <v>33</v>
      </c>
      <c r="D171">
        <v>61331</v>
      </c>
      <c r="E171">
        <v>288.13</v>
      </c>
      <c r="F171">
        <v>47.3</v>
      </c>
      <c r="G171">
        <v>288.15881300000001</v>
      </c>
      <c r="H171">
        <v>47.295270000000002</v>
      </c>
      <c r="I171">
        <v>-4.796941551264422</v>
      </c>
      <c r="J171">
        <v>0.81444705018759989</v>
      </c>
      <c r="K171">
        <v>3.4706556068441329E-2</v>
      </c>
      <c r="L171">
        <v>-0.17218753703754761</v>
      </c>
      <c r="M171" t="s">
        <v>32</v>
      </c>
      <c r="N171">
        <v>27</v>
      </c>
      <c r="O171" t="s">
        <v>31</v>
      </c>
      <c r="P171">
        <v>61358</v>
      </c>
      <c r="Q171">
        <v>288.005</v>
      </c>
      <c r="R171">
        <v>47.21</v>
      </c>
      <c r="S171">
        <v>5.6809218071837003E-3</v>
      </c>
      <c r="T171">
        <v>1.1158558824823479E-2</v>
      </c>
      <c r="U171">
        <v>7.5316482442326447E-3</v>
      </c>
      <c r="V171">
        <v>3.6289312109651622E-3</v>
      </c>
      <c r="W171">
        <v>3.9027170332674829E-3</v>
      </c>
      <c r="X171" s="19">
        <f t="shared" si="6"/>
        <v>46091</v>
      </c>
      <c r="Y171" s="19">
        <f t="shared" si="7"/>
        <v>46091</v>
      </c>
      <c r="Z171">
        <f t="array" ref="Z171">_xlfn.XLOOKUP(INT(X171),INT($AE$2:$AE$1000),$AG$2:$AG$1000,"")</f>
        <v>24.93</v>
      </c>
      <c r="AE171" s="19">
        <f t="shared" si="8"/>
        <v>46111</v>
      </c>
      <c r="AF171" t="s">
        <v>167</v>
      </c>
      <c r="AG171">
        <v>30.61</v>
      </c>
    </row>
    <row r="172" spans="1:33" x14ac:dyDescent="0.3">
      <c r="A172">
        <v>9</v>
      </c>
      <c r="B172" t="s">
        <v>36</v>
      </c>
      <c r="C172" t="s">
        <v>37</v>
      </c>
      <c r="D172">
        <v>61623</v>
      </c>
      <c r="E172">
        <v>50.86</v>
      </c>
      <c r="F172">
        <v>201.32499999999999</v>
      </c>
      <c r="G172">
        <v>50.865085999999998</v>
      </c>
      <c r="H172">
        <v>201.3048675</v>
      </c>
      <c r="I172">
        <v>-3.6247250224962628</v>
      </c>
      <c r="J172">
        <v>0.85868120102046064</v>
      </c>
      <c r="K172">
        <v>0.19661816751867869</v>
      </c>
      <c r="L172">
        <v>-4.2651493903909633E-2</v>
      </c>
      <c r="M172" t="s">
        <v>32</v>
      </c>
      <c r="N172">
        <v>4</v>
      </c>
      <c r="O172" t="s">
        <v>31</v>
      </c>
      <c r="P172">
        <v>61627</v>
      </c>
      <c r="Q172">
        <v>50.95</v>
      </c>
      <c r="R172">
        <v>201.22</v>
      </c>
      <c r="S172">
        <v>7.9607693980409816E-2</v>
      </c>
      <c r="T172">
        <v>2.217404193659183E-2</v>
      </c>
      <c r="U172">
        <v>1.8455357811731139E-2</v>
      </c>
      <c r="V172">
        <v>3.7173906658007172E-3</v>
      </c>
      <c r="W172">
        <v>1.473796714593042E-2</v>
      </c>
      <c r="X172" s="19">
        <f t="shared" si="6"/>
        <v>46092</v>
      </c>
      <c r="Y172" s="19">
        <f t="shared" si="7"/>
        <v>46092</v>
      </c>
      <c r="Z172">
        <f t="array" ref="Z172">_xlfn.XLOOKUP(INT(X172),INT($AE$2:$AE$1000),$AG$2:$AG$1000,"")</f>
        <v>24.23</v>
      </c>
      <c r="AE172" s="19">
        <f t="shared" si="8"/>
        <v>46112</v>
      </c>
      <c r="AF172" t="s">
        <v>168</v>
      </c>
      <c r="AG172">
        <v>25.25</v>
      </c>
    </row>
    <row r="173" spans="1:33" x14ac:dyDescent="0.3">
      <c r="A173">
        <v>9</v>
      </c>
      <c r="B173" t="s">
        <v>28</v>
      </c>
      <c r="C173" t="s">
        <v>33</v>
      </c>
      <c r="D173">
        <v>61711</v>
      </c>
      <c r="E173">
        <v>285.69499999999999</v>
      </c>
      <c r="F173">
        <v>46.91</v>
      </c>
      <c r="G173">
        <v>285.7235695</v>
      </c>
      <c r="H173">
        <v>46.905309000000003</v>
      </c>
      <c r="I173">
        <v>-3.7985191049783231</v>
      </c>
      <c r="J173">
        <v>0.81444705018759989</v>
      </c>
      <c r="K173">
        <v>3.5002362659479508E-2</v>
      </c>
      <c r="L173">
        <v>-0.17361906846889791</v>
      </c>
      <c r="M173" t="s">
        <v>32</v>
      </c>
      <c r="N173">
        <v>26</v>
      </c>
      <c r="O173" t="s">
        <v>31</v>
      </c>
      <c r="P173">
        <v>61737</v>
      </c>
      <c r="Q173">
        <v>292.12</v>
      </c>
      <c r="R173">
        <v>47.97</v>
      </c>
      <c r="S173">
        <v>1.0318508698612221E-2</v>
      </c>
      <c r="T173">
        <v>4.0853967510124128E-2</v>
      </c>
      <c r="U173">
        <v>3.7184180770483799E-2</v>
      </c>
      <c r="V173">
        <v>3.6289312109651622E-3</v>
      </c>
      <c r="W173">
        <v>3.3555249559518642E-2</v>
      </c>
      <c r="X173" s="19">
        <f t="shared" si="6"/>
        <v>46092</v>
      </c>
      <c r="Y173" s="19">
        <f t="shared" si="7"/>
        <v>46092</v>
      </c>
      <c r="Z173">
        <f t="array" ref="Z173">_xlfn.XLOOKUP(INT(X173),INT($AE$2:$AE$1000),$AG$2:$AG$1000,"")</f>
        <v>24.23</v>
      </c>
      <c r="AE173" s="19">
        <f t="shared" si="8"/>
        <v>46113</v>
      </c>
      <c r="AF173" s="19">
        <v>46026</v>
      </c>
      <c r="AG173">
        <v>24.54</v>
      </c>
    </row>
    <row r="174" spans="1:33" x14ac:dyDescent="0.3">
      <c r="A174">
        <v>9</v>
      </c>
      <c r="B174" t="s">
        <v>28</v>
      </c>
      <c r="C174" t="s">
        <v>33</v>
      </c>
      <c r="D174">
        <v>62112</v>
      </c>
      <c r="E174">
        <v>286.98</v>
      </c>
      <c r="F174">
        <v>47.35</v>
      </c>
      <c r="G174">
        <v>287.00869799999998</v>
      </c>
      <c r="H174">
        <v>47.345264999999998</v>
      </c>
      <c r="I174">
        <v>-4.3256654332070488</v>
      </c>
      <c r="J174">
        <v>0.81444705018759989</v>
      </c>
      <c r="K174">
        <v>3.4845633842079587E-2</v>
      </c>
      <c r="L174">
        <v>-0.17200571281681101</v>
      </c>
      <c r="M174" t="s">
        <v>32</v>
      </c>
      <c r="N174">
        <v>18</v>
      </c>
      <c r="O174" t="s">
        <v>31</v>
      </c>
      <c r="P174">
        <v>62130</v>
      </c>
      <c r="Q174">
        <v>288.70999999999998</v>
      </c>
      <c r="R174">
        <v>47.64</v>
      </c>
      <c r="S174">
        <v>-0.34533234217353581</v>
      </c>
      <c r="T174">
        <v>1.040128982992131E-2</v>
      </c>
      <c r="U174">
        <v>6.7613792692200331E-3</v>
      </c>
      <c r="V174">
        <v>3.628931210965163E-3</v>
      </c>
      <c r="W174">
        <v>3.13244805825487E-3</v>
      </c>
      <c r="X174" s="19">
        <f t="shared" si="6"/>
        <v>46093</v>
      </c>
      <c r="Y174" s="19">
        <f t="shared" si="7"/>
        <v>46093</v>
      </c>
      <c r="Z174">
        <f t="array" ref="Z174">_xlfn.XLOOKUP(INT(X174),INT($AE$2:$AE$1000),$AG$2:$AG$1000,"")</f>
        <v>27.29</v>
      </c>
      <c r="AE174" s="19">
        <f t="shared" si="8"/>
        <v>46114</v>
      </c>
      <c r="AF174" s="19">
        <v>46057</v>
      </c>
      <c r="AG174">
        <v>23.87</v>
      </c>
    </row>
    <row r="175" spans="1:33" x14ac:dyDescent="0.3">
      <c r="A175">
        <v>9</v>
      </c>
      <c r="B175" t="s">
        <v>33</v>
      </c>
      <c r="C175" t="s">
        <v>34</v>
      </c>
      <c r="D175">
        <v>62502</v>
      </c>
      <c r="E175">
        <v>48.96</v>
      </c>
      <c r="F175">
        <v>80.14</v>
      </c>
      <c r="G175">
        <v>48.955103999999999</v>
      </c>
      <c r="H175">
        <v>80.148014000000003</v>
      </c>
      <c r="I175">
        <v>4.7973423847839554</v>
      </c>
      <c r="J175">
        <v>0.79809957020448918</v>
      </c>
      <c r="K175">
        <v>-0.20424836601307189</v>
      </c>
      <c r="L175">
        <v>9.9588166983340304E-2</v>
      </c>
      <c r="M175" t="s">
        <v>30</v>
      </c>
      <c r="N175">
        <v>15</v>
      </c>
      <c r="O175" t="s">
        <v>31</v>
      </c>
      <c r="P175">
        <v>62517</v>
      </c>
      <c r="Q175">
        <v>48.865000000000002</v>
      </c>
      <c r="R175">
        <v>80.489999999999995</v>
      </c>
      <c r="S175">
        <v>0.36866456772015421</v>
      </c>
      <c r="T175">
        <v>5.4259453215410133E-2</v>
      </c>
      <c r="U175">
        <v>5.0661708848633608E-2</v>
      </c>
      <c r="V175">
        <v>3.5961587603230189E-3</v>
      </c>
      <c r="W175">
        <v>4.7065550088310593E-2</v>
      </c>
      <c r="X175" s="19">
        <f t="shared" si="6"/>
        <v>46094</v>
      </c>
      <c r="Y175" s="19">
        <f t="shared" si="7"/>
        <v>46094</v>
      </c>
      <c r="Z175">
        <f t="array" ref="Z175">_xlfn.XLOOKUP(INT(X175),INT($AE$2:$AE$1000),$AG$2:$AG$1000,"")</f>
        <v>27.19</v>
      </c>
      <c r="AE175" s="19">
        <f t="shared" si="8"/>
        <v>46118</v>
      </c>
      <c r="AF175" s="19">
        <v>46177</v>
      </c>
      <c r="AG175">
        <v>24.17</v>
      </c>
    </row>
    <row r="176" spans="1:33" x14ac:dyDescent="0.3">
      <c r="A176">
        <v>9</v>
      </c>
      <c r="B176" t="s">
        <v>28</v>
      </c>
      <c r="C176" t="s">
        <v>33</v>
      </c>
      <c r="D176">
        <v>62589</v>
      </c>
      <c r="E176">
        <v>295.58999999999997</v>
      </c>
      <c r="F176">
        <v>48.66</v>
      </c>
      <c r="G176">
        <v>295.56044100000003</v>
      </c>
      <c r="H176">
        <v>48.664866000000004</v>
      </c>
      <c r="I176">
        <v>3.5881352196890308</v>
      </c>
      <c r="J176">
        <v>0.81444705018759989</v>
      </c>
      <c r="K176">
        <v>-3.3830643797151463E-2</v>
      </c>
      <c r="L176">
        <v>0.16737506169083441</v>
      </c>
      <c r="M176" t="s">
        <v>30</v>
      </c>
      <c r="N176">
        <v>8</v>
      </c>
      <c r="O176" t="s">
        <v>31</v>
      </c>
      <c r="P176">
        <v>62597</v>
      </c>
      <c r="Q176">
        <v>294.86</v>
      </c>
      <c r="R176">
        <v>48.585000000000001</v>
      </c>
      <c r="S176">
        <v>8.2929969426686956E-2</v>
      </c>
      <c r="T176">
        <v>1.2143240345107401E-2</v>
      </c>
      <c r="U176">
        <v>8.518071194691652E-3</v>
      </c>
      <c r="V176">
        <v>3.628856989785237E-3</v>
      </c>
      <c r="W176">
        <v>4.889214204906415E-3</v>
      </c>
      <c r="X176" s="19">
        <f t="shared" si="6"/>
        <v>46094</v>
      </c>
      <c r="Y176" s="19">
        <f t="shared" si="7"/>
        <v>46094</v>
      </c>
      <c r="Z176">
        <f t="array" ref="Z176">_xlfn.XLOOKUP(INT(X176),INT($AE$2:$AE$1000),$AG$2:$AG$1000,"")</f>
        <v>27.19</v>
      </c>
      <c r="AE176" s="19">
        <f t="shared" si="8"/>
        <v>46119</v>
      </c>
      <c r="AF176" s="19">
        <v>46207</v>
      </c>
      <c r="AG176">
        <v>25.78</v>
      </c>
    </row>
    <row r="177" spans="1:33" x14ac:dyDescent="0.3">
      <c r="A177">
        <v>9</v>
      </c>
      <c r="B177" t="s">
        <v>28</v>
      </c>
      <c r="C177" t="s">
        <v>33</v>
      </c>
      <c r="D177">
        <v>62894</v>
      </c>
      <c r="E177">
        <v>293.85000000000002</v>
      </c>
      <c r="F177">
        <v>48.805</v>
      </c>
      <c r="G177">
        <v>293.87938500000001</v>
      </c>
      <c r="H177">
        <v>48.800119500000001</v>
      </c>
      <c r="I177">
        <v>-4.2488124499288347</v>
      </c>
      <c r="J177">
        <v>0.81444705018759989</v>
      </c>
      <c r="K177">
        <v>3.403096818104475E-2</v>
      </c>
      <c r="L177">
        <v>-0.16687778919938531</v>
      </c>
      <c r="M177" t="s">
        <v>32</v>
      </c>
      <c r="N177">
        <v>13</v>
      </c>
      <c r="O177" t="s">
        <v>31</v>
      </c>
      <c r="P177">
        <v>62907</v>
      </c>
      <c r="Q177">
        <v>294.77999999999997</v>
      </c>
      <c r="R177">
        <v>48.835000000000001</v>
      </c>
      <c r="S177">
        <v>-0.49528238982585743</v>
      </c>
      <c r="T177">
        <v>2.6642466732388171E-2</v>
      </c>
      <c r="U177">
        <v>2.300990711860592E-2</v>
      </c>
      <c r="V177">
        <v>3.628931210965163E-3</v>
      </c>
      <c r="W177">
        <v>1.9380975907640759E-2</v>
      </c>
      <c r="X177" s="19">
        <f t="shared" si="6"/>
        <v>46097</v>
      </c>
      <c r="Y177" s="19">
        <f t="shared" si="7"/>
        <v>46097</v>
      </c>
      <c r="Z177">
        <f t="array" ref="Z177">_xlfn.XLOOKUP(INT(X177),INT($AE$2:$AE$1000),$AG$2:$AG$1000,"")</f>
        <v>23.51</v>
      </c>
      <c r="AE177" s="19">
        <f t="shared" si="8"/>
        <v>46120</v>
      </c>
      <c r="AF177" s="19">
        <v>46238</v>
      </c>
      <c r="AG177">
        <v>21.04</v>
      </c>
    </row>
    <row r="178" spans="1:33" x14ac:dyDescent="0.3">
      <c r="A178">
        <v>10</v>
      </c>
      <c r="B178" t="s">
        <v>77</v>
      </c>
      <c r="C178" t="s">
        <v>34</v>
      </c>
      <c r="D178">
        <v>63285</v>
      </c>
      <c r="E178">
        <v>110.69</v>
      </c>
      <c r="F178">
        <v>78.12</v>
      </c>
      <c r="G178">
        <v>110.701069</v>
      </c>
      <c r="H178">
        <v>78.112188000000003</v>
      </c>
      <c r="I178">
        <v>-4.256365248355432</v>
      </c>
      <c r="J178">
        <v>0.49839208443631872</v>
      </c>
      <c r="K178">
        <v>9.0342397687234621E-2</v>
      </c>
      <c r="L178">
        <v>-6.3798269897122201E-2</v>
      </c>
      <c r="M178" t="s">
        <v>32</v>
      </c>
      <c r="N178">
        <v>11</v>
      </c>
      <c r="O178" t="s">
        <v>31</v>
      </c>
      <c r="P178">
        <v>63296</v>
      </c>
      <c r="Q178">
        <v>110.78</v>
      </c>
      <c r="R178">
        <v>77.894999999999996</v>
      </c>
      <c r="S178">
        <v>-0.47508950014589552</v>
      </c>
      <c r="T178">
        <v>2.2485426518704461E-2</v>
      </c>
      <c r="U178">
        <v>1.9489264729326099E-2</v>
      </c>
      <c r="V178">
        <v>2.9968844904557498E-3</v>
      </c>
      <c r="W178">
        <v>1.6492380238870352E-2</v>
      </c>
      <c r="X178" s="19">
        <f t="shared" si="6"/>
        <v>46098</v>
      </c>
      <c r="Y178" s="19">
        <f t="shared" si="7"/>
        <v>46098</v>
      </c>
      <c r="Z178">
        <f t="array" ref="Z178">_xlfn.XLOOKUP(INT(X178),INT($AE$2:$AE$1000),$AG$2:$AG$1000,"")</f>
        <v>22.37</v>
      </c>
      <c r="AE178" s="19">
        <f t="shared" si="8"/>
        <v>46121</v>
      </c>
      <c r="AF178" s="19">
        <v>46269</v>
      </c>
      <c r="AG178">
        <v>19.489999999999998</v>
      </c>
    </row>
    <row r="179" spans="1:33" x14ac:dyDescent="0.3">
      <c r="A179">
        <v>10</v>
      </c>
      <c r="B179" t="s">
        <v>77</v>
      </c>
      <c r="C179" t="s">
        <v>34</v>
      </c>
      <c r="D179">
        <v>63431</v>
      </c>
      <c r="E179">
        <v>110</v>
      </c>
      <c r="F179">
        <v>77.930000000000007</v>
      </c>
      <c r="G179">
        <v>110.011</v>
      </c>
      <c r="H179">
        <v>77.922207000000014</v>
      </c>
      <c r="I179">
        <v>-4.7110931082644241</v>
      </c>
      <c r="J179">
        <v>0.49839208443631872</v>
      </c>
      <c r="K179">
        <v>9.0909090909090912E-2</v>
      </c>
      <c r="L179">
        <v>-6.3953815531415201E-2</v>
      </c>
      <c r="M179" t="s">
        <v>32</v>
      </c>
      <c r="N179">
        <v>19</v>
      </c>
      <c r="O179" t="s">
        <v>31</v>
      </c>
      <c r="P179">
        <v>63450</v>
      </c>
      <c r="Q179">
        <v>108.5</v>
      </c>
      <c r="R179">
        <v>77.715000000000003</v>
      </c>
      <c r="S179">
        <v>-0.49628742005254889</v>
      </c>
      <c r="T179">
        <v>-0.12261356602438191</v>
      </c>
      <c r="U179">
        <v>-0.12559533882258411</v>
      </c>
      <c r="V179">
        <v>2.9968844904557498E-3</v>
      </c>
      <c r="W179">
        <v>-0.12859222331303979</v>
      </c>
      <c r="X179" s="19">
        <f t="shared" si="6"/>
        <v>46098</v>
      </c>
      <c r="Y179" s="19">
        <f t="shared" si="7"/>
        <v>46098</v>
      </c>
      <c r="Z179">
        <f t="array" ref="Z179">_xlfn.XLOOKUP(INT(X179),INT($AE$2:$AE$1000),$AG$2:$AG$1000,"")</f>
        <v>22.37</v>
      </c>
      <c r="AE179" s="19">
        <f t="shared" si="8"/>
        <v>46122</v>
      </c>
      <c r="AF179" s="19">
        <v>46299</v>
      </c>
      <c r="AG179">
        <v>19.23</v>
      </c>
    </row>
    <row r="180" spans="1:33" x14ac:dyDescent="0.3">
      <c r="A180">
        <v>10</v>
      </c>
      <c r="B180" t="s">
        <v>36</v>
      </c>
      <c r="C180" t="s">
        <v>37</v>
      </c>
      <c r="D180">
        <v>63459</v>
      </c>
      <c r="E180">
        <v>51.03</v>
      </c>
      <c r="F180">
        <v>203</v>
      </c>
      <c r="G180">
        <v>51.024897000000003</v>
      </c>
      <c r="H180">
        <v>203.02029999999999</v>
      </c>
      <c r="I180">
        <v>3.5523458610373102</v>
      </c>
      <c r="J180">
        <v>0.90418154948810281</v>
      </c>
      <c r="K180">
        <v>-0.1959631589261219</v>
      </c>
      <c r="L180">
        <v>4.4540963028970593E-2</v>
      </c>
      <c r="M180" t="s">
        <v>30</v>
      </c>
      <c r="N180">
        <v>18</v>
      </c>
      <c r="O180" t="s">
        <v>31</v>
      </c>
      <c r="P180">
        <v>63477</v>
      </c>
      <c r="Q180">
        <v>50.975000000000001</v>
      </c>
      <c r="R180">
        <v>203.17</v>
      </c>
      <c r="S180">
        <v>0.1338196310140963</v>
      </c>
      <c r="T180">
        <v>1.8349937455861089E-2</v>
      </c>
      <c r="U180">
        <v>1.4541894957888331E-2</v>
      </c>
      <c r="V180">
        <v>3.8083439352861038E-3</v>
      </c>
      <c r="W180">
        <v>1.073355102260222E-2</v>
      </c>
      <c r="X180" s="19">
        <f t="shared" si="6"/>
        <v>46098</v>
      </c>
      <c r="Y180" s="19">
        <f t="shared" si="7"/>
        <v>46098</v>
      </c>
      <c r="Z180">
        <f t="array" ref="Z180">_xlfn.XLOOKUP(INT(X180),INT($AE$2:$AE$1000),$AG$2:$AG$1000,"")</f>
        <v>22.37</v>
      </c>
      <c r="AE180" s="19">
        <f t="shared" si="8"/>
        <v>46125</v>
      </c>
      <c r="AF180" t="s">
        <v>169</v>
      </c>
      <c r="AG180">
        <v>19.12</v>
      </c>
    </row>
    <row r="181" spans="1:33" x14ac:dyDescent="0.3">
      <c r="A181">
        <v>10</v>
      </c>
      <c r="B181" t="s">
        <v>77</v>
      </c>
      <c r="C181" t="s">
        <v>34</v>
      </c>
      <c r="D181">
        <v>63514</v>
      </c>
      <c r="E181">
        <v>108.34</v>
      </c>
      <c r="F181">
        <v>77.87</v>
      </c>
      <c r="G181">
        <v>108.35083400000001</v>
      </c>
      <c r="H181">
        <v>77.862213000000011</v>
      </c>
      <c r="I181">
        <v>-3.514355339822576</v>
      </c>
      <c r="J181">
        <v>0.49839208443631872</v>
      </c>
      <c r="K181">
        <v>9.2302012183865606E-2</v>
      </c>
      <c r="L181">
        <v>-6.4003092903084452E-2</v>
      </c>
      <c r="M181" t="s">
        <v>32</v>
      </c>
      <c r="N181">
        <v>33</v>
      </c>
      <c r="O181" t="s">
        <v>31</v>
      </c>
      <c r="P181">
        <v>63547</v>
      </c>
      <c r="Q181">
        <v>107.88</v>
      </c>
      <c r="R181">
        <v>77.625</v>
      </c>
      <c r="S181">
        <v>-0.46953689489302192</v>
      </c>
      <c r="T181">
        <v>-2.6778167843322931E-2</v>
      </c>
      <c r="U181">
        <v>-2.976913804385917E-2</v>
      </c>
      <c r="V181">
        <v>2.9968844904557498E-3</v>
      </c>
      <c r="W181">
        <v>-3.2766022534314918E-2</v>
      </c>
      <c r="X181" s="19">
        <f t="shared" si="6"/>
        <v>46098</v>
      </c>
      <c r="Y181" s="19">
        <f t="shared" si="7"/>
        <v>46098</v>
      </c>
      <c r="Z181">
        <f t="array" ref="Z181">_xlfn.XLOOKUP(INT(X181),INT($AE$2:$AE$1000),$AG$2:$AG$1000,"")</f>
        <v>22.37</v>
      </c>
      <c r="AE181" s="19">
        <f t="shared" si="8"/>
        <v>46126</v>
      </c>
      <c r="AF181" t="s">
        <v>170</v>
      </c>
      <c r="AG181">
        <v>18.36</v>
      </c>
    </row>
    <row r="182" spans="1:33" x14ac:dyDescent="0.3">
      <c r="A182">
        <v>10</v>
      </c>
      <c r="B182" t="s">
        <v>77</v>
      </c>
      <c r="C182" t="s">
        <v>34</v>
      </c>
      <c r="D182">
        <v>63584</v>
      </c>
      <c r="E182">
        <v>108.04</v>
      </c>
      <c r="F182">
        <v>77.44</v>
      </c>
      <c r="G182">
        <v>108.029196</v>
      </c>
      <c r="H182">
        <v>77.447744</v>
      </c>
      <c r="I182">
        <v>3.5455149116766949</v>
      </c>
      <c r="J182">
        <v>0.49839208443631872</v>
      </c>
      <c r="K182">
        <v>-9.2558311736393922E-2</v>
      </c>
      <c r="L182">
        <v>6.4358481977830409E-2</v>
      </c>
      <c r="M182" t="s">
        <v>30</v>
      </c>
      <c r="N182">
        <v>22</v>
      </c>
      <c r="O182" t="s">
        <v>31</v>
      </c>
      <c r="P182">
        <v>63606</v>
      </c>
      <c r="Q182">
        <v>107.995</v>
      </c>
      <c r="R182">
        <v>77.3</v>
      </c>
      <c r="S182">
        <v>0.4568966884780914</v>
      </c>
      <c r="T182">
        <v>-4.8450634487584099E-3</v>
      </c>
      <c r="U182">
        <v>-7.8405300864801686E-3</v>
      </c>
      <c r="V182">
        <v>2.996683847289525E-3</v>
      </c>
      <c r="W182">
        <v>-1.083721393376969E-2</v>
      </c>
      <c r="X182" s="19">
        <f t="shared" si="6"/>
        <v>46099</v>
      </c>
      <c r="Y182" s="19">
        <f t="shared" si="7"/>
        <v>46099</v>
      </c>
      <c r="Z182">
        <f t="array" ref="Z182">_xlfn.XLOOKUP(INT(X182),INT($AE$2:$AE$1000),$AG$2:$AG$1000,"")</f>
        <v>25.09</v>
      </c>
      <c r="AE182" s="19">
        <f t="shared" si="8"/>
        <v>46127</v>
      </c>
      <c r="AF182" t="s">
        <v>171</v>
      </c>
      <c r="AG182">
        <v>18.170000000000002</v>
      </c>
    </row>
    <row r="183" spans="1:33" x14ac:dyDescent="0.3">
      <c r="A183">
        <v>10</v>
      </c>
      <c r="B183" t="s">
        <v>77</v>
      </c>
      <c r="C183" t="s">
        <v>34</v>
      </c>
      <c r="D183">
        <v>63673</v>
      </c>
      <c r="E183">
        <v>108.41</v>
      </c>
      <c r="F183">
        <v>77.7</v>
      </c>
      <c r="G183">
        <v>108.399159</v>
      </c>
      <c r="H183">
        <v>77.707769999999996</v>
      </c>
      <c r="I183">
        <v>3.8046813307920391</v>
      </c>
      <c r="J183">
        <v>0.49839208443631872</v>
      </c>
      <c r="K183">
        <v>-9.2242413061525697E-2</v>
      </c>
      <c r="L183">
        <v>6.4143125410079618E-2</v>
      </c>
      <c r="M183" t="s">
        <v>30</v>
      </c>
      <c r="N183">
        <v>9</v>
      </c>
      <c r="O183" t="s">
        <v>31</v>
      </c>
      <c r="P183">
        <v>63682</v>
      </c>
      <c r="Q183">
        <v>108.2</v>
      </c>
      <c r="R183">
        <v>77.83</v>
      </c>
      <c r="S183">
        <v>0.47408567609457819</v>
      </c>
      <c r="T183">
        <v>2.7709513046229879E-2</v>
      </c>
      <c r="U183">
        <v>2.4713832107401891E-2</v>
      </c>
      <c r="V183">
        <v>2.996683847289525E-3</v>
      </c>
      <c r="W183">
        <v>2.1717148260112371E-2</v>
      </c>
      <c r="X183" s="19">
        <f t="shared" si="6"/>
        <v>46099</v>
      </c>
      <c r="Y183" s="19">
        <f t="shared" si="7"/>
        <v>46099</v>
      </c>
      <c r="Z183">
        <f t="array" ref="Z183">_xlfn.XLOOKUP(INT(X183),INT($AE$2:$AE$1000),$AG$2:$AG$1000,"")</f>
        <v>25.09</v>
      </c>
      <c r="AE183" s="19">
        <f t="shared" si="8"/>
        <v>46128</v>
      </c>
      <c r="AF183" t="s">
        <v>172</v>
      </c>
      <c r="AG183">
        <v>17.940000000000001</v>
      </c>
    </row>
    <row r="184" spans="1:33" x14ac:dyDescent="0.3">
      <c r="A184">
        <v>10</v>
      </c>
      <c r="B184" t="s">
        <v>77</v>
      </c>
      <c r="C184" t="s">
        <v>34</v>
      </c>
      <c r="D184">
        <v>64065</v>
      </c>
      <c r="E184">
        <v>109.11499999999999</v>
      </c>
      <c r="F184">
        <v>77.66</v>
      </c>
      <c r="G184">
        <v>109.1040885</v>
      </c>
      <c r="H184">
        <v>77.667766</v>
      </c>
      <c r="I184">
        <v>4.8044159692502468</v>
      </c>
      <c r="J184">
        <v>0.49839208443631872</v>
      </c>
      <c r="K184">
        <v>-9.1646428080465567E-2</v>
      </c>
      <c r="L184">
        <v>6.4176163332000866E-2</v>
      </c>
      <c r="M184" t="s">
        <v>30</v>
      </c>
      <c r="N184">
        <v>38</v>
      </c>
      <c r="O184" t="s">
        <v>31</v>
      </c>
      <c r="P184">
        <v>64103</v>
      </c>
      <c r="Q184">
        <v>110.825</v>
      </c>
      <c r="R184">
        <v>78.47</v>
      </c>
      <c r="S184">
        <v>0.1108574037681099</v>
      </c>
      <c r="T184">
        <v>-0.10473269971867601</v>
      </c>
      <c r="U184">
        <v>-0.1077503536959797</v>
      </c>
      <c r="V184">
        <v>2.996683847289525E-3</v>
      </c>
      <c r="W184">
        <v>-0.1107470375432692</v>
      </c>
      <c r="X184" s="19">
        <f t="shared" si="6"/>
        <v>46100</v>
      </c>
      <c r="Y184" s="19">
        <f t="shared" si="7"/>
        <v>46100</v>
      </c>
      <c r="Z184">
        <f t="array" ref="Z184">_xlfn.XLOOKUP(INT(X184),INT($AE$2:$AE$1000),$AG$2:$AG$1000,"")</f>
        <v>24.06</v>
      </c>
      <c r="AE184" s="19">
        <f t="shared" si="8"/>
        <v>46129</v>
      </c>
      <c r="AF184" t="s">
        <v>173</v>
      </c>
      <c r="AG184">
        <v>17.48</v>
      </c>
    </row>
    <row r="185" spans="1:33" x14ac:dyDescent="0.3">
      <c r="A185">
        <v>10</v>
      </c>
      <c r="B185" t="s">
        <v>36</v>
      </c>
      <c r="C185" t="s">
        <v>37</v>
      </c>
      <c r="D185">
        <v>64254</v>
      </c>
      <c r="E185">
        <v>51.725000000000001</v>
      </c>
      <c r="F185">
        <v>205.76499999999999</v>
      </c>
      <c r="G185">
        <v>51.719827500000001</v>
      </c>
      <c r="H185">
        <v>205.78557649999999</v>
      </c>
      <c r="I185">
        <v>3.88209231152267</v>
      </c>
      <c r="J185">
        <v>0.90418154948810281</v>
      </c>
      <c r="K185">
        <v>-0.19333011116481391</v>
      </c>
      <c r="L185">
        <v>4.3942436735504242E-2</v>
      </c>
      <c r="M185" t="s">
        <v>30</v>
      </c>
      <c r="N185">
        <v>4</v>
      </c>
      <c r="O185" t="s">
        <v>31</v>
      </c>
      <c r="P185">
        <v>64258</v>
      </c>
      <c r="Q185">
        <v>51.835000000000001</v>
      </c>
      <c r="R185">
        <v>206.93</v>
      </c>
      <c r="S185">
        <v>0.21192774522584029</v>
      </c>
      <c r="T185">
        <v>2.9926626568733909E-2</v>
      </c>
      <c r="U185">
        <v>2.611101754465496E-2</v>
      </c>
      <c r="V185">
        <v>3.8083439352861038E-3</v>
      </c>
      <c r="W185">
        <v>2.2302673609368859E-2</v>
      </c>
      <c r="X185" s="19">
        <f t="shared" si="6"/>
        <v>46100</v>
      </c>
      <c r="Y185" s="19">
        <f t="shared" si="7"/>
        <v>46100</v>
      </c>
      <c r="Z185">
        <f t="array" ref="Z185">_xlfn.XLOOKUP(INT(X185),INT($AE$2:$AE$1000),$AG$2:$AG$1000,"")</f>
        <v>24.06</v>
      </c>
      <c r="AE185" s="19">
        <f t="shared" si="8"/>
        <v>46132</v>
      </c>
      <c r="AF185" t="s">
        <v>174</v>
      </c>
      <c r="AG185">
        <v>18.87</v>
      </c>
    </row>
    <row r="186" spans="1:33" x14ac:dyDescent="0.3">
      <c r="A186">
        <v>10</v>
      </c>
      <c r="B186" t="s">
        <v>77</v>
      </c>
      <c r="C186" t="s">
        <v>34</v>
      </c>
      <c r="D186">
        <v>64423</v>
      </c>
      <c r="E186">
        <v>112.92</v>
      </c>
      <c r="F186">
        <v>79.38</v>
      </c>
      <c r="G186">
        <v>112.931292</v>
      </c>
      <c r="H186">
        <v>79.372062</v>
      </c>
      <c r="I186">
        <v>-3.7398182608789061</v>
      </c>
      <c r="J186">
        <v>0.49839208443631872</v>
      </c>
      <c r="K186">
        <v>8.855827134254339E-2</v>
      </c>
      <c r="L186">
        <v>-6.2785598946374241E-2</v>
      </c>
      <c r="M186" t="s">
        <v>32</v>
      </c>
      <c r="N186">
        <v>2</v>
      </c>
      <c r="O186" t="s">
        <v>31</v>
      </c>
      <c r="P186">
        <v>64425</v>
      </c>
      <c r="Q186">
        <v>113.33</v>
      </c>
      <c r="R186">
        <v>79.52</v>
      </c>
      <c r="S186">
        <v>-0.33578625497563991</v>
      </c>
      <c r="T186">
        <v>2.751890739795006E-2</v>
      </c>
      <c r="U186">
        <v>2.4517613341568011E-2</v>
      </c>
      <c r="V186">
        <v>2.9968844904557498E-3</v>
      </c>
      <c r="W186">
        <v>2.152072885111226E-2</v>
      </c>
      <c r="X186" s="19">
        <f t="shared" si="6"/>
        <v>46101</v>
      </c>
      <c r="Y186" s="19">
        <f t="shared" si="7"/>
        <v>46101</v>
      </c>
      <c r="Z186">
        <f t="array" ref="Z186">_xlfn.XLOOKUP(INT(X186),INT($AE$2:$AE$1000),$AG$2:$AG$1000,"")</f>
        <v>26.78</v>
      </c>
      <c r="AE186" s="19">
        <f t="shared" si="8"/>
        <v>46133</v>
      </c>
      <c r="AF186" t="s">
        <v>175</v>
      </c>
      <c r="AG186">
        <v>19.5</v>
      </c>
    </row>
    <row r="187" spans="1:33" x14ac:dyDescent="0.3">
      <c r="A187">
        <v>10</v>
      </c>
      <c r="B187" t="s">
        <v>77</v>
      </c>
      <c r="C187" t="s">
        <v>34</v>
      </c>
      <c r="D187">
        <v>64455</v>
      </c>
      <c r="E187">
        <v>115.88</v>
      </c>
      <c r="F187">
        <v>81.23</v>
      </c>
      <c r="G187">
        <v>115.86841200000001</v>
      </c>
      <c r="H187">
        <v>81.238123000000002</v>
      </c>
      <c r="I187">
        <v>5.0537225371335879</v>
      </c>
      <c r="J187">
        <v>0.49839208443631872</v>
      </c>
      <c r="K187">
        <v>-8.6296168450120822E-2</v>
      </c>
      <c r="L187">
        <v>6.1355667171773813E-2</v>
      </c>
      <c r="M187" t="s">
        <v>30</v>
      </c>
      <c r="N187">
        <v>12</v>
      </c>
      <c r="O187" t="s">
        <v>31</v>
      </c>
      <c r="P187">
        <v>64467</v>
      </c>
      <c r="Q187">
        <v>115.34</v>
      </c>
      <c r="R187">
        <v>81.2</v>
      </c>
      <c r="S187">
        <v>0.26635262082629868</v>
      </c>
      <c r="T187">
        <v>4.4759260947911272E-2</v>
      </c>
      <c r="U187">
        <v>4.1767320839136222E-2</v>
      </c>
      <c r="V187">
        <v>2.996683847289525E-3</v>
      </c>
      <c r="W187">
        <v>3.8770636991846692E-2</v>
      </c>
      <c r="X187" s="19">
        <f t="shared" si="6"/>
        <v>46101</v>
      </c>
      <c r="Y187" s="19">
        <f t="shared" si="7"/>
        <v>46101</v>
      </c>
      <c r="Z187">
        <f t="array" ref="Z187">_xlfn.XLOOKUP(INT(X187),INT($AE$2:$AE$1000),$AG$2:$AG$1000,"")</f>
        <v>26.78</v>
      </c>
      <c r="AE187" s="19">
        <f t="shared" si="8"/>
        <v>46134</v>
      </c>
      <c r="AF187" t="s">
        <v>176</v>
      </c>
      <c r="AG187">
        <v>18.920000000000002</v>
      </c>
    </row>
    <row r="188" spans="1:33" x14ac:dyDescent="0.3">
      <c r="A188">
        <v>10</v>
      </c>
      <c r="B188" t="s">
        <v>77</v>
      </c>
      <c r="C188" t="s">
        <v>34</v>
      </c>
      <c r="D188">
        <v>64509</v>
      </c>
      <c r="E188">
        <v>114.86</v>
      </c>
      <c r="F188">
        <v>80.89</v>
      </c>
      <c r="G188">
        <v>114.871486</v>
      </c>
      <c r="H188">
        <v>80.881911000000002</v>
      </c>
      <c r="I188">
        <v>-4.1663046948451816</v>
      </c>
      <c r="J188">
        <v>0.49839208443631872</v>
      </c>
      <c r="K188">
        <v>8.7062510882813859E-2</v>
      </c>
      <c r="L188">
        <v>-6.1613559702845683E-2</v>
      </c>
      <c r="M188" t="s">
        <v>32</v>
      </c>
      <c r="N188">
        <v>10</v>
      </c>
      <c r="O188" t="s">
        <v>31</v>
      </c>
      <c r="P188">
        <v>64519</v>
      </c>
      <c r="Q188">
        <v>115.02</v>
      </c>
      <c r="R188">
        <v>80.650000000000006</v>
      </c>
      <c r="S188">
        <v>-0.38264550882781578</v>
      </c>
      <c r="T188">
        <v>2.871725606993257E-2</v>
      </c>
      <c r="U188">
        <v>2.5720557626318832E-2</v>
      </c>
      <c r="V188">
        <v>2.9968844904557498E-3</v>
      </c>
      <c r="W188">
        <v>2.2723673135863081E-2</v>
      </c>
      <c r="X188" s="19">
        <f t="shared" si="6"/>
        <v>46101</v>
      </c>
      <c r="Y188" s="19">
        <f t="shared" si="7"/>
        <v>46101</v>
      </c>
      <c r="Z188">
        <f t="array" ref="Z188">_xlfn.XLOOKUP(INT(X188),INT($AE$2:$AE$1000),$AG$2:$AG$1000,"")</f>
        <v>26.78</v>
      </c>
      <c r="AE188" s="19">
        <f t="shared" si="8"/>
        <v>46135</v>
      </c>
      <c r="AF188" t="s">
        <v>177</v>
      </c>
      <c r="AG188">
        <v>19.309999999999999</v>
      </c>
    </row>
    <row r="189" spans="1:33" x14ac:dyDescent="0.3">
      <c r="A189">
        <v>10</v>
      </c>
      <c r="B189" t="s">
        <v>36</v>
      </c>
      <c r="C189" t="s">
        <v>37</v>
      </c>
      <c r="D189">
        <v>64722</v>
      </c>
      <c r="E189">
        <v>52.865000000000002</v>
      </c>
      <c r="F189">
        <v>210.84</v>
      </c>
      <c r="G189">
        <v>52.870286499999999</v>
      </c>
      <c r="H189">
        <v>210.818916</v>
      </c>
      <c r="I189">
        <v>-3.8590103261116311</v>
      </c>
      <c r="J189">
        <v>0.90418154948810281</v>
      </c>
      <c r="K189">
        <v>0.18916107065165991</v>
      </c>
      <c r="L189">
        <v>-4.2884725359898637E-2</v>
      </c>
      <c r="M189" t="s">
        <v>32</v>
      </c>
      <c r="N189">
        <v>4</v>
      </c>
      <c r="O189" t="s">
        <v>31</v>
      </c>
      <c r="P189">
        <v>64726</v>
      </c>
      <c r="Q189">
        <v>52.88</v>
      </c>
      <c r="R189">
        <v>210.47</v>
      </c>
      <c r="S189">
        <v>5.4271450886599168E-2</v>
      </c>
      <c r="T189">
        <v>1.8704764442937699E-2</v>
      </c>
      <c r="U189">
        <v>1.489770433719388E-2</v>
      </c>
      <c r="V189">
        <v>3.8083822626663079E-3</v>
      </c>
      <c r="W189">
        <v>1.108932207452757E-2</v>
      </c>
      <c r="X189" s="19">
        <f t="shared" si="6"/>
        <v>46101</v>
      </c>
      <c r="Y189" s="19">
        <f t="shared" si="7"/>
        <v>46101</v>
      </c>
      <c r="Z189">
        <f t="array" ref="Z189">_xlfn.XLOOKUP(INT(X189),INT($AE$2:$AE$1000),$AG$2:$AG$1000,"")</f>
        <v>26.78</v>
      </c>
      <c r="AE189" s="19">
        <f t="shared" si="8"/>
        <v>46136</v>
      </c>
      <c r="AF189" t="s">
        <v>178</v>
      </c>
      <c r="AG189">
        <v>18.71</v>
      </c>
    </row>
    <row r="190" spans="1:33" x14ac:dyDescent="0.3">
      <c r="A190">
        <v>10</v>
      </c>
      <c r="B190" t="s">
        <v>77</v>
      </c>
      <c r="C190" t="s">
        <v>34</v>
      </c>
      <c r="D190">
        <v>64846</v>
      </c>
      <c r="E190">
        <v>112.62</v>
      </c>
      <c r="F190">
        <v>79.44</v>
      </c>
      <c r="G190">
        <v>112.63126200000001</v>
      </c>
      <c r="H190">
        <v>79.432056000000003</v>
      </c>
      <c r="I190">
        <v>-4.9725307633768772</v>
      </c>
      <c r="J190">
        <v>0.49839208443631872</v>
      </c>
      <c r="K190">
        <v>8.8794175102113293E-2</v>
      </c>
      <c r="L190">
        <v>-6.2738177799133779E-2</v>
      </c>
      <c r="M190" t="s">
        <v>32</v>
      </c>
      <c r="N190">
        <v>20</v>
      </c>
      <c r="O190" t="s">
        <v>31</v>
      </c>
      <c r="P190">
        <v>64866</v>
      </c>
      <c r="Q190">
        <v>112.83</v>
      </c>
      <c r="R190">
        <v>79.319999999999993</v>
      </c>
      <c r="S190">
        <v>-0.42538197962715613</v>
      </c>
      <c r="T190">
        <v>2.6175358107339571E-2</v>
      </c>
      <c r="U190">
        <v>2.317746211892446E-2</v>
      </c>
      <c r="V190">
        <v>2.9968844904557498E-3</v>
      </c>
      <c r="W190">
        <v>2.0180577628468709E-2</v>
      </c>
      <c r="X190" s="19">
        <f t="shared" si="6"/>
        <v>46104</v>
      </c>
      <c r="Y190" s="19">
        <f t="shared" si="7"/>
        <v>46104</v>
      </c>
      <c r="Z190">
        <f t="array" ref="Z190">_xlfn.XLOOKUP(INT(X190),INT($AE$2:$AE$1000),$AG$2:$AG$1000,"")</f>
        <v>26.15</v>
      </c>
      <c r="AE190" s="19">
        <f t="shared" si="8"/>
        <v>46139</v>
      </c>
      <c r="AF190" t="s">
        <v>179</v>
      </c>
      <c r="AG190">
        <v>18.02</v>
      </c>
    </row>
    <row r="191" spans="1:33" x14ac:dyDescent="0.3">
      <c r="A191">
        <v>10</v>
      </c>
      <c r="B191" t="s">
        <v>77</v>
      </c>
      <c r="C191" t="s">
        <v>34</v>
      </c>
      <c r="D191">
        <v>64912</v>
      </c>
      <c r="E191">
        <v>115.15</v>
      </c>
      <c r="F191">
        <v>80.53</v>
      </c>
      <c r="G191">
        <v>115.138485</v>
      </c>
      <c r="H191">
        <v>80.538053000000005</v>
      </c>
      <c r="I191">
        <v>3.83045172650053</v>
      </c>
      <c r="J191">
        <v>0.49839208443631872</v>
      </c>
      <c r="K191">
        <v>-8.6843247937472862E-2</v>
      </c>
      <c r="L191">
        <v>6.1888995956329157E-2</v>
      </c>
      <c r="M191" t="s">
        <v>30</v>
      </c>
      <c r="N191">
        <v>16</v>
      </c>
      <c r="O191" t="s">
        <v>31</v>
      </c>
      <c r="P191">
        <v>64928</v>
      </c>
      <c r="Q191">
        <v>114.51</v>
      </c>
      <c r="R191">
        <v>80.064999999999998</v>
      </c>
      <c r="S191">
        <v>0.48995125451580213</v>
      </c>
      <c r="T191">
        <v>2.6801295560289411E-2</v>
      </c>
      <c r="U191">
        <v>2.38129471975972E-2</v>
      </c>
      <c r="V191">
        <v>2.996683847289525E-3</v>
      </c>
      <c r="W191">
        <v>2.081626335030767E-2</v>
      </c>
      <c r="X191" s="19">
        <f t="shared" si="6"/>
        <v>46104</v>
      </c>
      <c r="Y191" s="19">
        <f t="shared" si="7"/>
        <v>46104</v>
      </c>
      <c r="Z191">
        <f t="array" ref="Z191">_xlfn.XLOOKUP(INT(X191),INT($AE$2:$AE$1000),$AG$2:$AG$1000,"")</f>
        <v>26.15</v>
      </c>
      <c r="AE191" s="19">
        <f t="shared" si="8"/>
        <v>46140</v>
      </c>
      <c r="AF191" t="s">
        <v>180</v>
      </c>
      <c r="AG191">
        <v>17.829999999999998</v>
      </c>
    </row>
    <row r="192" spans="1:33" x14ac:dyDescent="0.3">
      <c r="A192">
        <v>10</v>
      </c>
      <c r="B192" t="s">
        <v>77</v>
      </c>
      <c r="C192" t="s">
        <v>34</v>
      </c>
      <c r="D192">
        <v>65226</v>
      </c>
      <c r="E192">
        <v>115.16</v>
      </c>
      <c r="F192">
        <v>80.665000000000006</v>
      </c>
      <c r="G192">
        <v>115.148484</v>
      </c>
      <c r="H192">
        <v>80.673066500000004</v>
      </c>
      <c r="I192">
        <v>3.9150847248243998</v>
      </c>
      <c r="J192">
        <v>0.49839208443631872</v>
      </c>
      <c r="K192">
        <v>-8.6835706842653695E-2</v>
      </c>
      <c r="L192">
        <v>6.1785419256966297E-2</v>
      </c>
      <c r="M192" t="s">
        <v>30</v>
      </c>
      <c r="N192">
        <v>31</v>
      </c>
      <c r="O192" t="s">
        <v>31</v>
      </c>
      <c r="P192">
        <v>65257</v>
      </c>
      <c r="Q192">
        <v>116.56</v>
      </c>
      <c r="R192">
        <v>81.02</v>
      </c>
      <c r="S192">
        <v>0.22434060298941569</v>
      </c>
      <c r="T192">
        <v>-9.9636165743493266E-2</v>
      </c>
      <c r="U192">
        <v>-0.10264730029370719</v>
      </c>
      <c r="V192">
        <v>2.996683847289525E-3</v>
      </c>
      <c r="W192">
        <v>-0.1056439841409967</v>
      </c>
      <c r="X192" s="19">
        <f t="shared" si="6"/>
        <v>46105</v>
      </c>
      <c r="Y192" s="19">
        <f t="shared" si="7"/>
        <v>46105</v>
      </c>
      <c r="Z192">
        <f t="array" ref="Z192">_xlfn.XLOOKUP(INT(X192),INT($AE$2:$AE$1000),$AG$2:$AG$1000,"")</f>
        <v>26.95</v>
      </c>
      <c r="AE192" s="19">
        <f t="shared" si="8"/>
        <v>46141</v>
      </c>
      <c r="AF192" t="s">
        <v>181</v>
      </c>
      <c r="AG192">
        <v>18.809999999999999</v>
      </c>
    </row>
    <row r="193" spans="1:33" x14ac:dyDescent="0.3">
      <c r="A193">
        <v>10</v>
      </c>
      <c r="B193" t="s">
        <v>33</v>
      </c>
      <c r="C193" t="s">
        <v>34</v>
      </c>
      <c r="D193">
        <v>65622</v>
      </c>
      <c r="E193">
        <v>50.11</v>
      </c>
      <c r="F193">
        <v>81.674999999999997</v>
      </c>
      <c r="G193">
        <v>50.104989000000003</v>
      </c>
      <c r="H193">
        <v>81.683167499999996</v>
      </c>
      <c r="I193">
        <v>4.1218915554736801</v>
      </c>
      <c r="J193">
        <v>0.77878009241861823</v>
      </c>
      <c r="K193">
        <v>-0.1995609658750748</v>
      </c>
      <c r="L193">
        <v>9.5351097939224763E-2</v>
      </c>
      <c r="M193" t="s">
        <v>30</v>
      </c>
      <c r="N193">
        <v>7</v>
      </c>
      <c r="O193" t="s">
        <v>31</v>
      </c>
      <c r="P193">
        <v>65629</v>
      </c>
      <c r="Q193">
        <v>49.85</v>
      </c>
      <c r="R193">
        <v>81.319999999999993</v>
      </c>
      <c r="S193">
        <v>-4.4318168182983973E-2</v>
      </c>
      <c r="T193">
        <v>1.803621135909388E-2</v>
      </c>
      <c r="U193">
        <v>1.448722472334724E-2</v>
      </c>
      <c r="V193">
        <v>3.5575159408557208E-3</v>
      </c>
      <c r="W193">
        <v>1.0929708782491519E-2</v>
      </c>
      <c r="X193" s="19">
        <f t="shared" si="6"/>
        <v>46106</v>
      </c>
      <c r="Y193" s="19">
        <f t="shared" si="7"/>
        <v>46106</v>
      </c>
      <c r="Z193">
        <f t="array" ref="Z193">_xlfn.XLOOKUP(INT(X193),INT($AE$2:$AE$1000),$AG$2:$AG$1000,"")</f>
        <v>25.33</v>
      </c>
      <c r="AE193" s="19">
        <f t="shared" si="8"/>
        <v>46142</v>
      </c>
      <c r="AF193" t="s">
        <v>182</v>
      </c>
      <c r="AG193">
        <v>16.89</v>
      </c>
    </row>
    <row r="194" spans="1:33" x14ac:dyDescent="0.3">
      <c r="A194">
        <v>10</v>
      </c>
      <c r="B194" t="s">
        <v>36</v>
      </c>
      <c r="C194" t="s">
        <v>37</v>
      </c>
      <c r="D194">
        <v>65779</v>
      </c>
      <c r="E194">
        <v>53.424999999999997</v>
      </c>
      <c r="F194">
        <v>213.31</v>
      </c>
      <c r="G194">
        <v>53.4196575</v>
      </c>
      <c r="H194">
        <v>213.33133100000001</v>
      </c>
      <c r="I194">
        <v>3.5378142745057541</v>
      </c>
      <c r="J194">
        <v>0.90418154948810281</v>
      </c>
      <c r="K194">
        <v>-0.18717828731867101</v>
      </c>
      <c r="L194">
        <v>4.2388146335760303E-2</v>
      </c>
      <c r="M194" t="s">
        <v>30</v>
      </c>
      <c r="N194">
        <v>27</v>
      </c>
      <c r="O194" t="s">
        <v>31</v>
      </c>
      <c r="P194">
        <v>65806</v>
      </c>
      <c r="Q194">
        <v>53.395000000000003</v>
      </c>
      <c r="R194">
        <v>213.23</v>
      </c>
      <c r="S194">
        <v>0.46336470984441153</v>
      </c>
      <c r="T194">
        <v>2.2242969126976598E-3</v>
      </c>
      <c r="U194">
        <v>-1.5831655462450391E-3</v>
      </c>
      <c r="V194">
        <v>3.8083439352861038E-3</v>
      </c>
      <c r="W194">
        <v>-5.3915094815311423E-3</v>
      </c>
      <c r="X194" s="19">
        <f t="shared" ref="X194:X257" si="9">WORKDAY(DATE(2025,8,2),INT(D194/390))</f>
        <v>46106</v>
      </c>
      <c r="Y194" s="19">
        <f t="shared" ref="Y194:Y257" si="10">WORKDAY(DATE(2025,8,2),INT(P194/390))</f>
        <v>46106</v>
      </c>
      <c r="Z194">
        <f t="array" ref="Z194">_xlfn.XLOOKUP(INT(X194),INT($AE$2:$AE$1000),$AG$2:$AG$1000,"")</f>
        <v>25.33</v>
      </c>
      <c r="AE194" s="19">
        <f t="shared" ref="AE194:AE257" si="11">IF(ISNUMBER(AF194),DATE(YEAR(AF194),DAY(AF194),MONTH(AF194)),DATE(RIGHT(AF194,4),LEFT(AF194,2),MID(AF194,4,2)))</f>
        <v>46143</v>
      </c>
      <c r="AF194" s="19">
        <v>46027</v>
      </c>
      <c r="AG194">
        <v>16.989999999999998</v>
      </c>
    </row>
    <row r="195" spans="1:33" x14ac:dyDescent="0.3">
      <c r="A195">
        <v>10</v>
      </c>
      <c r="B195" t="s">
        <v>36</v>
      </c>
      <c r="C195" t="s">
        <v>37</v>
      </c>
      <c r="D195">
        <v>65872</v>
      </c>
      <c r="E195">
        <v>53.575000000000003</v>
      </c>
      <c r="F195">
        <v>213.33</v>
      </c>
      <c r="G195">
        <v>53.5696425</v>
      </c>
      <c r="H195">
        <v>213.35133300000001</v>
      </c>
      <c r="I195">
        <v>3.633571010706512</v>
      </c>
      <c r="J195">
        <v>0.90418154948810281</v>
      </c>
      <c r="K195">
        <v>-0.18665422305179649</v>
      </c>
      <c r="L195">
        <v>4.2384172384948328E-2</v>
      </c>
      <c r="M195" t="s">
        <v>30</v>
      </c>
      <c r="N195">
        <v>5</v>
      </c>
      <c r="O195" t="s">
        <v>31</v>
      </c>
      <c r="P195">
        <v>65877</v>
      </c>
      <c r="Q195">
        <v>53.51</v>
      </c>
      <c r="R195">
        <v>213.78</v>
      </c>
      <c r="S195">
        <v>-0.42482070908762037</v>
      </c>
      <c r="T195">
        <v>3.120540207159395E-2</v>
      </c>
      <c r="U195">
        <v>2.739634493731042E-2</v>
      </c>
      <c r="V195">
        <v>3.8083439352861038E-3</v>
      </c>
      <c r="W195">
        <v>2.3588001002024319E-2</v>
      </c>
      <c r="X195" s="19">
        <f t="shared" si="9"/>
        <v>46106</v>
      </c>
      <c r="Y195" s="19">
        <f t="shared" si="10"/>
        <v>46106</v>
      </c>
      <c r="Z195">
        <f t="array" ref="Z195">_xlfn.XLOOKUP(INT(X195),INT($AE$2:$AE$1000),$AG$2:$AG$1000,"")</f>
        <v>25.33</v>
      </c>
      <c r="AE195" s="19">
        <f t="shared" si="11"/>
        <v>46146</v>
      </c>
      <c r="AF195" s="19">
        <v>46117</v>
      </c>
      <c r="AG195">
        <v>18.29</v>
      </c>
    </row>
    <row r="196" spans="1:33" x14ac:dyDescent="0.3">
      <c r="A196">
        <v>10</v>
      </c>
      <c r="B196" t="s">
        <v>77</v>
      </c>
      <c r="C196" t="s">
        <v>34</v>
      </c>
      <c r="D196">
        <v>65975</v>
      </c>
      <c r="E196">
        <v>116.99</v>
      </c>
      <c r="F196">
        <v>81.64</v>
      </c>
      <c r="G196">
        <v>116.978301</v>
      </c>
      <c r="H196">
        <v>81.648163999999994</v>
      </c>
      <c r="I196">
        <v>3.7999332676635769</v>
      </c>
      <c r="J196">
        <v>0.49839208443631872</v>
      </c>
      <c r="K196">
        <v>-8.547739123001967E-2</v>
      </c>
      <c r="L196">
        <v>6.1047536065203169E-2</v>
      </c>
      <c r="M196" t="s">
        <v>30</v>
      </c>
      <c r="N196">
        <v>21</v>
      </c>
      <c r="O196" t="s">
        <v>31</v>
      </c>
      <c r="P196">
        <v>65996</v>
      </c>
      <c r="Q196">
        <v>116.99</v>
      </c>
      <c r="R196">
        <v>81.66</v>
      </c>
      <c r="S196">
        <v>0.28186310984338547</v>
      </c>
      <c r="T196">
        <v>1.22095072130382E-3</v>
      </c>
      <c r="U196">
        <v>-1.7759555426395349E-3</v>
      </c>
      <c r="V196">
        <v>2.996683847289525E-3</v>
      </c>
      <c r="W196">
        <v>-4.7726393899290599E-3</v>
      </c>
      <c r="X196" s="19">
        <f t="shared" si="9"/>
        <v>46107</v>
      </c>
      <c r="Y196" s="19">
        <f t="shared" si="10"/>
        <v>46107</v>
      </c>
      <c r="Z196">
        <f t="array" ref="Z196">_xlfn.XLOOKUP(INT(X196),INT($AE$2:$AE$1000),$AG$2:$AG$1000,"")</f>
        <v>27.44</v>
      </c>
      <c r="AE196" s="19">
        <f t="shared" si="11"/>
        <v>46147</v>
      </c>
      <c r="AF196" s="19">
        <v>46147</v>
      </c>
      <c r="AG196">
        <v>17.38</v>
      </c>
    </row>
    <row r="197" spans="1:33" x14ac:dyDescent="0.3">
      <c r="A197">
        <v>10</v>
      </c>
      <c r="B197" t="s">
        <v>77</v>
      </c>
      <c r="C197" t="s">
        <v>34</v>
      </c>
      <c r="D197">
        <v>66002</v>
      </c>
      <c r="E197">
        <v>117.65</v>
      </c>
      <c r="F197">
        <v>82.03</v>
      </c>
      <c r="G197">
        <v>117.63823499999999</v>
      </c>
      <c r="H197">
        <v>82.038202999999996</v>
      </c>
      <c r="I197">
        <v>3.6050289037326828</v>
      </c>
      <c r="J197">
        <v>0.49839208443631872</v>
      </c>
      <c r="K197">
        <v>-8.4997875053123673E-2</v>
      </c>
      <c r="L197">
        <v>6.0757294213863063E-2</v>
      </c>
      <c r="M197" t="s">
        <v>30</v>
      </c>
      <c r="N197">
        <v>14</v>
      </c>
      <c r="O197" t="s">
        <v>31</v>
      </c>
      <c r="P197">
        <v>66016</v>
      </c>
      <c r="Q197">
        <v>117.14</v>
      </c>
      <c r="R197">
        <v>81.760000000000005</v>
      </c>
      <c r="S197">
        <v>-1.8382640805300741E-2</v>
      </c>
      <c r="T197">
        <v>2.6944446839350721E-2</v>
      </c>
      <c r="U197">
        <v>2.3953638009049989E-2</v>
      </c>
      <c r="V197">
        <v>2.996683847289525E-3</v>
      </c>
      <c r="W197">
        <v>2.0956954161760459E-2</v>
      </c>
      <c r="X197" s="19">
        <f t="shared" si="9"/>
        <v>46107</v>
      </c>
      <c r="Y197" s="19">
        <f t="shared" si="10"/>
        <v>46107</v>
      </c>
      <c r="Z197">
        <f t="array" ref="Z197">_xlfn.XLOOKUP(INT(X197),INT($AE$2:$AE$1000),$AG$2:$AG$1000,"")</f>
        <v>27.44</v>
      </c>
      <c r="AE197" s="19">
        <f t="shared" si="11"/>
        <v>46148</v>
      </c>
      <c r="AF197" s="19">
        <v>46178</v>
      </c>
      <c r="AG197">
        <v>17.39</v>
      </c>
    </row>
    <row r="198" spans="1:33" x14ac:dyDescent="0.3">
      <c r="A198">
        <v>10</v>
      </c>
      <c r="B198" t="s">
        <v>36</v>
      </c>
      <c r="C198" t="s">
        <v>37</v>
      </c>
      <c r="D198">
        <v>66018</v>
      </c>
      <c r="E198">
        <v>55.43</v>
      </c>
      <c r="F198">
        <v>218.98</v>
      </c>
      <c r="G198">
        <v>55.424456999999997</v>
      </c>
      <c r="H198">
        <v>219.00189800000001</v>
      </c>
      <c r="I198">
        <v>4.2841456598519381</v>
      </c>
      <c r="J198">
        <v>0.90418154948810281</v>
      </c>
      <c r="K198">
        <v>-0.18040772145047809</v>
      </c>
      <c r="L198">
        <v>4.1290599574760382E-2</v>
      </c>
      <c r="M198" t="s">
        <v>30</v>
      </c>
      <c r="N198">
        <v>10</v>
      </c>
      <c r="O198" t="s">
        <v>31</v>
      </c>
      <c r="P198">
        <v>66028</v>
      </c>
      <c r="Q198">
        <v>55.5</v>
      </c>
      <c r="R198">
        <v>221.56</v>
      </c>
      <c r="S198">
        <v>0.26064238289366709</v>
      </c>
      <c r="T198">
        <v>9.3901206401348788E-2</v>
      </c>
      <c r="U198">
        <v>9.0080927473633443E-2</v>
      </c>
      <c r="V198">
        <v>3.8083439352861038E-3</v>
      </c>
      <c r="W198">
        <v>8.6272583538347339E-2</v>
      </c>
      <c r="X198" s="19">
        <f t="shared" si="9"/>
        <v>46107</v>
      </c>
      <c r="Y198" s="19">
        <f t="shared" si="10"/>
        <v>46107</v>
      </c>
      <c r="Z198">
        <f t="array" ref="Z198">_xlfn.XLOOKUP(INT(X198),INT($AE$2:$AE$1000),$AG$2:$AG$1000,"")</f>
        <v>27.44</v>
      </c>
      <c r="AE198" s="19">
        <f t="shared" si="11"/>
        <v>46149</v>
      </c>
      <c r="AF198" s="19">
        <v>46208</v>
      </c>
      <c r="AG198">
        <v>17.079999999999998</v>
      </c>
    </row>
    <row r="199" spans="1:33" x14ac:dyDescent="0.3">
      <c r="A199">
        <v>10</v>
      </c>
      <c r="B199" t="s">
        <v>33</v>
      </c>
      <c r="C199" t="s">
        <v>34</v>
      </c>
      <c r="D199">
        <v>66307</v>
      </c>
      <c r="E199">
        <v>51.844999999999999</v>
      </c>
      <c r="F199">
        <v>85.015000000000001</v>
      </c>
      <c r="G199">
        <v>51.850184499999997</v>
      </c>
      <c r="H199">
        <v>85.006498500000006</v>
      </c>
      <c r="I199">
        <v>-3.889201928504356</v>
      </c>
      <c r="J199">
        <v>0.77878009241861823</v>
      </c>
      <c r="K199">
        <v>0.19288263091908581</v>
      </c>
      <c r="L199">
        <v>-9.1605021751293092E-2</v>
      </c>
      <c r="M199" t="s">
        <v>32</v>
      </c>
      <c r="N199">
        <v>3</v>
      </c>
      <c r="O199" t="s">
        <v>31</v>
      </c>
      <c r="P199">
        <v>66310</v>
      </c>
      <c r="Q199">
        <v>51.835000000000001</v>
      </c>
      <c r="R199">
        <v>84.82</v>
      </c>
      <c r="S199">
        <v>-0.26030110744192658</v>
      </c>
      <c r="T199">
        <v>1.5934152932312359E-2</v>
      </c>
      <c r="U199">
        <v>1.2378571928030709E-2</v>
      </c>
      <c r="V199">
        <v>3.5576044288187529E-3</v>
      </c>
      <c r="W199">
        <v>8.820967499211952E-3</v>
      </c>
      <c r="X199" s="19">
        <f t="shared" si="9"/>
        <v>46108</v>
      </c>
      <c r="Y199" s="19">
        <f t="shared" si="10"/>
        <v>46108</v>
      </c>
      <c r="Z199">
        <f t="array" ref="Z199">_xlfn.XLOOKUP(INT(X199),INT($AE$2:$AE$1000),$AG$2:$AG$1000,"")</f>
        <v>31.05</v>
      </c>
      <c r="AE199" s="19">
        <f t="shared" si="11"/>
        <v>46150</v>
      </c>
      <c r="AF199" s="19">
        <v>46239</v>
      </c>
      <c r="AG199">
        <v>17.190000000000001</v>
      </c>
    </row>
    <row r="200" spans="1:33" x14ac:dyDescent="0.3">
      <c r="A200">
        <v>10</v>
      </c>
      <c r="B200" t="s">
        <v>77</v>
      </c>
      <c r="C200" t="s">
        <v>34</v>
      </c>
      <c r="D200">
        <v>66411</v>
      </c>
      <c r="E200">
        <v>122.935</v>
      </c>
      <c r="F200">
        <v>85.094999999999999</v>
      </c>
      <c r="G200">
        <v>122.9472935</v>
      </c>
      <c r="H200">
        <v>85.086490499999996</v>
      </c>
      <c r="I200">
        <v>-3.889256760968657</v>
      </c>
      <c r="J200">
        <v>0.49839208443631872</v>
      </c>
      <c r="K200">
        <v>8.1343799568877856E-2</v>
      </c>
      <c r="L200">
        <v>-5.8568903512112191E-2</v>
      </c>
      <c r="M200" t="s">
        <v>32</v>
      </c>
      <c r="N200">
        <v>17</v>
      </c>
      <c r="O200" t="s">
        <v>31</v>
      </c>
      <c r="P200">
        <v>66428</v>
      </c>
      <c r="Q200">
        <v>123.045</v>
      </c>
      <c r="R200">
        <v>84.905000000000001</v>
      </c>
      <c r="S200">
        <v>-0.38369648927039962</v>
      </c>
      <c r="T200">
        <v>2.0075909619877701E-2</v>
      </c>
      <c r="U200">
        <v>1.7079343478376981E-2</v>
      </c>
      <c r="V200">
        <v>2.9968844904557498E-3</v>
      </c>
      <c r="W200">
        <v>1.408245898792123E-2</v>
      </c>
      <c r="X200" s="19">
        <f t="shared" si="9"/>
        <v>46108</v>
      </c>
      <c r="Y200" s="19">
        <f t="shared" si="10"/>
        <v>46108</v>
      </c>
      <c r="Z200">
        <f t="array" ref="Z200">_xlfn.XLOOKUP(INT(X200),INT($AE$2:$AE$1000),$AG$2:$AG$1000,"")</f>
        <v>31.05</v>
      </c>
      <c r="AE200" s="19">
        <f t="shared" si="11"/>
        <v>46153</v>
      </c>
      <c r="AF200" s="19">
        <v>46331</v>
      </c>
      <c r="AG200">
        <v>18.38</v>
      </c>
    </row>
    <row r="201" spans="1:33" x14ac:dyDescent="0.3">
      <c r="A201">
        <v>10</v>
      </c>
      <c r="B201" t="s">
        <v>36</v>
      </c>
      <c r="C201" t="s">
        <v>37</v>
      </c>
      <c r="D201">
        <v>66538</v>
      </c>
      <c r="E201">
        <v>56.18</v>
      </c>
      <c r="F201">
        <v>222.24</v>
      </c>
      <c r="G201">
        <v>56.174382000000001</v>
      </c>
      <c r="H201">
        <v>222.262224</v>
      </c>
      <c r="I201">
        <v>4.0678942296955141</v>
      </c>
      <c r="J201">
        <v>0.90418154948810281</v>
      </c>
      <c r="K201">
        <v>-0.17799928800284801</v>
      </c>
      <c r="L201">
        <v>4.0684914933769932E-2</v>
      </c>
      <c r="M201" t="s">
        <v>30</v>
      </c>
      <c r="N201">
        <v>13</v>
      </c>
      <c r="O201" t="s">
        <v>31</v>
      </c>
      <c r="P201">
        <v>66551</v>
      </c>
      <c r="Q201">
        <v>56.18</v>
      </c>
      <c r="R201">
        <v>222.67</v>
      </c>
      <c r="S201">
        <v>0.38411161075719069</v>
      </c>
      <c r="T201">
        <v>1.749451342152019E-2</v>
      </c>
      <c r="U201">
        <v>1.3684400871202681E-2</v>
      </c>
      <c r="V201">
        <v>3.8083439352861038E-3</v>
      </c>
      <c r="W201">
        <v>9.8760569359165745E-3</v>
      </c>
      <c r="X201" s="19">
        <f t="shared" si="9"/>
        <v>46108</v>
      </c>
      <c r="Y201" s="19">
        <f t="shared" si="10"/>
        <v>46108</v>
      </c>
      <c r="Z201">
        <f t="array" ref="Z201">_xlfn.XLOOKUP(INT(X201),INT($AE$2:$AE$1000),$AG$2:$AG$1000,"")</f>
        <v>31.05</v>
      </c>
      <c r="AE201" s="19">
        <f t="shared" si="11"/>
        <v>46154</v>
      </c>
      <c r="AF201" s="19">
        <v>46361</v>
      </c>
      <c r="AG201">
        <v>17.989999999999998</v>
      </c>
    </row>
    <row r="202" spans="1:33" x14ac:dyDescent="0.3">
      <c r="A202">
        <v>11</v>
      </c>
      <c r="B202" t="s">
        <v>28</v>
      </c>
      <c r="C202" t="s">
        <v>36</v>
      </c>
      <c r="D202">
        <v>66984</v>
      </c>
      <c r="E202">
        <v>308.745</v>
      </c>
      <c r="F202">
        <v>55.87</v>
      </c>
      <c r="G202">
        <v>308.77587449999999</v>
      </c>
      <c r="H202">
        <v>55.864412999999999</v>
      </c>
      <c r="I202">
        <v>-3.502846957735783</v>
      </c>
      <c r="J202">
        <v>0.58657099777875932</v>
      </c>
      <c r="K202">
        <v>3.2389188488882413E-2</v>
      </c>
      <c r="L202">
        <v>-0.10498854443865389</v>
      </c>
      <c r="M202" t="s">
        <v>32</v>
      </c>
      <c r="N202">
        <v>11</v>
      </c>
      <c r="O202" t="s">
        <v>31</v>
      </c>
      <c r="P202">
        <v>66995</v>
      </c>
      <c r="Q202">
        <v>308.62</v>
      </c>
      <c r="R202">
        <v>55.774999999999999</v>
      </c>
      <c r="S202">
        <v>-0.1035256758928577</v>
      </c>
      <c r="T202">
        <v>5.9252631605616994E-3</v>
      </c>
      <c r="U202">
        <v>2.7535234210326639E-3</v>
      </c>
      <c r="V202">
        <v>3.1732246813579632E-3</v>
      </c>
      <c r="W202">
        <v>-4.1970126032529878E-4</v>
      </c>
      <c r="X202" s="19">
        <f t="shared" si="9"/>
        <v>46111</v>
      </c>
      <c r="Y202" s="19">
        <f t="shared" si="10"/>
        <v>46111</v>
      </c>
      <c r="Z202">
        <f t="array" ref="Z202">_xlfn.XLOOKUP(INT(X202),INT($AE$2:$AE$1000),$AG$2:$AG$1000,"")</f>
        <v>30.61</v>
      </c>
      <c r="AE202" s="19">
        <f t="shared" si="11"/>
        <v>46155</v>
      </c>
      <c r="AF202" t="s">
        <v>183</v>
      </c>
      <c r="AG202">
        <v>17.87</v>
      </c>
    </row>
    <row r="203" spans="1:33" x14ac:dyDescent="0.3">
      <c r="A203">
        <v>11</v>
      </c>
      <c r="B203" t="s">
        <v>33</v>
      </c>
      <c r="C203" t="s">
        <v>36</v>
      </c>
      <c r="D203">
        <v>67118</v>
      </c>
      <c r="E203">
        <v>52.715000000000003</v>
      </c>
      <c r="F203">
        <v>55.935000000000002</v>
      </c>
      <c r="G203">
        <v>52.720271500000003</v>
      </c>
      <c r="H203">
        <v>55.929406500000013</v>
      </c>
      <c r="I203">
        <v>-3.989711822504201</v>
      </c>
      <c r="J203">
        <v>0.94349291816960135</v>
      </c>
      <c r="K203">
        <v>0.18969932656739069</v>
      </c>
      <c r="L203">
        <v>-0.16867666365774581</v>
      </c>
      <c r="M203" t="s">
        <v>32</v>
      </c>
      <c r="N203">
        <v>35</v>
      </c>
      <c r="O203" t="s">
        <v>31</v>
      </c>
      <c r="P203">
        <v>67153</v>
      </c>
      <c r="Q203">
        <v>52.695</v>
      </c>
      <c r="R203">
        <v>56.005000000000003</v>
      </c>
      <c r="S203">
        <v>-0.49327448763628828</v>
      </c>
      <c r="T203">
        <v>-1.5601352987390659E-2</v>
      </c>
      <c r="U203">
        <v>-1.9489140161720989E-2</v>
      </c>
      <c r="V203">
        <v>3.8869971377555692E-3</v>
      </c>
      <c r="W203">
        <v>-2.337613729947656E-2</v>
      </c>
      <c r="X203" s="19">
        <f t="shared" si="9"/>
        <v>46112</v>
      </c>
      <c r="Y203" s="19">
        <f t="shared" si="10"/>
        <v>46112</v>
      </c>
      <c r="Z203">
        <f t="array" ref="Z203">_xlfn.XLOOKUP(INT(X203),INT($AE$2:$AE$1000),$AG$2:$AG$1000,"")</f>
        <v>25.25</v>
      </c>
      <c r="AE203" s="19">
        <f t="shared" si="11"/>
        <v>46156</v>
      </c>
      <c r="AF203" t="s">
        <v>184</v>
      </c>
      <c r="AG203">
        <v>17.260000000000002</v>
      </c>
    </row>
    <row r="204" spans="1:33" x14ac:dyDescent="0.3">
      <c r="A204">
        <v>11</v>
      </c>
      <c r="B204" t="s">
        <v>28</v>
      </c>
      <c r="C204" t="s">
        <v>36</v>
      </c>
      <c r="D204">
        <v>67163</v>
      </c>
      <c r="E204">
        <v>310.125</v>
      </c>
      <c r="F204">
        <v>55.9</v>
      </c>
      <c r="G204">
        <v>310.09398750000003</v>
      </c>
      <c r="H204">
        <v>55.905589999999997</v>
      </c>
      <c r="I204">
        <v>4.1535457371450466</v>
      </c>
      <c r="J204">
        <v>0.58657099777875932</v>
      </c>
      <c r="K204">
        <v>-3.2245062474808538E-2</v>
      </c>
      <c r="L204">
        <v>0.10493219996042211</v>
      </c>
      <c r="M204" t="s">
        <v>30</v>
      </c>
      <c r="N204">
        <v>14</v>
      </c>
      <c r="O204" t="s">
        <v>31</v>
      </c>
      <c r="P204">
        <v>67177</v>
      </c>
      <c r="Q204">
        <v>309.625</v>
      </c>
      <c r="R204">
        <v>55.784999999999997</v>
      </c>
      <c r="S204">
        <v>0.1168815692085188</v>
      </c>
      <c r="T204">
        <v>4.0553282419555246E-3</v>
      </c>
      <c r="U204">
        <v>8.8500521982290067E-4</v>
      </c>
      <c r="V204">
        <v>3.1730593097570748E-3</v>
      </c>
      <c r="W204">
        <v>-2.2880540899341741E-3</v>
      </c>
      <c r="X204" s="19">
        <f t="shared" si="9"/>
        <v>46112</v>
      </c>
      <c r="Y204" s="19">
        <f t="shared" si="10"/>
        <v>46112</v>
      </c>
      <c r="Z204">
        <f t="array" ref="Z204">_xlfn.XLOOKUP(INT(X204),INT($AE$2:$AE$1000),$AG$2:$AG$1000,"")</f>
        <v>25.25</v>
      </c>
      <c r="AE204" s="19">
        <f t="shared" si="11"/>
        <v>46157</v>
      </c>
      <c r="AF204" t="s">
        <v>185</v>
      </c>
      <c r="AG204">
        <v>18.43</v>
      </c>
    </row>
    <row r="205" spans="1:33" x14ac:dyDescent="0.3">
      <c r="A205">
        <v>11</v>
      </c>
      <c r="B205" t="s">
        <v>28</v>
      </c>
      <c r="C205" t="s">
        <v>33</v>
      </c>
      <c r="D205">
        <v>67184</v>
      </c>
      <c r="E205">
        <v>309.94499999999999</v>
      </c>
      <c r="F205">
        <v>52.46</v>
      </c>
      <c r="G205">
        <v>309.91400549999997</v>
      </c>
      <c r="H205">
        <v>52.465246</v>
      </c>
      <c r="I205">
        <v>3.5191189028420879</v>
      </c>
      <c r="J205">
        <v>0.64828847730887773</v>
      </c>
      <c r="K205">
        <v>-3.2263788736711353E-2</v>
      </c>
      <c r="L205">
        <v>0.12357767390561911</v>
      </c>
      <c r="M205" t="s">
        <v>30</v>
      </c>
      <c r="N205">
        <v>4</v>
      </c>
      <c r="O205" t="s">
        <v>31</v>
      </c>
      <c r="P205">
        <v>67188</v>
      </c>
      <c r="Q205">
        <v>309.87</v>
      </c>
      <c r="R205">
        <v>52.56</v>
      </c>
      <c r="S205">
        <v>0.30478710425844668</v>
      </c>
      <c r="T205">
        <v>1.477755154581507E-2</v>
      </c>
      <c r="U205">
        <v>1.147998079287342E-2</v>
      </c>
      <c r="V205">
        <v>3.2965066123132169E-3</v>
      </c>
      <c r="W205">
        <v>8.183474180560207E-3</v>
      </c>
      <c r="X205" s="19">
        <f t="shared" si="9"/>
        <v>46112</v>
      </c>
      <c r="Y205" s="19">
        <f t="shared" si="10"/>
        <v>46112</v>
      </c>
      <c r="Z205">
        <f t="array" ref="Z205">_xlfn.XLOOKUP(INT(X205),INT($AE$2:$AE$1000),$AG$2:$AG$1000,"")</f>
        <v>25.25</v>
      </c>
      <c r="AE205" s="19">
        <f t="shared" si="11"/>
        <v>46160</v>
      </c>
      <c r="AF205" t="s">
        <v>186</v>
      </c>
      <c r="AG205">
        <v>17.82</v>
      </c>
    </row>
    <row r="206" spans="1:33" x14ac:dyDescent="0.3">
      <c r="A206">
        <v>11</v>
      </c>
      <c r="B206" t="s">
        <v>34</v>
      </c>
      <c r="C206" t="s">
        <v>37</v>
      </c>
      <c r="D206">
        <v>67196</v>
      </c>
      <c r="E206">
        <v>84.405000000000001</v>
      </c>
      <c r="F206">
        <v>219.55</v>
      </c>
      <c r="G206">
        <v>84.413440500000007</v>
      </c>
      <c r="H206">
        <v>219.52804499999999</v>
      </c>
      <c r="I206">
        <v>-3.9405715311877789</v>
      </c>
      <c r="J206">
        <v>1.094621650123591</v>
      </c>
      <c r="K206">
        <v>0.1184763935785795</v>
      </c>
      <c r="L206">
        <v>-4.9857510823210723E-2</v>
      </c>
      <c r="M206" t="s">
        <v>32</v>
      </c>
      <c r="N206">
        <v>38</v>
      </c>
      <c r="O206" t="s">
        <v>31</v>
      </c>
      <c r="P206">
        <v>67234</v>
      </c>
      <c r="Q206">
        <v>84.86</v>
      </c>
      <c r="R206">
        <v>219.07</v>
      </c>
      <c r="S206">
        <v>0.49686107240723593</v>
      </c>
      <c r="T206">
        <v>7.7838364273395508E-2</v>
      </c>
      <c r="U206">
        <v>7.3646123457759199E-2</v>
      </c>
      <c r="V206">
        <v>4.1892243759171577E-3</v>
      </c>
      <c r="W206">
        <v>6.9456899081842036E-2</v>
      </c>
      <c r="X206" s="19">
        <f t="shared" si="9"/>
        <v>46112</v>
      </c>
      <c r="Y206" s="19">
        <f t="shared" si="10"/>
        <v>46112</v>
      </c>
      <c r="Z206">
        <f t="array" ref="Z206">_xlfn.XLOOKUP(INT(X206),INT($AE$2:$AE$1000),$AG$2:$AG$1000,"")</f>
        <v>25.25</v>
      </c>
      <c r="AE206" s="19">
        <f t="shared" si="11"/>
        <v>46161</v>
      </c>
      <c r="AF206" t="s">
        <v>187</v>
      </c>
      <c r="AG206">
        <v>18.059999999999999</v>
      </c>
    </row>
    <row r="207" spans="1:33" x14ac:dyDescent="0.3">
      <c r="A207">
        <v>11</v>
      </c>
      <c r="B207" t="s">
        <v>34</v>
      </c>
      <c r="C207" t="s">
        <v>37</v>
      </c>
      <c r="D207">
        <v>67454</v>
      </c>
      <c r="E207">
        <v>85.7</v>
      </c>
      <c r="F207">
        <v>220.35499999999999</v>
      </c>
      <c r="G207">
        <v>85.691429999999997</v>
      </c>
      <c r="H207">
        <v>220.37703550000001</v>
      </c>
      <c r="I207">
        <v>3.7243197194991331</v>
      </c>
      <c r="J207">
        <v>1.094621650123591</v>
      </c>
      <c r="K207">
        <v>-0.1166861143523921</v>
      </c>
      <c r="L207">
        <v>4.967537156513769E-2</v>
      </c>
      <c r="M207" t="s">
        <v>30</v>
      </c>
      <c r="N207">
        <v>32</v>
      </c>
      <c r="O207" t="s">
        <v>31</v>
      </c>
      <c r="P207">
        <v>67486</v>
      </c>
      <c r="Q207">
        <v>85.905000000000001</v>
      </c>
      <c r="R207">
        <v>220.57</v>
      </c>
      <c r="S207">
        <v>0.36131950204150742</v>
      </c>
      <c r="T207">
        <v>-1.3240448555735401E-2</v>
      </c>
      <c r="U207">
        <v>-1.743315194181462E-2</v>
      </c>
      <c r="V207">
        <v>4.1892622245772084E-3</v>
      </c>
      <c r="W207">
        <v>-2.162241416639183E-2</v>
      </c>
      <c r="X207" s="19">
        <f t="shared" si="9"/>
        <v>46112</v>
      </c>
      <c r="Y207" s="19">
        <f t="shared" si="10"/>
        <v>46113</v>
      </c>
      <c r="Z207">
        <f t="array" ref="Z207">_xlfn.XLOOKUP(INT(X207),INT($AE$2:$AE$1000),$AG$2:$AG$1000,"")</f>
        <v>25.25</v>
      </c>
      <c r="AE207" s="19">
        <f t="shared" si="11"/>
        <v>46162</v>
      </c>
      <c r="AF207" t="s">
        <v>188</v>
      </c>
      <c r="AG207">
        <v>17.440000000000001</v>
      </c>
    </row>
    <row r="208" spans="1:33" x14ac:dyDescent="0.3">
      <c r="A208">
        <v>11</v>
      </c>
      <c r="B208" t="s">
        <v>36</v>
      </c>
      <c r="C208" t="s">
        <v>37</v>
      </c>
      <c r="D208">
        <v>67526</v>
      </c>
      <c r="E208">
        <v>56.06</v>
      </c>
      <c r="F208">
        <v>220.79499999999999</v>
      </c>
      <c r="G208">
        <v>56.054394000000002</v>
      </c>
      <c r="H208">
        <v>220.81707950000001</v>
      </c>
      <c r="I208">
        <v>3.6632248598909172</v>
      </c>
      <c r="J208">
        <v>0.93445707488887586</v>
      </c>
      <c r="K208">
        <v>-0.1783803068141277</v>
      </c>
      <c r="L208">
        <v>4.2322383880471742E-2</v>
      </c>
      <c r="M208" t="s">
        <v>30</v>
      </c>
      <c r="N208">
        <v>2</v>
      </c>
      <c r="O208" t="s">
        <v>31</v>
      </c>
      <c r="P208">
        <v>67528</v>
      </c>
      <c r="Q208">
        <v>56.055</v>
      </c>
      <c r="R208">
        <v>221.02</v>
      </c>
      <c r="S208">
        <v>0.12602292135027909</v>
      </c>
      <c r="T208">
        <v>1.0414437907178199E-2</v>
      </c>
      <c r="U208">
        <v>6.544660693917119E-3</v>
      </c>
      <c r="V208">
        <v>3.868901041192729E-3</v>
      </c>
      <c r="W208">
        <v>2.6757596527243899E-3</v>
      </c>
      <c r="X208" s="19">
        <f t="shared" si="9"/>
        <v>46113</v>
      </c>
      <c r="Y208" s="19">
        <f t="shared" si="10"/>
        <v>46113</v>
      </c>
      <c r="Z208">
        <f t="array" ref="Z208">_xlfn.XLOOKUP(INT(X208),INT($AE$2:$AE$1000),$AG$2:$AG$1000,"")</f>
        <v>24.54</v>
      </c>
      <c r="AE208" s="19">
        <f t="shared" si="11"/>
        <v>46163</v>
      </c>
      <c r="AF208" t="s">
        <v>189</v>
      </c>
      <c r="AG208">
        <v>16.760000000000002</v>
      </c>
    </row>
    <row r="209" spans="1:33" x14ac:dyDescent="0.3">
      <c r="A209">
        <v>11</v>
      </c>
      <c r="B209" t="s">
        <v>28</v>
      </c>
      <c r="C209" t="s">
        <v>37</v>
      </c>
      <c r="D209">
        <v>67542</v>
      </c>
      <c r="E209">
        <v>311.58999999999997</v>
      </c>
      <c r="F209">
        <v>221.70500000000001</v>
      </c>
      <c r="G209">
        <v>311.62115899999998</v>
      </c>
      <c r="H209">
        <v>221.6828295</v>
      </c>
      <c r="I209">
        <v>-3.797961204009662</v>
      </c>
      <c r="J209">
        <v>0.57059684405718136</v>
      </c>
      <c r="K209">
        <v>3.2093456144292182E-2</v>
      </c>
      <c r="L209">
        <v>-2.573676029215315E-2</v>
      </c>
      <c r="M209" t="s">
        <v>32</v>
      </c>
      <c r="N209">
        <v>4</v>
      </c>
      <c r="O209" t="s">
        <v>31</v>
      </c>
      <c r="P209">
        <v>67546</v>
      </c>
      <c r="Q209">
        <v>312.13</v>
      </c>
      <c r="R209">
        <v>221.93</v>
      </c>
      <c r="S209">
        <v>0.35140661475122492</v>
      </c>
      <c r="T209">
        <v>1.153969525218412E-2</v>
      </c>
      <c r="U209">
        <v>8.3961894403326263E-3</v>
      </c>
      <c r="V209">
        <v>3.1412795687455509E-3</v>
      </c>
      <c r="W209">
        <v>5.2549098715870754E-3</v>
      </c>
      <c r="X209" s="19">
        <f t="shared" si="9"/>
        <v>46113</v>
      </c>
      <c r="Y209" s="19">
        <f t="shared" si="10"/>
        <v>46113</v>
      </c>
      <c r="Z209">
        <f t="array" ref="Z209">_xlfn.XLOOKUP(INT(X209),INT($AE$2:$AE$1000),$AG$2:$AG$1000,"")</f>
        <v>24.54</v>
      </c>
      <c r="AE209" s="19">
        <f t="shared" si="11"/>
        <v>46164</v>
      </c>
      <c r="AF209" t="s">
        <v>190</v>
      </c>
      <c r="AG209">
        <v>16.7</v>
      </c>
    </row>
    <row r="210" spans="1:33" x14ac:dyDescent="0.3">
      <c r="A210">
        <v>11</v>
      </c>
      <c r="B210" t="s">
        <v>33</v>
      </c>
      <c r="C210" t="s">
        <v>36</v>
      </c>
      <c r="D210">
        <v>67575</v>
      </c>
      <c r="E210">
        <v>53.29</v>
      </c>
      <c r="F210">
        <v>56.424999999999997</v>
      </c>
      <c r="G210">
        <v>53.295329000000002</v>
      </c>
      <c r="H210">
        <v>56.419357499999997</v>
      </c>
      <c r="I210">
        <v>-3.8110266032716331</v>
      </c>
      <c r="J210">
        <v>0.94349291816960135</v>
      </c>
      <c r="K210">
        <v>0.1876524676299493</v>
      </c>
      <c r="L210">
        <v>-0.16721185966674371</v>
      </c>
      <c r="M210" t="s">
        <v>32</v>
      </c>
      <c r="N210">
        <v>47</v>
      </c>
      <c r="O210" t="s">
        <v>31</v>
      </c>
      <c r="P210">
        <v>67622</v>
      </c>
      <c r="Q210">
        <v>53.244999999999997</v>
      </c>
      <c r="R210">
        <v>55.475000000000001</v>
      </c>
      <c r="S210">
        <v>0.32657831103544133</v>
      </c>
      <c r="T210">
        <v>0.15040690564005779</v>
      </c>
      <c r="U210">
        <v>0.14653664936649199</v>
      </c>
      <c r="V210">
        <v>3.8869971377555692E-3</v>
      </c>
      <c r="W210">
        <v>0.14264965222873649</v>
      </c>
      <c r="X210" s="19">
        <f t="shared" si="9"/>
        <v>46113</v>
      </c>
      <c r="Y210" s="19">
        <f t="shared" si="10"/>
        <v>46113</v>
      </c>
      <c r="Z210">
        <f t="array" ref="Z210">_xlfn.XLOOKUP(INT(X210),INT($AE$2:$AE$1000),$AG$2:$AG$1000,"")</f>
        <v>24.54</v>
      </c>
      <c r="AE210" s="19">
        <f t="shared" si="11"/>
        <v>46167</v>
      </c>
      <c r="AF210" t="s">
        <v>191</v>
      </c>
      <c r="AG210">
        <v>16.59</v>
      </c>
    </row>
    <row r="211" spans="1:33" x14ac:dyDescent="0.3">
      <c r="A211">
        <v>11</v>
      </c>
      <c r="B211" t="s">
        <v>34</v>
      </c>
      <c r="C211" t="s">
        <v>35</v>
      </c>
      <c r="D211">
        <v>67643</v>
      </c>
      <c r="E211">
        <v>80.834999999999994</v>
      </c>
      <c r="F211">
        <v>49.424999999999997</v>
      </c>
      <c r="G211">
        <v>80.843083499999992</v>
      </c>
      <c r="H211">
        <v>49.420057499999999</v>
      </c>
      <c r="I211">
        <v>-4.5405596106473256</v>
      </c>
      <c r="J211">
        <v>0.92619521931989357</v>
      </c>
      <c r="K211">
        <v>0.1237087895094947</v>
      </c>
      <c r="L211">
        <v>-0.18739407573493039</v>
      </c>
      <c r="M211" t="s">
        <v>32</v>
      </c>
      <c r="N211">
        <v>13</v>
      </c>
      <c r="O211" t="s">
        <v>31</v>
      </c>
      <c r="P211">
        <v>67656</v>
      </c>
      <c r="Q211">
        <v>81.709999999999994</v>
      </c>
      <c r="R211">
        <v>49.35</v>
      </c>
      <c r="S211">
        <v>0.28387641265126801</v>
      </c>
      <c r="T211">
        <v>0.1222997465009268</v>
      </c>
      <c r="U211">
        <v>0.1184379369987737</v>
      </c>
      <c r="V211">
        <v>3.8524051995959228E-3</v>
      </c>
      <c r="W211">
        <v>0.1145855317991777</v>
      </c>
      <c r="X211" s="19">
        <f t="shared" si="9"/>
        <v>46113</v>
      </c>
      <c r="Y211" s="19">
        <f t="shared" si="10"/>
        <v>46113</v>
      </c>
      <c r="Z211">
        <f t="array" ref="Z211">_xlfn.XLOOKUP(INT(X211),INT($AE$2:$AE$1000),$AG$2:$AG$1000,"")</f>
        <v>24.54</v>
      </c>
      <c r="AE211" s="19">
        <f t="shared" si="11"/>
        <v>46168</v>
      </c>
      <c r="AF211" t="s">
        <v>192</v>
      </c>
      <c r="AG211">
        <v>17.010000000000002</v>
      </c>
    </row>
    <row r="212" spans="1:33" x14ac:dyDescent="0.3">
      <c r="A212">
        <v>11</v>
      </c>
      <c r="B212" t="s">
        <v>33</v>
      </c>
      <c r="C212" t="s">
        <v>35</v>
      </c>
      <c r="D212">
        <v>67964</v>
      </c>
      <c r="E212">
        <v>53.42</v>
      </c>
      <c r="F212">
        <v>49.725000000000001</v>
      </c>
      <c r="G212">
        <v>53.414658000000003</v>
      </c>
      <c r="H212">
        <v>49.729972500000002</v>
      </c>
      <c r="I212">
        <v>3.845932989828742</v>
      </c>
      <c r="J212">
        <v>0.75103909875948072</v>
      </c>
      <c r="K212">
        <v>-0.18719580681392739</v>
      </c>
      <c r="L212">
        <v>0.15103853167611481</v>
      </c>
      <c r="M212" t="s">
        <v>30</v>
      </c>
      <c r="N212">
        <v>6</v>
      </c>
      <c r="O212" t="s">
        <v>31</v>
      </c>
      <c r="P212">
        <v>67970</v>
      </c>
      <c r="Q212">
        <v>53.3</v>
      </c>
      <c r="R212">
        <v>49.664999999999999</v>
      </c>
      <c r="S212">
        <v>-0.4427725974125945</v>
      </c>
      <c r="T212">
        <v>1.3401184917104901E-2</v>
      </c>
      <c r="U212">
        <v>9.9022593004574246E-3</v>
      </c>
      <c r="V212">
        <v>3.5020284053387139E-3</v>
      </c>
      <c r="W212">
        <v>6.4002308951187107E-3</v>
      </c>
      <c r="X212" s="19">
        <f t="shared" si="9"/>
        <v>46114</v>
      </c>
      <c r="Y212" s="19">
        <f t="shared" si="10"/>
        <v>46114</v>
      </c>
      <c r="Z212">
        <f t="array" ref="Z212">_xlfn.XLOOKUP(INT(X212),INT($AE$2:$AE$1000),$AG$2:$AG$1000,"")</f>
        <v>23.87</v>
      </c>
      <c r="AE212" s="19">
        <f t="shared" si="11"/>
        <v>46169</v>
      </c>
      <c r="AF212" t="s">
        <v>193</v>
      </c>
      <c r="AG212">
        <v>16.29</v>
      </c>
    </row>
    <row r="213" spans="1:33" x14ac:dyDescent="0.3">
      <c r="A213">
        <v>11</v>
      </c>
      <c r="B213" t="s">
        <v>36</v>
      </c>
      <c r="C213" t="s">
        <v>37</v>
      </c>
      <c r="D213">
        <v>67988</v>
      </c>
      <c r="E213">
        <v>56.38</v>
      </c>
      <c r="F213">
        <v>224.095</v>
      </c>
      <c r="G213">
        <v>56.385638</v>
      </c>
      <c r="H213">
        <v>224.07259049999999</v>
      </c>
      <c r="I213">
        <v>-4.8642061366331379</v>
      </c>
      <c r="J213">
        <v>0.93445707488887586</v>
      </c>
      <c r="K213">
        <v>0.17736786094359699</v>
      </c>
      <c r="L213">
        <v>-4.1699148793541828E-2</v>
      </c>
      <c r="M213" t="s">
        <v>32</v>
      </c>
      <c r="N213">
        <v>33</v>
      </c>
      <c r="O213" t="s">
        <v>31</v>
      </c>
      <c r="P213">
        <v>68021</v>
      </c>
      <c r="Q213">
        <v>55.935000000000002</v>
      </c>
      <c r="R213">
        <v>219.91</v>
      </c>
      <c r="S213">
        <v>0.49306683379546712</v>
      </c>
      <c r="T213">
        <v>9.5582239581071954E-2</v>
      </c>
      <c r="U213">
        <v>9.1738669394877584E-2</v>
      </c>
      <c r="V213">
        <v>3.8689272583627742E-3</v>
      </c>
      <c r="W213">
        <v>8.7869742136514814E-2</v>
      </c>
      <c r="X213" s="19">
        <f t="shared" si="9"/>
        <v>46114</v>
      </c>
      <c r="Y213" s="19">
        <f t="shared" si="10"/>
        <v>46114</v>
      </c>
      <c r="Z213">
        <f t="array" ref="Z213">_xlfn.XLOOKUP(INT(X213),INT($AE$2:$AE$1000),$AG$2:$AG$1000,"")</f>
        <v>23.87</v>
      </c>
      <c r="AE213" s="19">
        <f t="shared" si="11"/>
        <v>46170</v>
      </c>
      <c r="AF213" t="s">
        <v>194</v>
      </c>
      <c r="AG213">
        <v>15.74</v>
      </c>
    </row>
    <row r="214" spans="1:33" x14ac:dyDescent="0.3">
      <c r="A214">
        <v>11</v>
      </c>
      <c r="B214" t="s">
        <v>33</v>
      </c>
      <c r="C214" t="s">
        <v>35</v>
      </c>
      <c r="D214">
        <v>68291</v>
      </c>
      <c r="E214">
        <v>54.414999999999999</v>
      </c>
      <c r="F214">
        <v>49.795000000000002</v>
      </c>
      <c r="G214">
        <v>54.420441500000003</v>
      </c>
      <c r="H214">
        <v>49.790020499999997</v>
      </c>
      <c r="I214">
        <v>-3.5057471960265141</v>
      </c>
      <c r="J214">
        <v>0.75103909875948072</v>
      </c>
      <c r="K214">
        <v>0.18377285674905819</v>
      </c>
      <c r="L214">
        <v>-0.15082620720142201</v>
      </c>
      <c r="M214" t="s">
        <v>32</v>
      </c>
      <c r="N214">
        <v>22</v>
      </c>
      <c r="O214" t="s">
        <v>31</v>
      </c>
      <c r="P214">
        <v>68313</v>
      </c>
      <c r="Q214">
        <v>54.395000000000003</v>
      </c>
      <c r="R214">
        <v>49.914999999999999</v>
      </c>
      <c r="S214">
        <v>-0.40822373963592451</v>
      </c>
      <c r="T214">
        <v>-2.177460199915068E-2</v>
      </c>
      <c r="U214">
        <v>-2.5278122565442169E-2</v>
      </c>
      <c r="V214">
        <v>3.5021279896992091E-3</v>
      </c>
      <c r="W214">
        <v>-2.8780250555141371E-2</v>
      </c>
      <c r="X214" s="19">
        <f t="shared" si="9"/>
        <v>46115</v>
      </c>
      <c r="Y214" s="19">
        <f t="shared" si="10"/>
        <v>46115</v>
      </c>
      <c r="Z214" t="str">
        <f t="array" ref="Z214">_xlfn.XLOOKUP(INT(X214),INT($AE$2:$AE$1000),$AG$2:$AG$1000,"")</f>
        <v/>
      </c>
      <c r="AE214" s="19">
        <f t="shared" si="11"/>
        <v>46171</v>
      </c>
      <c r="AF214" t="s">
        <v>195</v>
      </c>
      <c r="AG214">
        <v>15.32</v>
      </c>
    </row>
    <row r="215" spans="1:33" x14ac:dyDescent="0.3">
      <c r="A215">
        <v>11</v>
      </c>
      <c r="B215" t="s">
        <v>28</v>
      </c>
      <c r="C215" t="s">
        <v>33</v>
      </c>
      <c r="D215">
        <v>68380</v>
      </c>
      <c r="E215">
        <v>306.36</v>
      </c>
      <c r="F215">
        <v>54.26</v>
      </c>
      <c r="G215">
        <v>306.329364</v>
      </c>
      <c r="H215">
        <v>54.265425999999998</v>
      </c>
      <c r="I215">
        <v>3.554507543251284</v>
      </c>
      <c r="J215">
        <v>0.64828847730887773</v>
      </c>
      <c r="K215">
        <v>-3.2641336989163078E-2</v>
      </c>
      <c r="L215">
        <v>0.1194781565257792</v>
      </c>
      <c r="M215" t="s">
        <v>30</v>
      </c>
      <c r="N215">
        <v>25</v>
      </c>
      <c r="O215" t="s">
        <v>31</v>
      </c>
      <c r="P215">
        <v>68405</v>
      </c>
      <c r="Q215">
        <v>307.89999999999998</v>
      </c>
      <c r="R215">
        <v>54.09</v>
      </c>
      <c r="S215">
        <v>0.42565420034511331</v>
      </c>
      <c r="T215">
        <v>-7.0578945572691759E-2</v>
      </c>
      <c r="U215">
        <v>-7.3878518164546242E-2</v>
      </c>
      <c r="V215">
        <v>3.2965066123132182E-3</v>
      </c>
      <c r="W215">
        <v>-7.717502477685946E-2</v>
      </c>
      <c r="X215" s="19">
        <f t="shared" si="9"/>
        <v>46115</v>
      </c>
      <c r="Y215" s="19">
        <f t="shared" si="10"/>
        <v>46115</v>
      </c>
      <c r="Z215" t="str">
        <f t="array" ref="Z215">_xlfn.XLOOKUP(INT(X215),INT($AE$2:$AE$1000),$AG$2:$AG$1000,"")</f>
        <v/>
      </c>
      <c r="AE215" s="19">
        <f t="shared" si="11"/>
        <v>46174</v>
      </c>
      <c r="AF215" s="19">
        <v>46028</v>
      </c>
      <c r="AG215">
        <v>16.05</v>
      </c>
    </row>
    <row r="216" spans="1:33" x14ac:dyDescent="0.3">
      <c r="A216">
        <v>11</v>
      </c>
      <c r="B216" t="s">
        <v>33</v>
      </c>
      <c r="C216" t="s">
        <v>35</v>
      </c>
      <c r="D216">
        <v>68544</v>
      </c>
      <c r="E216">
        <v>53.85</v>
      </c>
      <c r="F216">
        <v>49.414999999999999</v>
      </c>
      <c r="G216">
        <v>53.855384999999998</v>
      </c>
      <c r="H216">
        <v>49.410058499999998</v>
      </c>
      <c r="I216">
        <v>-3.6354295787321891</v>
      </c>
      <c r="J216">
        <v>0.75103909875948072</v>
      </c>
      <c r="K216">
        <v>0.18570102135561739</v>
      </c>
      <c r="L216">
        <v>-0.15198605661428319</v>
      </c>
      <c r="M216" t="s">
        <v>32</v>
      </c>
      <c r="N216">
        <v>24</v>
      </c>
      <c r="O216" t="s">
        <v>31</v>
      </c>
      <c r="P216">
        <v>68568</v>
      </c>
      <c r="Q216">
        <v>53.795000000000002</v>
      </c>
      <c r="R216">
        <v>49.384999999999998</v>
      </c>
      <c r="S216">
        <v>-0.30687790273302218</v>
      </c>
      <c r="T216">
        <v>-5.6539744761302359E-3</v>
      </c>
      <c r="U216">
        <v>-9.1545753598610627E-3</v>
      </c>
      <c r="V216">
        <v>3.5021279896992091E-3</v>
      </c>
      <c r="W216">
        <v>-1.265670334956027E-2</v>
      </c>
      <c r="X216" s="19">
        <f t="shared" si="9"/>
        <v>46115</v>
      </c>
      <c r="Y216" s="19">
        <f t="shared" si="10"/>
        <v>46115</v>
      </c>
      <c r="Z216" t="str">
        <f t="array" ref="Z216">_xlfn.XLOOKUP(INT(X216),INT($AE$2:$AE$1000),$AG$2:$AG$1000,"")</f>
        <v/>
      </c>
      <c r="AE216" s="19">
        <f t="shared" si="11"/>
        <v>46175</v>
      </c>
      <c r="AF216" s="19">
        <v>46059</v>
      </c>
      <c r="AG216">
        <v>15.77</v>
      </c>
    </row>
    <row r="217" spans="1:33" x14ac:dyDescent="0.3">
      <c r="A217">
        <v>11</v>
      </c>
      <c r="B217" t="s">
        <v>28</v>
      </c>
      <c r="C217" t="s">
        <v>33</v>
      </c>
      <c r="D217">
        <v>68621</v>
      </c>
      <c r="E217">
        <v>307.88499999999999</v>
      </c>
      <c r="F217">
        <v>53.545000000000002</v>
      </c>
      <c r="G217">
        <v>307.85421150000002</v>
      </c>
      <c r="H217">
        <v>53.550354499999997</v>
      </c>
      <c r="I217">
        <v>3.690883013955744</v>
      </c>
      <c r="J217">
        <v>0.64828847730887773</v>
      </c>
      <c r="K217">
        <v>-3.2479659613167247E-2</v>
      </c>
      <c r="L217">
        <v>0.1210735787298306</v>
      </c>
      <c r="M217" t="s">
        <v>30</v>
      </c>
      <c r="N217">
        <v>14</v>
      </c>
      <c r="O217" t="s">
        <v>31</v>
      </c>
      <c r="P217">
        <v>68635</v>
      </c>
      <c r="Q217">
        <v>308.27999999999997</v>
      </c>
      <c r="R217">
        <v>53.71</v>
      </c>
      <c r="S217">
        <v>0.23919492376003151</v>
      </c>
      <c r="T217">
        <v>7.1476749432214659E-3</v>
      </c>
      <c r="U217">
        <v>3.8478173280014089E-3</v>
      </c>
      <c r="V217">
        <v>3.2965066123132182E-3</v>
      </c>
      <c r="W217">
        <v>5.5131071568819117E-4</v>
      </c>
      <c r="X217" s="19">
        <f t="shared" si="9"/>
        <v>46115</v>
      </c>
      <c r="Y217" s="19">
        <f t="shared" si="10"/>
        <v>46115</v>
      </c>
      <c r="Z217" t="str">
        <f t="array" ref="Z217">_xlfn.XLOOKUP(INT(X217),INT($AE$2:$AE$1000),$AG$2:$AG$1000,"")</f>
        <v/>
      </c>
      <c r="AE217" s="19">
        <f t="shared" si="11"/>
        <v>46176</v>
      </c>
      <c r="AF217" s="19">
        <v>46087</v>
      </c>
      <c r="AG217">
        <v>16.059999999999999</v>
      </c>
    </row>
    <row r="218" spans="1:33" x14ac:dyDescent="0.3">
      <c r="A218">
        <v>11</v>
      </c>
      <c r="B218" t="s">
        <v>33</v>
      </c>
      <c r="C218" t="s">
        <v>35</v>
      </c>
      <c r="D218">
        <v>68714</v>
      </c>
      <c r="E218">
        <v>53.655000000000001</v>
      </c>
      <c r="F218">
        <v>49.494999999999997</v>
      </c>
      <c r="G218">
        <v>53.660365499999997</v>
      </c>
      <c r="H218">
        <v>49.490050500000002</v>
      </c>
      <c r="I218">
        <v>-4.0174955619929742</v>
      </c>
      <c r="J218">
        <v>0.75103909875948072</v>
      </c>
      <c r="K218">
        <v>0.18637592023110611</v>
      </c>
      <c r="L218">
        <v>-0.15174039776936679</v>
      </c>
      <c r="M218" t="s">
        <v>32</v>
      </c>
      <c r="N218">
        <v>16</v>
      </c>
      <c r="O218" t="s">
        <v>31</v>
      </c>
      <c r="P218">
        <v>68730</v>
      </c>
      <c r="Q218">
        <v>53.695</v>
      </c>
      <c r="R218">
        <v>49.48</v>
      </c>
      <c r="S218">
        <v>-0.24992467381225661</v>
      </c>
      <c r="T218">
        <v>9.7311427757846743E-3</v>
      </c>
      <c r="U218">
        <v>6.2285466851818806E-3</v>
      </c>
      <c r="V218">
        <v>3.50212798969921E-3</v>
      </c>
      <c r="W218">
        <v>2.726418695482671E-3</v>
      </c>
      <c r="X218" s="19">
        <f t="shared" si="9"/>
        <v>46118</v>
      </c>
      <c r="Y218" s="19">
        <f t="shared" si="10"/>
        <v>46118</v>
      </c>
      <c r="Z218">
        <f t="array" ref="Z218">_xlfn.XLOOKUP(INT(X218),INT($AE$2:$AE$1000),$AG$2:$AG$1000,"")</f>
        <v>24.17</v>
      </c>
      <c r="AE218" s="19">
        <f t="shared" si="11"/>
        <v>46177</v>
      </c>
      <c r="AF218" s="19">
        <v>46118</v>
      </c>
      <c r="AG218">
        <v>15.4</v>
      </c>
    </row>
    <row r="219" spans="1:33" x14ac:dyDescent="0.3">
      <c r="A219">
        <v>11</v>
      </c>
      <c r="B219" t="s">
        <v>28</v>
      </c>
      <c r="C219" t="s">
        <v>36</v>
      </c>
      <c r="D219">
        <v>68740</v>
      </c>
      <c r="E219">
        <v>308.75</v>
      </c>
      <c r="F219">
        <v>55.664999999999999</v>
      </c>
      <c r="G219">
        <v>308.71912500000002</v>
      </c>
      <c r="H219">
        <v>55.6705665</v>
      </c>
      <c r="I219">
        <v>3.8799748390619002</v>
      </c>
      <c r="J219">
        <v>0.58657099777875932</v>
      </c>
      <c r="K219">
        <v>-3.2388663967611343E-2</v>
      </c>
      <c r="L219">
        <v>0.105375190474941</v>
      </c>
      <c r="M219" t="s">
        <v>30</v>
      </c>
      <c r="N219">
        <v>20</v>
      </c>
      <c r="O219" t="s">
        <v>31</v>
      </c>
      <c r="P219">
        <v>68760</v>
      </c>
      <c r="Q219">
        <v>309.17</v>
      </c>
      <c r="R219">
        <v>55.57</v>
      </c>
      <c r="S219">
        <v>0.31029731677746097</v>
      </c>
      <c r="T219">
        <v>-2.3613881961516561E-2</v>
      </c>
      <c r="U219">
        <v>-2.6787383216649811E-2</v>
      </c>
      <c r="V219">
        <v>3.1730593097570748E-3</v>
      </c>
      <c r="W219">
        <v>-2.9960442526406891E-2</v>
      </c>
      <c r="X219" s="19">
        <f t="shared" si="9"/>
        <v>46118</v>
      </c>
      <c r="Y219" s="19">
        <f t="shared" si="10"/>
        <v>46118</v>
      </c>
      <c r="Z219">
        <f t="array" ref="Z219">_xlfn.XLOOKUP(INT(X219),INT($AE$2:$AE$1000),$AG$2:$AG$1000,"")</f>
        <v>24.17</v>
      </c>
      <c r="AE219" s="19">
        <f t="shared" si="11"/>
        <v>46178</v>
      </c>
      <c r="AF219" s="19">
        <v>46148</v>
      </c>
      <c r="AG219">
        <v>21.51</v>
      </c>
    </row>
    <row r="220" spans="1:33" x14ac:dyDescent="0.3">
      <c r="A220">
        <v>11</v>
      </c>
      <c r="B220" t="s">
        <v>28</v>
      </c>
      <c r="C220" t="s">
        <v>33</v>
      </c>
      <c r="D220">
        <v>68770</v>
      </c>
      <c r="E220">
        <v>312.74</v>
      </c>
      <c r="F220">
        <v>53.78</v>
      </c>
      <c r="G220">
        <v>312.70872600000001</v>
      </c>
      <c r="H220">
        <v>53.785378000000001</v>
      </c>
      <c r="I220">
        <v>3.8458421425257092</v>
      </c>
      <c r="J220">
        <v>0.64828847730887773</v>
      </c>
      <c r="K220">
        <v>-3.1975442859883609E-2</v>
      </c>
      <c r="L220">
        <v>0.1205445290644994</v>
      </c>
      <c r="M220" t="s">
        <v>30</v>
      </c>
      <c r="N220">
        <v>9</v>
      </c>
      <c r="O220" t="s">
        <v>31</v>
      </c>
      <c r="P220">
        <v>68779</v>
      </c>
      <c r="Q220">
        <v>312.25</v>
      </c>
      <c r="R220">
        <v>53.97</v>
      </c>
      <c r="S220">
        <v>0.48636369279591668</v>
      </c>
      <c r="T220">
        <v>3.8571427523597872E-2</v>
      </c>
      <c r="U220">
        <v>3.5274127019627649E-2</v>
      </c>
      <c r="V220">
        <v>3.2965066123132182E-3</v>
      </c>
      <c r="W220">
        <v>3.197762040731443E-2</v>
      </c>
      <c r="X220" s="19">
        <f t="shared" si="9"/>
        <v>46118</v>
      </c>
      <c r="Y220" s="19">
        <f t="shared" si="10"/>
        <v>46118</v>
      </c>
      <c r="Z220">
        <f t="array" ref="Z220">_xlfn.XLOOKUP(INT(X220),INT($AE$2:$AE$1000),$AG$2:$AG$1000,"")</f>
        <v>24.17</v>
      </c>
      <c r="AE220" s="19">
        <f t="shared" si="11"/>
        <v>46181</v>
      </c>
      <c r="AF220" s="19">
        <v>46240</v>
      </c>
      <c r="AG220">
        <v>18.920000000000002</v>
      </c>
    </row>
    <row r="221" spans="1:33" x14ac:dyDescent="0.3">
      <c r="A221">
        <v>11</v>
      </c>
      <c r="B221" t="s">
        <v>34</v>
      </c>
      <c r="C221" t="s">
        <v>37</v>
      </c>
      <c r="D221">
        <v>68862</v>
      </c>
      <c r="E221">
        <v>81.489999999999995</v>
      </c>
      <c r="F221">
        <v>223.86</v>
      </c>
      <c r="G221">
        <v>81.498148999999998</v>
      </c>
      <c r="H221">
        <v>223.837614</v>
      </c>
      <c r="I221">
        <v>-3.8754861293067839</v>
      </c>
      <c r="J221">
        <v>1.094621650123591</v>
      </c>
      <c r="K221">
        <v>0.1227144434899988</v>
      </c>
      <c r="L221">
        <v>-4.8897598951290602E-2</v>
      </c>
      <c r="M221" t="s">
        <v>32</v>
      </c>
      <c r="N221">
        <v>13</v>
      </c>
      <c r="O221" t="s">
        <v>31</v>
      </c>
      <c r="P221">
        <v>68875</v>
      </c>
      <c r="Q221">
        <v>81.510000000000005</v>
      </c>
      <c r="R221">
        <v>223.37</v>
      </c>
      <c r="S221">
        <v>-0.34390414114359669</v>
      </c>
      <c r="T221">
        <v>2.641411235593407E-2</v>
      </c>
      <c r="U221">
        <v>2.222701960914816E-2</v>
      </c>
      <c r="V221">
        <v>4.1892243759171586E-3</v>
      </c>
      <c r="W221">
        <v>1.8037795233230999E-2</v>
      </c>
      <c r="X221" s="19">
        <f t="shared" si="9"/>
        <v>46118</v>
      </c>
      <c r="Y221" s="19">
        <f t="shared" si="10"/>
        <v>46118</v>
      </c>
      <c r="Z221">
        <f t="array" ref="Z221">_xlfn.XLOOKUP(INT(X221),INT($AE$2:$AE$1000),$AG$2:$AG$1000,"")</f>
        <v>24.17</v>
      </c>
      <c r="AE221" s="19">
        <f t="shared" si="11"/>
        <v>46182</v>
      </c>
      <c r="AF221" s="19">
        <v>46271</v>
      </c>
      <c r="AG221">
        <v>19.87</v>
      </c>
    </row>
    <row r="222" spans="1:33" x14ac:dyDescent="0.3">
      <c r="A222">
        <v>11</v>
      </c>
      <c r="B222" t="s">
        <v>28</v>
      </c>
      <c r="C222" t="s">
        <v>36</v>
      </c>
      <c r="D222">
        <v>68895</v>
      </c>
      <c r="E222">
        <v>312.42</v>
      </c>
      <c r="F222">
        <v>56.92</v>
      </c>
      <c r="G222">
        <v>312.45124199999998</v>
      </c>
      <c r="H222">
        <v>56.914308000000013</v>
      </c>
      <c r="I222">
        <v>-3.588175773108742</v>
      </c>
      <c r="J222">
        <v>0.58657099777875932</v>
      </c>
      <c r="K222">
        <v>3.2008194097689013E-2</v>
      </c>
      <c r="L222">
        <v>-0.10305182673555149</v>
      </c>
      <c r="M222" t="s">
        <v>32</v>
      </c>
      <c r="N222">
        <v>11</v>
      </c>
      <c r="O222" t="s">
        <v>31</v>
      </c>
      <c r="P222">
        <v>68906</v>
      </c>
      <c r="Q222">
        <v>313.14499999999998</v>
      </c>
      <c r="R222">
        <v>56.96</v>
      </c>
      <c r="S222">
        <v>6.525987459048592E-2</v>
      </c>
      <c r="T222">
        <v>1.9083867651401461E-2</v>
      </c>
      <c r="U222">
        <v>1.590799285446438E-2</v>
      </c>
      <c r="V222">
        <v>3.1732246813579632E-3</v>
      </c>
      <c r="W222">
        <v>1.273476817310641E-2</v>
      </c>
      <c r="X222" s="19">
        <f t="shared" si="9"/>
        <v>46118</v>
      </c>
      <c r="Y222" s="19">
        <f t="shared" si="10"/>
        <v>46118</v>
      </c>
      <c r="Z222">
        <f t="array" ref="Z222">_xlfn.XLOOKUP(INT(X222),INT($AE$2:$AE$1000),$AG$2:$AG$1000,"")</f>
        <v>24.17</v>
      </c>
      <c r="AE222" s="19">
        <f t="shared" si="11"/>
        <v>46183</v>
      </c>
      <c r="AF222" s="19">
        <v>46301</v>
      </c>
      <c r="AG222">
        <v>22.22</v>
      </c>
    </row>
    <row r="223" spans="1:33" x14ac:dyDescent="0.3">
      <c r="A223">
        <v>11</v>
      </c>
      <c r="B223" t="s">
        <v>34</v>
      </c>
      <c r="C223" t="s">
        <v>35</v>
      </c>
      <c r="D223">
        <v>68910</v>
      </c>
      <c r="E223">
        <v>81.875</v>
      </c>
      <c r="F223">
        <v>50.78</v>
      </c>
      <c r="G223">
        <v>81.883187500000005</v>
      </c>
      <c r="H223">
        <v>50.774921999999997</v>
      </c>
      <c r="I223">
        <v>-3.5616991078417581</v>
      </c>
      <c r="J223">
        <v>0.92619521931989357</v>
      </c>
      <c r="K223">
        <v>0.12213740458015269</v>
      </c>
      <c r="L223">
        <v>-0.18239370211104641</v>
      </c>
      <c r="M223" t="s">
        <v>32</v>
      </c>
      <c r="N223">
        <v>29</v>
      </c>
      <c r="O223" t="s">
        <v>31</v>
      </c>
      <c r="P223">
        <v>68939</v>
      </c>
      <c r="Q223">
        <v>81.745000000000005</v>
      </c>
      <c r="R223">
        <v>50.784999999999997</v>
      </c>
      <c r="S223">
        <v>-0.27574915714477932</v>
      </c>
      <c r="T223">
        <v>-1.678983110597369E-2</v>
      </c>
      <c r="U223">
        <v>-2.064072495520395E-2</v>
      </c>
      <c r="V223">
        <v>3.8524051995959228E-3</v>
      </c>
      <c r="W223">
        <v>-2.4493130154799869E-2</v>
      </c>
      <c r="X223" s="19">
        <f t="shared" si="9"/>
        <v>46118</v>
      </c>
      <c r="Y223" s="19">
        <f t="shared" si="10"/>
        <v>46118</v>
      </c>
      <c r="Z223">
        <f t="array" ref="Z223">_xlfn.XLOOKUP(INT(X223),INT($AE$2:$AE$1000),$AG$2:$AG$1000,"")</f>
        <v>24.17</v>
      </c>
      <c r="AE223" s="19">
        <f t="shared" si="11"/>
        <v>46184</v>
      </c>
      <c r="AF223" s="19">
        <v>46332</v>
      </c>
      <c r="AG223">
        <v>19.440000000000001</v>
      </c>
    </row>
    <row r="224" spans="1:33" x14ac:dyDescent="0.3">
      <c r="A224">
        <v>11</v>
      </c>
      <c r="B224" t="s">
        <v>33</v>
      </c>
      <c r="C224" t="s">
        <v>35</v>
      </c>
      <c r="D224">
        <v>69116</v>
      </c>
      <c r="E224">
        <v>53.965000000000003</v>
      </c>
      <c r="F224">
        <v>50.625</v>
      </c>
      <c r="G224">
        <v>53.9703965</v>
      </c>
      <c r="H224">
        <v>50.619937499999999</v>
      </c>
      <c r="I224">
        <v>-3.5144587079333012</v>
      </c>
      <c r="J224">
        <v>0.75103909875948072</v>
      </c>
      <c r="K224">
        <v>0.1853052904660428</v>
      </c>
      <c r="L224">
        <v>-0.14835340222409499</v>
      </c>
      <c r="M224" t="s">
        <v>32</v>
      </c>
      <c r="N224">
        <v>15</v>
      </c>
      <c r="O224" t="s">
        <v>31</v>
      </c>
      <c r="P224">
        <v>69131</v>
      </c>
      <c r="Q224">
        <v>53.92</v>
      </c>
      <c r="R224">
        <v>50.505000000000003</v>
      </c>
      <c r="S224">
        <v>0.1212136935193409</v>
      </c>
      <c r="T224">
        <v>9.4636701959187729E-3</v>
      </c>
      <c r="U224">
        <v>5.9642061130336004E-3</v>
      </c>
      <c r="V224">
        <v>3.50212798969921E-3</v>
      </c>
      <c r="W224">
        <v>2.4620781233343891E-3</v>
      </c>
      <c r="X224" s="19">
        <f t="shared" si="9"/>
        <v>46119</v>
      </c>
      <c r="Y224" s="19">
        <f t="shared" si="10"/>
        <v>46119</v>
      </c>
      <c r="Z224">
        <f t="array" ref="Z224">_xlfn.XLOOKUP(INT(X224),INT($AE$2:$AE$1000),$AG$2:$AG$1000,"")</f>
        <v>25.78</v>
      </c>
      <c r="AE224" s="19">
        <f t="shared" si="11"/>
        <v>46185</v>
      </c>
      <c r="AF224" s="19">
        <v>46362</v>
      </c>
      <c r="AG224">
        <v>17.68</v>
      </c>
    </row>
    <row r="225" spans="1:33" x14ac:dyDescent="0.3">
      <c r="A225">
        <v>11</v>
      </c>
      <c r="B225" t="s">
        <v>28</v>
      </c>
      <c r="C225" t="s">
        <v>37</v>
      </c>
      <c r="D225">
        <v>69155</v>
      </c>
      <c r="E225">
        <v>310.47000000000003</v>
      </c>
      <c r="F225">
        <v>224.52</v>
      </c>
      <c r="G225">
        <v>310.50104700000003</v>
      </c>
      <c r="H225">
        <v>224.49754799999999</v>
      </c>
      <c r="I225">
        <v>-4.2902584377957682</v>
      </c>
      <c r="J225">
        <v>0.57059684405718136</v>
      </c>
      <c r="K225">
        <v>3.2209231165652073E-2</v>
      </c>
      <c r="L225">
        <v>-2.5414076432263559E-2</v>
      </c>
      <c r="M225" t="s">
        <v>32</v>
      </c>
      <c r="N225">
        <v>27</v>
      </c>
      <c r="O225" t="s">
        <v>31</v>
      </c>
      <c r="P225">
        <v>69182</v>
      </c>
      <c r="Q225">
        <v>313.74</v>
      </c>
      <c r="R225">
        <v>225.49</v>
      </c>
      <c r="S225">
        <v>0.47212188172419078</v>
      </c>
      <c r="T225">
        <v>8.0672531772386064E-2</v>
      </c>
      <c r="U225">
        <v>7.7518340500267888E-2</v>
      </c>
      <c r="V225">
        <v>3.1412795687455509E-3</v>
      </c>
      <c r="W225">
        <v>7.437706093152234E-2</v>
      </c>
      <c r="X225" s="19">
        <f t="shared" si="9"/>
        <v>46119</v>
      </c>
      <c r="Y225" s="19">
        <f t="shared" si="10"/>
        <v>46119</v>
      </c>
      <c r="Z225">
        <f t="array" ref="Z225">_xlfn.XLOOKUP(INT(X225),INT($AE$2:$AE$1000),$AG$2:$AG$1000,"")</f>
        <v>25.78</v>
      </c>
      <c r="AE225" s="19">
        <f t="shared" si="11"/>
        <v>46188</v>
      </c>
      <c r="AF225" t="s">
        <v>196</v>
      </c>
      <c r="AG225">
        <v>16.2</v>
      </c>
    </row>
    <row r="226" spans="1:33" x14ac:dyDescent="0.3">
      <c r="A226">
        <v>11</v>
      </c>
      <c r="B226" t="s">
        <v>36</v>
      </c>
      <c r="C226" t="s">
        <v>37</v>
      </c>
      <c r="D226">
        <v>69317</v>
      </c>
      <c r="E226">
        <v>57.375</v>
      </c>
      <c r="F226">
        <v>226.42</v>
      </c>
      <c r="G226">
        <v>57.369262499999998</v>
      </c>
      <c r="H226">
        <v>226.44264200000001</v>
      </c>
      <c r="I226">
        <v>3.6364574033479982</v>
      </c>
      <c r="J226">
        <v>0.93445707488887586</v>
      </c>
      <c r="K226">
        <v>-0.17429193899782139</v>
      </c>
      <c r="L226">
        <v>4.1270959936793389E-2</v>
      </c>
      <c r="M226" t="s">
        <v>30</v>
      </c>
      <c r="N226">
        <v>2</v>
      </c>
      <c r="O226" t="s">
        <v>31</v>
      </c>
      <c r="P226">
        <v>69319</v>
      </c>
      <c r="Q226">
        <v>57.25</v>
      </c>
      <c r="R226">
        <v>226.3</v>
      </c>
      <c r="S226">
        <v>0.2031159867385792</v>
      </c>
      <c r="T226">
        <v>1.6833977182313449E-2</v>
      </c>
      <c r="U226">
        <v>1.2967736933293049E-2</v>
      </c>
      <c r="V226">
        <v>3.8689010411927299E-3</v>
      </c>
      <c r="W226">
        <v>9.0988358921003203E-3</v>
      </c>
      <c r="X226" s="19">
        <f t="shared" si="9"/>
        <v>46119</v>
      </c>
      <c r="Y226" s="19">
        <f t="shared" si="10"/>
        <v>46119</v>
      </c>
      <c r="Z226">
        <f t="array" ref="Z226">_xlfn.XLOOKUP(INT(X226),INT($AE$2:$AE$1000),$AG$2:$AG$1000,"")</f>
        <v>25.78</v>
      </c>
      <c r="AE226" s="19">
        <f t="shared" si="11"/>
        <v>46189</v>
      </c>
      <c r="AF226" t="s">
        <v>197</v>
      </c>
      <c r="AG226">
        <v>16.41</v>
      </c>
    </row>
    <row r="227" spans="1:33" x14ac:dyDescent="0.3">
      <c r="A227">
        <v>11</v>
      </c>
      <c r="B227" t="s">
        <v>36</v>
      </c>
      <c r="C227" t="s">
        <v>37</v>
      </c>
      <c r="D227">
        <v>69392</v>
      </c>
      <c r="E227">
        <v>57.23</v>
      </c>
      <c r="F227">
        <v>227.22</v>
      </c>
      <c r="G227">
        <v>57.235722999999993</v>
      </c>
      <c r="H227">
        <v>227.19727800000001</v>
      </c>
      <c r="I227">
        <v>-3.6486710820134909</v>
      </c>
      <c r="J227">
        <v>0.93445707488887586</v>
      </c>
      <c r="K227">
        <v>0.1747335313646689</v>
      </c>
      <c r="L227">
        <v>-4.1125652446478117E-2</v>
      </c>
      <c r="M227" t="s">
        <v>32</v>
      </c>
      <c r="N227">
        <v>8</v>
      </c>
      <c r="O227" t="s">
        <v>31</v>
      </c>
      <c r="P227">
        <v>69400</v>
      </c>
      <c r="Q227">
        <v>57.215000000000003</v>
      </c>
      <c r="R227">
        <v>226.755</v>
      </c>
      <c r="S227">
        <v>0.35772578207039879</v>
      </c>
      <c r="T227">
        <v>1.6502425417143571E-2</v>
      </c>
      <c r="U227">
        <v>1.263568571050319E-2</v>
      </c>
      <c r="V227">
        <v>3.8689272583627742E-3</v>
      </c>
      <c r="W227">
        <v>8.7667584521404184E-3</v>
      </c>
      <c r="X227" s="19">
        <f t="shared" si="9"/>
        <v>46119</v>
      </c>
      <c r="Y227" s="19">
        <f t="shared" si="10"/>
        <v>46119</v>
      </c>
      <c r="Z227">
        <f t="array" ref="Z227">_xlfn.XLOOKUP(INT(X227),INT($AE$2:$AE$1000),$AG$2:$AG$1000,"")</f>
        <v>25.78</v>
      </c>
      <c r="AE227" s="19">
        <f t="shared" si="11"/>
        <v>46190</v>
      </c>
      <c r="AF227" t="s">
        <v>198</v>
      </c>
      <c r="AG227">
        <v>18.440000000000001</v>
      </c>
    </row>
    <row r="228" spans="1:33" x14ac:dyDescent="0.3">
      <c r="A228">
        <v>11</v>
      </c>
      <c r="B228" t="s">
        <v>34</v>
      </c>
      <c r="C228" t="s">
        <v>35</v>
      </c>
      <c r="D228">
        <v>69403</v>
      </c>
      <c r="E228">
        <v>81.87</v>
      </c>
      <c r="F228">
        <v>50.655000000000001</v>
      </c>
      <c r="G228">
        <v>81.861813000000012</v>
      </c>
      <c r="H228">
        <v>50.660065500000002</v>
      </c>
      <c r="I228">
        <v>3.8327705756599562</v>
      </c>
      <c r="J228">
        <v>0.92619521931989357</v>
      </c>
      <c r="K228">
        <v>-0.12214486380847681</v>
      </c>
      <c r="L228">
        <v>0.1828437902121989</v>
      </c>
      <c r="M228" t="s">
        <v>30</v>
      </c>
      <c r="N228">
        <v>24</v>
      </c>
      <c r="O228" t="s">
        <v>31</v>
      </c>
      <c r="P228">
        <v>69427</v>
      </c>
      <c r="Q228">
        <v>81.844999999999999</v>
      </c>
      <c r="R228">
        <v>50.634999999999998</v>
      </c>
      <c r="S228">
        <v>1.3603994950721921E-2</v>
      </c>
      <c r="T228">
        <v>-6.0325420903193424E-4</v>
      </c>
      <c r="U228">
        <v>-4.4549735979305368E-3</v>
      </c>
      <c r="V228">
        <v>3.8523756776836521E-3</v>
      </c>
      <c r="W228">
        <v>-8.3073492756141881E-3</v>
      </c>
      <c r="X228" s="19">
        <f t="shared" si="9"/>
        <v>46119</v>
      </c>
      <c r="Y228" s="19">
        <f t="shared" si="10"/>
        <v>46120</v>
      </c>
      <c r="Z228">
        <f t="array" ref="Z228">_xlfn.XLOOKUP(INT(X228),INT($AE$2:$AE$1000),$AG$2:$AG$1000,"")</f>
        <v>25.78</v>
      </c>
      <c r="AE228" s="19">
        <f t="shared" si="11"/>
        <v>46191</v>
      </c>
      <c r="AF228" t="s">
        <v>199</v>
      </c>
      <c r="AG228">
        <v>16.399999999999999</v>
      </c>
    </row>
    <row r="229" spans="1:33" x14ac:dyDescent="0.3">
      <c r="A229">
        <v>11</v>
      </c>
      <c r="B229" t="s">
        <v>36</v>
      </c>
      <c r="C229" t="s">
        <v>37</v>
      </c>
      <c r="D229">
        <v>69500</v>
      </c>
      <c r="E229">
        <v>57.234999999999999</v>
      </c>
      <c r="F229">
        <v>227.77</v>
      </c>
      <c r="G229">
        <v>57.240723500000001</v>
      </c>
      <c r="H229">
        <v>227.74722299999999</v>
      </c>
      <c r="I229">
        <v>-3.7803756811253311</v>
      </c>
      <c r="J229">
        <v>0.93445707488887586</v>
      </c>
      <c r="K229">
        <v>0.17471826679479341</v>
      </c>
      <c r="L229">
        <v>-4.1026345650826523E-2</v>
      </c>
      <c r="M229" t="s">
        <v>32</v>
      </c>
      <c r="N229">
        <v>18</v>
      </c>
      <c r="O229" t="s">
        <v>31</v>
      </c>
      <c r="P229">
        <v>69518</v>
      </c>
      <c r="Q229">
        <v>57.21</v>
      </c>
      <c r="R229">
        <v>227.52</v>
      </c>
      <c r="S229">
        <v>-0.31248890318602818</v>
      </c>
      <c r="T229">
        <v>5.8886297428370439E-3</v>
      </c>
      <c r="U229">
        <v>2.021178047367496E-3</v>
      </c>
      <c r="V229">
        <v>3.8689272583627742E-3</v>
      </c>
      <c r="W229">
        <v>-1.847749210995278E-3</v>
      </c>
      <c r="X229" s="19">
        <f t="shared" si="9"/>
        <v>46120</v>
      </c>
      <c r="Y229" s="19">
        <f t="shared" si="10"/>
        <v>46120</v>
      </c>
      <c r="Z229">
        <f t="array" ref="Z229">_xlfn.XLOOKUP(INT(X229),INT($AE$2:$AE$1000),$AG$2:$AG$1000,"")</f>
        <v>21.04</v>
      </c>
      <c r="AE229" s="19">
        <f t="shared" si="11"/>
        <v>46192</v>
      </c>
      <c r="AF229" t="s">
        <v>200</v>
      </c>
      <c r="AG229">
        <v>16.78</v>
      </c>
    </row>
    <row r="230" spans="1:33" x14ac:dyDescent="0.3">
      <c r="A230">
        <v>11</v>
      </c>
      <c r="B230" t="s">
        <v>33</v>
      </c>
      <c r="C230" t="s">
        <v>36</v>
      </c>
      <c r="D230">
        <v>69550</v>
      </c>
      <c r="E230">
        <v>53.884999999999998</v>
      </c>
      <c r="F230">
        <v>57.03</v>
      </c>
      <c r="G230">
        <v>53.879611500000003</v>
      </c>
      <c r="H230">
        <v>57.035702999999998</v>
      </c>
      <c r="I230">
        <v>3.6416194759711411</v>
      </c>
      <c r="J230">
        <v>0.94349291816960135</v>
      </c>
      <c r="K230">
        <v>-0.1855804027094739</v>
      </c>
      <c r="L230">
        <v>0.16543800073112419</v>
      </c>
      <c r="M230" t="s">
        <v>30</v>
      </c>
      <c r="N230">
        <v>4</v>
      </c>
      <c r="O230" t="s">
        <v>31</v>
      </c>
      <c r="P230">
        <v>69554</v>
      </c>
      <c r="Q230">
        <v>54.27</v>
      </c>
      <c r="R230">
        <v>57.54</v>
      </c>
      <c r="S230">
        <v>0.4491740383801634</v>
      </c>
      <c r="T230">
        <v>1.2924925329724611E-2</v>
      </c>
      <c r="U230">
        <v>9.0223573098450471E-3</v>
      </c>
      <c r="V230">
        <v>3.8869745349228361E-3</v>
      </c>
      <c r="W230">
        <v>5.1353827749222106E-3</v>
      </c>
      <c r="X230" s="19">
        <f t="shared" si="9"/>
        <v>46120</v>
      </c>
      <c r="Y230" s="19">
        <f t="shared" si="10"/>
        <v>46120</v>
      </c>
      <c r="Z230">
        <f t="array" ref="Z230">_xlfn.XLOOKUP(INT(X230),INT($AE$2:$AE$1000),$AG$2:$AG$1000,"")</f>
        <v>21.04</v>
      </c>
      <c r="AE230" s="19">
        <f t="shared" si="11"/>
        <v>46195</v>
      </c>
      <c r="AF230" t="s">
        <v>201</v>
      </c>
      <c r="AG230">
        <v>17.28</v>
      </c>
    </row>
    <row r="231" spans="1:33" x14ac:dyDescent="0.3">
      <c r="A231">
        <v>11</v>
      </c>
      <c r="B231" t="s">
        <v>33</v>
      </c>
      <c r="C231" t="s">
        <v>37</v>
      </c>
      <c r="D231">
        <v>69621</v>
      </c>
      <c r="E231">
        <v>54.26</v>
      </c>
      <c r="F231">
        <v>229.4</v>
      </c>
      <c r="G231">
        <v>54.265425999999998</v>
      </c>
      <c r="H231">
        <v>229.37706</v>
      </c>
      <c r="I231">
        <v>-3.620923378753663</v>
      </c>
      <c r="J231">
        <v>0.91254513569873641</v>
      </c>
      <c r="K231">
        <v>0.1842978252856616</v>
      </c>
      <c r="L231">
        <v>-3.9779648461148058E-2</v>
      </c>
      <c r="M231" t="s">
        <v>32</v>
      </c>
      <c r="N231">
        <v>21</v>
      </c>
      <c r="O231" t="s">
        <v>31</v>
      </c>
      <c r="P231">
        <v>69642</v>
      </c>
      <c r="Q231">
        <v>54.03</v>
      </c>
      <c r="R231">
        <v>228.26</v>
      </c>
      <c r="S231">
        <v>-0.37650608205513669</v>
      </c>
      <c r="T231">
        <v>2.960299430007772E-3</v>
      </c>
      <c r="U231">
        <v>-8.5601711148433623E-4</v>
      </c>
      <c r="V231">
        <v>3.825107762370333E-3</v>
      </c>
      <c r="W231">
        <v>-4.6811248738546692E-3</v>
      </c>
      <c r="X231" s="19">
        <f t="shared" si="9"/>
        <v>46120</v>
      </c>
      <c r="Y231" s="19">
        <f t="shared" si="10"/>
        <v>46120</v>
      </c>
      <c r="Z231">
        <f t="array" ref="Z231">_xlfn.XLOOKUP(INT(X231),INT($AE$2:$AE$1000),$AG$2:$AG$1000,"")</f>
        <v>21.04</v>
      </c>
      <c r="AE231" s="19">
        <f t="shared" si="11"/>
        <v>46196</v>
      </c>
      <c r="AF231" t="s">
        <v>202</v>
      </c>
      <c r="AG231">
        <v>19.489999999999998</v>
      </c>
    </row>
    <row r="232" spans="1:33" x14ac:dyDescent="0.3">
      <c r="A232">
        <v>11</v>
      </c>
      <c r="B232" t="s">
        <v>28</v>
      </c>
      <c r="C232" t="s">
        <v>33</v>
      </c>
      <c r="D232">
        <v>69803</v>
      </c>
      <c r="E232">
        <v>314.75</v>
      </c>
      <c r="F232">
        <v>53.594999999999999</v>
      </c>
      <c r="G232">
        <v>314.718525</v>
      </c>
      <c r="H232">
        <v>53.600359500000003</v>
      </c>
      <c r="I232">
        <v>3.5511860403474258</v>
      </c>
      <c r="J232">
        <v>0.64828847730887773</v>
      </c>
      <c r="K232">
        <v>-3.1771247021445591E-2</v>
      </c>
      <c r="L232">
        <v>0.12096062642203149</v>
      </c>
      <c r="M232" t="s">
        <v>30</v>
      </c>
      <c r="N232">
        <v>14</v>
      </c>
      <c r="O232" t="s">
        <v>31</v>
      </c>
      <c r="P232">
        <v>69817</v>
      </c>
      <c r="Q232">
        <v>314.38499999999999</v>
      </c>
      <c r="R232">
        <v>53.564999999999998</v>
      </c>
      <c r="S232">
        <v>2.8574248615002119E-2</v>
      </c>
      <c r="T232">
        <v>7.9676863701668484E-3</v>
      </c>
      <c r="U232">
        <v>4.6726319479458989E-3</v>
      </c>
      <c r="V232">
        <v>3.2965066123132182E-3</v>
      </c>
      <c r="W232">
        <v>1.3761253356326809E-3</v>
      </c>
      <c r="X232" s="19">
        <f t="shared" si="9"/>
        <v>46120</v>
      </c>
      <c r="Y232" s="19">
        <f t="shared" si="10"/>
        <v>46121</v>
      </c>
      <c r="Z232">
        <f t="array" ref="Z232">_xlfn.XLOOKUP(INT(X232),INT($AE$2:$AE$1000),$AG$2:$AG$1000,"")</f>
        <v>21.04</v>
      </c>
      <c r="AE232" s="19">
        <f t="shared" si="11"/>
        <v>46197</v>
      </c>
      <c r="AF232" t="s">
        <v>203</v>
      </c>
      <c r="AG232">
        <v>18.63</v>
      </c>
    </row>
    <row r="233" spans="1:33" x14ac:dyDescent="0.3">
      <c r="A233">
        <v>11</v>
      </c>
      <c r="B233" t="s">
        <v>28</v>
      </c>
      <c r="C233" t="s">
        <v>37</v>
      </c>
      <c r="D233">
        <v>69877</v>
      </c>
      <c r="E233">
        <v>314.51</v>
      </c>
      <c r="F233">
        <v>228.08</v>
      </c>
      <c r="G233">
        <v>314.47854899999999</v>
      </c>
      <c r="H233">
        <v>228.10280800000001</v>
      </c>
      <c r="I233">
        <v>4.2703475984977501</v>
      </c>
      <c r="J233">
        <v>0.57059684405718136</v>
      </c>
      <c r="K233">
        <v>-3.179549139931958E-2</v>
      </c>
      <c r="L233">
        <v>2.5017399336074241E-2</v>
      </c>
      <c r="M233" t="s">
        <v>30</v>
      </c>
      <c r="N233">
        <v>9</v>
      </c>
      <c r="O233" t="s">
        <v>31</v>
      </c>
      <c r="P233">
        <v>69886</v>
      </c>
      <c r="Q233">
        <v>314.32</v>
      </c>
      <c r="R233">
        <v>228.58500000000001</v>
      </c>
      <c r="S233">
        <v>0.22938348531933539</v>
      </c>
      <c r="T233">
        <v>1.8674930030588031E-2</v>
      </c>
      <c r="U233">
        <v>1.5533077078144259E-2</v>
      </c>
      <c r="V233">
        <v>3.1411078074831738E-3</v>
      </c>
      <c r="W233">
        <v>1.239196927066109E-2</v>
      </c>
      <c r="X233" s="19">
        <f t="shared" si="9"/>
        <v>46121</v>
      </c>
      <c r="Y233" s="19">
        <f t="shared" si="10"/>
        <v>46121</v>
      </c>
      <c r="Z233">
        <f t="array" ref="Z233">_xlfn.XLOOKUP(INT(X233),INT($AE$2:$AE$1000),$AG$2:$AG$1000,"")</f>
        <v>19.489999999999998</v>
      </c>
      <c r="AE233" s="19">
        <f t="shared" si="11"/>
        <v>46198</v>
      </c>
      <c r="AF233" t="s">
        <v>204</v>
      </c>
      <c r="AG233">
        <v>18.89</v>
      </c>
    </row>
    <row r="234" spans="1:33" x14ac:dyDescent="0.3">
      <c r="A234">
        <v>11</v>
      </c>
      <c r="B234" t="s">
        <v>34</v>
      </c>
      <c r="C234" t="s">
        <v>35</v>
      </c>
      <c r="D234">
        <v>69944</v>
      </c>
      <c r="E234">
        <v>81.545000000000002</v>
      </c>
      <c r="F234">
        <v>51.36</v>
      </c>
      <c r="G234">
        <v>81.553154500000005</v>
      </c>
      <c r="H234">
        <v>51.354863999999999</v>
      </c>
      <c r="I234">
        <v>-4.3838643205070396</v>
      </c>
      <c r="J234">
        <v>0.92619521931989357</v>
      </c>
      <c r="K234">
        <v>0.1226316757618493</v>
      </c>
      <c r="L234">
        <v>-0.1803339601479543</v>
      </c>
      <c r="M234" t="s">
        <v>32</v>
      </c>
      <c r="N234">
        <v>10</v>
      </c>
      <c r="O234" t="s">
        <v>31</v>
      </c>
      <c r="P234">
        <v>69954</v>
      </c>
      <c r="Q234">
        <v>81.569999999999993</v>
      </c>
      <c r="R234">
        <v>51.27</v>
      </c>
      <c r="S234">
        <v>-0.36985886246546429</v>
      </c>
      <c r="T234">
        <v>1.9295848307360409E-2</v>
      </c>
      <c r="U234">
        <v>1.544477429517215E-2</v>
      </c>
      <c r="V234">
        <v>3.8524051995959228E-3</v>
      </c>
      <c r="W234">
        <v>1.159236909557622E-2</v>
      </c>
      <c r="X234" s="19">
        <f t="shared" si="9"/>
        <v>46121</v>
      </c>
      <c r="Y234" s="19">
        <f t="shared" si="10"/>
        <v>46121</v>
      </c>
      <c r="Z234">
        <f t="array" ref="Z234">_xlfn.XLOOKUP(INT(X234),INT($AE$2:$AE$1000),$AG$2:$AG$1000,"")</f>
        <v>19.489999999999998</v>
      </c>
      <c r="AE234" s="19">
        <f t="shared" si="11"/>
        <v>46199</v>
      </c>
      <c r="AF234" t="s">
        <v>205</v>
      </c>
      <c r="AG234">
        <v>18.41</v>
      </c>
    </row>
    <row r="235" spans="1:33" x14ac:dyDescent="0.3">
      <c r="A235">
        <v>11</v>
      </c>
      <c r="B235" t="s">
        <v>34</v>
      </c>
      <c r="C235" t="s">
        <v>35</v>
      </c>
      <c r="D235">
        <v>70038</v>
      </c>
      <c r="E235">
        <v>80.540000000000006</v>
      </c>
      <c r="F235">
        <v>51.155000000000001</v>
      </c>
      <c r="G235">
        <v>80.548054000000008</v>
      </c>
      <c r="H235">
        <v>51.149884499999999</v>
      </c>
      <c r="I235">
        <v>-4.1432420141297071</v>
      </c>
      <c r="J235">
        <v>0.92619521931989357</v>
      </c>
      <c r="K235">
        <v>0.1241619071268935</v>
      </c>
      <c r="L235">
        <v>-0.18105663558203369</v>
      </c>
      <c r="M235" t="s">
        <v>32</v>
      </c>
      <c r="N235">
        <v>4</v>
      </c>
      <c r="O235" t="s">
        <v>31</v>
      </c>
      <c r="P235">
        <v>70042</v>
      </c>
      <c r="Q235">
        <v>81.055000000000007</v>
      </c>
      <c r="R235">
        <v>51.25</v>
      </c>
      <c r="S235">
        <v>-0.31610948957940371</v>
      </c>
      <c r="T235">
        <v>4.6743001790057213E-2</v>
      </c>
      <c r="U235">
        <v>4.2882496975161943E-2</v>
      </c>
      <c r="V235">
        <v>3.8524051995959228E-3</v>
      </c>
      <c r="W235">
        <v>3.9030091775566017E-2</v>
      </c>
      <c r="X235" s="19">
        <f t="shared" si="9"/>
        <v>46121</v>
      </c>
      <c r="Y235" s="19">
        <f t="shared" si="10"/>
        <v>46121</v>
      </c>
      <c r="Z235">
        <f t="array" ref="Z235">_xlfn.XLOOKUP(INT(X235),INT($AE$2:$AE$1000),$AG$2:$AG$1000,"")</f>
        <v>19.489999999999998</v>
      </c>
      <c r="AE235" s="19">
        <f t="shared" si="11"/>
        <v>46202</v>
      </c>
      <c r="AF235" t="s">
        <v>206</v>
      </c>
      <c r="AG235">
        <v>17.649999999999999</v>
      </c>
    </row>
    <row r="236" spans="1:33" x14ac:dyDescent="0.3">
      <c r="A236">
        <v>11</v>
      </c>
      <c r="B236" t="s">
        <v>33</v>
      </c>
      <c r="C236" t="s">
        <v>37</v>
      </c>
      <c r="D236">
        <v>70276</v>
      </c>
      <c r="E236">
        <v>53.07</v>
      </c>
      <c r="F236">
        <v>226.04</v>
      </c>
      <c r="G236">
        <v>53.064692999999998</v>
      </c>
      <c r="H236">
        <v>226.06260399999999</v>
      </c>
      <c r="I236">
        <v>3.5505886688249402</v>
      </c>
      <c r="J236">
        <v>0.91254513569873641</v>
      </c>
      <c r="K236">
        <v>-0.18843037497644621</v>
      </c>
      <c r="L236">
        <v>4.0370958047192373E-2</v>
      </c>
      <c r="M236" t="s">
        <v>30</v>
      </c>
      <c r="N236">
        <v>23</v>
      </c>
      <c r="O236" t="s">
        <v>31</v>
      </c>
      <c r="P236">
        <v>70299</v>
      </c>
      <c r="Q236">
        <v>53.045000000000002</v>
      </c>
      <c r="R236">
        <v>225.52</v>
      </c>
      <c r="S236">
        <v>0.43176611253417418</v>
      </c>
      <c r="T236">
        <v>-1.628213881012841E-2</v>
      </c>
      <c r="U236">
        <v>-2.0104658715770229E-2</v>
      </c>
      <c r="V236">
        <v>3.8250727804246131E-3</v>
      </c>
      <c r="W236">
        <v>-2.3929731496194841E-2</v>
      </c>
      <c r="X236" s="19">
        <f t="shared" si="9"/>
        <v>46122</v>
      </c>
      <c r="Y236" s="19">
        <f t="shared" si="10"/>
        <v>46122</v>
      </c>
      <c r="Z236">
        <f t="array" ref="Z236">_xlfn.XLOOKUP(INT(X236),INT($AE$2:$AE$1000),$AG$2:$AG$1000,"")</f>
        <v>19.23</v>
      </c>
      <c r="AE236" s="19">
        <f t="shared" si="11"/>
        <v>46203</v>
      </c>
      <c r="AF236" t="s">
        <v>207</v>
      </c>
      <c r="AG236">
        <v>16.45</v>
      </c>
    </row>
    <row r="237" spans="1:33" x14ac:dyDescent="0.3">
      <c r="A237">
        <v>11</v>
      </c>
      <c r="B237" t="s">
        <v>33</v>
      </c>
      <c r="C237" t="s">
        <v>35</v>
      </c>
      <c r="D237">
        <v>70334</v>
      </c>
      <c r="E237">
        <v>53.02</v>
      </c>
      <c r="F237">
        <v>51.104999999999997</v>
      </c>
      <c r="G237">
        <v>53.025302000000003</v>
      </c>
      <c r="H237">
        <v>51.099889500000003</v>
      </c>
      <c r="I237">
        <v>-4.7742998055501156</v>
      </c>
      <c r="J237">
        <v>0.75103909875948072</v>
      </c>
      <c r="K237">
        <v>0.18860807242549979</v>
      </c>
      <c r="L237">
        <v>-0.14696000367077211</v>
      </c>
      <c r="M237" t="s">
        <v>32</v>
      </c>
      <c r="N237">
        <v>7</v>
      </c>
      <c r="O237" t="s">
        <v>31</v>
      </c>
      <c r="P237">
        <v>70341</v>
      </c>
      <c r="Q237">
        <v>53.215000000000003</v>
      </c>
      <c r="R237">
        <v>51.12</v>
      </c>
      <c r="S237">
        <v>-0.19384973598282609</v>
      </c>
      <c r="T237">
        <v>3.457417406791085E-2</v>
      </c>
      <c r="U237">
        <v>3.1068197572974209E-2</v>
      </c>
      <c r="V237">
        <v>3.5021279896992091E-3</v>
      </c>
      <c r="W237">
        <v>2.7566069583275E-2</v>
      </c>
      <c r="X237" s="19">
        <f t="shared" si="9"/>
        <v>46122</v>
      </c>
      <c r="Y237" s="19">
        <f t="shared" si="10"/>
        <v>46122</v>
      </c>
      <c r="Z237">
        <f t="array" ref="Z237">_xlfn.XLOOKUP(INT(X237),INT($AE$2:$AE$1000),$AG$2:$AG$1000,"")</f>
        <v>19.23</v>
      </c>
      <c r="AE237" s="19">
        <f t="shared" si="11"/>
        <v>46204</v>
      </c>
      <c r="AF237" s="19">
        <v>46029</v>
      </c>
      <c r="AG237">
        <v>16.59</v>
      </c>
    </row>
    <row r="238" spans="1:33" x14ac:dyDescent="0.3">
      <c r="A238">
        <v>11</v>
      </c>
      <c r="B238" t="s">
        <v>36</v>
      </c>
      <c r="C238" t="s">
        <v>37</v>
      </c>
      <c r="D238">
        <v>70545</v>
      </c>
      <c r="E238">
        <v>56.67</v>
      </c>
      <c r="F238">
        <v>225.82499999999999</v>
      </c>
      <c r="G238">
        <v>56.675666999999997</v>
      </c>
      <c r="H238">
        <v>225.80241749999999</v>
      </c>
      <c r="I238">
        <v>-3.520115427300714</v>
      </c>
      <c r="J238">
        <v>0.93445707488887586</v>
      </c>
      <c r="K238">
        <v>0.1764602082230457</v>
      </c>
      <c r="L238">
        <v>-4.1379699984008672E-2</v>
      </c>
      <c r="M238" t="s">
        <v>32</v>
      </c>
      <c r="N238">
        <v>9</v>
      </c>
      <c r="O238" t="s">
        <v>31</v>
      </c>
      <c r="P238">
        <v>70554</v>
      </c>
      <c r="Q238">
        <v>56.58</v>
      </c>
      <c r="R238">
        <v>224.85</v>
      </c>
      <c r="S238">
        <v>8.675707785119743E-3</v>
      </c>
      <c r="T238">
        <v>2.4463788744333512E-2</v>
      </c>
      <c r="U238">
        <v>2.0600497257178829E-2</v>
      </c>
      <c r="V238">
        <v>3.8689272583627742E-3</v>
      </c>
      <c r="W238">
        <v>1.6731569998816049E-2</v>
      </c>
      <c r="X238" s="19">
        <f t="shared" si="9"/>
        <v>46122</v>
      </c>
      <c r="Y238" s="19">
        <f t="shared" si="10"/>
        <v>46122</v>
      </c>
      <c r="Z238">
        <f t="array" ref="Z238">_xlfn.XLOOKUP(INT(X238),INT($AE$2:$AE$1000),$AG$2:$AG$1000,"")</f>
        <v>19.23</v>
      </c>
      <c r="AE238" s="19">
        <f t="shared" si="11"/>
        <v>46205</v>
      </c>
      <c r="AF238" s="19">
        <v>46060</v>
      </c>
      <c r="AG238">
        <v>16.149999999999999</v>
      </c>
    </row>
    <row r="239" spans="1:33" x14ac:dyDescent="0.3">
      <c r="A239">
        <v>11</v>
      </c>
      <c r="B239" t="s">
        <v>28</v>
      </c>
      <c r="C239" t="s">
        <v>33</v>
      </c>
      <c r="D239">
        <v>70725</v>
      </c>
      <c r="E239">
        <v>309.55</v>
      </c>
      <c r="F239">
        <v>52.17</v>
      </c>
      <c r="G239">
        <v>309.58095500000002</v>
      </c>
      <c r="H239">
        <v>52.164783</v>
      </c>
      <c r="I239">
        <v>-4.2545011115263867</v>
      </c>
      <c r="J239">
        <v>0.64828847730887773</v>
      </c>
      <c r="K239">
        <v>3.2304958811177523E-2</v>
      </c>
      <c r="L239">
        <v>-0.1242646113300513</v>
      </c>
      <c r="M239" t="s">
        <v>32</v>
      </c>
      <c r="N239">
        <v>34</v>
      </c>
      <c r="O239" t="s">
        <v>31</v>
      </c>
      <c r="P239">
        <v>70759</v>
      </c>
      <c r="Q239">
        <v>310.02</v>
      </c>
      <c r="R239">
        <v>52.305</v>
      </c>
      <c r="S239">
        <v>-0.26603252166658192</v>
      </c>
      <c r="T239">
        <v>-1.5923918883042011E-3</v>
      </c>
      <c r="U239">
        <v>-4.8921647482389986E-3</v>
      </c>
      <c r="V239">
        <v>3.2966472969222938E-3</v>
      </c>
      <c r="W239">
        <v>-8.1888120451612933E-3</v>
      </c>
      <c r="X239" s="19">
        <f t="shared" si="9"/>
        <v>46125</v>
      </c>
      <c r="Y239" s="19">
        <f t="shared" si="10"/>
        <v>46125</v>
      </c>
      <c r="Z239">
        <f t="array" ref="Z239">_xlfn.XLOOKUP(INT(X239),INT($AE$2:$AE$1000),$AG$2:$AG$1000,"")</f>
        <v>19.12</v>
      </c>
      <c r="AE239" s="19">
        <f t="shared" si="11"/>
        <v>46206</v>
      </c>
      <c r="AF239" s="19">
        <v>46088</v>
      </c>
      <c r="AG239">
        <v>15.81</v>
      </c>
    </row>
    <row r="240" spans="1:33" x14ac:dyDescent="0.3">
      <c r="A240">
        <v>12</v>
      </c>
      <c r="B240" t="s">
        <v>28</v>
      </c>
      <c r="C240" t="s">
        <v>37</v>
      </c>
      <c r="D240">
        <v>70859</v>
      </c>
      <c r="E240">
        <v>310.14999999999998</v>
      </c>
      <c r="F240">
        <v>221.64500000000001</v>
      </c>
      <c r="G240">
        <v>310.11898500000001</v>
      </c>
      <c r="H240">
        <v>221.66716450000001</v>
      </c>
      <c r="I240">
        <v>4.0213759072113389</v>
      </c>
      <c r="J240">
        <v>0.61672327119074122</v>
      </c>
      <c r="K240">
        <v>-3.2242463324197973E-2</v>
      </c>
      <c r="L240">
        <v>2.7824822179193812E-2</v>
      </c>
      <c r="M240" t="s">
        <v>30</v>
      </c>
      <c r="N240">
        <v>6</v>
      </c>
      <c r="O240" t="s">
        <v>31</v>
      </c>
      <c r="P240">
        <v>70865</v>
      </c>
      <c r="Q240">
        <v>310.04000000000002</v>
      </c>
      <c r="R240">
        <v>222.13499999999999</v>
      </c>
      <c r="S240">
        <v>0.32471865733512317</v>
      </c>
      <c r="T240">
        <v>1.7180833833464811E-2</v>
      </c>
      <c r="U240">
        <v>1.3946378541892601E-2</v>
      </c>
      <c r="V240">
        <v>3.2333698870357212E-3</v>
      </c>
      <c r="W240">
        <v>1.071300865485687E-2</v>
      </c>
      <c r="X240" s="19">
        <f t="shared" si="9"/>
        <v>46125</v>
      </c>
      <c r="Y240" s="19">
        <f t="shared" si="10"/>
        <v>46125</v>
      </c>
      <c r="Z240">
        <f t="array" ref="Z240">_xlfn.XLOOKUP(INT(X240),INT($AE$2:$AE$1000),$AG$2:$AG$1000,"")</f>
        <v>19.12</v>
      </c>
      <c r="AE240" s="19">
        <f t="shared" si="11"/>
        <v>46209</v>
      </c>
      <c r="AF240" s="19">
        <v>46180</v>
      </c>
      <c r="AG240">
        <v>15.57</v>
      </c>
    </row>
    <row r="241" spans="1:33" x14ac:dyDescent="0.3">
      <c r="A241">
        <v>12</v>
      </c>
      <c r="B241" t="s">
        <v>28</v>
      </c>
      <c r="C241" t="s">
        <v>33</v>
      </c>
      <c r="D241">
        <v>71087</v>
      </c>
      <c r="E241">
        <v>308.74</v>
      </c>
      <c r="F241">
        <v>52.015000000000001</v>
      </c>
      <c r="G241">
        <v>308.70912600000003</v>
      </c>
      <c r="H241">
        <v>52.020201499999999</v>
      </c>
      <c r="I241">
        <v>3.5430010666433591</v>
      </c>
      <c r="J241">
        <v>0.64254462380957211</v>
      </c>
      <c r="K241">
        <v>-3.238971302714258E-2</v>
      </c>
      <c r="L241">
        <v>0.12353063997107989</v>
      </c>
      <c r="M241" t="s">
        <v>30</v>
      </c>
      <c r="N241">
        <v>8</v>
      </c>
      <c r="O241" t="s">
        <v>31</v>
      </c>
      <c r="P241">
        <v>71095</v>
      </c>
      <c r="Q241">
        <v>308.375</v>
      </c>
      <c r="R241">
        <v>52.024999999999999</v>
      </c>
      <c r="S241">
        <v>-0.15437525009477349</v>
      </c>
      <c r="T241">
        <v>1.305755165461789E-2</v>
      </c>
      <c r="U241">
        <v>9.7735211008840774E-3</v>
      </c>
      <c r="V241">
        <v>3.285017756543906E-3</v>
      </c>
      <c r="W241">
        <v>6.4885033443401706E-3</v>
      </c>
      <c r="X241" s="19">
        <f t="shared" si="9"/>
        <v>46126</v>
      </c>
      <c r="Y241" s="19">
        <f t="shared" si="10"/>
        <v>46126</v>
      </c>
      <c r="Z241">
        <f t="array" ref="Z241">_xlfn.XLOOKUP(INT(X241),INT($AE$2:$AE$1000),$AG$2:$AG$1000,"")</f>
        <v>18.36</v>
      </c>
      <c r="AE241" s="19">
        <f t="shared" si="11"/>
        <v>46210</v>
      </c>
      <c r="AF241" s="19">
        <v>46210</v>
      </c>
      <c r="AG241">
        <v>16.13</v>
      </c>
    </row>
    <row r="242" spans="1:33" x14ac:dyDescent="0.3">
      <c r="A242">
        <v>12</v>
      </c>
      <c r="B242" t="s">
        <v>36</v>
      </c>
      <c r="C242" t="s">
        <v>37</v>
      </c>
      <c r="D242">
        <v>71114</v>
      </c>
      <c r="E242">
        <v>55.95</v>
      </c>
      <c r="F242">
        <v>220.35</v>
      </c>
      <c r="G242">
        <v>55.944405000000003</v>
      </c>
      <c r="H242">
        <v>220.37203500000001</v>
      </c>
      <c r="I242">
        <v>3.8584047850779659</v>
      </c>
      <c r="J242">
        <v>0.94405449064772462</v>
      </c>
      <c r="K242">
        <v>-0.17873100983020551</v>
      </c>
      <c r="L242">
        <v>4.2843407789776473E-2</v>
      </c>
      <c r="M242" t="s">
        <v>30</v>
      </c>
      <c r="N242">
        <v>7</v>
      </c>
      <c r="O242" t="s">
        <v>31</v>
      </c>
      <c r="P242">
        <v>71121</v>
      </c>
      <c r="Q242">
        <v>56.1</v>
      </c>
      <c r="R242">
        <v>221.92</v>
      </c>
      <c r="S242">
        <v>-0.20461089945307109</v>
      </c>
      <c r="T242">
        <v>4.0454498755418199E-2</v>
      </c>
      <c r="U242">
        <v>3.6556982393953823E-2</v>
      </c>
      <c r="V242">
        <v>3.888097792193579E-3</v>
      </c>
      <c r="W242">
        <v>3.2668884601760227E-2</v>
      </c>
      <c r="X242" s="19">
        <f t="shared" si="9"/>
        <v>46126</v>
      </c>
      <c r="Y242" s="19">
        <f t="shared" si="10"/>
        <v>46126</v>
      </c>
      <c r="Z242">
        <f t="array" ref="Z242">_xlfn.XLOOKUP(INT(X242),INT($AE$2:$AE$1000),$AG$2:$AG$1000,"")</f>
        <v>18.36</v>
      </c>
      <c r="AE242" s="19">
        <f t="shared" si="11"/>
        <v>46211</v>
      </c>
      <c r="AF242" s="19">
        <v>46241</v>
      </c>
      <c r="AG242">
        <v>16.899999999999999</v>
      </c>
    </row>
    <row r="243" spans="1:33" x14ac:dyDescent="0.3">
      <c r="A243">
        <v>12</v>
      </c>
      <c r="B243" t="s">
        <v>36</v>
      </c>
      <c r="C243" t="s">
        <v>37</v>
      </c>
      <c r="D243">
        <v>71504</v>
      </c>
      <c r="E243">
        <v>56.55</v>
      </c>
      <c r="F243">
        <v>223.04</v>
      </c>
      <c r="G243">
        <v>56.544345</v>
      </c>
      <c r="H243">
        <v>223.06230400000001</v>
      </c>
      <c r="I243">
        <v>3.7118362261002611</v>
      </c>
      <c r="J243">
        <v>0.94405449064772462</v>
      </c>
      <c r="K243">
        <v>-0.17683465959328029</v>
      </c>
      <c r="L243">
        <v>4.2326689860461113E-2</v>
      </c>
      <c r="M243" t="s">
        <v>30</v>
      </c>
      <c r="N243">
        <v>12</v>
      </c>
      <c r="O243" t="s">
        <v>31</v>
      </c>
      <c r="P243">
        <v>71516</v>
      </c>
      <c r="Q243">
        <v>56.58</v>
      </c>
      <c r="R243">
        <v>223.35499999999999</v>
      </c>
      <c r="S243">
        <v>0.28678400683238942</v>
      </c>
      <c r="T243">
        <v>8.0278675182465439E-3</v>
      </c>
      <c r="U243">
        <v>4.1378947422432491E-3</v>
      </c>
      <c r="V243">
        <v>3.888097792193579E-3</v>
      </c>
      <c r="W243">
        <v>2.4979695004967011E-4</v>
      </c>
      <c r="X243" s="19">
        <f t="shared" si="9"/>
        <v>46127</v>
      </c>
      <c r="Y243" s="19">
        <f t="shared" si="10"/>
        <v>46127</v>
      </c>
      <c r="Z243">
        <f t="array" ref="Z243">_xlfn.XLOOKUP(INT(X243),INT($AE$2:$AE$1000),$AG$2:$AG$1000,"")</f>
        <v>18.170000000000002</v>
      </c>
      <c r="AE243" s="19">
        <f t="shared" si="11"/>
        <v>46212</v>
      </c>
      <c r="AF243" s="19">
        <v>46272</v>
      </c>
      <c r="AG243">
        <v>15.84</v>
      </c>
    </row>
    <row r="244" spans="1:33" x14ac:dyDescent="0.3">
      <c r="A244">
        <v>12</v>
      </c>
      <c r="B244" t="s">
        <v>28</v>
      </c>
      <c r="C244" t="s">
        <v>33</v>
      </c>
      <c r="D244">
        <v>71797</v>
      </c>
      <c r="E244">
        <v>311.70999999999998</v>
      </c>
      <c r="F244">
        <v>52.78</v>
      </c>
      <c r="G244">
        <v>311.74117100000001</v>
      </c>
      <c r="H244">
        <v>52.774721999999997</v>
      </c>
      <c r="I244">
        <v>-3.596740423349742</v>
      </c>
      <c r="J244">
        <v>0.64254462380957211</v>
      </c>
      <c r="K244">
        <v>3.2081101023387133E-2</v>
      </c>
      <c r="L244">
        <v>-0.12174017124091931</v>
      </c>
      <c r="M244" t="s">
        <v>32</v>
      </c>
      <c r="N244">
        <v>11</v>
      </c>
      <c r="O244" t="s">
        <v>31</v>
      </c>
      <c r="P244">
        <v>71808</v>
      </c>
      <c r="Q244">
        <v>311.67</v>
      </c>
      <c r="R244">
        <v>52.7</v>
      </c>
      <c r="S244">
        <v>0.2040272560889495</v>
      </c>
      <c r="T244">
        <v>8.4559696583390194E-3</v>
      </c>
      <c r="U244">
        <v>5.1719826564962266E-3</v>
      </c>
      <c r="V244">
        <v>3.2851607386943831E-3</v>
      </c>
      <c r="W244">
        <v>1.8868219178018451E-3</v>
      </c>
      <c r="X244" s="19">
        <f t="shared" si="9"/>
        <v>46128</v>
      </c>
      <c r="Y244" s="19">
        <f t="shared" si="10"/>
        <v>46128</v>
      </c>
      <c r="Z244">
        <f t="array" ref="Z244">_xlfn.XLOOKUP(INT(X244),INT($AE$2:$AE$1000),$AG$2:$AG$1000,"")</f>
        <v>17.940000000000001</v>
      </c>
      <c r="AE244" s="19">
        <f t="shared" si="11"/>
        <v>46213</v>
      </c>
      <c r="AF244" s="19">
        <v>46302</v>
      </c>
      <c r="AG244">
        <v>15.03</v>
      </c>
    </row>
    <row r="245" spans="1:33" x14ac:dyDescent="0.3">
      <c r="A245">
        <v>12</v>
      </c>
      <c r="B245" t="s">
        <v>28</v>
      </c>
      <c r="C245" t="s">
        <v>33</v>
      </c>
      <c r="D245">
        <v>71895</v>
      </c>
      <c r="E245">
        <v>309.51</v>
      </c>
      <c r="F245">
        <v>52.35</v>
      </c>
      <c r="G245">
        <v>309.54095100000001</v>
      </c>
      <c r="H245">
        <v>52.344765000000002</v>
      </c>
      <c r="I245">
        <v>-4.7230689894822833</v>
      </c>
      <c r="J245">
        <v>0.64254462380957211</v>
      </c>
      <c r="K245">
        <v>3.2309133792123038E-2</v>
      </c>
      <c r="L245">
        <v>-0.1227401382635286</v>
      </c>
      <c r="M245" t="s">
        <v>32</v>
      </c>
      <c r="N245">
        <v>2</v>
      </c>
      <c r="O245" t="s">
        <v>31</v>
      </c>
      <c r="P245">
        <v>71897</v>
      </c>
      <c r="Q245">
        <v>310.76</v>
      </c>
      <c r="R245">
        <v>52.45</v>
      </c>
      <c r="S245">
        <v>6.3692853130770929E-2</v>
      </c>
      <c r="T245">
        <v>2.8112403413800759E-2</v>
      </c>
      <c r="U245">
        <v>2.482204812307481E-2</v>
      </c>
      <c r="V245">
        <v>3.2851607386943831E-3</v>
      </c>
      <c r="W245">
        <v>2.1536887384380431E-2</v>
      </c>
      <c r="X245" s="19">
        <f t="shared" si="9"/>
        <v>46128</v>
      </c>
      <c r="Y245" s="19">
        <f t="shared" si="10"/>
        <v>46128</v>
      </c>
      <c r="Z245">
        <f t="array" ref="Z245">_xlfn.XLOOKUP(INT(X245),INT($AE$2:$AE$1000),$AG$2:$AG$1000,"")</f>
        <v>17.940000000000001</v>
      </c>
      <c r="AE245" s="19">
        <f t="shared" si="11"/>
        <v>46216</v>
      </c>
      <c r="AF245" t="s">
        <v>208</v>
      </c>
      <c r="AG245">
        <v>17.16</v>
      </c>
    </row>
    <row r="246" spans="1:33" x14ac:dyDescent="0.3">
      <c r="A246">
        <v>12</v>
      </c>
      <c r="B246" t="s">
        <v>36</v>
      </c>
      <c r="C246" t="s">
        <v>37</v>
      </c>
      <c r="D246">
        <v>72054</v>
      </c>
      <c r="E246">
        <v>55.57</v>
      </c>
      <c r="F246">
        <v>218.78</v>
      </c>
      <c r="G246">
        <v>55.575557000000003</v>
      </c>
      <c r="H246">
        <v>218.75812199999999</v>
      </c>
      <c r="I246">
        <v>-3.5022308892687222</v>
      </c>
      <c r="J246">
        <v>0.94405449064772462</v>
      </c>
      <c r="K246">
        <v>0.17995321216483709</v>
      </c>
      <c r="L246">
        <v>-4.3150858883249127E-2</v>
      </c>
      <c r="M246" t="s">
        <v>32</v>
      </c>
      <c r="N246">
        <v>6</v>
      </c>
      <c r="O246" t="s">
        <v>31</v>
      </c>
      <c r="P246">
        <v>72060</v>
      </c>
      <c r="Q246">
        <v>55.695</v>
      </c>
      <c r="R246">
        <v>218.73500000000001</v>
      </c>
      <c r="S246">
        <v>0.29640827913932299</v>
      </c>
      <c r="T246">
        <v>2.443594017035031E-2</v>
      </c>
      <c r="U246">
        <v>2.0545775952769151E-2</v>
      </c>
      <c r="V246">
        <v>3.8881201703973201E-3</v>
      </c>
      <c r="W246">
        <v>1.6657655782371831E-2</v>
      </c>
      <c r="X246" s="19">
        <f t="shared" si="9"/>
        <v>46128</v>
      </c>
      <c r="Y246" s="19">
        <f t="shared" si="10"/>
        <v>46128</v>
      </c>
      <c r="Z246">
        <f t="array" ref="Z246">_xlfn.XLOOKUP(INT(X246),INT($AE$2:$AE$1000),$AG$2:$AG$1000,"")</f>
        <v>17.940000000000001</v>
      </c>
      <c r="AE246" s="19">
        <f t="shared" si="11"/>
        <v>46217</v>
      </c>
      <c r="AF246" t="s">
        <v>209</v>
      </c>
      <c r="AG246">
        <v>16.5</v>
      </c>
    </row>
    <row r="247" spans="1:33" x14ac:dyDescent="0.3">
      <c r="A247">
        <v>12</v>
      </c>
      <c r="B247" t="s">
        <v>36</v>
      </c>
      <c r="C247" t="s">
        <v>35</v>
      </c>
      <c r="D247">
        <v>72109</v>
      </c>
      <c r="E247">
        <v>55.795000000000002</v>
      </c>
      <c r="F247">
        <v>50.674999999999997</v>
      </c>
      <c r="G247">
        <v>55.789420500000013</v>
      </c>
      <c r="H247">
        <v>50.6800675</v>
      </c>
      <c r="I247">
        <v>3.6106804904138339</v>
      </c>
      <c r="J247">
        <v>0.74857427477368232</v>
      </c>
      <c r="K247">
        <v>-0.17922752934850791</v>
      </c>
      <c r="L247">
        <v>0.14772062649702661</v>
      </c>
      <c r="M247" t="s">
        <v>30</v>
      </c>
      <c r="N247">
        <v>20</v>
      </c>
      <c r="O247" t="s">
        <v>31</v>
      </c>
      <c r="P247">
        <v>72129</v>
      </c>
      <c r="Q247">
        <v>55.8</v>
      </c>
      <c r="R247">
        <v>50.66</v>
      </c>
      <c r="S247">
        <v>0.4518173137347708</v>
      </c>
      <c r="T247">
        <v>-3.1119470441972078E-3</v>
      </c>
      <c r="U247">
        <v>-6.6089636265694394E-3</v>
      </c>
      <c r="V247">
        <v>3.4970982644023201E-3</v>
      </c>
      <c r="W247">
        <v>-1.0106061890971759E-2</v>
      </c>
      <c r="X247" s="19">
        <f t="shared" si="9"/>
        <v>46128</v>
      </c>
      <c r="Y247" s="19">
        <f t="shared" si="10"/>
        <v>46128</v>
      </c>
      <c r="Z247">
        <f t="array" ref="Z247">_xlfn.XLOOKUP(INT(X247),INT($AE$2:$AE$1000),$AG$2:$AG$1000,"")</f>
        <v>17.940000000000001</v>
      </c>
      <c r="AE247" s="19">
        <f t="shared" si="11"/>
        <v>46218</v>
      </c>
      <c r="AF247" t="s">
        <v>210</v>
      </c>
      <c r="AG247">
        <v>15.67</v>
      </c>
    </row>
    <row r="248" spans="1:33" x14ac:dyDescent="0.3">
      <c r="A248">
        <v>12</v>
      </c>
      <c r="B248" t="s">
        <v>28</v>
      </c>
      <c r="C248" t="s">
        <v>33</v>
      </c>
      <c r="D248">
        <v>72284</v>
      </c>
      <c r="E248">
        <v>307.5</v>
      </c>
      <c r="F248">
        <v>52.25</v>
      </c>
      <c r="G248">
        <v>307.46924999999999</v>
      </c>
      <c r="H248">
        <v>52.255225000000003</v>
      </c>
      <c r="I248">
        <v>3.957125667617472</v>
      </c>
      <c r="J248">
        <v>0.64254462380957211</v>
      </c>
      <c r="K248">
        <v>-3.2520325203252043E-2</v>
      </c>
      <c r="L248">
        <v>0.12297504761905689</v>
      </c>
      <c r="M248" t="s">
        <v>30</v>
      </c>
      <c r="N248">
        <v>17</v>
      </c>
      <c r="O248" t="s">
        <v>31</v>
      </c>
      <c r="P248">
        <v>72301</v>
      </c>
      <c r="Q248">
        <v>310.47500000000002</v>
      </c>
      <c r="R248">
        <v>52.99</v>
      </c>
      <c r="S248">
        <v>0.2454937309520579</v>
      </c>
      <c r="T248">
        <v>-5.7464322415732164E-3</v>
      </c>
      <c r="U248">
        <v>-9.0502964394649776E-3</v>
      </c>
      <c r="V248">
        <v>3.285017756543906E-3</v>
      </c>
      <c r="W248">
        <v>-1.2335314196008879E-2</v>
      </c>
      <c r="X248" s="19">
        <f t="shared" si="9"/>
        <v>46129</v>
      </c>
      <c r="Y248" s="19">
        <f t="shared" si="10"/>
        <v>46129</v>
      </c>
      <c r="Z248">
        <f t="array" ref="Z248">_xlfn.XLOOKUP(INT(X248),INT($AE$2:$AE$1000),$AG$2:$AG$1000,"")</f>
        <v>17.48</v>
      </c>
      <c r="AE248" s="19">
        <f t="shared" si="11"/>
        <v>46219</v>
      </c>
      <c r="AF248" t="s">
        <v>211</v>
      </c>
      <c r="AG248">
        <v>16.73</v>
      </c>
    </row>
    <row r="249" spans="1:33" x14ac:dyDescent="0.3">
      <c r="A249">
        <v>12</v>
      </c>
      <c r="B249" t="s">
        <v>36</v>
      </c>
      <c r="C249" t="s">
        <v>37</v>
      </c>
      <c r="D249">
        <v>72560</v>
      </c>
      <c r="E249">
        <v>56.64</v>
      </c>
      <c r="F249">
        <v>222.57</v>
      </c>
      <c r="G249">
        <v>56.634335999999998</v>
      </c>
      <c r="H249">
        <v>222.59225699999999</v>
      </c>
      <c r="I249">
        <v>3.700470940687608</v>
      </c>
      <c r="J249">
        <v>0.94405449064772462</v>
      </c>
      <c r="K249">
        <v>-0.17655367231638419</v>
      </c>
      <c r="L249">
        <v>4.2416070928145061E-2</v>
      </c>
      <c r="M249" t="s">
        <v>30</v>
      </c>
      <c r="N249">
        <v>18</v>
      </c>
      <c r="O249" t="s">
        <v>31</v>
      </c>
      <c r="P249">
        <v>72578</v>
      </c>
      <c r="Q249">
        <v>56.715000000000003</v>
      </c>
      <c r="R249">
        <v>222.95</v>
      </c>
      <c r="S249">
        <v>-1.71753934551769E-4</v>
      </c>
      <c r="T249">
        <v>2.8765815289656139E-3</v>
      </c>
      <c r="U249">
        <v>-1.0144634155656721E-3</v>
      </c>
      <c r="V249">
        <v>3.888097792193579E-3</v>
      </c>
      <c r="W249">
        <v>-4.9025612077592514E-3</v>
      </c>
      <c r="X249" s="19">
        <f t="shared" si="9"/>
        <v>46132</v>
      </c>
      <c r="Y249" s="19">
        <f t="shared" si="10"/>
        <v>46132</v>
      </c>
      <c r="Z249">
        <f t="array" ref="Z249">_xlfn.XLOOKUP(INT(X249),INT($AE$2:$AE$1000),$AG$2:$AG$1000,"")</f>
        <v>18.87</v>
      </c>
      <c r="AE249" s="19">
        <f t="shared" si="11"/>
        <v>46220</v>
      </c>
      <c r="AF249" t="s">
        <v>212</v>
      </c>
      <c r="AG249">
        <v>18.77</v>
      </c>
    </row>
    <row r="250" spans="1:33" x14ac:dyDescent="0.3">
      <c r="A250">
        <v>12</v>
      </c>
      <c r="B250" t="s">
        <v>36</v>
      </c>
      <c r="C250" t="s">
        <v>35</v>
      </c>
      <c r="D250">
        <v>72613</v>
      </c>
      <c r="E250">
        <v>56.725000000000001</v>
      </c>
      <c r="F250">
        <v>51.475000000000001</v>
      </c>
      <c r="G250">
        <v>56.730672499999997</v>
      </c>
      <c r="H250">
        <v>51.469852500000002</v>
      </c>
      <c r="I250">
        <v>-3.5059414057093372</v>
      </c>
      <c r="J250">
        <v>0.74857427477368232</v>
      </c>
      <c r="K250">
        <v>0.17628911414720139</v>
      </c>
      <c r="L250">
        <v>-0.14542482268551379</v>
      </c>
      <c r="M250" t="s">
        <v>32</v>
      </c>
      <c r="N250">
        <v>6</v>
      </c>
      <c r="O250" t="s">
        <v>31</v>
      </c>
      <c r="P250">
        <v>72619</v>
      </c>
      <c r="Q250">
        <v>56.825000000000003</v>
      </c>
      <c r="R250">
        <v>51.524999999999999</v>
      </c>
      <c r="S250">
        <v>-0.3822139601142997</v>
      </c>
      <c r="T250">
        <v>1.0357670280445109E-2</v>
      </c>
      <c r="U250">
        <v>6.8580317156424087E-3</v>
      </c>
      <c r="V250">
        <v>3.4971988346924111E-3</v>
      </c>
      <c r="W250">
        <v>3.3608328809499981E-3</v>
      </c>
      <c r="X250" s="19">
        <f t="shared" si="9"/>
        <v>46132</v>
      </c>
      <c r="Y250" s="19">
        <f t="shared" si="10"/>
        <v>46132</v>
      </c>
      <c r="Z250">
        <f t="array" ref="Z250">_xlfn.XLOOKUP(INT(X250),INT($AE$2:$AE$1000),$AG$2:$AG$1000,"")</f>
        <v>18.87</v>
      </c>
      <c r="AE250" s="19">
        <f t="shared" si="11"/>
        <v>46223</v>
      </c>
      <c r="AF250" t="s">
        <v>213</v>
      </c>
      <c r="AG250">
        <v>18.649999999999999</v>
      </c>
    </row>
    <row r="251" spans="1:33" x14ac:dyDescent="0.3">
      <c r="A251">
        <v>12</v>
      </c>
      <c r="B251" t="s">
        <v>28</v>
      </c>
      <c r="C251" t="s">
        <v>37</v>
      </c>
      <c r="D251">
        <v>72678</v>
      </c>
      <c r="E251">
        <v>313.34500000000003</v>
      </c>
      <c r="F251">
        <v>221.755</v>
      </c>
      <c r="G251">
        <v>313.31366550000001</v>
      </c>
      <c r="H251">
        <v>221.7771755</v>
      </c>
      <c r="I251">
        <v>4.1506776649235348</v>
      </c>
      <c r="J251">
        <v>0.61672327119074122</v>
      </c>
      <c r="K251">
        <v>-3.1913705340758589E-2</v>
      </c>
      <c r="L251">
        <v>2.781101987286606E-2</v>
      </c>
      <c r="M251" t="s">
        <v>30</v>
      </c>
      <c r="N251">
        <v>6</v>
      </c>
      <c r="O251" t="s">
        <v>31</v>
      </c>
      <c r="P251">
        <v>72684</v>
      </c>
      <c r="Q251">
        <v>312.76</v>
      </c>
      <c r="R251">
        <v>222.435</v>
      </c>
      <c r="S251">
        <v>0.19481896058018641</v>
      </c>
      <c r="T251">
        <v>3.7581011137894041E-2</v>
      </c>
      <c r="U251">
        <v>3.4347540397923343E-2</v>
      </c>
      <c r="V251">
        <v>3.2333698870357212E-3</v>
      </c>
      <c r="W251">
        <v>3.111417051088761E-2</v>
      </c>
      <c r="X251" s="19">
        <f t="shared" si="9"/>
        <v>46132</v>
      </c>
      <c r="Y251" s="19">
        <f t="shared" si="10"/>
        <v>46132</v>
      </c>
      <c r="Z251">
        <f t="array" ref="Z251">_xlfn.XLOOKUP(INT(X251),INT($AE$2:$AE$1000),$AG$2:$AG$1000,"")</f>
        <v>18.87</v>
      </c>
      <c r="AE251" s="19">
        <f t="shared" si="11"/>
        <v>46224</v>
      </c>
      <c r="AF251" t="s">
        <v>214</v>
      </c>
      <c r="AG251">
        <v>17.05</v>
      </c>
    </row>
    <row r="252" spans="1:33" x14ac:dyDescent="0.3">
      <c r="A252">
        <v>12</v>
      </c>
      <c r="B252" t="s">
        <v>28</v>
      </c>
      <c r="C252" t="s">
        <v>37</v>
      </c>
      <c r="D252">
        <v>72815</v>
      </c>
      <c r="E252">
        <v>313.64</v>
      </c>
      <c r="F252">
        <v>222.05</v>
      </c>
      <c r="G252">
        <v>313.67136399999998</v>
      </c>
      <c r="H252">
        <v>222.027795</v>
      </c>
      <c r="I252">
        <v>-3.6026472802731231</v>
      </c>
      <c r="J252">
        <v>0.61672327119074122</v>
      </c>
      <c r="K252">
        <v>3.1883688305063128E-2</v>
      </c>
      <c r="L252">
        <v>-2.7774072109468188E-2</v>
      </c>
      <c r="M252" t="s">
        <v>32</v>
      </c>
      <c r="N252">
        <v>25</v>
      </c>
      <c r="O252" t="s">
        <v>31</v>
      </c>
      <c r="P252">
        <v>72840</v>
      </c>
      <c r="Q252">
        <v>313.7</v>
      </c>
      <c r="R252">
        <v>221.93</v>
      </c>
      <c r="S252">
        <v>-0.22095120219477071</v>
      </c>
      <c r="T252">
        <v>5.2459099514401697E-3</v>
      </c>
      <c r="U252">
        <v>2.0126053957956439E-3</v>
      </c>
      <c r="V252">
        <v>3.233523197727245E-3</v>
      </c>
      <c r="W252">
        <v>-1.220917801931601E-3</v>
      </c>
      <c r="X252" s="19">
        <f t="shared" si="9"/>
        <v>46132</v>
      </c>
      <c r="Y252" s="19">
        <f t="shared" si="10"/>
        <v>46132</v>
      </c>
      <c r="Z252">
        <f t="array" ref="Z252">_xlfn.XLOOKUP(INT(X252),INT($AE$2:$AE$1000),$AG$2:$AG$1000,"")</f>
        <v>18.87</v>
      </c>
      <c r="AE252" s="19">
        <f t="shared" si="11"/>
        <v>46225</v>
      </c>
      <c r="AF252" t="s">
        <v>215</v>
      </c>
      <c r="AG252">
        <v>16.64</v>
      </c>
    </row>
    <row r="253" spans="1:33" x14ac:dyDescent="0.3">
      <c r="A253">
        <v>12</v>
      </c>
      <c r="B253" t="s">
        <v>28</v>
      </c>
      <c r="C253" t="s">
        <v>37</v>
      </c>
      <c r="D253">
        <v>72850</v>
      </c>
      <c r="E253">
        <v>312.76499999999999</v>
      </c>
      <c r="F253">
        <v>221.64</v>
      </c>
      <c r="G253">
        <v>312.79627649999998</v>
      </c>
      <c r="H253">
        <v>221.61783600000001</v>
      </c>
      <c r="I253">
        <v>-3.6779994021386351</v>
      </c>
      <c r="J253">
        <v>0.61672327119074122</v>
      </c>
      <c r="K253">
        <v>3.1972886991830929E-2</v>
      </c>
      <c r="L253">
        <v>-2.7825449882274918E-2</v>
      </c>
      <c r="M253" t="s">
        <v>32</v>
      </c>
      <c r="N253">
        <v>7</v>
      </c>
      <c r="O253" t="s">
        <v>31</v>
      </c>
      <c r="P253">
        <v>72857</v>
      </c>
      <c r="Q253">
        <v>312.70999999999998</v>
      </c>
      <c r="R253">
        <v>221.12</v>
      </c>
      <c r="S253">
        <v>-0.29858266057809379</v>
      </c>
      <c r="T253">
        <v>1.2710725154231529E-2</v>
      </c>
      <c r="U253">
        <v>9.4789013861226821E-3</v>
      </c>
      <c r="V253">
        <v>3.233523197727245E-3</v>
      </c>
      <c r="W253">
        <v>6.2453781883954366E-3</v>
      </c>
      <c r="X253" s="19">
        <f t="shared" si="9"/>
        <v>46132</v>
      </c>
      <c r="Y253" s="19">
        <f t="shared" si="10"/>
        <v>46132</v>
      </c>
      <c r="Z253">
        <f t="array" ref="Z253">_xlfn.XLOOKUP(INT(X253),INT($AE$2:$AE$1000),$AG$2:$AG$1000,"")</f>
        <v>18.87</v>
      </c>
      <c r="AE253" s="19">
        <f t="shared" si="11"/>
        <v>46226</v>
      </c>
      <c r="AF253" t="s">
        <v>216</v>
      </c>
      <c r="AG253">
        <v>18.7</v>
      </c>
    </row>
    <row r="254" spans="1:33" x14ac:dyDescent="0.3">
      <c r="A254">
        <v>12</v>
      </c>
      <c r="B254" t="s">
        <v>36</v>
      </c>
      <c r="C254" t="s">
        <v>37</v>
      </c>
      <c r="D254">
        <v>73065</v>
      </c>
      <c r="E254">
        <v>55.67</v>
      </c>
      <c r="F254">
        <v>219.065</v>
      </c>
      <c r="G254">
        <v>55.675567000000001</v>
      </c>
      <c r="H254">
        <v>219.0430935</v>
      </c>
      <c r="I254">
        <v>-4.4109964921465226</v>
      </c>
      <c r="J254">
        <v>0.94405449064772462</v>
      </c>
      <c r="K254">
        <v>0.17962996227770789</v>
      </c>
      <c r="L254">
        <v>-4.3094720318066541E-2</v>
      </c>
      <c r="M254" t="s">
        <v>32</v>
      </c>
      <c r="N254">
        <v>23</v>
      </c>
      <c r="O254" t="s">
        <v>31</v>
      </c>
      <c r="P254">
        <v>73088</v>
      </c>
      <c r="Q254">
        <v>55.87</v>
      </c>
      <c r="R254">
        <v>219.69499999999999</v>
      </c>
      <c r="S254">
        <v>-0.41828776250499489</v>
      </c>
      <c r="T254">
        <v>8.7763186551590919E-3</v>
      </c>
      <c r="U254">
        <v>4.8819021072379759E-3</v>
      </c>
      <c r="V254">
        <v>3.8881201703973201E-3</v>
      </c>
      <c r="W254">
        <v>9.9378193684065584E-4</v>
      </c>
      <c r="X254" s="19">
        <f t="shared" si="9"/>
        <v>46133</v>
      </c>
      <c r="Y254" s="19">
        <f t="shared" si="10"/>
        <v>46133</v>
      </c>
      <c r="Z254">
        <f t="array" ref="Z254">_xlfn.XLOOKUP(INT(X254),INT($AE$2:$AE$1000),$AG$2:$AG$1000,"")</f>
        <v>19.5</v>
      </c>
      <c r="AE254" s="19">
        <f t="shared" si="11"/>
        <v>46227</v>
      </c>
      <c r="AF254" t="s">
        <v>217</v>
      </c>
      <c r="AG254">
        <v>18.579999999999998</v>
      </c>
    </row>
    <row r="255" spans="1:33" x14ac:dyDescent="0.3">
      <c r="A255">
        <v>12</v>
      </c>
      <c r="B255" t="s">
        <v>28</v>
      </c>
      <c r="C255" t="s">
        <v>33</v>
      </c>
      <c r="D255">
        <v>73332</v>
      </c>
      <c r="E255">
        <v>307.93</v>
      </c>
      <c r="F255">
        <v>52.354999999999997</v>
      </c>
      <c r="G255">
        <v>307.96079300000002</v>
      </c>
      <c r="H255">
        <v>52.349764499999999</v>
      </c>
      <c r="I255">
        <v>-3.534553671923693</v>
      </c>
      <c r="J255">
        <v>0.64254462380957211</v>
      </c>
      <c r="K255">
        <v>3.2474913129607368E-2</v>
      </c>
      <c r="L255">
        <v>-0.1227284163517471</v>
      </c>
      <c r="M255" t="s">
        <v>32</v>
      </c>
      <c r="N255">
        <v>7</v>
      </c>
      <c r="O255" t="s">
        <v>31</v>
      </c>
      <c r="P255">
        <v>73339</v>
      </c>
      <c r="Q255">
        <v>308.52999999999997</v>
      </c>
      <c r="R255">
        <v>52.44</v>
      </c>
      <c r="S255">
        <v>0.14909367844301649</v>
      </c>
      <c r="T255">
        <v>9.0530324878647043E-3</v>
      </c>
      <c r="U255">
        <v>5.7649515539194979E-3</v>
      </c>
      <c r="V255">
        <v>3.2851607386943831E-3</v>
      </c>
      <c r="W255">
        <v>2.4797908152251148E-3</v>
      </c>
      <c r="X255" s="19">
        <f t="shared" si="9"/>
        <v>46134</v>
      </c>
      <c r="Y255" s="19">
        <f t="shared" si="10"/>
        <v>46134</v>
      </c>
      <c r="Z255">
        <f t="array" ref="Z255">_xlfn.XLOOKUP(INT(X255),INT($AE$2:$AE$1000),$AG$2:$AG$1000,"")</f>
        <v>18.920000000000002</v>
      </c>
      <c r="AE255" s="19">
        <f t="shared" si="11"/>
        <v>46230</v>
      </c>
      <c r="AF255" t="s">
        <v>218</v>
      </c>
      <c r="AG255">
        <v>18.670000000000002</v>
      </c>
    </row>
    <row r="256" spans="1:33" x14ac:dyDescent="0.3">
      <c r="A256">
        <v>12</v>
      </c>
      <c r="B256" t="s">
        <v>28</v>
      </c>
      <c r="C256" t="s">
        <v>33</v>
      </c>
      <c r="D256">
        <v>73456</v>
      </c>
      <c r="E256">
        <v>307.94</v>
      </c>
      <c r="F256">
        <v>52.63</v>
      </c>
      <c r="G256">
        <v>307.97079400000001</v>
      </c>
      <c r="H256">
        <v>52.624737000000003</v>
      </c>
      <c r="I256">
        <v>-3.6284035323823631</v>
      </c>
      <c r="J256">
        <v>0.64254462380957211</v>
      </c>
      <c r="K256">
        <v>3.2473858543872178E-2</v>
      </c>
      <c r="L256">
        <v>-0.1220871411380528</v>
      </c>
      <c r="M256" t="s">
        <v>32</v>
      </c>
      <c r="N256">
        <v>22</v>
      </c>
      <c r="O256" t="s">
        <v>31</v>
      </c>
      <c r="P256">
        <v>73478</v>
      </c>
      <c r="Q256">
        <v>308.36</v>
      </c>
      <c r="R256">
        <v>52.8</v>
      </c>
      <c r="S256">
        <v>-0.41686411226624231</v>
      </c>
      <c r="T256">
        <v>-7.1157934050414869E-3</v>
      </c>
      <c r="U256">
        <v>-1.0404322036119811E-2</v>
      </c>
      <c r="V256">
        <v>3.2851607386943831E-3</v>
      </c>
      <c r="W256">
        <v>-1.368948277481419E-2</v>
      </c>
      <c r="X256" s="19">
        <f t="shared" si="9"/>
        <v>46134</v>
      </c>
      <c r="Y256" s="19">
        <f t="shared" si="10"/>
        <v>46134</v>
      </c>
      <c r="Z256">
        <f t="array" ref="Z256">_xlfn.XLOOKUP(INT(X256),INT($AE$2:$AE$1000),$AG$2:$AG$1000,"")</f>
        <v>18.920000000000002</v>
      </c>
      <c r="AE256" s="19">
        <f t="shared" si="11"/>
        <v>46231</v>
      </c>
      <c r="AF256" t="s">
        <v>219</v>
      </c>
      <c r="AG256">
        <v>18.21</v>
      </c>
    </row>
    <row r="257" spans="1:33" x14ac:dyDescent="0.3">
      <c r="A257">
        <v>12</v>
      </c>
      <c r="B257" t="s">
        <v>36</v>
      </c>
      <c r="C257" t="s">
        <v>35</v>
      </c>
      <c r="D257">
        <v>73845</v>
      </c>
      <c r="E257">
        <v>56.5</v>
      </c>
      <c r="F257">
        <v>50.72</v>
      </c>
      <c r="G257">
        <v>56.494349999999997</v>
      </c>
      <c r="H257">
        <v>50.725071999999997</v>
      </c>
      <c r="I257">
        <v>4.9826043081265041</v>
      </c>
      <c r="J257">
        <v>0.74857427477368232</v>
      </c>
      <c r="K257">
        <v>-0.1769911504424779</v>
      </c>
      <c r="L257">
        <v>0.14758956521563141</v>
      </c>
      <c r="M257" t="s">
        <v>30</v>
      </c>
      <c r="N257">
        <v>22</v>
      </c>
      <c r="O257" t="s">
        <v>31</v>
      </c>
      <c r="P257">
        <v>73867</v>
      </c>
      <c r="Q257">
        <v>56.594999999999999</v>
      </c>
      <c r="R257">
        <v>50.79</v>
      </c>
      <c r="S257">
        <v>0.30221586057821492</v>
      </c>
      <c r="T257">
        <v>-6.4828897269409566E-3</v>
      </c>
      <c r="U257">
        <v>-9.9827528193746316E-3</v>
      </c>
      <c r="V257">
        <v>3.4970982644023201E-3</v>
      </c>
      <c r="W257">
        <v>-1.347985108377695E-2</v>
      </c>
      <c r="X257" s="19">
        <f t="shared" si="9"/>
        <v>46135</v>
      </c>
      <c r="Y257" s="19">
        <f t="shared" si="10"/>
        <v>46135</v>
      </c>
      <c r="Z257">
        <f t="array" ref="Z257">_xlfn.XLOOKUP(INT(X257),INT($AE$2:$AE$1000),$AG$2:$AG$1000,"")</f>
        <v>19.309999999999999</v>
      </c>
      <c r="AE257" s="19">
        <f t="shared" si="11"/>
        <v>46232</v>
      </c>
      <c r="AF257" t="s">
        <v>220</v>
      </c>
      <c r="AG257">
        <v>20.66</v>
      </c>
    </row>
    <row r="258" spans="1:33" x14ac:dyDescent="0.3">
      <c r="A258">
        <v>12</v>
      </c>
      <c r="B258" t="s">
        <v>28</v>
      </c>
      <c r="C258" t="s">
        <v>33</v>
      </c>
      <c r="D258">
        <v>74238</v>
      </c>
      <c r="E258">
        <v>314.41000000000003</v>
      </c>
      <c r="F258">
        <v>53.73</v>
      </c>
      <c r="G258">
        <v>314.441441</v>
      </c>
      <c r="H258">
        <v>53.724626999999998</v>
      </c>
      <c r="I258">
        <v>-3.6679358866883209</v>
      </c>
      <c r="J258">
        <v>0.64254462380957211</v>
      </c>
      <c r="K258">
        <v>3.1805604147450782E-2</v>
      </c>
      <c r="L258">
        <v>-0.1195876835677596</v>
      </c>
      <c r="M258" t="s">
        <v>32</v>
      </c>
      <c r="N258">
        <v>23</v>
      </c>
      <c r="O258" t="s">
        <v>31</v>
      </c>
      <c r="P258">
        <v>74261</v>
      </c>
      <c r="Q258">
        <v>312.27</v>
      </c>
      <c r="R258">
        <v>53.56</v>
      </c>
      <c r="S258">
        <v>-0.49209464463398322</v>
      </c>
      <c r="T258">
        <v>-4.7734086669027551E-2</v>
      </c>
      <c r="U258">
        <v>-5.1010336526737379E-2</v>
      </c>
      <c r="V258">
        <v>3.2851607386943822E-3</v>
      </c>
      <c r="W258">
        <v>-5.4295497265431758E-2</v>
      </c>
      <c r="X258" s="19">
        <f t="shared" ref="X258:X321" si="12">WORKDAY(DATE(2025,8,2),INT(D258/390))</f>
        <v>46136</v>
      </c>
      <c r="Y258" s="19">
        <f t="shared" ref="Y258:Y321" si="13">WORKDAY(DATE(2025,8,2),INT(P258/390))</f>
        <v>46136</v>
      </c>
      <c r="Z258">
        <f t="array" ref="Z258">_xlfn.XLOOKUP(INT(X258),INT($AE$2:$AE$1000),$AG$2:$AG$1000,"")</f>
        <v>18.71</v>
      </c>
      <c r="AE258" s="19">
        <f t="shared" ref="AE258:AE321" si="14">IF(ISNUMBER(AF258),DATE(YEAR(AF258),DAY(AF258),MONTH(AF258)),DATE(RIGHT(AF258,4),LEFT(AF258,2),MID(AF258,4,2)))</f>
        <v>46233</v>
      </c>
      <c r="AF258" t="s">
        <v>221</v>
      </c>
      <c r="AG258">
        <v>17.09</v>
      </c>
    </row>
    <row r="259" spans="1:33" x14ac:dyDescent="0.3">
      <c r="A259">
        <v>12</v>
      </c>
      <c r="B259" t="s">
        <v>36</v>
      </c>
      <c r="C259" t="s">
        <v>35</v>
      </c>
      <c r="D259">
        <v>74507</v>
      </c>
      <c r="E259">
        <v>55.164999999999999</v>
      </c>
      <c r="F259">
        <v>49.79</v>
      </c>
      <c r="G259">
        <v>55.170516499999998</v>
      </c>
      <c r="H259">
        <v>49.785021</v>
      </c>
      <c r="I259">
        <v>-3.5484335971717971</v>
      </c>
      <c r="J259">
        <v>0.74857427477368232</v>
      </c>
      <c r="K259">
        <v>0.18127435874195599</v>
      </c>
      <c r="L259">
        <v>-0.15034630945444519</v>
      </c>
      <c r="M259" t="s">
        <v>32</v>
      </c>
      <c r="N259">
        <v>1</v>
      </c>
      <c r="O259" t="s">
        <v>31</v>
      </c>
      <c r="P259">
        <v>74508</v>
      </c>
      <c r="Q259">
        <v>55.204999999999998</v>
      </c>
      <c r="R259">
        <v>49.725000000000001</v>
      </c>
      <c r="S259">
        <v>0.38383503276192049</v>
      </c>
      <c r="T259">
        <v>1.7023484464216681E-2</v>
      </c>
      <c r="U259">
        <v>1.352658806824553E-2</v>
      </c>
      <c r="V259">
        <v>3.4971988346924111E-3</v>
      </c>
      <c r="W259">
        <v>1.0029389233553119E-2</v>
      </c>
      <c r="X259" s="19">
        <f t="shared" si="12"/>
        <v>46139</v>
      </c>
      <c r="Y259" s="19">
        <f t="shared" si="13"/>
        <v>46139</v>
      </c>
      <c r="Z259">
        <f t="array" ref="Z259">_xlfn.XLOOKUP(INT(X259),INT($AE$2:$AE$1000),$AG$2:$AG$1000,"")</f>
        <v>18.02</v>
      </c>
      <c r="AE259" s="19">
        <f t="shared" si="14"/>
        <v>46234</v>
      </c>
      <c r="AF259" t="s">
        <v>222</v>
      </c>
      <c r="AG259">
        <v>15.99</v>
      </c>
    </row>
    <row r="260" spans="1:33" x14ac:dyDescent="0.3">
      <c r="A260">
        <v>12</v>
      </c>
      <c r="B260" t="s">
        <v>36</v>
      </c>
      <c r="C260" t="s">
        <v>35</v>
      </c>
      <c r="D260">
        <v>74564</v>
      </c>
      <c r="E260">
        <v>55.31</v>
      </c>
      <c r="F260">
        <v>49.74</v>
      </c>
      <c r="G260">
        <v>55.304468999999997</v>
      </c>
      <c r="H260">
        <v>49.744973999999999</v>
      </c>
      <c r="I260">
        <v>4.0454391603247037</v>
      </c>
      <c r="J260">
        <v>0.74857427477368232</v>
      </c>
      <c r="K260">
        <v>-0.1807991321641656</v>
      </c>
      <c r="L260">
        <v>0.15049744165132331</v>
      </c>
      <c r="M260" t="s">
        <v>30</v>
      </c>
      <c r="N260">
        <v>3</v>
      </c>
      <c r="O260" t="s">
        <v>31</v>
      </c>
      <c r="P260">
        <v>74567</v>
      </c>
      <c r="Q260">
        <v>55.27</v>
      </c>
      <c r="R260">
        <v>49.81</v>
      </c>
      <c r="S260">
        <v>-0.41609453644725131</v>
      </c>
      <c r="T260">
        <v>1.776678620215915E-2</v>
      </c>
      <c r="U260">
        <v>1.4269307367049471E-2</v>
      </c>
      <c r="V260">
        <v>3.4970982644023201E-3</v>
      </c>
      <c r="W260">
        <v>1.0772209102647151E-2</v>
      </c>
      <c r="X260" s="19">
        <f t="shared" si="12"/>
        <v>46139</v>
      </c>
      <c r="Y260" s="19">
        <f t="shared" si="13"/>
        <v>46139</v>
      </c>
      <c r="Z260">
        <f t="array" ref="Z260">_xlfn.XLOOKUP(INT(X260),INT($AE$2:$AE$1000),$AG$2:$AG$1000,"")</f>
        <v>18.02</v>
      </c>
      <c r="AE260" s="19" t="e">
        <f t="shared" si="14"/>
        <v>#VALUE!</v>
      </c>
      <c r="AF260" s="19"/>
    </row>
    <row r="261" spans="1:33" x14ac:dyDescent="0.3">
      <c r="A261">
        <v>12</v>
      </c>
      <c r="B261" t="s">
        <v>28</v>
      </c>
      <c r="C261" t="s">
        <v>37</v>
      </c>
      <c r="D261">
        <v>74621</v>
      </c>
      <c r="E261">
        <v>306.51499999999999</v>
      </c>
      <c r="F261">
        <v>219.21</v>
      </c>
      <c r="G261">
        <v>306.54565150000002</v>
      </c>
      <c r="H261">
        <v>219.18807899999999</v>
      </c>
      <c r="I261">
        <v>-3.6440828443259998</v>
      </c>
      <c r="J261">
        <v>0.61672327119074122</v>
      </c>
      <c r="K261">
        <v>3.2624830758690437E-2</v>
      </c>
      <c r="L261">
        <v>-2.8133902248562621E-2</v>
      </c>
      <c r="M261" t="s">
        <v>32</v>
      </c>
      <c r="N261">
        <v>7</v>
      </c>
      <c r="O261" t="s">
        <v>31</v>
      </c>
      <c r="P261">
        <v>74628</v>
      </c>
      <c r="Q261">
        <v>307.63</v>
      </c>
      <c r="R261">
        <v>219.98</v>
      </c>
      <c r="S261">
        <v>-0.19447577455547449</v>
      </c>
      <c r="T261">
        <v>1.471358156454743E-2</v>
      </c>
      <c r="U261">
        <v>1.1474331043065E-2</v>
      </c>
      <c r="V261">
        <v>3.233523197727245E-3</v>
      </c>
      <c r="W261">
        <v>8.2408078453377557E-3</v>
      </c>
      <c r="X261" s="19">
        <f t="shared" si="12"/>
        <v>46139</v>
      </c>
      <c r="Y261" s="19">
        <f t="shared" si="13"/>
        <v>46139</v>
      </c>
      <c r="Z261">
        <f t="array" ref="Z261">_xlfn.XLOOKUP(INT(X261),INT($AE$2:$AE$1000),$AG$2:$AG$1000,"")</f>
        <v>18.02</v>
      </c>
      <c r="AE261" s="19" t="e">
        <f t="shared" si="14"/>
        <v>#VALUE!</v>
      </c>
      <c r="AF261" s="19"/>
    </row>
    <row r="262" spans="1:33" x14ac:dyDescent="0.3">
      <c r="A262">
        <v>12</v>
      </c>
      <c r="B262" t="s">
        <v>36</v>
      </c>
      <c r="C262" t="s">
        <v>35</v>
      </c>
      <c r="D262">
        <v>74694</v>
      </c>
      <c r="E262">
        <v>55.32</v>
      </c>
      <c r="F262">
        <v>49.29</v>
      </c>
      <c r="G262">
        <v>55.314467999999998</v>
      </c>
      <c r="H262">
        <v>49.294929000000003</v>
      </c>
      <c r="I262">
        <v>3.5168655944535829</v>
      </c>
      <c r="J262">
        <v>0.74857427477368232</v>
      </c>
      <c r="K262">
        <v>-0.18076644974692699</v>
      </c>
      <c r="L262">
        <v>0.1518714292500877</v>
      </c>
      <c r="M262" t="s">
        <v>30</v>
      </c>
      <c r="N262">
        <v>1</v>
      </c>
      <c r="O262" t="s">
        <v>31</v>
      </c>
      <c r="P262">
        <v>74695</v>
      </c>
      <c r="Q262">
        <v>55.28</v>
      </c>
      <c r="R262">
        <v>49.38</v>
      </c>
      <c r="S262">
        <v>0.41823279948418002</v>
      </c>
      <c r="T262">
        <v>2.0899086622385338E-2</v>
      </c>
      <c r="U262">
        <v>1.7401294295773639E-2</v>
      </c>
      <c r="V262">
        <v>3.4970982644023201E-3</v>
      </c>
      <c r="W262">
        <v>1.3904196031371319E-2</v>
      </c>
      <c r="X262" s="19">
        <f t="shared" si="12"/>
        <v>46139</v>
      </c>
      <c r="Y262" s="19">
        <f t="shared" si="13"/>
        <v>46139</v>
      </c>
      <c r="Z262">
        <f t="array" ref="Z262">_xlfn.XLOOKUP(INT(X262),INT($AE$2:$AE$1000),$AG$2:$AG$1000,"")</f>
        <v>18.02</v>
      </c>
      <c r="AE262" s="19" t="e">
        <f t="shared" si="14"/>
        <v>#VALUE!</v>
      </c>
      <c r="AF262" s="19"/>
    </row>
    <row r="263" spans="1:33" x14ac:dyDescent="0.3">
      <c r="A263">
        <v>13</v>
      </c>
      <c r="B263" t="s">
        <v>28</v>
      </c>
      <c r="C263" t="s">
        <v>29</v>
      </c>
      <c r="D263">
        <v>74746</v>
      </c>
      <c r="E263">
        <v>301.08</v>
      </c>
      <c r="F263">
        <v>932.79</v>
      </c>
      <c r="G263">
        <v>301.11010800000003</v>
      </c>
      <c r="H263">
        <v>932.69672100000003</v>
      </c>
      <c r="I263">
        <v>-3.5009916811704072</v>
      </c>
      <c r="J263">
        <v>0.6000348342895766</v>
      </c>
      <c r="K263">
        <v>3.3213763783711971E-2</v>
      </c>
      <c r="L263">
        <v>-6.4326893972874557E-3</v>
      </c>
      <c r="M263" t="s">
        <v>32</v>
      </c>
      <c r="N263">
        <v>5</v>
      </c>
      <c r="O263" t="s">
        <v>31</v>
      </c>
      <c r="P263">
        <v>74751</v>
      </c>
      <c r="Q263">
        <v>302.37</v>
      </c>
      <c r="R263">
        <v>934.89</v>
      </c>
      <c r="S263">
        <v>-0.42043717771910188</v>
      </c>
      <c r="T263">
        <v>2.933710754668532E-2</v>
      </c>
      <c r="U263">
        <v>2.613140243780571E-2</v>
      </c>
      <c r="V263">
        <v>3.2001496616122951E-3</v>
      </c>
      <c r="W263">
        <v>2.2931252776193421E-2</v>
      </c>
      <c r="X263" s="19">
        <f t="shared" si="12"/>
        <v>46139</v>
      </c>
      <c r="Y263" s="19">
        <f t="shared" si="13"/>
        <v>46139</v>
      </c>
      <c r="Z263">
        <f t="array" ref="Z263">_xlfn.XLOOKUP(INT(X263),INT($AE$2:$AE$1000),$AG$2:$AG$1000,"")</f>
        <v>18.02</v>
      </c>
      <c r="AE263" s="19" t="e">
        <f t="shared" si="14"/>
        <v>#VALUE!</v>
      </c>
    </row>
    <row r="264" spans="1:33" x14ac:dyDescent="0.3">
      <c r="A264">
        <v>13</v>
      </c>
      <c r="B264" t="s">
        <v>33</v>
      </c>
      <c r="C264" t="s">
        <v>29</v>
      </c>
      <c r="D264">
        <v>74781</v>
      </c>
      <c r="E264">
        <v>51.82</v>
      </c>
      <c r="F264">
        <v>935.56</v>
      </c>
      <c r="G264">
        <v>51.814818000000002</v>
      </c>
      <c r="H264">
        <v>935.65355599999998</v>
      </c>
      <c r="I264">
        <v>3.794765589458867</v>
      </c>
      <c r="J264">
        <v>0.85171748172910733</v>
      </c>
      <c r="K264">
        <v>-0.19297568506368201</v>
      </c>
      <c r="L264">
        <v>9.103825320974682E-3</v>
      </c>
      <c r="M264" t="s">
        <v>30</v>
      </c>
      <c r="N264">
        <v>19</v>
      </c>
      <c r="O264" t="s">
        <v>31</v>
      </c>
      <c r="P264">
        <v>74800</v>
      </c>
      <c r="Q264">
        <v>51.765000000000001</v>
      </c>
      <c r="R264">
        <v>934.33</v>
      </c>
      <c r="S264">
        <v>0.27356420618899963</v>
      </c>
      <c r="T264">
        <v>-5.8404246629553506E-4</v>
      </c>
      <c r="U264">
        <v>-4.2852962929708673E-3</v>
      </c>
      <c r="V264">
        <v>3.7034053069545611E-3</v>
      </c>
      <c r="W264">
        <v>-7.9887015999254279E-3</v>
      </c>
      <c r="X264" s="19">
        <f t="shared" si="12"/>
        <v>46139</v>
      </c>
      <c r="Y264" s="19">
        <f t="shared" si="13"/>
        <v>46139</v>
      </c>
      <c r="Z264">
        <f t="array" ref="Z264">_xlfn.XLOOKUP(INT(X264),INT($AE$2:$AE$1000),$AG$2:$AG$1000,"")</f>
        <v>18.02</v>
      </c>
      <c r="AE264" s="19" t="e">
        <f t="shared" si="14"/>
        <v>#VALUE!</v>
      </c>
    </row>
    <row r="265" spans="1:33" x14ac:dyDescent="0.3">
      <c r="A265">
        <v>13</v>
      </c>
      <c r="B265" t="s">
        <v>28</v>
      </c>
      <c r="C265" t="s">
        <v>33</v>
      </c>
      <c r="D265">
        <v>75016</v>
      </c>
      <c r="E265">
        <v>302.45999999999998</v>
      </c>
      <c r="F265">
        <v>51.125</v>
      </c>
      <c r="G265">
        <v>302.429754</v>
      </c>
      <c r="H265">
        <v>51.130112500000003</v>
      </c>
      <c r="I265">
        <v>4.6136771034114554</v>
      </c>
      <c r="J265">
        <v>0.68331082867186255</v>
      </c>
      <c r="K265">
        <v>-3.3062223103881509E-2</v>
      </c>
      <c r="L265">
        <v>0.13365492981356719</v>
      </c>
      <c r="M265" t="s">
        <v>30</v>
      </c>
      <c r="N265">
        <v>21</v>
      </c>
      <c r="O265" t="s">
        <v>31</v>
      </c>
      <c r="P265">
        <v>75037</v>
      </c>
      <c r="Q265">
        <v>302.73500000000001</v>
      </c>
      <c r="R265">
        <v>51.11</v>
      </c>
      <c r="S265">
        <v>0.48281534358675282</v>
      </c>
      <c r="T265">
        <v>-1.109693530077213E-2</v>
      </c>
      <c r="U265">
        <v>-1.4464265686856711E-2</v>
      </c>
      <c r="V265">
        <v>3.3665583195094601E-3</v>
      </c>
      <c r="W265">
        <v>-1.783082400636617E-2</v>
      </c>
      <c r="X265" s="19">
        <f t="shared" si="12"/>
        <v>46140</v>
      </c>
      <c r="Y265" s="19">
        <f t="shared" si="13"/>
        <v>46140</v>
      </c>
      <c r="Z265">
        <f t="array" ref="Z265">_xlfn.XLOOKUP(INT(X265),INT($AE$2:$AE$1000),$AG$2:$AG$1000,"")</f>
        <v>17.829999999999998</v>
      </c>
      <c r="AE265" s="19" t="e">
        <f t="shared" si="14"/>
        <v>#VALUE!</v>
      </c>
    </row>
    <row r="266" spans="1:33" x14ac:dyDescent="0.3">
      <c r="A266">
        <v>13</v>
      </c>
      <c r="B266" t="s">
        <v>36</v>
      </c>
      <c r="C266" t="s">
        <v>35</v>
      </c>
      <c r="D266">
        <v>75112</v>
      </c>
      <c r="E266">
        <v>54.83</v>
      </c>
      <c r="F266">
        <v>48.305</v>
      </c>
      <c r="G266">
        <v>54.835483000000004</v>
      </c>
      <c r="H266">
        <v>48.300169500000003</v>
      </c>
      <c r="I266">
        <v>-4.2326527406706296</v>
      </c>
      <c r="J266">
        <v>0.75628208658027485</v>
      </c>
      <c r="K266">
        <v>0.18238190771475471</v>
      </c>
      <c r="L266">
        <v>-0.15656393470246871</v>
      </c>
      <c r="M266" t="s">
        <v>32</v>
      </c>
      <c r="N266">
        <v>11</v>
      </c>
      <c r="O266" t="s">
        <v>31</v>
      </c>
      <c r="P266">
        <v>75123</v>
      </c>
      <c r="Q266">
        <v>54.7</v>
      </c>
      <c r="R266">
        <v>48.08</v>
      </c>
      <c r="S266">
        <v>-0.41116092561751189</v>
      </c>
      <c r="T266">
        <v>1.151723730513839E-2</v>
      </c>
      <c r="U266">
        <v>8.0105667853097341E-3</v>
      </c>
      <c r="V266">
        <v>3.5126129167432339E-3</v>
      </c>
      <c r="W266">
        <v>4.4979538685665007E-3</v>
      </c>
      <c r="X266" s="19">
        <f t="shared" si="12"/>
        <v>46140</v>
      </c>
      <c r="Y266" s="19">
        <f t="shared" si="13"/>
        <v>46140</v>
      </c>
      <c r="Z266">
        <f t="array" ref="Z266">_xlfn.XLOOKUP(INT(X266),INT($AE$2:$AE$1000),$AG$2:$AG$1000,"")</f>
        <v>17.829999999999998</v>
      </c>
      <c r="AE266" s="19" t="e">
        <f t="shared" si="14"/>
        <v>#VALUE!</v>
      </c>
    </row>
    <row r="267" spans="1:33" x14ac:dyDescent="0.3">
      <c r="A267">
        <v>13</v>
      </c>
      <c r="B267" t="s">
        <v>33</v>
      </c>
      <c r="C267" t="s">
        <v>29</v>
      </c>
      <c r="D267">
        <v>75408</v>
      </c>
      <c r="E267">
        <v>50.77</v>
      </c>
      <c r="F267">
        <v>942.96</v>
      </c>
      <c r="G267">
        <v>50.764923000000003</v>
      </c>
      <c r="H267">
        <v>943.05429600000002</v>
      </c>
      <c r="I267">
        <v>4.5045078849669693</v>
      </c>
      <c r="J267">
        <v>0.85171748172910733</v>
      </c>
      <c r="K267">
        <v>-0.19696671262556631</v>
      </c>
      <c r="L267">
        <v>9.0323818797097138E-3</v>
      </c>
      <c r="M267" t="s">
        <v>30</v>
      </c>
      <c r="N267">
        <v>12</v>
      </c>
      <c r="O267" t="s">
        <v>31</v>
      </c>
      <c r="P267">
        <v>75420</v>
      </c>
      <c r="Q267">
        <v>49.98</v>
      </c>
      <c r="R267">
        <v>926.04499999999996</v>
      </c>
      <c r="S267">
        <v>0.43172802080430528</v>
      </c>
      <c r="T267">
        <v>2.8209634789080622E-3</v>
      </c>
      <c r="U267">
        <v>-8.5163284030312369E-4</v>
      </c>
      <c r="V267">
        <v>3.7034053069545602E-3</v>
      </c>
      <c r="W267">
        <v>-4.5550381472576843E-3</v>
      </c>
      <c r="X267" s="19">
        <f t="shared" si="12"/>
        <v>46141</v>
      </c>
      <c r="Y267" s="19">
        <f t="shared" si="13"/>
        <v>46141</v>
      </c>
      <c r="Z267">
        <f t="array" ref="Z267">_xlfn.XLOOKUP(INT(X267),INT($AE$2:$AE$1000),$AG$2:$AG$1000,"")</f>
        <v>18.809999999999999</v>
      </c>
      <c r="AE267" s="19" t="e">
        <f t="shared" si="14"/>
        <v>#VALUE!</v>
      </c>
    </row>
    <row r="268" spans="1:33" x14ac:dyDescent="0.3">
      <c r="A268">
        <v>13</v>
      </c>
      <c r="B268" t="s">
        <v>28</v>
      </c>
      <c r="C268" t="s">
        <v>33</v>
      </c>
      <c r="D268">
        <v>75575</v>
      </c>
      <c r="E268">
        <v>302.46499999999997</v>
      </c>
      <c r="F268">
        <v>50.56</v>
      </c>
      <c r="G268">
        <v>302.4347535</v>
      </c>
      <c r="H268">
        <v>50.565055999999998</v>
      </c>
      <c r="I268">
        <v>3.6313271781396792</v>
      </c>
      <c r="J268">
        <v>0.68331082867186255</v>
      </c>
      <c r="K268">
        <v>-3.3061676557618241E-2</v>
      </c>
      <c r="L268">
        <v>0.13514850250630189</v>
      </c>
      <c r="M268" t="s">
        <v>30</v>
      </c>
      <c r="N268">
        <v>23</v>
      </c>
      <c r="O268" t="s">
        <v>31</v>
      </c>
      <c r="P268">
        <v>75598</v>
      </c>
      <c r="Q268">
        <v>302.89499999999998</v>
      </c>
      <c r="R268">
        <v>50.645000000000003</v>
      </c>
      <c r="S268">
        <v>0.27060618953778059</v>
      </c>
      <c r="T268">
        <v>-2.7288982067402898E-3</v>
      </c>
      <c r="U268">
        <v>-6.0980902784448024E-3</v>
      </c>
      <c r="V268">
        <v>3.3665583195094601E-3</v>
      </c>
      <c r="W268">
        <v>-9.4646485979542616E-3</v>
      </c>
      <c r="X268" s="19">
        <f t="shared" si="12"/>
        <v>46141</v>
      </c>
      <c r="Y268" s="19">
        <f t="shared" si="13"/>
        <v>46141</v>
      </c>
      <c r="Z268">
        <f t="array" ref="Z268">_xlfn.XLOOKUP(INT(X268),INT($AE$2:$AE$1000),$AG$2:$AG$1000,"")</f>
        <v>18.809999999999999</v>
      </c>
      <c r="AE268" s="19" t="e">
        <f t="shared" si="14"/>
        <v>#VALUE!</v>
      </c>
    </row>
    <row r="269" spans="1:33" x14ac:dyDescent="0.3">
      <c r="A269">
        <v>13</v>
      </c>
      <c r="B269" t="s">
        <v>36</v>
      </c>
      <c r="C269" t="s">
        <v>37</v>
      </c>
      <c r="D269">
        <v>75608</v>
      </c>
      <c r="E269">
        <v>54.45</v>
      </c>
      <c r="F269">
        <v>214.715</v>
      </c>
      <c r="G269">
        <v>54.444555000000001</v>
      </c>
      <c r="H269">
        <v>214.73647149999999</v>
      </c>
      <c r="I269">
        <v>3.6354004325012448</v>
      </c>
      <c r="J269">
        <v>0.96501910880198527</v>
      </c>
      <c r="K269">
        <v>-0.18365472910927461</v>
      </c>
      <c r="L269">
        <v>4.4944186889690298E-2</v>
      </c>
      <c r="M269" t="s">
        <v>30</v>
      </c>
      <c r="N269">
        <v>20</v>
      </c>
      <c r="O269" t="s">
        <v>31</v>
      </c>
      <c r="P269">
        <v>75628</v>
      </c>
      <c r="Q269">
        <v>54.62</v>
      </c>
      <c r="R269">
        <v>215.41</v>
      </c>
      <c r="S269">
        <v>0.44565455766834738</v>
      </c>
      <c r="T269">
        <v>1.4905939758769891E-5</v>
      </c>
      <c r="U269">
        <v>-3.9213780292283312E-3</v>
      </c>
      <c r="V269">
        <v>3.9300312214257307E-3</v>
      </c>
      <c r="W269">
        <v>-7.8514092506540619E-3</v>
      </c>
      <c r="X269" s="19">
        <f t="shared" si="12"/>
        <v>46141</v>
      </c>
      <c r="Y269" s="19">
        <f t="shared" si="13"/>
        <v>46141</v>
      </c>
      <c r="Z269">
        <f t="array" ref="Z269">_xlfn.XLOOKUP(INT(X269),INT($AE$2:$AE$1000),$AG$2:$AG$1000,"")</f>
        <v>18.809999999999999</v>
      </c>
      <c r="AE269" s="19" t="e">
        <f t="shared" si="14"/>
        <v>#VALUE!</v>
      </c>
    </row>
    <row r="270" spans="1:33" x14ac:dyDescent="0.3">
      <c r="A270">
        <v>13</v>
      </c>
      <c r="B270" t="s">
        <v>33</v>
      </c>
      <c r="C270" t="s">
        <v>29</v>
      </c>
      <c r="D270">
        <v>75799</v>
      </c>
      <c r="E270">
        <v>50.15</v>
      </c>
      <c r="F270">
        <v>939.58</v>
      </c>
      <c r="G270">
        <v>50.155014999999999</v>
      </c>
      <c r="H270">
        <v>939.486042</v>
      </c>
      <c r="I270">
        <v>-4.6248438965208933</v>
      </c>
      <c r="J270">
        <v>0.85171748172910733</v>
      </c>
      <c r="K270">
        <v>0.19940179461615151</v>
      </c>
      <c r="L270">
        <v>-9.0648745368048199E-3</v>
      </c>
      <c r="M270" t="s">
        <v>32</v>
      </c>
      <c r="N270">
        <v>1</v>
      </c>
      <c r="O270" t="s">
        <v>31</v>
      </c>
      <c r="P270">
        <v>75800</v>
      </c>
      <c r="Q270">
        <v>50.405000000000001</v>
      </c>
      <c r="R270">
        <v>937.06500000000005</v>
      </c>
      <c r="S270">
        <v>7.0955325307362579E-2</v>
      </c>
      <c r="T270">
        <v>7.3645617087183146E-2</v>
      </c>
      <c r="U270">
        <v>6.9939377193908386E-2</v>
      </c>
      <c r="V270">
        <v>3.7034646199618688E-3</v>
      </c>
      <c r="W270">
        <v>6.6235912573946523E-2</v>
      </c>
      <c r="X270" s="19">
        <f t="shared" si="12"/>
        <v>46142</v>
      </c>
      <c r="Y270" s="19">
        <f t="shared" si="13"/>
        <v>46142</v>
      </c>
      <c r="Z270">
        <f t="array" ref="Z270">_xlfn.XLOOKUP(INT(X270),INT($AE$2:$AE$1000),$AG$2:$AG$1000,"")</f>
        <v>16.89</v>
      </c>
      <c r="AE270" s="19" t="e">
        <f t="shared" si="14"/>
        <v>#VALUE!</v>
      </c>
    </row>
    <row r="271" spans="1:33" x14ac:dyDescent="0.3">
      <c r="A271">
        <v>13</v>
      </c>
      <c r="B271" t="s">
        <v>36</v>
      </c>
      <c r="C271" t="s">
        <v>37</v>
      </c>
      <c r="D271">
        <v>75803</v>
      </c>
      <c r="E271">
        <v>53.965000000000003</v>
      </c>
      <c r="F271">
        <v>214.3</v>
      </c>
      <c r="G271">
        <v>53.9703965</v>
      </c>
      <c r="H271">
        <v>214.27857</v>
      </c>
      <c r="I271">
        <v>-3.894545598021919</v>
      </c>
      <c r="J271">
        <v>0.96501910880198527</v>
      </c>
      <c r="K271">
        <v>0.1853052904660428</v>
      </c>
      <c r="L271">
        <v>-4.5031222995892912E-2</v>
      </c>
      <c r="M271" t="s">
        <v>32</v>
      </c>
      <c r="N271">
        <v>20</v>
      </c>
      <c r="O271" t="s">
        <v>31</v>
      </c>
      <c r="P271">
        <v>75823</v>
      </c>
      <c r="Q271">
        <v>53.84</v>
      </c>
      <c r="R271">
        <v>213.845</v>
      </c>
      <c r="S271">
        <v>-0.47533808501658281</v>
      </c>
      <c r="T271">
        <v>-2.6739548451235121E-3</v>
      </c>
      <c r="U271">
        <v>-6.5996278259504368E-3</v>
      </c>
      <c r="V271">
        <v>3.9300452137822099E-3</v>
      </c>
      <c r="W271">
        <v>-1.0529673039732649E-2</v>
      </c>
      <c r="X271" s="19">
        <f t="shared" si="12"/>
        <v>46142</v>
      </c>
      <c r="Y271" s="19">
        <f t="shared" si="13"/>
        <v>46142</v>
      </c>
      <c r="Z271">
        <f t="array" ref="Z271">_xlfn.XLOOKUP(INT(X271),INT($AE$2:$AE$1000),$AG$2:$AG$1000,"")</f>
        <v>16.89</v>
      </c>
      <c r="AE271" s="19" t="e">
        <f t="shared" si="14"/>
        <v>#VALUE!</v>
      </c>
    </row>
    <row r="272" spans="1:33" x14ac:dyDescent="0.3">
      <c r="A272">
        <v>13</v>
      </c>
      <c r="B272" t="s">
        <v>28</v>
      </c>
      <c r="C272" t="s">
        <v>29</v>
      </c>
      <c r="D272">
        <v>76188</v>
      </c>
      <c r="E272">
        <v>300.32</v>
      </c>
      <c r="F272">
        <v>955.67</v>
      </c>
      <c r="G272">
        <v>300.350032</v>
      </c>
      <c r="H272">
        <v>955.574433</v>
      </c>
      <c r="I272">
        <v>-3.5925084928505222</v>
      </c>
      <c r="J272">
        <v>0.6000348342895766</v>
      </c>
      <c r="K272">
        <v>3.3297815663292492E-2</v>
      </c>
      <c r="L272">
        <v>-6.2786823306117869E-3</v>
      </c>
      <c r="M272" t="s">
        <v>32</v>
      </c>
      <c r="N272">
        <v>7</v>
      </c>
      <c r="O272" t="s">
        <v>31</v>
      </c>
      <c r="P272">
        <v>76195</v>
      </c>
      <c r="Q272">
        <v>302.77</v>
      </c>
      <c r="R272">
        <v>965.79</v>
      </c>
      <c r="S272">
        <v>-0.26353146003385941</v>
      </c>
      <c r="T272">
        <v>1.8039383189274921E-2</v>
      </c>
      <c r="U272">
        <v>1.482480152933921E-2</v>
      </c>
      <c r="V272">
        <v>3.200149661612296E-3</v>
      </c>
      <c r="W272">
        <v>1.1624651867726909E-2</v>
      </c>
      <c r="X272" s="19">
        <f t="shared" si="12"/>
        <v>46143</v>
      </c>
      <c r="Y272" s="19">
        <f t="shared" si="13"/>
        <v>46143</v>
      </c>
      <c r="Z272">
        <f t="array" ref="Z272">_xlfn.XLOOKUP(INT(X272),INT($AE$2:$AE$1000),$AG$2:$AG$1000,"")</f>
        <v>16.989999999999998</v>
      </c>
      <c r="AE272" s="19" t="e">
        <f t="shared" si="14"/>
        <v>#VALUE!</v>
      </c>
    </row>
    <row r="273" spans="1:32" x14ac:dyDescent="0.3">
      <c r="A273">
        <v>13</v>
      </c>
      <c r="B273" t="s">
        <v>33</v>
      </c>
      <c r="C273" t="s">
        <v>29</v>
      </c>
      <c r="D273">
        <v>76364</v>
      </c>
      <c r="E273">
        <v>50.185000000000002</v>
      </c>
      <c r="F273">
        <v>975.24</v>
      </c>
      <c r="G273">
        <v>50.190018500000001</v>
      </c>
      <c r="H273">
        <v>975.14247599999999</v>
      </c>
      <c r="I273">
        <v>-3.5529458434344501</v>
      </c>
      <c r="J273">
        <v>0.85171748172910733</v>
      </c>
      <c r="K273">
        <v>0.19926272790674501</v>
      </c>
      <c r="L273">
        <v>-8.7334141516868385E-3</v>
      </c>
      <c r="M273" t="s">
        <v>32</v>
      </c>
      <c r="N273">
        <v>14</v>
      </c>
      <c r="O273" t="s">
        <v>31</v>
      </c>
      <c r="P273">
        <v>76378</v>
      </c>
      <c r="Q273">
        <v>50.06</v>
      </c>
      <c r="R273">
        <v>971.29</v>
      </c>
      <c r="S273">
        <v>-0.47692231186799711</v>
      </c>
      <c r="T273">
        <v>9.5891449108202811E-3</v>
      </c>
      <c r="U273">
        <v>5.8916504300506461E-3</v>
      </c>
      <c r="V273">
        <v>3.7034646199618688E-3</v>
      </c>
      <c r="W273">
        <v>2.1881858100887769E-3</v>
      </c>
      <c r="X273" s="19">
        <f t="shared" si="12"/>
        <v>46143</v>
      </c>
      <c r="Y273" s="19">
        <f t="shared" si="13"/>
        <v>46143</v>
      </c>
      <c r="Z273">
        <f t="array" ref="Z273">_xlfn.XLOOKUP(INT(X273),INT($AE$2:$AE$1000),$AG$2:$AG$1000,"")</f>
        <v>16.989999999999998</v>
      </c>
      <c r="AE273" s="19" t="e">
        <f t="shared" si="14"/>
        <v>#VALUE!</v>
      </c>
    </row>
    <row r="274" spans="1:32" x14ac:dyDescent="0.3">
      <c r="A274">
        <v>13</v>
      </c>
      <c r="B274" t="s">
        <v>33</v>
      </c>
      <c r="C274" t="s">
        <v>29</v>
      </c>
      <c r="D274">
        <v>76393</v>
      </c>
      <c r="E274">
        <v>49.8</v>
      </c>
      <c r="F274">
        <v>970.53</v>
      </c>
      <c r="G274">
        <v>49.804979999999993</v>
      </c>
      <c r="H274">
        <v>970.43294700000001</v>
      </c>
      <c r="I274">
        <v>-3.7141331737431611</v>
      </c>
      <c r="J274">
        <v>0.85171748172910733</v>
      </c>
      <c r="K274">
        <v>0.20080321285140559</v>
      </c>
      <c r="L274">
        <v>-8.7757975717299552E-3</v>
      </c>
      <c r="M274" t="s">
        <v>32</v>
      </c>
      <c r="N274">
        <v>5</v>
      </c>
      <c r="O274" t="s">
        <v>31</v>
      </c>
      <c r="P274">
        <v>76398</v>
      </c>
      <c r="Q274">
        <v>49.695</v>
      </c>
      <c r="R274">
        <v>965.24</v>
      </c>
      <c r="S274">
        <v>-0.33245461903535761</v>
      </c>
      <c r="T274">
        <v>2.5339631805054181E-2</v>
      </c>
      <c r="U274">
        <v>2.1642947672246789E-2</v>
      </c>
      <c r="V274">
        <v>3.7034646199618688E-3</v>
      </c>
      <c r="W274">
        <v>1.7939483052284919E-2</v>
      </c>
      <c r="X274" s="19">
        <f t="shared" si="12"/>
        <v>46143</v>
      </c>
      <c r="Y274" s="19">
        <f t="shared" si="13"/>
        <v>46143</v>
      </c>
      <c r="Z274">
        <f t="array" ref="Z274">_xlfn.XLOOKUP(INT(X274),INT($AE$2:$AE$1000),$AG$2:$AG$1000,"")</f>
        <v>16.989999999999998</v>
      </c>
      <c r="AE274" s="19" t="e">
        <f t="shared" si="14"/>
        <v>#VALUE!</v>
      </c>
    </row>
    <row r="275" spans="1:32" x14ac:dyDescent="0.3">
      <c r="A275">
        <v>13</v>
      </c>
      <c r="B275" t="s">
        <v>33</v>
      </c>
      <c r="C275" t="s">
        <v>29</v>
      </c>
      <c r="D275">
        <v>76581</v>
      </c>
      <c r="E275">
        <v>49.84</v>
      </c>
      <c r="F275">
        <v>957.40499999999997</v>
      </c>
      <c r="G275">
        <v>49.835016000000003</v>
      </c>
      <c r="H275">
        <v>957.50074050000001</v>
      </c>
      <c r="I275">
        <v>5.1174963186478291</v>
      </c>
      <c r="J275">
        <v>0.85171748172910733</v>
      </c>
      <c r="K275">
        <v>-0.2006420545746388</v>
      </c>
      <c r="L275">
        <v>8.896104383506534E-3</v>
      </c>
      <c r="M275" t="s">
        <v>30</v>
      </c>
      <c r="N275">
        <v>21</v>
      </c>
      <c r="O275" t="s">
        <v>31</v>
      </c>
      <c r="P275">
        <v>76602</v>
      </c>
      <c r="Q275">
        <v>49.63</v>
      </c>
      <c r="R275">
        <v>946.2</v>
      </c>
      <c r="S275">
        <v>0.4570739881249824</v>
      </c>
      <c r="T275">
        <v>-5.7546018156515742E-2</v>
      </c>
      <c r="U275">
        <v>-6.1235271551865512E-2</v>
      </c>
      <c r="V275">
        <v>3.7034053069545611E-3</v>
      </c>
      <c r="W275">
        <v>-6.4938676858820071E-2</v>
      </c>
      <c r="X275" s="19">
        <f t="shared" si="12"/>
        <v>46146</v>
      </c>
      <c r="Y275" s="19">
        <f t="shared" si="13"/>
        <v>46146</v>
      </c>
      <c r="Z275">
        <f t="array" ref="Z275">_xlfn.XLOOKUP(INT(X275),INT($AE$2:$AE$1000),$AG$2:$AG$1000,"")</f>
        <v>18.29</v>
      </c>
      <c r="AE275" s="19" t="e">
        <f t="shared" si="14"/>
        <v>#VALUE!</v>
      </c>
    </row>
    <row r="276" spans="1:32" x14ac:dyDescent="0.3">
      <c r="A276">
        <v>13</v>
      </c>
      <c r="B276" t="s">
        <v>36</v>
      </c>
      <c r="C276" t="s">
        <v>35</v>
      </c>
      <c r="D276">
        <v>76891</v>
      </c>
      <c r="E276">
        <v>52.625</v>
      </c>
      <c r="F276">
        <v>46.674999999999997</v>
      </c>
      <c r="G276">
        <v>52.630262500000001</v>
      </c>
      <c r="H276">
        <v>46.670332500000001</v>
      </c>
      <c r="I276">
        <v>-3.598958082073755</v>
      </c>
      <c r="J276">
        <v>0.75628208658027485</v>
      </c>
      <c r="K276">
        <v>0.19002375296912111</v>
      </c>
      <c r="L276">
        <v>-0.16203151292560791</v>
      </c>
      <c r="M276" t="s">
        <v>32</v>
      </c>
      <c r="N276">
        <v>3</v>
      </c>
      <c r="O276" t="s">
        <v>31</v>
      </c>
      <c r="P276">
        <v>76894</v>
      </c>
      <c r="Q276">
        <v>52.73</v>
      </c>
      <c r="R276">
        <v>46.7</v>
      </c>
      <c r="S276">
        <v>-0.2238989227159576</v>
      </c>
      <c r="T276">
        <v>1.590170623861601E-2</v>
      </c>
      <c r="U276">
        <v>1.2386741737267381E-2</v>
      </c>
      <c r="V276">
        <v>3.5126129167432339E-3</v>
      </c>
      <c r="W276">
        <v>8.8741288205241436E-3</v>
      </c>
      <c r="X276" s="19">
        <f t="shared" si="12"/>
        <v>46147</v>
      </c>
      <c r="Y276" s="19">
        <f t="shared" si="13"/>
        <v>46147</v>
      </c>
      <c r="Z276">
        <f t="array" ref="Z276">_xlfn.XLOOKUP(INT(X276),INT($AE$2:$AE$1000),$AG$2:$AG$1000,"")</f>
        <v>17.38</v>
      </c>
      <c r="AE276" s="19" t="e">
        <f t="shared" si="14"/>
        <v>#VALUE!</v>
      </c>
    </row>
    <row r="277" spans="1:32" x14ac:dyDescent="0.3">
      <c r="A277">
        <v>13</v>
      </c>
      <c r="B277" t="s">
        <v>36</v>
      </c>
      <c r="C277" t="s">
        <v>35</v>
      </c>
      <c r="D277">
        <v>76953</v>
      </c>
      <c r="E277">
        <v>53.005000000000003</v>
      </c>
      <c r="F277">
        <v>46.83</v>
      </c>
      <c r="G277">
        <v>52.999699500000013</v>
      </c>
      <c r="H277">
        <v>46.834682999999998</v>
      </c>
      <c r="I277">
        <v>3.7649217934140591</v>
      </c>
      <c r="J277">
        <v>0.75628208658027485</v>
      </c>
      <c r="K277">
        <v>-0.18866144703329871</v>
      </c>
      <c r="L277">
        <v>0.16149521387577939</v>
      </c>
      <c r="M277" t="s">
        <v>30</v>
      </c>
      <c r="N277">
        <v>44</v>
      </c>
      <c r="O277" t="s">
        <v>31</v>
      </c>
      <c r="P277">
        <v>76997</v>
      </c>
      <c r="Q277">
        <v>53.53</v>
      </c>
      <c r="R277">
        <v>47.17</v>
      </c>
      <c r="S277">
        <v>0.45557734407734618</v>
      </c>
      <c r="T277">
        <v>-4.4138886974716032E-2</v>
      </c>
      <c r="U277">
        <v>-4.7666846711116852E-2</v>
      </c>
      <c r="V277">
        <v>3.5125154295778658E-3</v>
      </c>
      <c r="W277">
        <v>-5.1179362140694719E-2</v>
      </c>
      <c r="X277" s="19">
        <f t="shared" si="12"/>
        <v>46147</v>
      </c>
      <c r="Y277" s="19">
        <f t="shared" si="13"/>
        <v>46147</v>
      </c>
      <c r="Z277">
        <f t="array" ref="Z277">_xlfn.XLOOKUP(INT(X277),INT($AE$2:$AE$1000),$AG$2:$AG$1000,"")</f>
        <v>17.38</v>
      </c>
      <c r="AE277" s="19" t="e">
        <f t="shared" si="14"/>
        <v>#VALUE!</v>
      </c>
      <c r="AF277" s="19"/>
    </row>
    <row r="278" spans="1:32" x14ac:dyDescent="0.3">
      <c r="A278">
        <v>13</v>
      </c>
      <c r="B278" t="s">
        <v>28</v>
      </c>
      <c r="C278" t="s">
        <v>33</v>
      </c>
      <c r="D278">
        <v>77071</v>
      </c>
      <c r="E278">
        <v>299.08</v>
      </c>
      <c r="F278">
        <v>50.534999999999997</v>
      </c>
      <c r="G278">
        <v>299.10990800000002</v>
      </c>
      <c r="H278">
        <v>50.529946499999987</v>
      </c>
      <c r="I278">
        <v>-3.5730445815567089</v>
      </c>
      <c r="J278">
        <v>0.68331082867186255</v>
      </c>
      <c r="K278">
        <v>3.3435870001337437E-2</v>
      </c>
      <c r="L278">
        <v>-0.13521536136773771</v>
      </c>
      <c r="M278" t="s">
        <v>32</v>
      </c>
      <c r="N278">
        <v>2</v>
      </c>
      <c r="O278" t="s">
        <v>31</v>
      </c>
      <c r="P278">
        <v>77073</v>
      </c>
      <c r="Q278">
        <v>299.35000000000002</v>
      </c>
      <c r="R278">
        <v>50.454999999999998</v>
      </c>
      <c r="S278">
        <v>-0.32374409385531211</v>
      </c>
      <c r="T278">
        <v>1.9844913809781189E-2</v>
      </c>
      <c r="U278">
        <v>1.6478471106837821E-2</v>
      </c>
      <c r="V278">
        <v>3.3666849951779899E-3</v>
      </c>
      <c r="W278">
        <v>1.3111786111659829E-2</v>
      </c>
      <c r="X278" s="19">
        <f t="shared" si="12"/>
        <v>46147</v>
      </c>
      <c r="Y278" s="19">
        <f t="shared" si="13"/>
        <v>46147</v>
      </c>
      <c r="Z278">
        <f t="array" ref="Z278">_xlfn.XLOOKUP(INT(X278),INT($AE$2:$AE$1000),$AG$2:$AG$1000,"")</f>
        <v>17.38</v>
      </c>
      <c r="AE278" s="19" t="e">
        <f t="shared" si="14"/>
        <v>#VALUE!</v>
      </c>
      <c r="AF278" s="19"/>
    </row>
    <row r="279" spans="1:32" x14ac:dyDescent="0.3">
      <c r="A279">
        <v>13</v>
      </c>
      <c r="B279" t="s">
        <v>36</v>
      </c>
      <c r="C279" t="s">
        <v>37</v>
      </c>
      <c r="D279">
        <v>77305</v>
      </c>
      <c r="E279">
        <v>53.68</v>
      </c>
      <c r="F279">
        <v>213.76</v>
      </c>
      <c r="G279">
        <v>53.674632000000003</v>
      </c>
      <c r="H279">
        <v>213.78137599999999</v>
      </c>
      <c r="I279">
        <v>3.740328380464673</v>
      </c>
      <c r="J279">
        <v>0.96501910880198527</v>
      </c>
      <c r="K279">
        <v>-0.1862891207153502</v>
      </c>
      <c r="L279">
        <v>4.5144980763565927E-2</v>
      </c>
      <c r="M279" t="s">
        <v>30</v>
      </c>
      <c r="N279">
        <v>2</v>
      </c>
      <c r="O279" t="s">
        <v>31</v>
      </c>
      <c r="P279">
        <v>77307</v>
      </c>
      <c r="Q279">
        <v>53.66</v>
      </c>
      <c r="R279">
        <v>214.45</v>
      </c>
      <c r="S279">
        <v>-5.5096645983412733E-2</v>
      </c>
      <c r="T279">
        <v>3.4875819141167982E-2</v>
      </c>
      <c r="U279">
        <v>3.0943038498132711E-2</v>
      </c>
      <c r="V279">
        <v>3.9300312214257324E-3</v>
      </c>
      <c r="W279">
        <v>2.7013007276706979E-2</v>
      </c>
      <c r="X279" s="19">
        <f t="shared" si="12"/>
        <v>46148</v>
      </c>
      <c r="Y279" s="19">
        <f t="shared" si="13"/>
        <v>46148</v>
      </c>
      <c r="Z279">
        <f t="array" ref="Z279">_xlfn.XLOOKUP(INT(X279),INT($AE$2:$AE$1000),$AG$2:$AG$1000,"")</f>
        <v>17.39</v>
      </c>
      <c r="AE279" s="19" t="e">
        <f t="shared" si="14"/>
        <v>#VALUE!</v>
      </c>
      <c r="AF279" s="19"/>
    </row>
    <row r="280" spans="1:32" x14ac:dyDescent="0.3">
      <c r="A280">
        <v>13</v>
      </c>
      <c r="B280" t="s">
        <v>33</v>
      </c>
      <c r="C280" t="s">
        <v>29</v>
      </c>
      <c r="D280">
        <v>77363</v>
      </c>
      <c r="E280">
        <v>50.695</v>
      </c>
      <c r="F280">
        <v>929.1</v>
      </c>
      <c r="G280">
        <v>50.689930500000003</v>
      </c>
      <c r="H280">
        <v>929.19290999999998</v>
      </c>
      <c r="I280">
        <v>5.0072304212347891</v>
      </c>
      <c r="J280">
        <v>0.85171748172910733</v>
      </c>
      <c r="K280">
        <v>-0.19725811223986589</v>
      </c>
      <c r="L280">
        <v>9.1671239019385127E-3</v>
      </c>
      <c r="M280" t="s">
        <v>30</v>
      </c>
      <c r="N280">
        <v>20</v>
      </c>
      <c r="O280" t="s">
        <v>31</v>
      </c>
      <c r="P280">
        <v>77383</v>
      </c>
      <c r="Q280">
        <v>50.515000000000001</v>
      </c>
      <c r="R280">
        <v>928.1</v>
      </c>
      <c r="S280">
        <v>0.41252062533747402</v>
      </c>
      <c r="T280">
        <v>2.633933630123729E-2</v>
      </c>
      <c r="U280">
        <v>2.264036869619046E-2</v>
      </c>
      <c r="V280">
        <v>3.7034053069545611E-3</v>
      </c>
      <c r="W280">
        <v>1.8936963389235902E-2</v>
      </c>
      <c r="X280" s="19">
        <f t="shared" si="12"/>
        <v>46148</v>
      </c>
      <c r="Y280" s="19">
        <f t="shared" si="13"/>
        <v>46148</v>
      </c>
      <c r="Z280">
        <f t="array" ref="Z280">_xlfn.XLOOKUP(INT(X280),INT($AE$2:$AE$1000),$AG$2:$AG$1000,"")</f>
        <v>17.39</v>
      </c>
      <c r="AE280" s="19" t="e">
        <f t="shared" si="14"/>
        <v>#VALUE!</v>
      </c>
      <c r="AF280" s="19"/>
    </row>
    <row r="281" spans="1:32" x14ac:dyDescent="0.3">
      <c r="A281">
        <v>13</v>
      </c>
      <c r="B281" t="s">
        <v>28</v>
      </c>
      <c r="C281" t="s">
        <v>33</v>
      </c>
      <c r="D281">
        <v>77396</v>
      </c>
      <c r="E281">
        <v>299.04000000000002</v>
      </c>
      <c r="F281">
        <v>50.795000000000002</v>
      </c>
      <c r="G281">
        <v>299.06990400000001</v>
      </c>
      <c r="H281">
        <v>50.789920500000001</v>
      </c>
      <c r="I281">
        <v>-3.5322796763452469</v>
      </c>
      <c r="J281">
        <v>0.68331082867186255</v>
      </c>
      <c r="K281">
        <v>3.344034242910647E-2</v>
      </c>
      <c r="L281">
        <v>-0.1345232461210478</v>
      </c>
      <c r="M281" t="s">
        <v>32</v>
      </c>
      <c r="N281">
        <v>27</v>
      </c>
      <c r="O281" t="s">
        <v>31</v>
      </c>
      <c r="P281">
        <v>77423</v>
      </c>
      <c r="Q281">
        <v>300.02999999999997</v>
      </c>
      <c r="R281">
        <v>51.12</v>
      </c>
      <c r="S281">
        <v>-0.37770131629168657</v>
      </c>
      <c r="T281">
        <v>-1.0614115984526161E-2</v>
      </c>
      <c r="U281">
        <v>-1.398842024126931E-2</v>
      </c>
      <c r="V281">
        <v>3.3666849951779899E-3</v>
      </c>
      <c r="W281">
        <v>-1.7355105236447309E-2</v>
      </c>
      <c r="X281" s="19">
        <f t="shared" si="12"/>
        <v>46148</v>
      </c>
      <c r="Y281" s="19">
        <f t="shared" si="13"/>
        <v>46148</v>
      </c>
      <c r="Z281">
        <f t="array" ref="Z281">_xlfn.XLOOKUP(INT(X281),INT($AE$2:$AE$1000),$AG$2:$AG$1000,"")</f>
        <v>17.39</v>
      </c>
      <c r="AE281" s="19" t="e">
        <f t="shared" si="14"/>
        <v>#VALUE!</v>
      </c>
      <c r="AF281" s="19"/>
    </row>
    <row r="282" spans="1:32" x14ac:dyDescent="0.3">
      <c r="A282">
        <v>13</v>
      </c>
      <c r="B282" t="s">
        <v>28</v>
      </c>
      <c r="C282" t="s">
        <v>33</v>
      </c>
      <c r="D282">
        <v>77477</v>
      </c>
      <c r="E282">
        <v>297.95499999999998</v>
      </c>
      <c r="F282">
        <v>50.865000000000002</v>
      </c>
      <c r="G282">
        <v>297.98479550000002</v>
      </c>
      <c r="H282">
        <v>50.859913499999998</v>
      </c>
      <c r="I282">
        <v>-3.5006725191897141</v>
      </c>
      <c r="J282">
        <v>0.68331082867186255</v>
      </c>
      <c r="K282">
        <v>3.3562115084492618E-2</v>
      </c>
      <c r="L282">
        <v>-0.13433811632200179</v>
      </c>
      <c r="M282" t="s">
        <v>32</v>
      </c>
      <c r="N282">
        <v>16</v>
      </c>
      <c r="O282" t="s">
        <v>31</v>
      </c>
      <c r="P282">
        <v>77493</v>
      </c>
      <c r="Q282">
        <v>298.32499999999999</v>
      </c>
      <c r="R282">
        <v>50.924999999999997</v>
      </c>
      <c r="S282">
        <v>-0.46839238039949788</v>
      </c>
      <c r="T282">
        <v>4.3576956019429616E-3</v>
      </c>
      <c r="U282">
        <v>9.8902611764485615E-4</v>
      </c>
      <c r="V282">
        <v>3.3666849951779899E-3</v>
      </c>
      <c r="W282">
        <v>-2.3776588775331342E-3</v>
      </c>
      <c r="X282" s="19">
        <f t="shared" si="12"/>
        <v>46148</v>
      </c>
      <c r="Y282" s="19">
        <f t="shared" si="13"/>
        <v>46148</v>
      </c>
      <c r="Z282">
        <f t="array" ref="Z282">_xlfn.XLOOKUP(INT(X282),INT($AE$2:$AE$1000),$AG$2:$AG$1000,"")</f>
        <v>17.39</v>
      </c>
      <c r="AE282" s="19" t="e">
        <f t="shared" si="14"/>
        <v>#VALUE!</v>
      </c>
      <c r="AF282" s="19"/>
    </row>
    <row r="283" spans="1:32" x14ac:dyDescent="0.3">
      <c r="A283">
        <v>13</v>
      </c>
      <c r="B283" t="s">
        <v>36</v>
      </c>
      <c r="C283" t="s">
        <v>37</v>
      </c>
      <c r="D283">
        <v>77753</v>
      </c>
      <c r="E283">
        <v>53.47</v>
      </c>
      <c r="F283">
        <v>213.35</v>
      </c>
      <c r="G283">
        <v>53.464652999999998</v>
      </c>
      <c r="H283">
        <v>213.37133499999999</v>
      </c>
      <c r="I283">
        <v>4.0842757255555622</v>
      </c>
      <c r="J283">
        <v>0.96501910880198527</v>
      </c>
      <c r="K283">
        <v>-0.1870207593042828</v>
      </c>
      <c r="L283">
        <v>4.5231736995640273E-2</v>
      </c>
      <c r="M283" t="s">
        <v>30</v>
      </c>
      <c r="N283">
        <v>10</v>
      </c>
      <c r="O283" t="s">
        <v>31</v>
      </c>
      <c r="P283">
        <v>77763</v>
      </c>
      <c r="Q283">
        <v>53.46</v>
      </c>
      <c r="R283">
        <v>213.875</v>
      </c>
      <c r="S283">
        <v>-0.27669785825482962</v>
      </c>
      <c r="T283">
        <v>2.561686951575385E-2</v>
      </c>
      <c r="U283">
        <v>2.168464365271644E-2</v>
      </c>
      <c r="V283">
        <v>3.9300312214257307E-3</v>
      </c>
      <c r="W283">
        <v>1.7754612431290711E-2</v>
      </c>
      <c r="X283" s="19">
        <f t="shared" si="12"/>
        <v>46149</v>
      </c>
      <c r="Y283" s="19">
        <f t="shared" si="13"/>
        <v>46149</v>
      </c>
      <c r="Z283">
        <f t="array" ref="Z283">_xlfn.XLOOKUP(INT(X283),INT($AE$2:$AE$1000),$AG$2:$AG$1000,"")</f>
        <v>17.079999999999998</v>
      </c>
      <c r="AE283" s="19" t="e">
        <f t="shared" si="14"/>
        <v>#VALUE!</v>
      </c>
      <c r="AF283" s="19"/>
    </row>
    <row r="284" spans="1:32" x14ac:dyDescent="0.3">
      <c r="A284">
        <v>13</v>
      </c>
      <c r="B284" t="s">
        <v>36</v>
      </c>
      <c r="C284" t="s">
        <v>35</v>
      </c>
      <c r="D284">
        <v>78028</v>
      </c>
      <c r="E284">
        <v>54.33</v>
      </c>
      <c r="F284">
        <v>47.84</v>
      </c>
      <c r="G284">
        <v>54.335432999999988</v>
      </c>
      <c r="H284">
        <v>47.835216000000003</v>
      </c>
      <c r="I284">
        <v>-3.6385029926823642</v>
      </c>
      <c r="J284">
        <v>0.75628208658027485</v>
      </c>
      <c r="K284">
        <v>0.18406037180195101</v>
      </c>
      <c r="L284">
        <v>-0.15808572043902069</v>
      </c>
      <c r="M284" t="s">
        <v>32</v>
      </c>
      <c r="N284">
        <v>10</v>
      </c>
      <c r="O284" t="s">
        <v>31</v>
      </c>
      <c r="P284">
        <v>78038</v>
      </c>
      <c r="Q284">
        <v>54.354999999999997</v>
      </c>
      <c r="R284">
        <v>47.805</v>
      </c>
      <c r="S284">
        <v>-0.47387753420614609</v>
      </c>
      <c r="T284">
        <v>1.013450951041482E-2</v>
      </c>
      <c r="U284">
        <v>6.6220384863469352E-3</v>
      </c>
      <c r="V284">
        <v>3.5126129167432339E-3</v>
      </c>
      <c r="W284">
        <v>3.1094255696037009E-3</v>
      </c>
      <c r="X284" s="19">
        <f t="shared" si="12"/>
        <v>46150</v>
      </c>
      <c r="Y284" s="19">
        <f t="shared" si="13"/>
        <v>46150</v>
      </c>
      <c r="Z284">
        <f t="array" ref="Z284">_xlfn.XLOOKUP(INT(X284),INT($AE$2:$AE$1000),$AG$2:$AG$1000,"")</f>
        <v>17.190000000000001</v>
      </c>
      <c r="AE284" s="19" t="e">
        <f t="shared" si="14"/>
        <v>#VALUE!</v>
      </c>
      <c r="AF284" s="19"/>
    </row>
    <row r="285" spans="1:32" x14ac:dyDescent="0.3">
      <c r="A285">
        <v>13</v>
      </c>
      <c r="B285" t="s">
        <v>33</v>
      </c>
      <c r="C285" t="s">
        <v>29</v>
      </c>
      <c r="D285">
        <v>78107</v>
      </c>
      <c r="E285">
        <v>51.255000000000003</v>
      </c>
      <c r="F285">
        <v>979.7</v>
      </c>
      <c r="G285">
        <v>51.260125500000001</v>
      </c>
      <c r="H285">
        <v>979.60203000000001</v>
      </c>
      <c r="I285">
        <v>-3.5807912899384871</v>
      </c>
      <c r="J285">
        <v>0.85171748172910733</v>
      </c>
      <c r="K285">
        <v>0.195102916788606</v>
      </c>
      <c r="L285">
        <v>-8.693656034797461E-3</v>
      </c>
      <c r="M285" t="s">
        <v>32</v>
      </c>
      <c r="N285">
        <v>6</v>
      </c>
      <c r="O285" t="s">
        <v>31</v>
      </c>
      <c r="P285">
        <v>78113</v>
      </c>
      <c r="Q285">
        <v>51.305</v>
      </c>
      <c r="R285">
        <v>979.33500000000004</v>
      </c>
      <c r="S285">
        <v>-0.39371162461877052</v>
      </c>
      <c r="T285">
        <v>1.2928330292130899E-2</v>
      </c>
      <c r="U285">
        <v>9.224237132534471E-3</v>
      </c>
      <c r="V285">
        <v>3.7034646199618688E-3</v>
      </c>
      <c r="W285">
        <v>5.5207725125726026E-3</v>
      </c>
      <c r="X285" s="19">
        <f t="shared" si="12"/>
        <v>46150</v>
      </c>
      <c r="Y285" s="19">
        <f t="shared" si="13"/>
        <v>46150</v>
      </c>
      <c r="Z285">
        <f t="array" ref="Z285">_xlfn.XLOOKUP(INT(X285),INT($AE$2:$AE$1000),$AG$2:$AG$1000,"")</f>
        <v>17.190000000000001</v>
      </c>
      <c r="AE285" s="19" t="e">
        <f t="shared" si="14"/>
        <v>#VALUE!</v>
      </c>
    </row>
    <row r="286" spans="1:32" x14ac:dyDescent="0.3">
      <c r="A286">
        <v>13</v>
      </c>
      <c r="B286" t="s">
        <v>33</v>
      </c>
      <c r="C286" t="s">
        <v>29</v>
      </c>
      <c r="D286">
        <v>78143</v>
      </c>
      <c r="E286">
        <v>50.96</v>
      </c>
      <c r="F286">
        <v>985.99</v>
      </c>
      <c r="G286">
        <v>50.965096000000003</v>
      </c>
      <c r="H286">
        <v>985.89140099999997</v>
      </c>
      <c r="I286">
        <v>-4.458348931078568</v>
      </c>
      <c r="J286">
        <v>0.85171748172910733</v>
      </c>
      <c r="K286">
        <v>0.19623233908948201</v>
      </c>
      <c r="L286">
        <v>-8.6381959424447225E-3</v>
      </c>
      <c r="M286" t="s">
        <v>32</v>
      </c>
      <c r="N286">
        <v>16</v>
      </c>
      <c r="O286" t="s">
        <v>31</v>
      </c>
      <c r="P286">
        <v>78159</v>
      </c>
      <c r="Q286">
        <v>51.01</v>
      </c>
      <c r="R286">
        <v>986.5</v>
      </c>
      <c r="S286">
        <v>-0.49217821554813279</v>
      </c>
      <c r="T286">
        <v>5.4061370238268104E-3</v>
      </c>
      <c r="U286">
        <v>1.701280350679988E-3</v>
      </c>
      <c r="V286">
        <v>3.7034646199618688E-3</v>
      </c>
      <c r="W286">
        <v>-2.0021842692818808E-3</v>
      </c>
      <c r="X286" s="19">
        <f t="shared" si="12"/>
        <v>46150</v>
      </c>
      <c r="Y286" s="19">
        <f t="shared" si="13"/>
        <v>46150</v>
      </c>
      <c r="Z286">
        <f t="array" ref="Z286">_xlfn.XLOOKUP(INT(X286),INT($AE$2:$AE$1000),$AG$2:$AG$1000,"")</f>
        <v>17.190000000000001</v>
      </c>
      <c r="AE286" s="19" t="e">
        <f t="shared" si="14"/>
        <v>#VALUE!</v>
      </c>
    </row>
    <row r="287" spans="1:32" x14ac:dyDescent="0.3">
      <c r="A287">
        <v>14</v>
      </c>
      <c r="B287" t="s">
        <v>29</v>
      </c>
      <c r="C287" t="s">
        <v>78</v>
      </c>
      <c r="D287">
        <v>78717</v>
      </c>
      <c r="E287">
        <v>1001.495</v>
      </c>
      <c r="F287">
        <v>202.60499999999999</v>
      </c>
      <c r="G287">
        <v>1001.3948505</v>
      </c>
      <c r="H287">
        <v>202.6252605</v>
      </c>
      <c r="I287">
        <v>4.0342713886907644</v>
      </c>
      <c r="J287">
        <v>0.7373295539710587</v>
      </c>
      <c r="K287">
        <v>-9.9850723168862544E-3</v>
      </c>
      <c r="L287">
        <v>3.6392465831102817E-2</v>
      </c>
      <c r="M287" t="s">
        <v>30</v>
      </c>
      <c r="N287">
        <v>24</v>
      </c>
      <c r="O287" t="s">
        <v>31</v>
      </c>
      <c r="P287">
        <v>78741</v>
      </c>
      <c r="Q287">
        <v>1001.25</v>
      </c>
      <c r="R287">
        <v>202.5</v>
      </c>
      <c r="S287">
        <v>0.48507227622066679</v>
      </c>
      <c r="T287">
        <v>-1.374866194628246E-3</v>
      </c>
      <c r="U287">
        <v>-4.848898547407535E-3</v>
      </c>
      <c r="V287">
        <v>3.4746065738529108E-3</v>
      </c>
      <c r="W287">
        <v>-8.3235051212604463E-3</v>
      </c>
      <c r="X287" s="19">
        <f t="shared" si="12"/>
        <v>46153</v>
      </c>
      <c r="Y287" s="19">
        <f t="shared" si="13"/>
        <v>46153</v>
      </c>
      <c r="Z287">
        <f t="array" ref="Z287">_xlfn.XLOOKUP(INT(X287),INT($AE$2:$AE$1000),$AG$2:$AG$1000,"")</f>
        <v>18.38</v>
      </c>
      <c r="AE287" s="19" t="e">
        <f t="shared" si="14"/>
        <v>#VALUE!</v>
      </c>
    </row>
    <row r="288" spans="1:32" x14ac:dyDescent="0.3">
      <c r="A288">
        <v>14</v>
      </c>
      <c r="B288" t="s">
        <v>29</v>
      </c>
      <c r="C288" t="s">
        <v>78</v>
      </c>
      <c r="D288">
        <v>78770</v>
      </c>
      <c r="E288">
        <v>1001.59</v>
      </c>
      <c r="F288">
        <v>202.28</v>
      </c>
      <c r="G288">
        <v>1001.489841</v>
      </c>
      <c r="H288">
        <v>202.300228</v>
      </c>
      <c r="I288">
        <v>3.57242504798967</v>
      </c>
      <c r="J288">
        <v>0.7373295539710587</v>
      </c>
      <c r="K288">
        <v>-9.9841252408670207E-3</v>
      </c>
      <c r="L288">
        <v>3.6450937016564107E-2</v>
      </c>
      <c r="M288" t="s">
        <v>30</v>
      </c>
      <c r="N288">
        <v>16</v>
      </c>
      <c r="O288" t="s">
        <v>31</v>
      </c>
      <c r="P288">
        <v>78786</v>
      </c>
      <c r="Q288">
        <v>1003.07</v>
      </c>
      <c r="R288">
        <v>202.62</v>
      </c>
      <c r="S288">
        <v>0.45910145379581552</v>
      </c>
      <c r="T288">
        <v>-2.3831867708514528E-3</v>
      </c>
      <c r="U288">
        <v>-5.860562861188039E-3</v>
      </c>
      <c r="V288">
        <v>3.4746065738529121E-3</v>
      </c>
      <c r="W288">
        <v>-9.335169435040952E-3</v>
      </c>
      <c r="X288" s="19">
        <f t="shared" si="12"/>
        <v>46153</v>
      </c>
      <c r="Y288" s="19">
        <f t="shared" si="13"/>
        <v>46154</v>
      </c>
      <c r="Z288">
        <f t="array" ref="Z288">_xlfn.XLOOKUP(INT(X288),INT($AE$2:$AE$1000),$AG$2:$AG$1000,"")</f>
        <v>18.38</v>
      </c>
      <c r="AE288" s="19" t="e">
        <f t="shared" si="14"/>
        <v>#VALUE!</v>
      </c>
    </row>
    <row r="289" spans="1:32" x14ac:dyDescent="0.3">
      <c r="A289">
        <v>14</v>
      </c>
      <c r="B289" t="s">
        <v>33</v>
      </c>
      <c r="C289" t="s">
        <v>37</v>
      </c>
      <c r="D289">
        <v>78872</v>
      </c>
      <c r="E289">
        <v>51.865000000000002</v>
      </c>
      <c r="F289">
        <v>219.91499999999999</v>
      </c>
      <c r="G289">
        <v>51.859813500000001</v>
      </c>
      <c r="H289">
        <v>219.9369915</v>
      </c>
      <c r="I289">
        <v>3.6861175662481371</v>
      </c>
      <c r="J289">
        <v>1.197461461745291</v>
      </c>
      <c r="K289">
        <v>-0.19280825219319389</v>
      </c>
      <c r="L289">
        <v>5.445110436965607E-2</v>
      </c>
      <c r="M289" t="s">
        <v>30</v>
      </c>
      <c r="N289">
        <v>7</v>
      </c>
      <c r="O289" t="s">
        <v>31</v>
      </c>
      <c r="P289">
        <v>78879</v>
      </c>
      <c r="Q289">
        <v>51.86</v>
      </c>
      <c r="R289">
        <v>220.09</v>
      </c>
      <c r="S289">
        <v>9.3534192080980141E-2</v>
      </c>
      <c r="T289">
        <v>1.049298452565689E-2</v>
      </c>
      <c r="U289">
        <v>6.0972051119664548E-3</v>
      </c>
      <c r="V289">
        <v>4.394962415782932E-3</v>
      </c>
      <c r="W289">
        <v>1.702242696183523E-3</v>
      </c>
      <c r="X289" s="19">
        <f t="shared" si="12"/>
        <v>46154</v>
      </c>
      <c r="Y289" s="19">
        <f t="shared" si="13"/>
        <v>46154</v>
      </c>
      <c r="Z289">
        <f t="array" ref="Z289">_xlfn.XLOOKUP(INT(X289),INT($AE$2:$AE$1000),$AG$2:$AG$1000,"")</f>
        <v>17.989999999999998</v>
      </c>
      <c r="AE289" s="19" t="e">
        <f t="shared" si="14"/>
        <v>#VALUE!</v>
      </c>
    </row>
    <row r="290" spans="1:32" x14ac:dyDescent="0.3">
      <c r="A290">
        <v>14</v>
      </c>
      <c r="B290" t="s">
        <v>33</v>
      </c>
      <c r="C290" t="s">
        <v>37</v>
      </c>
      <c r="D290">
        <v>78925</v>
      </c>
      <c r="E290">
        <v>52.27</v>
      </c>
      <c r="F290">
        <v>219.61500000000001</v>
      </c>
      <c r="G290">
        <v>52.264773000000012</v>
      </c>
      <c r="H290">
        <v>219.63696150000001</v>
      </c>
      <c r="I290">
        <v>4.5385376666382484</v>
      </c>
      <c r="J290">
        <v>1.197461461745291</v>
      </c>
      <c r="K290">
        <v>-0.19131432944327531</v>
      </c>
      <c r="L290">
        <v>5.4525486043543993E-2</v>
      </c>
      <c r="M290" t="s">
        <v>30</v>
      </c>
      <c r="N290">
        <v>2</v>
      </c>
      <c r="O290" t="s">
        <v>31</v>
      </c>
      <c r="P290">
        <v>78927</v>
      </c>
      <c r="Q290">
        <v>52.34</v>
      </c>
      <c r="R290">
        <v>221.55</v>
      </c>
      <c r="S290">
        <v>0.1760002778080153</v>
      </c>
      <c r="T290">
        <v>9.211481243322843E-2</v>
      </c>
      <c r="U290">
        <v>8.7707999627882366E-2</v>
      </c>
      <c r="V290">
        <v>4.394962415782932E-3</v>
      </c>
      <c r="W290">
        <v>8.3313037212099428E-2</v>
      </c>
      <c r="X290" s="19">
        <f t="shared" si="12"/>
        <v>46154</v>
      </c>
      <c r="Y290" s="19">
        <f t="shared" si="13"/>
        <v>46154</v>
      </c>
      <c r="Z290">
        <f t="array" ref="Z290">_xlfn.XLOOKUP(INT(X290),INT($AE$2:$AE$1000),$AG$2:$AG$1000,"")</f>
        <v>17.989999999999998</v>
      </c>
      <c r="AE290" s="19" t="e">
        <f t="shared" si="14"/>
        <v>#VALUE!</v>
      </c>
    </row>
    <row r="291" spans="1:32" x14ac:dyDescent="0.3">
      <c r="A291">
        <v>14</v>
      </c>
      <c r="B291" t="s">
        <v>33</v>
      </c>
      <c r="C291" t="s">
        <v>36</v>
      </c>
      <c r="D291">
        <v>79006</v>
      </c>
      <c r="E291">
        <v>52.305</v>
      </c>
      <c r="F291">
        <v>55.09</v>
      </c>
      <c r="G291">
        <v>52.299769499999996</v>
      </c>
      <c r="H291">
        <v>55.095509</v>
      </c>
      <c r="I291">
        <v>3.677320545818179</v>
      </c>
      <c r="J291">
        <v>1.176533237523377</v>
      </c>
      <c r="K291">
        <v>-0.19118631106012809</v>
      </c>
      <c r="L291">
        <v>0.21356566301023361</v>
      </c>
      <c r="M291" t="s">
        <v>30</v>
      </c>
      <c r="N291">
        <v>24</v>
      </c>
      <c r="O291" t="s">
        <v>31</v>
      </c>
      <c r="P291">
        <v>79030</v>
      </c>
      <c r="Q291">
        <v>52.155000000000001</v>
      </c>
      <c r="R291">
        <v>54.9</v>
      </c>
      <c r="S291">
        <v>0.28327812381797052</v>
      </c>
      <c r="T291">
        <v>-1.189952931292647E-2</v>
      </c>
      <c r="U291">
        <v>-1.6245670245708721E-2</v>
      </c>
      <c r="V291">
        <v>4.3531017816942586E-3</v>
      </c>
      <c r="W291">
        <v>-2.059877202740298E-2</v>
      </c>
      <c r="X291" s="19">
        <f t="shared" si="12"/>
        <v>46154</v>
      </c>
      <c r="Y291" s="19">
        <f t="shared" si="13"/>
        <v>46154</v>
      </c>
      <c r="Z291">
        <f t="array" ref="Z291">_xlfn.XLOOKUP(INT(X291),INT($AE$2:$AE$1000),$AG$2:$AG$1000,"")</f>
        <v>17.989999999999998</v>
      </c>
      <c r="AE291" s="19" t="e">
        <f t="shared" si="14"/>
        <v>#VALUE!</v>
      </c>
    </row>
    <row r="292" spans="1:32" x14ac:dyDescent="0.3">
      <c r="A292">
        <v>14</v>
      </c>
      <c r="B292" t="s">
        <v>28</v>
      </c>
      <c r="C292" t="s">
        <v>36</v>
      </c>
      <c r="D292">
        <v>79138</v>
      </c>
      <c r="E292">
        <v>306.8</v>
      </c>
      <c r="F292">
        <v>54.895000000000003</v>
      </c>
      <c r="G292">
        <v>306.76931999999999</v>
      </c>
      <c r="H292">
        <v>54.900489499999999</v>
      </c>
      <c r="I292">
        <v>3.5004291447441811</v>
      </c>
      <c r="J292">
        <v>0.83393110353335465</v>
      </c>
      <c r="K292">
        <v>-3.259452411994785E-2</v>
      </c>
      <c r="L292">
        <v>0.1519138543643965</v>
      </c>
      <c r="M292" t="s">
        <v>30</v>
      </c>
      <c r="N292">
        <v>20</v>
      </c>
      <c r="O292" t="s">
        <v>31</v>
      </c>
      <c r="P292">
        <v>79158</v>
      </c>
      <c r="Q292">
        <v>306.44</v>
      </c>
      <c r="R292">
        <v>54.83</v>
      </c>
      <c r="S292">
        <v>5.071146330960475E-2</v>
      </c>
      <c r="T292">
        <v>1.8596281494951651E-3</v>
      </c>
      <c r="U292">
        <v>-1.806073214649389E-3</v>
      </c>
      <c r="V292">
        <v>3.667828993287416E-3</v>
      </c>
      <c r="W292">
        <v>-5.4739022079368042E-3</v>
      </c>
      <c r="X292" s="19">
        <f t="shared" si="12"/>
        <v>46154</v>
      </c>
      <c r="Y292" s="19">
        <f t="shared" si="13"/>
        <v>46154</v>
      </c>
      <c r="Z292">
        <f t="array" ref="Z292">_xlfn.XLOOKUP(INT(X292),INT($AE$2:$AE$1000),$AG$2:$AG$1000,"")</f>
        <v>17.989999999999998</v>
      </c>
      <c r="AE292" s="19" t="e">
        <f t="shared" si="14"/>
        <v>#VALUE!</v>
      </c>
    </row>
    <row r="293" spans="1:32" x14ac:dyDescent="0.3">
      <c r="A293">
        <v>14</v>
      </c>
      <c r="B293" t="s">
        <v>28</v>
      </c>
      <c r="C293" t="s">
        <v>37</v>
      </c>
      <c r="D293">
        <v>79235</v>
      </c>
      <c r="E293">
        <v>305.61</v>
      </c>
      <c r="F293">
        <v>220.72</v>
      </c>
      <c r="G293">
        <v>305.64056099999999</v>
      </c>
      <c r="H293">
        <v>220.69792799999999</v>
      </c>
      <c r="I293">
        <v>-3.825631648843598</v>
      </c>
      <c r="J293">
        <v>0.84652838247865447</v>
      </c>
      <c r="K293">
        <v>3.2721442361179277E-2</v>
      </c>
      <c r="L293">
        <v>-3.8353043787543242E-2</v>
      </c>
      <c r="M293" t="s">
        <v>32</v>
      </c>
      <c r="N293">
        <v>14</v>
      </c>
      <c r="O293" t="s">
        <v>31</v>
      </c>
      <c r="P293">
        <v>79249</v>
      </c>
      <c r="Q293">
        <v>305.92500000000001</v>
      </c>
      <c r="R293">
        <v>220.73</v>
      </c>
      <c r="S293">
        <v>-0.47272000296923239</v>
      </c>
      <c r="T293">
        <v>9.9237239058963152E-3</v>
      </c>
      <c r="U293">
        <v>6.2295980624606437E-3</v>
      </c>
      <c r="V293">
        <v>3.6930874592808129E-3</v>
      </c>
      <c r="W293">
        <v>2.5365106031798299E-3</v>
      </c>
      <c r="X293" s="19">
        <f t="shared" si="12"/>
        <v>46155</v>
      </c>
      <c r="Y293" s="19">
        <f t="shared" si="13"/>
        <v>46155</v>
      </c>
      <c r="Z293">
        <f t="array" ref="Z293">_xlfn.XLOOKUP(INT(X293),INT($AE$2:$AE$1000),$AG$2:$AG$1000,"")</f>
        <v>17.87</v>
      </c>
      <c r="AE293" s="19" t="e">
        <f t="shared" si="14"/>
        <v>#VALUE!</v>
      </c>
    </row>
    <row r="294" spans="1:32" x14ac:dyDescent="0.3">
      <c r="A294">
        <v>14</v>
      </c>
      <c r="B294" t="s">
        <v>28</v>
      </c>
      <c r="C294" t="s">
        <v>36</v>
      </c>
      <c r="D294">
        <v>79315</v>
      </c>
      <c r="E294">
        <v>305.67</v>
      </c>
      <c r="F294">
        <v>55.38</v>
      </c>
      <c r="G294">
        <v>305.70056699999998</v>
      </c>
      <c r="H294">
        <v>55.374462000000001</v>
      </c>
      <c r="I294">
        <v>-5.0780496422157704</v>
      </c>
      <c r="J294">
        <v>0.83393110353335465</v>
      </c>
      <c r="K294">
        <v>3.2715019465436583E-2</v>
      </c>
      <c r="L294">
        <v>-0.1505834423137152</v>
      </c>
      <c r="M294" t="s">
        <v>32</v>
      </c>
      <c r="N294">
        <v>28</v>
      </c>
      <c r="O294" t="s">
        <v>31</v>
      </c>
      <c r="P294">
        <v>79343</v>
      </c>
      <c r="Q294">
        <v>298.39</v>
      </c>
      <c r="R294">
        <v>54.86</v>
      </c>
      <c r="S294">
        <v>-0.4181215358007575</v>
      </c>
      <c r="T294">
        <v>-0.15986195170524689</v>
      </c>
      <c r="U294">
        <v>-0.16349816703914241</v>
      </c>
      <c r="V294">
        <v>3.667895420846003E-3</v>
      </c>
      <c r="W294">
        <v>-0.16716606245998841</v>
      </c>
      <c r="X294" s="19">
        <f t="shared" si="12"/>
        <v>46155</v>
      </c>
      <c r="Y294" s="19">
        <f t="shared" si="13"/>
        <v>46155</v>
      </c>
      <c r="Z294">
        <f t="array" ref="Z294">_xlfn.XLOOKUP(INT(X294),INT($AE$2:$AE$1000),$AG$2:$AG$1000,"")</f>
        <v>17.87</v>
      </c>
      <c r="AE294" s="19" t="e">
        <f t="shared" si="14"/>
        <v>#VALUE!</v>
      </c>
    </row>
    <row r="295" spans="1:32" x14ac:dyDescent="0.3">
      <c r="A295">
        <v>14</v>
      </c>
      <c r="B295" t="s">
        <v>28</v>
      </c>
      <c r="C295" t="s">
        <v>37</v>
      </c>
      <c r="D295">
        <v>79417</v>
      </c>
      <c r="E295">
        <v>299.02999999999997</v>
      </c>
      <c r="F295">
        <v>222.15</v>
      </c>
      <c r="G295">
        <v>299.05990300000002</v>
      </c>
      <c r="H295">
        <v>222.12778499999999</v>
      </c>
      <c r="I295">
        <v>-3.652510232069893</v>
      </c>
      <c r="J295">
        <v>0.84652838247865447</v>
      </c>
      <c r="K295">
        <v>3.3441460723004378E-2</v>
      </c>
      <c r="L295">
        <v>-3.8106161714096531E-2</v>
      </c>
      <c r="M295" t="s">
        <v>32</v>
      </c>
      <c r="N295">
        <v>35</v>
      </c>
      <c r="O295" t="s">
        <v>31</v>
      </c>
      <c r="P295">
        <v>79452</v>
      </c>
      <c r="Q295">
        <v>296.85000000000002</v>
      </c>
      <c r="R295">
        <v>221.57</v>
      </c>
      <c r="S295">
        <v>-0.15278631148225891</v>
      </c>
      <c r="T295">
        <v>-5.0800810581971431E-2</v>
      </c>
      <c r="U295">
        <v>-5.4484366951109739E-2</v>
      </c>
      <c r="V295">
        <v>3.6930874592808129E-3</v>
      </c>
      <c r="W295">
        <v>-5.8177454410390551E-2</v>
      </c>
      <c r="X295" s="19">
        <f t="shared" si="12"/>
        <v>46155</v>
      </c>
      <c r="Y295" s="19">
        <f t="shared" si="13"/>
        <v>46155</v>
      </c>
      <c r="Z295">
        <f t="array" ref="Z295">_xlfn.XLOOKUP(INT(X295),INT($AE$2:$AE$1000),$AG$2:$AG$1000,"")</f>
        <v>17.87</v>
      </c>
      <c r="AE295" s="19" t="e">
        <f t="shared" si="14"/>
        <v>#VALUE!</v>
      </c>
    </row>
    <row r="296" spans="1:32" x14ac:dyDescent="0.3">
      <c r="A296">
        <v>14</v>
      </c>
      <c r="B296" t="s">
        <v>33</v>
      </c>
      <c r="C296" t="s">
        <v>37</v>
      </c>
      <c r="D296">
        <v>79575</v>
      </c>
      <c r="E296">
        <v>51.34</v>
      </c>
      <c r="F296">
        <v>221.11</v>
      </c>
      <c r="G296">
        <v>51.334866000000012</v>
      </c>
      <c r="H296">
        <v>221.13211100000001</v>
      </c>
      <c r="I296">
        <v>4.2066279512531546</v>
      </c>
      <c r="J296">
        <v>1.197461461745291</v>
      </c>
      <c r="K296">
        <v>-0.19477989871445259</v>
      </c>
      <c r="L296">
        <v>5.41568206659713E-2</v>
      </c>
      <c r="M296" t="s">
        <v>30</v>
      </c>
      <c r="N296">
        <v>12</v>
      </c>
      <c r="O296" t="s">
        <v>31</v>
      </c>
      <c r="P296">
        <v>79587</v>
      </c>
      <c r="Q296">
        <v>51.26</v>
      </c>
      <c r="R296">
        <v>221.21</v>
      </c>
      <c r="S296">
        <v>0.42371126691732602</v>
      </c>
      <c r="T296">
        <v>2.0998073963754089E-2</v>
      </c>
      <c r="U296">
        <v>1.660416771124781E-2</v>
      </c>
      <c r="V296">
        <v>4.394962415782932E-3</v>
      </c>
      <c r="W296">
        <v>1.2209205295464881E-2</v>
      </c>
      <c r="X296" s="19">
        <f t="shared" si="12"/>
        <v>46156</v>
      </c>
      <c r="Y296" s="19">
        <f t="shared" si="13"/>
        <v>46156</v>
      </c>
      <c r="Z296">
        <f t="array" ref="Z296">_xlfn.XLOOKUP(INT(X296),INT($AE$2:$AE$1000),$AG$2:$AG$1000,"")</f>
        <v>17.260000000000002</v>
      </c>
      <c r="AE296" s="19" t="e">
        <f t="shared" si="14"/>
        <v>#VALUE!</v>
      </c>
      <c r="AF296" s="19"/>
    </row>
    <row r="297" spans="1:32" x14ac:dyDescent="0.3">
      <c r="A297">
        <v>14</v>
      </c>
      <c r="B297" t="s">
        <v>28</v>
      </c>
      <c r="C297" t="s">
        <v>33</v>
      </c>
      <c r="D297">
        <v>79658</v>
      </c>
      <c r="E297">
        <v>299.53500000000003</v>
      </c>
      <c r="F297">
        <v>51.27</v>
      </c>
      <c r="G297">
        <v>299.50504649999999</v>
      </c>
      <c r="H297">
        <v>51.275126999999998</v>
      </c>
      <c r="I297">
        <v>3.8543286770871048</v>
      </c>
      <c r="J297">
        <v>0.69393344791452305</v>
      </c>
      <c r="K297">
        <v>-3.3385080207655203E-2</v>
      </c>
      <c r="L297">
        <v>0.13534882931822181</v>
      </c>
      <c r="M297" t="s">
        <v>30</v>
      </c>
      <c r="N297">
        <v>23</v>
      </c>
      <c r="O297" t="s">
        <v>31</v>
      </c>
      <c r="P297">
        <v>79681</v>
      </c>
      <c r="Q297">
        <v>299.02</v>
      </c>
      <c r="R297">
        <v>51.155000000000001</v>
      </c>
      <c r="S297">
        <v>0.3090259088290121</v>
      </c>
      <c r="T297">
        <v>1.6282009353480961E-3</v>
      </c>
      <c r="U297">
        <v>-1.7563901173126011E-3</v>
      </c>
      <c r="V297">
        <v>3.38780568251863E-3</v>
      </c>
      <c r="W297">
        <v>-5.1441957998312297E-3</v>
      </c>
      <c r="X297" s="19">
        <f t="shared" si="12"/>
        <v>46156</v>
      </c>
      <c r="Y297" s="19">
        <f t="shared" si="13"/>
        <v>46156</v>
      </c>
      <c r="Z297">
        <f t="array" ref="Z297">_xlfn.XLOOKUP(INT(X297),INT($AE$2:$AE$1000),$AG$2:$AG$1000,"")</f>
        <v>17.260000000000002</v>
      </c>
      <c r="AE297" s="19" t="e">
        <f t="shared" si="14"/>
        <v>#VALUE!</v>
      </c>
      <c r="AF297" s="19"/>
    </row>
    <row r="298" spans="1:32" x14ac:dyDescent="0.3">
      <c r="A298">
        <v>14</v>
      </c>
      <c r="B298" t="s">
        <v>29</v>
      </c>
      <c r="C298" t="s">
        <v>78</v>
      </c>
      <c r="D298">
        <v>79694</v>
      </c>
      <c r="E298">
        <v>992.88</v>
      </c>
      <c r="F298">
        <v>201.39</v>
      </c>
      <c r="G298">
        <v>992.979288</v>
      </c>
      <c r="H298">
        <v>201.36986099999999</v>
      </c>
      <c r="I298">
        <v>-4.0345208645289237</v>
      </c>
      <c r="J298">
        <v>0.7373295539710587</v>
      </c>
      <c r="K298">
        <v>1.0071710579324791E-2</v>
      </c>
      <c r="L298">
        <v>-3.6612024130843572E-2</v>
      </c>
      <c r="M298" t="s">
        <v>32</v>
      </c>
      <c r="N298">
        <v>9</v>
      </c>
      <c r="O298" t="s">
        <v>31</v>
      </c>
      <c r="P298">
        <v>79703</v>
      </c>
      <c r="Q298">
        <v>995.13</v>
      </c>
      <c r="R298">
        <v>201.64</v>
      </c>
      <c r="S298">
        <v>7.330273034079883E-2</v>
      </c>
      <c r="T298">
        <v>1.350834277076989E-2</v>
      </c>
      <c r="U298">
        <v>1.0030502227344329E-2</v>
      </c>
      <c r="V298">
        <v>3.4747116420313241E-3</v>
      </c>
      <c r="W298">
        <v>6.5557905853130018E-3</v>
      </c>
      <c r="X298" s="19">
        <f t="shared" si="12"/>
        <v>46156</v>
      </c>
      <c r="Y298" s="19">
        <f t="shared" si="13"/>
        <v>46156</v>
      </c>
      <c r="Z298">
        <f t="array" ref="Z298">_xlfn.XLOOKUP(INT(X298),INT($AE$2:$AE$1000),$AG$2:$AG$1000,"")</f>
        <v>17.260000000000002</v>
      </c>
      <c r="AE298" s="19" t="e">
        <f t="shared" si="14"/>
        <v>#VALUE!</v>
      </c>
      <c r="AF298" s="19"/>
    </row>
    <row r="299" spans="1:32" x14ac:dyDescent="0.3">
      <c r="A299">
        <v>14</v>
      </c>
      <c r="B299" t="s">
        <v>28</v>
      </c>
      <c r="C299" t="s">
        <v>37</v>
      </c>
      <c r="D299">
        <v>79841</v>
      </c>
      <c r="E299">
        <v>298.51</v>
      </c>
      <c r="F299">
        <v>220.26</v>
      </c>
      <c r="G299">
        <v>298.48014899999998</v>
      </c>
      <c r="H299">
        <v>220.282026</v>
      </c>
      <c r="I299">
        <v>3.7821595514857469</v>
      </c>
      <c r="J299">
        <v>0.84652838247865447</v>
      </c>
      <c r="K299">
        <v>-3.3499715252420348E-2</v>
      </c>
      <c r="L299">
        <v>3.8433141854111251E-2</v>
      </c>
      <c r="M299" t="s">
        <v>30</v>
      </c>
      <c r="N299">
        <v>13</v>
      </c>
      <c r="O299" t="s">
        <v>31</v>
      </c>
      <c r="P299">
        <v>79854</v>
      </c>
      <c r="Q299">
        <v>297.69</v>
      </c>
      <c r="R299">
        <v>219.97</v>
      </c>
      <c r="S299">
        <v>0.3489678740026177</v>
      </c>
      <c r="T299">
        <v>1.632415536929251E-2</v>
      </c>
      <c r="U299">
        <v>1.263496014209944E-2</v>
      </c>
      <c r="V299">
        <v>3.6930260706338051E-3</v>
      </c>
      <c r="W299">
        <v>8.9419340714656358E-3</v>
      </c>
      <c r="X299" s="19">
        <f t="shared" si="12"/>
        <v>46156</v>
      </c>
      <c r="Y299" s="19">
        <f t="shared" si="13"/>
        <v>46156</v>
      </c>
      <c r="Z299">
        <f t="array" ref="Z299">_xlfn.XLOOKUP(INT(X299),INT($AE$2:$AE$1000),$AG$2:$AG$1000,"")</f>
        <v>17.260000000000002</v>
      </c>
      <c r="AE299" s="19" t="e">
        <f t="shared" si="14"/>
        <v>#VALUE!</v>
      </c>
      <c r="AF299" s="19"/>
    </row>
    <row r="300" spans="1:32" x14ac:dyDescent="0.3">
      <c r="A300">
        <v>14</v>
      </c>
      <c r="B300" t="s">
        <v>28</v>
      </c>
      <c r="C300" t="s">
        <v>37</v>
      </c>
      <c r="D300">
        <v>80085</v>
      </c>
      <c r="E300">
        <v>296.31</v>
      </c>
      <c r="F300">
        <v>220.01</v>
      </c>
      <c r="G300">
        <v>296.28036900000001</v>
      </c>
      <c r="H300">
        <v>220.03200100000001</v>
      </c>
      <c r="I300">
        <v>3.609643625467716</v>
      </c>
      <c r="J300">
        <v>0.84652838247865447</v>
      </c>
      <c r="K300">
        <v>-3.3748439134690021E-2</v>
      </c>
      <c r="L300">
        <v>3.8476813893852747E-2</v>
      </c>
      <c r="M300" t="s">
        <v>30</v>
      </c>
      <c r="N300">
        <v>14</v>
      </c>
      <c r="O300" t="s">
        <v>31</v>
      </c>
      <c r="P300">
        <v>80099</v>
      </c>
      <c r="Q300">
        <v>296.32</v>
      </c>
      <c r="R300">
        <v>220.02</v>
      </c>
      <c r="S300">
        <v>0.31314877450171341</v>
      </c>
      <c r="T300">
        <v>4.7283747592677882E-5</v>
      </c>
      <c r="U300">
        <v>-3.6458452426162708E-3</v>
      </c>
      <c r="V300">
        <v>3.6930260706338051E-3</v>
      </c>
      <c r="W300">
        <v>-7.3388713132500746E-3</v>
      </c>
      <c r="X300" s="19">
        <f t="shared" si="12"/>
        <v>46157</v>
      </c>
      <c r="Y300" s="19">
        <f t="shared" si="13"/>
        <v>46157</v>
      </c>
      <c r="Z300">
        <f t="array" ref="Z300">_xlfn.XLOOKUP(INT(X300),INT($AE$2:$AE$1000),$AG$2:$AG$1000,"")</f>
        <v>18.43</v>
      </c>
      <c r="AE300" s="19" t="e">
        <f t="shared" si="14"/>
        <v>#VALUE!</v>
      </c>
      <c r="AF300" s="19"/>
    </row>
    <row r="301" spans="1:32" x14ac:dyDescent="0.3">
      <c r="A301">
        <v>14</v>
      </c>
      <c r="B301" t="s">
        <v>36</v>
      </c>
      <c r="C301" t="s">
        <v>37</v>
      </c>
      <c r="D301">
        <v>80101</v>
      </c>
      <c r="E301">
        <v>54.17</v>
      </c>
      <c r="F301">
        <v>220.02</v>
      </c>
      <c r="G301">
        <v>54.175417000000003</v>
      </c>
      <c r="H301">
        <v>219.997998</v>
      </c>
      <c r="I301">
        <v>-3.5428571549217609</v>
      </c>
      <c r="J301">
        <v>0.98325718974251342</v>
      </c>
      <c r="K301">
        <v>0.18460402436773121</v>
      </c>
      <c r="L301">
        <v>-4.4689445947755362E-2</v>
      </c>
      <c r="M301" t="s">
        <v>32</v>
      </c>
      <c r="N301">
        <v>12</v>
      </c>
      <c r="O301" t="s">
        <v>31</v>
      </c>
      <c r="P301">
        <v>80113</v>
      </c>
      <c r="Q301">
        <v>54.46</v>
      </c>
      <c r="R301">
        <v>219.83</v>
      </c>
      <c r="S301">
        <v>0.34310790310208888</v>
      </c>
      <c r="T301">
        <v>6.2026161796715322E-2</v>
      </c>
      <c r="U301">
        <v>5.8055142999996881E-2</v>
      </c>
      <c r="V301">
        <v>3.9665177280470776E-3</v>
      </c>
      <c r="W301">
        <v>5.4088625271949797E-2</v>
      </c>
      <c r="X301" s="19">
        <f t="shared" si="12"/>
        <v>46157</v>
      </c>
      <c r="Y301" s="19">
        <f t="shared" si="13"/>
        <v>46157</v>
      </c>
      <c r="Z301">
        <f t="array" ref="Z301">_xlfn.XLOOKUP(INT(X301),INT($AE$2:$AE$1000),$AG$2:$AG$1000,"")</f>
        <v>18.43</v>
      </c>
      <c r="AE301" s="19" t="e">
        <f t="shared" si="14"/>
        <v>#VALUE!</v>
      </c>
      <c r="AF301" s="19"/>
    </row>
    <row r="302" spans="1:32" x14ac:dyDescent="0.3">
      <c r="A302">
        <v>14</v>
      </c>
      <c r="B302" t="s">
        <v>29</v>
      </c>
      <c r="C302" t="s">
        <v>78</v>
      </c>
      <c r="D302">
        <v>80180</v>
      </c>
      <c r="E302">
        <v>1015.53</v>
      </c>
      <c r="F302">
        <v>206.065</v>
      </c>
      <c r="G302">
        <v>1015.428447</v>
      </c>
      <c r="H302">
        <v>206.08560650000001</v>
      </c>
      <c r="I302">
        <v>3.6929435158164901</v>
      </c>
      <c r="J302">
        <v>0.7373295539710587</v>
      </c>
      <c r="K302">
        <v>-9.8470749263931158E-3</v>
      </c>
      <c r="L302">
        <v>3.5781406545073578E-2</v>
      </c>
      <c r="M302" t="s">
        <v>30</v>
      </c>
      <c r="N302">
        <v>14</v>
      </c>
      <c r="O302" t="s">
        <v>31</v>
      </c>
      <c r="P302">
        <v>80194</v>
      </c>
      <c r="Q302">
        <v>1019.74</v>
      </c>
      <c r="R302">
        <v>207.26</v>
      </c>
      <c r="S302">
        <v>0.36435110316767189</v>
      </c>
      <c r="T302">
        <v>1.302595381247308E-3</v>
      </c>
      <c r="U302">
        <v>-2.1804852233203859E-3</v>
      </c>
      <c r="V302">
        <v>3.4746065738529108E-3</v>
      </c>
      <c r="W302">
        <v>-5.6550917971732971E-3</v>
      </c>
      <c r="X302" s="19">
        <f t="shared" si="12"/>
        <v>46157</v>
      </c>
      <c r="Y302" s="19">
        <f t="shared" si="13"/>
        <v>46157</v>
      </c>
      <c r="Z302">
        <f t="array" ref="Z302">_xlfn.XLOOKUP(INT(X302),INT($AE$2:$AE$1000),$AG$2:$AG$1000,"")</f>
        <v>18.43</v>
      </c>
      <c r="AE302" s="19" t="e">
        <f t="shared" si="14"/>
        <v>#VALUE!</v>
      </c>
      <c r="AF302" s="19"/>
    </row>
    <row r="303" spans="1:32" x14ac:dyDescent="0.3">
      <c r="A303">
        <v>14</v>
      </c>
      <c r="B303" t="s">
        <v>28</v>
      </c>
      <c r="C303" t="s">
        <v>33</v>
      </c>
      <c r="D303">
        <v>80324</v>
      </c>
      <c r="E303">
        <v>298.10000000000002</v>
      </c>
      <c r="F303">
        <v>51.2</v>
      </c>
      <c r="G303">
        <v>298.07019000000003</v>
      </c>
      <c r="H303">
        <v>51.205120000000001</v>
      </c>
      <c r="I303">
        <v>3.58451863223867</v>
      </c>
      <c r="J303">
        <v>0.69393344791452305</v>
      </c>
      <c r="K303">
        <v>-3.3545790003354579E-2</v>
      </c>
      <c r="L303">
        <v>0.13553387654580529</v>
      </c>
      <c r="M303" t="s">
        <v>30</v>
      </c>
      <c r="N303">
        <v>14</v>
      </c>
      <c r="O303" t="s">
        <v>31</v>
      </c>
      <c r="P303">
        <v>80338</v>
      </c>
      <c r="Q303">
        <v>298.59500000000003</v>
      </c>
      <c r="R303">
        <v>51.31</v>
      </c>
      <c r="S303">
        <v>0.47029040078736939</v>
      </c>
      <c r="T303">
        <v>-1.6964396316221651E-3</v>
      </c>
      <c r="U303">
        <v>-5.0874579166973952E-3</v>
      </c>
      <c r="V303">
        <v>3.38780568251863E-3</v>
      </c>
      <c r="W303">
        <v>-8.4752635992160243E-3</v>
      </c>
      <c r="X303" s="19">
        <f t="shared" si="12"/>
        <v>46157</v>
      </c>
      <c r="Y303" s="19">
        <f t="shared" si="13"/>
        <v>46157</v>
      </c>
      <c r="Z303">
        <f t="array" ref="Z303">_xlfn.XLOOKUP(INT(X303),INT($AE$2:$AE$1000),$AG$2:$AG$1000,"")</f>
        <v>18.43</v>
      </c>
      <c r="AE303" s="19" t="e">
        <f t="shared" si="14"/>
        <v>#VALUE!</v>
      </c>
    </row>
    <row r="304" spans="1:32" x14ac:dyDescent="0.3">
      <c r="A304">
        <v>14</v>
      </c>
      <c r="B304" t="s">
        <v>28</v>
      </c>
      <c r="C304" t="s">
        <v>33</v>
      </c>
      <c r="D304">
        <v>80414</v>
      </c>
      <c r="E304">
        <v>297.48500000000001</v>
      </c>
      <c r="F304">
        <v>51.35</v>
      </c>
      <c r="G304">
        <v>297.5147485</v>
      </c>
      <c r="H304">
        <v>51.344864999999999</v>
      </c>
      <c r="I304">
        <v>-3.7896709471679908</v>
      </c>
      <c r="J304">
        <v>0.69393344791452305</v>
      </c>
      <c r="K304">
        <v>3.3615140259172727E-2</v>
      </c>
      <c r="L304">
        <v>-0.1351379645403161</v>
      </c>
      <c r="M304" t="s">
        <v>32</v>
      </c>
      <c r="N304">
        <v>29</v>
      </c>
      <c r="O304" t="s">
        <v>31</v>
      </c>
      <c r="P304">
        <v>80443</v>
      </c>
      <c r="Q304">
        <v>297.45</v>
      </c>
      <c r="R304">
        <v>51.42</v>
      </c>
      <c r="S304">
        <v>-0.35424223439572089</v>
      </c>
      <c r="T304">
        <v>-1.063618742689405E-2</v>
      </c>
      <c r="U304">
        <v>-1.402488263548337E-2</v>
      </c>
      <c r="V304">
        <v>3.3879281091394632E-3</v>
      </c>
      <c r="W304">
        <v>-1.7412810744622829E-2</v>
      </c>
      <c r="X304" s="19">
        <f t="shared" si="12"/>
        <v>46160</v>
      </c>
      <c r="Y304" s="19">
        <f t="shared" si="13"/>
        <v>46160</v>
      </c>
      <c r="Z304">
        <f t="array" ref="Z304">_xlfn.XLOOKUP(INT(X304),INT($AE$2:$AE$1000),$AG$2:$AG$1000,"")</f>
        <v>17.82</v>
      </c>
      <c r="AE304" s="19" t="e">
        <f t="shared" si="14"/>
        <v>#VALUE!</v>
      </c>
    </row>
    <row r="305" spans="1:32" x14ac:dyDescent="0.3">
      <c r="A305">
        <v>14</v>
      </c>
      <c r="B305" t="s">
        <v>28</v>
      </c>
      <c r="C305" t="s">
        <v>33</v>
      </c>
      <c r="D305">
        <v>80458</v>
      </c>
      <c r="E305">
        <v>298.26</v>
      </c>
      <c r="F305">
        <v>51.515000000000001</v>
      </c>
      <c r="G305">
        <v>298.23017399999998</v>
      </c>
      <c r="H305">
        <v>51.520151499999997</v>
      </c>
      <c r="I305">
        <v>3.5408205814482638</v>
      </c>
      <c r="J305">
        <v>0.69393344791452305</v>
      </c>
      <c r="K305">
        <v>-3.3527794541675052E-2</v>
      </c>
      <c r="L305">
        <v>0.134705124316126</v>
      </c>
      <c r="M305" t="s">
        <v>30</v>
      </c>
      <c r="N305">
        <v>19</v>
      </c>
      <c r="O305" t="s">
        <v>31</v>
      </c>
      <c r="P305">
        <v>80477</v>
      </c>
      <c r="Q305">
        <v>298.745</v>
      </c>
      <c r="R305">
        <v>51.62</v>
      </c>
      <c r="S305">
        <v>-0.18818667830716529</v>
      </c>
      <c r="T305">
        <v>-2.1169422995200482E-3</v>
      </c>
      <c r="U305">
        <v>-5.5078496971896944E-3</v>
      </c>
      <c r="V305">
        <v>3.38780568251863E-3</v>
      </c>
      <c r="W305">
        <v>-8.8956553797083227E-3</v>
      </c>
      <c r="X305" s="19">
        <f t="shared" si="12"/>
        <v>46160</v>
      </c>
      <c r="Y305" s="19">
        <f t="shared" si="13"/>
        <v>46160</v>
      </c>
      <c r="Z305">
        <f t="array" ref="Z305">_xlfn.XLOOKUP(INT(X305),INT($AE$2:$AE$1000),$AG$2:$AG$1000,"")</f>
        <v>17.82</v>
      </c>
      <c r="AE305" s="19" t="e">
        <f t="shared" si="14"/>
        <v>#VALUE!</v>
      </c>
    </row>
    <row r="306" spans="1:32" x14ac:dyDescent="0.3">
      <c r="A306">
        <v>14</v>
      </c>
      <c r="B306" t="s">
        <v>33</v>
      </c>
      <c r="C306" t="s">
        <v>36</v>
      </c>
      <c r="D306">
        <v>80489</v>
      </c>
      <c r="E306">
        <v>51.09</v>
      </c>
      <c r="F306">
        <v>54.01</v>
      </c>
      <c r="G306">
        <v>51.084891000000013</v>
      </c>
      <c r="H306">
        <v>54.015400999999997</v>
      </c>
      <c r="I306">
        <v>3.7070383975445078</v>
      </c>
      <c r="J306">
        <v>1.176533237523377</v>
      </c>
      <c r="K306">
        <v>-0.19573302016050109</v>
      </c>
      <c r="L306">
        <v>0.21783618543295261</v>
      </c>
      <c r="M306" t="s">
        <v>30</v>
      </c>
      <c r="N306">
        <v>25</v>
      </c>
      <c r="O306" t="s">
        <v>31</v>
      </c>
      <c r="P306">
        <v>80514</v>
      </c>
      <c r="Q306">
        <v>51.54</v>
      </c>
      <c r="R306">
        <v>54.19</v>
      </c>
      <c r="S306">
        <v>0.48912305698417918</v>
      </c>
      <c r="T306">
        <v>-4.8869345694293242E-2</v>
      </c>
      <c r="U306">
        <v>-5.323514120658298E-2</v>
      </c>
      <c r="V306">
        <v>4.3531017816942586E-3</v>
      </c>
      <c r="W306">
        <v>-5.7588242988277243E-2</v>
      </c>
      <c r="X306" s="19">
        <f t="shared" si="12"/>
        <v>46160</v>
      </c>
      <c r="Y306" s="19">
        <f t="shared" si="13"/>
        <v>46160</v>
      </c>
      <c r="Z306">
        <f t="array" ref="Z306">_xlfn.XLOOKUP(INT(X306),INT($AE$2:$AE$1000),$AG$2:$AG$1000,"")</f>
        <v>17.82</v>
      </c>
      <c r="AE306" s="19" t="e">
        <f t="shared" si="14"/>
        <v>#VALUE!</v>
      </c>
    </row>
    <row r="307" spans="1:32" x14ac:dyDescent="0.3">
      <c r="A307">
        <v>14</v>
      </c>
      <c r="B307" t="s">
        <v>33</v>
      </c>
      <c r="C307" t="s">
        <v>37</v>
      </c>
      <c r="D307">
        <v>80653</v>
      </c>
      <c r="E307">
        <v>51.414999999999999</v>
      </c>
      <c r="F307">
        <v>216.9</v>
      </c>
      <c r="G307">
        <v>51.409858499999999</v>
      </c>
      <c r="H307">
        <v>216.92169000000001</v>
      </c>
      <c r="I307">
        <v>3.8863324827740389</v>
      </c>
      <c r="J307">
        <v>1.197461461745291</v>
      </c>
      <c r="K307">
        <v>-0.19449576971700869</v>
      </c>
      <c r="L307">
        <v>5.5207997314213518E-2</v>
      </c>
      <c r="M307" t="s">
        <v>30</v>
      </c>
      <c r="N307">
        <v>27</v>
      </c>
      <c r="O307" t="s">
        <v>31</v>
      </c>
      <c r="P307">
        <v>80680</v>
      </c>
      <c r="Q307">
        <v>51.484999999999999</v>
      </c>
      <c r="R307">
        <v>217.04</v>
      </c>
      <c r="S307">
        <v>-0.34813488587850999</v>
      </c>
      <c r="T307">
        <v>-5.8855842562015219E-3</v>
      </c>
      <c r="U307">
        <v>-1.028264156204243E-2</v>
      </c>
      <c r="V307">
        <v>4.394962415782932E-3</v>
      </c>
      <c r="W307">
        <v>-1.467760397782536E-2</v>
      </c>
      <c r="X307" s="19">
        <f t="shared" si="12"/>
        <v>46160</v>
      </c>
      <c r="Y307" s="19">
        <f t="shared" si="13"/>
        <v>46160</v>
      </c>
      <c r="Z307">
        <f t="array" ref="Z307">_xlfn.XLOOKUP(INT(X307),INT($AE$2:$AE$1000),$AG$2:$AG$1000,"")</f>
        <v>17.82</v>
      </c>
      <c r="AE307" s="19" t="e">
        <f t="shared" si="14"/>
        <v>#VALUE!</v>
      </c>
    </row>
    <row r="308" spans="1:32" x14ac:dyDescent="0.3">
      <c r="A308">
        <v>14</v>
      </c>
      <c r="B308" t="s">
        <v>28</v>
      </c>
      <c r="C308" t="s">
        <v>33</v>
      </c>
      <c r="D308">
        <v>80853</v>
      </c>
      <c r="E308">
        <v>296.64999999999998</v>
      </c>
      <c r="F308">
        <v>51.515000000000001</v>
      </c>
      <c r="G308">
        <v>296.62033500000001</v>
      </c>
      <c r="H308">
        <v>51.520151499999997</v>
      </c>
      <c r="I308">
        <v>3.516579361464689</v>
      </c>
      <c r="J308">
        <v>0.69393344791452305</v>
      </c>
      <c r="K308">
        <v>-3.3709758975223332E-2</v>
      </c>
      <c r="L308">
        <v>0.134705124316126</v>
      </c>
      <c r="M308" t="s">
        <v>30</v>
      </c>
      <c r="N308">
        <v>14</v>
      </c>
      <c r="O308" t="s">
        <v>31</v>
      </c>
      <c r="P308">
        <v>80867</v>
      </c>
      <c r="Q308">
        <v>296.68</v>
      </c>
      <c r="R308">
        <v>51.56</v>
      </c>
      <c r="S308">
        <v>-9.0463965878057502E-3</v>
      </c>
      <c r="T308">
        <v>5.0504378249682036E-3</v>
      </c>
      <c r="U308">
        <v>1.661863626802054E-3</v>
      </c>
      <c r="V308">
        <v>3.38780568251863E-3</v>
      </c>
      <c r="W308">
        <v>-1.7259420557165759E-3</v>
      </c>
      <c r="X308" s="19">
        <f t="shared" si="12"/>
        <v>46161</v>
      </c>
      <c r="Y308" s="19">
        <f t="shared" si="13"/>
        <v>46161</v>
      </c>
      <c r="Z308">
        <f t="array" ref="Z308">_xlfn.XLOOKUP(INT(X308),INT($AE$2:$AE$1000),$AG$2:$AG$1000,"")</f>
        <v>18.059999999999999</v>
      </c>
      <c r="AE308" s="19" t="e">
        <f t="shared" si="14"/>
        <v>#VALUE!</v>
      </c>
    </row>
    <row r="309" spans="1:32" x14ac:dyDescent="0.3">
      <c r="A309">
        <v>14</v>
      </c>
      <c r="B309" t="s">
        <v>29</v>
      </c>
      <c r="C309" t="s">
        <v>78</v>
      </c>
      <c r="D309">
        <v>81081</v>
      </c>
      <c r="E309">
        <v>1072.24</v>
      </c>
      <c r="F309">
        <v>216.10499999999999</v>
      </c>
      <c r="G309">
        <v>1072.1327759999999</v>
      </c>
      <c r="H309">
        <v>216.1266105</v>
      </c>
      <c r="I309">
        <v>3.71356746578858</v>
      </c>
      <c r="J309">
        <v>0.7373295539710587</v>
      </c>
      <c r="K309">
        <v>-9.326270238006416E-3</v>
      </c>
      <c r="L309">
        <v>3.4119041853314769E-2</v>
      </c>
      <c r="M309" t="s">
        <v>30</v>
      </c>
      <c r="N309">
        <v>11</v>
      </c>
      <c r="O309" t="s">
        <v>31</v>
      </c>
      <c r="P309">
        <v>81092</v>
      </c>
      <c r="Q309">
        <v>1072.54</v>
      </c>
      <c r="R309">
        <v>216.565</v>
      </c>
      <c r="S309">
        <v>0.2289247401287853</v>
      </c>
      <c r="T309">
        <v>1.2896878181123559E-2</v>
      </c>
      <c r="U309">
        <v>9.4203698091476391E-3</v>
      </c>
      <c r="V309">
        <v>3.4746065738529108E-3</v>
      </c>
      <c r="W309">
        <v>5.9457632352947279E-3</v>
      </c>
      <c r="X309" s="19">
        <f t="shared" si="12"/>
        <v>46161</v>
      </c>
      <c r="Y309" s="19">
        <f t="shared" si="13"/>
        <v>46161</v>
      </c>
      <c r="Z309">
        <f t="array" ref="Z309">_xlfn.XLOOKUP(INT(X309),INT($AE$2:$AE$1000),$AG$2:$AG$1000,"")</f>
        <v>18.059999999999999</v>
      </c>
      <c r="AE309" s="19" t="e">
        <f t="shared" si="14"/>
        <v>#VALUE!</v>
      </c>
    </row>
    <row r="310" spans="1:32" x14ac:dyDescent="0.3">
      <c r="A310">
        <v>14</v>
      </c>
      <c r="B310" t="s">
        <v>28</v>
      </c>
      <c r="C310" t="s">
        <v>36</v>
      </c>
      <c r="D310">
        <v>81256</v>
      </c>
      <c r="E310">
        <v>301.75</v>
      </c>
      <c r="F310">
        <v>54.664999999999999</v>
      </c>
      <c r="G310">
        <v>301.71982500000001</v>
      </c>
      <c r="H310">
        <v>54.670466500000003</v>
      </c>
      <c r="I310">
        <v>3.7799847467451189</v>
      </c>
      <c r="J310">
        <v>0.83393110353335465</v>
      </c>
      <c r="K310">
        <v>-3.3140016570008278E-2</v>
      </c>
      <c r="L310">
        <v>0.15255302360438211</v>
      </c>
      <c r="M310" t="s">
        <v>30</v>
      </c>
      <c r="N310">
        <v>4</v>
      </c>
      <c r="O310" t="s">
        <v>31</v>
      </c>
      <c r="P310">
        <v>81260</v>
      </c>
      <c r="Q310">
        <v>301.61</v>
      </c>
      <c r="R310">
        <v>54.71</v>
      </c>
      <c r="S310">
        <v>6.6804528957072659E-2</v>
      </c>
      <c r="T310">
        <v>1.1504488381998161E-2</v>
      </c>
      <c r="U310">
        <v>7.8364036465574279E-3</v>
      </c>
      <c r="V310">
        <v>3.6678289932874169E-3</v>
      </c>
      <c r="W310">
        <v>4.1685746532700114E-3</v>
      </c>
      <c r="X310" s="19">
        <f t="shared" si="12"/>
        <v>46162</v>
      </c>
      <c r="Y310" s="19">
        <f t="shared" si="13"/>
        <v>46162</v>
      </c>
      <c r="Z310">
        <f t="array" ref="Z310">_xlfn.XLOOKUP(INT(X310),INT($AE$2:$AE$1000),$AG$2:$AG$1000,"")</f>
        <v>17.440000000000001</v>
      </c>
      <c r="AE310" s="19" t="e">
        <f t="shared" si="14"/>
        <v>#VALUE!</v>
      </c>
    </row>
    <row r="311" spans="1:32" x14ac:dyDescent="0.3">
      <c r="A311">
        <v>14</v>
      </c>
      <c r="B311" t="s">
        <v>28</v>
      </c>
      <c r="C311" t="s">
        <v>37</v>
      </c>
      <c r="D311">
        <v>81270</v>
      </c>
      <c r="E311">
        <v>299.14499999999998</v>
      </c>
      <c r="F311">
        <v>218.6</v>
      </c>
      <c r="G311">
        <v>299.11508550000002</v>
      </c>
      <c r="H311">
        <v>218.62186</v>
      </c>
      <c r="I311">
        <v>3.7897098920920431</v>
      </c>
      <c r="J311">
        <v>0.84652838247865447</v>
      </c>
      <c r="K311">
        <v>-3.3428604857176289E-2</v>
      </c>
      <c r="L311">
        <v>3.8724994623909173E-2</v>
      </c>
      <c r="M311" t="s">
        <v>30</v>
      </c>
      <c r="N311">
        <v>7</v>
      </c>
      <c r="O311" t="s">
        <v>31</v>
      </c>
      <c r="P311">
        <v>81277</v>
      </c>
      <c r="Q311">
        <v>298.67</v>
      </c>
      <c r="R311">
        <v>218.79499999999999</v>
      </c>
      <c r="S311">
        <v>-0.33695350295845922</v>
      </c>
      <c r="T311">
        <v>2.3429961258819621E-2</v>
      </c>
      <c r="U311">
        <v>1.9737737215195859E-2</v>
      </c>
      <c r="V311">
        <v>3.6930260706338051E-3</v>
      </c>
      <c r="W311">
        <v>1.604471114456205E-2</v>
      </c>
      <c r="X311" s="19">
        <f t="shared" si="12"/>
        <v>46162</v>
      </c>
      <c r="Y311" s="19">
        <f t="shared" si="13"/>
        <v>46162</v>
      </c>
      <c r="Z311">
        <f t="array" ref="Z311">_xlfn.XLOOKUP(INT(X311),INT($AE$2:$AE$1000),$AG$2:$AG$1000,"")</f>
        <v>17.440000000000001</v>
      </c>
      <c r="AE311" s="19" t="e">
        <f t="shared" si="14"/>
        <v>#VALUE!</v>
      </c>
    </row>
    <row r="312" spans="1:32" x14ac:dyDescent="0.3">
      <c r="A312">
        <v>14</v>
      </c>
      <c r="B312" t="s">
        <v>36</v>
      </c>
      <c r="C312" t="s">
        <v>37</v>
      </c>
      <c r="D312">
        <v>81427</v>
      </c>
      <c r="E312">
        <v>53.39</v>
      </c>
      <c r="F312">
        <v>218.51</v>
      </c>
      <c r="G312">
        <v>53.395339</v>
      </c>
      <c r="H312">
        <v>218.48814899999999</v>
      </c>
      <c r="I312">
        <v>-4.3337169448103214</v>
      </c>
      <c r="J312">
        <v>0.98325718974251342</v>
      </c>
      <c r="K312">
        <v>0.18730099269526129</v>
      </c>
      <c r="L312">
        <v>-4.4998269632626132E-2</v>
      </c>
      <c r="M312" t="s">
        <v>32</v>
      </c>
      <c r="N312">
        <v>6</v>
      </c>
      <c r="O312" t="s">
        <v>31</v>
      </c>
      <c r="P312">
        <v>81433</v>
      </c>
      <c r="Q312">
        <v>53.424999999999997</v>
      </c>
      <c r="R312">
        <v>218.11</v>
      </c>
      <c r="S312">
        <v>0.15007989150364229</v>
      </c>
      <c r="T312">
        <v>2.4554842597382932E-2</v>
      </c>
      <c r="U312">
        <v>2.0589472595210101E-2</v>
      </c>
      <c r="V312">
        <v>3.9665177280470776E-3</v>
      </c>
      <c r="W312">
        <v>1.6622954867163021E-2</v>
      </c>
      <c r="X312" s="19">
        <f t="shared" si="12"/>
        <v>46162</v>
      </c>
      <c r="Y312" s="19">
        <f t="shared" si="13"/>
        <v>46162</v>
      </c>
      <c r="Z312">
        <f t="array" ref="Z312">_xlfn.XLOOKUP(INT(X312),INT($AE$2:$AE$1000),$AG$2:$AG$1000,"")</f>
        <v>17.440000000000001</v>
      </c>
      <c r="AE312" s="19" t="e">
        <f t="shared" si="14"/>
        <v>#VALUE!</v>
      </c>
    </row>
    <row r="313" spans="1:32" x14ac:dyDescent="0.3">
      <c r="A313">
        <v>14</v>
      </c>
      <c r="B313" t="s">
        <v>33</v>
      </c>
      <c r="C313" t="s">
        <v>37</v>
      </c>
      <c r="D313">
        <v>81521</v>
      </c>
      <c r="E313">
        <v>52.344999999999999</v>
      </c>
      <c r="F313">
        <v>220.09</v>
      </c>
      <c r="G313">
        <v>52.350234499999999</v>
      </c>
      <c r="H313">
        <v>220.06799100000001</v>
      </c>
      <c r="I313">
        <v>-3.7912998160572431</v>
      </c>
      <c r="J313">
        <v>1.197461461745291</v>
      </c>
      <c r="K313">
        <v>0.19104021396503959</v>
      </c>
      <c r="L313">
        <v>-5.440780870304382E-2</v>
      </c>
      <c r="M313" t="s">
        <v>32</v>
      </c>
      <c r="N313">
        <v>9</v>
      </c>
      <c r="O313" t="s">
        <v>31</v>
      </c>
      <c r="P313">
        <v>81530</v>
      </c>
      <c r="Q313">
        <v>52.365000000000002</v>
      </c>
      <c r="R313">
        <v>219.87</v>
      </c>
      <c r="S313">
        <v>-0.30403709470153922</v>
      </c>
      <c r="T313">
        <v>1.5790522193970969E-2</v>
      </c>
      <c r="U313">
        <v>1.139641416184382E-2</v>
      </c>
      <c r="V313">
        <v>4.3948834311982338E-3</v>
      </c>
      <c r="W313">
        <v>7.0015307306455898E-3</v>
      </c>
      <c r="X313" s="19">
        <f t="shared" si="12"/>
        <v>46163</v>
      </c>
      <c r="Y313" s="19">
        <f t="shared" si="13"/>
        <v>46163</v>
      </c>
      <c r="Z313">
        <f t="array" ref="Z313">_xlfn.XLOOKUP(INT(X313),INT($AE$2:$AE$1000),$AG$2:$AG$1000,"")</f>
        <v>16.760000000000002</v>
      </c>
      <c r="AE313" s="19" t="e">
        <f t="shared" si="14"/>
        <v>#VALUE!</v>
      </c>
    </row>
    <row r="314" spans="1:32" x14ac:dyDescent="0.3">
      <c r="A314">
        <v>14</v>
      </c>
      <c r="B314" t="s">
        <v>28</v>
      </c>
      <c r="C314" t="s">
        <v>36</v>
      </c>
      <c r="D314">
        <v>81660</v>
      </c>
      <c r="E314">
        <v>305.63</v>
      </c>
      <c r="F314">
        <v>53.86</v>
      </c>
      <c r="G314">
        <v>305.59943700000002</v>
      </c>
      <c r="H314">
        <v>53.865386000000001</v>
      </c>
      <c r="I314">
        <v>4.251640778709965</v>
      </c>
      <c r="J314">
        <v>0.83393110353335465</v>
      </c>
      <c r="K314">
        <v>-3.2719301115728169E-2</v>
      </c>
      <c r="L314">
        <v>0.15483310500062281</v>
      </c>
      <c r="M314" t="s">
        <v>30</v>
      </c>
      <c r="N314">
        <v>8</v>
      </c>
      <c r="O314" t="s">
        <v>31</v>
      </c>
      <c r="P314">
        <v>81668</v>
      </c>
      <c r="Q314">
        <v>305.39999999999998</v>
      </c>
      <c r="R314">
        <v>54.19</v>
      </c>
      <c r="S314">
        <v>-0.2525980049805957</v>
      </c>
      <c r="T314">
        <v>5.8620363906823347E-2</v>
      </c>
      <c r="U314">
        <v>5.4948144751219397E-2</v>
      </c>
      <c r="V314">
        <v>3.6678289932874169E-3</v>
      </c>
      <c r="W314">
        <v>5.1280315757931981E-2</v>
      </c>
      <c r="X314" s="19">
        <f t="shared" si="12"/>
        <v>46163</v>
      </c>
      <c r="Y314" s="19">
        <f t="shared" si="13"/>
        <v>46163</v>
      </c>
      <c r="Z314">
        <f t="array" ref="Z314">_xlfn.XLOOKUP(INT(X314),INT($AE$2:$AE$1000),$AG$2:$AG$1000,"")</f>
        <v>16.760000000000002</v>
      </c>
      <c r="AE314" s="19" t="e">
        <f t="shared" si="14"/>
        <v>#VALUE!</v>
      </c>
    </row>
    <row r="315" spans="1:32" x14ac:dyDescent="0.3">
      <c r="A315">
        <v>14</v>
      </c>
      <c r="B315" t="s">
        <v>28</v>
      </c>
      <c r="C315" t="s">
        <v>37</v>
      </c>
      <c r="D315">
        <v>81752</v>
      </c>
      <c r="E315">
        <v>308.54500000000002</v>
      </c>
      <c r="F315">
        <v>225.67500000000001</v>
      </c>
      <c r="G315">
        <v>308.51414549999998</v>
      </c>
      <c r="H315">
        <v>225.69756749999999</v>
      </c>
      <c r="I315">
        <v>3.5279137560374521</v>
      </c>
      <c r="J315">
        <v>0.84652838247865447</v>
      </c>
      <c r="K315">
        <v>-3.2410183279586453E-2</v>
      </c>
      <c r="L315">
        <v>3.7510950813278141E-2</v>
      </c>
      <c r="M315" t="s">
        <v>30</v>
      </c>
      <c r="N315">
        <v>34</v>
      </c>
      <c r="O315" t="s">
        <v>31</v>
      </c>
      <c r="P315">
        <v>81786</v>
      </c>
      <c r="Q315">
        <v>309.96499999999997</v>
      </c>
      <c r="R315">
        <v>225.99</v>
      </c>
      <c r="S315">
        <v>0.23272127973703749</v>
      </c>
      <c r="T315">
        <v>-3.4206510750828888E-2</v>
      </c>
      <c r="U315">
        <v>-3.7905351356761957E-2</v>
      </c>
      <c r="V315">
        <v>3.6930260706338051E-3</v>
      </c>
      <c r="W315">
        <v>-4.1598377427395757E-2</v>
      </c>
      <c r="X315" s="19">
        <f t="shared" si="12"/>
        <v>46163</v>
      </c>
      <c r="Y315" s="19">
        <f t="shared" si="13"/>
        <v>46163</v>
      </c>
      <c r="Z315">
        <f t="array" ref="Z315">_xlfn.XLOOKUP(INT(X315),INT($AE$2:$AE$1000),$AG$2:$AG$1000,"")</f>
        <v>16.760000000000002</v>
      </c>
      <c r="AE315" s="19" t="e">
        <f t="shared" si="14"/>
        <v>#VALUE!</v>
      </c>
      <c r="AF315" s="19"/>
    </row>
    <row r="316" spans="1:32" x14ac:dyDescent="0.3">
      <c r="A316">
        <v>14</v>
      </c>
      <c r="B316" t="s">
        <v>33</v>
      </c>
      <c r="C316" t="s">
        <v>36</v>
      </c>
      <c r="D316">
        <v>81873</v>
      </c>
      <c r="E316">
        <v>54.14</v>
      </c>
      <c r="F316">
        <v>55.484999999999999</v>
      </c>
      <c r="G316">
        <v>54.145414000000002</v>
      </c>
      <c r="H316">
        <v>55.479451500000003</v>
      </c>
      <c r="I316">
        <v>-3.5251602687889059</v>
      </c>
      <c r="J316">
        <v>1.176533237523377</v>
      </c>
      <c r="K316">
        <v>0.1847063169560399</v>
      </c>
      <c r="L316">
        <v>-0.21204528026013819</v>
      </c>
      <c r="M316" t="s">
        <v>32</v>
      </c>
      <c r="N316">
        <v>12</v>
      </c>
      <c r="O316" t="s">
        <v>31</v>
      </c>
      <c r="P316">
        <v>81885</v>
      </c>
      <c r="Q316">
        <v>53.954999999999998</v>
      </c>
      <c r="R316">
        <v>55.284999999999997</v>
      </c>
      <c r="S316">
        <v>-0.37823593448380172</v>
      </c>
      <c r="T316">
        <v>8.2383874151604475E-3</v>
      </c>
      <c r="U316">
        <v>3.8929789125839369E-3</v>
      </c>
      <c r="V316">
        <v>4.3530311683992497E-3</v>
      </c>
      <c r="W316">
        <v>-4.6005225581531242E-4</v>
      </c>
      <c r="X316" s="19">
        <f t="shared" si="12"/>
        <v>46163</v>
      </c>
      <c r="Y316" s="19">
        <f t="shared" si="13"/>
        <v>46163</v>
      </c>
      <c r="Z316">
        <f t="array" ref="Z316">_xlfn.XLOOKUP(INT(X316),INT($AE$2:$AE$1000),$AG$2:$AG$1000,"")</f>
        <v>16.760000000000002</v>
      </c>
      <c r="AE316" s="19" t="e">
        <f t="shared" si="14"/>
        <v>#VALUE!</v>
      </c>
      <c r="AF316" s="19"/>
    </row>
    <row r="317" spans="1:32" x14ac:dyDescent="0.3">
      <c r="A317">
        <v>14</v>
      </c>
      <c r="B317" t="s">
        <v>28</v>
      </c>
      <c r="C317" t="s">
        <v>36</v>
      </c>
      <c r="D317">
        <v>82054</v>
      </c>
      <c r="E317">
        <v>313.70999999999998</v>
      </c>
      <c r="F317">
        <v>55.52</v>
      </c>
      <c r="G317">
        <v>313.678629</v>
      </c>
      <c r="H317">
        <v>55.525551999999998</v>
      </c>
      <c r="I317">
        <v>3.5201568235003911</v>
      </c>
      <c r="J317">
        <v>0.83393110353335465</v>
      </c>
      <c r="K317">
        <v>-3.1876573905836612E-2</v>
      </c>
      <c r="L317">
        <v>0.15020372902257831</v>
      </c>
      <c r="M317" t="s">
        <v>30</v>
      </c>
      <c r="N317">
        <v>5</v>
      </c>
      <c r="O317" t="s">
        <v>31</v>
      </c>
      <c r="P317">
        <v>82059</v>
      </c>
      <c r="Q317">
        <v>312.17</v>
      </c>
      <c r="R317">
        <v>55.51</v>
      </c>
      <c r="S317">
        <v>0.37208797032805607</v>
      </c>
      <c r="T317">
        <v>4.7587886524760661E-2</v>
      </c>
      <c r="U317">
        <v>4.3925083513806328E-2</v>
      </c>
      <c r="V317">
        <v>3.6678289932874169E-3</v>
      </c>
      <c r="W317">
        <v>4.0257254520518919E-2</v>
      </c>
      <c r="X317" s="19">
        <f t="shared" si="12"/>
        <v>46164</v>
      </c>
      <c r="Y317" s="19">
        <f t="shared" si="13"/>
        <v>46164</v>
      </c>
      <c r="Z317">
        <f t="array" ref="Z317">_xlfn.XLOOKUP(INT(X317),INT($AE$2:$AE$1000),$AG$2:$AG$1000,"")</f>
        <v>16.7</v>
      </c>
      <c r="AE317" s="19" t="e">
        <f t="shared" si="14"/>
        <v>#VALUE!</v>
      </c>
      <c r="AF317" s="19"/>
    </row>
    <row r="318" spans="1:32" x14ac:dyDescent="0.3">
      <c r="A318">
        <v>14</v>
      </c>
      <c r="B318" t="s">
        <v>28</v>
      </c>
      <c r="C318" t="s">
        <v>37</v>
      </c>
      <c r="D318">
        <v>82302</v>
      </c>
      <c r="E318">
        <v>313.24</v>
      </c>
      <c r="F318">
        <v>228.56</v>
      </c>
      <c r="G318">
        <v>313.20867600000003</v>
      </c>
      <c r="H318">
        <v>228.58285599999999</v>
      </c>
      <c r="I318">
        <v>4.3295014889684458</v>
      </c>
      <c r="J318">
        <v>0.84652838247865447</v>
      </c>
      <c r="K318">
        <v>-3.1924403013663637E-2</v>
      </c>
      <c r="L318">
        <v>3.7037468606871467E-2</v>
      </c>
      <c r="M318" t="s">
        <v>30</v>
      </c>
      <c r="N318">
        <v>7</v>
      </c>
      <c r="O318" t="s">
        <v>31</v>
      </c>
      <c r="P318">
        <v>82309</v>
      </c>
      <c r="Q318">
        <v>312.77999999999997</v>
      </c>
      <c r="R318">
        <v>228.77</v>
      </c>
      <c r="S318">
        <v>-0.176019276148038</v>
      </c>
      <c r="T318">
        <v>2.2463093793729742E-2</v>
      </c>
      <c r="U318">
        <v>1.8770727764471858E-2</v>
      </c>
      <c r="V318">
        <v>3.6930260706338051E-3</v>
      </c>
      <c r="W318">
        <v>1.5077701693838061E-2</v>
      </c>
      <c r="X318" s="19">
        <f t="shared" si="12"/>
        <v>46167</v>
      </c>
      <c r="Y318" s="19">
        <f t="shared" si="13"/>
        <v>46167</v>
      </c>
      <c r="Z318">
        <f t="array" ref="Z318">_xlfn.XLOOKUP(INT(X318),INT($AE$2:$AE$1000),$AG$2:$AG$1000,"")</f>
        <v>16.59</v>
      </c>
      <c r="AE318" s="19" t="e">
        <f t="shared" si="14"/>
        <v>#VALUE!</v>
      </c>
      <c r="AF318" s="19"/>
    </row>
    <row r="319" spans="1:32" x14ac:dyDescent="0.3">
      <c r="A319">
        <v>14</v>
      </c>
      <c r="B319" t="s">
        <v>33</v>
      </c>
      <c r="C319" t="s">
        <v>36</v>
      </c>
      <c r="D319">
        <v>82379</v>
      </c>
      <c r="E319">
        <v>53.78</v>
      </c>
      <c r="F319">
        <v>55.765000000000001</v>
      </c>
      <c r="G319">
        <v>53.774622000000001</v>
      </c>
      <c r="H319">
        <v>55.770576499999997</v>
      </c>
      <c r="I319">
        <v>4.4618343823619844</v>
      </c>
      <c r="J319">
        <v>1.176533237523377</v>
      </c>
      <c r="K319">
        <v>-0.18594272963927111</v>
      </c>
      <c r="L319">
        <v>0.2109805859451945</v>
      </c>
      <c r="M319" t="s">
        <v>30</v>
      </c>
      <c r="N319">
        <v>19</v>
      </c>
      <c r="O319" t="s">
        <v>31</v>
      </c>
      <c r="P319">
        <v>82398</v>
      </c>
      <c r="Q319">
        <v>53.69</v>
      </c>
      <c r="R319">
        <v>55.66</v>
      </c>
      <c r="S319">
        <v>0.41227669440911408</v>
      </c>
      <c r="T319">
        <v>-5.4181158567112274E-3</v>
      </c>
      <c r="U319">
        <v>-9.767293551038822E-3</v>
      </c>
      <c r="V319">
        <v>4.3531017816942586E-3</v>
      </c>
      <c r="W319">
        <v>-1.412039533273308E-2</v>
      </c>
      <c r="X319" s="19">
        <f t="shared" si="12"/>
        <v>46167</v>
      </c>
      <c r="Y319" s="19">
        <f t="shared" si="13"/>
        <v>46167</v>
      </c>
      <c r="Z319">
        <f t="array" ref="Z319">_xlfn.XLOOKUP(INT(X319),INT($AE$2:$AE$1000),$AG$2:$AG$1000,"")</f>
        <v>16.59</v>
      </c>
      <c r="AE319" s="19" t="e">
        <f t="shared" si="14"/>
        <v>#VALUE!</v>
      </c>
      <c r="AF319" s="19"/>
    </row>
    <row r="320" spans="1:32" x14ac:dyDescent="0.3">
      <c r="A320">
        <v>14</v>
      </c>
      <c r="B320" t="s">
        <v>28</v>
      </c>
      <c r="C320" t="s">
        <v>36</v>
      </c>
      <c r="D320">
        <v>82444</v>
      </c>
      <c r="E320">
        <v>314.29000000000002</v>
      </c>
      <c r="F320">
        <v>55.685000000000002</v>
      </c>
      <c r="G320">
        <v>314.25857100000002</v>
      </c>
      <c r="H320">
        <v>55.690568499999998</v>
      </c>
      <c r="I320">
        <v>4.1856957755404753</v>
      </c>
      <c r="J320">
        <v>0.83393110353335465</v>
      </c>
      <c r="K320">
        <v>-3.1817747939800821E-2</v>
      </c>
      <c r="L320">
        <v>0.1497586609559764</v>
      </c>
      <c r="M320" t="s">
        <v>30</v>
      </c>
      <c r="N320">
        <v>9</v>
      </c>
      <c r="O320" t="s">
        <v>31</v>
      </c>
      <c r="P320">
        <v>82453</v>
      </c>
      <c r="Q320">
        <v>312.87</v>
      </c>
      <c r="R320">
        <v>55.72</v>
      </c>
      <c r="S320">
        <v>-0.29711485686835187</v>
      </c>
      <c r="T320">
        <v>5.0422755207976337E-2</v>
      </c>
      <c r="U320">
        <v>4.6758886965802493E-2</v>
      </c>
      <c r="V320">
        <v>3.6678289932874169E-3</v>
      </c>
      <c r="W320">
        <v>4.3091057972515077E-2</v>
      </c>
      <c r="X320" s="19">
        <f t="shared" si="12"/>
        <v>46167</v>
      </c>
      <c r="Y320" s="19">
        <f t="shared" si="13"/>
        <v>46167</v>
      </c>
      <c r="Z320">
        <f t="array" ref="Z320">_xlfn.XLOOKUP(INT(X320),INT($AE$2:$AE$1000),$AG$2:$AG$1000,"")</f>
        <v>16.59</v>
      </c>
      <c r="AE320" s="19" t="e">
        <f t="shared" si="14"/>
        <v>#VALUE!</v>
      </c>
      <c r="AF320" s="19"/>
    </row>
    <row r="321" spans="1:32" x14ac:dyDescent="0.3">
      <c r="A321">
        <v>15</v>
      </c>
      <c r="B321" t="s">
        <v>36</v>
      </c>
      <c r="C321" t="s">
        <v>35</v>
      </c>
      <c r="D321">
        <v>82775</v>
      </c>
      <c r="E321">
        <v>55.454999999999998</v>
      </c>
      <c r="F321">
        <v>49.034999999999997</v>
      </c>
      <c r="G321">
        <v>55.460545499999988</v>
      </c>
      <c r="H321">
        <v>49.030096499999999</v>
      </c>
      <c r="I321">
        <v>-3.618709709195238</v>
      </c>
      <c r="J321">
        <v>0.71674203224516841</v>
      </c>
      <c r="K321">
        <v>0.18032639076728879</v>
      </c>
      <c r="L321">
        <v>-0.14616947736212271</v>
      </c>
      <c r="M321" t="s">
        <v>32</v>
      </c>
      <c r="N321">
        <v>17</v>
      </c>
      <c r="O321" t="s">
        <v>31</v>
      </c>
      <c r="P321">
        <v>82792</v>
      </c>
      <c r="Q321">
        <v>55.475000000000001</v>
      </c>
      <c r="R321">
        <v>49.04</v>
      </c>
      <c r="S321">
        <v>-0.32664993217280558</v>
      </c>
      <c r="T321">
        <v>2.875680428535352E-3</v>
      </c>
      <c r="U321">
        <v>-5.5823737347344971E-4</v>
      </c>
      <c r="V321">
        <v>3.433540716083888E-3</v>
      </c>
      <c r="W321">
        <v>-3.9917780895573369E-3</v>
      </c>
      <c r="X321" s="19">
        <f t="shared" si="12"/>
        <v>46168</v>
      </c>
      <c r="Y321" s="19">
        <f t="shared" si="13"/>
        <v>46168</v>
      </c>
      <c r="Z321">
        <f t="array" ref="Z321">_xlfn.XLOOKUP(INT(X321),INT($AE$2:$AE$1000),$AG$2:$AG$1000,"")</f>
        <v>17.010000000000002</v>
      </c>
      <c r="AE321" s="19" t="e">
        <f t="shared" si="14"/>
        <v>#VALUE!</v>
      </c>
      <c r="AF321" s="19"/>
    </row>
    <row r="322" spans="1:32" x14ac:dyDescent="0.3">
      <c r="A322">
        <v>15</v>
      </c>
      <c r="B322" t="s">
        <v>36</v>
      </c>
      <c r="C322" t="s">
        <v>35</v>
      </c>
      <c r="D322">
        <v>82834</v>
      </c>
      <c r="E322">
        <v>55.9</v>
      </c>
      <c r="F322">
        <v>49.39</v>
      </c>
      <c r="G322">
        <v>55.894410000000001</v>
      </c>
      <c r="H322">
        <v>49.394939000000001</v>
      </c>
      <c r="I322">
        <v>3.616000328049747</v>
      </c>
      <c r="J322">
        <v>0.71674203224516841</v>
      </c>
      <c r="K322">
        <v>-0.1788908765652952</v>
      </c>
      <c r="L322">
        <v>0.1451188564983131</v>
      </c>
      <c r="M322" t="s">
        <v>30</v>
      </c>
      <c r="N322">
        <v>5</v>
      </c>
      <c r="O322" t="s">
        <v>31</v>
      </c>
      <c r="P322">
        <v>82839</v>
      </c>
      <c r="Q322">
        <v>56</v>
      </c>
      <c r="R322">
        <v>49.72</v>
      </c>
      <c r="S322">
        <v>-0.28239712615868451</v>
      </c>
      <c r="T322">
        <v>3.0000134987913301E-2</v>
      </c>
      <c r="U322">
        <v>2.656007309239267E-2</v>
      </c>
      <c r="V322">
        <v>3.433427412896786E-3</v>
      </c>
      <c r="W322">
        <v>2.3126645679495881E-2</v>
      </c>
      <c r="X322" s="19">
        <f t="shared" ref="X322:X385" si="15">WORKDAY(DATE(2025,8,2),INT(D322/390))</f>
        <v>46168</v>
      </c>
      <c r="Y322" s="19">
        <f t="shared" ref="Y322:Y385" si="16">WORKDAY(DATE(2025,8,2),INT(P322/390))</f>
        <v>46168</v>
      </c>
      <c r="Z322">
        <f t="array" ref="Z322">_xlfn.XLOOKUP(INT(X322),INT($AE$2:$AE$1000),$AG$2:$AG$1000,"")</f>
        <v>17.010000000000002</v>
      </c>
      <c r="AE322" s="19" t="e">
        <f t="shared" ref="AE322:AE385" si="17">IF(ISNUMBER(AF322),DATE(YEAR(AF322),DAY(AF322),MONTH(AF322)),DATE(RIGHT(AF322,4),LEFT(AF322,2),MID(AF322,4,2)))</f>
        <v>#VALUE!</v>
      </c>
      <c r="AF322" s="19"/>
    </row>
    <row r="323" spans="1:32" x14ac:dyDescent="0.3">
      <c r="A323">
        <v>15</v>
      </c>
      <c r="B323" t="s">
        <v>36</v>
      </c>
      <c r="C323" t="s">
        <v>35</v>
      </c>
      <c r="D323">
        <v>83127</v>
      </c>
      <c r="E323">
        <v>55.734999999999999</v>
      </c>
      <c r="F323">
        <v>49.335000000000001</v>
      </c>
      <c r="G323">
        <v>55.740573500000004</v>
      </c>
      <c r="H323">
        <v>49.330066500000001</v>
      </c>
      <c r="I323">
        <v>-3.9384352450546358</v>
      </c>
      <c r="J323">
        <v>0.71674203224516841</v>
      </c>
      <c r="K323">
        <v>0.17942047187584101</v>
      </c>
      <c r="L323">
        <v>-0.14528063894702919</v>
      </c>
      <c r="M323" t="s">
        <v>32</v>
      </c>
      <c r="N323">
        <v>15</v>
      </c>
      <c r="O323" t="s">
        <v>31</v>
      </c>
      <c r="P323">
        <v>83142</v>
      </c>
      <c r="Q323">
        <v>55.84</v>
      </c>
      <c r="R323">
        <v>49.354999999999997</v>
      </c>
      <c r="S323">
        <v>-0.28138329554464592</v>
      </c>
      <c r="T323">
        <v>1.5933536768024021E-2</v>
      </c>
      <c r="U323">
        <v>1.2497878227301539E-2</v>
      </c>
      <c r="V323">
        <v>3.433540716083888E-3</v>
      </c>
      <c r="W323">
        <v>9.0643375112176554E-3</v>
      </c>
      <c r="X323" s="19">
        <f t="shared" si="15"/>
        <v>46169</v>
      </c>
      <c r="Y323" s="19">
        <f t="shared" si="16"/>
        <v>46169</v>
      </c>
      <c r="Z323">
        <f t="array" ref="Z323">_xlfn.XLOOKUP(INT(X323),INT($AE$2:$AE$1000),$AG$2:$AG$1000,"")</f>
        <v>16.29</v>
      </c>
      <c r="AE323" s="19" t="e">
        <f t="shared" si="17"/>
        <v>#VALUE!</v>
      </c>
      <c r="AF323" s="19"/>
    </row>
    <row r="324" spans="1:32" x14ac:dyDescent="0.3">
      <c r="A324">
        <v>15</v>
      </c>
      <c r="B324" t="s">
        <v>33</v>
      </c>
      <c r="C324" t="s">
        <v>37</v>
      </c>
      <c r="D324">
        <v>83154</v>
      </c>
      <c r="E324">
        <v>54.25</v>
      </c>
      <c r="F324">
        <v>231.43</v>
      </c>
      <c r="G324">
        <v>54.255425000000002</v>
      </c>
      <c r="H324">
        <v>231.406857</v>
      </c>
      <c r="I324">
        <v>-3.668900418131757</v>
      </c>
      <c r="J324">
        <v>1.1831404680056781</v>
      </c>
      <c r="K324">
        <v>0.18433179723502299</v>
      </c>
      <c r="L324">
        <v>-5.1123037981492363E-2</v>
      </c>
      <c r="M324" t="s">
        <v>32</v>
      </c>
      <c r="N324">
        <v>21</v>
      </c>
      <c r="O324" t="s">
        <v>31</v>
      </c>
      <c r="P324">
        <v>83175</v>
      </c>
      <c r="Q324">
        <v>54.335000000000001</v>
      </c>
      <c r="R324">
        <v>231.9</v>
      </c>
      <c r="S324">
        <v>-0.46646523905555709</v>
      </c>
      <c r="T324">
        <v>-8.359625086324235E-3</v>
      </c>
      <c r="U324">
        <v>-1.2729875625398309E-2</v>
      </c>
      <c r="V324">
        <v>4.3662443079177547E-3</v>
      </c>
      <c r="W324">
        <v>-1.709611993331606E-2</v>
      </c>
      <c r="X324" s="19">
        <f t="shared" si="15"/>
        <v>46169</v>
      </c>
      <c r="Y324" s="19">
        <f t="shared" si="16"/>
        <v>46169</v>
      </c>
      <c r="Z324">
        <f t="array" ref="Z324">_xlfn.XLOOKUP(INT(X324),INT($AE$2:$AE$1000),$AG$2:$AG$1000,"")</f>
        <v>16.29</v>
      </c>
      <c r="AE324" s="19" t="e">
        <f t="shared" si="17"/>
        <v>#VALUE!</v>
      </c>
      <c r="AF324" s="19"/>
    </row>
    <row r="325" spans="1:32" x14ac:dyDescent="0.3">
      <c r="A325">
        <v>15</v>
      </c>
      <c r="B325" t="s">
        <v>28</v>
      </c>
      <c r="C325" t="s">
        <v>35</v>
      </c>
      <c r="D325">
        <v>83224</v>
      </c>
      <c r="E325">
        <v>311.5</v>
      </c>
      <c r="F325">
        <v>49.34</v>
      </c>
      <c r="G325">
        <v>311.53115000000003</v>
      </c>
      <c r="H325">
        <v>49.335065999999998</v>
      </c>
      <c r="I325">
        <v>-3.528758330780994</v>
      </c>
      <c r="J325">
        <v>0.6279472123330162</v>
      </c>
      <c r="K325">
        <v>3.2102728731942212E-2</v>
      </c>
      <c r="L325">
        <v>-0.12726939852716179</v>
      </c>
      <c r="M325" t="s">
        <v>32</v>
      </c>
      <c r="N325">
        <v>3</v>
      </c>
      <c r="O325" t="s">
        <v>31</v>
      </c>
      <c r="P325">
        <v>83227</v>
      </c>
      <c r="Q325">
        <v>312.37</v>
      </c>
      <c r="R325">
        <v>49.31</v>
      </c>
      <c r="S325">
        <v>0.48593045136970242</v>
      </c>
      <c r="T325">
        <v>3.1747455952604857E-2</v>
      </c>
      <c r="U325">
        <v>2.8489150398736809E-2</v>
      </c>
      <c r="V325">
        <v>3.2559688352235649E-3</v>
      </c>
      <c r="W325">
        <v>2.523318156351324E-2</v>
      </c>
      <c r="X325" s="19">
        <f t="shared" si="15"/>
        <v>46169</v>
      </c>
      <c r="Y325" s="19">
        <f t="shared" si="16"/>
        <v>46169</v>
      </c>
      <c r="Z325">
        <f t="array" ref="Z325">_xlfn.XLOOKUP(INT(X325),INT($AE$2:$AE$1000),$AG$2:$AG$1000,"")</f>
        <v>16.29</v>
      </c>
      <c r="AE325" s="19" t="e">
        <f t="shared" si="17"/>
        <v>#VALUE!</v>
      </c>
    </row>
    <row r="326" spans="1:32" x14ac:dyDescent="0.3">
      <c r="A326">
        <v>15</v>
      </c>
      <c r="B326" t="s">
        <v>28</v>
      </c>
      <c r="C326" t="s">
        <v>36</v>
      </c>
      <c r="D326">
        <v>83601</v>
      </c>
      <c r="E326">
        <v>310.48</v>
      </c>
      <c r="F326">
        <v>56.704999999999998</v>
      </c>
      <c r="G326">
        <v>310.51104800000002</v>
      </c>
      <c r="H326">
        <v>56.699329499999997</v>
      </c>
      <c r="I326">
        <v>-3.542764639206462</v>
      </c>
      <c r="J326">
        <v>0.86028003159358557</v>
      </c>
      <c r="K326">
        <v>3.2208193764493687E-2</v>
      </c>
      <c r="L326">
        <v>-0.15171149485822871</v>
      </c>
      <c r="M326" t="s">
        <v>32</v>
      </c>
      <c r="N326">
        <v>18</v>
      </c>
      <c r="O326" t="s">
        <v>31</v>
      </c>
      <c r="P326">
        <v>83619</v>
      </c>
      <c r="Q326">
        <v>311.61</v>
      </c>
      <c r="R326">
        <v>57.12</v>
      </c>
      <c r="S326">
        <v>-0.29121897615252401</v>
      </c>
      <c r="T326">
        <v>-2.6565011412287041E-2</v>
      </c>
      <c r="U326">
        <v>-3.0295507028406599E-2</v>
      </c>
      <c r="V326">
        <v>3.7205880071808522E-3</v>
      </c>
      <c r="W326">
        <v>-3.4016095035587453E-2</v>
      </c>
      <c r="X326" s="19">
        <f t="shared" si="15"/>
        <v>46170</v>
      </c>
      <c r="Y326" s="19">
        <f t="shared" si="16"/>
        <v>46170</v>
      </c>
      <c r="Z326">
        <f t="array" ref="Z326">_xlfn.XLOOKUP(INT(X326),INT($AE$2:$AE$1000),$AG$2:$AG$1000,"")</f>
        <v>15.74</v>
      </c>
      <c r="AE326" s="19" t="e">
        <f t="shared" si="17"/>
        <v>#VALUE!</v>
      </c>
    </row>
    <row r="327" spans="1:32" x14ac:dyDescent="0.3">
      <c r="A327">
        <v>15</v>
      </c>
      <c r="B327" t="s">
        <v>36</v>
      </c>
      <c r="C327" t="s">
        <v>35</v>
      </c>
      <c r="D327">
        <v>83635</v>
      </c>
      <c r="E327">
        <v>56.774999999999999</v>
      </c>
      <c r="F327">
        <v>50.005000000000003</v>
      </c>
      <c r="G327">
        <v>56.780677500000003</v>
      </c>
      <c r="H327">
        <v>49.999999500000001</v>
      </c>
      <c r="I327">
        <v>-3.732359997184135</v>
      </c>
      <c r="J327">
        <v>0.71674203224516841</v>
      </c>
      <c r="K327">
        <v>0.17613386173491849</v>
      </c>
      <c r="L327">
        <v>-0.14333407304172949</v>
      </c>
      <c r="M327" t="s">
        <v>32</v>
      </c>
      <c r="N327">
        <v>41</v>
      </c>
      <c r="O327" t="s">
        <v>31</v>
      </c>
      <c r="P327">
        <v>83676</v>
      </c>
      <c r="Q327">
        <v>56.64</v>
      </c>
      <c r="R327">
        <v>50.015000000000001</v>
      </c>
      <c r="S327">
        <v>-0.36151531318020619</v>
      </c>
      <c r="T327">
        <v>-2.5211412064630661E-2</v>
      </c>
      <c r="U327">
        <v>-2.8642661656059439E-2</v>
      </c>
      <c r="V327">
        <v>3.433540716083888E-3</v>
      </c>
      <c r="W327">
        <v>-3.2076202372143321E-2</v>
      </c>
      <c r="X327" s="19">
        <f t="shared" si="15"/>
        <v>46170</v>
      </c>
      <c r="Y327" s="19">
        <f t="shared" si="16"/>
        <v>46170</v>
      </c>
      <c r="Z327">
        <f t="array" ref="Z327">_xlfn.XLOOKUP(INT(X327),INT($AE$2:$AE$1000),$AG$2:$AG$1000,"")</f>
        <v>15.74</v>
      </c>
      <c r="AE327" s="19" t="e">
        <f t="shared" si="17"/>
        <v>#VALUE!</v>
      </c>
    </row>
    <row r="328" spans="1:32" x14ac:dyDescent="0.3">
      <c r="A328">
        <v>15</v>
      </c>
      <c r="B328" t="s">
        <v>28</v>
      </c>
      <c r="C328" t="s">
        <v>33</v>
      </c>
      <c r="D328">
        <v>83852</v>
      </c>
      <c r="E328">
        <v>312.61</v>
      </c>
      <c r="F328">
        <v>54.85</v>
      </c>
      <c r="G328">
        <v>312.57873899999998</v>
      </c>
      <c r="H328">
        <v>54.855485000000002</v>
      </c>
      <c r="I328">
        <v>3.94349380032157</v>
      </c>
      <c r="J328">
        <v>0.66530767043132732</v>
      </c>
      <c r="K328">
        <v>-3.1988739963532832E-2</v>
      </c>
      <c r="L328">
        <v>0.12129583781792661</v>
      </c>
      <c r="M328" t="s">
        <v>30</v>
      </c>
      <c r="N328">
        <v>23</v>
      </c>
      <c r="O328" t="s">
        <v>31</v>
      </c>
      <c r="P328">
        <v>83875</v>
      </c>
      <c r="Q328">
        <v>314.07</v>
      </c>
      <c r="R328">
        <v>55.24</v>
      </c>
      <c r="S328">
        <v>0.4692079500483588</v>
      </c>
      <c r="T328">
        <v>6.0181640223415378E-4</v>
      </c>
      <c r="U328">
        <v>-2.738199832337404E-3</v>
      </c>
      <c r="V328">
        <v>3.3305484023967409E-3</v>
      </c>
      <c r="W328">
        <v>-6.068748234734145E-3</v>
      </c>
      <c r="X328" s="19">
        <f t="shared" si="15"/>
        <v>46171</v>
      </c>
      <c r="Y328" s="19">
        <f t="shared" si="16"/>
        <v>46171</v>
      </c>
      <c r="Z328">
        <f t="array" ref="Z328">_xlfn.XLOOKUP(INT(X328),INT($AE$2:$AE$1000),$AG$2:$AG$1000,"")</f>
        <v>15.32</v>
      </c>
      <c r="AE328" s="19" t="e">
        <f t="shared" si="17"/>
        <v>#VALUE!</v>
      </c>
    </row>
    <row r="329" spans="1:32" x14ac:dyDescent="0.3">
      <c r="A329">
        <v>15</v>
      </c>
      <c r="B329" t="s">
        <v>36</v>
      </c>
      <c r="C329" t="s">
        <v>35</v>
      </c>
      <c r="D329">
        <v>84005</v>
      </c>
      <c r="E329">
        <v>58.26</v>
      </c>
      <c r="F329">
        <v>51.09</v>
      </c>
      <c r="G329">
        <v>58.254173999999999</v>
      </c>
      <c r="H329">
        <v>51.095109000000001</v>
      </c>
      <c r="I329">
        <v>4.7237316780747456</v>
      </c>
      <c r="J329">
        <v>0.71674203224516841</v>
      </c>
      <c r="K329">
        <v>-0.17164435290078961</v>
      </c>
      <c r="L329">
        <v>0.14029008264732201</v>
      </c>
      <c r="M329" t="s">
        <v>30</v>
      </c>
      <c r="N329">
        <v>17</v>
      </c>
      <c r="O329" t="s">
        <v>31</v>
      </c>
      <c r="P329">
        <v>84022</v>
      </c>
      <c r="Q329">
        <v>58.52</v>
      </c>
      <c r="R329">
        <v>51.27</v>
      </c>
      <c r="S329">
        <v>0.47374405302859091</v>
      </c>
      <c r="T329">
        <v>-1.9375316877688242E-2</v>
      </c>
      <c r="U329">
        <v>-2.2815788916840881E-2</v>
      </c>
      <c r="V329">
        <v>3.433427412896786E-3</v>
      </c>
      <c r="W329">
        <v>-2.624921632973766E-2</v>
      </c>
      <c r="X329" s="19">
        <f t="shared" si="15"/>
        <v>46171</v>
      </c>
      <c r="Y329" s="19">
        <f t="shared" si="16"/>
        <v>46171</v>
      </c>
      <c r="Z329">
        <f t="array" ref="Z329">_xlfn.XLOOKUP(INT(X329),INT($AE$2:$AE$1000),$AG$2:$AG$1000,"")</f>
        <v>15.32</v>
      </c>
      <c r="AE329" s="19" t="e">
        <f t="shared" si="17"/>
        <v>#VALUE!</v>
      </c>
    </row>
    <row r="330" spans="1:32" x14ac:dyDescent="0.3">
      <c r="A330">
        <v>15</v>
      </c>
      <c r="B330" t="s">
        <v>36</v>
      </c>
      <c r="C330" t="s">
        <v>35</v>
      </c>
      <c r="D330">
        <v>84213</v>
      </c>
      <c r="E330">
        <v>58.645000000000003</v>
      </c>
      <c r="F330">
        <v>51.414999999999999</v>
      </c>
      <c r="G330">
        <v>58.650864499999997</v>
      </c>
      <c r="H330">
        <v>51.409858499999999</v>
      </c>
      <c r="I330">
        <v>-3.6589472426244378</v>
      </c>
      <c r="J330">
        <v>0.71674203224516841</v>
      </c>
      <c r="K330">
        <v>0.17051752067524939</v>
      </c>
      <c r="L330">
        <v>-0.1394032932500571</v>
      </c>
      <c r="M330" t="s">
        <v>32</v>
      </c>
      <c r="N330">
        <v>16</v>
      </c>
      <c r="O330" t="s">
        <v>31</v>
      </c>
      <c r="P330">
        <v>84229</v>
      </c>
      <c r="Q330">
        <v>58.67</v>
      </c>
      <c r="R330">
        <v>51.414999999999999</v>
      </c>
      <c r="S330">
        <v>-0.23370122353748371</v>
      </c>
      <c r="T330">
        <v>4.2629380168809914E-3</v>
      </c>
      <c r="U330">
        <v>8.2902765858823752E-4</v>
      </c>
      <c r="V330">
        <v>3.433540716083888E-3</v>
      </c>
      <c r="W330">
        <v>-2.6045130574956499E-3</v>
      </c>
      <c r="X330" s="19">
        <f t="shared" si="15"/>
        <v>46171</v>
      </c>
      <c r="Y330" s="19">
        <f t="shared" si="16"/>
        <v>46171</v>
      </c>
      <c r="Z330">
        <f t="array" ref="Z330">_xlfn.XLOOKUP(INT(X330),INT($AE$2:$AE$1000),$AG$2:$AG$1000,"")</f>
        <v>15.32</v>
      </c>
      <c r="AE330" s="19" t="e">
        <f t="shared" si="17"/>
        <v>#VALUE!</v>
      </c>
    </row>
    <row r="331" spans="1:32" x14ac:dyDescent="0.3">
      <c r="A331">
        <v>15</v>
      </c>
      <c r="B331" t="s">
        <v>28</v>
      </c>
      <c r="C331" t="s">
        <v>35</v>
      </c>
      <c r="D331">
        <v>84345</v>
      </c>
      <c r="E331">
        <v>320.47000000000003</v>
      </c>
      <c r="F331">
        <v>51.58</v>
      </c>
      <c r="G331">
        <v>320.502047</v>
      </c>
      <c r="H331">
        <v>51.574841999999997</v>
      </c>
      <c r="I331">
        <v>-3.563576332611087</v>
      </c>
      <c r="J331">
        <v>0.6279472123330162</v>
      </c>
      <c r="K331">
        <v>3.1204168876961959E-2</v>
      </c>
      <c r="L331">
        <v>-0.12174238315878561</v>
      </c>
      <c r="M331" t="s">
        <v>32</v>
      </c>
      <c r="N331">
        <v>15</v>
      </c>
      <c r="O331" t="s">
        <v>31</v>
      </c>
      <c r="P331">
        <v>84360</v>
      </c>
      <c r="Q331">
        <v>320.51</v>
      </c>
      <c r="R331">
        <v>51.545000000000002</v>
      </c>
      <c r="S331">
        <v>-8.6200604849215309E-2</v>
      </c>
      <c r="T331">
        <v>5.5091501656344254E-3</v>
      </c>
      <c r="U331">
        <v>2.253557022634176E-3</v>
      </c>
      <c r="V331">
        <v>3.2559688352235649E-3</v>
      </c>
      <c r="W331">
        <v>-1.0024118125893889E-3</v>
      </c>
      <c r="X331" s="19">
        <f t="shared" si="15"/>
        <v>46174</v>
      </c>
      <c r="Y331" s="19">
        <f t="shared" si="16"/>
        <v>46174</v>
      </c>
      <c r="Z331">
        <f t="array" ref="Z331">_xlfn.XLOOKUP(INT(X331),INT($AE$2:$AE$1000),$AG$2:$AG$1000,"")</f>
        <v>16.05</v>
      </c>
      <c r="AE331" s="19" t="e">
        <f t="shared" si="17"/>
        <v>#VALUE!</v>
      </c>
    </row>
    <row r="332" spans="1:32" x14ac:dyDescent="0.3">
      <c r="A332">
        <v>15</v>
      </c>
      <c r="B332" t="s">
        <v>28</v>
      </c>
      <c r="C332" t="s">
        <v>36</v>
      </c>
      <c r="D332">
        <v>84390</v>
      </c>
      <c r="E332">
        <v>320.35000000000002</v>
      </c>
      <c r="F332">
        <v>58.9</v>
      </c>
      <c r="G332">
        <v>320.38203499999997</v>
      </c>
      <c r="H332">
        <v>58.894109999999998</v>
      </c>
      <c r="I332">
        <v>-3.50442700398568</v>
      </c>
      <c r="J332">
        <v>0.86028003159358557</v>
      </c>
      <c r="K332">
        <v>3.1215857655689089E-2</v>
      </c>
      <c r="L332">
        <v>-0.14605773032149161</v>
      </c>
      <c r="M332" t="s">
        <v>32</v>
      </c>
      <c r="N332">
        <v>19</v>
      </c>
      <c r="O332" t="s">
        <v>31</v>
      </c>
      <c r="P332">
        <v>84409</v>
      </c>
      <c r="Q332">
        <v>321.83</v>
      </c>
      <c r="R332">
        <v>58.91</v>
      </c>
      <c r="S332">
        <v>0.28092639791961649</v>
      </c>
      <c r="T332">
        <v>4.4738892027204019E-2</v>
      </c>
      <c r="U332">
        <v>4.1013565959354147E-2</v>
      </c>
      <c r="V332">
        <v>3.7205880071808522E-3</v>
      </c>
      <c r="W332">
        <v>3.7292977952173303E-2</v>
      </c>
      <c r="X332" s="19">
        <f t="shared" si="15"/>
        <v>46174</v>
      </c>
      <c r="Y332" s="19">
        <f t="shared" si="16"/>
        <v>46174</v>
      </c>
      <c r="Z332">
        <f t="array" ref="Z332">_xlfn.XLOOKUP(INT(X332),INT($AE$2:$AE$1000),$AG$2:$AG$1000,"")</f>
        <v>16.05</v>
      </c>
      <c r="AE332" s="19" t="e">
        <f t="shared" si="17"/>
        <v>#VALUE!</v>
      </c>
    </row>
    <row r="333" spans="1:32" x14ac:dyDescent="0.3">
      <c r="A333">
        <v>15</v>
      </c>
      <c r="B333" t="s">
        <v>33</v>
      </c>
      <c r="C333" t="s">
        <v>37</v>
      </c>
      <c r="D333">
        <v>84726</v>
      </c>
      <c r="E333">
        <v>56.02</v>
      </c>
      <c r="F333">
        <v>230.74</v>
      </c>
      <c r="G333">
        <v>56.014398000000007</v>
      </c>
      <c r="H333">
        <v>230.76307399999999</v>
      </c>
      <c r="I333">
        <v>3.5415943119004889</v>
      </c>
      <c r="J333">
        <v>1.1831404680056781</v>
      </c>
      <c r="K333">
        <v>-0.17850767583006069</v>
      </c>
      <c r="L333">
        <v>5.1275915229508431E-2</v>
      </c>
      <c r="M333" t="s">
        <v>30</v>
      </c>
      <c r="N333">
        <v>12</v>
      </c>
      <c r="O333" t="s">
        <v>31</v>
      </c>
      <c r="P333">
        <v>84738</v>
      </c>
      <c r="Q333">
        <v>56.024999999999999</v>
      </c>
      <c r="R333">
        <v>230.92</v>
      </c>
      <c r="S333">
        <v>0.49081894304179557</v>
      </c>
      <c r="T333">
        <v>8.3371263621609196E-3</v>
      </c>
      <c r="U333">
        <v>3.9698332058378891E-3</v>
      </c>
      <c r="V333">
        <v>4.3663175641049561E-3</v>
      </c>
      <c r="W333">
        <v>-3.9648435826706701E-4</v>
      </c>
      <c r="X333" s="19">
        <f t="shared" si="15"/>
        <v>46175</v>
      </c>
      <c r="Y333" s="19">
        <f t="shared" si="16"/>
        <v>46175</v>
      </c>
      <c r="Z333">
        <f t="array" ref="Z333">_xlfn.XLOOKUP(INT(X333),INT($AE$2:$AE$1000),$AG$2:$AG$1000,"")</f>
        <v>15.77</v>
      </c>
      <c r="AE333" s="19" t="e">
        <f t="shared" si="17"/>
        <v>#VALUE!</v>
      </c>
    </row>
    <row r="334" spans="1:32" x14ac:dyDescent="0.3">
      <c r="A334">
        <v>15</v>
      </c>
      <c r="B334" t="s">
        <v>28</v>
      </c>
      <c r="C334" t="s">
        <v>36</v>
      </c>
      <c r="D334">
        <v>84754</v>
      </c>
      <c r="E334">
        <v>321.16000000000003</v>
      </c>
      <c r="F334">
        <v>57.965000000000003</v>
      </c>
      <c r="G334">
        <v>321.12788400000011</v>
      </c>
      <c r="H334">
        <v>57.970796500000013</v>
      </c>
      <c r="I334">
        <v>3.7586640351616398</v>
      </c>
      <c r="J334">
        <v>0.86028003159358557</v>
      </c>
      <c r="K334">
        <v>-3.113712791132146E-2</v>
      </c>
      <c r="L334">
        <v>0.1484137033716183</v>
      </c>
      <c r="M334" t="s">
        <v>30</v>
      </c>
      <c r="N334">
        <v>11</v>
      </c>
      <c r="O334" t="s">
        <v>31</v>
      </c>
      <c r="P334">
        <v>84765</v>
      </c>
      <c r="Q334">
        <v>320.67</v>
      </c>
      <c r="R334">
        <v>57.965000000000003</v>
      </c>
      <c r="S334">
        <v>0.22355281934993471</v>
      </c>
      <c r="T334">
        <v>1.52571926765478E-2</v>
      </c>
      <c r="U334">
        <v>1.1538158332628889E-2</v>
      </c>
      <c r="V334">
        <v>3.7205321191934901E-3</v>
      </c>
      <c r="W334">
        <v>7.8176262134354024E-3</v>
      </c>
      <c r="X334" s="19">
        <f t="shared" si="15"/>
        <v>46175</v>
      </c>
      <c r="Y334" s="19">
        <f t="shared" si="16"/>
        <v>46175</v>
      </c>
      <c r="Z334">
        <f t="array" ref="Z334">_xlfn.XLOOKUP(INT(X334),INT($AE$2:$AE$1000),$AG$2:$AG$1000,"")</f>
        <v>15.77</v>
      </c>
      <c r="AE334" s="19" t="e">
        <f t="shared" si="17"/>
        <v>#VALUE!</v>
      </c>
    </row>
    <row r="335" spans="1:32" x14ac:dyDescent="0.3">
      <c r="A335">
        <v>15</v>
      </c>
      <c r="B335" t="s">
        <v>28</v>
      </c>
      <c r="C335" t="s">
        <v>35</v>
      </c>
      <c r="D335">
        <v>84793</v>
      </c>
      <c r="E335">
        <v>324.58499999999998</v>
      </c>
      <c r="F335">
        <v>48.8</v>
      </c>
      <c r="G335">
        <v>324.55254150000002</v>
      </c>
      <c r="H335">
        <v>48.804879999999997</v>
      </c>
      <c r="I335">
        <v>3.7731082315439588</v>
      </c>
      <c r="J335">
        <v>0.6279472123330162</v>
      </c>
      <c r="K335">
        <v>-3.0808570944436741E-2</v>
      </c>
      <c r="L335">
        <v>0.1286777074452902</v>
      </c>
      <c r="M335" t="s">
        <v>30</v>
      </c>
      <c r="N335">
        <v>28</v>
      </c>
      <c r="O335" t="s">
        <v>31</v>
      </c>
      <c r="P335">
        <v>84821</v>
      </c>
      <c r="Q335">
        <v>325.45</v>
      </c>
      <c r="R335">
        <v>48.83</v>
      </c>
      <c r="S335">
        <v>0.21879999188849611</v>
      </c>
      <c r="T335">
        <v>-2.2789082643579209E-2</v>
      </c>
      <c r="U335">
        <v>-2.6048028042753871E-2</v>
      </c>
      <c r="V335">
        <v>3.2558200141084991E-3</v>
      </c>
      <c r="W335">
        <v>-2.9303848056862369E-2</v>
      </c>
      <c r="X335" s="19">
        <f t="shared" si="15"/>
        <v>46175</v>
      </c>
      <c r="Y335" s="19">
        <f t="shared" si="16"/>
        <v>46175</v>
      </c>
      <c r="Z335">
        <f t="array" ref="Z335">_xlfn.XLOOKUP(INT(X335),INT($AE$2:$AE$1000),$AG$2:$AG$1000,"")</f>
        <v>15.77</v>
      </c>
      <c r="AE335" s="19" t="e">
        <f t="shared" si="17"/>
        <v>#VALUE!</v>
      </c>
    </row>
    <row r="336" spans="1:32" x14ac:dyDescent="0.3">
      <c r="A336">
        <v>15</v>
      </c>
      <c r="B336" t="s">
        <v>28</v>
      </c>
      <c r="C336" t="s">
        <v>33</v>
      </c>
      <c r="D336">
        <v>84935</v>
      </c>
      <c r="E336">
        <v>330.935</v>
      </c>
      <c r="F336">
        <v>56.89</v>
      </c>
      <c r="G336">
        <v>330.9019065</v>
      </c>
      <c r="H336">
        <v>56.895688999999997</v>
      </c>
      <c r="I336">
        <v>3.797333880765545</v>
      </c>
      <c r="J336">
        <v>0.66530767043132732</v>
      </c>
      <c r="K336">
        <v>-3.02174142958587E-2</v>
      </c>
      <c r="L336">
        <v>0.11694632983500219</v>
      </c>
      <c r="M336" t="s">
        <v>30</v>
      </c>
      <c r="N336">
        <v>4</v>
      </c>
      <c r="O336" t="s">
        <v>31</v>
      </c>
      <c r="P336">
        <v>84939</v>
      </c>
      <c r="Q336">
        <v>329.83</v>
      </c>
      <c r="R336">
        <v>56.825000000000003</v>
      </c>
      <c r="S336">
        <v>1.6816475054473229E-2</v>
      </c>
      <c r="T336">
        <v>2.5788731357649541E-2</v>
      </c>
      <c r="U336">
        <v>2.2462215192210769E-2</v>
      </c>
      <c r="V336">
        <v>3.3305484023967409E-3</v>
      </c>
      <c r="W336">
        <v>1.9131666789814029E-2</v>
      </c>
      <c r="X336" s="19">
        <f t="shared" si="15"/>
        <v>46175</v>
      </c>
      <c r="Y336" s="19">
        <f t="shared" si="16"/>
        <v>46175</v>
      </c>
      <c r="Z336">
        <f t="array" ref="Z336">_xlfn.XLOOKUP(INT(X336),INT($AE$2:$AE$1000),$AG$2:$AG$1000,"")</f>
        <v>15.77</v>
      </c>
      <c r="AE336" s="19" t="e">
        <f t="shared" si="17"/>
        <v>#VALUE!</v>
      </c>
    </row>
    <row r="337" spans="1:32" x14ac:dyDescent="0.3">
      <c r="A337">
        <v>15</v>
      </c>
      <c r="B337" t="s">
        <v>28</v>
      </c>
      <c r="C337" t="s">
        <v>33</v>
      </c>
      <c r="D337">
        <v>85139</v>
      </c>
      <c r="E337">
        <v>329.24</v>
      </c>
      <c r="F337">
        <v>56.71</v>
      </c>
      <c r="G337">
        <v>329.27292399999999</v>
      </c>
      <c r="H337">
        <v>56.704329000000001</v>
      </c>
      <c r="I337">
        <v>-3.758538064068556</v>
      </c>
      <c r="J337">
        <v>0.66530767043132732</v>
      </c>
      <c r="K337">
        <v>3.0372980196816911E-2</v>
      </c>
      <c r="L337">
        <v>-0.1173175225588657</v>
      </c>
      <c r="M337" t="s">
        <v>32</v>
      </c>
      <c r="N337">
        <v>5</v>
      </c>
      <c r="O337" t="s">
        <v>31</v>
      </c>
      <c r="P337">
        <v>85144</v>
      </c>
      <c r="Q337">
        <v>329.68</v>
      </c>
      <c r="R337">
        <v>56.68</v>
      </c>
      <c r="S337">
        <v>-0.35347044272245692</v>
      </c>
      <c r="T337">
        <v>1.6883636963365482E-2</v>
      </c>
      <c r="U337">
        <v>1.355203716394303E-2</v>
      </c>
      <c r="V337">
        <v>3.3306822793285678E-3</v>
      </c>
      <c r="W337">
        <v>1.022135488461446E-2</v>
      </c>
      <c r="X337" s="19">
        <f t="shared" si="15"/>
        <v>46176</v>
      </c>
      <c r="Y337" s="19">
        <f t="shared" si="16"/>
        <v>46176</v>
      </c>
      <c r="Z337">
        <f t="array" ref="Z337">_xlfn.XLOOKUP(INT(X337),INT($AE$2:$AE$1000),$AG$2:$AG$1000,"")</f>
        <v>16.059999999999999</v>
      </c>
      <c r="AE337" s="19" t="e">
        <f t="shared" si="17"/>
        <v>#VALUE!</v>
      </c>
      <c r="AF337" s="19"/>
    </row>
    <row r="338" spans="1:32" x14ac:dyDescent="0.3">
      <c r="A338">
        <v>15</v>
      </c>
      <c r="B338" t="s">
        <v>28</v>
      </c>
      <c r="C338" t="s">
        <v>35</v>
      </c>
      <c r="D338">
        <v>85172</v>
      </c>
      <c r="E338">
        <v>330.86500000000001</v>
      </c>
      <c r="F338">
        <v>49.094999999999999</v>
      </c>
      <c r="G338">
        <v>330.83191349999998</v>
      </c>
      <c r="H338">
        <v>49.099909500000003</v>
      </c>
      <c r="I338">
        <v>3.5539138363635052</v>
      </c>
      <c r="J338">
        <v>0.6279472123330162</v>
      </c>
      <c r="K338">
        <v>-3.0223807293004699E-2</v>
      </c>
      <c r="L338">
        <v>0.127904514173137</v>
      </c>
      <c r="M338" t="s">
        <v>30</v>
      </c>
      <c r="N338">
        <v>30</v>
      </c>
      <c r="O338" t="s">
        <v>31</v>
      </c>
      <c r="P338">
        <v>85202</v>
      </c>
      <c r="Q338">
        <v>334.84</v>
      </c>
      <c r="R338">
        <v>49.575000000000003</v>
      </c>
      <c r="S338">
        <v>0.28108093975325649</v>
      </c>
      <c r="T338">
        <v>-5.874546718658636E-2</v>
      </c>
      <c r="U338">
        <v>-6.2019514991331098E-2</v>
      </c>
      <c r="V338">
        <v>3.2558200141084991E-3</v>
      </c>
      <c r="W338">
        <v>-6.5275335005439597E-2</v>
      </c>
      <c r="X338" s="19">
        <f t="shared" si="15"/>
        <v>46176</v>
      </c>
      <c r="Y338" s="19">
        <f t="shared" si="16"/>
        <v>46176</v>
      </c>
      <c r="Z338">
        <f t="array" ref="Z338">_xlfn.XLOOKUP(INT(X338),INT($AE$2:$AE$1000),$AG$2:$AG$1000,"")</f>
        <v>16.059999999999999</v>
      </c>
      <c r="AE338" s="19" t="e">
        <f t="shared" si="17"/>
        <v>#VALUE!</v>
      </c>
      <c r="AF338" s="19"/>
    </row>
    <row r="339" spans="1:32" x14ac:dyDescent="0.3">
      <c r="A339">
        <v>15</v>
      </c>
      <c r="B339" t="s">
        <v>28</v>
      </c>
      <c r="C339" t="s">
        <v>35</v>
      </c>
      <c r="D339">
        <v>85455</v>
      </c>
      <c r="E339">
        <v>336.07</v>
      </c>
      <c r="F339">
        <v>49.24</v>
      </c>
      <c r="G339">
        <v>336.03639299999998</v>
      </c>
      <c r="H339">
        <v>49.244923999999997</v>
      </c>
      <c r="I339">
        <v>4.126240313878963</v>
      </c>
      <c r="J339">
        <v>0.6279472123330162</v>
      </c>
      <c r="K339">
        <v>-2.9755705656559651E-2</v>
      </c>
      <c r="L339">
        <v>0.12752786603026331</v>
      </c>
      <c r="M339" t="s">
        <v>30</v>
      </c>
      <c r="N339">
        <v>4</v>
      </c>
      <c r="O339" t="s">
        <v>31</v>
      </c>
      <c r="P339">
        <v>85459</v>
      </c>
      <c r="Q339">
        <v>335.52</v>
      </c>
      <c r="R339">
        <v>49.23</v>
      </c>
      <c r="S339">
        <v>0.23455340599865021</v>
      </c>
      <c r="T339">
        <v>1.509035945080486E-2</v>
      </c>
      <c r="U339">
        <v>1.183622911781578E-2</v>
      </c>
      <c r="V339">
        <v>3.2558200141084999E-3</v>
      </c>
      <c r="W339">
        <v>8.5804091037072795E-3</v>
      </c>
      <c r="X339" s="19">
        <f t="shared" si="15"/>
        <v>46177</v>
      </c>
      <c r="Y339" s="19">
        <f t="shared" si="16"/>
        <v>46177</v>
      </c>
      <c r="Z339">
        <f t="array" ref="Z339">_xlfn.XLOOKUP(INT(X339),INT($AE$2:$AE$1000),$AG$2:$AG$1000,"")</f>
        <v>15.4</v>
      </c>
      <c r="AE339" s="19" t="e">
        <f t="shared" si="17"/>
        <v>#VALUE!</v>
      </c>
      <c r="AF339" s="19"/>
    </row>
    <row r="340" spans="1:32" x14ac:dyDescent="0.3">
      <c r="A340">
        <v>15</v>
      </c>
      <c r="B340" t="s">
        <v>33</v>
      </c>
      <c r="C340" t="s">
        <v>37</v>
      </c>
      <c r="D340">
        <v>85574</v>
      </c>
      <c r="E340">
        <v>56.97</v>
      </c>
      <c r="F340">
        <v>235.45500000000001</v>
      </c>
      <c r="G340">
        <v>56.975696999999997</v>
      </c>
      <c r="H340">
        <v>235.4314545</v>
      </c>
      <c r="I340">
        <v>-3.959072932458358</v>
      </c>
      <c r="J340">
        <v>1.1831404680056781</v>
      </c>
      <c r="K340">
        <v>0.175530981218185</v>
      </c>
      <c r="L340">
        <v>-5.0249112059870357E-2</v>
      </c>
      <c r="M340" t="s">
        <v>32</v>
      </c>
      <c r="N340">
        <v>5</v>
      </c>
      <c r="O340" t="s">
        <v>31</v>
      </c>
      <c r="P340">
        <v>85579</v>
      </c>
      <c r="Q340">
        <v>57.15</v>
      </c>
      <c r="R340">
        <v>234.73</v>
      </c>
      <c r="S340">
        <v>0.31734201301938469</v>
      </c>
      <c r="T340">
        <v>6.8026182862680404E-2</v>
      </c>
      <c r="U340">
        <v>6.3660385429631108E-2</v>
      </c>
      <c r="V340">
        <v>4.3662443079177538E-3</v>
      </c>
      <c r="W340">
        <v>5.9294141121713363E-2</v>
      </c>
      <c r="X340" s="19">
        <f t="shared" si="15"/>
        <v>46177</v>
      </c>
      <c r="Y340" s="19">
        <f t="shared" si="16"/>
        <v>46177</v>
      </c>
      <c r="Z340">
        <f t="array" ref="Z340">_xlfn.XLOOKUP(INT(X340),INT($AE$2:$AE$1000),$AG$2:$AG$1000,"")</f>
        <v>15.4</v>
      </c>
      <c r="AE340" s="19" t="e">
        <f t="shared" si="17"/>
        <v>#VALUE!</v>
      </c>
      <c r="AF340" s="19"/>
    </row>
    <row r="341" spans="1:32" x14ac:dyDescent="0.3">
      <c r="A341">
        <v>15</v>
      </c>
      <c r="B341" t="s">
        <v>28</v>
      </c>
      <c r="C341" t="s">
        <v>36</v>
      </c>
      <c r="D341">
        <v>85678</v>
      </c>
      <c r="E341">
        <v>330.72</v>
      </c>
      <c r="F341">
        <v>58.015000000000001</v>
      </c>
      <c r="G341">
        <v>330.75307199999997</v>
      </c>
      <c r="H341">
        <v>58.009198499999997</v>
      </c>
      <c r="I341">
        <v>-3.773001109280302</v>
      </c>
      <c r="J341">
        <v>0.86028003159358557</v>
      </c>
      <c r="K341">
        <v>3.023705853894533E-2</v>
      </c>
      <c r="L341">
        <v>-0.14828579360399649</v>
      </c>
      <c r="M341" t="s">
        <v>32</v>
      </c>
      <c r="N341">
        <v>13</v>
      </c>
      <c r="O341" t="s">
        <v>31</v>
      </c>
      <c r="P341">
        <v>85691</v>
      </c>
      <c r="Q341">
        <v>330.995</v>
      </c>
      <c r="R341">
        <v>57.97</v>
      </c>
      <c r="S341">
        <v>-5.7220699393985892E-2</v>
      </c>
      <c r="T341">
        <v>1.4988051810389371E-2</v>
      </c>
      <c r="U341">
        <v>1.1267327514164011E-2</v>
      </c>
      <c r="V341">
        <v>3.7205880071808522E-3</v>
      </c>
      <c r="W341">
        <v>7.5467395069831588E-3</v>
      </c>
      <c r="X341" s="19">
        <f t="shared" si="15"/>
        <v>46177</v>
      </c>
      <c r="Y341" s="19">
        <f t="shared" si="16"/>
        <v>46177</v>
      </c>
      <c r="Z341">
        <f t="array" ref="Z341">_xlfn.XLOOKUP(INT(X341),INT($AE$2:$AE$1000),$AG$2:$AG$1000,"")</f>
        <v>15.4</v>
      </c>
      <c r="AE341" s="19" t="e">
        <f t="shared" si="17"/>
        <v>#VALUE!</v>
      </c>
      <c r="AF341" s="19"/>
    </row>
    <row r="342" spans="1:32" x14ac:dyDescent="0.3">
      <c r="A342">
        <v>15</v>
      </c>
      <c r="B342" t="s">
        <v>28</v>
      </c>
      <c r="C342" t="s">
        <v>33</v>
      </c>
      <c r="D342">
        <v>85726</v>
      </c>
      <c r="E342">
        <v>329.9</v>
      </c>
      <c r="F342">
        <v>56.51</v>
      </c>
      <c r="G342">
        <v>329.93299000000002</v>
      </c>
      <c r="H342">
        <v>56.504348999999998</v>
      </c>
      <c r="I342">
        <v>-3.524230652557367</v>
      </c>
      <c r="J342">
        <v>0.66530767043132732</v>
      </c>
      <c r="K342">
        <v>3.0312215822976659E-2</v>
      </c>
      <c r="L342">
        <v>-0.1177327323361046</v>
      </c>
      <c r="M342" t="s">
        <v>32</v>
      </c>
      <c r="N342">
        <v>17</v>
      </c>
      <c r="O342" t="s">
        <v>31</v>
      </c>
      <c r="P342">
        <v>85743</v>
      </c>
      <c r="Q342">
        <v>329.38</v>
      </c>
      <c r="R342">
        <v>56.354999999999997</v>
      </c>
      <c r="S342">
        <v>-0.13754427448252141</v>
      </c>
      <c r="T342">
        <v>2.4862212841490379E-3</v>
      </c>
      <c r="U342">
        <v>-8.4099296413882307E-4</v>
      </c>
      <c r="V342">
        <v>3.3306822793285678E-3</v>
      </c>
      <c r="W342">
        <v>-4.1716752434673918E-3</v>
      </c>
      <c r="X342" s="19">
        <f t="shared" si="15"/>
        <v>46177</v>
      </c>
      <c r="Y342" s="19">
        <f t="shared" si="16"/>
        <v>46177</v>
      </c>
      <c r="Z342">
        <f t="array" ref="Z342">_xlfn.XLOOKUP(INT(X342),INT($AE$2:$AE$1000),$AG$2:$AG$1000,"")</f>
        <v>15.4</v>
      </c>
      <c r="AE342" s="19" t="e">
        <f t="shared" si="17"/>
        <v>#VALUE!</v>
      </c>
      <c r="AF342" s="19"/>
    </row>
    <row r="343" spans="1:32" x14ac:dyDescent="0.3">
      <c r="A343">
        <v>15</v>
      </c>
      <c r="B343" t="s">
        <v>28</v>
      </c>
      <c r="C343" t="s">
        <v>33</v>
      </c>
      <c r="D343">
        <v>85817</v>
      </c>
      <c r="E343">
        <v>328.91</v>
      </c>
      <c r="F343">
        <v>56.354999999999997</v>
      </c>
      <c r="G343">
        <v>328.94289099999997</v>
      </c>
      <c r="H343">
        <v>56.3493645</v>
      </c>
      <c r="I343">
        <v>-3.6226635902985178</v>
      </c>
      <c r="J343">
        <v>0.66530767043132732</v>
      </c>
      <c r="K343">
        <v>3.0403453832355352E-2</v>
      </c>
      <c r="L343">
        <v>-0.1180565469667869</v>
      </c>
      <c r="M343" t="s">
        <v>32</v>
      </c>
      <c r="N343">
        <v>19</v>
      </c>
      <c r="O343" t="s">
        <v>31</v>
      </c>
      <c r="P343">
        <v>85836</v>
      </c>
      <c r="Q343">
        <v>328.84500000000003</v>
      </c>
      <c r="R343">
        <v>56.3</v>
      </c>
      <c r="S343">
        <v>-0.4728887663260144</v>
      </c>
      <c r="T343">
        <v>4.5168855840702141E-3</v>
      </c>
      <c r="U343">
        <v>1.187117176665692E-3</v>
      </c>
      <c r="V343">
        <v>3.3306822793285678E-3</v>
      </c>
      <c r="W343">
        <v>-2.1435651026628761E-3</v>
      </c>
      <c r="X343" s="19">
        <f t="shared" si="15"/>
        <v>46178</v>
      </c>
      <c r="Y343" s="19">
        <f t="shared" si="16"/>
        <v>46178</v>
      </c>
      <c r="Z343">
        <f t="array" ref="Z343">_xlfn.XLOOKUP(INT(X343),INT($AE$2:$AE$1000),$AG$2:$AG$1000,"")</f>
        <v>21.51</v>
      </c>
      <c r="AE343" s="19" t="e">
        <f t="shared" si="17"/>
        <v>#VALUE!</v>
      </c>
      <c r="AF343" s="19"/>
    </row>
    <row r="344" spans="1:32" x14ac:dyDescent="0.3">
      <c r="A344">
        <v>15</v>
      </c>
      <c r="B344" t="s">
        <v>36</v>
      </c>
      <c r="C344" t="s">
        <v>35</v>
      </c>
      <c r="D344">
        <v>85875</v>
      </c>
      <c r="E344">
        <v>57.854999999999997</v>
      </c>
      <c r="F344">
        <v>48.295000000000002</v>
      </c>
      <c r="G344">
        <v>57.849214500000002</v>
      </c>
      <c r="H344">
        <v>48.299829500000001</v>
      </c>
      <c r="I344">
        <v>3.595451202139242</v>
      </c>
      <c r="J344">
        <v>0.71674203224516841</v>
      </c>
      <c r="K344">
        <v>-0.17284590787313109</v>
      </c>
      <c r="L344">
        <v>0.14840915876284669</v>
      </c>
      <c r="M344" t="s">
        <v>30</v>
      </c>
      <c r="N344">
        <v>21</v>
      </c>
      <c r="O344" t="s">
        <v>31</v>
      </c>
      <c r="P344">
        <v>85896</v>
      </c>
      <c r="Q344">
        <v>57.965000000000003</v>
      </c>
      <c r="R344">
        <v>48.335000000000001</v>
      </c>
      <c r="S344">
        <v>0.4200184629734931</v>
      </c>
      <c r="T344">
        <v>-1.307668351553181E-2</v>
      </c>
      <c r="U344">
        <v>-1.6512662521643968E-2</v>
      </c>
      <c r="V344">
        <v>3.433427412896786E-3</v>
      </c>
      <c r="W344">
        <v>-1.9946089934540751E-2</v>
      </c>
      <c r="X344" s="19">
        <f t="shared" si="15"/>
        <v>46178</v>
      </c>
      <c r="Y344" s="19">
        <f t="shared" si="16"/>
        <v>46178</v>
      </c>
      <c r="Z344">
        <f t="array" ref="Z344">_xlfn.XLOOKUP(INT(X344),INT($AE$2:$AE$1000),$AG$2:$AG$1000,"")</f>
        <v>21.51</v>
      </c>
      <c r="AE344" s="19" t="e">
        <f t="shared" si="17"/>
        <v>#VALUE!</v>
      </c>
      <c r="AF344" s="19"/>
    </row>
    <row r="345" spans="1:32" x14ac:dyDescent="0.3">
      <c r="A345">
        <v>15</v>
      </c>
      <c r="B345" t="s">
        <v>33</v>
      </c>
      <c r="C345" t="s">
        <v>37</v>
      </c>
      <c r="D345">
        <v>85965</v>
      </c>
      <c r="E345">
        <v>56.884999999999998</v>
      </c>
      <c r="F345">
        <v>233.41</v>
      </c>
      <c r="G345">
        <v>56.8793115</v>
      </c>
      <c r="H345">
        <v>233.43334100000001</v>
      </c>
      <c r="I345">
        <v>4.4213544378863654</v>
      </c>
      <c r="J345">
        <v>1.1831404680056781</v>
      </c>
      <c r="K345">
        <v>-0.17579326711786941</v>
      </c>
      <c r="L345">
        <v>5.0689364980321221E-2</v>
      </c>
      <c r="M345" t="s">
        <v>30</v>
      </c>
      <c r="N345">
        <v>26</v>
      </c>
      <c r="O345" t="s">
        <v>31</v>
      </c>
      <c r="P345">
        <v>85991</v>
      </c>
      <c r="Q345">
        <v>57.384999999999998</v>
      </c>
      <c r="R345">
        <v>234.59</v>
      </c>
      <c r="S345">
        <v>0.34882078390761417</v>
      </c>
      <c r="T345">
        <v>-2.8083182882155309E-2</v>
      </c>
      <c r="U345">
        <v>-3.2464234826589333E-2</v>
      </c>
      <c r="V345">
        <v>4.3663175641049561E-3</v>
      </c>
      <c r="W345">
        <v>-3.6830552390694292E-2</v>
      </c>
      <c r="X345" s="19">
        <f t="shared" si="15"/>
        <v>46178</v>
      </c>
      <c r="Y345" s="19">
        <f t="shared" si="16"/>
        <v>46178</v>
      </c>
      <c r="Z345">
        <f t="array" ref="Z345">_xlfn.XLOOKUP(INT(X345),INT($AE$2:$AE$1000),$AG$2:$AG$1000,"")</f>
        <v>21.51</v>
      </c>
      <c r="AE345" s="19" t="e">
        <f t="shared" si="17"/>
        <v>#VALUE!</v>
      </c>
    </row>
    <row r="346" spans="1:32" x14ac:dyDescent="0.3">
      <c r="A346">
        <v>15</v>
      </c>
      <c r="B346" t="s">
        <v>36</v>
      </c>
      <c r="C346" t="s">
        <v>35</v>
      </c>
      <c r="D346">
        <v>86343</v>
      </c>
      <c r="E346">
        <v>58.64</v>
      </c>
      <c r="F346">
        <v>48.585000000000001</v>
      </c>
      <c r="G346">
        <v>58.634135999999998</v>
      </c>
      <c r="H346">
        <v>48.589858499999998</v>
      </c>
      <c r="I346">
        <v>4.1714586811520622</v>
      </c>
      <c r="J346">
        <v>0.71674203224516841</v>
      </c>
      <c r="K346">
        <v>-0.1705320600272851</v>
      </c>
      <c r="L346">
        <v>0.14752331630033311</v>
      </c>
      <c r="M346" t="s">
        <v>30</v>
      </c>
      <c r="N346">
        <v>5</v>
      </c>
      <c r="O346" t="s">
        <v>31</v>
      </c>
      <c r="P346">
        <v>86348</v>
      </c>
      <c r="Q346">
        <v>58.58</v>
      </c>
      <c r="R346">
        <v>48.62</v>
      </c>
      <c r="S346">
        <v>0.36700134310946292</v>
      </c>
      <c r="T346">
        <v>1.5395239672148651E-2</v>
      </c>
      <c r="U346">
        <v>1.196226246841158E-2</v>
      </c>
      <c r="V346">
        <v>3.433427412896786E-3</v>
      </c>
      <c r="W346">
        <v>8.5288350555147927E-3</v>
      </c>
      <c r="X346" s="19">
        <f t="shared" si="15"/>
        <v>46181</v>
      </c>
      <c r="Y346" s="19">
        <f t="shared" si="16"/>
        <v>46181</v>
      </c>
      <c r="Z346">
        <f t="array" ref="Z346">_xlfn.XLOOKUP(INT(X346),INT($AE$2:$AE$1000),$AG$2:$AG$1000,"")</f>
        <v>18.920000000000002</v>
      </c>
      <c r="AE346" s="19" t="e">
        <f t="shared" si="17"/>
        <v>#VALUE!</v>
      </c>
    </row>
    <row r="347" spans="1:32" x14ac:dyDescent="0.3">
      <c r="A347">
        <v>15</v>
      </c>
      <c r="B347" t="s">
        <v>28</v>
      </c>
      <c r="C347" t="s">
        <v>35</v>
      </c>
      <c r="D347">
        <v>86355</v>
      </c>
      <c r="E347">
        <v>328.44499999999999</v>
      </c>
      <c r="F347">
        <v>48.76</v>
      </c>
      <c r="G347">
        <v>328.4778445</v>
      </c>
      <c r="H347">
        <v>48.755124000000002</v>
      </c>
      <c r="I347">
        <v>-4.7643167758776501</v>
      </c>
      <c r="J347">
        <v>0.6279472123330162</v>
      </c>
      <c r="K347">
        <v>3.0446497891580021E-2</v>
      </c>
      <c r="L347">
        <v>-0.12878326750061861</v>
      </c>
      <c r="M347" t="s">
        <v>32</v>
      </c>
      <c r="N347">
        <v>16</v>
      </c>
      <c r="O347" t="s">
        <v>31</v>
      </c>
      <c r="P347">
        <v>86371</v>
      </c>
      <c r="Q347">
        <v>330.6</v>
      </c>
      <c r="R347">
        <v>48.975000000000001</v>
      </c>
      <c r="S347">
        <v>-0.39155735361129862</v>
      </c>
      <c r="T347">
        <v>3.7923800443722407E-2</v>
      </c>
      <c r="U347">
        <v>3.4658575958509658E-2</v>
      </c>
      <c r="V347">
        <v>3.2559688352235649E-3</v>
      </c>
      <c r="W347">
        <v>3.1402607123286103E-2</v>
      </c>
      <c r="X347" s="19">
        <f t="shared" si="15"/>
        <v>46181</v>
      </c>
      <c r="Y347" s="19">
        <f t="shared" si="16"/>
        <v>46181</v>
      </c>
      <c r="Z347">
        <f t="array" ref="Z347">_xlfn.XLOOKUP(INT(X347),INT($AE$2:$AE$1000),$AG$2:$AG$1000,"")</f>
        <v>18.920000000000002</v>
      </c>
      <c r="AE347" s="19" t="e">
        <f t="shared" si="17"/>
        <v>#VALUE!</v>
      </c>
    </row>
    <row r="348" spans="1:32" x14ac:dyDescent="0.3">
      <c r="A348">
        <v>16</v>
      </c>
      <c r="B348" t="s">
        <v>28</v>
      </c>
      <c r="C348" t="s">
        <v>33</v>
      </c>
      <c r="D348">
        <v>86561</v>
      </c>
      <c r="E348">
        <v>333.86500000000001</v>
      </c>
      <c r="F348">
        <v>57.69</v>
      </c>
      <c r="G348">
        <v>333.89838650000002</v>
      </c>
      <c r="H348">
        <v>57.684230999999997</v>
      </c>
      <c r="I348">
        <v>-3.807962119253427</v>
      </c>
      <c r="J348">
        <v>0.71315051617845793</v>
      </c>
      <c r="K348">
        <v>2.995222619921226E-2</v>
      </c>
      <c r="L348">
        <v>-0.1236177008456332</v>
      </c>
      <c r="M348" t="s">
        <v>32</v>
      </c>
      <c r="N348">
        <v>16</v>
      </c>
      <c r="O348" t="s">
        <v>31</v>
      </c>
      <c r="P348">
        <v>86577</v>
      </c>
      <c r="Q348">
        <v>333.98</v>
      </c>
      <c r="R348">
        <v>57.715000000000003</v>
      </c>
      <c r="S348">
        <v>-0.43548724924048299</v>
      </c>
      <c r="T348">
        <v>3.5406349176814921E-4</v>
      </c>
      <c r="U348">
        <v>-3.072891035441957E-3</v>
      </c>
      <c r="V348">
        <v>3.42635840225368E-3</v>
      </c>
      <c r="W348">
        <v>-6.499249437695637E-3</v>
      </c>
      <c r="X348" s="19">
        <f t="shared" si="15"/>
        <v>46181</v>
      </c>
      <c r="Y348" s="19">
        <f t="shared" si="16"/>
        <v>46181</v>
      </c>
      <c r="Z348">
        <f t="array" ref="Z348">_xlfn.XLOOKUP(INT(X348),INT($AE$2:$AE$1000),$AG$2:$AG$1000,"")</f>
        <v>18.920000000000002</v>
      </c>
      <c r="AE348" s="19" t="e">
        <f t="shared" si="17"/>
        <v>#VALUE!</v>
      </c>
    </row>
    <row r="349" spans="1:32" x14ac:dyDescent="0.3">
      <c r="A349">
        <v>16</v>
      </c>
      <c r="B349" t="s">
        <v>33</v>
      </c>
      <c r="C349" t="s">
        <v>36</v>
      </c>
      <c r="D349">
        <v>86746</v>
      </c>
      <c r="E349">
        <v>58.25</v>
      </c>
      <c r="F349">
        <v>59.91</v>
      </c>
      <c r="G349">
        <v>58.244174999999998</v>
      </c>
      <c r="H349">
        <v>59.915990999999998</v>
      </c>
      <c r="I349">
        <v>4.3389704654171926</v>
      </c>
      <c r="J349">
        <v>1.201911734394435</v>
      </c>
      <c r="K349">
        <v>-0.1716738197424893</v>
      </c>
      <c r="L349">
        <v>0.2006195517266624</v>
      </c>
      <c r="M349" t="s">
        <v>30</v>
      </c>
      <c r="N349">
        <v>5</v>
      </c>
      <c r="O349" t="s">
        <v>31</v>
      </c>
      <c r="P349">
        <v>86751</v>
      </c>
      <c r="Q349">
        <v>57.93</v>
      </c>
      <c r="R349">
        <v>59.93</v>
      </c>
      <c r="S349">
        <v>0.20509554850200451</v>
      </c>
      <c r="T349">
        <v>5.8948013352130478E-2</v>
      </c>
      <c r="U349">
        <v>5.4549282206470533E-2</v>
      </c>
      <c r="V349">
        <v>4.4038638511357479E-3</v>
      </c>
      <c r="W349">
        <v>5.014541835533478E-2</v>
      </c>
      <c r="X349" s="19">
        <f t="shared" si="15"/>
        <v>46182</v>
      </c>
      <c r="Y349" s="19">
        <f t="shared" si="16"/>
        <v>46182</v>
      </c>
      <c r="Z349">
        <f t="array" ref="Z349">_xlfn.XLOOKUP(INT(X349),INT($AE$2:$AE$1000),$AG$2:$AG$1000,"")</f>
        <v>19.87</v>
      </c>
      <c r="AE349" s="19" t="e">
        <f t="shared" si="17"/>
        <v>#VALUE!</v>
      </c>
    </row>
    <row r="350" spans="1:32" x14ac:dyDescent="0.3">
      <c r="A350">
        <v>16</v>
      </c>
      <c r="B350" t="s">
        <v>33</v>
      </c>
      <c r="C350" t="s">
        <v>37</v>
      </c>
      <c r="D350">
        <v>87137</v>
      </c>
      <c r="E350">
        <v>58.195</v>
      </c>
      <c r="F350">
        <v>242.245</v>
      </c>
      <c r="G350">
        <v>58.200819500000001</v>
      </c>
      <c r="H350">
        <v>242.2207755</v>
      </c>
      <c r="I350">
        <v>-3.7901850002629058</v>
      </c>
      <c r="J350">
        <v>1.141842836328566</v>
      </c>
      <c r="K350">
        <v>0.17183606839075519</v>
      </c>
      <c r="L350">
        <v>-4.7135868081015761E-2</v>
      </c>
      <c r="M350" t="s">
        <v>32</v>
      </c>
      <c r="N350">
        <v>28</v>
      </c>
      <c r="O350" t="s">
        <v>31</v>
      </c>
      <c r="P350">
        <v>87165</v>
      </c>
      <c r="Q350">
        <v>58.454999999999998</v>
      </c>
      <c r="R350">
        <v>245.92</v>
      </c>
      <c r="S350">
        <v>-0.47266974014515512</v>
      </c>
      <c r="T350">
        <v>-0.1285469374161361</v>
      </c>
      <c r="U350">
        <v>-0.13285241325809069</v>
      </c>
      <c r="V350">
        <v>4.2836573040898676E-3</v>
      </c>
      <c r="W350">
        <v>-0.1371360705621805</v>
      </c>
      <c r="X350" s="19">
        <f t="shared" si="15"/>
        <v>46183</v>
      </c>
      <c r="Y350" s="19">
        <f t="shared" si="16"/>
        <v>46183</v>
      </c>
      <c r="Z350">
        <f t="array" ref="Z350">_xlfn.XLOOKUP(INT(X350),INT($AE$2:$AE$1000),$AG$2:$AG$1000,"")</f>
        <v>22.22</v>
      </c>
      <c r="AE350" s="19" t="e">
        <f t="shared" si="17"/>
        <v>#VALUE!</v>
      </c>
    </row>
    <row r="351" spans="1:32" x14ac:dyDescent="0.3">
      <c r="A351">
        <v>16</v>
      </c>
      <c r="B351" t="s">
        <v>33</v>
      </c>
      <c r="C351" t="s">
        <v>37</v>
      </c>
      <c r="D351">
        <v>87189</v>
      </c>
      <c r="E351">
        <v>58.805</v>
      </c>
      <c r="F351">
        <v>248.56</v>
      </c>
      <c r="G351">
        <v>58.810880500000003</v>
      </c>
      <c r="H351">
        <v>248.535144</v>
      </c>
      <c r="I351">
        <v>-3.5524075849862968</v>
      </c>
      <c r="J351">
        <v>1.141842836328566</v>
      </c>
      <c r="K351">
        <v>0.17005356687356521</v>
      </c>
      <c r="L351">
        <v>-4.5938318165777529E-2</v>
      </c>
      <c r="M351" t="s">
        <v>32</v>
      </c>
      <c r="N351">
        <v>7</v>
      </c>
      <c r="O351" t="s">
        <v>31</v>
      </c>
      <c r="P351">
        <v>87196</v>
      </c>
      <c r="Q351">
        <v>58.924999999999997</v>
      </c>
      <c r="R351">
        <v>248.27500000000001</v>
      </c>
      <c r="S351">
        <v>-0.48886569971038363</v>
      </c>
      <c r="T351">
        <v>3.3498848702073827E-2</v>
      </c>
      <c r="U351">
        <v>2.92144316286829E-2</v>
      </c>
      <c r="V351">
        <v>4.2836573040898676E-3</v>
      </c>
      <c r="W351">
        <v>2.4930774324593039E-2</v>
      </c>
      <c r="X351" s="19">
        <f t="shared" si="15"/>
        <v>46183</v>
      </c>
      <c r="Y351" s="19">
        <f t="shared" si="16"/>
        <v>46183</v>
      </c>
      <c r="Z351">
        <f t="array" ref="Z351">_xlfn.XLOOKUP(INT(X351),INT($AE$2:$AE$1000),$AG$2:$AG$1000,"")</f>
        <v>22.22</v>
      </c>
      <c r="AE351" s="19" t="e">
        <f t="shared" si="17"/>
        <v>#VALUE!</v>
      </c>
    </row>
    <row r="352" spans="1:32" x14ac:dyDescent="0.3">
      <c r="A352">
        <v>16</v>
      </c>
      <c r="B352" t="s">
        <v>33</v>
      </c>
      <c r="C352" t="s">
        <v>36</v>
      </c>
      <c r="D352">
        <v>87522</v>
      </c>
      <c r="E352">
        <v>58.16</v>
      </c>
      <c r="F352">
        <v>61.145000000000003</v>
      </c>
      <c r="G352">
        <v>58.165815999999992</v>
      </c>
      <c r="H352">
        <v>61.138885500000001</v>
      </c>
      <c r="I352">
        <v>-3.5860799766382758</v>
      </c>
      <c r="J352">
        <v>1.201911734394435</v>
      </c>
      <c r="K352">
        <v>0.17193947730398901</v>
      </c>
      <c r="L352">
        <v>-0.1965674600367053</v>
      </c>
      <c r="M352" t="s">
        <v>32</v>
      </c>
      <c r="N352">
        <v>28</v>
      </c>
      <c r="O352" t="s">
        <v>31</v>
      </c>
      <c r="P352">
        <v>87550</v>
      </c>
      <c r="Q352">
        <v>57.67</v>
      </c>
      <c r="R352">
        <v>60.92</v>
      </c>
      <c r="S352">
        <v>-0.35084928073749111</v>
      </c>
      <c r="T352">
        <v>-4.0022665370694772E-2</v>
      </c>
      <c r="U352">
        <v>-4.441364103724494E-2</v>
      </c>
      <c r="V352">
        <v>4.4037830864419904E-3</v>
      </c>
      <c r="W352">
        <v>-4.8817424123686927E-2</v>
      </c>
      <c r="X352" s="19">
        <f t="shared" si="15"/>
        <v>46184</v>
      </c>
      <c r="Y352" s="19">
        <f t="shared" si="16"/>
        <v>46184</v>
      </c>
      <c r="Z352">
        <f t="array" ref="Z352">_xlfn.XLOOKUP(INT(X352),INT($AE$2:$AE$1000),$AG$2:$AG$1000,"")</f>
        <v>19.440000000000001</v>
      </c>
      <c r="AE352" s="19" t="e">
        <f t="shared" si="17"/>
        <v>#VALUE!</v>
      </c>
    </row>
    <row r="353" spans="1:32" x14ac:dyDescent="0.3">
      <c r="A353">
        <v>16</v>
      </c>
      <c r="B353" t="s">
        <v>28</v>
      </c>
      <c r="C353" t="s">
        <v>33</v>
      </c>
      <c r="D353">
        <v>87738</v>
      </c>
      <c r="E353">
        <v>330.59</v>
      </c>
      <c r="F353">
        <v>58</v>
      </c>
      <c r="G353">
        <v>330.62305900000001</v>
      </c>
      <c r="H353">
        <v>57.994199999999999</v>
      </c>
      <c r="I353">
        <v>-3.509709384428839</v>
      </c>
      <c r="J353">
        <v>0.71315051617845793</v>
      </c>
      <c r="K353">
        <v>3.0248948849027499E-2</v>
      </c>
      <c r="L353">
        <v>-0.12295698554801</v>
      </c>
      <c r="M353" t="s">
        <v>32</v>
      </c>
      <c r="N353">
        <v>36</v>
      </c>
      <c r="O353" t="s">
        <v>31</v>
      </c>
      <c r="P353">
        <v>87774</v>
      </c>
      <c r="Q353">
        <v>330.61</v>
      </c>
      <c r="R353">
        <v>58.125</v>
      </c>
      <c r="S353">
        <v>-0.36888161464497571</v>
      </c>
      <c r="T353">
        <v>-1.476464421651953E-2</v>
      </c>
      <c r="U353">
        <v>-1.819254270909193E-2</v>
      </c>
      <c r="V353">
        <v>3.42635840225368E-3</v>
      </c>
      <c r="W353">
        <v>-2.1618901111345609E-2</v>
      </c>
      <c r="X353" s="19">
        <f t="shared" si="15"/>
        <v>46184</v>
      </c>
      <c r="Y353" s="19">
        <f t="shared" si="16"/>
        <v>46185</v>
      </c>
      <c r="Z353">
        <f t="array" ref="Z353">_xlfn.XLOOKUP(INT(X353),INT($AE$2:$AE$1000),$AG$2:$AG$1000,"")</f>
        <v>19.440000000000001</v>
      </c>
      <c r="AE353" s="19" t="e">
        <f t="shared" si="17"/>
        <v>#VALUE!</v>
      </c>
    </row>
    <row r="354" spans="1:32" x14ac:dyDescent="0.3">
      <c r="A354">
        <v>16</v>
      </c>
      <c r="B354" t="s">
        <v>33</v>
      </c>
      <c r="C354" t="s">
        <v>36</v>
      </c>
      <c r="D354">
        <v>87882</v>
      </c>
      <c r="E354">
        <v>57.93</v>
      </c>
      <c r="F354">
        <v>60.75</v>
      </c>
      <c r="G354">
        <v>57.924207000000003</v>
      </c>
      <c r="H354">
        <v>60.756075000000003</v>
      </c>
      <c r="I354">
        <v>3.54188539804279</v>
      </c>
      <c r="J354">
        <v>1.201911734394435</v>
      </c>
      <c r="K354">
        <v>-0.17262213015708611</v>
      </c>
      <c r="L354">
        <v>0.1978455529867382</v>
      </c>
      <c r="M354" t="s">
        <v>30</v>
      </c>
      <c r="N354">
        <v>5</v>
      </c>
      <c r="O354" t="s">
        <v>31</v>
      </c>
      <c r="P354">
        <v>87887</v>
      </c>
      <c r="Q354">
        <v>57.85</v>
      </c>
      <c r="R354">
        <v>60.744999999999997</v>
      </c>
      <c r="S354">
        <v>0.30870253405584758</v>
      </c>
      <c r="T354">
        <v>1.28205426476324E-2</v>
      </c>
      <c r="U354">
        <v>8.4181990786625725E-3</v>
      </c>
      <c r="V354">
        <v>4.4038638511357479E-3</v>
      </c>
      <c r="W354">
        <v>4.0143352275268246E-3</v>
      </c>
      <c r="X354" s="19">
        <f t="shared" si="15"/>
        <v>46185</v>
      </c>
      <c r="Y354" s="19">
        <f t="shared" si="16"/>
        <v>46185</v>
      </c>
      <c r="Z354">
        <f t="array" ref="Z354">_xlfn.XLOOKUP(INT(X354),INT($AE$2:$AE$1000),$AG$2:$AG$1000,"")</f>
        <v>17.68</v>
      </c>
      <c r="AE354" s="19" t="e">
        <f t="shared" si="17"/>
        <v>#VALUE!</v>
      </c>
    </row>
    <row r="355" spans="1:32" x14ac:dyDescent="0.3">
      <c r="A355">
        <v>16</v>
      </c>
      <c r="B355" t="s">
        <v>28</v>
      </c>
      <c r="C355" t="s">
        <v>36</v>
      </c>
      <c r="D355">
        <v>88068</v>
      </c>
      <c r="E355">
        <v>331.93</v>
      </c>
      <c r="F355">
        <v>61.42</v>
      </c>
      <c r="G355">
        <v>331.89680700000002</v>
      </c>
      <c r="H355">
        <v>61.426141999999999</v>
      </c>
      <c r="I355">
        <v>3.656703764997995</v>
      </c>
      <c r="J355">
        <v>0.89497401238797769</v>
      </c>
      <c r="K355">
        <v>-3.012683397101798E-2</v>
      </c>
      <c r="L355">
        <v>0.1457137760319078</v>
      </c>
      <c r="M355" t="s">
        <v>30</v>
      </c>
      <c r="N355">
        <v>36</v>
      </c>
      <c r="O355" t="s">
        <v>31</v>
      </c>
      <c r="P355">
        <v>88104</v>
      </c>
      <c r="Q355">
        <v>331.79</v>
      </c>
      <c r="R355">
        <v>61.22</v>
      </c>
      <c r="S355">
        <v>0.44970766904690179</v>
      </c>
      <c r="T355">
        <v>-2.492499845043987E-2</v>
      </c>
      <c r="U355">
        <v>-2.871161042401886E-2</v>
      </c>
      <c r="V355">
        <v>3.7899270195784329E-3</v>
      </c>
      <c r="W355">
        <v>-3.2501537443597288E-2</v>
      </c>
      <c r="X355" s="19">
        <f t="shared" si="15"/>
        <v>46185</v>
      </c>
      <c r="Y355" s="19">
        <f t="shared" si="16"/>
        <v>46185</v>
      </c>
      <c r="Z355">
        <f t="array" ref="Z355">_xlfn.XLOOKUP(INT(X355),INT($AE$2:$AE$1000),$AG$2:$AG$1000,"")</f>
        <v>17.68</v>
      </c>
      <c r="AE355" s="19" t="e">
        <f t="shared" si="17"/>
        <v>#VALUE!</v>
      </c>
    </row>
    <row r="356" spans="1:32" x14ac:dyDescent="0.3">
      <c r="A356">
        <v>16</v>
      </c>
      <c r="B356" t="s">
        <v>28</v>
      </c>
      <c r="C356" t="s">
        <v>33</v>
      </c>
      <c r="D356">
        <v>88144</v>
      </c>
      <c r="E356">
        <v>331.11</v>
      </c>
      <c r="F356">
        <v>58.17</v>
      </c>
      <c r="G356">
        <v>331.14311099999998</v>
      </c>
      <c r="H356">
        <v>58.164183000000001</v>
      </c>
      <c r="I356">
        <v>-3.6323853868128722</v>
      </c>
      <c r="J356">
        <v>0.71315051617845793</v>
      </c>
      <c r="K356">
        <v>3.020144362900546E-2</v>
      </c>
      <c r="L356">
        <v>-0.12259764761534429</v>
      </c>
      <c r="M356" t="s">
        <v>32</v>
      </c>
      <c r="N356">
        <v>17</v>
      </c>
      <c r="O356" t="s">
        <v>31</v>
      </c>
      <c r="P356">
        <v>88161</v>
      </c>
      <c r="Q356">
        <v>330.8</v>
      </c>
      <c r="R356">
        <v>58.04</v>
      </c>
      <c r="S356">
        <v>6.634140863250855E-2</v>
      </c>
      <c r="T356">
        <v>6.575246665003311E-3</v>
      </c>
      <c r="U356">
        <v>3.151475646818024E-3</v>
      </c>
      <c r="V356">
        <v>3.42635840225368E-3</v>
      </c>
      <c r="W356">
        <v>-2.748827554356569E-4</v>
      </c>
      <c r="X356" s="19">
        <f t="shared" si="15"/>
        <v>46188</v>
      </c>
      <c r="Y356" s="19">
        <f t="shared" si="16"/>
        <v>46188</v>
      </c>
      <c r="Z356">
        <f t="array" ref="Z356">_xlfn.XLOOKUP(INT(X356),INT($AE$2:$AE$1000),$AG$2:$AG$1000,"")</f>
        <v>16.2</v>
      </c>
      <c r="AE356" s="19" t="e">
        <f t="shared" si="17"/>
        <v>#VALUE!</v>
      </c>
    </row>
    <row r="357" spans="1:32" x14ac:dyDescent="0.3">
      <c r="A357">
        <v>16</v>
      </c>
      <c r="B357" t="s">
        <v>33</v>
      </c>
      <c r="C357" t="s">
        <v>36</v>
      </c>
      <c r="D357">
        <v>88309</v>
      </c>
      <c r="E357">
        <v>57.524999999999999</v>
      </c>
      <c r="F357">
        <v>60.56</v>
      </c>
      <c r="G357">
        <v>57.519247499999999</v>
      </c>
      <c r="H357">
        <v>60.566056000000003</v>
      </c>
      <c r="I357">
        <v>4.4308710802388962</v>
      </c>
      <c r="J357">
        <v>1.201911734394435</v>
      </c>
      <c r="K357">
        <v>-0.17383746197305519</v>
      </c>
      <c r="L357">
        <v>0.1984662705406926</v>
      </c>
      <c r="M357" t="s">
        <v>30</v>
      </c>
      <c r="N357">
        <v>7</v>
      </c>
      <c r="O357" t="s">
        <v>31</v>
      </c>
      <c r="P357">
        <v>88316</v>
      </c>
      <c r="Q357">
        <v>56.94</v>
      </c>
      <c r="R357">
        <v>60.365000000000002</v>
      </c>
      <c r="S357">
        <v>-0.14683431632167659</v>
      </c>
      <c r="T357">
        <v>6.2993992498802318E-2</v>
      </c>
      <c r="U357">
        <v>5.8604208613814469E-2</v>
      </c>
      <c r="V357">
        <v>4.4038638511357479E-3</v>
      </c>
      <c r="W357">
        <v>5.4200344762678723E-2</v>
      </c>
      <c r="X357" s="19">
        <f t="shared" si="15"/>
        <v>46188</v>
      </c>
      <c r="Y357" s="19">
        <f t="shared" si="16"/>
        <v>46188</v>
      </c>
      <c r="Z357">
        <f t="array" ref="Z357">_xlfn.XLOOKUP(INT(X357),INT($AE$2:$AE$1000),$AG$2:$AG$1000,"")</f>
        <v>16.2</v>
      </c>
      <c r="AE357" s="19" t="e">
        <f t="shared" si="17"/>
        <v>#VALUE!</v>
      </c>
    </row>
    <row r="358" spans="1:32" x14ac:dyDescent="0.3">
      <c r="A358">
        <v>16</v>
      </c>
      <c r="B358" t="s">
        <v>28</v>
      </c>
      <c r="C358" t="s">
        <v>33</v>
      </c>
      <c r="D358">
        <v>88541</v>
      </c>
      <c r="E358">
        <v>328.63</v>
      </c>
      <c r="F358">
        <v>57.17</v>
      </c>
      <c r="G358">
        <v>328.66286300000002</v>
      </c>
      <c r="H358">
        <v>57.164282999999998</v>
      </c>
      <c r="I358">
        <v>-3.7005557930909032</v>
      </c>
      <c r="J358">
        <v>0.71315051617845793</v>
      </c>
      <c r="K358">
        <v>3.0429358244834621E-2</v>
      </c>
      <c r="L358">
        <v>-0.1247420878395064</v>
      </c>
      <c r="M358" t="s">
        <v>32</v>
      </c>
      <c r="N358">
        <v>12</v>
      </c>
      <c r="O358" t="s">
        <v>31</v>
      </c>
      <c r="P358">
        <v>88553</v>
      </c>
      <c r="Q358">
        <v>328.995</v>
      </c>
      <c r="R358">
        <v>57.204999999999998</v>
      </c>
      <c r="S358">
        <v>7.3695728570735211E-3</v>
      </c>
      <c r="T358">
        <v>6.740742684982615E-3</v>
      </c>
      <c r="U358">
        <v>3.312894383742221E-3</v>
      </c>
      <c r="V358">
        <v>3.42635840225368E-3</v>
      </c>
      <c r="W358">
        <v>-1.134640185114599E-4</v>
      </c>
      <c r="X358" s="19">
        <f t="shared" si="15"/>
        <v>46189</v>
      </c>
      <c r="Y358" s="19">
        <f t="shared" si="16"/>
        <v>46189</v>
      </c>
      <c r="Z358">
        <f t="array" ref="Z358">_xlfn.XLOOKUP(INT(X358),INT($AE$2:$AE$1000),$AG$2:$AG$1000,"")</f>
        <v>16.41</v>
      </c>
      <c r="AE358" s="19" t="e">
        <f t="shared" si="17"/>
        <v>#VALUE!</v>
      </c>
    </row>
    <row r="359" spans="1:32" x14ac:dyDescent="0.3">
      <c r="A359">
        <v>16</v>
      </c>
      <c r="B359" t="s">
        <v>28</v>
      </c>
      <c r="C359" t="s">
        <v>36</v>
      </c>
      <c r="D359">
        <v>88698</v>
      </c>
      <c r="E359">
        <v>327.24</v>
      </c>
      <c r="F359">
        <v>60.41</v>
      </c>
      <c r="G359">
        <v>327.20727599999998</v>
      </c>
      <c r="H359">
        <v>60.416040999999993</v>
      </c>
      <c r="I359">
        <v>3.7723960917436821</v>
      </c>
      <c r="J359">
        <v>0.89497401238797769</v>
      </c>
      <c r="K359">
        <v>-3.0558611416697221E-2</v>
      </c>
      <c r="L359">
        <v>0.14814997722032411</v>
      </c>
      <c r="M359" t="s">
        <v>30</v>
      </c>
      <c r="N359">
        <v>4</v>
      </c>
      <c r="O359" t="s">
        <v>31</v>
      </c>
      <c r="P359">
        <v>88702</v>
      </c>
      <c r="Q359">
        <v>326.92500000000001</v>
      </c>
      <c r="R359">
        <v>60.435000000000002</v>
      </c>
      <c r="S359">
        <v>0.34762280207199409</v>
      </c>
      <c r="T359">
        <v>1.3329712026768499E-2</v>
      </c>
      <c r="U359">
        <v>9.5403562233110691E-3</v>
      </c>
      <c r="V359">
        <v>3.7899270195784329E-3</v>
      </c>
      <c r="W359">
        <v>5.7504292037326363E-3</v>
      </c>
      <c r="X359" s="19">
        <f t="shared" si="15"/>
        <v>46189</v>
      </c>
      <c r="Y359" s="19">
        <f t="shared" si="16"/>
        <v>46189</v>
      </c>
      <c r="Z359">
        <f t="array" ref="Z359">_xlfn.XLOOKUP(INT(X359),INT($AE$2:$AE$1000),$AG$2:$AG$1000,"")</f>
        <v>16.41</v>
      </c>
      <c r="AE359" s="19" t="e">
        <f t="shared" si="17"/>
        <v>#VALUE!</v>
      </c>
      <c r="AF359" s="19"/>
    </row>
    <row r="360" spans="1:32" x14ac:dyDescent="0.3">
      <c r="A360">
        <v>16</v>
      </c>
      <c r="B360" t="s">
        <v>33</v>
      </c>
      <c r="C360" t="s">
        <v>37</v>
      </c>
      <c r="D360">
        <v>89304</v>
      </c>
      <c r="E360">
        <v>58.56</v>
      </c>
      <c r="F360">
        <v>248.98</v>
      </c>
      <c r="G360">
        <v>58.565855999999997</v>
      </c>
      <c r="H360">
        <v>248.95510200000001</v>
      </c>
      <c r="I360">
        <v>-3.5233595807865048</v>
      </c>
      <c r="J360">
        <v>1.141842836328566</v>
      </c>
      <c r="K360">
        <v>0.17076502732240439</v>
      </c>
      <c r="L360">
        <v>-4.5860825621679098E-2</v>
      </c>
      <c r="M360" t="s">
        <v>32</v>
      </c>
      <c r="N360">
        <v>9</v>
      </c>
      <c r="O360" t="s">
        <v>31</v>
      </c>
      <c r="P360">
        <v>89313</v>
      </c>
      <c r="Q360">
        <v>58.5</v>
      </c>
      <c r="R360">
        <v>248.47</v>
      </c>
      <c r="S360">
        <v>-0.36514423912552108</v>
      </c>
      <c r="T360">
        <v>1.314311942771128E-2</v>
      </c>
      <c r="U360">
        <v>8.8627972473240713E-3</v>
      </c>
      <c r="V360">
        <v>4.2836573040898676E-3</v>
      </c>
      <c r="W360">
        <v>4.5791399432342037E-3</v>
      </c>
      <c r="X360" s="19">
        <f t="shared" si="15"/>
        <v>46190</v>
      </c>
      <c r="Y360" s="19">
        <f t="shared" si="16"/>
        <v>46191</v>
      </c>
      <c r="Z360">
        <f t="array" ref="Z360">_xlfn.XLOOKUP(INT(X360),INT($AE$2:$AE$1000),$AG$2:$AG$1000,"")</f>
        <v>18.440000000000001</v>
      </c>
      <c r="AE360" s="19" t="e">
        <f t="shared" si="17"/>
        <v>#VALUE!</v>
      </c>
      <c r="AF360" s="19"/>
    </row>
    <row r="361" spans="1:32" x14ac:dyDescent="0.3">
      <c r="A361">
        <v>16</v>
      </c>
      <c r="B361" t="s">
        <v>33</v>
      </c>
      <c r="C361" t="s">
        <v>37</v>
      </c>
      <c r="D361">
        <v>89469</v>
      </c>
      <c r="E361">
        <v>58.615000000000002</v>
      </c>
      <c r="F361">
        <v>248.2</v>
      </c>
      <c r="G361">
        <v>58.6091385</v>
      </c>
      <c r="H361">
        <v>248.22481999999999</v>
      </c>
      <c r="I361">
        <v>4.0062539346985329</v>
      </c>
      <c r="J361">
        <v>1.141842836328566</v>
      </c>
      <c r="K361">
        <v>-0.17060479399471121</v>
      </c>
      <c r="L361">
        <v>4.6004949086565931E-2</v>
      </c>
      <c r="M361" t="s">
        <v>30</v>
      </c>
      <c r="N361">
        <v>7</v>
      </c>
      <c r="O361" t="s">
        <v>31</v>
      </c>
      <c r="P361">
        <v>89476</v>
      </c>
      <c r="Q361">
        <v>58.68</v>
      </c>
      <c r="R361">
        <v>248.91499999999999</v>
      </c>
      <c r="S361">
        <v>-0.25416130445232549</v>
      </c>
      <c r="T361">
        <v>2.180422698723895E-2</v>
      </c>
      <c r="U361">
        <v>1.7516143029560911E-2</v>
      </c>
      <c r="V361">
        <v>4.2837140412243981E-3</v>
      </c>
      <c r="W361">
        <v>1.3232428988336519E-2</v>
      </c>
      <c r="X361" s="19">
        <f t="shared" si="15"/>
        <v>46191</v>
      </c>
      <c r="Y361" s="19">
        <f t="shared" si="16"/>
        <v>46191</v>
      </c>
      <c r="Z361">
        <f t="array" ref="Z361">_xlfn.XLOOKUP(INT(X361),INT($AE$2:$AE$1000),$AG$2:$AG$1000,"")</f>
        <v>16.399999999999999</v>
      </c>
      <c r="AE361" s="19" t="e">
        <f t="shared" si="17"/>
        <v>#VALUE!</v>
      </c>
      <c r="AF361" s="19"/>
    </row>
    <row r="362" spans="1:32" x14ac:dyDescent="0.3">
      <c r="A362">
        <v>16</v>
      </c>
      <c r="B362" t="s">
        <v>33</v>
      </c>
      <c r="C362" t="s">
        <v>36</v>
      </c>
      <c r="D362">
        <v>89479</v>
      </c>
      <c r="E362">
        <v>59.33</v>
      </c>
      <c r="F362">
        <v>62.664999999999999</v>
      </c>
      <c r="G362">
        <v>59.335932999999997</v>
      </c>
      <c r="H362">
        <v>62.658733499999997</v>
      </c>
      <c r="I362">
        <v>-4.5666412551678306</v>
      </c>
      <c r="J362">
        <v>1.201911734394435</v>
      </c>
      <c r="K362">
        <v>0.16854879487611671</v>
      </c>
      <c r="L362">
        <v>-0.19179952675248299</v>
      </c>
      <c r="M362" t="s">
        <v>32</v>
      </c>
      <c r="N362">
        <v>9</v>
      </c>
      <c r="O362" t="s">
        <v>31</v>
      </c>
      <c r="P362">
        <v>89488</v>
      </c>
      <c r="Q362">
        <v>59.68</v>
      </c>
      <c r="R362">
        <v>62.66</v>
      </c>
      <c r="S362">
        <v>-0.46461982834872612</v>
      </c>
      <c r="T362">
        <v>5.9951075840403982E-2</v>
      </c>
      <c r="U362">
        <v>5.5541449063557728E-2</v>
      </c>
      <c r="V362">
        <v>4.4037830864419904E-3</v>
      </c>
      <c r="W362">
        <v>5.1137665977115727E-2</v>
      </c>
      <c r="X362" s="19">
        <f t="shared" si="15"/>
        <v>46191</v>
      </c>
      <c r="Y362" s="19">
        <f t="shared" si="16"/>
        <v>46191</v>
      </c>
      <c r="Z362">
        <f t="array" ref="Z362">_xlfn.XLOOKUP(INT(X362),INT($AE$2:$AE$1000),$AG$2:$AG$1000,"")</f>
        <v>16.399999999999999</v>
      </c>
      <c r="AE362" s="19" t="e">
        <f t="shared" si="17"/>
        <v>#VALUE!</v>
      </c>
      <c r="AF362" s="19"/>
    </row>
    <row r="363" spans="1:32" x14ac:dyDescent="0.3">
      <c r="A363">
        <v>16</v>
      </c>
      <c r="B363" t="s">
        <v>33</v>
      </c>
      <c r="C363" t="s">
        <v>37</v>
      </c>
      <c r="D363">
        <v>89605</v>
      </c>
      <c r="E363">
        <v>59.53</v>
      </c>
      <c r="F363">
        <v>251.26</v>
      </c>
      <c r="G363">
        <v>59.524047000000003</v>
      </c>
      <c r="H363">
        <v>251.28512599999999</v>
      </c>
      <c r="I363">
        <v>3.6732453439602559</v>
      </c>
      <c r="J363">
        <v>1.141842836328566</v>
      </c>
      <c r="K363">
        <v>-0.16798252981689901</v>
      </c>
      <c r="L363">
        <v>4.5444672304726833E-2</v>
      </c>
      <c r="M363" t="s">
        <v>30</v>
      </c>
      <c r="N363">
        <v>6</v>
      </c>
      <c r="O363" t="s">
        <v>31</v>
      </c>
      <c r="P363">
        <v>89611</v>
      </c>
      <c r="Q363">
        <v>59.47</v>
      </c>
      <c r="R363">
        <v>251.6</v>
      </c>
      <c r="S363">
        <v>-4.5348342053859417E-2</v>
      </c>
      <c r="T363">
        <v>2.55301403726216E-2</v>
      </c>
      <c r="U363">
        <v>2.12459174762855E-2</v>
      </c>
      <c r="V363">
        <v>4.2837140412243981E-3</v>
      </c>
      <c r="W363">
        <v>1.69622034350611E-2</v>
      </c>
      <c r="X363" s="19">
        <f t="shared" si="15"/>
        <v>46191</v>
      </c>
      <c r="Y363" s="19">
        <f t="shared" si="16"/>
        <v>46191</v>
      </c>
      <c r="Z363">
        <f t="array" ref="Z363">_xlfn.XLOOKUP(INT(X363),INT($AE$2:$AE$1000),$AG$2:$AG$1000,"")</f>
        <v>16.399999999999999</v>
      </c>
      <c r="AE363" s="19" t="e">
        <f t="shared" si="17"/>
        <v>#VALUE!</v>
      </c>
      <c r="AF363" s="19"/>
    </row>
    <row r="364" spans="1:32" x14ac:dyDescent="0.3">
      <c r="A364">
        <v>16</v>
      </c>
      <c r="B364" t="s">
        <v>28</v>
      </c>
      <c r="C364" t="s">
        <v>36</v>
      </c>
      <c r="D364">
        <v>89869</v>
      </c>
      <c r="E364">
        <v>340.71499999999997</v>
      </c>
      <c r="F364">
        <v>63.185000000000002</v>
      </c>
      <c r="G364">
        <v>340.68092849999999</v>
      </c>
      <c r="H364">
        <v>63.191318500000001</v>
      </c>
      <c r="I364">
        <v>4.0952354313363184</v>
      </c>
      <c r="J364">
        <v>0.89497401238797769</v>
      </c>
      <c r="K364">
        <v>-2.9350043291313861E-2</v>
      </c>
      <c r="L364">
        <v>0.14164342998939269</v>
      </c>
      <c r="M364" t="s">
        <v>30</v>
      </c>
      <c r="N364">
        <v>5</v>
      </c>
      <c r="O364" t="s">
        <v>31</v>
      </c>
      <c r="P364">
        <v>89874</v>
      </c>
      <c r="Q364">
        <v>339.96</v>
      </c>
      <c r="R364">
        <v>63.29</v>
      </c>
      <c r="S364">
        <v>0.2389439797754116</v>
      </c>
      <c r="T364">
        <v>3.703184283382762E-2</v>
      </c>
      <c r="U364">
        <v>3.3242623481305758E-2</v>
      </c>
      <c r="V364">
        <v>3.7899270195784329E-3</v>
      </c>
      <c r="W364">
        <v>2.945269646172732E-2</v>
      </c>
      <c r="X364" s="19">
        <f t="shared" si="15"/>
        <v>46192</v>
      </c>
      <c r="Y364" s="19">
        <f t="shared" si="16"/>
        <v>46192</v>
      </c>
      <c r="Z364">
        <f t="array" ref="Z364">_xlfn.XLOOKUP(INT(X364),INT($AE$2:$AE$1000),$AG$2:$AG$1000,"")</f>
        <v>16.78</v>
      </c>
      <c r="AE364" s="19" t="e">
        <f t="shared" si="17"/>
        <v>#VALUE!</v>
      </c>
      <c r="AF364" s="19"/>
    </row>
    <row r="365" spans="1:32" x14ac:dyDescent="0.3">
      <c r="A365">
        <v>16</v>
      </c>
      <c r="B365" t="s">
        <v>28</v>
      </c>
      <c r="C365" t="s">
        <v>36</v>
      </c>
      <c r="D365">
        <v>90197</v>
      </c>
      <c r="E365">
        <v>339.41</v>
      </c>
      <c r="F365">
        <v>63.204999999999998</v>
      </c>
      <c r="G365">
        <v>339.37605900000011</v>
      </c>
      <c r="H365">
        <v>63.211320499999999</v>
      </c>
      <c r="I365">
        <v>3.509823081877705</v>
      </c>
      <c r="J365">
        <v>0.89497401238797769</v>
      </c>
      <c r="K365">
        <v>-2.9462891488170651E-2</v>
      </c>
      <c r="L365">
        <v>0.14159860966505461</v>
      </c>
      <c r="M365" t="s">
        <v>30</v>
      </c>
      <c r="N365">
        <v>13</v>
      </c>
      <c r="O365" t="s">
        <v>31</v>
      </c>
      <c r="P365">
        <v>90210</v>
      </c>
      <c r="Q365">
        <v>338.47</v>
      </c>
      <c r="R365">
        <v>63.08</v>
      </c>
      <c r="S365">
        <v>0.36570527960632732</v>
      </c>
      <c r="T365">
        <v>9.9952917907485117E-3</v>
      </c>
      <c r="U365">
        <v>6.2098832603949793E-3</v>
      </c>
      <c r="V365">
        <v>3.7899270195784329E-3</v>
      </c>
      <c r="W365">
        <v>2.419956240816546E-3</v>
      </c>
      <c r="X365" s="19">
        <f t="shared" si="15"/>
        <v>46195</v>
      </c>
      <c r="Y365" s="19">
        <f t="shared" si="16"/>
        <v>46195</v>
      </c>
      <c r="Z365">
        <f t="array" ref="Z365">_xlfn.XLOOKUP(INT(X365),INT($AE$2:$AE$1000),$AG$2:$AG$1000,"")</f>
        <v>17.28</v>
      </c>
      <c r="AE365" s="19" t="e">
        <f t="shared" si="17"/>
        <v>#VALUE!</v>
      </c>
      <c r="AF365" s="19"/>
    </row>
    <row r="366" spans="1:32" x14ac:dyDescent="0.3">
      <c r="A366">
        <v>16</v>
      </c>
      <c r="B366" t="s">
        <v>33</v>
      </c>
      <c r="C366" t="s">
        <v>37</v>
      </c>
      <c r="D366">
        <v>90236</v>
      </c>
      <c r="E366">
        <v>59.984999999999999</v>
      </c>
      <c r="F366">
        <v>254.4</v>
      </c>
      <c r="G366">
        <v>59.979001500000003</v>
      </c>
      <c r="H366">
        <v>254.42544000000001</v>
      </c>
      <c r="I366">
        <v>3.7939014963339228</v>
      </c>
      <c r="J366">
        <v>1.141842836328566</v>
      </c>
      <c r="K366">
        <v>-0.16670834375260479</v>
      </c>
      <c r="L366">
        <v>4.4883759289644901E-2</v>
      </c>
      <c r="M366" t="s">
        <v>30</v>
      </c>
      <c r="N366">
        <v>9</v>
      </c>
      <c r="O366" t="s">
        <v>31</v>
      </c>
      <c r="P366">
        <v>90245</v>
      </c>
      <c r="Q366">
        <v>59.935000000000002</v>
      </c>
      <c r="R366">
        <v>254.64</v>
      </c>
      <c r="S366">
        <v>0.1202577208535784</v>
      </c>
      <c r="T366">
        <v>1.9107519417143681E-2</v>
      </c>
      <c r="U366">
        <v>1.482359007598234E-2</v>
      </c>
      <c r="V366">
        <v>4.2837140412243981E-3</v>
      </c>
      <c r="W366">
        <v>1.053987603475794E-2</v>
      </c>
      <c r="X366" s="19">
        <f t="shared" si="15"/>
        <v>46195</v>
      </c>
      <c r="Y366" s="19">
        <f t="shared" si="16"/>
        <v>46195</v>
      </c>
      <c r="Z366">
        <f t="array" ref="Z366">_xlfn.XLOOKUP(INT(X366),INT($AE$2:$AE$1000),$AG$2:$AG$1000,"")</f>
        <v>17.28</v>
      </c>
      <c r="AE366" s="19" t="e">
        <f t="shared" si="17"/>
        <v>#VALUE!</v>
      </c>
      <c r="AF366" s="19"/>
    </row>
    <row r="367" spans="1:32" x14ac:dyDescent="0.3">
      <c r="A367">
        <v>16</v>
      </c>
      <c r="B367" t="s">
        <v>28</v>
      </c>
      <c r="C367" t="s">
        <v>36</v>
      </c>
      <c r="D367">
        <v>90257</v>
      </c>
      <c r="E367">
        <v>339.1</v>
      </c>
      <c r="F367">
        <v>62.935000000000002</v>
      </c>
      <c r="G367">
        <v>339.06608999999997</v>
      </c>
      <c r="H367">
        <v>62.9412935</v>
      </c>
      <c r="I367">
        <v>3.6340977872899529</v>
      </c>
      <c r="J367">
        <v>0.89497401238797769</v>
      </c>
      <c r="K367">
        <v>-2.9489826010026539E-2</v>
      </c>
      <c r="L367">
        <v>0.14220608761229489</v>
      </c>
      <c r="M367" t="s">
        <v>30</v>
      </c>
      <c r="N367">
        <v>4</v>
      </c>
      <c r="O367" t="s">
        <v>31</v>
      </c>
      <c r="P367">
        <v>90261</v>
      </c>
      <c r="Q367">
        <v>335.12</v>
      </c>
      <c r="R367">
        <v>62.33</v>
      </c>
      <c r="S367">
        <v>-0.47554141267137778</v>
      </c>
      <c r="T367">
        <v>3.1334824514467202E-2</v>
      </c>
      <c r="U367">
        <v>2.7565216908744829E-2</v>
      </c>
      <c r="V367">
        <v>3.7899270195784329E-3</v>
      </c>
      <c r="W367">
        <v>2.3775289889166398E-2</v>
      </c>
      <c r="X367" s="19">
        <f t="shared" si="15"/>
        <v>46195</v>
      </c>
      <c r="Y367" s="19">
        <f t="shared" si="16"/>
        <v>46195</v>
      </c>
      <c r="Z367">
        <f t="array" ref="Z367">_xlfn.XLOOKUP(INT(X367),INT($AE$2:$AE$1000),$AG$2:$AG$1000,"")</f>
        <v>17.28</v>
      </c>
      <c r="AE367" s="19" t="e">
        <f t="shared" si="17"/>
        <v>#VALUE!</v>
      </c>
    </row>
    <row r="368" spans="1:32" x14ac:dyDescent="0.3">
      <c r="X368" s="19">
        <f t="shared" si="15"/>
        <v>45871</v>
      </c>
      <c r="Y368" s="19">
        <f t="shared" si="16"/>
        <v>45871</v>
      </c>
      <c r="Z368" t="str">
        <f t="array" ref="Z368">_xlfn.XLOOKUP(INT(X368),INT($AE$2:$AE$1000),$AG$2:$AG$1000,"")</f>
        <v/>
      </c>
      <c r="AE368" s="19" t="e">
        <f t="shared" si="17"/>
        <v>#VALUE!</v>
      </c>
    </row>
    <row r="369" spans="24:32" x14ac:dyDescent="0.3">
      <c r="X369" s="19">
        <f t="shared" si="15"/>
        <v>45871</v>
      </c>
      <c r="Y369" s="19">
        <f t="shared" si="16"/>
        <v>45871</v>
      </c>
      <c r="Z369" t="str">
        <f t="array" ref="Z369">_xlfn.XLOOKUP(INT(X369),INT($AE$2:$AE$1000),$AG$2:$AG$1000,"")</f>
        <v/>
      </c>
      <c r="AE369" s="19" t="e">
        <f t="shared" si="17"/>
        <v>#VALUE!</v>
      </c>
    </row>
    <row r="370" spans="24:32" x14ac:dyDescent="0.3">
      <c r="X370" s="19">
        <f t="shared" si="15"/>
        <v>45871</v>
      </c>
      <c r="Y370" s="19">
        <f t="shared" si="16"/>
        <v>45871</v>
      </c>
      <c r="Z370" t="str">
        <f t="array" ref="Z370">_xlfn.XLOOKUP(INT(X370),INT($AE$2:$AE$1000),$AG$2:$AG$1000,"")</f>
        <v/>
      </c>
      <c r="AE370" s="19" t="e">
        <f t="shared" si="17"/>
        <v>#VALUE!</v>
      </c>
    </row>
    <row r="371" spans="24:32" x14ac:dyDescent="0.3">
      <c r="X371" s="19">
        <f t="shared" si="15"/>
        <v>45871</v>
      </c>
      <c r="Y371" s="19">
        <f t="shared" si="16"/>
        <v>45871</v>
      </c>
      <c r="Z371" t="str">
        <f t="array" ref="Z371">_xlfn.XLOOKUP(INT(X371),INT($AE$2:$AE$1000),$AG$2:$AG$1000,"")</f>
        <v/>
      </c>
      <c r="AE371" s="19" t="e">
        <f t="shared" si="17"/>
        <v>#VALUE!</v>
      </c>
    </row>
    <row r="372" spans="24:32" x14ac:dyDescent="0.3">
      <c r="X372" s="19">
        <f t="shared" si="15"/>
        <v>45871</v>
      </c>
      <c r="Y372" s="19">
        <f t="shared" si="16"/>
        <v>45871</v>
      </c>
      <c r="Z372" t="str">
        <f t="array" ref="Z372">_xlfn.XLOOKUP(INT(X372),INT($AE$2:$AE$1000),$AG$2:$AG$1000,"")</f>
        <v/>
      </c>
      <c r="AE372" s="19" t="e">
        <f t="shared" si="17"/>
        <v>#VALUE!</v>
      </c>
    </row>
    <row r="373" spans="24:32" x14ac:dyDescent="0.3">
      <c r="X373" s="19">
        <f t="shared" si="15"/>
        <v>45871</v>
      </c>
      <c r="Y373" s="19">
        <f t="shared" si="16"/>
        <v>45871</v>
      </c>
      <c r="Z373" t="str">
        <f t="array" ref="Z373">_xlfn.XLOOKUP(INT(X373),INT($AE$2:$AE$1000),$AG$2:$AG$1000,"")</f>
        <v/>
      </c>
      <c r="AE373" s="19" t="e">
        <f t="shared" si="17"/>
        <v>#VALUE!</v>
      </c>
    </row>
    <row r="374" spans="24:32" x14ac:dyDescent="0.3">
      <c r="X374" s="19">
        <f t="shared" si="15"/>
        <v>45871</v>
      </c>
      <c r="Y374" s="19">
        <f t="shared" si="16"/>
        <v>45871</v>
      </c>
      <c r="Z374" t="str">
        <f t="array" ref="Z374">_xlfn.XLOOKUP(INT(X374),INT($AE$2:$AE$1000),$AG$2:$AG$1000,"")</f>
        <v/>
      </c>
      <c r="AE374" s="19" t="e">
        <f t="shared" si="17"/>
        <v>#VALUE!</v>
      </c>
    </row>
    <row r="375" spans="24:32" x14ac:dyDescent="0.3">
      <c r="X375" s="19">
        <f t="shared" si="15"/>
        <v>45871</v>
      </c>
      <c r="Y375" s="19">
        <f t="shared" si="16"/>
        <v>45871</v>
      </c>
      <c r="Z375" t="str">
        <f t="array" ref="Z375">_xlfn.XLOOKUP(INT(X375),INT($AE$2:$AE$1000),$AG$2:$AG$1000,"")</f>
        <v/>
      </c>
      <c r="AE375" s="19" t="e">
        <f t="shared" si="17"/>
        <v>#VALUE!</v>
      </c>
    </row>
    <row r="376" spans="24:32" x14ac:dyDescent="0.3">
      <c r="X376" s="19">
        <f t="shared" si="15"/>
        <v>45871</v>
      </c>
      <c r="Y376" s="19">
        <f t="shared" si="16"/>
        <v>45871</v>
      </c>
      <c r="Z376" t="str">
        <f t="array" ref="Z376">_xlfn.XLOOKUP(INT(X376),INT($AE$2:$AE$1000),$AG$2:$AG$1000,"")</f>
        <v/>
      </c>
      <c r="AE376" s="19" t="e">
        <f t="shared" si="17"/>
        <v>#VALUE!</v>
      </c>
    </row>
    <row r="377" spans="24:32" x14ac:dyDescent="0.3">
      <c r="X377" s="19">
        <f t="shared" si="15"/>
        <v>45871</v>
      </c>
      <c r="Y377" s="19">
        <f t="shared" si="16"/>
        <v>45871</v>
      </c>
      <c r="Z377" t="str">
        <f t="array" ref="Z377">_xlfn.XLOOKUP(INT(X377),INT($AE$2:$AE$1000),$AG$2:$AG$1000,"")</f>
        <v/>
      </c>
      <c r="AE377" s="19" t="e">
        <f t="shared" si="17"/>
        <v>#VALUE!</v>
      </c>
    </row>
    <row r="378" spans="24:32" x14ac:dyDescent="0.3">
      <c r="X378" s="19">
        <f t="shared" si="15"/>
        <v>45871</v>
      </c>
      <c r="Y378" s="19">
        <f t="shared" si="16"/>
        <v>45871</v>
      </c>
      <c r="Z378" t="str">
        <f t="array" ref="Z378">_xlfn.XLOOKUP(INT(X378),INT($AE$2:$AE$1000),$AG$2:$AG$1000,"")</f>
        <v/>
      </c>
      <c r="AE378" s="19" t="e">
        <f t="shared" si="17"/>
        <v>#VALUE!</v>
      </c>
    </row>
    <row r="379" spans="24:32" x14ac:dyDescent="0.3">
      <c r="X379" s="19">
        <f t="shared" si="15"/>
        <v>45871</v>
      </c>
      <c r="Y379" s="19">
        <f t="shared" si="16"/>
        <v>45871</v>
      </c>
      <c r="Z379" t="str">
        <f t="array" ref="Z379">_xlfn.XLOOKUP(INT(X379),INT($AE$2:$AE$1000),$AG$2:$AG$1000,"")</f>
        <v/>
      </c>
      <c r="AE379" s="19" t="e">
        <f t="shared" si="17"/>
        <v>#VALUE!</v>
      </c>
      <c r="AF379" s="19"/>
    </row>
    <row r="380" spans="24:32" x14ac:dyDescent="0.3">
      <c r="X380" s="19">
        <f t="shared" si="15"/>
        <v>45871</v>
      </c>
      <c r="Y380" s="19">
        <f t="shared" si="16"/>
        <v>45871</v>
      </c>
      <c r="Z380" t="str">
        <f t="array" ref="Z380">_xlfn.XLOOKUP(INT(X380),INT($AE$2:$AE$1000),$AG$2:$AG$1000,"")</f>
        <v/>
      </c>
      <c r="AE380" s="19" t="e">
        <f t="shared" si="17"/>
        <v>#VALUE!</v>
      </c>
      <c r="AF380" s="19"/>
    </row>
    <row r="381" spans="24:32" x14ac:dyDescent="0.3">
      <c r="X381" s="19">
        <f t="shared" si="15"/>
        <v>45871</v>
      </c>
      <c r="Y381" s="19">
        <f t="shared" si="16"/>
        <v>45871</v>
      </c>
      <c r="Z381" t="str">
        <f t="array" ref="Z381">_xlfn.XLOOKUP(INT(X381),INT($AE$2:$AE$1000),$AG$2:$AG$1000,"")</f>
        <v/>
      </c>
      <c r="AE381" s="19" t="e">
        <f t="shared" si="17"/>
        <v>#VALUE!</v>
      </c>
      <c r="AF381" s="19"/>
    </row>
    <row r="382" spans="24:32" x14ac:dyDescent="0.3">
      <c r="X382" s="19">
        <f t="shared" si="15"/>
        <v>45871</v>
      </c>
      <c r="Y382" s="19">
        <f t="shared" si="16"/>
        <v>45871</v>
      </c>
      <c r="Z382" t="str">
        <f t="array" ref="Z382">_xlfn.XLOOKUP(INT(X382),INT($AE$2:$AE$1000),$AG$2:$AG$1000,"")</f>
        <v/>
      </c>
      <c r="AE382" s="19" t="e">
        <f t="shared" si="17"/>
        <v>#VALUE!</v>
      </c>
      <c r="AF382" s="19"/>
    </row>
    <row r="383" spans="24:32" x14ac:dyDescent="0.3">
      <c r="X383" s="19">
        <f t="shared" si="15"/>
        <v>45871</v>
      </c>
      <c r="Y383" s="19">
        <f t="shared" si="16"/>
        <v>45871</v>
      </c>
      <c r="Z383" t="str">
        <f t="array" ref="Z383">_xlfn.XLOOKUP(INT(X383),INT($AE$2:$AE$1000),$AG$2:$AG$1000,"")</f>
        <v/>
      </c>
      <c r="AE383" s="19" t="e">
        <f t="shared" si="17"/>
        <v>#VALUE!</v>
      </c>
      <c r="AF383" s="19"/>
    </row>
    <row r="384" spans="24:32" x14ac:dyDescent="0.3">
      <c r="X384" s="19">
        <f t="shared" si="15"/>
        <v>45871</v>
      </c>
      <c r="Y384" s="19">
        <f t="shared" si="16"/>
        <v>45871</v>
      </c>
      <c r="Z384" t="str">
        <f t="array" ref="Z384">_xlfn.XLOOKUP(INT(X384),INT($AE$2:$AE$1000),$AG$2:$AG$1000,"")</f>
        <v/>
      </c>
      <c r="AE384" s="19" t="e">
        <f t="shared" si="17"/>
        <v>#VALUE!</v>
      </c>
      <c r="AF384" s="19"/>
    </row>
    <row r="385" spans="24:32" x14ac:dyDescent="0.3">
      <c r="X385" s="19">
        <f t="shared" si="15"/>
        <v>45871</v>
      </c>
      <c r="Y385" s="19">
        <f t="shared" si="16"/>
        <v>45871</v>
      </c>
      <c r="Z385" t="str">
        <f t="array" ref="Z385">_xlfn.XLOOKUP(INT(X385),INT($AE$2:$AE$1000),$AG$2:$AG$1000,"")</f>
        <v/>
      </c>
      <c r="AE385" s="19" t="e">
        <f t="shared" si="17"/>
        <v>#VALUE!</v>
      </c>
      <c r="AF385" s="19"/>
    </row>
    <row r="386" spans="24:32" x14ac:dyDescent="0.3">
      <c r="X386" s="19">
        <f t="shared" ref="X386:X449" si="18">WORKDAY(DATE(2025,8,2),INT(D386/390))</f>
        <v>45871</v>
      </c>
      <c r="Y386" s="19">
        <f t="shared" ref="Y386:Y449" si="19">WORKDAY(DATE(2025,8,2),INT(P386/390))</f>
        <v>45871</v>
      </c>
      <c r="Z386" t="str">
        <f t="array" ref="Z386">_xlfn.XLOOKUP(INT(X386),INT($AE$2:$AE$1000),$AG$2:$AG$1000,"")</f>
        <v/>
      </c>
      <c r="AE386" s="19" t="e">
        <f t="shared" ref="AE386:AE449" si="20">IF(ISNUMBER(AF386),DATE(YEAR(AF386),DAY(AF386),MONTH(AF386)),DATE(RIGHT(AF386,4),LEFT(AF386,2),MID(AF386,4,2)))</f>
        <v>#VALUE!</v>
      </c>
      <c r="AF386" s="19"/>
    </row>
    <row r="387" spans="24:32" x14ac:dyDescent="0.3">
      <c r="X387" s="19">
        <f t="shared" si="18"/>
        <v>45871</v>
      </c>
      <c r="Y387" s="19">
        <f t="shared" si="19"/>
        <v>45871</v>
      </c>
      <c r="Z387" t="str">
        <f t="array" ref="Z387">_xlfn.XLOOKUP(INT(X387),INT($AE$2:$AE$1000),$AG$2:$AG$1000,"")</f>
        <v/>
      </c>
      <c r="AE387" s="19" t="e">
        <f t="shared" si="20"/>
        <v>#VALUE!</v>
      </c>
      <c r="AF387" s="19"/>
    </row>
    <row r="388" spans="24:32" x14ac:dyDescent="0.3">
      <c r="X388" s="19">
        <f t="shared" si="18"/>
        <v>45871</v>
      </c>
      <c r="Y388" s="19">
        <f t="shared" si="19"/>
        <v>45871</v>
      </c>
      <c r="Z388" t="str">
        <f t="array" ref="Z388">_xlfn.XLOOKUP(INT(X388),INT($AE$2:$AE$1000),$AG$2:$AG$1000,"")</f>
        <v/>
      </c>
      <c r="AE388" s="19" t="e">
        <f t="shared" si="20"/>
        <v>#VALUE!</v>
      </c>
    </row>
    <row r="389" spans="24:32" x14ac:dyDescent="0.3">
      <c r="X389" s="19">
        <f t="shared" si="18"/>
        <v>45871</v>
      </c>
      <c r="Y389" s="19">
        <f t="shared" si="19"/>
        <v>45871</v>
      </c>
      <c r="Z389" t="str">
        <f t="array" ref="Z389">_xlfn.XLOOKUP(INT(X389),INT($AE$2:$AE$1000),$AG$2:$AG$1000,"")</f>
        <v/>
      </c>
      <c r="AE389" s="19" t="e">
        <f t="shared" si="20"/>
        <v>#VALUE!</v>
      </c>
    </row>
    <row r="390" spans="24:32" x14ac:dyDescent="0.3">
      <c r="X390" s="19">
        <f t="shared" si="18"/>
        <v>45871</v>
      </c>
      <c r="Y390" s="19">
        <f t="shared" si="19"/>
        <v>45871</v>
      </c>
      <c r="Z390" t="str">
        <f t="array" ref="Z390">_xlfn.XLOOKUP(INT(X390),INT($AE$2:$AE$1000),$AG$2:$AG$1000,"")</f>
        <v/>
      </c>
      <c r="AE390" s="19" t="e">
        <f t="shared" si="20"/>
        <v>#VALUE!</v>
      </c>
    </row>
    <row r="391" spans="24:32" x14ac:dyDescent="0.3">
      <c r="X391" s="19">
        <f t="shared" si="18"/>
        <v>45871</v>
      </c>
      <c r="Y391" s="19">
        <f t="shared" si="19"/>
        <v>45871</v>
      </c>
      <c r="Z391" t="str">
        <f t="array" ref="Z391">_xlfn.XLOOKUP(INT(X391),INT($AE$2:$AE$1000),$AG$2:$AG$1000,"")</f>
        <v/>
      </c>
      <c r="AE391" s="19" t="e">
        <f t="shared" si="20"/>
        <v>#VALUE!</v>
      </c>
    </row>
    <row r="392" spans="24:32" x14ac:dyDescent="0.3">
      <c r="X392" s="19">
        <f t="shared" si="18"/>
        <v>45871</v>
      </c>
      <c r="Y392" s="19">
        <f t="shared" si="19"/>
        <v>45871</v>
      </c>
      <c r="Z392" t="str">
        <f t="array" ref="Z392">_xlfn.XLOOKUP(INT(X392),INT($AE$2:$AE$1000),$AG$2:$AG$1000,"")</f>
        <v/>
      </c>
      <c r="AE392" s="19" t="e">
        <f t="shared" si="20"/>
        <v>#VALUE!</v>
      </c>
    </row>
    <row r="393" spans="24:32" x14ac:dyDescent="0.3">
      <c r="X393" s="19">
        <f t="shared" si="18"/>
        <v>45871</v>
      </c>
      <c r="Y393" s="19">
        <f t="shared" si="19"/>
        <v>45871</v>
      </c>
      <c r="Z393" t="str">
        <f t="array" ref="Z393">_xlfn.XLOOKUP(INT(X393),INT($AE$2:$AE$1000),$AG$2:$AG$1000,"")</f>
        <v/>
      </c>
      <c r="AE393" s="19" t="e">
        <f t="shared" si="20"/>
        <v>#VALUE!</v>
      </c>
    </row>
    <row r="394" spans="24:32" x14ac:dyDescent="0.3">
      <c r="X394" s="19">
        <f t="shared" si="18"/>
        <v>45871</v>
      </c>
      <c r="Y394" s="19">
        <f t="shared" si="19"/>
        <v>45871</v>
      </c>
      <c r="Z394" t="str">
        <f t="array" ref="Z394">_xlfn.XLOOKUP(INT(X394),INT($AE$2:$AE$1000),$AG$2:$AG$1000,"")</f>
        <v/>
      </c>
      <c r="AE394" s="19" t="e">
        <f t="shared" si="20"/>
        <v>#VALUE!</v>
      </c>
    </row>
    <row r="395" spans="24:32" x14ac:dyDescent="0.3">
      <c r="X395" s="19">
        <f t="shared" si="18"/>
        <v>45871</v>
      </c>
      <c r="Y395" s="19">
        <f t="shared" si="19"/>
        <v>45871</v>
      </c>
      <c r="Z395" t="str">
        <f t="array" ref="Z395">_xlfn.XLOOKUP(INT(X395),INT($AE$2:$AE$1000),$AG$2:$AG$1000,"")</f>
        <v/>
      </c>
      <c r="AE395" s="19" t="e">
        <f t="shared" si="20"/>
        <v>#VALUE!</v>
      </c>
    </row>
    <row r="396" spans="24:32" x14ac:dyDescent="0.3">
      <c r="X396" s="19">
        <f t="shared" si="18"/>
        <v>45871</v>
      </c>
      <c r="Y396" s="19">
        <f t="shared" si="19"/>
        <v>45871</v>
      </c>
      <c r="Z396" t="str">
        <f t="array" ref="Z396">_xlfn.XLOOKUP(INT(X396),INT($AE$2:$AE$1000),$AG$2:$AG$1000,"")</f>
        <v/>
      </c>
      <c r="AE396" s="19" t="e">
        <f t="shared" si="20"/>
        <v>#VALUE!</v>
      </c>
    </row>
    <row r="397" spans="24:32" x14ac:dyDescent="0.3">
      <c r="X397" s="19">
        <f t="shared" si="18"/>
        <v>45871</v>
      </c>
      <c r="Y397" s="19">
        <f t="shared" si="19"/>
        <v>45871</v>
      </c>
      <c r="Z397" t="str">
        <f t="array" ref="Z397">_xlfn.XLOOKUP(INT(X397),INT($AE$2:$AE$1000),$AG$2:$AG$1000,"")</f>
        <v/>
      </c>
      <c r="AE397" s="19" t="e">
        <f t="shared" si="20"/>
        <v>#VALUE!</v>
      </c>
    </row>
    <row r="398" spans="24:32" x14ac:dyDescent="0.3">
      <c r="X398" s="19">
        <f t="shared" si="18"/>
        <v>45871</v>
      </c>
      <c r="Y398" s="19">
        <f t="shared" si="19"/>
        <v>45871</v>
      </c>
      <c r="Z398" t="str">
        <f t="array" ref="Z398">_xlfn.XLOOKUP(INT(X398),INT($AE$2:$AE$1000),$AG$2:$AG$1000,"")</f>
        <v/>
      </c>
      <c r="AE398" s="19" t="e">
        <f t="shared" si="20"/>
        <v>#VALUE!</v>
      </c>
    </row>
    <row r="399" spans="24:32" x14ac:dyDescent="0.3">
      <c r="X399" s="19">
        <f t="shared" si="18"/>
        <v>45871</v>
      </c>
      <c r="Y399" s="19">
        <f t="shared" si="19"/>
        <v>45871</v>
      </c>
      <c r="Z399" t="str">
        <f t="array" ref="Z399">_xlfn.XLOOKUP(INT(X399),INT($AE$2:$AE$1000),$AG$2:$AG$1000,"")</f>
        <v/>
      </c>
      <c r="AE399" s="19" t="e">
        <f t="shared" si="20"/>
        <v>#VALUE!</v>
      </c>
    </row>
    <row r="400" spans="24:32" x14ac:dyDescent="0.3">
      <c r="X400" s="19">
        <f t="shared" si="18"/>
        <v>45871</v>
      </c>
      <c r="Y400" s="19">
        <f t="shared" si="19"/>
        <v>45871</v>
      </c>
      <c r="Z400" t="str">
        <f t="array" ref="Z400">_xlfn.XLOOKUP(INT(X400),INT($AE$2:$AE$1000),$AG$2:$AG$1000,"")</f>
        <v/>
      </c>
      <c r="AE400" s="19" t="e">
        <f t="shared" si="20"/>
        <v>#VALUE!</v>
      </c>
    </row>
    <row r="401" spans="24:32" x14ac:dyDescent="0.3">
      <c r="X401" s="19">
        <f t="shared" si="18"/>
        <v>45871</v>
      </c>
      <c r="Y401" s="19">
        <f t="shared" si="19"/>
        <v>45871</v>
      </c>
      <c r="Z401" t="str">
        <f t="array" ref="Z401">_xlfn.XLOOKUP(INT(X401),INT($AE$2:$AE$1000),$AG$2:$AG$1000,"")</f>
        <v/>
      </c>
      <c r="AE401" s="19" t="e">
        <f t="shared" si="20"/>
        <v>#VALUE!</v>
      </c>
      <c r="AF401" s="19"/>
    </row>
    <row r="402" spans="24:32" x14ac:dyDescent="0.3">
      <c r="X402" s="19">
        <f t="shared" si="18"/>
        <v>45871</v>
      </c>
      <c r="Y402" s="19">
        <f t="shared" si="19"/>
        <v>45871</v>
      </c>
      <c r="Z402" t="str">
        <f t="array" ref="Z402">_xlfn.XLOOKUP(INT(X402),INT($AE$2:$AE$1000),$AG$2:$AG$1000,"")</f>
        <v/>
      </c>
      <c r="AE402" s="19" t="e">
        <f t="shared" si="20"/>
        <v>#VALUE!</v>
      </c>
      <c r="AF402" s="19"/>
    </row>
    <row r="403" spans="24:32" x14ac:dyDescent="0.3">
      <c r="X403" s="19">
        <f t="shared" si="18"/>
        <v>45871</v>
      </c>
      <c r="Y403" s="19">
        <f t="shared" si="19"/>
        <v>45871</v>
      </c>
      <c r="Z403" t="str">
        <f t="array" ref="Z403">_xlfn.XLOOKUP(INT(X403),INT($AE$2:$AE$1000),$AG$2:$AG$1000,"")</f>
        <v/>
      </c>
      <c r="AE403" s="19" t="e">
        <f t="shared" si="20"/>
        <v>#VALUE!</v>
      </c>
      <c r="AF403" s="19"/>
    </row>
    <row r="404" spans="24:32" x14ac:dyDescent="0.3">
      <c r="X404" s="19">
        <f t="shared" si="18"/>
        <v>45871</v>
      </c>
      <c r="Y404" s="19">
        <f t="shared" si="19"/>
        <v>45871</v>
      </c>
      <c r="Z404" t="str">
        <f t="array" ref="Z404">_xlfn.XLOOKUP(INT(X404),INT($AE$2:$AE$1000),$AG$2:$AG$1000,"")</f>
        <v/>
      </c>
      <c r="AE404" s="19" t="e">
        <f t="shared" si="20"/>
        <v>#VALUE!</v>
      </c>
      <c r="AF404" s="19"/>
    </row>
    <row r="405" spans="24:32" x14ac:dyDescent="0.3">
      <c r="X405" s="19">
        <f t="shared" si="18"/>
        <v>45871</v>
      </c>
      <c r="Y405" s="19">
        <f t="shared" si="19"/>
        <v>45871</v>
      </c>
      <c r="Z405" t="str">
        <f t="array" ref="Z405">_xlfn.XLOOKUP(INT(X405),INT($AE$2:$AE$1000),$AG$2:$AG$1000,"")</f>
        <v/>
      </c>
      <c r="AE405" s="19" t="e">
        <f t="shared" si="20"/>
        <v>#VALUE!</v>
      </c>
      <c r="AF405" s="19"/>
    </row>
    <row r="406" spans="24:32" x14ac:dyDescent="0.3">
      <c r="X406" s="19">
        <f t="shared" si="18"/>
        <v>45871</v>
      </c>
      <c r="Y406" s="19">
        <f t="shared" si="19"/>
        <v>45871</v>
      </c>
      <c r="Z406" t="str">
        <f t="array" ref="Z406">_xlfn.XLOOKUP(INT(X406),INT($AE$2:$AE$1000),$AG$2:$AG$1000,"")</f>
        <v/>
      </c>
      <c r="AE406" s="19" t="e">
        <f t="shared" si="20"/>
        <v>#VALUE!</v>
      </c>
      <c r="AF406" s="19"/>
    </row>
    <row r="407" spans="24:32" x14ac:dyDescent="0.3">
      <c r="X407" s="19">
        <f t="shared" si="18"/>
        <v>45871</v>
      </c>
      <c r="Y407" s="19">
        <f t="shared" si="19"/>
        <v>45871</v>
      </c>
      <c r="Z407" t="str">
        <f t="array" ref="Z407">_xlfn.XLOOKUP(INT(X407),INT($AE$2:$AE$1000),$AG$2:$AG$1000,"")</f>
        <v/>
      </c>
      <c r="AE407" s="19" t="e">
        <f t="shared" si="20"/>
        <v>#VALUE!</v>
      </c>
      <c r="AF407" s="19"/>
    </row>
    <row r="408" spans="24:32" x14ac:dyDescent="0.3">
      <c r="X408" s="19">
        <f t="shared" si="18"/>
        <v>45871</v>
      </c>
      <c r="Y408" s="19">
        <f t="shared" si="19"/>
        <v>45871</v>
      </c>
      <c r="Z408" t="str">
        <f t="array" ref="Z408">_xlfn.XLOOKUP(INT(X408),INT($AE$2:$AE$1000),$AG$2:$AG$1000,"")</f>
        <v/>
      </c>
      <c r="AE408" s="19" t="e">
        <f t="shared" si="20"/>
        <v>#VALUE!</v>
      </c>
      <c r="AF408" s="19"/>
    </row>
    <row r="409" spans="24:32" x14ac:dyDescent="0.3">
      <c r="X409" s="19">
        <f t="shared" si="18"/>
        <v>45871</v>
      </c>
      <c r="Y409" s="19">
        <f t="shared" si="19"/>
        <v>45871</v>
      </c>
      <c r="Z409" t="str">
        <f t="array" ref="Z409">_xlfn.XLOOKUP(INT(X409),INT($AE$2:$AE$1000),$AG$2:$AG$1000,"")</f>
        <v/>
      </c>
      <c r="AE409" s="19" t="e">
        <f t="shared" si="20"/>
        <v>#VALUE!</v>
      </c>
    </row>
    <row r="410" spans="24:32" x14ac:dyDescent="0.3">
      <c r="X410" s="19">
        <f t="shared" si="18"/>
        <v>45871</v>
      </c>
      <c r="Y410" s="19">
        <f t="shared" si="19"/>
        <v>45871</v>
      </c>
      <c r="Z410" t="str">
        <f t="array" ref="Z410">_xlfn.XLOOKUP(INT(X410),INT($AE$2:$AE$1000),$AG$2:$AG$1000,"")</f>
        <v/>
      </c>
      <c r="AE410" s="19" t="e">
        <f t="shared" si="20"/>
        <v>#VALUE!</v>
      </c>
    </row>
    <row r="411" spans="24:32" x14ac:dyDescent="0.3">
      <c r="X411" s="19">
        <f t="shared" si="18"/>
        <v>45871</v>
      </c>
      <c r="Y411" s="19">
        <f t="shared" si="19"/>
        <v>45871</v>
      </c>
      <c r="Z411" t="str">
        <f t="array" ref="Z411">_xlfn.XLOOKUP(INT(X411),INT($AE$2:$AE$1000),$AG$2:$AG$1000,"")</f>
        <v/>
      </c>
      <c r="AE411" s="19" t="e">
        <f t="shared" si="20"/>
        <v>#VALUE!</v>
      </c>
    </row>
    <row r="412" spans="24:32" x14ac:dyDescent="0.3">
      <c r="X412" s="19">
        <f t="shared" si="18"/>
        <v>45871</v>
      </c>
      <c r="Y412" s="19">
        <f t="shared" si="19"/>
        <v>45871</v>
      </c>
      <c r="Z412" t="str">
        <f t="array" ref="Z412">_xlfn.XLOOKUP(INT(X412),INT($AE$2:$AE$1000),$AG$2:$AG$1000,"")</f>
        <v/>
      </c>
      <c r="AE412" s="19" t="e">
        <f t="shared" si="20"/>
        <v>#VALUE!</v>
      </c>
    </row>
    <row r="413" spans="24:32" x14ac:dyDescent="0.3">
      <c r="X413" s="19">
        <f t="shared" si="18"/>
        <v>45871</v>
      </c>
      <c r="Y413" s="19">
        <f t="shared" si="19"/>
        <v>45871</v>
      </c>
      <c r="Z413" t="str">
        <f t="array" ref="Z413">_xlfn.XLOOKUP(INT(X413),INT($AE$2:$AE$1000),$AG$2:$AG$1000,"")</f>
        <v/>
      </c>
      <c r="AE413" s="19" t="e">
        <f t="shared" si="20"/>
        <v>#VALUE!</v>
      </c>
    </row>
    <row r="414" spans="24:32" x14ac:dyDescent="0.3">
      <c r="X414" s="19">
        <f t="shared" si="18"/>
        <v>45871</v>
      </c>
      <c r="Y414" s="19">
        <f t="shared" si="19"/>
        <v>45871</v>
      </c>
      <c r="Z414" t="str">
        <f t="array" ref="Z414">_xlfn.XLOOKUP(INT(X414),INT($AE$2:$AE$1000),$AG$2:$AG$1000,"")</f>
        <v/>
      </c>
      <c r="AE414" s="19" t="e">
        <f t="shared" si="20"/>
        <v>#VALUE!</v>
      </c>
    </row>
    <row r="415" spans="24:32" x14ac:dyDescent="0.3">
      <c r="X415" s="19">
        <f t="shared" si="18"/>
        <v>45871</v>
      </c>
      <c r="Y415" s="19">
        <f t="shared" si="19"/>
        <v>45871</v>
      </c>
      <c r="Z415" t="str">
        <f t="array" ref="Z415">_xlfn.XLOOKUP(INT(X415),INT($AE$2:$AE$1000),$AG$2:$AG$1000,"")</f>
        <v/>
      </c>
      <c r="AE415" s="19" t="e">
        <f t="shared" si="20"/>
        <v>#VALUE!</v>
      </c>
    </row>
    <row r="416" spans="24:32" x14ac:dyDescent="0.3">
      <c r="X416" s="19">
        <f t="shared" si="18"/>
        <v>45871</v>
      </c>
      <c r="Y416" s="19">
        <f t="shared" si="19"/>
        <v>45871</v>
      </c>
      <c r="Z416" t="str">
        <f t="array" ref="Z416">_xlfn.XLOOKUP(INT(X416),INT($AE$2:$AE$1000),$AG$2:$AG$1000,"")</f>
        <v/>
      </c>
      <c r="AE416" s="19" t="e">
        <f t="shared" si="20"/>
        <v>#VALUE!</v>
      </c>
    </row>
    <row r="417" spans="24:32" x14ac:dyDescent="0.3">
      <c r="X417" s="19">
        <f t="shared" si="18"/>
        <v>45871</v>
      </c>
      <c r="Y417" s="19">
        <f t="shared" si="19"/>
        <v>45871</v>
      </c>
      <c r="Z417" t="str">
        <f t="array" ref="Z417">_xlfn.XLOOKUP(INT(X417),INT($AE$2:$AE$1000),$AG$2:$AG$1000,"")</f>
        <v/>
      </c>
      <c r="AE417" s="19" t="e">
        <f t="shared" si="20"/>
        <v>#VALUE!</v>
      </c>
    </row>
    <row r="418" spans="24:32" x14ac:dyDescent="0.3">
      <c r="X418" s="19">
        <f t="shared" si="18"/>
        <v>45871</v>
      </c>
      <c r="Y418" s="19">
        <f t="shared" si="19"/>
        <v>45871</v>
      </c>
      <c r="Z418" t="str">
        <f t="array" ref="Z418">_xlfn.XLOOKUP(INT(X418),INT($AE$2:$AE$1000),$AG$2:$AG$1000,"")</f>
        <v/>
      </c>
      <c r="AE418" s="19" t="e">
        <f t="shared" si="20"/>
        <v>#VALUE!</v>
      </c>
    </row>
    <row r="419" spans="24:32" x14ac:dyDescent="0.3">
      <c r="X419" s="19">
        <f t="shared" si="18"/>
        <v>45871</v>
      </c>
      <c r="Y419" s="19">
        <f t="shared" si="19"/>
        <v>45871</v>
      </c>
      <c r="Z419" t="str">
        <f t="array" ref="Z419">_xlfn.XLOOKUP(INT(X419),INT($AE$2:$AE$1000),$AG$2:$AG$1000,"")</f>
        <v/>
      </c>
      <c r="AE419" s="19" t="e">
        <f t="shared" si="20"/>
        <v>#VALUE!</v>
      </c>
    </row>
    <row r="420" spans="24:32" x14ac:dyDescent="0.3">
      <c r="X420" s="19">
        <f t="shared" si="18"/>
        <v>45871</v>
      </c>
      <c r="Y420" s="19">
        <f t="shared" si="19"/>
        <v>45871</v>
      </c>
      <c r="Z420" t="str">
        <f t="array" ref="Z420">_xlfn.XLOOKUP(INT(X420),INT($AE$2:$AE$1000),$AG$2:$AG$1000,"")</f>
        <v/>
      </c>
      <c r="AE420" s="19" t="e">
        <f t="shared" si="20"/>
        <v>#VALUE!</v>
      </c>
    </row>
    <row r="421" spans="24:32" x14ac:dyDescent="0.3">
      <c r="X421" s="19">
        <f t="shared" si="18"/>
        <v>45871</v>
      </c>
      <c r="Y421" s="19">
        <f t="shared" si="19"/>
        <v>45871</v>
      </c>
      <c r="Z421" t="str">
        <f t="array" ref="Z421">_xlfn.XLOOKUP(INT(X421),INT($AE$2:$AE$1000),$AG$2:$AG$1000,"")</f>
        <v/>
      </c>
      <c r="AE421" s="19" t="e">
        <f t="shared" si="20"/>
        <v>#VALUE!</v>
      </c>
    </row>
    <row r="422" spans="24:32" x14ac:dyDescent="0.3">
      <c r="X422" s="19">
        <f t="shared" si="18"/>
        <v>45871</v>
      </c>
      <c r="Y422" s="19">
        <f t="shared" si="19"/>
        <v>45871</v>
      </c>
      <c r="Z422" t="str">
        <f t="array" ref="Z422">_xlfn.XLOOKUP(INT(X422),INT($AE$2:$AE$1000),$AG$2:$AG$1000,"")</f>
        <v/>
      </c>
      <c r="AE422" s="19" t="e">
        <f t="shared" si="20"/>
        <v>#VALUE!</v>
      </c>
    </row>
    <row r="423" spans="24:32" x14ac:dyDescent="0.3">
      <c r="X423" s="19">
        <f t="shared" si="18"/>
        <v>45871</v>
      </c>
      <c r="Y423" s="19">
        <f t="shared" si="19"/>
        <v>45871</v>
      </c>
      <c r="Z423" t="str">
        <f t="array" ref="Z423">_xlfn.XLOOKUP(INT(X423),INT($AE$2:$AE$1000),$AG$2:$AG$1000,"")</f>
        <v/>
      </c>
      <c r="AE423" s="19" t="e">
        <f t="shared" si="20"/>
        <v>#VALUE!</v>
      </c>
      <c r="AF423" s="19"/>
    </row>
    <row r="424" spans="24:32" x14ac:dyDescent="0.3">
      <c r="X424" s="19">
        <f t="shared" si="18"/>
        <v>45871</v>
      </c>
      <c r="Y424" s="19">
        <f t="shared" si="19"/>
        <v>45871</v>
      </c>
      <c r="Z424" t="str">
        <f t="array" ref="Z424">_xlfn.XLOOKUP(INT(X424),INT($AE$2:$AE$1000),$AG$2:$AG$1000,"")</f>
        <v/>
      </c>
      <c r="AE424" s="19" t="e">
        <f t="shared" si="20"/>
        <v>#VALUE!</v>
      </c>
      <c r="AF424" s="19"/>
    </row>
    <row r="425" spans="24:32" x14ac:dyDescent="0.3">
      <c r="X425" s="19">
        <f t="shared" si="18"/>
        <v>45871</v>
      </c>
      <c r="Y425" s="19">
        <f t="shared" si="19"/>
        <v>45871</v>
      </c>
      <c r="Z425" t="str">
        <f t="array" ref="Z425">_xlfn.XLOOKUP(INT(X425),INT($AE$2:$AE$1000),$AG$2:$AG$1000,"")</f>
        <v/>
      </c>
      <c r="AE425" s="19" t="e">
        <f t="shared" si="20"/>
        <v>#VALUE!</v>
      </c>
      <c r="AF425" s="19"/>
    </row>
    <row r="426" spans="24:32" x14ac:dyDescent="0.3">
      <c r="X426" s="19">
        <f t="shared" si="18"/>
        <v>45871</v>
      </c>
      <c r="Y426" s="19">
        <f t="shared" si="19"/>
        <v>45871</v>
      </c>
      <c r="Z426" t="str">
        <f t="array" ref="Z426">_xlfn.XLOOKUP(INT(X426),INT($AE$2:$AE$1000),$AG$2:$AG$1000,"")</f>
        <v/>
      </c>
      <c r="AE426" s="19" t="e">
        <f t="shared" si="20"/>
        <v>#VALUE!</v>
      </c>
      <c r="AF426" s="19"/>
    </row>
    <row r="427" spans="24:32" x14ac:dyDescent="0.3">
      <c r="X427" s="19">
        <f t="shared" si="18"/>
        <v>45871</v>
      </c>
      <c r="Y427" s="19">
        <f t="shared" si="19"/>
        <v>45871</v>
      </c>
      <c r="Z427" t="str">
        <f t="array" ref="Z427">_xlfn.XLOOKUP(INT(X427),INT($AE$2:$AE$1000),$AG$2:$AG$1000,"")</f>
        <v/>
      </c>
      <c r="AE427" s="19" t="e">
        <f t="shared" si="20"/>
        <v>#VALUE!</v>
      </c>
      <c r="AF427" s="19"/>
    </row>
    <row r="428" spans="24:32" x14ac:dyDescent="0.3">
      <c r="X428" s="19">
        <f t="shared" si="18"/>
        <v>45871</v>
      </c>
      <c r="Y428" s="19">
        <f t="shared" si="19"/>
        <v>45871</v>
      </c>
      <c r="Z428" t="str">
        <f t="array" ref="Z428">_xlfn.XLOOKUP(INT(X428),INT($AE$2:$AE$1000),$AG$2:$AG$1000,"")</f>
        <v/>
      </c>
      <c r="AE428" s="19" t="e">
        <f t="shared" si="20"/>
        <v>#VALUE!</v>
      </c>
      <c r="AF428" s="19"/>
    </row>
    <row r="429" spans="24:32" x14ac:dyDescent="0.3">
      <c r="X429" s="19">
        <f t="shared" si="18"/>
        <v>45871</v>
      </c>
      <c r="Y429" s="19">
        <f t="shared" si="19"/>
        <v>45871</v>
      </c>
      <c r="Z429" t="str">
        <f t="array" ref="Z429">_xlfn.XLOOKUP(INT(X429),INT($AE$2:$AE$1000),$AG$2:$AG$1000,"")</f>
        <v/>
      </c>
      <c r="AE429" s="19" t="e">
        <f t="shared" si="20"/>
        <v>#VALUE!</v>
      </c>
      <c r="AF429" s="19"/>
    </row>
    <row r="430" spans="24:32" x14ac:dyDescent="0.3">
      <c r="X430" s="19">
        <f t="shared" si="18"/>
        <v>45871</v>
      </c>
      <c r="Y430" s="19">
        <f t="shared" si="19"/>
        <v>45871</v>
      </c>
      <c r="Z430" t="str">
        <f t="array" ref="Z430">_xlfn.XLOOKUP(INT(X430),INT($AE$2:$AE$1000),$AG$2:$AG$1000,"")</f>
        <v/>
      </c>
      <c r="AE430" s="19" t="e">
        <f t="shared" si="20"/>
        <v>#VALUE!</v>
      </c>
      <c r="AF430" s="19"/>
    </row>
    <row r="431" spans="24:32" x14ac:dyDescent="0.3">
      <c r="X431" s="19">
        <f t="shared" si="18"/>
        <v>45871</v>
      </c>
      <c r="Y431" s="19">
        <f t="shared" si="19"/>
        <v>45871</v>
      </c>
      <c r="Z431" t="str">
        <f t="array" ref="Z431">_xlfn.XLOOKUP(INT(X431),INT($AE$2:$AE$1000),$AG$2:$AG$1000,"")</f>
        <v/>
      </c>
      <c r="AE431" s="19" t="e">
        <f t="shared" si="20"/>
        <v>#VALUE!</v>
      </c>
    </row>
    <row r="432" spans="24:32" x14ac:dyDescent="0.3">
      <c r="X432" s="19">
        <f t="shared" si="18"/>
        <v>45871</v>
      </c>
      <c r="Y432" s="19">
        <f t="shared" si="19"/>
        <v>45871</v>
      </c>
      <c r="Z432" t="str">
        <f t="array" ref="Z432">_xlfn.XLOOKUP(INT(X432),INT($AE$2:$AE$1000),$AG$2:$AG$1000,"")</f>
        <v/>
      </c>
      <c r="AE432" s="19" t="e">
        <f t="shared" si="20"/>
        <v>#VALUE!</v>
      </c>
    </row>
    <row r="433" spans="24:32" x14ac:dyDescent="0.3">
      <c r="X433" s="19">
        <f t="shared" si="18"/>
        <v>45871</v>
      </c>
      <c r="Y433" s="19">
        <f t="shared" si="19"/>
        <v>45871</v>
      </c>
      <c r="Z433" t="str">
        <f t="array" ref="Z433">_xlfn.XLOOKUP(INT(X433),INT($AE$2:$AE$1000),$AG$2:$AG$1000,"")</f>
        <v/>
      </c>
      <c r="AE433" s="19" t="e">
        <f t="shared" si="20"/>
        <v>#VALUE!</v>
      </c>
    </row>
    <row r="434" spans="24:32" x14ac:dyDescent="0.3">
      <c r="X434" s="19">
        <f t="shared" si="18"/>
        <v>45871</v>
      </c>
      <c r="Y434" s="19">
        <f t="shared" si="19"/>
        <v>45871</v>
      </c>
      <c r="Z434" t="str">
        <f t="array" ref="Z434">_xlfn.XLOOKUP(INT(X434),INT($AE$2:$AE$1000),$AG$2:$AG$1000,"")</f>
        <v/>
      </c>
      <c r="AE434" s="19" t="e">
        <f t="shared" si="20"/>
        <v>#VALUE!</v>
      </c>
    </row>
    <row r="435" spans="24:32" x14ac:dyDescent="0.3">
      <c r="X435" s="19">
        <f t="shared" si="18"/>
        <v>45871</v>
      </c>
      <c r="Y435" s="19">
        <f t="shared" si="19"/>
        <v>45871</v>
      </c>
      <c r="Z435" t="str">
        <f t="array" ref="Z435">_xlfn.XLOOKUP(INT(X435),INT($AE$2:$AE$1000),$AG$2:$AG$1000,"")</f>
        <v/>
      </c>
      <c r="AE435" s="19" t="e">
        <f t="shared" si="20"/>
        <v>#VALUE!</v>
      </c>
    </row>
    <row r="436" spans="24:32" x14ac:dyDescent="0.3">
      <c r="X436" s="19">
        <f t="shared" si="18"/>
        <v>45871</v>
      </c>
      <c r="Y436" s="19">
        <f t="shared" si="19"/>
        <v>45871</v>
      </c>
      <c r="Z436" t="str">
        <f t="array" ref="Z436">_xlfn.XLOOKUP(INT(X436),INT($AE$2:$AE$1000),$AG$2:$AG$1000,"")</f>
        <v/>
      </c>
      <c r="AE436" s="19" t="e">
        <f t="shared" si="20"/>
        <v>#VALUE!</v>
      </c>
    </row>
    <row r="437" spans="24:32" x14ac:dyDescent="0.3">
      <c r="X437" s="19">
        <f t="shared" si="18"/>
        <v>45871</v>
      </c>
      <c r="Y437" s="19">
        <f t="shared" si="19"/>
        <v>45871</v>
      </c>
      <c r="Z437" t="str">
        <f t="array" ref="Z437">_xlfn.XLOOKUP(INT(X437),INT($AE$2:$AE$1000),$AG$2:$AG$1000,"")</f>
        <v/>
      </c>
      <c r="AE437" s="19" t="e">
        <f t="shared" si="20"/>
        <v>#VALUE!</v>
      </c>
    </row>
    <row r="438" spans="24:32" x14ac:dyDescent="0.3">
      <c r="X438" s="19">
        <f t="shared" si="18"/>
        <v>45871</v>
      </c>
      <c r="Y438" s="19">
        <f t="shared" si="19"/>
        <v>45871</v>
      </c>
      <c r="Z438" t="str">
        <f t="array" ref="Z438">_xlfn.XLOOKUP(INT(X438),INT($AE$2:$AE$1000),$AG$2:$AG$1000,"")</f>
        <v/>
      </c>
      <c r="AE438" s="19" t="e">
        <f t="shared" si="20"/>
        <v>#VALUE!</v>
      </c>
    </row>
    <row r="439" spans="24:32" x14ac:dyDescent="0.3">
      <c r="X439" s="19">
        <f t="shared" si="18"/>
        <v>45871</v>
      </c>
      <c r="Y439" s="19">
        <f t="shared" si="19"/>
        <v>45871</v>
      </c>
      <c r="Z439" t="str">
        <f t="array" ref="Z439">_xlfn.XLOOKUP(INT(X439),INT($AE$2:$AE$1000),$AG$2:$AG$1000,"")</f>
        <v/>
      </c>
      <c r="AE439" s="19" t="e">
        <f t="shared" si="20"/>
        <v>#VALUE!</v>
      </c>
    </row>
    <row r="440" spans="24:32" x14ac:dyDescent="0.3">
      <c r="X440" s="19">
        <f t="shared" si="18"/>
        <v>45871</v>
      </c>
      <c r="Y440" s="19">
        <f t="shared" si="19"/>
        <v>45871</v>
      </c>
      <c r="Z440" t="str">
        <f t="array" ref="Z440">_xlfn.XLOOKUP(INT(X440),INT($AE$2:$AE$1000),$AG$2:$AG$1000,"")</f>
        <v/>
      </c>
      <c r="AE440" s="19" t="e">
        <f t="shared" si="20"/>
        <v>#VALUE!</v>
      </c>
    </row>
    <row r="441" spans="24:32" x14ac:dyDescent="0.3">
      <c r="X441" s="19">
        <f t="shared" si="18"/>
        <v>45871</v>
      </c>
      <c r="Y441" s="19">
        <f t="shared" si="19"/>
        <v>45871</v>
      </c>
      <c r="Z441" t="str">
        <f t="array" ref="Z441">_xlfn.XLOOKUP(INT(X441),INT($AE$2:$AE$1000),$AG$2:$AG$1000,"")</f>
        <v/>
      </c>
      <c r="AE441" s="19" t="e">
        <f t="shared" si="20"/>
        <v>#VALUE!</v>
      </c>
    </row>
    <row r="442" spans="24:32" x14ac:dyDescent="0.3">
      <c r="X442" s="19">
        <f t="shared" si="18"/>
        <v>45871</v>
      </c>
      <c r="Y442" s="19">
        <f t="shared" si="19"/>
        <v>45871</v>
      </c>
      <c r="Z442" t="str">
        <f t="array" ref="Z442">_xlfn.XLOOKUP(INT(X442),INT($AE$2:$AE$1000),$AG$2:$AG$1000,"")</f>
        <v/>
      </c>
      <c r="AE442" s="19" t="e">
        <f t="shared" si="20"/>
        <v>#VALUE!</v>
      </c>
    </row>
    <row r="443" spans="24:32" x14ac:dyDescent="0.3">
      <c r="X443" s="19">
        <f t="shared" si="18"/>
        <v>45871</v>
      </c>
      <c r="Y443" s="19">
        <f t="shared" si="19"/>
        <v>45871</v>
      </c>
      <c r="Z443" t="str">
        <f t="array" ref="Z443">_xlfn.XLOOKUP(INT(X443),INT($AE$2:$AE$1000),$AG$2:$AG$1000,"")</f>
        <v/>
      </c>
      <c r="AE443" s="19" t="e">
        <f t="shared" si="20"/>
        <v>#VALUE!</v>
      </c>
      <c r="AF443" s="19"/>
    </row>
    <row r="444" spans="24:32" x14ac:dyDescent="0.3">
      <c r="X444" s="19">
        <f t="shared" si="18"/>
        <v>45871</v>
      </c>
      <c r="Y444" s="19">
        <f t="shared" si="19"/>
        <v>45871</v>
      </c>
      <c r="Z444" t="str">
        <f t="array" ref="Z444">_xlfn.XLOOKUP(INT(X444),INT($AE$2:$AE$1000),$AG$2:$AG$1000,"")</f>
        <v/>
      </c>
      <c r="AE444" s="19" t="e">
        <f t="shared" si="20"/>
        <v>#VALUE!</v>
      </c>
      <c r="AF444" s="19"/>
    </row>
    <row r="445" spans="24:32" x14ac:dyDescent="0.3">
      <c r="X445" s="19">
        <f t="shared" si="18"/>
        <v>45871</v>
      </c>
      <c r="Y445" s="19">
        <f t="shared" si="19"/>
        <v>45871</v>
      </c>
      <c r="Z445" t="str">
        <f t="array" ref="Z445">_xlfn.XLOOKUP(INT(X445),INT($AE$2:$AE$1000),$AG$2:$AG$1000,"")</f>
        <v/>
      </c>
      <c r="AE445" s="19" t="e">
        <f t="shared" si="20"/>
        <v>#VALUE!</v>
      </c>
      <c r="AF445" s="19"/>
    </row>
    <row r="446" spans="24:32" x14ac:dyDescent="0.3">
      <c r="X446" s="19">
        <f t="shared" si="18"/>
        <v>45871</v>
      </c>
      <c r="Y446" s="19">
        <f t="shared" si="19"/>
        <v>45871</v>
      </c>
      <c r="Z446" t="str">
        <f t="array" ref="Z446">_xlfn.XLOOKUP(INT(X446),INT($AE$2:$AE$1000),$AG$2:$AG$1000,"")</f>
        <v/>
      </c>
      <c r="AE446" s="19" t="e">
        <f t="shared" si="20"/>
        <v>#VALUE!</v>
      </c>
      <c r="AF446" s="19"/>
    </row>
    <row r="447" spans="24:32" x14ac:dyDescent="0.3">
      <c r="X447" s="19">
        <f t="shared" si="18"/>
        <v>45871</v>
      </c>
      <c r="Y447" s="19">
        <f t="shared" si="19"/>
        <v>45871</v>
      </c>
      <c r="Z447" t="str">
        <f t="array" ref="Z447">_xlfn.XLOOKUP(INT(X447),INT($AE$2:$AE$1000),$AG$2:$AG$1000,"")</f>
        <v/>
      </c>
      <c r="AE447" s="19" t="e">
        <f t="shared" si="20"/>
        <v>#VALUE!</v>
      </c>
      <c r="AF447" s="19"/>
    </row>
    <row r="448" spans="24:32" x14ac:dyDescent="0.3">
      <c r="X448" s="19">
        <f t="shared" si="18"/>
        <v>45871</v>
      </c>
      <c r="Y448" s="19">
        <f t="shared" si="19"/>
        <v>45871</v>
      </c>
      <c r="Z448" t="str">
        <f t="array" ref="Z448">_xlfn.XLOOKUP(INT(X448),INT($AE$2:$AE$1000),$AG$2:$AG$1000,"")</f>
        <v/>
      </c>
      <c r="AE448" s="19" t="e">
        <f t="shared" si="20"/>
        <v>#VALUE!</v>
      </c>
      <c r="AF448" s="19"/>
    </row>
    <row r="449" spans="24:32" x14ac:dyDescent="0.3">
      <c r="X449" s="19">
        <f t="shared" si="18"/>
        <v>45871</v>
      </c>
      <c r="Y449" s="19">
        <f t="shared" si="19"/>
        <v>45871</v>
      </c>
      <c r="Z449" t="str">
        <f t="array" ref="Z449">_xlfn.XLOOKUP(INT(X449),INT($AE$2:$AE$1000),$AG$2:$AG$1000,"")</f>
        <v/>
      </c>
      <c r="AE449" s="19" t="e">
        <f t="shared" si="20"/>
        <v>#VALUE!</v>
      </c>
      <c r="AF449" s="19"/>
    </row>
    <row r="450" spans="24:32" x14ac:dyDescent="0.3">
      <c r="X450" s="19">
        <f t="shared" ref="X450:X513" si="21">WORKDAY(DATE(2025,8,2),INT(D450/390))</f>
        <v>45871</v>
      </c>
      <c r="Y450" s="19">
        <f t="shared" ref="Y450:Y513" si="22">WORKDAY(DATE(2025,8,2),INT(P450/390))</f>
        <v>45871</v>
      </c>
      <c r="Z450" t="str">
        <f t="array" ref="Z450">_xlfn.XLOOKUP(INT(X450),INT($AE$2:$AE$1000),$AG$2:$AG$1000,"")</f>
        <v/>
      </c>
      <c r="AE450" s="19" t="e">
        <f t="shared" ref="AE450:AE513" si="23">IF(ISNUMBER(AF450),DATE(YEAR(AF450),DAY(AF450),MONTH(AF450)),DATE(RIGHT(AF450,4),LEFT(AF450,2),MID(AF450,4,2)))</f>
        <v>#VALUE!</v>
      </c>
      <c r="AF450" s="19"/>
    </row>
    <row r="451" spans="24:32" x14ac:dyDescent="0.3">
      <c r="X451" s="19">
        <f t="shared" si="21"/>
        <v>45871</v>
      </c>
      <c r="Y451" s="19">
        <f t="shared" si="22"/>
        <v>45871</v>
      </c>
      <c r="Z451" t="str">
        <f t="array" ref="Z451">_xlfn.XLOOKUP(INT(X451),INT($AE$2:$AE$1000),$AG$2:$AG$1000,"")</f>
        <v/>
      </c>
      <c r="AE451" s="19" t="e">
        <f t="shared" si="23"/>
        <v>#VALUE!</v>
      </c>
      <c r="AF451" s="19"/>
    </row>
    <row r="452" spans="24:32" x14ac:dyDescent="0.3">
      <c r="X452" s="19">
        <f t="shared" si="21"/>
        <v>45871</v>
      </c>
      <c r="Y452" s="19">
        <f t="shared" si="22"/>
        <v>45871</v>
      </c>
      <c r="Z452" t="str">
        <f t="array" ref="Z452">_xlfn.XLOOKUP(INT(X452),INT($AE$2:$AE$1000),$AG$2:$AG$1000,"")</f>
        <v/>
      </c>
      <c r="AE452" s="19" t="e">
        <f t="shared" si="23"/>
        <v>#VALUE!</v>
      </c>
    </row>
    <row r="453" spans="24:32" x14ac:dyDescent="0.3">
      <c r="X453" s="19">
        <f t="shared" si="21"/>
        <v>45871</v>
      </c>
      <c r="Y453" s="19">
        <f t="shared" si="22"/>
        <v>45871</v>
      </c>
      <c r="Z453" t="str">
        <f t="array" ref="Z453">_xlfn.XLOOKUP(INT(X453),INT($AE$2:$AE$1000),$AG$2:$AG$1000,"")</f>
        <v/>
      </c>
      <c r="AE453" s="19" t="e">
        <f t="shared" si="23"/>
        <v>#VALUE!</v>
      </c>
    </row>
    <row r="454" spans="24:32" x14ac:dyDescent="0.3">
      <c r="X454" s="19">
        <f t="shared" si="21"/>
        <v>45871</v>
      </c>
      <c r="Y454" s="19">
        <f t="shared" si="22"/>
        <v>45871</v>
      </c>
      <c r="Z454" t="str">
        <f t="array" ref="Z454">_xlfn.XLOOKUP(INT(X454),INT($AE$2:$AE$1000),$AG$2:$AG$1000,"")</f>
        <v/>
      </c>
      <c r="AE454" s="19" t="e">
        <f t="shared" si="23"/>
        <v>#VALUE!</v>
      </c>
    </row>
    <row r="455" spans="24:32" x14ac:dyDescent="0.3">
      <c r="X455" s="19">
        <f t="shared" si="21"/>
        <v>45871</v>
      </c>
      <c r="Y455" s="19">
        <f t="shared" si="22"/>
        <v>45871</v>
      </c>
      <c r="Z455" t="str">
        <f t="array" ref="Z455">_xlfn.XLOOKUP(INT(X455),INT($AE$2:$AE$1000),$AG$2:$AG$1000,"")</f>
        <v/>
      </c>
      <c r="AE455" s="19" t="e">
        <f t="shared" si="23"/>
        <v>#VALUE!</v>
      </c>
    </row>
    <row r="456" spans="24:32" x14ac:dyDescent="0.3">
      <c r="X456" s="19">
        <f t="shared" si="21"/>
        <v>45871</v>
      </c>
      <c r="Y456" s="19">
        <f t="shared" si="22"/>
        <v>45871</v>
      </c>
      <c r="Z456" t="str">
        <f t="array" ref="Z456">_xlfn.XLOOKUP(INT(X456),INT($AE$2:$AE$1000),$AG$2:$AG$1000,"")</f>
        <v/>
      </c>
      <c r="AE456" s="19" t="e">
        <f t="shared" si="23"/>
        <v>#VALUE!</v>
      </c>
    </row>
    <row r="457" spans="24:32" x14ac:dyDescent="0.3">
      <c r="X457" s="19">
        <f t="shared" si="21"/>
        <v>45871</v>
      </c>
      <c r="Y457" s="19">
        <f t="shared" si="22"/>
        <v>45871</v>
      </c>
      <c r="Z457" t="str">
        <f t="array" ref="Z457">_xlfn.XLOOKUP(INT(X457),INT($AE$2:$AE$1000),$AG$2:$AG$1000,"")</f>
        <v/>
      </c>
      <c r="AE457" s="19" t="e">
        <f t="shared" si="23"/>
        <v>#VALUE!</v>
      </c>
    </row>
    <row r="458" spans="24:32" x14ac:dyDescent="0.3">
      <c r="X458" s="19">
        <f t="shared" si="21"/>
        <v>45871</v>
      </c>
      <c r="Y458" s="19">
        <f t="shared" si="22"/>
        <v>45871</v>
      </c>
      <c r="Z458" t="str">
        <f t="array" ref="Z458">_xlfn.XLOOKUP(INT(X458),INT($AE$2:$AE$1000),$AG$2:$AG$1000,"")</f>
        <v/>
      </c>
      <c r="AE458" s="19" t="e">
        <f t="shared" si="23"/>
        <v>#VALUE!</v>
      </c>
    </row>
    <row r="459" spans="24:32" x14ac:dyDescent="0.3">
      <c r="X459" s="19">
        <f t="shared" si="21"/>
        <v>45871</v>
      </c>
      <c r="Y459" s="19">
        <f t="shared" si="22"/>
        <v>45871</v>
      </c>
      <c r="Z459" t="str">
        <f t="array" ref="Z459">_xlfn.XLOOKUP(INT(X459),INT($AE$2:$AE$1000),$AG$2:$AG$1000,"")</f>
        <v/>
      </c>
      <c r="AE459" s="19" t="e">
        <f t="shared" si="23"/>
        <v>#VALUE!</v>
      </c>
    </row>
    <row r="460" spans="24:32" x14ac:dyDescent="0.3">
      <c r="X460" s="19">
        <f t="shared" si="21"/>
        <v>45871</v>
      </c>
      <c r="Y460" s="19">
        <f t="shared" si="22"/>
        <v>45871</v>
      </c>
      <c r="Z460" t="str">
        <f t="array" ref="Z460">_xlfn.XLOOKUP(INT(X460),INT($AE$2:$AE$1000),$AG$2:$AG$1000,"")</f>
        <v/>
      </c>
      <c r="AE460" s="19" t="e">
        <f t="shared" si="23"/>
        <v>#VALUE!</v>
      </c>
    </row>
    <row r="461" spans="24:32" x14ac:dyDescent="0.3">
      <c r="X461" s="19">
        <f t="shared" si="21"/>
        <v>45871</v>
      </c>
      <c r="Y461" s="19">
        <f t="shared" si="22"/>
        <v>45871</v>
      </c>
      <c r="Z461" t="str">
        <f t="array" ref="Z461">_xlfn.XLOOKUP(INT(X461),INT($AE$2:$AE$1000),$AG$2:$AG$1000,"")</f>
        <v/>
      </c>
      <c r="AE461" s="19" t="e">
        <f t="shared" si="23"/>
        <v>#VALUE!</v>
      </c>
    </row>
    <row r="462" spans="24:32" x14ac:dyDescent="0.3">
      <c r="X462" s="19">
        <f t="shared" si="21"/>
        <v>45871</v>
      </c>
      <c r="Y462" s="19">
        <f t="shared" si="22"/>
        <v>45871</v>
      </c>
      <c r="Z462" t="str">
        <f t="array" ref="Z462">_xlfn.XLOOKUP(INT(X462),INT($AE$2:$AE$1000),$AG$2:$AG$1000,"")</f>
        <v/>
      </c>
      <c r="AE462" s="19" t="e">
        <f t="shared" si="23"/>
        <v>#VALUE!</v>
      </c>
    </row>
    <row r="463" spans="24:32" x14ac:dyDescent="0.3">
      <c r="X463" s="19">
        <f t="shared" si="21"/>
        <v>45871</v>
      </c>
      <c r="Y463" s="19">
        <f t="shared" si="22"/>
        <v>45871</v>
      </c>
      <c r="Z463" t="str">
        <f t="array" ref="Z463">_xlfn.XLOOKUP(INT(X463),INT($AE$2:$AE$1000),$AG$2:$AG$1000,"")</f>
        <v/>
      </c>
      <c r="AE463" s="19" t="e">
        <f t="shared" si="23"/>
        <v>#VALUE!</v>
      </c>
    </row>
    <row r="464" spans="24:32" x14ac:dyDescent="0.3">
      <c r="X464" s="19">
        <f t="shared" si="21"/>
        <v>45871</v>
      </c>
      <c r="Y464" s="19">
        <f t="shared" si="22"/>
        <v>45871</v>
      </c>
      <c r="Z464" t="str">
        <f t="array" ref="Z464">_xlfn.XLOOKUP(INT(X464),INT($AE$2:$AE$1000),$AG$2:$AG$1000,"")</f>
        <v/>
      </c>
      <c r="AE464" s="19" t="e">
        <f t="shared" si="23"/>
        <v>#VALUE!</v>
      </c>
    </row>
    <row r="465" spans="24:32" x14ac:dyDescent="0.3">
      <c r="X465" s="19">
        <f t="shared" si="21"/>
        <v>45871</v>
      </c>
      <c r="Y465" s="19">
        <f t="shared" si="22"/>
        <v>45871</v>
      </c>
      <c r="Z465" t="str">
        <f t="array" ref="Z465">_xlfn.XLOOKUP(INT(X465),INT($AE$2:$AE$1000),$AG$2:$AG$1000,"")</f>
        <v/>
      </c>
      <c r="AE465" s="19" t="e">
        <f t="shared" si="23"/>
        <v>#VALUE!</v>
      </c>
    </row>
    <row r="466" spans="24:32" x14ac:dyDescent="0.3">
      <c r="X466" s="19">
        <f t="shared" si="21"/>
        <v>45871</v>
      </c>
      <c r="Y466" s="19">
        <f t="shared" si="22"/>
        <v>45871</v>
      </c>
      <c r="Z466" t="str">
        <f t="array" ref="Z466">_xlfn.XLOOKUP(INT(X466),INT($AE$2:$AE$1000),$AG$2:$AG$1000,"")</f>
        <v/>
      </c>
      <c r="AE466" s="19" t="e">
        <f t="shared" si="23"/>
        <v>#VALUE!</v>
      </c>
      <c r="AF466" s="19"/>
    </row>
    <row r="467" spans="24:32" x14ac:dyDescent="0.3">
      <c r="X467" s="19">
        <f t="shared" si="21"/>
        <v>45871</v>
      </c>
      <c r="Y467" s="19">
        <f t="shared" si="22"/>
        <v>45871</v>
      </c>
      <c r="Z467" t="str">
        <f t="array" ref="Z467">_xlfn.XLOOKUP(INT(X467),INT($AE$2:$AE$1000),$AG$2:$AG$1000,"")</f>
        <v/>
      </c>
      <c r="AE467" s="19" t="e">
        <f t="shared" si="23"/>
        <v>#VALUE!</v>
      </c>
      <c r="AF467" s="19"/>
    </row>
    <row r="468" spans="24:32" x14ac:dyDescent="0.3">
      <c r="X468" s="19">
        <f t="shared" si="21"/>
        <v>45871</v>
      </c>
      <c r="Y468" s="19">
        <f t="shared" si="22"/>
        <v>45871</v>
      </c>
      <c r="Z468" t="str">
        <f t="array" ref="Z468">_xlfn.XLOOKUP(INT(X468),INT($AE$2:$AE$1000),$AG$2:$AG$1000,"")</f>
        <v/>
      </c>
      <c r="AE468" s="19" t="e">
        <f t="shared" si="23"/>
        <v>#VALUE!</v>
      </c>
      <c r="AF468" s="19"/>
    </row>
    <row r="469" spans="24:32" x14ac:dyDescent="0.3">
      <c r="X469" s="19">
        <f t="shared" si="21"/>
        <v>45871</v>
      </c>
      <c r="Y469" s="19">
        <f t="shared" si="22"/>
        <v>45871</v>
      </c>
      <c r="Z469" t="str">
        <f t="array" ref="Z469">_xlfn.XLOOKUP(INT(X469),INT($AE$2:$AE$1000),$AG$2:$AG$1000,"")</f>
        <v/>
      </c>
      <c r="AE469" s="19" t="e">
        <f t="shared" si="23"/>
        <v>#VALUE!</v>
      </c>
      <c r="AF469" s="19"/>
    </row>
    <row r="470" spans="24:32" x14ac:dyDescent="0.3">
      <c r="X470" s="19">
        <f t="shared" si="21"/>
        <v>45871</v>
      </c>
      <c r="Y470" s="19">
        <f t="shared" si="22"/>
        <v>45871</v>
      </c>
      <c r="Z470" t="str">
        <f t="array" ref="Z470">_xlfn.XLOOKUP(INT(X470),INT($AE$2:$AE$1000),$AG$2:$AG$1000,"")</f>
        <v/>
      </c>
      <c r="AE470" s="19" t="e">
        <f t="shared" si="23"/>
        <v>#VALUE!</v>
      </c>
      <c r="AF470" s="19"/>
    </row>
    <row r="471" spans="24:32" x14ac:dyDescent="0.3">
      <c r="X471" s="19">
        <f t="shared" si="21"/>
        <v>45871</v>
      </c>
      <c r="Y471" s="19">
        <f t="shared" si="22"/>
        <v>45871</v>
      </c>
      <c r="Z471" t="str">
        <f t="array" ref="Z471">_xlfn.XLOOKUP(INT(X471),INT($AE$2:$AE$1000),$AG$2:$AG$1000,"")</f>
        <v/>
      </c>
      <c r="AE471" s="19" t="e">
        <f t="shared" si="23"/>
        <v>#VALUE!</v>
      </c>
      <c r="AF471" s="19"/>
    </row>
    <row r="472" spans="24:32" x14ac:dyDescent="0.3">
      <c r="X472" s="19">
        <f t="shared" si="21"/>
        <v>45871</v>
      </c>
      <c r="Y472" s="19">
        <f t="shared" si="22"/>
        <v>45871</v>
      </c>
      <c r="Z472" t="str">
        <f t="array" ref="Z472">_xlfn.XLOOKUP(INT(X472),INT($AE$2:$AE$1000),$AG$2:$AG$1000,"")</f>
        <v/>
      </c>
      <c r="AE472" s="19" t="e">
        <f t="shared" si="23"/>
        <v>#VALUE!</v>
      </c>
      <c r="AF472" s="19"/>
    </row>
    <row r="473" spans="24:32" x14ac:dyDescent="0.3">
      <c r="X473" s="19">
        <f t="shared" si="21"/>
        <v>45871</v>
      </c>
      <c r="Y473" s="19">
        <f t="shared" si="22"/>
        <v>45871</v>
      </c>
      <c r="Z473" t="str">
        <f t="array" ref="Z473">_xlfn.XLOOKUP(INT(X473),INT($AE$2:$AE$1000),$AG$2:$AG$1000,"")</f>
        <v/>
      </c>
      <c r="AE473" s="19" t="e">
        <f t="shared" si="23"/>
        <v>#VALUE!</v>
      </c>
      <c r="AF473" s="19"/>
    </row>
    <row r="474" spans="24:32" x14ac:dyDescent="0.3">
      <c r="X474" s="19">
        <f t="shared" si="21"/>
        <v>45871</v>
      </c>
      <c r="Y474" s="19">
        <f t="shared" si="22"/>
        <v>45871</v>
      </c>
      <c r="Z474" t="str">
        <f t="array" ref="Z474">_xlfn.XLOOKUP(INT(X474),INT($AE$2:$AE$1000),$AG$2:$AG$1000,"")</f>
        <v/>
      </c>
      <c r="AE474" s="19" t="e">
        <f t="shared" si="23"/>
        <v>#VALUE!</v>
      </c>
    </row>
    <row r="475" spans="24:32" x14ac:dyDescent="0.3">
      <c r="X475" s="19">
        <f t="shared" si="21"/>
        <v>45871</v>
      </c>
      <c r="Y475" s="19">
        <f t="shared" si="22"/>
        <v>45871</v>
      </c>
      <c r="Z475" t="str">
        <f t="array" ref="Z475">_xlfn.XLOOKUP(INT(X475),INT($AE$2:$AE$1000),$AG$2:$AG$1000,"")</f>
        <v/>
      </c>
      <c r="AE475" s="19" t="e">
        <f t="shared" si="23"/>
        <v>#VALUE!</v>
      </c>
    </row>
    <row r="476" spans="24:32" x14ac:dyDescent="0.3">
      <c r="X476" s="19">
        <f t="shared" si="21"/>
        <v>45871</v>
      </c>
      <c r="Y476" s="19">
        <f t="shared" si="22"/>
        <v>45871</v>
      </c>
      <c r="Z476" t="str">
        <f t="array" ref="Z476">_xlfn.XLOOKUP(INT(X476),INT($AE$2:$AE$1000),$AG$2:$AG$1000,"")</f>
        <v/>
      </c>
      <c r="AE476" s="19" t="e">
        <f t="shared" si="23"/>
        <v>#VALUE!</v>
      </c>
    </row>
    <row r="477" spans="24:32" x14ac:dyDescent="0.3">
      <c r="X477" s="19">
        <f t="shared" si="21"/>
        <v>45871</v>
      </c>
      <c r="Y477" s="19">
        <f t="shared" si="22"/>
        <v>45871</v>
      </c>
      <c r="Z477" t="str">
        <f t="array" ref="Z477">_xlfn.XLOOKUP(INT(X477),INT($AE$2:$AE$1000),$AG$2:$AG$1000,"")</f>
        <v/>
      </c>
      <c r="AE477" s="19" t="e">
        <f t="shared" si="23"/>
        <v>#VALUE!</v>
      </c>
    </row>
    <row r="478" spans="24:32" x14ac:dyDescent="0.3">
      <c r="X478" s="19">
        <f t="shared" si="21"/>
        <v>45871</v>
      </c>
      <c r="Y478" s="19">
        <f t="shared" si="22"/>
        <v>45871</v>
      </c>
      <c r="Z478" t="str">
        <f t="array" ref="Z478">_xlfn.XLOOKUP(INT(X478),INT($AE$2:$AE$1000),$AG$2:$AG$1000,"")</f>
        <v/>
      </c>
      <c r="AE478" s="19" t="e">
        <f t="shared" si="23"/>
        <v>#VALUE!</v>
      </c>
    </row>
    <row r="479" spans="24:32" x14ac:dyDescent="0.3">
      <c r="X479" s="19">
        <f t="shared" si="21"/>
        <v>45871</v>
      </c>
      <c r="Y479" s="19">
        <f t="shared" si="22"/>
        <v>45871</v>
      </c>
      <c r="Z479" t="str">
        <f t="array" ref="Z479">_xlfn.XLOOKUP(INT(X479),INT($AE$2:$AE$1000),$AG$2:$AG$1000,"")</f>
        <v/>
      </c>
      <c r="AE479" s="19" t="e">
        <f t="shared" si="23"/>
        <v>#VALUE!</v>
      </c>
    </row>
    <row r="480" spans="24:32" x14ac:dyDescent="0.3">
      <c r="X480" s="19">
        <f t="shared" si="21"/>
        <v>45871</v>
      </c>
      <c r="Y480" s="19">
        <f t="shared" si="22"/>
        <v>45871</v>
      </c>
      <c r="Z480" t="str">
        <f t="array" ref="Z480">_xlfn.XLOOKUP(INT(X480),INT($AE$2:$AE$1000),$AG$2:$AG$1000,"")</f>
        <v/>
      </c>
      <c r="AE480" s="19" t="e">
        <f t="shared" si="23"/>
        <v>#VALUE!</v>
      </c>
    </row>
    <row r="481" spans="24:32" x14ac:dyDescent="0.3">
      <c r="X481" s="19">
        <f t="shared" si="21"/>
        <v>45871</v>
      </c>
      <c r="Y481" s="19">
        <f t="shared" si="22"/>
        <v>45871</v>
      </c>
      <c r="Z481" t="str">
        <f t="array" ref="Z481">_xlfn.XLOOKUP(INT(X481),INT($AE$2:$AE$1000),$AG$2:$AG$1000,"")</f>
        <v/>
      </c>
      <c r="AE481" s="19" t="e">
        <f t="shared" si="23"/>
        <v>#VALUE!</v>
      </c>
    </row>
    <row r="482" spans="24:32" x14ac:dyDescent="0.3">
      <c r="X482" s="19">
        <f t="shared" si="21"/>
        <v>45871</v>
      </c>
      <c r="Y482" s="19">
        <f t="shared" si="22"/>
        <v>45871</v>
      </c>
      <c r="Z482" t="str">
        <f t="array" ref="Z482">_xlfn.XLOOKUP(INT(X482),INT($AE$2:$AE$1000),$AG$2:$AG$1000,"")</f>
        <v/>
      </c>
      <c r="AE482" s="19" t="e">
        <f t="shared" si="23"/>
        <v>#VALUE!</v>
      </c>
    </row>
    <row r="483" spans="24:32" x14ac:dyDescent="0.3">
      <c r="X483" s="19">
        <f t="shared" si="21"/>
        <v>45871</v>
      </c>
      <c r="Y483" s="19">
        <f t="shared" si="22"/>
        <v>45871</v>
      </c>
      <c r="Z483" t="str">
        <f t="array" ref="Z483">_xlfn.XLOOKUP(INT(X483),INT($AE$2:$AE$1000),$AG$2:$AG$1000,"")</f>
        <v/>
      </c>
      <c r="AE483" s="19" t="e">
        <f t="shared" si="23"/>
        <v>#VALUE!</v>
      </c>
    </row>
    <row r="484" spans="24:32" x14ac:dyDescent="0.3">
      <c r="X484" s="19">
        <f t="shared" si="21"/>
        <v>45871</v>
      </c>
      <c r="Y484" s="19">
        <f t="shared" si="22"/>
        <v>45871</v>
      </c>
      <c r="Z484" t="str">
        <f t="array" ref="Z484">_xlfn.XLOOKUP(INT(X484),INT($AE$2:$AE$1000),$AG$2:$AG$1000,"")</f>
        <v/>
      </c>
      <c r="AE484" s="19" t="e">
        <f t="shared" si="23"/>
        <v>#VALUE!</v>
      </c>
    </row>
    <row r="485" spans="24:32" x14ac:dyDescent="0.3">
      <c r="X485" s="19">
        <f t="shared" si="21"/>
        <v>45871</v>
      </c>
      <c r="Y485" s="19">
        <f t="shared" si="22"/>
        <v>45871</v>
      </c>
      <c r="Z485" t="str">
        <f t="array" ref="Z485">_xlfn.XLOOKUP(INT(X485),INT($AE$2:$AE$1000),$AG$2:$AG$1000,"")</f>
        <v/>
      </c>
      <c r="AE485" s="19" t="e">
        <f t="shared" si="23"/>
        <v>#VALUE!</v>
      </c>
    </row>
    <row r="486" spans="24:32" x14ac:dyDescent="0.3">
      <c r="X486" s="19">
        <f t="shared" si="21"/>
        <v>45871</v>
      </c>
      <c r="Y486" s="19">
        <f t="shared" si="22"/>
        <v>45871</v>
      </c>
      <c r="Z486" t="str">
        <f t="array" ref="Z486">_xlfn.XLOOKUP(INT(X486),INT($AE$2:$AE$1000),$AG$2:$AG$1000,"")</f>
        <v/>
      </c>
      <c r="AE486" s="19" t="e">
        <f t="shared" si="23"/>
        <v>#VALUE!</v>
      </c>
      <c r="AF486" s="19"/>
    </row>
    <row r="487" spans="24:32" x14ac:dyDescent="0.3">
      <c r="X487" s="19">
        <f t="shared" si="21"/>
        <v>45871</v>
      </c>
      <c r="Y487" s="19">
        <f t="shared" si="22"/>
        <v>45871</v>
      </c>
      <c r="Z487" t="str">
        <f t="array" ref="Z487">_xlfn.XLOOKUP(INT(X487),INT($AE$2:$AE$1000),$AG$2:$AG$1000,"")</f>
        <v/>
      </c>
      <c r="AE487" s="19" t="e">
        <f t="shared" si="23"/>
        <v>#VALUE!</v>
      </c>
      <c r="AF487" s="19"/>
    </row>
    <row r="488" spans="24:32" x14ac:dyDescent="0.3">
      <c r="X488" s="19">
        <f t="shared" si="21"/>
        <v>45871</v>
      </c>
      <c r="Y488" s="19">
        <f t="shared" si="22"/>
        <v>45871</v>
      </c>
      <c r="Z488" t="str">
        <f t="array" ref="Z488">_xlfn.XLOOKUP(INT(X488),INT($AE$2:$AE$1000),$AG$2:$AG$1000,"")</f>
        <v/>
      </c>
      <c r="AE488" s="19" t="e">
        <f t="shared" si="23"/>
        <v>#VALUE!</v>
      </c>
      <c r="AF488" s="19"/>
    </row>
    <row r="489" spans="24:32" x14ac:dyDescent="0.3">
      <c r="X489" s="19">
        <f t="shared" si="21"/>
        <v>45871</v>
      </c>
      <c r="Y489" s="19">
        <f t="shared" si="22"/>
        <v>45871</v>
      </c>
      <c r="Z489" t="str">
        <f t="array" ref="Z489">_xlfn.XLOOKUP(INT(X489),INT($AE$2:$AE$1000),$AG$2:$AG$1000,"")</f>
        <v/>
      </c>
      <c r="AE489" s="19" t="e">
        <f t="shared" si="23"/>
        <v>#VALUE!</v>
      </c>
      <c r="AF489" s="19"/>
    </row>
    <row r="490" spans="24:32" x14ac:dyDescent="0.3">
      <c r="X490" s="19">
        <f t="shared" si="21"/>
        <v>45871</v>
      </c>
      <c r="Y490" s="19">
        <f t="shared" si="22"/>
        <v>45871</v>
      </c>
      <c r="Z490" t="str">
        <f t="array" ref="Z490">_xlfn.XLOOKUP(INT(X490),INT($AE$2:$AE$1000),$AG$2:$AG$1000,"")</f>
        <v/>
      </c>
      <c r="AE490" s="19" t="e">
        <f t="shared" si="23"/>
        <v>#VALUE!</v>
      </c>
      <c r="AF490" s="19"/>
    </row>
    <row r="491" spans="24:32" x14ac:dyDescent="0.3">
      <c r="X491" s="19">
        <f t="shared" si="21"/>
        <v>45871</v>
      </c>
      <c r="Y491" s="19">
        <f t="shared" si="22"/>
        <v>45871</v>
      </c>
      <c r="Z491" t="str">
        <f t="array" ref="Z491">_xlfn.XLOOKUP(INT(X491),INT($AE$2:$AE$1000),$AG$2:$AG$1000,"")</f>
        <v/>
      </c>
      <c r="AE491" s="19" t="e">
        <f t="shared" si="23"/>
        <v>#VALUE!</v>
      </c>
      <c r="AF491" s="19"/>
    </row>
    <row r="492" spans="24:32" x14ac:dyDescent="0.3">
      <c r="X492" s="19">
        <f t="shared" si="21"/>
        <v>45871</v>
      </c>
      <c r="Y492" s="19">
        <f t="shared" si="22"/>
        <v>45871</v>
      </c>
      <c r="Z492" t="str">
        <f t="array" ref="Z492">_xlfn.XLOOKUP(INT(X492),INT($AE$2:$AE$1000),$AG$2:$AG$1000,"")</f>
        <v/>
      </c>
      <c r="AE492" s="19" t="e">
        <f t="shared" si="23"/>
        <v>#VALUE!</v>
      </c>
      <c r="AF492" s="19"/>
    </row>
    <row r="493" spans="24:32" x14ac:dyDescent="0.3">
      <c r="X493" s="19">
        <f t="shared" si="21"/>
        <v>45871</v>
      </c>
      <c r="Y493" s="19">
        <f t="shared" si="22"/>
        <v>45871</v>
      </c>
      <c r="Z493" t="str">
        <f t="array" ref="Z493">_xlfn.XLOOKUP(INT(X493),INT($AE$2:$AE$1000),$AG$2:$AG$1000,"")</f>
        <v/>
      </c>
      <c r="AE493" s="19" t="e">
        <f t="shared" si="23"/>
        <v>#VALUE!</v>
      </c>
      <c r="AF493" s="19"/>
    </row>
    <row r="494" spans="24:32" x14ac:dyDescent="0.3">
      <c r="X494" s="19">
        <f t="shared" si="21"/>
        <v>45871</v>
      </c>
      <c r="Y494" s="19">
        <f t="shared" si="22"/>
        <v>45871</v>
      </c>
      <c r="Z494" t="str">
        <f t="array" ref="Z494">_xlfn.XLOOKUP(INT(X494),INT($AE$2:$AE$1000),$AG$2:$AG$1000,"")</f>
        <v/>
      </c>
      <c r="AE494" s="19" t="e">
        <f t="shared" si="23"/>
        <v>#VALUE!</v>
      </c>
      <c r="AF494" s="19"/>
    </row>
    <row r="495" spans="24:32" x14ac:dyDescent="0.3">
      <c r="X495" s="19">
        <f t="shared" si="21"/>
        <v>45871</v>
      </c>
      <c r="Y495" s="19">
        <f t="shared" si="22"/>
        <v>45871</v>
      </c>
      <c r="Z495" t="str">
        <f t="array" ref="Z495">_xlfn.XLOOKUP(INT(X495),INT($AE$2:$AE$1000),$AG$2:$AG$1000,"")</f>
        <v/>
      </c>
      <c r="AE495" s="19" t="e">
        <f t="shared" si="23"/>
        <v>#VALUE!</v>
      </c>
    </row>
    <row r="496" spans="24:32" x14ac:dyDescent="0.3">
      <c r="X496" s="19">
        <f t="shared" si="21"/>
        <v>45871</v>
      </c>
      <c r="Y496" s="19">
        <f t="shared" si="22"/>
        <v>45871</v>
      </c>
      <c r="Z496" t="str">
        <f t="array" ref="Z496">_xlfn.XLOOKUP(INT(X496),INT($AE$2:$AE$1000),$AG$2:$AG$1000,"")</f>
        <v/>
      </c>
      <c r="AE496" s="19" t="e">
        <f t="shared" si="23"/>
        <v>#VALUE!</v>
      </c>
    </row>
    <row r="497" spans="24:32" x14ac:dyDescent="0.3">
      <c r="X497" s="19">
        <f t="shared" si="21"/>
        <v>45871</v>
      </c>
      <c r="Y497" s="19">
        <f t="shared" si="22"/>
        <v>45871</v>
      </c>
      <c r="Z497" t="str">
        <f t="array" ref="Z497">_xlfn.XLOOKUP(INT(X497),INT($AE$2:$AE$1000),$AG$2:$AG$1000,"")</f>
        <v/>
      </c>
      <c r="AE497" s="19" t="e">
        <f t="shared" si="23"/>
        <v>#VALUE!</v>
      </c>
    </row>
    <row r="498" spans="24:32" x14ac:dyDescent="0.3">
      <c r="X498" s="19">
        <f t="shared" si="21"/>
        <v>45871</v>
      </c>
      <c r="Y498" s="19">
        <f t="shared" si="22"/>
        <v>45871</v>
      </c>
      <c r="Z498" t="str">
        <f t="array" ref="Z498">_xlfn.XLOOKUP(INT(X498),INT($AE$2:$AE$1000),$AG$2:$AG$1000,"")</f>
        <v/>
      </c>
      <c r="AE498" s="19" t="e">
        <f t="shared" si="23"/>
        <v>#VALUE!</v>
      </c>
    </row>
    <row r="499" spans="24:32" x14ac:dyDescent="0.3">
      <c r="X499" s="19">
        <f t="shared" si="21"/>
        <v>45871</v>
      </c>
      <c r="Y499" s="19">
        <f t="shared" si="22"/>
        <v>45871</v>
      </c>
      <c r="Z499" t="str">
        <f t="array" ref="Z499">_xlfn.XLOOKUP(INT(X499),INT($AE$2:$AE$1000),$AG$2:$AG$1000,"")</f>
        <v/>
      </c>
      <c r="AE499" s="19" t="e">
        <f t="shared" si="23"/>
        <v>#VALUE!</v>
      </c>
    </row>
    <row r="500" spans="24:32" x14ac:dyDescent="0.3">
      <c r="X500" s="19">
        <f t="shared" si="21"/>
        <v>45871</v>
      </c>
      <c r="Y500" s="19">
        <f t="shared" si="22"/>
        <v>45871</v>
      </c>
      <c r="Z500" t="str">
        <f t="array" ref="Z500">_xlfn.XLOOKUP(INT(X500),INT($AE$2:$AE$1000),$AG$2:$AG$1000,"")</f>
        <v/>
      </c>
      <c r="AE500" s="19" t="e">
        <f t="shared" si="23"/>
        <v>#VALUE!</v>
      </c>
    </row>
    <row r="501" spans="24:32" x14ac:dyDescent="0.3">
      <c r="X501" s="19">
        <f t="shared" si="21"/>
        <v>45871</v>
      </c>
      <c r="Y501" s="19">
        <f t="shared" si="22"/>
        <v>45871</v>
      </c>
      <c r="Z501" t="str">
        <f t="array" ref="Z501">_xlfn.XLOOKUP(INT(X501),INT($AE$2:$AE$1000),$AG$2:$AG$1000,"")</f>
        <v/>
      </c>
      <c r="AE501" s="19" t="e">
        <f t="shared" si="23"/>
        <v>#VALUE!</v>
      </c>
    </row>
    <row r="502" spans="24:32" x14ac:dyDescent="0.3">
      <c r="X502" s="19">
        <f t="shared" si="21"/>
        <v>45871</v>
      </c>
      <c r="Y502" s="19">
        <f t="shared" si="22"/>
        <v>45871</v>
      </c>
      <c r="Z502" t="str">
        <f t="array" ref="Z502">_xlfn.XLOOKUP(INT(X502),INT($AE$2:$AE$1000),$AG$2:$AG$1000,"")</f>
        <v/>
      </c>
      <c r="AE502" s="19" t="e">
        <f t="shared" si="23"/>
        <v>#VALUE!</v>
      </c>
    </row>
    <row r="503" spans="24:32" x14ac:dyDescent="0.3">
      <c r="X503" s="19">
        <f t="shared" si="21"/>
        <v>45871</v>
      </c>
      <c r="Y503" s="19">
        <f t="shared" si="22"/>
        <v>45871</v>
      </c>
      <c r="Z503" t="str">
        <f t="array" ref="Z503">_xlfn.XLOOKUP(INT(X503),INT($AE$2:$AE$1000),$AG$2:$AG$1000,"")</f>
        <v/>
      </c>
      <c r="AE503" s="19" t="e">
        <f t="shared" si="23"/>
        <v>#VALUE!</v>
      </c>
    </row>
    <row r="504" spans="24:32" x14ac:dyDescent="0.3">
      <c r="X504" s="19">
        <f t="shared" si="21"/>
        <v>45871</v>
      </c>
      <c r="Y504" s="19">
        <f t="shared" si="22"/>
        <v>45871</v>
      </c>
      <c r="Z504" t="str">
        <f t="array" ref="Z504">_xlfn.XLOOKUP(INT(X504),INT($AE$2:$AE$1000),$AG$2:$AG$1000,"")</f>
        <v/>
      </c>
      <c r="AE504" s="19" t="e">
        <f t="shared" si="23"/>
        <v>#VALUE!</v>
      </c>
    </row>
    <row r="505" spans="24:32" x14ac:dyDescent="0.3">
      <c r="X505" s="19">
        <f t="shared" si="21"/>
        <v>45871</v>
      </c>
      <c r="Y505" s="19">
        <f t="shared" si="22"/>
        <v>45871</v>
      </c>
      <c r="Z505" t="str">
        <f t="array" ref="Z505">_xlfn.XLOOKUP(INT(X505),INT($AE$2:$AE$1000),$AG$2:$AG$1000,"")</f>
        <v/>
      </c>
      <c r="AE505" s="19" t="e">
        <f t="shared" si="23"/>
        <v>#VALUE!</v>
      </c>
    </row>
    <row r="506" spans="24:32" x14ac:dyDescent="0.3">
      <c r="X506" s="19">
        <f t="shared" si="21"/>
        <v>45871</v>
      </c>
      <c r="Y506" s="19">
        <f t="shared" si="22"/>
        <v>45871</v>
      </c>
      <c r="Z506" t="str">
        <f t="array" ref="Z506">_xlfn.XLOOKUP(INT(X506),INT($AE$2:$AE$1000),$AG$2:$AG$1000,"")</f>
        <v/>
      </c>
      <c r="AE506" s="19" t="e">
        <f t="shared" si="23"/>
        <v>#VALUE!</v>
      </c>
    </row>
    <row r="507" spans="24:32" x14ac:dyDescent="0.3">
      <c r="X507" s="19">
        <f t="shared" si="21"/>
        <v>45871</v>
      </c>
      <c r="Y507" s="19">
        <f t="shared" si="22"/>
        <v>45871</v>
      </c>
      <c r="Z507" t="str">
        <f t="array" ref="Z507">_xlfn.XLOOKUP(INT(X507),INT($AE$2:$AE$1000),$AG$2:$AG$1000,"")</f>
        <v/>
      </c>
      <c r="AE507" s="19" t="e">
        <f t="shared" si="23"/>
        <v>#VALUE!</v>
      </c>
      <c r="AF507" s="19"/>
    </row>
    <row r="508" spans="24:32" x14ac:dyDescent="0.3">
      <c r="X508" s="19">
        <f t="shared" si="21"/>
        <v>45871</v>
      </c>
      <c r="Y508" s="19">
        <f t="shared" si="22"/>
        <v>45871</v>
      </c>
      <c r="Z508" t="str">
        <f t="array" ref="Z508">_xlfn.XLOOKUP(INT(X508),INT($AE$2:$AE$1000),$AG$2:$AG$1000,"")</f>
        <v/>
      </c>
      <c r="AE508" s="19" t="e">
        <f t="shared" si="23"/>
        <v>#VALUE!</v>
      </c>
      <c r="AF508" s="19"/>
    </row>
    <row r="509" spans="24:32" x14ac:dyDescent="0.3">
      <c r="X509" s="19">
        <f t="shared" si="21"/>
        <v>45871</v>
      </c>
      <c r="Y509" s="19">
        <f t="shared" si="22"/>
        <v>45871</v>
      </c>
      <c r="Z509" t="str">
        <f t="array" ref="Z509">_xlfn.XLOOKUP(INT(X509),INT($AE$2:$AE$1000),$AG$2:$AG$1000,"")</f>
        <v/>
      </c>
      <c r="AE509" s="19" t="e">
        <f t="shared" si="23"/>
        <v>#VALUE!</v>
      </c>
      <c r="AF509" s="19"/>
    </row>
    <row r="510" spans="24:32" x14ac:dyDescent="0.3">
      <c r="X510" s="19">
        <f t="shared" si="21"/>
        <v>45871</v>
      </c>
      <c r="Y510" s="19">
        <f t="shared" si="22"/>
        <v>45871</v>
      </c>
      <c r="Z510" t="str">
        <f t="array" ref="Z510">_xlfn.XLOOKUP(INT(X510),INT($AE$2:$AE$1000),$AG$2:$AG$1000,"")</f>
        <v/>
      </c>
      <c r="AE510" s="19" t="e">
        <f t="shared" si="23"/>
        <v>#VALUE!</v>
      </c>
      <c r="AF510" s="19"/>
    </row>
    <row r="511" spans="24:32" x14ac:dyDescent="0.3">
      <c r="X511" s="19">
        <f t="shared" si="21"/>
        <v>45871</v>
      </c>
      <c r="Y511" s="19">
        <f t="shared" si="22"/>
        <v>45871</v>
      </c>
      <c r="Z511" t="str">
        <f t="array" ref="Z511">_xlfn.XLOOKUP(INT(X511),INT($AE$2:$AE$1000),$AG$2:$AG$1000,"")</f>
        <v/>
      </c>
      <c r="AE511" s="19" t="e">
        <f t="shared" si="23"/>
        <v>#VALUE!</v>
      </c>
      <c r="AF511" s="19"/>
    </row>
    <row r="512" spans="24:32" x14ac:dyDescent="0.3">
      <c r="X512" s="19">
        <f t="shared" si="21"/>
        <v>45871</v>
      </c>
      <c r="Y512" s="19">
        <f t="shared" si="22"/>
        <v>45871</v>
      </c>
      <c r="Z512" t="str">
        <f t="array" ref="Z512">_xlfn.XLOOKUP(INT(X512),INT($AE$2:$AE$1000),$AG$2:$AG$1000,"")</f>
        <v/>
      </c>
      <c r="AE512" s="19" t="e">
        <f t="shared" si="23"/>
        <v>#VALUE!</v>
      </c>
      <c r="AF512" s="19"/>
    </row>
    <row r="513" spans="24:32" x14ac:dyDescent="0.3">
      <c r="X513" s="19">
        <f t="shared" si="21"/>
        <v>45871</v>
      </c>
      <c r="Y513" s="19">
        <f t="shared" si="22"/>
        <v>45871</v>
      </c>
      <c r="Z513" t="str">
        <f t="array" ref="Z513">_xlfn.XLOOKUP(INT(X513),INT($AE$2:$AE$1000),$AG$2:$AG$1000,"")</f>
        <v/>
      </c>
      <c r="AE513" s="19" t="e">
        <f t="shared" si="23"/>
        <v>#VALUE!</v>
      </c>
      <c r="AF513" s="19"/>
    </row>
    <row r="514" spans="24:32" x14ac:dyDescent="0.3">
      <c r="X514" s="19">
        <f t="shared" ref="X514:X576" si="24">WORKDAY(DATE(2025,8,2),INT(D514/390))</f>
        <v>45871</v>
      </c>
      <c r="Y514" s="19">
        <f t="shared" ref="Y514:Y577" si="25">WORKDAY(DATE(2025,8,2),INT(P514/390))</f>
        <v>45871</v>
      </c>
      <c r="Z514" t="str">
        <f t="array" ref="Z514">_xlfn.XLOOKUP(INT(X514),INT($AE$2:$AE$1000),$AG$2:$AG$1000,"")</f>
        <v/>
      </c>
      <c r="AE514" s="19" t="e">
        <f t="shared" ref="AE514:AE577" si="26">IF(ISNUMBER(AF514),DATE(YEAR(AF514),DAY(AF514),MONTH(AF514)),DATE(RIGHT(AF514,4),LEFT(AF514,2),MID(AF514,4,2)))</f>
        <v>#VALUE!</v>
      </c>
    </row>
    <row r="515" spans="24:32" x14ac:dyDescent="0.3">
      <c r="X515" s="19">
        <f t="shared" si="24"/>
        <v>45871</v>
      </c>
      <c r="Y515" s="19">
        <f t="shared" si="25"/>
        <v>45871</v>
      </c>
      <c r="Z515" t="str">
        <f t="array" ref="Z515">_xlfn.XLOOKUP(INT(X515),INT($AE$2:$AE$1000),$AG$2:$AG$1000,"")</f>
        <v/>
      </c>
      <c r="AE515" s="19" t="e">
        <f t="shared" si="26"/>
        <v>#VALUE!</v>
      </c>
    </row>
    <row r="516" spans="24:32" x14ac:dyDescent="0.3">
      <c r="X516" s="19">
        <f t="shared" si="24"/>
        <v>45871</v>
      </c>
      <c r="Y516" s="19">
        <f t="shared" si="25"/>
        <v>45871</v>
      </c>
      <c r="Z516" t="str">
        <f t="array" ref="Z516">_xlfn.XLOOKUP(INT(X516),INT($AE$2:$AE$1000),$AG$2:$AG$1000,"")</f>
        <v/>
      </c>
      <c r="AE516" s="19" t="e">
        <f t="shared" si="26"/>
        <v>#VALUE!</v>
      </c>
    </row>
    <row r="517" spans="24:32" x14ac:dyDescent="0.3">
      <c r="X517" s="19">
        <f t="shared" si="24"/>
        <v>45871</v>
      </c>
      <c r="Y517" s="19">
        <f t="shared" si="25"/>
        <v>45871</v>
      </c>
      <c r="Z517" t="str">
        <f t="array" ref="Z517">_xlfn.XLOOKUP(INT(X517),INT($AE$2:$AE$1000),$AG$2:$AG$1000,"")</f>
        <v/>
      </c>
      <c r="AE517" s="19" t="e">
        <f t="shared" si="26"/>
        <v>#VALUE!</v>
      </c>
    </row>
    <row r="518" spans="24:32" x14ac:dyDescent="0.3">
      <c r="X518" s="19">
        <f t="shared" si="24"/>
        <v>45871</v>
      </c>
      <c r="Y518" s="19">
        <f t="shared" si="25"/>
        <v>45871</v>
      </c>
      <c r="Z518" t="str">
        <f t="array" ref="Z518">_xlfn.XLOOKUP(INT(X518),INT($AE$2:$AE$1000),$AG$2:$AG$1000,"")</f>
        <v/>
      </c>
      <c r="AE518" s="19" t="e">
        <f t="shared" si="26"/>
        <v>#VALUE!</v>
      </c>
    </row>
    <row r="519" spans="24:32" x14ac:dyDescent="0.3">
      <c r="X519" s="19">
        <f t="shared" si="24"/>
        <v>45871</v>
      </c>
      <c r="Y519" s="19">
        <f t="shared" si="25"/>
        <v>45871</v>
      </c>
      <c r="Z519" t="str">
        <f t="array" ref="Z519">_xlfn.XLOOKUP(INT(X519),INT($AE$2:$AE$1000),$AG$2:$AG$1000,"")</f>
        <v/>
      </c>
      <c r="AE519" s="19" t="e">
        <f t="shared" si="26"/>
        <v>#VALUE!</v>
      </c>
    </row>
    <row r="520" spans="24:32" x14ac:dyDescent="0.3">
      <c r="X520" s="19">
        <f t="shared" si="24"/>
        <v>45871</v>
      </c>
      <c r="Y520" s="19">
        <f t="shared" si="25"/>
        <v>45871</v>
      </c>
      <c r="Z520" t="str">
        <f t="array" ref="Z520">_xlfn.XLOOKUP(INT(X520),INT($AE$2:$AE$1000),$AG$2:$AG$1000,"")</f>
        <v/>
      </c>
      <c r="AE520" s="19" t="e">
        <f t="shared" si="26"/>
        <v>#VALUE!</v>
      </c>
    </row>
    <row r="521" spans="24:32" x14ac:dyDescent="0.3">
      <c r="X521" s="19">
        <f t="shared" si="24"/>
        <v>45871</v>
      </c>
      <c r="Y521" s="19">
        <f t="shared" si="25"/>
        <v>45871</v>
      </c>
      <c r="Z521" t="str">
        <f t="array" ref="Z521">_xlfn.XLOOKUP(INT(X521),INT($AE$2:$AE$1000),$AG$2:$AG$1000,"")</f>
        <v/>
      </c>
      <c r="AE521" s="19" t="e">
        <f t="shared" si="26"/>
        <v>#VALUE!</v>
      </c>
    </row>
    <row r="522" spans="24:32" x14ac:dyDescent="0.3">
      <c r="X522" s="19">
        <f t="shared" si="24"/>
        <v>45871</v>
      </c>
      <c r="Y522" s="19">
        <f t="shared" si="25"/>
        <v>45871</v>
      </c>
      <c r="Z522" t="str">
        <f t="array" ref="Z522">_xlfn.XLOOKUP(INT(X522),INT($AE$2:$AE$1000),$AG$2:$AG$1000,"")</f>
        <v/>
      </c>
      <c r="AE522" s="19" t="e">
        <f t="shared" si="26"/>
        <v>#VALUE!</v>
      </c>
    </row>
    <row r="523" spans="24:32" x14ac:dyDescent="0.3">
      <c r="X523" s="19">
        <f t="shared" si="24"/>
        <v>45871</v>
      </c>
      <c r="Y523" s="19">
        <f t="shared" si="25"/>
        <v>45871</v>
      </c>
      <c r="Z523" t="str">
        <f t="array" ref="Z523">_xlfn.XLOOKUP(INT(X523),INT($AE$2:$AE$1000),$AG$2:$AG$1000,"")</f>
        <v/>
      </c>
      <c r="AE523" s="19" t="e">
        <f t="shared" si="26"/>
        <v>#VALUE!</v>
      </c>
    </row>
    <row r="524" spans="24:32" x14ac:dyDescent="0.3">
      <c r="X524" s="19">
        <f t="shared" si="24"/>
        <v>45871</v>
      </c>
      <c r="Y524" s="19">
        <f t="shared" si="25"/>
        <v>45871</v>
      </c>
      <c r="Z524" t="str">
        <f t="array" ref="Z524">_xlfn.XLOOKUP(INT(X524),INT($AE$2:$AE$1000),$AG$2:$AG$1000,"")</f>
        <v/>
      </c>
      <c r="AE524" s="19" t="e">
        <f t="shared" si="26"/>
        <v>#VALUE!</v>
      </c>
    </row>
    <row r="525" spans="24:32" x14ac:dyDescent="0.3">
      <c r="X525" s="19">
        <f t="shared" si="24"/>
        <v>45871</v>
      </c>
      <c r="Y525" s="19">
        <f t="shared" si="25"/>
        <v>45871</v>
      </c>
      <c r="Z525" t="str">
        <f t="array" ref="Z525">_xlfn.XLOOKUP(INT(X525),INT($AE$2:$AE$1000),$AG$2:$AG$1000,"")</f>
        <v/>
      </c>
      <c r="AE525" s="19" t="e">
        <f t="shared" si="26"/>
        <v>#VALUE!</v>
      </c>
    </row>
    <row r="526" spans="24:32" x14ac:dyDescent="0.3">
      <c r="X526" s="19">
        <f t="shared" si="24"/>
        <v>45871</v>
      </c>
      <c r="Y526" s="19">
        <f t="shared" si="25"/>
        <v>45871</v>
      </c>
      <c r="Z526" t="str">
        <f t="array" ref="Z526">_xlfn.XLOOKUP(INT(X526),INT($AE$2:$AE$1000),$AG$2:$AG$1000,"")</f>
        <v/>
      </c>
      <c r="AE526" s="19" t="e">
        <f t="shared" si="26"/>
        <v>#VALUE!</v>
      </c>
    </row>
    <row r="527" spans="24:32" x14ac:dyDescent="0.3">
      <c r="X527" s="19">
        <f t="shared" si="24"/>
        <v>45871</v>
      </c>
      <c r="Y527" s="19">
        <f t="shared" si="25"/>
        <v>45871</v>
      </c>
      <c r="Z527" t="str">
        <f t="array" ref="Z527">_xlfn.XLOOKUP(INT(X527),INT($AE$2:$AE$1000),$AG$2:$AG$1000,"")</f>
        <v/>
      </c>
      <c r="AE527" s="19" t="e">
        <f t="shared" si="26"/>
        <v>#VALUE!</v>
      </c>
    </row>
    <row r="528" spans="24:32" x14ac:dyDescent="0.3">
      <c r="X528" s="19">
        <f t="shared" si="24"/>
        <v>45871</v>
      </c>
      <c r="Y528" s="19">
        <f t="shared" si="25"/>
        <v>45871</v>
      </c>
      <c r="Z528" t="str">
        <f t="array" ref="Z528">_xlfn.XLOOKUP(INT(X528),INT($AE$2:$AE$1000),$AG$2:$AG$1000,"")</f>
        <v/>
      </c>
      <c r="AE528" s="19" t="e">
        <f t="shared" si="26"/>
        <v>#VALUE!</v>
      </c>
    </row>
    <row r="529" spans="24:32" x14ac:dyDescent="0.3">
      <c r="X529" s="19">
        <f t="shared" si="24"/>
        <v>45871</v>
      </c>
      <c r="Y529" s="19">
        <f t="shared" si="25"/>
        <v>45871</v>
      </c>
      <c r="Z529" t="str">
        <f t="array" ref="Z529">_xlfn.XLOOKUP(INT(X529),INT($AE$2:$AE$1000),$AG$2:$AG$1000,"")</f>
        <v/>
      </c>
      <c r="AE529" s="19" t="e">
        <f t="shared" si="26"/>
        <v>#VALUE!</v>
      </c>
      <c r="AF529" s="19"/>
    </row>
    <row r="530" spans="24:32" x14ac:dyDescent="0.3">
      <c r="X530" s="19">
        <f t="shared" si="24"/>
        <v>45871</v>
      </c>
      <c r="Y530" s="19">
        <f t="shared" si="25"/>
        <v>45871</v>
      </c>
      <c r="Z530" t="str">
        <f t="array" ref="Z530">_xlfn.XLOOKUP(INT(X530),INT($AE$2:$AE$1000),$AG$2:$AG$1000,"")</f>
        <v/>
      </c>
      <c r="AE530" s="19" t="e">
        <f t="shared" si="26"/>
        <v>#VALUE!</v>
      </c>
      <c r="AF530" s="19"/>
    </row>
    <row r="531" spans="24:32" x14ac:dyDescent="0.3">
      <c r="X531" s="19">
        <f t="shared" si="24"/>
        <v>45871</v>
      </c>
      <c r="Y531" s="19">
        <f t="shared" si="25"/>
        <v>45871</v>
      </c>
      <c r="Z531" t="str">
        <f t="array" ref="Z531">_xlfn.XLOOKUP(INT(X531),INT($AE$2:$AE$1000),$AG$2:$AG$1000,"")</f>
        <v/>
      </c>
      <c r="AE531" s="19" t="e">
        <f t="shared" si="26"/>
        <v>#VALUE!</v>
      </c>
      <c r="AF531" s="19"/>
    </row>
    <row r="532" spans="24:32" x14ac:dyDescent="0.3">
      <c r="X532" s="19">
        <f t="shared" si="24"/>
        <v>45871</v>
      </c>
      <c r="Y532" s="19">
        <f t="shared" si="25"/>
        <v>45871</v>
      </c>
      <c r="Z532" t="str">
        <f t="array" ref="Z532">_xlfn.XLOOKUP(INT(X532),INT($AE$2:$AE$1000),$AG$2:$AG$1000,"")</f>
        <v/>
      </c>
      <c r="AE532" s="19" t="e">
        <f t="shared" si="26"/>
        <v>#VALUE!</v>
      </c>
      <c r="AF532" s="19"/>
    </row>
    <row r="533" spans="24:32" x14ac:dyDescent="0.3">
      <c r="X533" s="19">
        <f t="shared" si="24"/>
        <v>45871</v>
      </c>
      <c r="Y533" s="19">
        <f t="shared" si="25"/>
        <v>45871</v>
      </c>
      <c r="Z533" t="str">
        <f t="array" ref="Z533">_xlfn.XLOOKUP(INT(X533),INT($AE$2:$AE$1000),$AG$2:$AG$1000,"")</f>
        <v/>
      </c>
      <c r="AE533" s="19" t="e">
        <f t="shared" si="26"/>
        <v>#VALUE!</v>
      </c>
      <c r="AF533" s="19"/>
    </row>
    <row r="534" spans="24:32" x14ac:dyDescent="0.3">
      <c r="X534" s="19">
        <f t="shared" si="24"/>
        <v>45871</v>
      </c>
      <c r="Y534" s="19">
        <f t="shared" si="25"/>
        <v>45871</v>
      </c>
      <c r="Z534" t="str">
        <f t="array" ref="Z534">_xlfn.XLOOKUP(INT(X534),INT($AE$2:$AE$1000),$AG$2:$AG$1000,"")</f>
        <v/>
      </c>
      <c r="AE534" s="19" t="e">
        <f t="shared" si="26"/>
        <v>#VALUE!</v>
      </c>
      <c r="AF534" s="19"/>
    </row>
    <row r="535" spans="24:32" x14ac:dyDescent="0.3">
      <c r="X535" s="19">
        <f t="shared" si="24"/>
        <v>45871</v>
      </c>
      <c r="Y535" s="19">
        <f t="shared" si="25"/>
        <v>45871</v>
      </c>
      <c r="Z535" t="str">
        <f t="array" ref="Z535">_xlfn.XLOOKUP(INT(X535),INT($AE$2:$AE$1000),$AG$2:$AG$1000,"")</f>
        <v/>
      </c>
      <c r="AE535" s="19" t="e">
        <f t="shared" si="26"/>
        <v>#VALUE!</v>
      </c>
      <c r="AF535" s="19"/>
    </row>
    <row r="536" spans="24:32" x14ac:dyDescent="0.3">
      <c r="X536" s="19">
        <f t="shared" si="24"/>
        <v>45871</v>
      </c>
      <c r="Y536" s="19">
        <f t="shared" si="25"/>
        <v>45871</v>
      </c>
      <c r="Z536" t="str">
        <f t="array" ref="Z536">_xlfn.XLOOKUP(INT(X536),INT($AE$2:$AE$1000),$AG$2:$AG$1000,"")</f>
        <v/>
      </c>
      <c r="AE536" s="19" t="e">
        <f t="shared" si="26"/>
        <v>#VALUE!</v>
      </c>
      <c r="AF536" s="19"/>
    </row>
    <row r="537" spans="24:32" x14ac:dyDescent="0.3">
      <c r="X537" s="19">
        <f t="shared" si="24"/>
        <v>45871</v>
      </c>
      <c r="Y537" s="19">
        <f t="shared" si="25"/>
        <v>45871</v>
      </c>
      <c r="Z537" t="str">
        <f t="array" ref="Z537">_xlfn.XLOOKUP(INT(X537),INT($AE$2:$AE$1000),$AG$2:$AG$1000,"")</f>
        <v/>
      </c>
      <c r="AE537" s="19" t="e">
        <f t="shared" si="26"/>
        <v>#VALUE!</v>
      </c>
    </row>
    <row r="538" spans="24:32" x14ac:dyDescent="0.3">
      <c r="X538" s="19">
        <f t="shared" si="24"/>
        <v>45871</v>
      </c>
      <c r="Y538" s="19">
        <f t="shared" si="25"/>
        <v>45871</v>
      </c>
      <c r="Z538" t="str">
        <f t="array" ref="Z538">_xlfn.XLOOKUP(INT(X538),INT($AE$2:$AE$1000),$AG$2:$AG$1000,"")</f>
        <v/>
      </c>
      <c r="AE538" s="19" t="e">
        <f t="shared" si="26"/>
        <v>#VALUE!</v>
      </c>
    </row>
    <row r="539" spans="24:32" x14ac:dyDescent="0.3">
      <c r="X539" s="19">
        <f t="shared" si="24"/>
        <v>45871</v>
      </c>
      <c r="Y539" s="19">
        <f t="shared" si="25"/>
        <v>45871</v>
      </c>
      <c r="Z539" t="str">
        <f t="array" ref="Z539">_xlfn.XLOOKUP(INT(X539),INT($AE$2:$AE$1000),$AG$2:$AG$1000,"")</f>
        <v/>
      </c>
      <c r="AE539" s="19" t="e">
        <f t="shared" si="26"/>
        <v>#VALUE!</v>
      </c>
    </row>
    <row r="540" spans="24:32" x14ac:dyDescent="0.3">
      <c r="X540" s="19">
        <f t="shared" si="24"/>
        <v>45871</v>
      </c>
      <c r="Y540" s="19">
        <f t="shared" si="25"/>
        <v>45871</v>
      </c>
      <c r="Z540" t="str">
        <f t="array" ref="Z540">_xlfn.XLOOKUP(INT(X540),INT($AE$2:$AE$1000),$AG$2:$AG$1000,"")</f>
        <v/>
      </c>
      <c r="AE540" s="19" t="e">
        <f t="shared" si="26"/>
        <v>#VALUE!</v>
      </c>
    </row>
    <row r="541" spans="24:32" x14ac:dyDescent="0.3">
      <c r="X541" s="19">
        <f t="shared" si="24"/>
        <v>45871</v>
      </c>
      <c r="Y541" s="19">
        <f t="shared" si="25"/>
        <v>45871</v>
      </c>
      <c r="Z541" t="str">
        <f t="array" ref="Z541">_xlfn.XLOOKUP(INT(X541),INT($AE$2:$AE$1000),$AG$2:$AG$1000,"")</f>
        <v/>
      </c>
      <c r="AE541" s="19" t="e">
        <f t="shared" si="26"/>
        <v>#VALUE!</v>
      </c>
    </row>
    <row r="542" spans="24:32" x14ac:dyDescent="0.3">
      <c r="X542" s="19">
        <f t="shared" si="24"/>
        <v>45871</v>
      </c>
      <c r="Y542" s="19">
        <f t="shared" si="25"/>
        <v>45871</v>
      </c>
      <c r="Z542" t="str">
        <f t="array" ref="Z542">_xlfn.XLOOKUP(INT(X542),INT($AE$2:$AE$1000),$AG$2:$AG$1000,"")</f>
        <v/>
      </c>
      <c r="AE542" s="19" t="e">
        <f t="shared" si="26"/>
        <v>#VALUE!</v>
      </c>
    </row>
    <row r="543" spans="24:32" x14ac:dyDescent="0.3">
      <c r="X543" s="19">
        <f t="shared" si="24"/>
        <v>45871</v>
      </c>
      <c r="Y543" s="19">
        <f t="shared" si="25"/>
        <v>45871</v>
      </c>
      <c r="Z543" t="str">
        <f t="array" ref="Z543">_xlfn.XLOOKUP(INT(X543),INT($AE$2:$AE$1000),$AG$2:$AG$1000,"")</f>
        <v/>
      </c>
      <c r="AE543" s="19" t="e">
        <f t="shared" si="26"/>
        <v>#VALUE!</v>
      </c>
    </row>
    <row r="544" spans="24:32" x14ac:dyDescent="0.3">
      <c r="X544" s="19">
        <f t="shared" si="24"/>
        <v>45871</v>
      </c>
      <c r="Y544" s="19">
        <f t="shared" si="25"/>
        <v>45871</v>
      </c>
      <c r="Z544" t="str">
        <f t="array" ref="Z544">_xlfn.XLOOKUP(INT(X544),INT($AE$2:$AE$1000),$AG$2:$AG$1000,"")</f>
        <v/>
      </c>
      <c r="AE544" s="19" t="e">
        <f t="shared" si="26"/>
        <v>#VALUE!</v>
      </c>
    </row>
    <row r="545" spans="24:32" x14ac:dyDescent="0.3">
      <c r="X545" s="19">
        <f t="shared" si="24"/>
        <v>45871</v>
      </c>
      <c r="Y545" s="19">
        <f t="shared" si="25"/>
        <v>45871</v>
      </c>
      <c r="Z545" t="str">
        <f t="array" ref="Z545">_xlfn.XLOOKUP(INT(X545),INT($AE$2:$AE$1000),$AG$2:$AG$1000,"")</f>
        <v/>
      </c>
      <c r="AE545" s="19" t="e">
        <f t="shared" si="26"/>
        <v>#VALUE!</v>
      </c>
    </row>
    <row r="546" spans="24:32" x14ac:dyDescent="0.3">
      <c r="X546" s="19">
        <f t="shared" si="24"/>
        <v>45871</v>
      </c>
      <c r="Y546" s="19">
        <f t="shared" si="25"/>
        <v>45871</v>
      </c>
      <c r="Z546" t="str">
        <f t="array" ref="Z546">_xlfn.XLOOKUP(INT(X546),INT($AE$2:$AE$1000),$AG$2:$AG$1000,"")</f>
        <v/>
      </c>
      <c r="AE546" s="19" t="e">
        <f t="shared" si="26"/>
        <v>#VALUE!</v>
      </c>
    </row>
    <row r="547" spans="24:32" x14ac:dyDescent="0.3">
      <c r="X547" s="19">
        <f t="shared" si="24"/>
        <v>45871</v>
      </c>
      <c r="Y547" s="19">
        <f t="shared" si="25"/>
        <v>45871</v>
      </c>
      <c r="Z547" t="str">
        <f t="array" ref="Z547">_xlfn.XLOOKUP(INT(X547),INT($AE$2:$AE$1000),$AG$2:$AG$1000,"")</f>
        <v/>
      </c>
      <c r="AE547" s="19" t="e">
        <f t="shared" si="26"/>
        <v>#VALUE!</v>
      </c>
    </row>
    <row r="548" spans="24:32" x14ac:dyDescent="0.3">
      <c r="X548" s="19">
        <f t="shared" si="24"/>
        <v>45871</v>
      </c>
      <c r="Y548" s="19">
        <f t="shared" si="25"/>
        <v>45871</v>
      </c>
      <c r="Z548" t="str">
        <f t="array" ref="Z548">_xlfn.XLOOKUP(INT(X548),INT($AE$2:$AE$1000),$AG$2:$AG$1000,"")</f>
        <v/>
      </c>
      <c r="AE548" s="19" t="e">
        <f t="shared" si="26"/>
        <v>#VALUE!</v>
      </c>
      <c r="AF548" s="19"/>
    </row>
    <row r="549" spans="24:32" x14ac:dyDescent="0.3">
      <c r="X549" s="19">
        <f t="shared" si="24"/>
        <v>45871</v>
      </c>
      <c r="Y549" s="19">
        <f t="shared" si="25"/>
        <v>45871</v>
      </c>
      <c r="Z549" t="str">
        <f t="array" ref="Z549">_xlfn.XLOOKUP(INT(X549),INT($AE$2:$AE$1000),$AG$2:$AG$1000,"")</f>
        <v/>
      </c>
      <c r="AE549" s="19" t="e">
        <f t="shared" si="26"/>
        <v>#VALUE!</v>
      </c>
      <c r="AF549" s="19"/>
    </row>
    <row r="550" spans="24:32" x14ac:dyDescent="0.3">
      <c r="X550" s="19">
        <f t="shared" si="24"/>
        <v>45871</v>
      </c>
      <c r="Y550" s="19">
        <f t="shared" si="25"/>
        <v>45871</v>
      </c>
      <c r="Z550" t="str">
        <f t="array" ref="Z550">_xlfn.XLOOKUP(INT(X550),INT($AE$2:$AE$1000),$AG$2:$AG$1000,"")</f>
        <v/>
      </c>
      <c r="AE550" s="19" t="e">
        <f t="shared" si="26"/>
        <v>#VALUE!</v>
      </c>
      <c r="AF550" s="19"/>
    </row>
    <row r="551" spans="24:32" x14ac:dyDescent="0.3">
      <c r="X551" s="19">
        <f t="shared" si="24"/>
        <v>45871</v>
      </c>
      <c r="Y551" s="19">
        <f t="shared" si="25"/>
        <v>45871</v>
      </c>
      <c r="Z551" t="str">
        <f t="array" ref="Z551">_xlfn.XLOOKUP(INT(X551),INT($AE$2:$AE$1000),$AG$2:$AG$1000,"")</f>
        <v/>
      </c>
      <c r="AE551" s="19" t="e">
        <f t="shared" si="26"/>
        <v>#VALUE!</v>
      </c>
      <c r="AF551" s="19"/>
    </row>
    <row r="552" spans="24:32" x14ac:dyDescent="0.3">
      <c r="X552" s="19">
        <f t="shared" si="24"/>
        <v>45871</v>
      </c>
      <c r="Y552" s="19">
        <f t="shared" si="25"/>
        <v>45871</v>
      </c>
      <c r="Z552" t="str">
        <f t="array" ref="Z552">_xlfn.XLOOKUP(INT(X552),INT($AE$2:$AE$1000),$AG$2:$AG$1000,"")</f>
        <v/>
      </c>
      <c r="AE552" s="19" t="e">
        <f t="shared" si="26"/>
        <v>#VALUE!</v>
      </c>
      <c r="AF552" s="19"/>
    </row>
    <row r="553" spans="24:32" x14ac:dyDescent="0.3">
      <c r="X553" s="19">
        <f t="shared" si="24"/>
        <v>45871</v>
      </c>
      <c r="Y553" s="19">
        <f t="shared" si="25"/>
        <v>45871</v>
      </c>
      <c r="Z553" t="str">
        <f t="array" ref="Z553">_xlfn.XLOOKUP(INT(X553),INT($AE$2:$AE$1000),$AG$2:$AG$1000,"")</f>
        <v/>
      </c>
      <c r="AE553" s="19" t="e">
        <f t="shared" si="26"/>
        <v>#VALUE!</v>
      </c>
      <c r="AF553" s="19"/>
    </row>
    <row r="554" spans="24:32" x14ac:dyDescent="0.3">
      <c r="X554" s="19">
        <f t="shared" si="24"/>
        <v>45871</v>
      </c>
      <c r="Y554" s="19">
        <f t="shared" si="25"/>
        <v>45871</v>
      </c>
      <c r="Z554" t="str">
        <f t="array" ref="Z554">_xlfn.XLOOKUP(INT(X554),INT($AE$2:$AE$1000),$AG$2:$AG$1000,"")</f>
        <v/>
      </c>
      <c r="AE554" s="19" t="e">
        <f t="shared" si="26"/>
        <v>#VALUE!</v>
      </c>
      <c r="AF554" s="19"/>
    </row>
    <row r="555" spans="24:32" x14ac:dyDescent="0.3">
      <c r="X555" s="19">
        <f t="shared" si="24"/>
        <v>45871</v>
      </c>
      <c r="Y555" s="19">
        <f t="shared" si="25"/>
        <v>45871</v>
      </c>
      <c r="Z555" t="str">
        <f t="array" ref="Z555">_xlfn.XLOOKUP(INT(X555),INT($AE$2:$AE$1000),$AG$2:$AG$1000,"")</f>
        <v/>
      </c>
      <c r="AE555" s="19" t="e">
        <f t="shared" si="26"/>
        <v>#VALUE!</v>
      </c>
      <c r="AF555" s="19"/>
    </row>
    <row r="556" spans="24:32" x14ac:dyDescent="0.3">
      <c r="X556" s="19">
        <f t="shared" si="24"/>
        <v>45871</v>
      </c>
      <c r="Y556" s="19">
        <f t="shared" si="25"/>
        <v>45871</v>
      </c>
      <c r="Z556" t="str">
        <f t="array" ref="Z556">_xlfn.XLOOKUP(INT(X556),INT($AE$2:$AE$1000),$AG$2:$AG$1000,"")</f>
        <v/>
      </c>
      <c r="AE556" s="19" t="e">
        <f t="shared" si="26"/>
        <v>#VALUE!</v>
      </c>
      <c r="AF556" s="19"/>
    </row>
    <row r="557" spans="24:32" x14ac:dyDescent="0.3">
      <c r="X557" s="19">
        <f t="shared" si="24"/>
        <v>45871</v>
      </c>
      <c r="Y557" s="19">
        <f t="shared" si="25"/>
        <v>45871</v>
      </c>
      <c r="Z557" t="str">
        <f t="array" ref="Z557">_xlfn.XLOOKUP(INT(X557),INT($AE$2:$AE$1000),$AG$2:$AG$1000,"")</f>
        <v/>
      </c>
      <c r="AE557" s="19" t="e">
        <f t="shared" si="26"/>
        <v>#VALUE!</v>
      </c>
    </row>
    <row r="558" spans="24:32" x14ac:dyDescent="0.3">
      <c r="X558" s="19">
        <f t="shared" si="24"/>
        <v>45871</v>
      </c>
      <c r="Y558" s="19">
        <f t="shared" si="25"/>
        <v>45871</v>
      </c>
      <c r="Z558" t="str">
        <f t="array" ref="Z558">_xlfn.XLOOKUP(INT(X558),INT($AE$2:$AE$1000),$AG$2:$AG$1000,"")</f>
        <v/>
      </c>
      <c r="AE558" s="19" t="e">
        <f t="shared" si="26"/>
        <v>#VALUE!</v>
      </c>
    </row>
    <row r="559" spans="24:32" x14ac:dyDescent="0.3">
      <c r="X559" s="19">
        <f t="shared" si="24"/>
        <v>45871</v>
      </c>
      <c r="Y559" s="19">
        <f t="shared" si="25"/>
        <v>45871</v>
      </c>
      <c r="Z559" t="str">
        <f t="array" ref="Z559">_xlfn.XLOOKUP(INT(X559),INT($AE$2:$AE$1000),$AG$2:$AG$1000,"")</f>
        <v/>
      </c>
      <c r="AE559" s="19" t="e">
        <f t="shared" si="26"/>
        <v>#VALUE!</v>
      </c>
    </row>
    <row r="560" spans="24:32" x14ac:dyDescent="0.3">
      <c r="X560" s="19">
        <f t="shared" si="24"/>
        <v>45871</v>
      </c>
      <c r="Y560" s="19">
        <f t="shared" si="25"/>
        <v>45871</v>
      </c>
      <c r="Z560" t="str">
        <f t="array" ref="Z560">_xlfn.XLOOKUP(INT(X560),INT($AE$2:$AE$1000),$AG$2:$AG$1000,"")</f>
        <v/>
      </c>
      <c r="AE560" s="19" t="e">
        <f t="shared" si="26"/>
        <v>#VALUE!</v>
      </c>
    </row>
    <row r="561" spans="24:32" x14ac:dyDescent="0.3">
      <c r="X561" s="19">
        <f t="shared" si="24"/>
        <v>45871</v>
      </c>
      <c r="Y561" s="19">
        <f t="shared" si="25"/>
        <v>45871</v>
      </c>
      <c r="Z561" t="str">
        <f t="array" ref="Z561">_xlfn.XLOOKUP(INT(X561),INT($AE$2:$AE$1000),$AG$2:$AG$1000,"")</f>
        <v/>
      </c>
      <c r="AE561" s="19" t="e">
        <f t="shared" si="26"/>
        <v>#VALUE!</v>
      </c>
    </row>
    <row r="562" spans="24:32" x14ac:dyDescent="0.3">
      <c r="X562" s="19">
        <f t="shared" si="24"/>
        <v>45871</v>
      </c>
      <c r="Y562" s="19">
        <f t="shared" si="25"/>
        <v>45871</v>
      </c>
      <c r="Z562" t="str">
        <f t="array" ref="Z562">_xlfn.XLOOKUP(INT(X562),INT($AE$2:$AE$1000),$AG$2:$AG$1000,"")</f>
        <v/>
      </c>
      <c r="AE562" s="19" t="e">
        <f t="shared" si="26"/>
        <v>#VALUE!</v>
      </c>
    </row>
    <row r="563" spans="24:32" x14ac:dyDescent="0.3">
      <c r="X563" s="19">
        <f t="shared" si="24"/>
        <v>45871</v>
      </c>
      <c r="Y563" s="19">
        <f t="shared" si="25"/>
        <v>45871</v>
      </c>
      <c r="Z563" t="str">
        <f t="array" ref="Z563">_xlfn.XLOOKUP(INT(X563),INT($AE$2:$AE$1000),$AG$2:$AG$1000,"")</f>
        <v/>
      </c>
      <c r="AE563" s="19" t="e">
        <f t="shared" si="26"/>
        <v>#VALUE!</v>
      </c>
    </row>
    <row r="564" spans="24:32" x14ac:dyDescent="0.3">
      <c r="X564" s="19">
        <f t="shared" si="24"/>
        <v>45871</v>
      </c>
      <c r="Y564" s="19">
        <f t="shared" si="25"/>
        <v>45871</v>
      </c>
      <c r="Z564" t="str">
        <f t="array" ref="Z564">_xlfn.XLOOKUP(INT(X564),INT($AE$2:$AE$1000),$AG$2:$AG$1000,"")</f>
        <v/>
      </c>
      <c r="AE564" s="19" t="e">
        <f t="shared" si="26"/>
        <v>#VALUE!</v>
      </c>
    </row>
    <row r="565" spans="24:32" x14ac:dyDescent="0.3">
      <c r="X565" s="19">
        <f t="shared" si="24"/>
        <v>45871</v>
      </c>
      <c r="Y565" s="19">
        <f t="shared" si="25"/>
        <v>45871</v>
      </c>
      <c r="Z565" t="str">
        <f t="array" ref="Z565">_xlfn.XLOOKUP(INT(X565),INT($AE$2:$AE$1000),$AG$2:$AG$1000,"")</f>
        <v/>
      </c>
      <c r="AE565" s="19" t="e">
        <f t="shared" si="26"/>
        <v>#VALUE!</v>
      </c>
    </row>
    <row r="566" spans="24:32" x14ac:dyDescent="0.3">
      <c r="X566" s="19">
        <f t="shared" si="24"/>
        <v>45871</v>
      </c>
      <c r="Y566" s="19">
        <f t="shared" si="25"/>
        <v>45871</v>
      </c>
      <c r="Z566" t="str">
        <f t="array" ref="Z566">_xlfn.XLOOKUP(INT(X566),INT($AE$2:$AE$1000),$AG$2:$AG$1000,"")</f>
        <v/>
      </c>
      <c r="AE566" s="19" t="e">
        <f t="shared" si="26"/>
        <v>#VALUE!</v>
      </c>
    </row>
    <row r="567" spans="24:32" x14ac:dyDescent="0.3">
      <c r="X567" s="19">
        <f t="shared" si="24"/>
        <v>45871</v>
      </c>
      <c r="Y567" s="19">
        <f t="shared" si="25"/>
        <v>45871</v>
      </c>
      <c r="Z567" t="str">
        <f t="array" ref="Z567">_xlfn.XLOOKUP(INT(X567),INT($AE$2:$AE$1000),$AG$2:$AG$1000,"")</f>
        <v/>
      </c>
      <c r="AE567" s="19" t="e">
        <f t="shared" si="26"/>
        <v>#VALUE!</v>
      </c>
    </row>
    <row r="568" spans="24:32" x14ac:dyDescent="0.3">
      <c r="X568" s="19">
        <f t="shared" si="24"/>
        <v>45871</v>
      </c>
      <c r="Y568" s="19">
        <f t="shared" si="25"/>
        <v>45871</v>
      </c>
      <c r="Z568" t="str">
        <f t="array" ref="Z568">_xlfn.XLOOKUP(INT(X568),INT($AE$2:$AE$1000),$AG$2:$AG$1000,"")</f>
        <v/>
      </c>
      <c r="AE568" s="19" t="e">
        <f t="shared" si="26"/>
        <v>#VALUE!</v>
      </c>
    </row>
    <row r="569" spans="24:32" x14ac:dyDescent="0.3">
      <c r="X569" s="19">
        <f t="shared" si="24"/>
        <v>45871</v>
      </c>
      <c r="Y569" s="19">
        <f t="shared" si="25"/>
        <v>45871</v>
      </c>
      <c r="Z569" t="str">
        <f t="array" ref="Z569">_xlfn.XLOOKUP(INT(X569),INT($AE$2:$AE$1000),$AG$2:$AG$1000,"")</f>
        <v/>
      </c>
      <c r="AE569" s="19" t="e">
        <f t="shared" si="26"/>
        <v>#VALUE!</v>
      </c>
    </row>
    <row r="570" spans="24:32" x14ac:dyDescent="0.3">
      <c r="X570" s="19">
        <f t="shared" si="24"/>
        <v>45871</v>
      </c>
      <c r="Y570" s="19">
        <f t="shared" si="25"/>
        <v>45871</v>
      </c>
      <c r="Z570" t="str">
        <f t="array" ref="Z570">_xlfn.XLOOKUP(INT(X570),INT($AE$2:$AE$1000),$AG$2:$AG$1000,"")</f>
        <v/>
      </c>
      <c r="AE570" s="19" t="e">
        <f t="shared" si="26"/>
        <v>#VALUE!</v>
      </c>
      <c r="AF570" s="19"/>
    </row>
    <row r="571" spans="24:32" x14ac:dyDescent="0.3">
      <c r="X571" s="19">
        <f t="shared" si="24"/>
        <v>45871</v>
      </c>
      <c r="Y571" s="19">
        <f t="shared" si="25"/>
        <v>45871</v>
      </c>
      <c r="Z571" t="str">
        <f t="array" ref="Z571">_xlfn.XLOOKUP(INT(X571),INT($AE$2:$AE$1000),$AG$2:$AG$1000,"")</f>
        <v/>
      </c>
      <c r="AE571" s="19" t="e">
        <f t="shared" si="26"/>
        <v>#VALUE!</v>
      </c>
      <c r="AF571" s="19"/>
    </row>
    <row r="572" spans="24:32" x14ac:dyDescent="0.3">
      <c r="X572" s="19">
        <f t="shared" si="24"/>
        <v>45871</v>
      </c>
      <c r="Y572" s="19">
        <f t="shared" si="25"/>
        <v>45871</v>
      </c>
      <c r="Z572" t="str">
        <f t="array" ref="Z572">_xlfn.XLOOKUP(INT(X572),INT($AE$2:$AE$1000),$AG$2:$AG$1000,"")</f>
        <v/>
      </c>
      <c r="AE572" s="19" t="e">
        <f t="shared" si="26"/>
        <v>#VALUE!</v>
      </c>
      <c r="AF572" s="19"/>
    </row>
    <row r="573" spans="24:32" x14ac:dyDescent="0.3">
      <c r="X573" s="19">
        <f t="shared" si="24"/>
        <v>45871</v>
      </c>
      <c r="Y573" s="19">
        <f t="shared" si="25"/>
        <v>45871</v>
      </c>
      <c r="Z573" t="str">
        <f t="array" ref="Z573">_xlfn.XLOOKUP(INT(X573),INT($AE$2:$AE$1000),$AG$2:$AG$1000,"")</f>
        <v/>
      </c>
      <c r="AE573" s="19" t="e">
        <f t="shared" si="26"/>
        <v>#VALUE!</v>
      </c>
      <c r="AF573" s="19"/>
    </row>
    <row r="574" spans="24:32" x14ac:dyDescent="0.3">
      <c r="X574" s="19">
        <f t="shared" si="24"/>
        <v>45871</v>
      </c>
      <c r="Y574" s="19">
        <f t="shared" si="25"/>
        <v>45871</v>
      </c>
      <c r="Z574" t="str">
        <f t="array" ref="Z574">_xlfn.XLOOKUP(INT(X574),INT($AE$2:$AE$1000),$AG$2:$AG$1000,"")</f>
        <v/>
      </c>
      <c r="AE574" s="19" t="e">
        <f t="shared" si="26"/>
        <v>#VALUE!</v>
      </c>
      <c r="AF574" s="19"/>
    </row>
    <row r="575" spans="24:32" x14ac:dyDescent="0.3">
      <c r="X575" s="19">
        <f t="shared" si="24"/>
        <v>45871</v>
      </c>
      <c r="Y575" s="19">
        <f t="shared" si="25"/>
        <v>45871</v>
      </c>
      <c r="Z575" t="str">
        <f t="array" ref="Z575">_xlfn.XLOOKUP(INT(X575),INT($AE$2:$AE$1000),$AG$2:$AG$1000,"")</f>
        <v/>
      </c>
      <c r="AE575" s="19" t="e">
        <f t="shared" si="26"/>
        <v>#VALUE!</v>
      </c>
      <c r="AF575" s="19"/>
    </row>
    <row r="576" spans="24:32" x14ac:dyDescent="0.3">
      <c r="X576" s="19">
        <f t="shared" si="24"/>
        <v>45871</v>
      </c>
      <c r="Y576" s="19">
        <f t="shared" si="25"/>
        <v>45871</v>
      </c>
      <c r="Z576" t="str">
        <f t="array" ref="Z576">_xlfn.XLOOKUP(INT(X576),INT($AE$2:$AE$1000),$AG$2:$AG$1000,"")</f>
        <v/>
      </c>
      <c r="AE576" s="19" t="e">
        <f t="shared" si="26"/>
        <v>#VALUE!</v>
      </c>
      <c r="AF576" s="19"/>
    </row>
    <row r="577" spans="25:32" x14ac:dyDescent="0.3">
      <c r="Y577" s="19">
        <f t="shared" si="25"/>
        <v>45871</v>
      </c>
      <c r="AE577" s="19" t="e">
        <f t="shared" si="26"/>
        <v>#VALUE!</v>
      </c>
      <c r="AF577" s="19"/>
    </row>
    <row r="578" spans="25:32" x14ac:dyDescent="0.3">
      <c r="Y578" s="19">
        <f t="shared" ref="Y578:Y641" si="27">WORKDAY(DATE(2025,8,2),INT(P578/390))</f>
        <v>45871</v>
      </c>
      <c r="AE578" s="19" t="e">
        <f t="shared" ref="AE578:AE641" si="28">IF(ISNUMBER(AF578),DATE(YEAR(AF578),DAY(AF578),MONTH(AF578)),DATE(RIGHT(AF578,4),LEFT(AF578,2),MID(AF578,4,2)))</f>
        <v>#VALUE!</v>
      </c>
    </row>
    <row r="579" spans="25:32" x14ac:dyDescent="0.3">
      <c r="Y579" s="19">
        <f t="shared" si="27"/>
        <v>45871</v>
      </c>
      <c r="AE579" s="19" t="e">
        <f t="shared" si="28"/>
        <v>#VALUE!</v>
      </c>
    </row>
    <row r="580" spans="25:32" x14ac:dyDescent="0.3">
      <c r="Y580" s="19">
        <f t="shared" si="27"/>
        <v>45871</v>
      </c>
      <c r="AE580" s="19" t="e">
        <f t="shared" si="28"/>
        <v>#VALUE!</v>
      </c>
    </row>
    <row r="581" spans="25:32" x14ac:dyDescent="0.3">
      <c r="Y581" s="19">
        <f t="shared" si="27"/>
        <v>45871</v>
      </c>
      <c r="AE581" s="19" t="e">
        <f t="shared" si="28"/>
        <v>#VALUE!</v>
      </c>
    </row>
    <row r="582" spans="25:32" x14ac:dyDescent="0.3">
      <c r="Y582" s="19">
        <f t="shared" si="27"/>
        <v>45871</v>
      </c>
      <c r="AE582" s="19" t="e">
        <f t="shared" si="28"/>
        <v>#VALUE!</v>
      </c>
    </row>
    <row r="583" spans="25:32" x14ac:dyDescent="0.3">
      <c r="Y583" s="19">
        <f t="shared" si="27"/>
        <v>45871</v>
      </c>
      <c r="AE583" s="19" t="e">
        <f t="shared" si="28"/>
        <v>#VALUE!</v>
      </c>
    </row>
    <row r="584" spans="25:32" x14ac:dyDescent="0.3">
      <c r="Y584" s="19">
        <f t="shared" si="27"/>
        <v>45871</v>
      </c>
      <c r="AE584" s="19" t="e">
        <f t="shared" si="28"/>
        <v>#VALUE!</v>
      </c>
    </row>
    <row r="585" spans="25:32" x14ac:dyDescent="0.3">
      <c r="Y585" s="19">
        <f t="shared" si="27"/>
        <v>45871</v>
      </c>
      <c r="AE585" s="19" t="e">
        <f t="shared" si="28"/>
        <v>#VALUE!</v>
      </c>
    </row>
    <row r="586" spans="25:32" x14ac:dyDescent="0.3">
      <c r="Y586" s="19">
        <f t="shared" si="27"/>
        <v>45871</v>
      </c>
      <c r="AE586" s="19" t="e">
        <f t="shared" si="28"/>
        <v>#VALUE!</v>
      </c>
    </row>
    <row r="587" spans="25:32" x14ac:dyDescent="0.3">
      <c r="Y587" s="19">
        <f t="shared" si="27"/>
        <v>45871</v>
      </c>
      <c r="AE587" s="19" t="e">
        <f t="shared" si="28"/>
        <v>#VALUE!</v>
      </c>
    </row>
    <row r="588" spans="25:32" x14ac:dyDescent="0.3">
      <c r="Y588" s="19">
        <f t="shared" si="27"/>
        <v>45871</v>
      </c>
      <c r="AE588" s="19" t="e">
        <f t="shared" si="28"/>
        <v>#VALUE!</v>
      </c>
    </row>
    <row r="589" spans="25:32" x14ac:dyDescent="0.3">
      <c r="Y589" s="19">
        <f t="shared" si="27"/>
        <v>45871</v>
      </c>
      <c r="AE589" s="19" t="e">
        <f t="shared" si="28"/>
        <v>#VALUE!</v>
      </c>
    </row>
    <row r="590" spans="25:32" x14ac:dyDescent="0.3">
      <c r="Y590" s="19">
        <f t="shared" si="27"/>
        <v>45871</v>
      </c>
      <c r="AE590" s="19" t="e">
        <f t="shared" si="28"/>
        <v>#VALUE!</v>
      </c>
    </row>
    <row r="591" spans="25:32" x14ac:dyDescent="0.3">
      <c r="Y591" s="19">
        <f t="shared" si="27"/>
        <v>45871</v>
      </c>
      <c r="AE591" s="19" t="e">
        <f t="shared" si="28"/>
        <v>#VALUE!</v>
      </c>
      <c r="AF591" s="19"/>
    </row>
    <row r="592" spans="25:32" x14ac:dyDescent="0.3">
      <c r="Y592" s="19">
        <f t="shared" si="27"/>
        <v>45871</v>
      </c>
      <c r="AE592" s="19" t="e">
        <f t="shared" si="28"/>
        <v>#VALUE!</v>
      </c>
      <c r="AF592" s="19"/>
    </row>
    <row r="593" spans="25:32" x14ac:dyDescent="0.3">
      <c r="Y593" s="19">
        <f t="shared" si="27"/>
        <v>45871</v>
      </c>
      <c r="AE593" s="19" t="e">
        <f t="shared" si="28"/>
        <v>#VALUE!</v>
      </c>
      <c r="AF593" s="19"/>
    </row>
    <row r="594" spans="25:32" x14ac:dyDescent="0.3">
      <c r="Y594" s="19">
        <f t="shared" si="27"/>
        <v>45871</v>
      </c>
      <c r="AE594" s="19" t="e">
        <f t="shared" si="28"/>
        <v>#VALUE!</v>
      </c>
      <c r="AF594" s="19"/>
    </row>
    <row r="595" spans="25:32" x14ac:dyDescent="0.3">
      <c r="Y595" s="19">
        <f t="shared" si="27"/>
        <v>45871</v>
      </c>
      <c r="AE595" s="19" t="e">
        <f t="shared" si="28"/>
        <v>#VALUE!</v>
      </c>
      <c r="AF595" s="19"/>
    </row>
    <row r="596" spans="25:32" x14ac:dyDescent="0.3">
      <c r="Y596" s="19">
        <f t="shared" si="27"/>
        <v>45871</v>
      </c>
      <c r="AE596" s="19" t="e">
        <f t="shared" si="28"/>
        <v>#VALUE!</v>
      </c>
      <c r="AF596" s="19"/>
    </row>
    <row r="597" spans="25:32" x14ac:dyDescent="0.3">
      <c r="Y597" s="19">
        <f t="shared" si="27"/>
        <v>45871</v>
      </c>
      <c r="AE597" s="19" t="e">
        <f t="shared" si="28"/>
        <v>#VALUE!</v>
      </c>
      <c r="AF597" s="19"/>
    </row>
    <row r="598" spans="25:32" x14ac:dyDescent="0.3">
      <c r="Y598" s="19">
        <f t="shared" si="27"/>
        <v>45871</v>
      </c>
      <c r="AE598" s="19" t="e">
        <f t="shared" si="28"/>
        <v>#VALUE!</v>
      </c>
      <c r="AF598" s="19"/>
    </row>
    <row r="599" spans="25:32" x14ac:dyDescent="0.3">
      <c r="Y599" s="19">
        <f t="shared" si="27"/>
        <v>45871</v>
      </c>
      <c r="AE599" s="19" t="e">
        <f t="shared" si="28"/>
        <v>#VALUE!</v>
      </c>
    </row>
    <row r="600" spans="25:32" x14ac:dyDescent="0.3">
      <c r="Y600" s="19">
        <f t="shared" si="27"/>
        <v>45871</v>
      </c>
      <c r="AE600" s="19" t="e">
        <f t="shared" si="28"/>
        <v>#VALUE!</v>
      </c>
    </row>
    <row r="601" spans="25:32" x14ac:dyDescent="0.3">
      <c r="Y601" s="19">
        <f t="shared" si="27"/>
        <v>45871</v>
      </c>
      <c r="AE601" s="19" t="e">
        <f t="shared" si="28"/>
        <v>#VALUE!</v>
      </c>
    </row>
    <row r="602" spans="25:32" x14ac:dyDescent="0.3">
      <c r="Y602" s="19">
        <f t="shared" si="27"/>
        <v>45871</v>
      </c>
      <c r="AE602" s="19" t="e">
        <f t="shared" si="28"/>
        <v>#VALUE!</v>
      </c>
    </row>
    <row r="603" spans="25:32" x14ac:dyDescent="0.3">
      <c r="Y603" s="19">
        <f t="shared" si="27"/>
        <v>45871</v>
      </c>
      <c r="AE603" s="19" t="e">
        <f t="shared" si="28"/>
        <v>#VALUE!</v>
      </c>
    </row>
    <row r="604" spans="25:32" x14ac:dyDescent="0.3">
      <c r="Y604" s="19">
        <f t="shared" si="27"/>
        <v>45871</v>
      </c>
      <c r="AE604" s="19" t="e">
        <f t="shared" si="28"/>
        <v>#VALUE!</v>
      </c>
    </row>
    <row r="605" spans="25:32" x14ac:dyDescent="0.3">
      <c r="Y605" s="19">
        <f t="shared" si="27"/>
        <v>45871</v>
      </c>
      <c r="AE605" s="19" t="e">
        <f t="shared" si="28"/>
        <v>#VALUE!</v>
      </c>
    </row>
    <row r="606" spans="25:32" x14ac:dyDescent="0.3">
      <c r="Y606" s="19">
        <f t="shared" si="27"/>
        <v>45871</v>
      </c>
      <c r="AE606" s="19" t="e">
        <f t="shared" si="28"/>
        <v>#VALUE!</v>
      </c>
    </row>
    <row r="607" spans="25:32" x14ac:dyDescent="0.3">
      <c r="Y607" s="19">
        <f t="shared" si="27"/>
        <v>45871</v>
      </c>
      <c r="AE607" s="19" t="e">
        <f t="shared" si="28"/>
        <v>#VALUE!</v>
      </c>
    </row>
    <row r="608" spans="25:32" x14ac:dyDescent="0.3">
      <c r="Y608" s="19">
        <f t="shared" si="27"/>
        <v>45871</v>
      </c>
      <c r="AE608" s="19" t="e">
        <f t="shared" si="28"/>
        <v>#VALUE!</v>
      </c>
    </row>
    <row r="609" spans="25:32" x14ac:dyDescent="0.3">
      <c r="Y609" s="19">
        <f t="shared" si="27"/>
        <v>45871</v>
      </c>
      <c r="AE609" s="19" t="e">
        <f t="shared" si="28"/>
        <v>#VALUE!</v>
      </c>
    </row>
    <row r="610" spans="25:32" x14ac:dyDescent="0.3">
      <c r="Y610" s="19">
        <f t="shared" si="27"/>
        <v>45871</v>
      </c>
      <c r="AE610" s="19" t="e">
        <f t="shared" si="28"/>
        <v>#VALUE!</v>
      </c>
    </row>
    <row r="611" spans="25:32" x14ac:dyDescent="0.3">
      <c r="Y611" s="19">
        <f t="shared" si="27"/>
        <v>45871</v>
      </c>
      <c r="AE611" s="19" t="e">
        <f t="shared" si="28"/>
        <v>#VALUE!</v>
      </c>
      <c r="AF611" s="19"/>
    </row>
    <row r="612" spans="25:32" x14ac:dyDescent="0.3">
      <c r="Y612" s="19">
        <f t="shared" si="27"/>
        <v>45871</v>
      </c>
      <c r="AE612" s="19" t="e">
        <f t="shared" si="28"/>
        <v>#VALUE!</v>
      </c>
      <c r="AF612" s="19"/>
    </row>
    <row r="613" spans="25:32" x14ac:dyDescent="0.3">
      <c r="Y613" s="19">
        <f t="shared" si="27"/>
        <v>45871</v>
      </c>
      <c r="AE613" s="19" t="e">
        <f t="shared" si="28"/>
        <v>#VALUE!</v>
      </c>
      <c r="AF613" s="19"/>
    </row>
    <row r="614" spans="25:32" x14ac:dyDescent="0.3">
      <c r="Y614" s="19">
        <f t="shared" si="27"/>
        <v>45871</v>
      </c>
      <c r="AE614" s="19" t="e">
        <f t="shared" si="28"/>
        <v>#VALUE!</v>
      </c>
      <c r="AF614" s="19"/>
    </row>
    <row r="615" spans="25:32" x14ac:dyDescent="0.3">
      <c r="Y615" s="19">
        <f t="shared" si="27"/>
        <v>45871</v>
      </c>
      <c r="AE615" s="19" t="e">
        <f t="shared" si="28"/>
        <v>#VALUE!</v>
      </c>
      <c r="AF615" s="19"/>
    </row>
    <row r="616" spans="25:32" x14ac:dyDescent="0.3">
      <c r="Y616" s="19">
        <f t="shared" si="27"/>
        <v>45871</v>
      </c>
      <c r="AE616" s="19" t="e">
        <f t="shared" si="28"/>
        <v>#VALUE!</v>
      </c>
      <c r="AF616" s="19"/>
    </row>
    <row r="617" spans="25:32" x14ac:dyDescent="0.3">
      <c r="Y617" s="19">
        <f t="shared" si="27"/>
        <v>45871</v>
      </c>
      <c r="AE617" s="19" t="e">
        <f t="shared" si="28"/>
        <v>#VALUE!</v>
      </c>
      <c r="AF617" s="19"/>
    </row>
    <row r="618" spans="25:32" x14ac:dyDescent="0.3">
      <c r="Y618" s="19">
        <f t="shared" si="27"/>
        <v>45871</v>
      </c>
      <c r="AE618" s="19" t="e">
        <f t="shared" si="28"/>
        <v>#VALUE!</v>
      </c>
      <c r="AF618" s="19"/>
    </row>
    <row r="619" spans="25:32" x14ac:dyDescent="0.3">
      <c r="Y619" s="19">
        <f t="shared" si="27"/>
        <v>45871</v>
      </c>
      <c r="AE619" s="19" t="e">
        <f t="shared" si="28"/>
        <v>#VALUE!</v>
      </c>
      <c r="AF619" s="19"/>
    </row>
    <row r="620" spans="25:32" x14ac:dyDescent="0.3">
      <c r="Y620" s="19">
        <f t="shared" si="27"/>
        <v>45871</v>
      </c>
      <c r="AE620" s="19" t="e">
        <f t="shared" si="28"/>
        <v>#VALUE!</v>
      </c>
      <c r="AF620" s="19"/>
    </row>
    <row r="621" spans="25:32" x14ac:dyDescent="0.3">
      <c r="Y621" s="19">
        <f t="shared" si="27"/>
        <v>45871</v>
      </c>
      <c r="AE621" s="19" t="e">
        <f t="shared" si="28"/>
        <v>#VALUE!</v>
      </c>
    </row>
    <row r="622" spans="25:32" x14ac:dyDescent="0.3">
      <c r="Y622" s="19">
        <f t="shared" si="27"/>
        <v>45871</v>
      </c>
      <c r="AE622" s="19" t="e">
        <f t="shared" si="28"/>
        <v>#VALUE!</v>
      </c>
    </row>
    <row r="623" spans="25:32" x14ac:dyDescent="0.3">
      <c r="Y623" s="19">
        <f t="shared" si="27"/>
        <v>45871</v>
      </c>
      <c r="AE623" s="19" t="e">
        <f t="shared" si="28"/>
        <v>#VALUE!</v>
      </c>
    </row>
    <row r="624" spans="25:32" x14ac:dyDescent="0.3">
      <c r="Y624" s="19">
        <f t="shared" si="27"/>
        <v>45871</v>
      </c>
      <c r="AE624" s="19" t="e">
        <f t="shared" si="28"/>
        <v>#VALUE!</v>
      </c>
    </row>
    <row r="625" spans="25:32" x14ac:dyDescent="0.3">
      <c r="Y625" s="19">
        <f t="shared" si="27"/>
        <v>45871</v>
      </c>
      <c r="AE625" s="19" t="e">
        <f t="shared" si="28"/>
        <v>#VALUE!</v>
      </c>
    </row>
    <row r="626" spans="25:32" x14ac:dyDescent="0.3">
      <c r="Y626" s="19">
        <f t="shared" si="27"/>
        <v>45871</v>
      </c>
      <c r="AE626" s="19" t="e">
        <f t="shared" si="28"/>
        <v>#VALUE!</v>
      </c>
    </row>
    <row r="627" spans="25:32" x14ac:dyDescent="0.3">
      <c r="Y627" s="19">
        <f t="shared" si="27"/>
        <v>45871</v>
      </c>
      <c r="AE627" s="19" t="e">
        <f t="shared" si="28"/>
        <v>#VALUE!</v>
      </c>
    </row>
    <row r="628" spans="25:32" x14ac:dyDescent="0.3">
      <c r="Y628" s="19">
        <f t="shared" si="27"/>
        <v>45871</v>
      </c>
      <c r="AE628" s="19" t="e">
        <f t="shared" si="28"/>
        <v>#VALUE!</v>
      </c>
    </row>
    <row r="629" spans="25:32" x14ac:dyDescent="0.3">
      <c r="Y629" s="19">
        <f t="shared" si="27"/>
        <v>45871</v>
      </c>
      <c r="AE629" s="19" t="e">
        <f t="shared" si="28"/>
        <v>#VALUE!</v>
      </c>
    </row>
    <row r="630" spans="25:32" x14ac:dyDescent="0.3">
      <c r="Y630" s="19">
        <f t="shared" si="27"/>
        <v>45871</v>
      </c>
      <c r="AE630" s="19" t="e">
        <f t="shared" si="28"/>
        <v>#VALUE!</v>
      </c>
    </row>
    <row r="631" spans="25:32" x14ac:dyDescent="0.3">
      <c r="Y631" s="19">
        <f t="shared" si="27"/>
        <v>45871</v>
      </c>
      <c r="AE631" s="19" t="e">
        <f t="shared" si="28"/>
        <v>#VALUE!</v>
      </c>
    </row>
    <row r="632" spans="25:32" x14ac:dyDescent="0.3">
      <c r="Y632" s="19">
        <f t="shared" si="27"/>
        <v>45871</v>
      </c>
      <c r="AE632" s="19" t="e">
        <f t="shared" si="28"/>
        <v>#VALUE!</v>
      </c>
    </row>
    <row r="633" spans="25:32" x14ac:dyDescent="0.3">
      <c r="Y633" s="19">
        <f t="shared" si="27"/>
        <v>45871</v>
      </c>
      <c r="AE633" s="19" t="e">
        <f t="shared" si="28"/>
        <v>#VALUE!</v>
      </c>
      <c r="AF633" s="19"/>
    </row>
    <row r="634" spans="25:32" x14ac:dyDescent="0.3">
      <c r="Y634" s="19">
        <f t="shared" si="27"/>
        <v>45871</v>
      </c>
      <c r="AE634" s="19" t="e">
        <f t="shared" si="28"/>
        <v>#VALUE!</v>
      </c>
      <c r="AF634" s="19"/>
    </row>
    <row r="635" spans="25:32" x14ac:dyDescent="0.3">
      <c r="Y635" s="19">
        <f t="shared" si="27"/>
        <v>45871</v>
      </c>
      <c r="AE635" s="19" t="e">
        <f t="shared" si="28"/>
        <v>#VALUE!</v>
      </c>
      <c r="AF635" s="19"/>
    </row>
    <row r="636" spans="25:32" x14ac:dyDescent="0.3">
      <c r="Y636" s="19">
        <f t="shared" si="27"/>
        <v>45871</v>
      </c>
      <c r="AE636" s="19" t="e">
        <f t="shared" si="28"/>
        <v>#VALUE!</v>
      </c>
      <c r="AF636" s="19"/>
    </row>
    <row r="637" spans="25:32" x14ac:dyDescent="0.3">
      <c r="Y637" s="19">
        <f t="shared" si="27"/>
        <v>45871</v>
      </c>
      <c r="AE637" s="19" t="e">
        <f t="shared" si="28"/>
        <v>#VALUE!</v>
      </c>
      <c r="AF637" s="19"/>
    </row>
    <row r="638" spans="25:32" x14ac:dyDescent="0.3">
      <c r="Y638" s="19">
        <f t="shared" si="27"/>
        <v>45871</v>
      </c>
      <c r="AE638" s="19" t="e">
        <f t="shared" si="28"/>
        <v>#VALUE!</v>
      </c>
      <c r="AF638" s="19"/>
    </row>
    <row r="639" spans="25:32" x14ac:dyDescent="0.3">
      <c r="Y639" s="19">
        <f t="shared" si="27"/>
        <v>45871</v>
      </c>
      <c r="AE639" s="19" t="e">
        <f t="shared" si="28"/>
        <v>#VALUE!</v>
      </c>
      <c r="AF639" s="19"/>
    </row>
    <row r="640" spans="25:32" x14ac:dyDescent="0.3">
      <c r="Y640" s="19">
        <f t="shared" si="27"/>
        <v>45871</v>
      </c>
      <c r="AE640" s="19" t="e">
        <f t="shared" si="28"/>
        <v>#VALUE!</v>
      </c>
    </row>
    <row r="641" spans="25:32" x14ac:dyDescent="0.3">
      <c r="Y641" s="19">
        <f t="shared" si="27"/>
        <v>45871</v>
      </c>
      <c r="AE641" s="19" t="e">
        <f t="shared" si="28"/>
        <v>#VALUE!</v>
      </c>
    </row>
    <row r="642" spans="25:32" x14ac:dyDescent="0.3">
      <c r="Y642" s="19">
        <f t="shared" ref="Y642:Y705" si="29">WORKDAY(DATE(2025,8,2),INT(P642/390))</f>
        <v>45871</v>
      </c>
      <c r="AE642" s="19" t="e">
        <f t="shared" ref="AE642:AE705" si="30">IF(ISNUMBER(AF642),DATE(YEAR(AF642),DAY(AF642),MONTH(AF642)),DATE(RIGHT(AF642,4),LEFT(AF642,2),MID(AF642,4,2)))</f>
        <v>#VALUE!</v>
      </c>
    </row>
    <row r="643" spans="25:32" x14ac:dyDescent="0.3">
      <c r="Y643" s="19">
        <f t="shared" si="29"/>
        <v>45871</v>
      </c>
      <c r="AE643" s="19" t="e">
        <f t="shared" si="30"/>
        <v>#VALUE!</v>
      </c>
    </row>
    <row r="644" spans="25:32" x14ac:dyDescent="0.3">
      <c r="Y644" s="19">
        <f t="shared" si="29"/>
        <v>45871</v>
      </c>
      <c r="AE644" s="19" t="e">
        <f t="shared" si="30"/>
        <v>#VALUE!</v>
      </c>
    </row>
    <row r="645" spans="25:32" x14ac:dyDescent="0.3">
      <c r="Y645" s="19">
        <f t="shared" si="29"/>
        <v>45871</v>
      </c>
      <c r="AE645" s="19" t="e">
        <f t="shared" si="30"/>
        <v>#VALUE!</v>
      </c>
    </row>
    <row r="646" spans="25:32" x14ac:dyDescent="0.3">
      <c r="Y646" s="19">
        <f t="shared" si="29"/>
        <v>45871</v>
      </c>
      <c r="AE646" s="19" t="e">
        <f t="shared" si="30"/>
        <v>#VALUE!</v>
      </c>
    </row>
    <row r="647" spans="25:32" x14ac:dyDescent="0.3">
      <c r="Y647" s="19">
        <f t="shared" si="29"/>
        <v>45871</v>
      </c>
      <c r="AE647" s="19" t="e">
        <f t="shared" si="30"/>
        <v>#VALUE!</v>
      </c>
    </row>
    <row r="648" spans="25:32" x14ac:dyDescent="0.3">
      <c r="Y648" s="19">
        <f t="shared" si="29"/>
        <v>45871</v>
      </c>
      <c r="AE648" s="19" t="e">
        <f t="shared" si="30"/>
        <v>#VALUE!</v>
      </c>
    </row>
    <row r="649" spans="25:32" x14ac:dyDescent="0.3">
      <c r="Y649" s="19">
        <f t="shared" si="29"/>
        <v>45871</v>
      </c>
      <c r="AE649" s="19" t="e">
        <f t="shared" si="30"/>
        <v>#VALUE!</v>
      </c>
    </row>
    <row r="650" spans="25:32" x14ac:dyDescent="0.3">
      <c r="Y650" s="19">
        <f t="shared" si="29"/>
        <v>45871</v>
      </c>
      <c r="AE650" s="19" t="e">
        <f t="shared" si="30"/>
        <v>#VALUE!</v>
      </c>
    </row>
    <row r="651" spans="25:32" x14ac:dyDescent="0.3">
      <c r="Y651" s="19">
        <f t="shared" si="29"/>
        <v>45871</v>
      </c>
      <c r="AE651" s="19" t="e">
        <f t="shared" si="30"/>
        <v>#VALUE!</v>
      </c>
    </row>
    <row r="652" spans="25:32" x14ac:dyDescent="0.3">
      <c r="Y652" s="19">
        <f t="shared" si="29"/>
        <v>45871</v>
      </c>
      <c r="AE652" s="19" t="e">
        <f t="shared" si="30"/>
        <v>#VALUE!</v>
      </c>
    </row>
    <row r="653" spans="25:32" x14ac:dyDescent="0.3">
      <c r="Y653" s="19">
        <f t="shared" si="29"/>
        <v>45871</v>
      </c>
      <c r="AE653" s="19" t="e">
        <f t="shared" si="30"/>
        <v>#VALUE!</v>
      </c>
    </row>
    <row r="654" spans="25:32" x14ac:dyDescent="0.3">
      <c r="Y654" s="19">
        <f t="shared" si="29"/>
        <v>45871</v>
      </c>
      <c r="AE654" s="19" t="e">
        <f t="shared" si="30"/>
        <v>#VALUE!</v>
      </c>
    </row>
    <row r="655" spans="25:32" x14ac:dyDescent="0.3">
      <c r="Y655" s="19">
        <f t="shared" si="29"/>
        <v>45871</v>
      </c>
      <c r="AE655" s="19" t="e">
        <f t="shared" si="30"/>
        <v>#VALUE!</v>
      </c>
      <c r="AF655" s="19"/>
    </row>
    <row r="656" spans="25:32" x14ac:dyDescent="0.3">
      <c r="Y656" s="19">
        <f t="shared" si="29"/>
        <v>45871</v>
      </c>
      <c r="AE656" s="19" t="e">
        <f t="shared" si="30"/>
        <v>#VALUE!</v>
      </c>
      <c r="AF656" s="19"/>
    </row>
    <row r="657" spans="25:32" x14ac:dyDescent="0.3">
      <c r="Y657" s="19">
        <f t="shared" si="29"/>
        <v>45871</v>
      </c>
      <c r="AE657" s="19" t="e">
        <f t="shared" si="30"/>
        <v>#VALUE!</v>
      </c>
      <c r="AF657" s="19"/>
    </row>
    <row r="658" spans="25:32" x14ac:dyDescent="0.3">
      <c r="Y658" s="19">
        <f t="shared" si="29"/>
        <v>45871</v>
      </c>
      <c r="AE658" s="19" t="e">
        <f t="shared" si="30"/>
        <v>#VALUE!</v>
      </c>
      <c r="AF658" s="19"/>
    </row>
    <row r="659" spans="25:32" x14ac:dyDescent="0.3">
      <c r="Y659" s="19">
        <f t="shared" si="29"/>
        <v>45871</v>
      </c>
      <c r="AE659" s="19" t="e">
        <f t="shared" si="30"/>
        <v>#VALUE!</v>
      </c>
      <c r="AF659" s="19"/>
    </row>
    <row r="660" spans="25:32" x14ac:dyDescent="0.3">
      <c r="Y660" s="19">
        <f t="shared" si="29"/>
        <v>45871</v>
      </c>
      <c r="AE660" s="19" t="e">
        <f t="shared" si="30"/>
        <v>#VALUE!</v>
      </c>
      <c r="AF660" s="19"/>
    </row>
    <row r="661" spans="25:32" x14ac:dyDescent="0.3">
      <c r="Y661" s="19">
        <f t="shared" si="29"/>
        <v>45871</v>
      </c>
      <c r="AE661" s="19" t="e">
        <f t="shared" si="30"/>
        <v>#VALUE!</v>
      </c>
      <c r="AF661" s="19"/>
    </row>
    <row r="662" spans="25:32" x14ac:dyDescent="0.3">
      <c r="Y662" s="19">
        <f t="shared" si="29"/>
        <v>45871</v>
      </c>
      <c r="AE662" s="19" t="e">
        <f t="shared" si="30"/>
        <v>#VALUE!</v>
      </c>
      <c r="AF662" s="19"/>
    </row>
    <row r="663" spans="25:32" x14ac:dyDescent="0.3">
      <c r="Y663" s="19">
        <f t="shared" si="29"/>
        <v>45871</v>
      </c>
      <c r="AE663" s="19" t="e">
        <f t="shared" si="30"/>
        <v>#VALUE!</v>
      </c>
    </row>
    <row r="664" spans="25:32" x14ac:dyDescent="0.3">
      <c r="Y664" s="19">
        <f t="shared" si="29"/>
        <v>45871</v>
      </c>
      <c r="AE664" s="19" t="e">
        <f t="shared" si="30"/>
        <v>#VALUE!</v>
      </c>
    </row>
    <row r="665" spans="25:32" x14ac:dyDescent="0.3">
      <c r="Y665" s="19">
        <f t="shared" si="29"/>
        <v>45871</v>
      </c>
      <c r="AE665" s="19" t="e">
        <f t="shared" si="30"/>
        <v>#VALUE!</v>
      </c>
    </row>
    <row r="666" spans="25:32" x14ac:dyDescent="0.3">
      <c r="Y666" s="19">
        <f t="shared" si="29"/>
        <v>45871</v>
      </c>
      <c r="AE666" s="19" t="e">
        <f t="shared" si="30"/>
        <v>#VALUE!</v>
      </c>
    </row>
    <row r="667" spans="25:32" x14ac:dyDescent="0.3">
      <c r="Y667" s="19">
        <f t="shared" si="29"/>
        <v>45871</v>
      </c>
      <c r="AE667" s="19" t="e">
        <f t="shared" si="30"/>
        <v>#VALUE!</v>
      </c>
    </row>
    <row r="668" spans="25:32" x14ac:dyDescent="0.3">
      <c r="Y668" s="19">
        <f t="shared" si="29"/>
        <v>45871</v>
      </c>
      <c r="AE668" s="19" t="e">
        <f t="shared" si="30"/>
        <v>#VALUE!</v>
      </c>
    </row>
    <row r="669" spans="25:32" x14ac:dyDescent="0.3">
      <c r="Y669" s="19">
        <f t="shared" si="29"/>
        <v>45871</v>
      </c>
      <c r="AE669" s="19" t="e">
        <f t="shared" si="30"/>
        <v>#VALUE!</v>
      </c>
    </row>
    <row r="670" spans="25:32" x14ac:dyDescent="0.3">
      <c r="Y670" s="19">
        <f t="shared" si="29"/>
        <v>45871</v>
      </c>
      <c r="AE670" s="19" t="e">
        <f t="shared" si="30"/>
        <v>#VALUE!</v>
      </c>
    </row>
    <row r="671" spans="25:32" x14ac:dyDescent="0.3">
      <c r="Y671" s="19">
        <f t="shared" si="29"/>
        <v>45871</v>
      </c>
      <c r="AE671" s="19" t="e">
        <f t="shared" si="30"/>
        <v>#VALUE!</v>
      </c>
    </row>
    <row r="672" spans="25:32" x14ac:dyDescent="0.3">
      <c r="Y672" s="19">
        <f t="shared" si="29"/>
        <v>45871</v>
      </c>
      <c r="AE672" s="19" t="e">
        <f t="shared" si="30"/>
        <v>#VALUE!</v>
      </c>
    </row>
    <row r="673" spans="25:32" x14ac:dyDescent="0.3">
      <c r="Y673" s="19">
        <f t="shared" si="29"/>
        <v>45871</v>
      </c>
      <c r="AE673" s="19" t="e">
        <f t="shared" si="30"/>
        <v>#VALUE!</v>
      </c>
    </row>
    <row r="674" spans="25:32" x14ac:dyDescent="0.3">
      <c r="Y674" s="19">
        <f t="shared" si="29"/>
        <v>45871</v>
      </c>
      <c r="AE674" s="19" t="e">
        <f t="shared" si="30"/>
        <v>#VALUE!</v>
      </c>
    </row>
    <row r="675" spans="25:32" x14ac:dyDescent="0.3">
      <c r="Y675" s="19">
        <f t="shared" si="29"/>
        <v>45871</v>
      </c>
      <c r="AE675" s="19" t="e">
        <f t="shared" si="30"/>
        <v>#VALUE!</v>
      </c>
    </row>
    <row r="676" spans="25:32" x14ac:dyDescent="0.3">
      <c r="Y676" s="19">
        <f t="shared" si="29"/>
        <v>45871</v>
      </c>
      <c r="AE676" s="19" t="e">
        <f t="shared" si="30"/>
        <v>#VALUE!</v>
      </c>
      <c r="AF676" s="19"/>
    </row>
    <row r="677" spans="25:32" x14ac:dyDescent="0.3">
      <c r="Y677" s="19">
        <f t="shared" si="29"/>
        <v>45871</v>
      </c>
      <c r="AE677" s="19" t="e">
        <f t="shared" si="30"/>
        <v>#VALUE!</v>
      </c>
      <c r="AF677" s="19"/>
    </row>
    <row r="678" spans="25:32" x14ac:dyDescent="0.3">
      <c r="Y678" s="19">
        <f t="shared" si="29"/>
        <v>45871</v>
      </c>
      <c r="AE678" s="19" t="e">
        <f t="shared" si="30"/>
        <v>#VALUE!</v>
      </c>
      <c r="AF678" s="19"/>
    </row>
    <row r="679" spans="25:32" x14ac:dyDescent="0.3">
      <c r="Y679" s="19">
        <f t="shared" si="29"/>
        <v>45871</v>
      </c>
      <c r="AE679" s="19" t="e">
        <f t="shared" si="30"/>
        <v>#VALUE!</v>
      </c>
      <c r="AF679" s="19"/>
    </row>
    <row r="680" spans="25:32" x14ac:dyDescent="0.3">
      <c r="Y680" s="19">
        <f t="shared" si="29"/>
        <v>45871</v>
      </c>
      <c r="AE680" s="19" t="e">
        <f t="shared" si="30"/>
        <v>#VALUE!</v>
      </c>
      <c r="AF680" s="19"/>
    </row>
    <row r="681" spans="25:32" x14ac:dyDescent="0.3">
      <c r="Y681" s="19">
        <f t="shared" si="29"/>
        <v>45871</v>
      </c>
      <c r="AE681" s="19" t="e">
        <f t="shared" si="30"/>
        <v>#VALUE!</v>
      </c>
      <c r="AF681" s="19"/>
    </row>
    <row r="682" spans="25:32" x14ac:dyDescent="0.3">
      <c r="Y682" s="19">
        <f t="shared" si="29"/>
        <v>45871</v>
      </c>
      <c r="AE682" s="19" t="e">
        <f t="shared" si="30"/>
        <v>#VALUE!</v>
      </c>
      <c r="AF682" s="19"/>
    </row>
    <row r="683" spans="25:32" x14ac:dyDescent="0.3">
      <c r="Y683" s="19">
        <f t="shared" si="29"/>
        <v>45871</v>
      </c>
      <c r="AE683" s="19" t="e">
        <f t="shared" si="30"/>
        <v>#VALUE!</v>
      </c>
      <c r="AF683" s="19"/>
    </row>
    <row r="684" spans="25:32" x14ac:dyDescent="0.3">
      <c r="Y684" s="19">
        <f t="shared" si="29"/>
        <v>45871</v>
      </c>
      <c r="AE684" s="19" t="e">
        <f t="shared" si="30"/>
        <v>#VALUE!</v>
      </c>
    </row>
    <row r="685" spans="25:32" x14ac:dyDescent="0.3">
      <c r="Y685" s="19">
        <f t="shared" si="29"/>
        <v>45871</v>
      </c>
      <c r="AE685" s="19" t="e">
        <f t="shared" si="30"/>
        <v>#VALUE!</v>
      </c>
    </row>
    <row r="686" spans="25:32" x14ac:dyDescent="0.3">
      <c r="Y686" s="19">
        <f t="shared" si="29"/>
        <v>45871</v>
      </c>
      <c r="AE686" s="19" t="e">
        <f t="shared" si="30"/>
        <v>#VALUE!</v>
      </c>
    </row>
    <row r="687" spans="25:32" x14ac:dyDescent="0.3">
      <c r="Y687" s="19">
        <f t="shared" si="29"/>
        <v>45871</v>
      </c>
      <c r="AE687" s="19" t="e">
        <f t="shared" si="30"/>
        <v>#VALUE!</v>
      </c>
    </row>
    <row r="688" spans="25:32" x14ac:dyDescent="0.3">
      <c r="Y688" s="19">
        <f t="shared" si="29"/>
        <v>45871</v>
      </c>
      <c r="AE688" s="19" t="e">
        <f t="shared" si="30"/>
        <v>#VALUE!</v>
      </c>
    </row>
    <row r="689" spans="25:32" x14ac:dyDescent="0.3">
      <c r="Y689" s="19">
        <f t="shared" si="29"/>
        <v>45871</v>
      </c>
      <c r="AE689" s="19" t="e">
        <f t="shared" si="30"/>
        <v>#VALUE!</v>
      </c>
    </row>
    <row r="690" spans="25:32" x14ac:dyDescent="0.3">
      <c r="Y690" s="19">
        <f t="shared" si="29"/>
        <v>45871</v>
      </c>
      <c r="AE690" s="19" t="e">
        <f t="shared" si="30"/>
        <v>#VALUE!</v>
      </c>
    </row>
    <row r="691" spans="25:32" x14ac:dyDescent="0.3">
      <c r="Y691" s="19">
        <f t="shared" si="29"/>
        <v>45871</v>
      </c>
      <c r="AE691" s="19" t="e">
        <f t="shared" si="30"/>
        <v>#VALUE!</v>
      </c>
    </row>
    <row r="692" spans="25:32" x14ac:dyDescent="0.3">
      <c r="Y692" s="19">
        <f t="shared" si="29"/>
        <v>45871</v>
      </c>
      <c r="AE692" s="19" t="e">
        <f t="shared" si="30"/>
        <v>#VALUE!</v>
      </c>
    </row>
    <row r="693" spans="25:32" x14ac:dyDescent="0.3">
      <c r="Y693" s="19">
        <f t="shared" si="29"/>
        <v>45871</v>
      </c>
      <c r="AE693" s="19" t="e">
        <f t="shared" si="30"/>
        <v>#VALUE!</v>
      </c>
    </row>
    <row r="694" spans="25:32" x14ac:dyDescent="0.3">
      <c r="Y694" s="19">
        <f t="shared" si="29"/>
        <v>45871</v>
      </c>
      <c r="AE694" s="19" t="e">
        <f t="shared" si="30"/>
        <v>#VALUE!</v>
      </c>
    </row>
    <row r="695" spans="25:32" x14ac:dyDescent="0.3">
      <c r="Y695" s="19">
        <f t="shared" si="29"/>
        <v>45871</v>
      </c>
      <c r="AE695" s="19" t="e">
        <f t="shared" si="30"/>
        <v>#VALUE!</v>
      </c>
    </row>
    <row r="696" spans="25:32" x14ac:dyDescent="0.3">
      <c r="Y696" s="19">
        <f t="shared" si="29"/>
        <v>45871</v>
      </c>
      <c r="AE696" s="19" t="e">
        <f t="shared" si="30"/>
        <v>#VALUE!</v>
      </c>
    </row>
    <row r="697" spans="25:32" x14ac:dyDescent="0.3">
      <c r="Y697" s="19">
        <f t="shared" si="29"/>
        <v>45871</v>
      </c>
      <c r="AE697" s="19" t="e">
        <f t="shared" si="30"/>
        <v>#VALUE!</v>
      </c>
      <c r="AF697" s="19"/>
    </row>
    <row r="698" spans="25:32" x14ac:dyDescent="0.3">
      <c r="Y698" s="19">
        <f t="shared" si="29"/>
        <v>45871</v>
      </c>
      <c r="AE698" s="19" t="e">
        <f t="shared" si="30"/>
        <v>#VALUE!</v>
      </c>
      <c r="AF698" s="19"/>
    </row>
    <row r="699" spans="25:32" x14ac:dyDescent="0.3">
      <c r="Y699" s="19">
        <f t="shared" si="29"/>
        <v>45871</v>
      </c>
      <c r="AE699" s="19" t="e">
        <f t="shared" si="30"/>
        <v>#VALUE!</v>
      </c>
      <c r="AF699" s="19"/>
    </row>
    <row r="700" spans="25:32" x14ac:dyDescent="0.3">
      <c r="Y700" s="19">
        <f t="shared" si="29"/>
        <v>45871</v>
      </c>
      <c r="AE700" s="19" t="e">
        <f t="shared" si="30"/>
        <v>#VALUE!</v>
      </c>
      <c r="AF700" s="19"/>
    </row>
    <row r="701" spans="25:32" x14ac:dyDescent="0.3">
      <c r="Y701" s="19">
        <f t="shared" si="29"/>
        <v>45871</v>
      </c>
      <c r="AE701" s="19" t="e">
        <f t="shared" si="30"/>
        <v>#VALUE!</v>
      </c>
      <c r="AF701" s="19"/>
    </row>
    <row r="702" spans="25:32" x14ac:dyDescent="0.3">
      <c r="Y702" s="19">
        <f t="shared" si="29"/>
        <v>45871</v>
      </c>
      <c r="AE702" s="19" t="e">
        <f t="shared" si="30"/>
        <v>#VALUE!</v>
      </c>
      <c r="AF702" s="19"/>
    </row>
    <row r="703" spans="25:32" x14ac:dyDescent="0.3">
      <c r="Y703" s="19">
        <f t="shared" si="29"/>
        <v>45871</v>
      </c>
      <c r="AE703" s="19" t="e">
        <f t="shared" si="30"/>
        <v>#VALUE!</v>
      </c>
      <c r="AF703" s="19"/>
    </row>
    <row r="704" spans="25:32" x14ac:dyDescent="0.3">
      <c r="Y704" s="19">
        <f t="shared" si="29"/>
        <v>45871</v>
      </c>
      <c r="AE704" s="19" t="e">
        <f t="shared" si="30"/>
        <v>#VALUE!</v>
      </c>
      <c r="AF704" s="19"/>
    </row>
    <row r="705" spans="25:32" x14ac:dyDescent="0.3">
      <c r="Y705" s="19">
        <f t="shared" si="29"/>
        <v>45871</v>
      </c>
      <c r="AE705" s="19" t="e">
        <f t="shared" si="30"/>
        <v>#VALUE!</v>
      </c>
    </row>
    <row r="706" spans="25:32" x14ac:dyDescent="0.3">
      <c r="Y706" s="19">
        <f t="shared" ref="Y706:Y769" si="31">WORKDAY(DATE(2025,8,2),INT(P706/390))</f>
        <v>45871</v>
      </c>
      <c r="AE706" s="19" t="e">
        <f t="shared" ref="AE706:AE769" si="32">IF(ISNUMBER(AF706),DATE(YEAR(AF706),DAY(AF706),MONTH(AF706)),DATE(RIGHT(AF706,4),LEFT(AF706,2),MID(AF706,4,2)))</f>
        <v>#VALUE!</v>
      </c>
    </row>
    <row r="707" spans="25:32" x14ac:dyDescent="0.3">
      <c r="Y707" s="19">
        <f t="shared" si="31"/>
        <v>45871</v>
      </c>
      <c r="AE707" s="19" t="e">
        <f t="shared" si="32"/>
        <v>#VALUE!</v>
      </c>
    </row>
    <row r="708" spans="25:32" x14ac:dyDescent="0.3">
      <c r="Y708" s="19">
        <f t="shared" si="31"/>
        <v>45871</v>
      </c>
      <c r="AE708" s="19" t="e">
        <f t="shared" si="32"/>
        <v>#VALUE!</v>
      </c>
    </row>
    <row r="709" spans="25:32" x14ac:dyDescent="0.3">
      <c r="Y709" s="19">
        <f t="shared" si="31"/>
        <v>45871</v>
      </c>
      <c r="AE709" s="19" t="e">
        <f t="shared" si="32"/>
        <v>#VALUE!</v>
      </c>
    </row>
    <row r="710" spans="25:32" x14ac:dyDescent="0.3">
      <c r="Y710" s="19">
        <f t="shared" si="31"/>
        <v>45871</v>
      </c>
      <c r="AE710" s="19" t="e">
        <f t="shared" si="32"/>
        <v>#VALUE!</v>
      </c>
    </row>
    <row r="711" spans="25:32" x14ac:dyDescent="0.3">
      <c r="Y711" s="19">
        <f t="shared" si="31"/>
        <v>45871</v>
      </c>
      <c r="AE711" s="19" t="e">
        <f t="shared" si="32"/>
        <v>#VALUE!</v>
      </c>
    </row>
    <row r="712" spans="25:32" x14ac:dyDescent="0.3">
      <c r="Y712" s="19">
        <f t="shared" si="31"/>
        <v>45871</v>
      </c>
      <c r="AE712" s="19" t="e">
        <f t="shared" si="32"/>
        <v>#VALUE!</v>
      </c>
    </row>
    <row r="713" spans="25:32" x14ac:dyDescent="0.3">
      <c r="Y713" s="19">
        <f t="shared" si="31"/>
        <v>45871</v>
      </c>
      <c r="AE713" s="19" t="e">
        <f t="shared" si="32"/>
        <v>#VALUE!</v>
      </c>
    </row>
    <row r="714" spans="25:32" x14ac:dyDescent="0.3">
      <c r="Y714" s="19">
        <f t="shared" si="31"/>
        <v>45871</v>
      </c>
      <c r="AE714" s="19" t="e">
        <f t="shared" si="32"/>
        <v>#VALUE!</v>
      </c>
    </row>
    <row r="715" spans="25:32" x14ac:dyDescent="0.3">
      <c r="Y715" s="19">
        <f t="shared" si="31"/>
        <v>45871</v>
      </c>
      <c r="AE715" s="19" t="e">
        <f t="shared" si="32"/>
        <v>#VALUE!</v>
      </c>
    </row>
    <row r="716" spans="25:32" x14ac:dyDescent="0.3">
      <c r="Y716" s="19">
        <f t="shared" si="31"/>
        <v>45871</v>
      </c>
      <c r="AE716" s="19" t="e">
        <f t="shared" si="32"/>
        <v>#VALUE!</v>
      </c>
    </row>
    <row r="717" spans="25:32" x14ac:dyDescent="0.3">
      <c r="Y717" s="19">
        <f t="shared" si="31"/>
        <v>45871</v>
      </c>
      <c r="AE717" s="19" t="e">
        <f t="shared" si="32"/>
        <v>#VALUE!</v>
      </c>
    </row>
    <row r="718" spans="25:32" x14ac:dyDescent="0.3">
      <c r="Y718" s="19">
        <f t="shared" si="31"/>
        <v>45871</v>
      </c>
      <c r="AE718" s="19" t="e">
        <f t="shared" si="32"/>
        <v>#VALUE!</v>
      </c>
    </row>
    <row r="719" spans="25:32" x14ac:dyDescent="0.3">
      <c r="Y719" s="19">
        <f t="shared" si="31"/>
        <v>45871</v>
      </c>
      <c r="AE719" s="19" t="e">
        <f t="shared" si="32"/>
        <v>#VALUE!</v>
      </c>
      <c r="AF719" s="19"/>
    </row>
    <row r="720" spans="25:32" x14ac:dyDescent="0.3">
      <c r="Y720" s="19">
        <f t="shared" si="31"/>
        <v>45871</v>
      </c>
      <c r="AE720" s="19" t="e">
        <f t="shared" si="32"/>
        <v>#VALUE!</v>
      </c>
      <c r="AF720" s="19"/>
    </row>
    <row r="721" spans="25:32" x14ac:dyDescent="0.3">
      <c r="Y721" s="19">
        <f t="shared" si="31"/>
        <v>45871</v>
      </c>
      <c r="AE721" s="19" t="e">
        <f t="shared" si="32"/>
        <v>#VALUE!</v>
      </c>
      <c r="AF721" s="19"/>
    </row>
    <row r="722" spans="25:32" x14ac:dyDescent="0.3">
      <c r="Y722" s="19">
        <f t="shared" si="31"/>
        <v>45871</v>
      </c>
      <c r="AE722" s="19" t="e">
        <f t="shared" si="32"/>
        <v>#VALUE!</v>
      </c>
      <c r="AF722" s="19"/>
    </row>
    <row r="723" spans="25:32" x14ac:dyDescent="0.3">
      <c r="Y723" s="19">
        <f t="shared" si="31"/>
        <v>45871</v>
      </c>
      <c r="AE723" s="19" t="e">
        <f t="shared" si="32"/>
        <v>#VALUE!</v>
      </c>
      <c r="AF723" s="19"/>
    </row>
    <row r="724" spans="25:32" x14ac:dyDescent="0.3">
      <c r="Y724" s="19">
        <f t="shared" si="31"/>
        <v>45871</v>
      </c>
      <c r="AE724" s="19" t="e">
        <f t="shared" si="32"/>
        <v>#VALUE!</v>
      </c>
      <c r="AF724" s="19"/>
    </row>
    <row r="725" spans="25:32" x14ac:dyDescent="0.3">
      <c r="Y725" s="19">
        <f t="shared" si="31"/>
        <v>45871</v>
      </c>
      <c r="AE725" s="19" t="e">
        <f t="shared" si="32"/>
        <v>#VALUE!</v>
      </c>
      <c r="AF725" s="19"/>
    </row>
    <row r="726" spans="25:32" x14ac:dyDescent="0.3">
      <c r="Y726" s="19">
        <f t="shared" si="31"/>
        <v>45871</v>
      </c>
      <c r="AE726" s="19" t="e">
        <f t="shared" si="32"/>
        <v>#VALUE!</v>
      </c>
      <c r="AF726" s="19"/>
    </row>
    <row r="727" spans="25:32" x14ac:dyDescent="0.3">
      <c r="Y727" s="19">
        <f t="shared" si="31"/>
        <v>45871</v>
      </c>
      <c r="AE727" s="19" t="e">
        <f t="shared" si="32"/>
        <v>#VALUE!</v>
      </c>
      <c r="AF727" s="19"/>
    </row>
    <row r="728" spans="25:32" x14ac:dyDescent="0.3">
      <c r="Y728" s="19">
        <f t="shared" si="31"/>
        <v>45871</v>
      </c>
      <c r="AE728" s="19" t="e">
        <f t="shared" si="32"/>
        <v>#VALUE!</v>
      </c>
    </row>
    <row r="729" spans="25:32" x14ac:dyDescent="0.3">
      <c r="Y729" s="19">
        <f t="shared" si="31"/>
        <v>45871</v>
      </c>
      <c r="AE729" s="19" t="e">
        <f t="shared" si="32"/>
        <v>#VALUE!</v>
      </c>
    </row>
    <row r="730" spans="25:32" x14ac:dyDescent="0.3">
      <c r="Y730" s="19">
        <f t="shared" si="31"/>
        <v>45871</v>
      </c>
      <c r="AE730" s="19" t="e">
        <f t="shared" si="32"/>
        <v>#VALUE!</v>
      </c>
    </row>
    <row r="731" spans="25:32" x14ac:dyDescent="0.3">
      <c r="Y731" s="19">
        <f t="shared" si="31"/>
        <v>45871</v>
      </c>
      <c r="AE731" s="19" t="e">
        <f t="shared" si="32"/>
        <v>#VALUE!</v>
      </c>
    </row>
    <row r="732" spans="25:32" x14ac:dyDescent="0.3">
      <c r="Y732" s="19">
        <f t="shared" si="31"/>
        <v>45871</v>
      </c>
      <c r="AE732" s="19" t="e">
        <f t="shared" si="32"/>
        <v>#VALUE!</v>
      </c>
    </row>
    <row r="733" spans="25:32" x14ac:dyDescent="0.3">
      <c r="Y733" s="19">
        <f t="shared" si="31"/>
        <v>45871</v>
      </c>
      <c r="AE733" s="19" t="e">
        <f t="shared" si="32"/>
        <v>#VALUE!</v>
      </c>
    </row>
    <row r="734" spans="25:32" x14ac:dyDescent="0.3">
      <c r="Y734" s="19">
        <f t="shared" si="31"/>
        <v>45871</v>
      </c>
      <c r="AE734" s="19" t="e">
        <f t="shared" si="32"/>
        <v>#VALUE!</v>
      </c>
    </row>
    <row r="735" spans="25:32" x14ac:dyDescent="0.3">
      <c r="Y735" s="19">
        <f t="shared" si="31"/>
        <v>45871</v>
      </c>
      <c r="AE735" s="19" t="e">
        <f t="shared" si="32"/>
        <v>#VALUE!</v>
      </c>
    </row>
    <row r="736" spans="25:32" x14ac:dyDescent="0.3">
      <c r="Y736" s="19">
        <f t="shared" si="31"/>
        <v>45871</v>
      </c>
      <c r="AE736" s="19" t="e">
        <f t="shared" si="32"/>
        <v>#VALUE!</v>
      </c>
    </row>
    <row r="737" spans="25:32" x14ac:dyDescent="0.3">
      <c r="Y737" s="19">
        <f t="shared" si="31"/>
        <v>45871</v>
      </c>
      <c r="AE737" s="19" t="e">
        <f t="shared" si="32"/>
        <v>#VALUE!</v>
      </c>
    </row>
    <row r="738" spans="25:32" x14ac:dyDescent="0.3">
      <c r="Y738" s="19">
        <f t="shared" si="31"/>
        <v>45871</v>
      </c>
      <c r="AE738" s="19" t="e">
        <f t="shared" si="32"/>
        <v>#VALUE!</v>
      </c>
    </row>
    <row r="739" spans="25:32" x14ac:dyDescent="0.3">
      <c r="Y739" s="19">
        <f t="shared" si="31"/>
        <v>45871</v>
      </c>
      <c r="AE739" s="19" t="e">
        <f t="shared" si="32"/>
        <v>#VALUE!</v>
      </c>
      <c r="AF739" s="19"/>
    </row>
    <row r="740" spans="25:32" x14ac:dyDescent="0.3">
      <c r="Y740" s="19">
        <f t="shared" si="31"/>
        <v>45871</v>
      </c>
      <c r="AE740" s="19" t="e">
        <f t="shared" si="32"/>
        <v>#VALUE!</v>
      </c>
      <c r="AF740" s="19"/>
    </row>
    <row r="741" spans="25:32" x14ac:dyDescent="0.3">
      <c r="Y741" s="19">
        <f t="shared" si="31"/>
        <v>45871</v>
      </c>
      <c r="AE741" s="19" t="e">
        <f t="shared" si="32"/>
        <v>#VALUE!</v>
      </c>
      <c r="AF741" s="19"/>
    </row>
    <row r="742" spans="25:32" x14ac:dyDescent="0.3">
      <c r="Y742" s="19">
        <f t="shared" si="31"/>
        <v>45871</v>
      </c>
      <c r="AE742" s="19" t="e">
        <f t="shared" si="32"/>
        <v>#VALUE!</v>
      </c>
      <c r="AF742" s="19"/>
    </row>
    <row r="743" spans="25:32" x14ac:dyDescent="0.3">
      <c r="Y743" s="19">
        <f t="shared" si="31"/>
        <v>45871</v>
      </c>
      <c r="AE743" s="19" t="e">
        <f t="shared" si="32"/>
        <v>#VALUE!</v>
      </c>
      <c r="AF743" s="19"/>
    </row>
    <row r="744" spans="25:32" x14ac:dyDescent="0.3">
      <c r="Y744" s="19">
        <f t="shared" si="31"/>
        <v>45871</v>
      </c>
      <c r="AE744" s="19" t="e">
        <f t="shared" si="32"/>
        <v>#VALUE!</v>
      </c>
      <c r="AF744" s="19"/>
    </row>
    <row r="745" spans="25:32" x14ac:dyDescent="0.3">
      <c r="Y745" s="19">
        <f t="shared" si="31"/>
        <v>45871</v>
      </c>
      <c r="AE745" s="19" t="e">
        <f t="shared" si="32"/>
        <v>#VALUE!</v>
      </c>
      <c r="AF745" s="19"/>
    </row>
    <row r="746" spans="25:32" x14ac:dyDescent="0.3">
      <c r="Y746" s="19">
        <f t="shared" si="31"/>
        <v>45871</v>
      </c>
      <c r="AE746" s="19" t="e">
        <f t="shared" si="32"/>
        <v>#VALUE!</v>
      </c>
      <c r="AF746" s="19"/>
    </row>
    <row r="747" spans="25:32" x14ac:dyDescent="0.3">
      <c r="Y747" s="19">
        <f t="shared" si="31"/>
        <v>45871</v>
      </c>
      <c r="AE747" s="19" t="e">
        <f t="shared" si="32"/>
        <v>#VALUE!</v>
      </c>
      <c r="AF747" s="19"/>
    </row>
    <row r="748" spans="25:32" x14ac:dyDescent="0.3">
      <c r="Y748" s="19">
        <f t="shared" si="31"/>
        <v>45871</v>
      </c>
      <c r="AE748" s="19" t="e">
        <f t="shared" si="32"/>
        <v>#VALUE!</v>
      </c>
    </row>
    <row r="749" spans="25:32" x14ac:dyDescent="0.3">
      <c r="Y749" s="19">
        <f t="shared" si="31"/>
        <v>45871</v>
      </c>
      <c r="AE749" s="19" t="e">
        <f t="shared" si="32"/>
        <v>#VALUE!</v>
      </c>
    </row>
    <row r="750" spans="25:32" x14ac:dyDescent="0.3">
      <c r="Y750" s="19">
        <f t="shared" si="31"/>
        <v>45871</v>
      </c>
      <c r="AE750" s="19" t="e">
        <f t="shared" si="32"/>
        <v>#VALUE!</v>
      </c>
    </row>
    <row r="751" spans="25:32" x14ac:dyDescent="0.3">
      <c r="Y751" s="19">
        <f t="shared" si="31"/>
        <v>45871</v>
      </c>
      <c r="AE751" s="19" t="e">
        <f t="shared" si="32"/>
        <v>#VALUE!</v>
      </c>
    </row>
    <row r="752" spans="25:32" x14ac:dyDescent="0.3">
      <c r="Y752" s="19">
        <f t="shared" si="31"/>
        <v>45871</v>
      </c>
      <c r="AE752" s="19" t="e">
        <f t="shared" si="32"/>
        <v>#VALUE!</v>
      </c>
    </row>
    <row r="753" spans="25:32" x14ac:dyDescent="0.3">
      <c r="Y753" s="19">
        <f t="shared" si="31"/>
        <v>45871</v>
      </c>
      <c r="AE753" s="19" t="e">
        <f t="shared" si="32"/>
        <v>#VALUE!</v>
      </c>
    </row>
    <row r="754" spans="25:32" x14ac:dyDescent="0.3">
      <c r="Y754" s="19">
        <f t="shared" si="31"/>
        <v>45871</v>
      </c>
      <c r="AE754" s="19" t="e">
        <f t="shared" si="32"/>
        <v>#VALUE!</v>
      </c>
    </row>
    <row r="755" spans="25:32" x14ac:dyDescent="0.3">
      <c r="Y755" s="19">
        <f t="shared" si="31"/>
        <v>45871</v>
      </c>
      <c r="AE755" s="19" t="e">
        <f t="shared" si="32"/>
        <v>#VALUE!</v>
      </c>
    </row>
    <row r="756" spans="25:32" x14ac:dyDescent="0.3">
      <c r="Y756" s="19">
        <f t="shared" si="31"/>
        <v>45871</v>
      </c>
      <c r="AE756" s="19" t="e">
        <f t="shared" si="32"/>
        <v>#VALUE!</v>
      </c>
    </row>
    <row r="757" spans="25:32" x14ac:dyDescent="0.3">
      <c r="Y757" s="19">
        <f t="shared" si="31"/>
        <v>45871</v>
      </c>
      <c r="AE757" s="19" t="e">
        <f t="shared" si="32"/>
        <v>#VALUE!</v>
      </c>
    </row>
    <row r="758" spans="25:32" x14ac:dyDescent="0.3">
      <c r="Y758" s="19">
        <f t="shared" si="31"/>
        <v>45871</v>
      </c>
      <c r="AE758" s="19" t="e">
        <f t="shared" si="32"/>
        <v>#VALUE!</v>
      </c>
    </row>
    <row r="759" spans="25:32" x14ac:dyDescent="0.3">
      <c r="Y759" s="19">
        <f t="shared" si="31"/>
        <v>45871</v>
      </c>
      <c r="AE759" s="19" t="e">
        <f t="shared" si="32"/>
        <v>#VALUE!</v>
      </c>
    </row>
    <row r="760" spans="25:32" x14ac:dyDescent="0.3">
      <c r="Y760" s="19">
        <f t="shared" si="31"/>
        <v>45871</v>
      </c>
      <c r="AE760" s="19" t="e">
        <f t="shared" si="32"/>
        <v>#VALUE!</v>
      </c>
    </row>
    <row r="761" spans="25:32" x14ac:dyDescent="0.3">
      <c r="Y761" s="19">
        <f t="shared" si="31"/>
        <v>45871</v>
      </c>
      <c r="AE761" s="19" t="e">
        <f t="shared" si="32"/>
        <v>#VALUE!</v>
      </c>
      <c r="AF761" s="19"/>
    </row>
    <row r="762" spans="25:32" x14ac:dyDescent="0.3">
      <c r="Y762" s="19">
        <f t="shared" si="31"/>
        <v>45871</v>
      </c>
      <c r="AE762" s="19" t="e">
        <f t="shared" si="32"/>
        <v>#VALUE!</v>
      </c>
      <c r="AF762" s="19"/>
    </row>
    <row r="763" spans="25:32" x14ac:dyDescent="0.3">
      <c r="Y763" s="19">
        <f t="shared" si="31"/>
        <v>45871</v>
      </c>
      <c r="AE763" s="19" t="e">
        <f t="shared" si="32"/>
        <v>#VALUE!</v>
      </c>
      <c r="AF763" s="19"/>
    </row>
    <row r="764" spans="25:32" x14ac:dyDescent="0.3">
      <c r="Y764" s="19">
        <f t="shared" si="31"/>
        <v>45871</v>
      </c>
      <c r="AE764" s="19" t="e">
        <f t="shared" si="32"/>
        <v>#VALUE!</v>
      </c>
      <c r="AF764" s="19"/>
    </row>
    <row r="765" spans="25:32" x14ac:dyDescent="0.3">
      <c r="Y765" s="19">
        <f t="shared" si="31"/>
        <v>45871</v>
      </c>
      <c r="AE765" s="19" t="e">
        <f t="shared" si="32"/>
        <v>#VALUE!</v>
      </c>
      <c r="AF765" s="19"/>
    </row>
    <row r="766" spans="25:32" x14ac:dyDescent="0.3">
      <c r="Y766" s="19">
        <f t="shared" si="31"/>
        <v>45871</v>
      </c>
      <c r="AE766" s="19" t="e">
        <f t="shared" si="32"/>
        <v>#VALUE!</v>
      </c>
      <c r="AF766" s="19"/>
    </row>
    <row r="767" spans="25:32" x14ac:dyDescent="0.3">
      <c r="Y767" s="19">
        <f t="shared" si="31"/>
        <v>45871</v>
      </c>
      <c r="AE767" s="19" t="e">
        <f t="shared" si="32"/>
        <v>#VALUE!</v>
      </c>
      <c r="AF767" s="19"/>
    </row>
    <row r="768" spans="25:32" x14ac:dyDescent="0.3">
      <c r="Y768" s="19">
        <f t="shared" si="31"/>
        <v>45871</v>
      </c>
      <c r="AE768" s="19" t="e">
        <f t="shared" si="32"/>
        <v>#VALUE!</v>
      </c>
    </row>
    <row r="769" spans="25:32" x14ac:dyDescent="0.3">
      <c r="Y769" s="19">
        <f t="shared" si="31"/>
        <v>45871</v>
      </c>
      <c r="AE769" s="19" t="e">
        <f t="shared" si="32"/>
        <v>#VALUE!</v>
      </c>
    </row>
    <row r="770" spans="25:32" x14ac:dyDescent="0.3">
      <c r="Y770" s="19">
        <f t="shared" ref="Y770:Y833" si="33">WORKDAY(DATE(2025,8,2),INT(P770/390))</f>
        <v>45871</v>
      </c>
      <c r="AE770" s="19" t="e">
        <f t="shared" ref="AE770:AE833" si="34">IF(ISNUMBER(AF770),DATE(YEAR(AF770),DAY(AF770),MONTH(AF770)),DATE(RIGHT(AF770,4),LEFT(AF770,2),MID(AF770,4,2)))</f>
        <v>#VALUE!</v>
      </c>
    </row>
    <row r="771" spans="25:32" x14ac:dyDescent="0.3">
      <c r="Y771" s="19">
        <f t="shared" si="33"/>
        <v>45871</v>
      </c>
      <c r="AE771" s="19" t="e">
        <f t="shared" si="34"/>
        <v>#VALUE!</v>
      </c>
    </row>
    <row r="772" spans="25:32" x14ac:dyDescent="0.3">
      <c r="Y772" s="19">
        <f t="shared" si="33"/>
        <v>45871</v>
      </c>
      <c r="AE772" s="19" t="e">
        <f t="shared" si="34"/>
        <v>#VALUE!</v>
      </c>
    </row>
    <row r="773" spans="25:32" x14ac:dyDescent="0.3">
      <c r="Y773" s="19">
        <f t="shared" si="33"/>
        <v>45871</v>
      </c>
      <c r="AE773" s="19" t="e">
        <f t="shared" si="34"/>
        <v>#VALUE!</v>
      </c>
    </row>
    <row r="774" spans="25:32" x14ac:dyDescent="0.3">
      <c r="Y774" s="19">
        <f t="shared" si="33"/>
        <v>45871</v>
      </c>
      <c r="AE774" s="19" t="e">
        <f t="shared" si="34"/>
        <v>#VALUE!</v>
      </c>
    </row>
    <row r="775" spans="25:32" x14ac:dyDescent="0.3">
      <c r="Y775" s="19">
        <f t="shared" si="33"/>
        <v>45871</v>
      </c>
      <c r="AE775" s="19" t="e">
        <f t="shared" si="34"/>
        <v>#VALUE!</v>
      </c>
    </row>
    <row r="776" spans="25:32" x14ac:dyDescent="0.3">
      <c r="Y776" s="19">
        <f t="shared" si="33"/>
        <v>45871</v>
      </c>
      <c r="AE776" s="19" t="e">
        <f t="shared" si="34"/>
        <v>#VALUE!</v>
      </c>
    </row>
    <row r="777" spans="25:32" x14ac:dyDescent="0.3">
      <c r="Y777" s="19">
        <f t="shared" si="33"/>
        <v>45871</v>
      </c>
    </row>
    <row r="778" spans="25:32" x14ac:dyDescent="0.3">
      <c r="Y778" s="19">
        <f t="shared" si="33"/>
        <v>45871</v>
      </c>
    </row>
    <row r="779" spans="25:32" x14ac:dyDescent="0.3">
      <c r="Y779" s="19">
        <f t="shared" si="33"/>
        <v>45871</v>
      </c>
    </row>
    <row r="780" spans="25:32" x14ac:dyDescent="0.3">
      <c r="Y780" s="19">
        <f t="shared" si="33"/>
        <v>45871</v>
      </c>
    </row>
    <row r="781" spans="25:32" x14ac:dyDescent="0.3">
      <c r="Y781" s="19">
        <f t="shared" si="33"/>
        <v>45871</v>
      </c>
      <c r="AF781" s="19"/>
    </row>
    <row r="782" spans="25:32" x14ac:dyDescent="0.3">
      <c r="Y782" s="19">
        <f t="shared" si="33"/>
        <v>45871</v>
      </c>
      <c r="AF782" s="19"/>
    </row>
    <row r="783" spans="25:32" x14ac:dyDescent="0.3">
      <c r="Y783" s="19">
        <f t="shared" si="33"/>
        <v>45871</v>
      </c>
      <c r="AF783" s="19"/>
    </row>
    <row r="784" spans="25:32" x14ac:dyDescent="0.3">
      <c r="Y784" s="19">
        <f t="shared" si="33"/>
        <v>45871</v>
      </c>
      <c r="AF784" s="19"/>
    </row>
    <row r="785" spans="25:32" x14ac:dyDescent="0.3">
      <c r="Y785" s="19">
        <f t="shared" si="33"/>
        <v>45871</v>
      </c>
      <c r="AF785" s="19"/>
    </row>
    <row r="786" spans="25:32" x14ac:dyDescent="0.3">
      <c r="Y786" s="19">
        <f t="shared" si="33"/>
        <v>45871</v>
      </c>
      <c r="AF786" s="19"/>
    </row>
    <row r="787" spans="25:32" x14ac:dyDescent="0.3">
      <c r="Y787" s="19">
        <f t="shared" si="33"/>
        <v>45871</v>
      </c>
      <c r="AF787" s="19"/>
    </row>
    <row r="788" spans="25:32" x14ac:dyDescent="0.3">
      <c r="Y788" s="19">
        <f t="shared" si="33"/>
        <v>45871</v>
      </c>
      <c r="AF788" s="19"/>
    </row>
    <row r="789" spans="25:32" x14ac:dyDescent="0.3">
      <c r="Y789" s="19">
        <f t="shared" si="33"/>
        <v>45871</v>
      </c>
      <c r="AF789" s="19"/>
    </row>
    <row r="790" spans="25:32" x14ac:dyDescent="0.3">
      <c r="Y790" s="19">
        <f t="shared" si="33"/>
        <v>45871</v>
      </c>
      <c r="AF790" s="19"/>
    </row>
    <row r="791" spans="25:32" x14ac:dyDescent="0.3">
      <c r="Y791" s="19">
        <f t="shared" si="33"/>
        <v>45871</v>
      </c>
    </row>
    <row r="792" spans="25:32" x14ac:dyDescent="0.3">
      <c r="Y792" s="19">
        <f t="shared" si="33"/>
        <v>45871</v>
      </c>
    </row>
    <row r="793" spans="25:32" x14ac:dyDescent="0.3">
      <c r="Y793" s="19">
        <f t="shared" si="33"/>
        <v>45871</v>
      </c>
    </row>
    <row r="794" spans="25:32" x14ac:dyDescent="0.3">
      <c r="Y794" s="19">
        <f t="shared" si="33"/>
        <v>45871</v>
      </c>
    </row>
    <row r="795" spans="25:32" x14ac:dyDescent="0.3">
      <c r="Y795" s="19">
        <f t="shared" si="33"/>
        <v>45871</v>
      </c>
    </row>
    <row r="796" spans="25:32" x14ac:dyDescent="0.3">
      <c r="Y796" s="19">
        <f t="shared" si="33"/>
        <v>45871</v>
      </c>
    </row>
    <row r="797" spans="25:32" x14ac:dyDescent="0.3">
      <c r="Y797" s="19">
        <f t="shared" si="33"/>
        <v>45871</v>
      </c>
    </row>
    <row r="798" spans="25:32" x14ac:dyDescent="0.3">
      <c r="Y798" s="19">
        <f t="shared" si="33"/>
        <v>45871</v>
      </c>
    </row>
    <row r="799" spans="25:32" x14ac:dyDescent="0.3">
      <c r="Y799" s="19">
        <f t="shared" si="33"/>
        <v>45871</v>
      </c>
    </row>
    <row r="800" spans="25:32" x14ac:dyDescent="0.3">
      <c r="Y800" s="19">
        <f t="shared" si="33"/>
        <v>45871</v>
      </c>
      <c r="AF800" s="19"/>
    </row>
    <row r="801" spans="25:32" x14ac:dyDescent="0.3">
      <c r="Y801" s="19">
        <f t="shared" si="33"/>
        <v>45871</v>
      </c>
      <c r="AF801" s="19"/>
    </row>
    <row r="802" spans="25:32" x14ac:dyDescent="0.3">
      <c r="Y802" s="19">
        <f t="shared" si="33"/>
        <v>45871</v>
      </c>
      <c r="AF802" s="19"/>
    </row>
    <row r="803" spans="25:32" x14ac:dyDescent="0.3">
      <c r="Y803" s="19">
        <f t="shared" si="33"/>
        <v>45871</v>
      </c>
      <c r="AF803" s="19"/>
    </row>
    <row r="804" spans="25:32" x14ac:dyDescent="0.3">
      <c r="Y804" s="19">
        <f t="shared" si="33"/>
        <v>45871</v>
      </c>
      <c r="AF804" s="19"/>
    </row>
    <row r="805" spans="25:32" x14ac:dyDescent="0.3">
      <c r="Y805" s="19">
        <f t="shared" si="33"/>
        <v>45871</v>
      </c>
      <c r="AF805" s="19"/>
    </row>
    <row r="806" spans="25:32" x14ac:dyDescent="0.3">
      <c r="Y806" s="19">
        <f t="shared" si="33"/>
        <v>45871</v>
      </c>
      <c r="AF806" s="19"/>
    </row>
    <row r="807" spans="25:32" x14ac:dyDescent="0.3">
      <c r="Y807" s="19">
        <f t="shared" si="33"/>
        <v>45871</v>
      </c>
      <c r="AF807" s="19"/>
    </row>
    <row r="808" spans="25:32" x14ac:dyDescent="0.3">
      <c r="Y808" s="19">
        <f t="shared" si="33"/>
        <v>45871</v>
      </c>
      <c r="AF808" s="19"/>
    </row>
    <row r="809" spans="25:32" x14ac:dyDescent="0.3">
      <c r="Y809" s="19">
        <f t="shared" si="33"/>
        <v>45871</v>
      </c>
      <c r="AF809" s="19"/>
    </row>
    <row r="810" spans="25:32" x14ac:dyDescent="0.3">
      <c r="Y810" s="19">
        <f t="shared" si="33"/>
        <v>45871</v>
      </c>
    </row>
    <row r="811" spans="25:32" x14ac:dyDescent="0.3">
      <c r="Y811" s="19">
        <f t="shared" si="33"/>
        <v>45871</v>
      </c>
    </row>
    <row r="812" spans="25:32" x14ac:dyDescent="0.3">
      <c r="Y812" s="19">
        <f t="shared" si="33"/>
        <v>45871</v>
      </c>
    </row>
    <row r="813" spans="25:32" x14ac:dyDescent="0.3">
      <c r="Y813" s="19">
        <f t="shared" si="33"/>
        <v>45871</v>
      </c>
    </row>
    <row r="814" spans="25:32" x14ac:dyDescent="0.3">
      <c r="Y814" s="19">
        <f t="shared" si="33"/>
        <v>45871</v>
      </c>
    </row>
    <row r="815" spans="25:32" x14ac:dyDescent="0.3">
      <c r="Y815" s="19">
        <f t="shared" si="33"/>
        <v>45871</v>
      </c>
    </row>
    <row r="816" spans="25:32" x14ac:dyDescent="0.3">
      <c r="Y816" s="19">
        <f t="shared" si="33"/>
        <v>45871</v>
      </c>
    </row>
    <row r="817" spans="25:32" x14ac:dyDescent="0.3">
      <c r="Y817" s="19">
        <f t="shared" si="33"/>
        <v>45871</v>
      </c>
    </row>
    <row r="818" spans="25:32" x14ac:dyDescent="0.3">
      <c r="Y818" s="19">
        <f t="shared" si="33"/>
        <v>45871</v>
      </c>
    </row>
    <row r="819" spans="25:32" x14ac:dyDescent="0.3">
      <c r="Y819" s="19">
        <f t="shared" si="33"/>
        <v>45871</v>
      </c>
    </row>
    <row r="820" spans="25:32" x14ac:dyDescent="0.3">
      <c r="Y820" s="19">
        <f t="shared" si="33"/>
        <v>45871</v>
      </c>
    </row>
    <row r="821" spans="25:32" x14ac:dyDescent="0.3">
      <c r="Y821" s="19">
        <f t="shared" si="33"/>
        <v>45871</v>
      </c>
    </row>
    <row r="822" spans="25:32" x14ac:dyDescent="0.3">
      <c r="Y822" s="19">
        <f t="shared" si="33"/>
        <v>45871</v>
      </c>
    </row>
    <row r="823" spans="25:32" x14ac:dyDescent="0.3">
      <c r="Y823" s="19">
        <f t="shared" si="33"/>
        <v>45871</v>
      </c>
      <c r="AF823" s="19"/>
    </row>
    <row r="824" spans="25:32" x14ac:dyDescent="0.3">
      <c r="Y824" s="19">
        <f t="shared" si="33"/>
        <v>45871</v>
      </c>
      <c r="AF824" s="19"/>
    </row>
    <row r="825" spans="25:32" x14ac:dyDescent="0.3">
      <c r="Y825" s="19">
        <f t="shared" si="33"/>
        <v>45871</v>
      </c>
      <c r="AF825" s="19"/>
    </row>
    <row r="826" spans="25:32" x14ac:dyDescent="0.3">
      <c r="Y826" s="19">
        <f t="shared" si="33"/>
        <v>45871</v>
      </c>
      <c r="AF826" s="19"/>
    </row>
    <row r="827" spans="25:32" x14ac:dyDescent="0.3">
      <c r="Y827" s="19">
        <f t="shared" si="33"/>
        <v>45871</v>
      </c>
      <c r="AF827" s="19"/>
    </row>
    <row r="828" spans="25:32" x14ac:dyDescent="0.3">
      <c r="Y828" s="19">
        <f t="shared" si="33"/>
        <v>45871</v>
      </c>
      <c r="AF828" s="19"/>
    </row>
    <row r="829" spans="25:32" x14ac:dyDescent="0.3">
      <c r="Y829" s="19">
        <f t="shared" si="33"/>
        <v>45871</v>
      </c>
      <c r="AF829" s="19"/>
    </row>
    <row r="830" spans="25:32" x14ac:dyDescent="0.3">
      <c r="Y830" s="19">
        <f t="shared" si="33"/>
        <v>45871</v>
      </c>
    </row>
    <row r="831" spans="25:32" x14ac:dyDescent="0.3">
      <c r="Y831" s="19">
        <f t="shared" si="33"/>
        <v>45871</v>
      </c>
    </row>
    <row r="832" spans="25:32" x14ac:dyDescent="0.3">
      <c r="Y832" s="19">
        <f t="shared" si="33"/>
        <v>45871</v>
      </c>
    </row>
    <row r="833" spans="25:32" x14ac:dyDescent="0.3">
      <c r="Y833" s="19">
        <f t="shared" si="33"/>
        <v>45871</v>
      </c>
    </row>
    <row r="834" spans="25:32" x14ac:dyDescent="0.3">
      <c r="Y834" s="19">
        <f t="shared" ref="Y834:Y902" si="35">WORKDAY(DATE(2025,8,2),INT(P834/390))</f>
        <v>45871</v>
      </c>
    </row>
    <row r="835" spans="25:32" x14ac:dyDescent="0.3">
      <c r="Y835" s="19">
        <f t="shared" si="35"/>
        <v>45871</v>
      </c>
    </row>
    <row r="836" spans="25:32" x14ac:dyDescent="0.3">
      <c r="Y836" s="19">
        <f t="shared" si="35"/>
        <v>45871</v>
      </c>
    </row>
    <row r="837" spans="25:32" x14ac:dyDescent="0.3">
      <c r="Y837" s="19">
        <f t="shared" si="35"/>
        <v>45871</v>
      </c>
    </row>
    <row r="838" spans="25:32" x14ac:dyDescent="0.3">
      <c r="Y838" s="19">
        <f t="shared" si="35"/>
        <v>45871</v>
      </c>
    </row>
    <row r="839" spans="25:32" x14ac:dyDescent="0.3">
      <c r="Y839" s="19">
        <f t="shared" si="35"/>
        <v>45871</v>
      </c>
    </row>
    <row r="840" spans="25:32" x14ac:dyDescent="0.3">
      <c r="Y840" s="19">
        <f t="shared" si="35"/>
        <v>45871</v>
      </c>
    </row>
    <row r="841" spans="25:32" x14ac:dyDescent="0.3">
      <c r="Y841" s="19">
        <f t="shared" si="35"/>
        <v>45871</v>
      </c>
    </row>
    <row r="842" spans="25:32" x14ac:dyDescent="0.3">
      <c r="Y842" s="19">
        <f t="shared" si="35"/>
        <v>45871</v>
      </c>
    </row>
    <row r="843" spans="25:32" x14ac:dyDescent="0.3">
      <c r="Y843" s="19">
        <f t="shared" si="35"/>
        <v>45871</v>
      </c>
    </row>
    <row r="844" spans="25:32" x14ac:dyDescent="0.3">
      <c r="Y844" s="19">
        <f t="shared" si="35"/>
        <v>45871</v>
      </c>
      <c r="AF844" s="19"/>
    </row>
    <row r="845" spans="25:32" x14ac:dyDescent="0.3">
      <c r="Y845" s="19">
        <f t="shared" si="35"/>
        <v>45871</v>
      </c>
      <c r="AF845" s="19"/>
    </row>
    <row r="846" spans="25:32" x14ac:dyDescent="0.3">
      <c r="Y846" s="19">
        <f t="shared" si="35"/>
        <v>45871</v>
      </c>
      <c r="AF846" s="19"/>
    </row>
    <row r="847" spans="25:32" x14ac:dyDescent="0.3">
      <c r="Y847" s="19">
        <f t="shared" si="35"/>
        <v>45871</v>
      </c>
      <c r="AF847" s="19"/>
    </row>
    <row r="848" spans="25:32" x14ac:dyDescent="0.3">
      <c r="Y848" s="19">
        <f t="shared" si="35"/>
        <v>45871</v>
      </c>
      <c r="AF848" s="19"/>
    </row>
    <row r="849" spans="25:32" x14ac:dyDescent="0.3">
      <c r="Y849" s="19">
        <f t="shared" si="35"/>
        <v>45871</v>
      </c>
      <c r="AF849" s="19"/>
    </row>
    <row r="850" spans="25:32" x14ac:dyDescent="0.3">
      <c r="Y850" s="19">
        <f t="shared" si="35"/>
        <v>45871</v>
      </c>
      <c r="AF850" s="19"/>
    </row>
    <row r="851" spans="25:32" x14ac:dyDescent="0.3">
      <c r="Y851" s="19">
        <f t="shared" si="35"/>
        <v>45871</v>
      </c>
      <c r="AF851" s="19"/>
    </row>
    <row r="852" spans="25:32" x14ac:dyDescent="0.3">
      <c r="Y852" s="19">
        <f t="shared" si="35"/>
        <v>45871</v>
      </c>
    </row>
    <row r="853" spans="25:32" x14ac:dyDescent="0.3">
      <c r="Y853" s="19">
        <f t="shared" si="35"/>
        <v>45871</v>
      </c>
    </row>
    <row r="854" spans="25:32" x14ac:dyDescent="0.3">
      <c r="Y854" s="19">
        <f t="shared" si="35"/>
        <v>45871</v>
      </c>
    </row>
    <row r="855" spans="25:32" x14ac:dyDescent="0.3">
      <c r="Y855" s="19">
        <f t="shared" si="35"/>
        <v>45871</v>
      </c>
    </row>
    <row r="856" spans="25:32" x14ac:dyDescent="0.3">
      <c r="Y856" s="19">
        <f t="shared" si="35"/>
        <v>45871</v>
      </c>
    </row>
    <row r="857" spans="25:32" x14ac:dyDescent="0.3">
      <c r="Y857" s="19">
        <f t="shared" si="35"/>
        <v>45871</v>
      </c>
    </row>
    <row r="858" spans="25:32" x14ac:dyDescent="0.3">
      <c r="Y858" s="19">
        <f t="shared" si="35"/>
        <v>45871</v>
      </c>
    </row>
    <row r="859" spans="25:32" x14ac:dyDescent="0.3">
      <c r="Y859" s="19">
        <f t="shared" si="35"/>
        <v>45871</v>
      </c>
    </row>
    <row r="860" spans="25:32" x14ac:dyDescent="0.3">
      <c r="Y860" s="19">
        <f t="shared" si="35"/>
        <v>45871</v>
      </c>
    </row>
    <row r="861" spans="25:32" x14ac:dyDescent="0.3">
      <c r="Y861" s="19">
        <f t="shared" si="35"/>
        <v>45871</v>
      </c>
    </row>
    <row r="862" spans="25:32" x14ac:dyDescent="0.3">
      <c r="Y862" s="19">
        <f t="shared" si="35"/>
        <v>45871</v>
      </c>
    </row>
    <row r="863" spans="25:32" x14ac:dyDescent="0.3">
      <c r="Y863" s="19">
        <f t="shared" si="35"/>
        <v>45871</v>
      </c>
    </row>
    <row r="864" spans="25:32" x14ac:dyDescent="0.3">
      <c r="Y864" s="19">
        <f t="shared" si="35"/>
        <v>45871</v>
      </c>
      <c r="AF864" s="19"/>
    </row>
    <row r="865" spans="25:32" x14ac:dyDescent="0.3">
      <c r="Y865" s="19">
        <f t="shared" si="35"/>
        <v>45871</v>
      </c>
      <c r="AF865" s="19"/>
    </row>
    <row r="866" spans="25:32" x14ac:dyDescent="0.3">
      <c r="Y866" s="19">
        <f t="shared" si="35"/>
        <v>45871</v>
      </c>
      <c r="AF866" s="19"/>
    </row>
    <row r="867" spans="25:32" x14ac:dyDescent="0.3">
      <c r="Y867" s="19">
        <f t="shared" si="35"/>
        <v>45871</v>
      </c>
      <c r="AF867" s="19"/>
    </row>
    <row r="868" spans="25:32" x14ac:dyDescent="0.3">
      <c r="Y868" s="19">
        <f t="shared" si="35"/>
        <v>45871</v>
      </c>
      <c r="AF868" s="19"/>
    </row>
    <row r="869" spans="25:32" x14ac:dyDescent="0.3">
      <c r="Y869" s="19">
        <f t="shared" si="35"/>
        <v>45871</v>
      </c>
      <c r="AF869" s="19"/>
    </row>
    <row r="870" spans="25:32" x14ac:dyDescent="0.3">
      <c r="Y870" s="19">
        <f t="shared" si="35"/>
        <v>45871</v>
      </c>
      <c r="AF870" s="19"/>
    </row>
    <row r="871" spans="25:32" x14ac:dyDescent="0.3">
      <c r="Y871" s="19">
        <f t="shared" si="35"/>
        <v>45871</v>
      </c>
      <c r="AF871" s="19"/>
    </row>
    <row r="872" spans="25:32" x14ac:dyDescent="0.3">
      <c r="Y872" s="19">
        <f t="shared" si="35"/>
        <v>45871</v>
      </c>
      <c r="AF872" s="19"/>
    </row>
    <row r="873" spans="25:32" x14ac:dyDescent="0.3">
      <c r="Y873" s="19">
        <f t="shared" si="35"/>
        <v>45871</v>
      </c>
    </row>
    <row r="874" spans="25:32" x14ac:dyDescent="0.3">
      <c r="Y874" s="19">
        <f t="shared" si="35"/>
        <v>45871</v>
      </c>
    </row>
    <row r="875" spans="25:32" x14ac:dyDescent="0.3">
      <c r="Y875" s="19">
        <f t="shared" si="35"/>
        <v>45871</v>
      </c>
    </row>
    <row r="876" spans="25:32" x14ac:dyDescent="0.3">
      <c r="Y876" s="19">
        <f t="shared" si="35"/>
        <v>45871</v>
      </c>
    </row>
    <row r="877" spans="25:32" x14ac:dyDescent="0.3">
      <c r="Y877" s="19">
        <f t="shared" si="35"/>
        <v>45871</v>
      </c>
    </row>
    <row r="878" spans="25:32" x14ac:dyDescent="0.3">
      <c r="Y878" s="19">
        <f t="shared" si="35"/>
        <v>45871</v>
      </c>
    </row>
    <row r="879" spans="25:32" x14ac:dyDescent="0.3">
      <c r="Y879" s="19">
        <f t="shared" si="35"/>
        <v>45871</v>
      </c>
    </row>
    <row r="880" spans="25:32" x14ac:dyDescent="0.3">
      <c r="Y880" s="19">
        <f t="shared" si="35"/>
        <v>45871</v>
      </c>
    </row>
    <row r="881" spans="25:32" x14ac:dyDescent="0.3">
      <c r="Y881" s="19">
        <f t="shared" si="35"/>
        <v>45871</v>
      </c>
    </row>
    <row r="882" spans="25:32" x14ac:dyDescent="0.3">
      <c r="Y882" s="19">
        <f t="shared" si="35"/>
        <v>45871</v>
      </c>
    </row>
    <row r="883" spans="25:32" x14ac:dyDescent="0.3">
      <c r="Y883" s="19">
        <f t="shared" si="35"/>
        <v>45871</v>
      </c>
    </row>
    <row r="884" spans="25:32" x14ac:dyDescent="0.3">
      <c r="Y884" s="19">
        <f t="shared" si="35"/>
        <v>45871</v>
      </c>
    </row>
    <row r="885" spans="25:32" x14ac:dyDescent="0.3">
      <c r="Y885" s="19">
        <f t="shared" si="35"/>
        <v>45871</v>
      </c>
    </row>
    <row r="886" spans="25:32" x14ac:dyDescent="0.3">
      <c r="Y886" s="19">
        <f t="shared" si="35"/>
        <v>45871</v>
      </c>
      <c r="AF886" s="19"/>
    </row>
    <row r="887" spans="25:32" x14ac:dyDescent="0.3">
      <c r="Y887" s="19">
        <f t="shared" si="35"/>
        <v>45871</v>
      </c>
      <c r="AF887" s="19"/>
    </row>
    <row r="888" spans="25:32" x14ac:dyDescent="0.3">
      <c r="Y888" s="19">
        <f t="shared" si="35"/>
        <v>45871</v>
      </c>
      <c r="AF888" s="19"/>
    </row>
    <row r="889" spans="25:32" x14ac:dyDescent="0.3">
      <c r="Y889" s="19">
        <f t="shared" si="35"/>
        <v>45871</v>
      </c>
      <c r="AF889" s="19"/>
    </row>
    <row r="890" spans="25:32" x14ac:dyDescent="0.3">
      <c r="Y890" s="19">
        <f t="shared" si="35"/>
        <v>45871</v>
      </c>
      <c r="AF890" s="19"/>
    </row>
    <row r="891" spans="25:32" x14ac:dyDescent="0.3">
      <c r="Y891" s="19">
        <f t="shared" si="35"/>
        <v>45871</v>
      </c>
      <c r="AF891" s="19"/>
    </row>
    <row r="892" spans="25:32" x14ac:dyDescent="0.3">
      <c r="Y892" s="19">
        <f t="shared" si="35"/>
        <v>45871</v>
      </c>
      <c r="AF892" s="19"/>
    </row>
    <row r="893" spans="25:32" x14ac:dyDescent="0.3">
      <c r="Y893" s="19">
        <f t="shared" si="35"/>
        <v>45871</v>
      </c>
    </row>
    <row r="894" spans="25:32" x14ac:dyDescent="0.3">
      <c r="Y894" s="19">
        <f t="shared" si="35"/>
        <v>45871</v>
      </c>
    </row>
    <row r="895" spans="25:32" x14ac:dyDescent="0.3">
      <c r="Y895" s="19">
        <f t="shared" si="35"/>
        <v>45871</v>
      </c>
    </row>
    <row r="896" spans="25:32" x14ac:dyDescent="0.3">
      <c r="Y896" s="19">
        <f t="shared" si="35"/>
        <v>45871</v>
      </c>
    </row>
    <row r="897" spans="25:32" x14ac:dyDescent="0.3">
      <c r="Y897" s="19">
        <f t="shared" si="35"/>
        <v>45871</v>
      </c>
    </row>
    <row r="898" spans="25:32" x14ac:dyDescent="0.3">
      <c r="Y898" s="19">
        <f t="shared" si="35"/>
        <v>45871</v>
      </c>
    </row>
    <row r="899" spans="25:32" x14ac:dyDescent="0.3">
      <c r="Y899" s="19">
        <f t="shared" si="35"/>
        <v>45871</v>
      </c>
    </row>
    <row r="900" spans="25:32" x14ac:dyDescent="0.3">
      <c r="Y900" s="19">
        <f t="shared" si="35"/>
        <v>45871</v>
      </c>
    </row>
    <row r="901" spans="25:32" x14ac:dyDescent="0.3">
      <c r="Y901" s="19">
        <f t="shared" si="35"/>
        <v>45871</v>
      </c>
    </row>
    <row r="902" spans="25:32" x14ac:dyDescent="0.3">
      <c r="Y902" s="19">
        <f t="shared" si="35"/>
        <v>45871</v>
      </c>
    </row>
    <row r="907" spans="25:32" x14ac:dyDescent="0.3">
      <c r="AF907" s="19"/>
    </row>
    <row r="908" spans="25:32" x14ac:dyDescent="0.3">
      <c r="AF908" s="19"/>
    </row>
    <row r="909" spans="25:32" x14ac:dyDescent="0.3">
      <c r="AF909" s="19"/>
    </row>
    <row r="910" spans="25:32" x14ac:dyDescent="0.3">
      <c r="AF910" s="19"/>
    </row>
    <row r="911" spans="25:32" x14ac:dyDescent="0.3">
      <c r="AF911" s="19"/>
    </row>
    <row r="912" spans="25:32" x14ac:dyDescent="0.3">
      <c r="AF912" s="19"/>
    </row>
    <row r="913" spans="32:32" x14ac:dyDescent="0.3">
      <c r="AF913" s="19"/>
    </row>
    <row r="914" spans="32:32" x14ac:dyDescent="0.3">
      <c r="AF914" s="19"/>
    </row>
    <row r="915" spans="32:32" x14ac:dyDescent="0.3">
      <c r="AF915" s="19"/>
    </row>
    <row r="929" spans="32:32" x14ac:dyDescent="0.3">
      <c r="AF929" s="19"/>
    </row>
    <row r="930" spans="32:32" x14ac:dyDescent="0.3">
      <c r="AF930" s="19"/>
    </row>
    <row r="931" spans="32:32" x14ac:dyDescent="0.3">
      <c r="AF931" s="19"/>
    </row>
    <row r="932" spans="32:32" x14ac:dyDescent="0.3">
      <c r="AF932" s="19"/>
    </row>
    <row r="933" spans="32:32" x14ac:dyDescent="0.3">
      <c r="AF933" s="19"/>
    </row>
    <row r="934" spans="32:32" x14ac:dyDescent="0.3">
      <c r="AF934" s="19"/>
    </row>
    <row r="935" spans="32:32" x14ac:dyDescent="0.3">
      <c r="AF935" s="19"/>
    </row>
    <row r="950" spans="32:32" x14ac:dyDescent="0.3">
      <c r="AF950" s="19"/>
    </row>
    <row r="951" spans="32:32" x14ac:dyDescent="0.3">
      <c r="AF951" s="19"/>
    </row>
    <row r="952" spans="32:32" x14ac:dyDescent="0.3">
      <c r="AF952" s="19"/>
    </row>
    <row r="953" spans="32:32" x14ac:dyDescent="0.3">
      <c r="AF953" s="19"/>
    </row>
    <row r="954" spans="32:32" x14ac:dyDescent="0.3">
      <c r="AF954" s="19"/>
    </row>
    <row r="955" spans="32:32" x14ac:dyDescent="0.3">
      <c r="AF955" s="19"/>
    </row>
    <row r="956" spans="32:32" x14ac:dyDescent="0.3">
      <c r="AF956" s="19"/>
    </row>
    <row r="957" spans="32:32" x14ac:dyDescent="0.3">
      <c r="AF957" s="19"/>
    </row>
    <row r="971" spans="32:32" x14ac:dyDescent="0.3">
      <c r="AF971" s="19"/>
    </row>
    <row r="972" spans="32:32" x14ac:dyDescent="0.3">
      <c r="AF972" s="19"/>
    </row>
    <row r="973" spans="32:32" x14ac:dyDescent="0.3">
      <c r="AF973" s="19"/>
    </row>
    <row r="974" spans="32:32" x14ac:dyDescent="0.3">
      <c r="AF974" s="19"/>
    </row>
    <row r="975" spans="32:32" x14ac:dyDescent="0.3">
      <c r="AF975" s="19"/>
    </row>
    <row r="976" spans="32:32" x14ac:dyDescent="0.3">
      <c r="AF976" s="19"/>
    </row>
    <row r="977" spans="32:32" x14ac:dyDescent="0.3">
      <c r="AF977" s="19"/>
    </row>
    <row r="978" spans="32:32" x14ac:dyDescent="0.3">
      <c r="AF978" s="19"/>
    </row>
    <row r="979" spans="32:32" x14ac:dyDescent="0.3">
      <c r="AF979" s="19"/>
    </row>
    <row r="980" spans="32:32" x14ac:dyDescent="0.3">
      <c r="AF980" s="19"/>
    </row>
    <row r="992" spans="32:32" x14ac:dyDescent="0.3">
      <c r="AF992" s="19"/>
    </row>
    <row r="993" spans="32:32" x14ac:dyDescent="0.3">
      <c r="AF993" s="19"/>
    </row>
    <row r="994" spans="32:32" x14ac:dyDescent="0.3">
      <c r="AF994" s="19"/>
    </row>
    <row r="995" spans="32:32" x14ac:dyDescent="0.3">
      <c r="AF995" s="19"/>
    </row>
    <row r="996" spans="32:32" x14ac:dyDescent="0.3">
      <c r="AF996" s="19"/>
    </row>
    <row r="997" spans="32:32" x14ac:dyDescent="0.3">
      <c r="AF997" s="19"/>
    </row>
    <row r="998" spans="32:32" x14ac:dyDescent="0.3">
      <c r="AF998" s="19"/>
    </row>
    <row r="999" spans="32:32" x14ac:dyDescent="0.3">
      <c r="AF999" s="19"/>
    </row>
    <row r="1014" spans="32:32" x14ac:dyDescent="0.3">
      <c r="AF1014" s="19"/>
    </row>
    <row r="1015" spans="32:32" x14ac:dyDescent="0.3">
      <c r="AF1015" s="19"/>
    </row>
    <row r="1016" spans="32:32" x14ac:dyDescent="0.3">
      <c r="AF1016" s="19"/>
    </row>
    <row r="1017" spans="32:32" x14ac:dyDescent="0.3">
      <c r="AF1017" s="19"/>
    </row>
    <row r="1018" spans="32:32" x14ac:dyDescent="0.3">
      <c r="AF1018" s="19"/>
    </row>
    <row r="1019" spans="32:32" x14ac:dyDescent="0.3">
      <c r="AF1019" s="19"/>
    </row>
    <row r="1020" spans="32:32" x14ac:dyDescent="0.3">
      <c r="AF1020" s="19"/>
    </row>
    <row r="1021" spans="32:32" x14ac:dyDescent="0.3">
      <c r="AF1021" s="19"/>
    </row>
    <row r="1035" spans="32:32" x14ac:dyDescent="0.3">
      <c r="AF1035" s="19"/>
    </row>
    <row r="1036" spans="32:32" x14ac:dyDescent="0.3">
      <c r="AF1036" s="19"/>
    </row>
    <row r="1037" spans="32:32" x14ac:dyDescent="0.3">
      <c r="AF1037" s="19"/>
    </row>
    <row r="1038" spans="32:32" x14ac:dyDescent="0.3">
      <c r="AF1038" s="19"/>
    </row>
    <row r="1039" spans="32:32" x14ac:dyDescent="0.3">
      <c r="AF1039" s="19"/>
    </row>
    <row r="1040" spans="32:32" x14ac:dyDescent="0.3">
      <c r="AF1040" s="19"/>
    </row>
    <row r="1041" spans="32:32" x14ac:dyDescent="0.3">
      <c r="AF1041" s="19"/>
    </row>
    <row r="1042" spans="32:32" x14ac:dyDescent="0.3">
      <c r="AF1042" s="19"/>
    </row>
    <row r="1043" spans="32:32" x14ac:dyDescent="0.3">
      <c r="AF1043" s="19"/>
    </row>
    <row r="1054" spans="32:32" x14ac:dyDescent="0.3">
      <c r="AF1054" s="19"/>
    </row>
    <row r="1055" spans="32:32" x14ac:dyDescent="0.3">
      <c r="AF1055" s="19"/>
    </row>
    <row r="1056" spans="32:32" x14ac:dyDescent="0.3">
      <c r="AF1056" s="19"/>
    </row>
    <row r="1057" spans="32:32" x14ac:dyDescent="0.3">
      <c r="AF1057" s="19"/>
    </row>
    <row r="1058" spans="32:32" x14ac:dyDescent="0.3">
      <c r="AF1058" s="19"/>
    </row>
    <row r="1059" spans="32:32" x14ac:dyDescent="0.3">
      <c r="AF1059" s="19"/>
    </row>
    <row r="1060" spans="32:32" x14ac:dyDescent="0.3">
      <c r="AF1060" s="19"/>
    </row>
    <row r="1061" spans="32:32" x14ac:dyDescent="0.3">
      <c r="AF1061" s="19"/>
    </row>
    <row r="1062" spans="32:32" x14ac:dyDescent="0.3">
      <c r="AF1062" s="19"/>
    </row>
    <row r="1077" spans="32:32" x14ac:dyDescent="0.3">
      <c r="AF1077" s="19"/>
    </row>
    <row r="1078" spans="32:32" x14ac:dyDescent="0.3">
      <c r="AF1078" s="19"/>
    </row>
    <row r="1079" spans="32:32" x14ac:dyDescent="0.3">
      <c r="AF1079" s="19"/>
    </row>
    <row r="1080" spans="32:32" x14ac:dyDescent="0.3">
      <c r="AF1080" s="19"/>
    </row>
    <row r="1081" spans="32:32" x14ac:dyDescent="0.3">
      <c r="AF1081" s="19"/>
    </row>
    <row r="1082" spans="32:32" x14ac:dyDescent="0.3">
      <c r="AF1082" s="19"/>
    </row>
    <row r="1083" spans="32:32" x14ac:dyDescent="0.3">
      <c r="AF1083" s="19"/>
    </row>
    <row r="1096" spans="32:32" x14ac:dyDescent="0.3">
      <c r="AF1096" s="19"/>
    </row>
    <row r="1097" spans="32:32" x14ac:dyDescent="0.3">
      <c r="AF1097" s="19"/>
    </row>
    <row r="1098" spans="32:32" x14ac:dyDescent="0.3">
      <c r="AF1098" s="19"/>
    </row>
    <row r="1099" spans="32:32" x14ac:dyDescent="0.3">
      <c r="AF1099" s="19"/>
    </row>
    <row r="1100" spans="32:32" x14ac:dyDescent="0.3">
      <c r="AF1100" s="19"/>
    </row>
    <row r="1101" spans="32:32" x14ac:dyDescent="0.3">
      <c r="AF1101" s="19"/>
    </row>
    <row r="1102" spans="32:32" x14ac:dyDescent="0.3">
      <c r="AF1102" s="19"/>
    </row>
    <row r="1103" spans="32:32" x14ac:dyDescent="0.3">
      <c r="AF1103" s="19"/>
    </row>
    <row r="1104" spans="32:32" x14ac:dyDescent="0.3">
      <c r="AF1104" s="19"/>
    </row>
    <row r="1117" spans="32:32" x14ac:dyDescent="0.3">
      <c r="AF1117" s="19"/>
    </row>
    <row r="1118" spans="32:32" x14ac:dyDescent="0.3">
      <c r="AF1118" s="19"/>
    </row>
    <row r="1119" spans="32:32" x14ac:dyDescent="0.3">
      <c r="AF1119" s="19"/>
    </row>
    <row r="1120" spans="32:32" x14ac:dyDescent="0.3">
      <c r="AF1120" s="19"/>
    </row>
    <row r="1121" spans="32:32" x14ac:dyDescent="0.3">
      <c r="AF1121" s="19"/>
    </row>
    <row r="1122" spans="32:32" x14ac:dyDescent="0.3">
      <c r="AF1122" s="19"/>
    </row>
    <row r="1123" spans="32:32" x14ac:dyDescent="0.3">
      <c r="AF1123" s="19"/>
    </row>
    <row r="1124" spans="32:32" x14ac:dyDescent="0.3">
      <c r="AF1124" s="19"/>
    </row>
    <row r="1139" spans="32:32" x14ac:dyDescent="0.3">
      <c r="AF1139" s="19"/>
    </row>
    <row r="1140" spans="32:32" x14ac:dyDescent="0.3">
      <c r="AF1140" s="19"/>
    </row>
    <row r="1141" spans="32:32" x14ac:dyDescent="0.3">
      <c r="AF1141" s="19"/>
    </row>
    <row r="1142" spans="32:32" x14ac:dyDescent="0.3">
      <c r="AF1142" s="19"/>
    </row>
    <row r="1143" spans="32:32" x14ac:dyDescent="0.3">
      <c r="AF1143" s="19"/>
    </row>
    <row r="1144" spans="32:32" x14ac:dyDescent="0.3">
      <c r="AF1144" s="19"/>
    </row>
    <row r="1145" spans="32:32" x14ac:dyDescent="0.3">
      <c r="AF1145" s="19"/>
    </row>
    <row r="1159" spans="32:32" x14ac:dyDescent="0.3">
      <c r="AF1159" s="19"/>
    </row>
    <row r="1160" spans="32:32" x14ac:dyDescent="0.3">
      <c r="AF1160" s="19"/>
    </row>
    <row r="1161" spans="32:32" x14ac:dyDescent="0.3">
      <c r="AF1161" s="19"/>
    </row>
    <row r="1162" spans="32:32" x14ac:dyDescent="0.3">
      <c r="AF1162" s="19"/>
    </row>
    <row r="1163" spans="32:32" x14ac:dyDescent="0.3">
      <c r="AF1163" s="19"/>
    </row>
    <row r="1164" spans="32:32" x14ac:dyDescent="0.3">
      <c r="AF1164" s="19"/>
    </row>
    <row r="1165" spans="32:32" x14ac:dyDescent="0.3">
      <c r="AF1165" s="19"/>
    </row>
    <row r="1166" spans="32:32" x14ac:dyDescent="0.3">
      <c r="AF1166" s="19"/>
    </row>
    <row r="1167" spans="32:32" x14ac:dyDescent="0.3">
      <c r="AF1167" s="19"/>
    </row>
    <row r="1168" spans="32:32" x14ac:dyDescent="0.3">
      <c r="AF1168" s="19"/>
    </row>
    <row r="1182" spans="32:32" x14ac:dyDescent="0.3">
      <c r="AF1182" s="19"/>
    </row>
    <row r="1183" spans="32:32" x14ac:dyDescent="0.3">
      <c r="AF1183" s="19"/>
    </row>
    <row r="1184" spans="32:32" x14ac:dyDescent="0.3">
      <c r="AF1184" s="19"/>
    </row>
    <row r="1185" spans="32:32" x14ac:dyDescent="0.3">
      <c r="AF1185" s="19"/>
    </row>
    <row r="1186" spans="32:32" x14ac:dyDescent="0.3">
      <c r="AF1186" s="19"/>
    </row>
    <row r="1187" spans="32:32" x14ac:dyDescent="0.3">
      <c r="AF1187" s="19"/>
    </row>
    <row r="1188" spans="32:32" x14ac:dyDescent="0.3">
      <c r="AF1188" s="19"/>
    </row>
    <row r="1203" spans="32:32" x14ac:dyDescent="0.3">
      <c r="AF1203" s="19"/>
    </row>
    <row r="1204" spans="32:32" x14ac:dyDescent="0.3">
      <c r="AF1204" s="19"/>
    </row>
    <row r="1205" spans="32:32" x14ac:dyDescent="0.3">
      <c r="AF1205" s="19"/>
    </row>
    <row r="1206" spans="32:32" x14ac:dyDescent="0.3">
      <c r="AF1206" s="19"/>
    </row>
    <row r="1207" spans="32:32" x14ac:dyDescent="0.3">
      <c r="AF1207" s="19"/>
    </row>
    <row r="1208" spans="32:32" x14ac:dyDescent="0.3">
      <c r="AF1208" s="19"/>
    </row>
    <row r="1209" spans="32:32" x14ac:dyDescent="0.3">
      <c r="AF1209" s="19"/>
    </row>
    <row r="1210" spans="32:32" x14ac:dyDescent="0.3">
      <c r="AF1210" s="19"/>
    </row>
    <row r="1224" spans="32:32" x14ac:dyDescent="0.3">
      <c r="AF1224" s="19"/>
    </row>
    <row r="1225" spans="32:32" x14ac:dyDescent="0.3">
      <c r="AF1225" s="19"/>
    </row>
    <row r="1226" spans="32:32" x14ac:dyDescent="0.3">
      <c r="AF1226" s="19"/>
    </row>
    <row r="1227" spans="32:32" x14ac:dyDescent="0.3">
      <c r="AF1227" s="19"/>
    </row>
    <row r="1228" spans="32:32" x14ac:dyDescent="0.3">
      <c r="AF1228" s="19"/>
    </row>
    <row r="1229" spans="32:32" x14ac:dyDescent="0.3">
      <c r="AF1229" s="19"/>
    </row>
    <row r="1230" spans="32:32" x14ac:dyDescent="0.3">
      <c r="AF1230" s="19"/>
    </row>
    <row r="1231" spans="32:32" x14ac:dyDescent="0.3">
      <c r="AF1231" s="19"/>
    </row>
    <row r="1232" spans="32:32" x14ac:dyDescent="0.3">
      <c r="AF1232" s="19"/>
    </row>
    <row r="1245" spans="32:32" x14ac:dyDescent="0.3">
      <c r="AF1245" s="19"/>
    </row>
    <row r="1246" spans="32:32" x14ac:dyDescent="0.3">
      <c r="AF1246" s="19"/>
    </row>
    <row r="1247" spans="32:32" x14ac:dyDescent="0.3">
      <c r="AF1247" s="19"/>
    </row>
    <row r="1248" spans="32:32" x14ac:dyDescent="0.3">
      <c r="AF1248" s="19"/>
    </row>
    <row r="1249" spans="32:32" x14ac:dyDescent="0.3">
      <c r="AF1249" s="19"/>
    </row>
    <row r="1250" spans="32:32" x14ac:dyDescent="0.3">
      <c r="AF1250" s="19"/>
    </row>
    <row r="1251" spans="32:32" x14ac:dyDescent="0.3">
      <c r="AF1251" s="19"/>
    </row>
    <row r="1252" spans="32:32" x14ac:dyDescent="0.3">
      <c r="AF1252" s="19"/>
    </row>
    <row r="1266" spans="32:32" x14ac:dyDescent="0.3">
      <c r="AF1266" s="19"/>
    </row>
    <row r="1267" spans="32:32" x14ac:dyDescent="0.3">
      <c r="AF1267" s="19"/>
    </row>
    <row r="1268" spans="32:32" x14ac:dyDescent="0.3">
      <c r="AF1268" s="19"/>
    </row>
    <row r="1269" spans="32:32" x14ac:dyDescent="0.3">
      <c r="AF1269" s="19"/>
    </row>
    <row r="1270" spans="32:32" x14ac:dyDescent="0.3">
      <c r="AF1270" s="19"/>
    </row>
    <row r="1271" spans="32:32" x14ac:dyDescent="0.3">
      <c r="AF1271" s="19"/>
    </row>
    <row r="1272" spans="32:32" x14ac:dyDescent="0.3">
      <c r="AF1272" s="19"/>
    </row>
    <row r="1273" spans="32:32" x14ac:dyDescent="0.3">
      <c r="AF1273" s="19"/>
    </row>
    <row r="1287" spans="32:32" x14ac:dyDescent="0.3">
      <c r="AF1287" s="19"/>
    </row>
    <row r="1288" spans="32:32" x14ac:dyDescent="0.3">
      <c r="AF1288" s="19"/>
    </row>
    <row r="1289" spans="32:32" x14ac:dyDescent="0.3">
      <c r="AF1289" s="19"/>
    </row>
    <row r="1290" spans="32:32" x14ac:dyDescent="0.3">
      <c r="AF1290" s="19"/>
    </row>
    <row r="1291" spans="32:32" x14ac:dyDescent="0.3">
      <c r="AF1291" s="19"/>
    </row>
    <row r="1292" spans="32:32" x14ac:dyDescent="0.3">
      <c r="AF1292" s="19"/>
    </row>
    <row r="1293" spans="32:32" x14ac:dyDescent="0.3">
      <c r="AF1293" s="19"/>
    </row>
    <row r="1294" spans="32:32" x14ac:dyDescent="0.3">
      <c r="AF1294" s="19"/>
    </row>
    <row r="1306" spans="32:32" x14ac:dyDescent="0.3">
      <c r="AF1306" s="19"/>
    </row>
    <row r="1307" spans="32:32" x14ac:dyDescent="0.3">
      <c r="AF1307" s="19"/>
    </row>
    <row r="1308" spans="32:32" x14ac:dyDescent="0.3">
      <c r="AF1308" s="19"/>
    </row>
    <row r="1309" spans="32:32" x14ac:dyDescent="0.3">
      <c r="AF1309" s="19"/>
    </row>
    <row r="1310" spans="32:32" x14ac:dyDescent="0.3">
      <c r="AF1310" s="19"/>
    </row>
    <row r="1311" spans="32:32" x14ac:dyDescent="0.3">
      <c r="AF1311" s="19"/>
    </row>
    <row r="1312" spans="32:32" x14ac:dyDescent="0.3">
      <c r="AF1312" s="19"/>
    </row>
    <row r="1313" spans="32:32" x14ac:dyDescent="0.3">
      <c r="AF1313" s="19"/>
    </row>
    <row r="1329" spans="32:32" x14ac:dyDescent="0.3">
      <c r="AF1329" s="19"/>
    </row>
    <row r="1330" spans="32:32" x14ac:dyDescent="0.3">
      <c r="AF1330" s="19"/>
    </row>
    <row r="1331" spans="32:32" x14ac:dyDescent="0.3">
      <c r="AF1331" s="19"/>
    </row>
    <row r="1332" spans="32:32" x14ac:dyDescent="0.3">
      <c r="AF1332" s="19"/>
    </row>
    <row r="1333" spans="32:32" x14ac:dyDescent="0.3">
      <c r="AF1333" s="19"/>
    </row>
    <row r="1334" spans="32:32" x14ac:dyDescent="0.3">
      <c r="AF1334" s="19"/>
    </row>
    <row r="1335" spans="32:32" x14ac:dyDescent="0.3">
      <c r="AF1335" s="19"/>
    </row>
    <row r="1336" spans="32:32" x14ac:dyDescent="0.3">
      <c r="AF1336" s="19"/>
    </row>
    <row r="1348" spans="32:32" x14ac:dyDescent="0.3">
      <c r="AF1348" s="19"/>
    </row>
    <row r="1349" spans="32:32" x14ac:dyDescent="0.3">
      <c r="AF1349" s="19"/>
    </row>
    <row r="1350" spans="32:32" x14ac:dyDescent="0.3">
      <c r="AF1350" s="19"/>
    </row>
    <row r="1351" spans="32:32" x14ac:dyDescent="0.3">
      <c r="AF1351" s="19"/>
    </row>
    <row r="1352" spans="32:32" x14ac:dyDescent="0.3">
      <c r="AF1352" s="19"/>
    </row>
    <row r="1353" spans="32:32" x14ac:dyDescent="0.3">
      <c r="AF1353" s="19"/>
    </row>
    <row r="1354" spans="32:32" x14ac:dyDescent="0.3">
      <c r="AF1354" s="19"/>
    </row>
    <row r="1355" spans="32:32" x14ac:dyDescent="0.3">
      <c r="AF1355" s="19"/>
    </row>
    <row r="1356" spans="32:32" x14ac:dyDescent="0.3">
      <c r="AF1356" s="19"/>
    </row>
    <row r="1357" spans="32:32" x14ac:dyDescent="0.3">
      <c r="AF1357" s="19"/>
    </row>
    <row r="1370" spans="32:32" x14ac:dyDescent="0.3">
      <c r="AF1370" s="19"/>
    </row>
    <row r="1371" spans="32:32" x14ac:dyDescent="0.3">
      <c r="AF1371" s="19"/>
    </row>
    <row r="1372" spans="32:32" x14ac:dyDescent="0.3">
      <c r="AF1372" s="19"/>
    </row>
    <row r="1373" spans="32:32" x14ac:dyDescent="0.3">
      <c r="AF1373" s="19"/>
    </row>
    <row r="1374" spans="32:32" x14ac:dyDescent="0.3">
      <c r="AF1374" s="19"/>
    </row>
    <row r="1375" spans="32:32" x14ac:dyDescent="0.3">
      <c r="AF1375" s="19"/>
    </row>
    <row r="1376" spans="32:32" x14ac:dyDescent="0.3">
      <c r="AF1376" s="19"/>
    </row>
    <row r="1377" spans="32:32" x14ac:dyDescent="0.3">
      <c r="AF1377" s="19"/>
    </row>
    <row r="1392" spans="32:32" x14ac:dyDescent="0.3">
      <c r="AF1392" s="19"/>
    </row>
    <row r="1393" spans="32:32" x14ac:dyDescent="0.3">
      <c r="AF1393" s="19"/>
    </row>
    <row r="1394" spans="32:32" x14ac:dyDescent="0.3">
      <c r="AF1394" s="19"/>
    </row>
    <row r="1395" spans="32:32" x14ac:dyDescent="0.3">
      <c r="AF1395" s="19"/>
    </row>
    <row r="1396" spans="32:32" x14ac:dyDescent="0.3">
      <c r="AF1396" s="19"/>
    </row>
    <row r="1397" spans="32:32" x14ac:dyDescent="0.3">
      <c r="AF1397" s="19"/>
    </row>
    <row r="1398" spans="32:32" x14ac:dyDescent="0.3">
      <c r="AF1398" s="19"/>
    </row>
    <row r="1412" spans="32:32" x14ac:dyDescent="0.3">
      <c r="AF1412" s="19"/>
    </row>
    <row r="1413" spans="32:32" x14ac:dyDescent="0.3">
      <c r="AF1413" s="19"/>
    </row>
    <row r="1414" spans="32:32" x14ac:dyDescent="0.3">
      <c r="AF1414" s="19"/>
    </row>
    <row r="1415" spans="32:32" x14ac:dyDescent="0.3">
      <c r="AF1415" s="19"/>
    </row>
    <row r="1416" spans="32:32" x14ac:dyDescent="0.3">
      <c r="AF1416" s="19"/>
    </row>
    <row r="1417" spans="32:32" x14ac:dyDescent="0.3">
      <c r="AF1417" s="19"/>
    </row>
    <row r="1418" spans="32:32" x14ac:dyDescent="0.3">
      <c r="AF1418" s="19"/>
    </row>
    <row r="1419" spans="32:32" x14ac:dyDescent="0.3">
      <c r="AF1419" s="19"/>
    </row>
    <row r="1420" spans="32:32" x14ac:dyDescent="0.3">
      <c r="AF1420" s="19"/>
    </row>
    <row r="1435" spans="32:32" x14ac:dyDescent="0.3">
      <c r="AF1435" s="19"/>
    </row>
    <row r="1436" spans="32:32" x14ac:dyDescent="0.3">
      <c r="AF1436" s="19"/>
    </row>
    <row r="1437" spans="32:32" x14ac:dyDescent="0.3">
      <c r="AF1437" s="19"/>
    </row>
    <row r="1438" spans="32:32" x14ac:dyDescent="0.3">
      <c r="AF1438" s="19"/>
    </row>
    <row r="1439" spans="32:32" x14ac:dyDescent="0.3">
      <c r="AF1439" s="19"/>
    </row>
    <row r="1440" spans="32:32" x14ac:dyDescent="0.3">
      <c r="AF1440" s="19"/>
    </row>
    <row r="1441" spans="32:32" x14ac:dyDescent="0.3">
      <c r="AF1441" s="19"/>
    </row>
    <row r="1455" spans="32:32" x14ac:dyDescent="0.3">
      <c r="AF1455" s="19"/>
    </row>
    <row r="1456" spans="32:32" x14ac:dyDescent="0.3">
      <c r="AF1456" s="19"/>
    </row>
    <row r="1457" spans="32:32" x14ac:dyDescent="0.3">
      <c r="AF1457" s="19"/>
    </row>
    <row r="1458" spans="32:32" x14ac:dyDescent="0.3">
      <c r="AF1458" s="19"/>
    </row>
    <row r="1459" spans="32:32" x14ac:dyDescent="0.3">
      <c r="AF1459" s="19"/>
    </row>
    <row r="1460" spans="32:32" x14ac:dyDescent="0.3">
      <c r="AF1460" s="19"/>
    </row>
    <row r="1461" spans="32:32" x14ac:dyDescent="0.3">
      <c r="AF1461" s="19"/>
    </row>
    <row r="1462" spans="32:32" x14ac:dyDescent="0.3">
      <c r="AF1462" s="19"/>
    </row>
    <row r="1463" spans="32:32" x14ac:dyDescent="0.3">
      <c r="AF1463" s="19"/>
    </row>
    <row r="1477" spans="32:32" x14ac:dyDescent="0.3">
      <c r="AF1477" s="19"/>
    </row>
    <row r="1478" spans="32:32" x14ac:dyDescent="0.3">
      <c r="AF1478" s="19"/>
    </row>
    <row r="1479" spans="32:32" x14ac:dyDescent="0.3">
      <c r="AF1479" s="19"/>
    </row>
    <row r="1480" spans="32:32" x14ac:dyDescent="0.3">
      <c r="AF1480" s="19"/>
    </row>
    <row r="1481" spans="32:32" x14ac:dyDescent="0.3">
      <c r="AF1481" s="19"/>
    </row>
    <row r="1482" spans="32:32" x14ac:dyDescent="0.3">
      <c r="AF1482" s="19"/>
    </row>
    <row r="1483" spans="32:32" x14ac:dyDescent="0.3">
      <c r="AF1483" s="19"/>
    </row>
    <row r="1484" spans="32:32" x14ac:dyDescent="0.3">
      <c r="AF1484" s="19"/>
    </row>
    <row r="1498" spans="32:32" x14ac:dyDescent="0.3">
      <c r="AF1498" s="19"/>
    </row>
    <row r="1499" spans="32:32" x14ac:dyDescent="0.3">
      <c r="AF1499" s="19"/>
    </row>
    <row r="1500" spans="32:32" x14ac:dyDescent="0.3">
      <c r="AF1500" s="19"/>
    </row>
    <row r="1501" spans="32:32" x14ac:dyDescent="0.3">
      <c r="AF1501" s="19"/>
    </row>
    <row r="1502" spans="32:32" x14ac:dyDescent="0.3">
      <c r="AF1502" s="19"/>
    </row>
    <row r="1503" spans="32:32" x14ac:dyDescent="0.3">
      <c r="AF1503" s="19"/>
    </row>
    <row r="1504" spans="32:32" x14ac:dyDescent="0.3">
      <c r="AF1504" s="19"/>
    </row>
    <row r="1505" spans="32:32" x14ac:dyDescent="0.3">
      <c r="AF1505" s="19"/>
    </row>
    <row r="1518" spans="32:32" x14ac:dyDescent="0.3">
      <c r="AF1518" s="19"/>
    </row>
    <row r="1519" spans="32:32" x14ac:dyDescent="0.3">
      <c r="AF1519" s="19"/>
    </row>
    <row r="1520" spans="32:32" x14ac:dyDescent="0.3">
      <c r="AF1520" s="19"/>
    </row>
    <row r="1521" spans="32:32" x14ac:dyDescent="0.3">
      <c r="AF1521" s="19"/>
    </row>
    <row r="1522" spans="32:32" x14ac:dyDescent="0.3">
      <c r="AF1522" s="19"/>
    </row>
    <row r="1523" spans="32:32" x14ac:dyDescent="0.3">
      <c r="AF1523" s="19"/>
    </row>
    <row r="1524" spans="32:32" x14ac:dyDescent="0.3">
      <c r="AF1524" s="19"/>
    </row>
    <row r="1525" spans="32:32" x14ac:dyDescent="0.3">
      <c r="AF1525" s="19"/>
    </row>
    <row r="1526" spans="32:32" x14ac:dyDescent="0.3">
      <c r="AF1526" s="19"/>
    </row>
    <row r="1540" spans="32:32" x14ac:dyDescent="0.3">
      <c r="AF1540" s="19"/>
    </row>
    <row r="1541" spans="32:32" x14ac:dyDescent="0.3">
      <c r="AF1541" s="19"/>
    </row>
    <row r="1542" spans="32:32" x14ac:dyDescent="0.3">
      <c r="AF1542" s="19"/>
    </row>
    <row r="1543" spans="32:32" x14ac:dyDescent="0.3">
      <c r="AF1543" s="19"/>
    </row>
    <row r="1544" spans="32:32" x14ac:dyDescent="0.3">
      <c r="AF1544" s="19"/>
    </row>
    <row r="1545" spans="32:32" x14ac:dyDescent="0.3">
      <c r="AF1545" s="19"/>
    </row>
    <row r="1546" spans="32:32" x14ac:dyDescent="0.3">
      <c r="AF1546" s="19"/>
    </row>
    <row r="1547" spans="32:32" x14ac:dyDescent="0.3">
      <c r="AF1547" s="19"/>
    </row>
    <row r="1560" spans="32:32" x14ac:dyDescent="0.3">
      <c r="AF1560" s="19"/>
    </row>
    <row r="1561" spans="32:32" x14ac:dyDescent="0.3">
      <c r="AF1561" s="19"/>
    </row>
    <row r="1562" spans="32:32" x14ac:dyDescent="0.3">
      <c r="AF1562" s="19"/>
    </row>
    <row r="1563" spans="32:32" x14ac:dyDescent="0.3">
      <c r="AF1563" s="19"/>
    </row>
    <row r="1564" spans="32:32" x14ac:dyDescent="0.3">
      <c r="AF1564" s="19"/>
    </row>
    <row r="1565" spans="32:32" x14ac:dyDescent="0.3">
      <c r="AF1565" s="19"/>
    </row>
    <row r="1566" spans="32:32" x14ac:dyDescent="0.3">
      <c r="AF1566" s="19"/>
    </row>
    <row r="1567" spans="32:32" x14ac:dyDescent="0.3">
      <c r="AF1567" s="19"/>
    </row>
    <row r="1581" spans="32:32" x14ac:dyDescent="0.3">
      <c r="AF1581" s="19"/>
    </row>
    <row r="1582" spans="32:32" x14ac:dyDescent="0.3">
      <c r="AF1582" s="19"/>
    </row>
    <row r="1583" spans="32:32" x14ac:dyDescent="0.3">
      <c r="AF1583" s="19"/>
    </row>
    <row r="1584" spans="32:32" x14ac:dyDescent="0.3">
      <c r="AF1584" s="19"/>
    </row>
    <row r="1585" spans="32:32" x14ac:dyDescent="0.3">
      <c r="AF1585" s="19"/>
    </row>
    <row r="1586" spans="32:32" x14ac:dyDescent="0.3">
      <c r="AF1586" s="19"/>
    </row>
    <row r="1587" spans="32:32" x14ac:dyDescent="0.3">
      <c r="AF1587" s="19"/>
    </row>
    <row r="1588" spans="32:32" x14ac:dyDescent="0.3">
      <c r="AF1588" s="19"/>
    </row>
    <row r="1589" spans="32:32" x14ac:dyDescent="0.3">
      <c r="AF1589" s="19"/>
    </row>
    <row r="1602" spans="32:32" x14ac:dyDescent="0.3">
      <c r="AF1602" s="19"/>
    </row>
    <row r="1603" spans="32:32" x14ac:dyDescent="0.3">
      <c r="AF1603" s="19"/>
    </row>
    <row r="1604" spans="32:32" x14ac:dyDescent="0.3">
      <c r="AF1604" s="19"/>
    </row>
    <row r="1605" spans="32:32" x14ac:dyDescent="0.3">
      <c r="AF1605" s="19"/>
    </row>
    <row r="1606" spans="32:32" x14ac:dyDescent="0.3">
      <c r="AF1606" s="19"/>
    </row>
    <row r="1607" spans="32:32" x14ac:dyDescent="0.3">
      <c r="AF1607" s="19"/>
    </row>
    <row r="1608" spans="32:32" x14ac:dyDescent="0.3">
      <c r="AF1608" s="19"/>
    </row>
    <row r="1609" spans="32:32" x14ac:dyDescent="0.3">
      <c r="AF1609" s="19"/>
    </row>
    <row r="1624" spans="32:32" x14ac:dyDescent="0.3">
      <c r="AF1624" s="19"/>
    </row>
    <row r="1625" spans="32:32" x14ac:dyDescent="0.3">
      <c r="AF1625" s="19"/>
    </row>
    <row r="1626" spans="32:32" x14ac:dyDescent="0.3">
      <c r="AF1626" s="19"/>
    </row>
    <row r="1627" spans="32:32" x14ac:dyDescent="0.3">
      <c r="AF1627" s="19"/>
    </row>
    <row r="1628" spans="32:32" x14ac:dyDescent="0.3">
      <c r="AF1628" s="19"/>
    </row>
    <row r="1629" spans="32:32" x14ac:dyDescent="0.3">
      <c r="AF1629" s="19"/>
    </row>
    <row r="1630" spans="32:32" x14ac:dyDescent="0.3">
      <c r="AF1630" s="19"/>
    </row>
    <row r="1631" spans="32:32" x14ac:dyDescent="0.3">
      <c r="AF1631" s="19"/>
    </row>
    <row r="1644" spans="32:32" x14ac:dyDescent="0.3">
      <c r="AF1644" s="19"/>
    </row>
    <row r="1645" spans="32:32" x14ac:dyDescent="0.3">
      <c r="AF1645" s="19"/>
    </row>
    <row r="1646" spans="32:32" x14ac:dyDescent="0.3">
      <c r="AF1646" s="19"/>
    </row>
    <row r="1647" spans="32:32" x14ac:dyDescent="0.3">
      <c r="AF1647" s="19"/>
    </row>
    <row r="1648" spans="32:32" x14ac:dyDescent="0.3">
      <c r="AF1648" s="19"/>
    </row>
    <row r="1649" spans="32:32" x14ac:dyDescent="0.3">
      <c r="AF1649" s="19"/>
    </row>
    <row r="1650" spans="32:32" x14ac:dyDescent="0.3">
      <c r="AF1650" s="19"/>
    </row>
    <row r="1651" spans="32:32" x14ac:dyDescent="0.3">
      <c r="AF1651" s="19"/>
    </row>
    <row r="1652" spans="32:32" x14ac:dyDescent="0.3">
      <c r="AF1652" s="19"/>
    </row>
    <row r="1666" spans="32:32" x14ac:dyDescent="0.3">
      <c r="AF1666" s="19"/>
    </row>
    <row r="1667" spans="32:32" x14ac:dyDescent="0.3">
      <c r="AF1667" s="19"/>
    </row>
    <row r="1668" spans="32:32" x14ac:dyDescent="0.3">
      <c r="AF1668" s="19"/>
    </row>
    <row r="1669" spans="32:32" x14ac:dyDescent="0.3">
      <c r="AF1669" s="19"/>
    </row>
    <row r="1670" spans="32:32" x14ac:dyDescent="0.3">
      <c r="AF1670" s="19"/>
    </row>
    <row r="1671" spans="32:32" x14ac:dyDescent="0.3">
      <c r="AF1671" s="19"/>
    </row>
    <row r="1672" spans="32:32" x14ac:dyDescent="0.3">
      <c r="AF1672" s="19"/>
    </row>
    <row r="1673" spans="32:32" x14ac:dyDescent="0.3">
      <c r="AF1673" s="19"/>
    </row>
    <row r="1688" spans="32:32" x14ac:dyDescent="0.3">
      <c r="AF1688" s="19"/>
    </row>
    <row r="1689" spans="32:32" x14ac:dyDescent="0.3">
      <c r="AF1689" s="19"/>
    </row>
    <row r="1690" spans="32:32" x14ac:dyDescent="0.3">
      <c r="AF1690" s="19"/>
    </row>
    <row r="1691" spans="32:32" x14ac:dyDescent="0.3">
      <c r="AF1691" s="19"/>
    </row>
    <row r="1692" spans="32:32" x14ac:dyDescent="0.3">
      <c r="AF1692" s="19"/>
    </row>
    <row r="1693" spans="32:32" x14ac:dyDescent="0.3">
      <c r="AF1693" s="19"/>
    </row>
    <row r="1694" spans="32:32" x14ac:dyDescent="0.3">
      <c r="AF1694" s="19"/>
    </row>
    <row r="1695" spans="32:32" x14ac:dyDescent="0.3">
      <c r="AF1695" s="19"/>
    </row>
    <row r="1708" spans="32:32" x14ac:dyDescent="0.3">
      <c r="AF1708" s="19"/>
    </row>
    <row r="1709" spans="32:32" x14ac:dyDescent="0.3">
      <c r="AF1709" s="19"/>
    </row>
    <row r="1710" spans="32:32" x14ac:dyDescent="0.3">
      <c r="AF1710" s="19"/>
    </row>
    <row r="1711" spans="32:32" x14ac:dyDescent="0.3">
      <c r="AF1711" s="19"/>
    </row>
    <row r="1712" spans="32:32" x14ac:dyDescent="0.3">
      <c r="AF1712" s="19"/>
    </row>
    <row r="1713" spans="32:32" x14ac:dyDescent="0.3">
      <c r="AF1713" s="19"/>
    </row>
    <row r="1714" spans="32:32" x14ac:dyDescent="0.3">
      <c r="AF1714" s="19"/>
    </row>
    <row r="1715" spans="32:32" x14ac:dyDescent="0.3">
      <c r="AF1715" s="19"/>
    </row>
    <row r="1716" spans="32:32" x14ac:dyDescent="0.3">
      <c r="AF1716" s="19"/>
    </row>
    <row r="1731" spans="32:32" x14ac:dyDescent="0.3">
      <c r="AF1731" s="19"/>
    </row>
    <row r="1732" spans="32:32" x14ac:dyDescent="0.3">
      <c r="AF1732" s="19"/>
    </row>
    <row r="1733" spans="32:32" x14ac:dyDescent="0.3">
      <c r="AF1733" s="19"/>
    </row>
    <row r="1734" spans="32:32" x14ac:dyDescent="0.3">
      <c r="AF1734" s="19"/>
    </row>
    <row r="1735" spans="32:32" x14ac:dyDescent="0.3">
      <c r="AF1735" s="19"/>
    </row>
    <row r="1736" spans="32:32" x14ac:dyDescent="0.3">
      <c r="AF1736" s="19"/>
    </row>
    <row r="1737" spans="32:32" x14ac:dyDescent="0.3">
      <c r="AF1737" s="19"/>
    </row>
    <row r="1738" spans="32:32" x14ac:dyDescent="0.3">
      <c r="AF1738" s="19"/>
    </row>
    <row r="1751" spans="32:32" x14ac:dyDescent="0.3">
      <c r="AF1751" s="19"/>
    </row>
    <row r="1752" spans="32:32" x14ac:dyDescent="0.3">
      <c r="AF1752" s="19"/>
    </row>
    <row r="1753" spans="32:32" x14ac:dyDescent="0.3">
      <c r="AF1753" s="19"/>
    </row>
    <row r="1754" spans="32:32" x14ac:dyDescent="0.3">
      <c r="AF1754" s="19"/>
    </row>
    <row r="1755" spans="32:32" x14ac:dyDescent="0.3">
      <c r="AF1755" s="19"/>
    </row>
    <row r="1756" spans="32:32" x14ac:dyDescent="0.3">
      <c r="AF1756" s="19"/>
    </row>
    <row r="1757" spans="32:32" x14ac:dyDescent="0.3">
      <c r="AF1757" s="19"/>
    </row>
    <row r="1758" spans="32:32" x14ac:dyDescent="0.3">
      <c r="AF1758" s="19"/>
    </row>
    <row r="1759" spans="32:32" x14ac:dyDescent="0.3">
      <c r="AF1759" s="19"/>
    </row>
    <row r="1772" spans="32:32" x14ac:dyDescent="0.3">
      <c r="AF1772" s="19"/>
    </row>
    <row r="1773" spans="32:32" x14ac:dyDescent="0.3">
      <c r="AF1773" s="19"/>
    </row>
    <row r="1774" spans="32:32" x14ac:dyDescent="0.3">
      <c r="AF1774" s="19"/>
    </row>
    <row r="1775" spans="32:32" x14ac:dyDescent="0.3">
      <c r="AF1775" s="19"/>
    </row>
    <row r="1776" spans="32:32" x14ac:dyDescent="0.3">
      <c r="AF1776" s="19"/>
    </row>
    <row r="1777" spans="32:32" x14ac:dyDescent="0.3">
      <c r="AF1777" s="19"/>
    </row>
    <row r="1778" spans="32:32" x14ac:dyDescent="0.3">
      <c r="AF1778" s="19"/>
    </row>
    <row r="1793" spans="32:32" x14ac:dyDescent="0.3">
      <c r="AF1793" s="19"/>
    </row>
    <row r="1794" spans="32:32" x14ac:dyDescent="0.3">
      <c r="AF1794" s="19"/>
    </row>
    <row r="1795" spans="32:32" x14ac:dyDescent="0.3">
      <c r="AF1795" s="19"/>
    </row>
    <row r="1796" spans="32:32" x14ac:dyDescent="0.3">
      <c r="AF1796" s="19"/>
    </row>
    <row r="1797" spans="32:32" x14ac:dyDescent="0.3">
      <c r="AF1797" s="19"/>
    </row>
    <row r="1798" spans="32:32" x14ac:dyDescent="0.3">
      <c r="AF1798" s="19"/>
    </row>
    <row r="1799" spans="32:32" x14ac:dyDescent="0.3">
      <c r="AF1799" s="19"/>
    </row>
    <row r="1800" spans="32:32" x14ac:dyDescent="0.3">
      <c r="AF1800" s="19"/>
    </row>
    <row r="1812" spans="32:32" x14ac:dyDescent="0.3">
      <c r="AF1812" s="19"/>
    </row>
    <row r="1813" spans="32:32" x14ac:dyDescent="0.3">
      <c r="AF1813" s="19"/>
    </row>
    <row r="1814" spans="32:32" x14ac:dyDescent="0.3">
      <c r="AF1814" s="19"/>
    </row>
    <row r="1815" spans="32:32" x14ac:dyDescent="0.3">
      <c r="AF1815" s="19"/>
    </row>
    <row r="1816" spans="32:32" x14ac:dyDescent="0.3">
      <c r="AF1816" s="19"/>
    </row>
    <row r="1817" spans="32:32" x14ac:dyDescent="0.3">
      <c r="AF1817" s="19"/>
    </row>
    <row r="1818" spans="32:32" x14ac:dyDescent="0.3">
      <c r="AF1818" s="19"/>
    </row>
    <row r="1819" spans="32:32" x14ac:dyDescent="0.3">
      <c r="AF1819" s="19"/>
    </row>
    <row r="1832" spans="32:32" x14ac:dyDescent="0.3">
      <c r="AF1832" s="19"/>
    </row>
    <row r="1833" spans="32:32" x14ac:dyDescent="0.3">
      <c r="AF1833" s="19"/>
    </row>
    <row r="1834" spans="32:32" x14ac:dyDescent="0.3">
      <c r="AF1834" s="19"/>
    </row>
    <row r="1835" spans="32:32" x14ac:dyDescent="0.3">
      <c r="AF1835" s="19"/>
    </row>
    <row r="1836" spans="32:32" x14ac:dyDescent="0.3">
      <c r="AF1836" s="19"/>
    </row>
    <row r="1837" spans="32:32" x14ac:dyDescent="0.3">
      <c r="AF1837" s="19"/>
    </row>
    <row r="1838" spans="32:32" x14ac:dyDescent="0.3">
      <c r="AF1838" s="19"/>
    </row>
    <row r="1839" spans="32:32" x14ac:dyDescent="0.3">
      <c r="AF1839" s="19"/>
    </row>
    <row r="1840" spans="32:32" x14ac:dyDescent="0.3">
      <c r="AF1840" s="19"/>
    </row>
    <row r="1854" spans="32:32" x14ac:dyDescent="0.3">
      <c r="AF1854" s="19"/>
    </row>
    <row r="1855" spans="32:32" x14ac:dyDescent="0.3">
      <c r="AF1855" s="19"/>
    </row>
    <row r="1856" spans="32:32" x14ac:dyDescent="0.3">
      <c r="AF1856" s="19"/>
    </row>
    <row r="1857" spans="32:32" x14ac:dyDescent="0.3">
      <c r="AF1857" s="19"/>
    </row>
    <row r="1858" spans="32:32" x14ac:dyDescent="0.3">
      <c r="AF1858" s="19"/>
    </row>
    <row r="1859" spans="32:32" x14ac:dyDescent="0.3">
      <c r="AF1859" s="19"/>
    </row>
    <row r="1860" spans="32:32" x14ac:dyDescent="0.3">
      <c r="AF1860" s="19"/>
    </row>
    <row r="1861" spans="32:32" x14ac:dyDescent="0.3">
      <c r="AF1861" s="19"/>
    </row>
    <row r="1875" spans="32:32" x14ac:dyDescent="0.3">
      <c r="AF1875" s="19"/>
    </row>
    <row r="1876" spans="32:32" x14ac:dyDescent="0.3">
      <c r="AF1876" s="19"/>
    </row>
    <row r="1877" spans="32:32" x14ac:dyDescent="0.3">
      <c r="AF1877" s="19"/>
    </row>
    <row r="1878" spans="32:32" x14ac:dyDescent="0.3">
      <c r="AF1878" s="19"/>
    </row>
    <row r="1879" spans="32:32" x14ac:dyDescent="0.3">
      <c r="AF1879" s="19"/>
    </row>
    <row r="1880" spans="32:32" x14ac:dyDescent="0.3">
      <c r="AF1880" s="19"/>
    </row>
    <row r="1881" spans="32:32" x14ac:dyDescent="0.3">
      <c r="AF1881" s="19"/>
    </row>
    <row r="1882" spans="32:32" x14ac:dyDescent="0.3">
      <c r="AF1882" s="19"/>
    </row>
    <row r="1883" spans="32:32" x14ac:dyDescent="0.3">
      <c r="AF1883" s="19"/>
    </row>
    <row r="1896" spans="32:32" x14ac:dyDescent="0.3">
      <c r="AF1896" s="19"/>
    </row>
    <row r="1897" spans="32:32" x14ac:dyDescent="0.3">
      <c r="AF1897" s="19"/>
    </row>
    <row r="1898" spans="32:32" x14ac:dyDescent="0.3">
      <c r="AF1898" s="19"/>
    </row>
    <row r="1899" spans="32:32" x14ac:dyDescent="0.3">
      <c r="AF1899" s="19"/>
    </row>
    <row r="1900" spans="32:32" x14ac:dyDescent="0.3">
      <c r="AF1900" s="19"/>
    </row>
    <row r="1901" spans="32:32" x14ac:dyDescent="0.3">
      <c r="AF1901" s="19"/>
    </row>
    <row r="1902" spans="32:32" x14ac:dyDescent="0.3">
      <c r="AF1902" s="19"/>
    </row>
    <row r="1903" spans="32:32" x14ac:dyDescent="0.3">
      <c r="AF1903" s="19"/>
    </row>
    <row r="1918" spans="32:32" x14ac:dyDescent="0.3">
      <c r="AF1918" s="19"/>
    </row>
    <row r="1919" spans="32:32" x14ac:dyDescent="0.3">
      <c r="AF1919" s="19"/>
    </row>
    <row r="1920" spans="32:32" x14ac:dyDescent="0.3">
      <c r="AF1920" s="19"/>
    </row>
    <row r="1921" spans="32:32" x14ac:dyDescent="0.3">
      <c r="AF1921" s="19"/>
    </row>
    <row r="1922" spans="32:32" x14ac:dyDescent="0.3">
      <c r="AF1922" s="19"/>
    </row>
    <row r="1923" spans="32:32" x14ac:dyDescent="0.3">
      <c r="AF1923" s="19"/>
    </row>
    <row r="1924" spans="32:32" x14ac:dyDescent="0.3">
      <c r="AF1924" s="19"/>
    </row>
    <row r="1925" spans="32:32" x14ac:dyDescent="0.3">
      <c r="AF1925" s="19"/>
    </row>
    <row r="1939" spans="32:32" x14ac:dyDescent="0.3">
      <c r="AF1939" s="19"/>
    </row>
    <row r="1940" spans="32:32" x14ac:dyDescent="0.3">
      <c r="AF1940" s="19"/>
    </row>
    <row r="1941" spans="32:32" x14ac:dyDescent="0.3">
      <c r="AF1941" s="19"/>
    </row>
    <row r="1942" spans="32:32" x14ac:dyDescent="0.3">
      <c r="AF1942" s="19"/>
    </row>
    <row r="1943" spans="32:32" x14ac:dyDescent="0.3">
      <c r="AF1943" s="19"/>
    </row>
    <row r="1944" spans="32:32" x14ac:dyDescent="0.3">
      <c r="AF1944" s="19"/>
    </row>
    <row r="1945" spans="32:32" x14ac:dyDescent="0.3">
      <c r="AF1945" s="19"/>
    </row>
    <row r="1946" spans="32:32" x14ac:dyDescent="0.3">
      <c r="AF1946" s="19"/>
    </row>
    <row r="1947" spans="32:32" x14ac:dyDescent="0.3">
      <c r="AF1947" s="19"/>
    </row>
    <row r="1960" spans="32:32" x14ac:dyDescent="0.3">
      <c r="AF1960" s="19"/>
    </row>
    <row r="1961" spans="32:32" x14ac:dyDescent="0.3">
      <c r="AF1961" s="19"/>
    </row>
    <row r="1962" spans="32:32" x14ac:dyDescent="0.3">
      <c r="AF1962" s="19"/>
    </row>
    <row r="1963" spans="32:32" x14ac:dyDescent="0.3">
      <c r="AF1963" s="19"/>
    </row>
    <row r="1964" spans="32:32" x14ac:dyDescent="0.3">
      <c r="AF1964" s="19"/>
    </row>
    <row r="1965" spans="32:32" x14ac:dyDescent="0.3">
      <c r="AF1965" s="19"/>
    </row>
    <row r="1966" spans="32:32" x14ac:dyDescent="0.3">
      <c r="AF1966" s="19"/>
    </row>
    <row r="1967" spans="32:32" x14ac:dyDescent="0.3">
      <c r="AF1967" s="19"/>
    </row>
    <row r="1983" spans="32:32" x14ac:dyDescent="0.3">
      <c r="AF1983" s="19"/>
    </row>
    <row r="1984" spans="32:32" x14ac:dyDescent="0.3">
      <c r="AF1984" s="19"/>
    </row>
    <row r="1985" spans="32:32" x14ac:dyDescent="0.3">
      <c r="AF1985" s="19"/>
    </row>
    <row r="1986" spans="32:32" x14ac:dyDescent="0.3">
      <c r="AF1986" s="19"/>
    </row>
    <row r="1987" spans="32:32" x14ac:dyDescent="0.3">
      <c r="AF1987" s="19"/>
    </row>
    <row r="1988" spans="32:32" x14ac:dyDescent="0.3">
      <c r="AF1988" s="19"/>
    </row>
    <row r="1989" spans="32:32" x14ac:dyDescent="0.3">
      <c r="AF1989" s="19"/>
    </row>
    <row r="1990" spans="32:32" x14ac:dyDescent="0.3">
      <c r="AF1990" s="19"/>
    </row>
    <row r="2001" spans="32:32" x14ac:dyDescent="0.3">
      <c r="AF2001" s="19"/>
    </row>
    <row r="2002" spans="32:32" x14ac:dyDescent="0.3">
      <c r="AF2002" s="19"/>
    </row>
    <row r="2003" spans="32:32" x14ac:dyDescent="0.3">
      <c r="AF2003" s="19"/>
    </row>
    <row r="2004" spans="32:32" x14ac:dyDescent="0.3">
      <c r="AF2004" s="19"/>
    </row>
    <row r="2005" spans="32:32" x14ac:dyDescent="0.3">
      <c r="AF2005" s="19"/>
    </row>
    <row r="2006" spans="32:32" x14ac:dyDescent="0.3">
      <c r="AF2006" s="19"/>
    </row>
    <row r="2007" spans="32:32" x14ac:dyDescent="0.3">
      <c r="AF2007" s="19"/>
    </row>
    <row r="2008" spans="32:32" x14ac:dyDescent="0.3">
      <c r="AF2008" s="19"/>
    </row>
    <row r="2009" spans="32:32" x14ac:dyDescent="0.3">
      <c r="AF2009" s="19"/>
    </row>
    <row r="2010" spans="32:32" x14ac:dyDescent="0.3">
      <c r="AF2010" s="19"/>
    </row>
    <row r="2023" spans="32:32" x14ac:dyDescent="0.3">
      <c r="AF2023" s="19"/>
    </row>
    <row r="2024" spans="32:32" x14ac:dyDescent="0.3">
      <c r="AF2024" s="19"/>
    </row>
    <row r="2025" spans="32:32" x14ac:dyDescent="0.3">
      <c r="AF2025" s="19"/>
    </row>
    <row r="2026" spans="32:32" x14ac:dyDescent="0.3">
      <c r="AF2026" s="19"/>
    </row>
    <row r="2027" spans="32:32" x14ac:dyDescent="0.3">
      <c r="AF2027" s="19"/>
    </row>
    <row r="2028" spans="32:32" x14ac:dyDescent="0.3">
      <c r="AF2028" s="19"/>
    </row>
    <row r="2029" spans="32:32" x14ac:dyDescent="0.3">
      <c r="AF2029" s="19"/>
    </row>
    <row r="2043" spans="32:32" x14ac:dyDescent="0.3">
      <c r="AF2043" s="19"/>
    </row>
    <row r="2044" spans="32:32" x14ac:dyDescent="0.3">
      <c r="AF2044" s="19"/>
    </row>
    <row r="2045" spans="32:32" x14ac:dyDescent="0.3">
      <c r="AF2045" s="19"/>
    </row>
    <row r="2046" spans="32:32" x14ac:dyDescent="0.3">
      <c r="AF2046" s="19"/>
    </row>
    <row r="2047" spans="32:32" x14ac:dyDescent="0.3">
      <c r="AF2047" s="19"/>
    </row>
    <row r="2048" spans="32:32" x14ac:dyDescent="0.3">
      <c r="AF2048" s="19"/>
    </row>
    <row r="2049" spans="32:32" x14ac:dyDescent="0.3">
      <c r="AF2049" s="19"/>
    </row>
    <row r="2050" spans="32:32" x14ac:dyDescent="0.3">
      <c r="AF2050" s="19"/>
    </row>
    <row r="2051" spans="32:32" x14ac:dyDescent="0.3">
      <c r="AF2051" s="19"/>
    </row>
    <row r="2062" spans="32:32" x14ac:dyDescent="0.3">
      <c r="AF2062" s="19"/>
    </row>
    <row r="2063" spans="32:32" x14ac:dyDescent="0.3">
      <c r="AF2063" s="19"/>
    </row>
    <row r="2064" spans="32:32" x14ac:dyDescent="0.3">
      <c r="AF2064" s="19"/>
    </row>
    <row r="2065" spans="32:32" x14ac:dyDescent="0.3">
      <c r="AF2065" s="19"/>
    </row>
    <row r="2066" spans="32:32" x14ac:dyDescent="0.3">
      <c r="AF2066" s="19"/>
    </row>
    <row r="2067" spans="32:32" x14ac:dyDescent="0.3">
      <c r="AF2067" s="19"/>
    </row>
    <row r="2068" spans="32:32" x14ac:dyDescent="0.3">
      <c r="AF2068" s="19"/>
    </row>
    <row r="2069" spans="32:32" x14ac:dyDescent="0.3">
      <c r="AF2069" s="19"/>
    </row>
    <row r="2070" spans="32:32" x14ac:dyDescent="0.3">
      <c r="AF2070" s="19"/>
    </row>
    <row r="2084" spans="32:32" x14ac:dyDescent="0.3">
      <c r="AF2084" s="19"/>
    </row>
    <row r="2085" spans="32:32" x14ac:dyDescent="0.3">
      <c r="AF2085" s="19"/>
    </row>
    <row r="2086" spans="32:32" x14ac:dyDescent="0.3">
      <c r="AF2086" s="19"/>
    </row>
    <row r="2087" spans="32:32" x14ac:dyDescent="0.3">
      <c r="AF2087" s="19"/>
    </row>
    <row r="2088" spans="32:32" x14ac:dyDescent="0.3">
      <c r="AF2088" s="19"/>
    </row>
    <row r="2089" spans="32:32" x14ac:dyDescent="0.3">
      <c r="AF2089" s="19"/>
    </row>
    <row r="2090" spans="32:32" x14ac:dyDescent="0.3">
      <c r="AF2090" s="19"/>
    </row>
    <row r="2105" spans="32:32" x14ac:dyDescent="0.3">
      <c r="AF2105" s="19"/>
    </row>
    <row r="2106" spans="32:32" x14ac:dyDescent="0.3">
      <c r="AF2106" s="19"/>
    </row>
    <row r="2107" spans="32:32" x14ac:dyDescent="0.3">
      <c r="AF2107" s="19"/>
    </row>
    <row r="2108" spans="32:32" x14ac:dyDescent="0.3">
      <c r="AF2108" s="19"/>
    </row>
    <row r="2109" spans="32:32" x14ac:dyDescent="0.3">
      <c r="AF2109" s="19"/>
    </row>
    <row r="2110" spans="32:32" x14ac:dyDescent="0.3">
      <c r="AF2110" s="19"/>
    </row>
    <row r="2111" spans="32:32" x14ac:dyDescent="0.3">
      <c r="AF2111" s="19"/>
    </row>
    <row r="2112" spans="32:32" x14ac:dyDescent="0.3">
      <c r="AF2112" s="19"/>
    </row>
    <row r="2125" spans="32:32" x14ac:dyDescent="0.3">
      <c r="AF2125" s="19"/>
    </row>
    <row r="2126" spans="32:32" x14ac:dyDescent="0.3">
      <c r="AF2126" s="19"/>
    </row>
    <row r="2127" spans="32:32" x14ac:dyDescent="0.3">
      <c r="AF2127" s="19"/>
    </row>
    <row r="2128" spans="32:32" x14ac:dyDescent="0.3">
      <c r="AF2128" s="19"/>
    </row>
    <row r="2129" spans="32:32" x14ac:dyDescent="0.3">
      <c r="AF2129" s="19"/>
    </row>
    <row r="2130" spans="32:32" x14ac:dyDescent="0.3">
      <c r="AF2130" s="19"/>
    </row>
    <row r="2131" spans="32:32" x14ac:dyDescent="0.3">
      <c r="AF2131" s="19"/>
    </row>
    <row r="2132" spans="32:32" x14ac:dyDescent="0.3">
      <c r="AF2132" s="19"/>
    </row>
    <row r="2133" spans="32:32" x14ac:dyDescent="0.3">
      <c r="AF2133" s="19"/>
    </row>
    <row r="2134" spans="32:32" x14ac:dyDescent="0.3">
      <c r="AF2134" s="19"/>
    </row>
    <row r="2147" spans="32:32" x14ac:dyDescent="0.3">
      <c r="AF2147" s="19"/>
    </row>
    <row r="2148" spans="32:32" x14ac:dyDescent="0.3">
      <c r="AF2148" s="19"/>
    </row>
    <row r="2149" spans="32:32" x14ac:dyDescent="0.3">
      <c r="AF2149" s="19"/>
    </row>
    <row r="2150" spans="32:32" x14ac:dyDescent="0.3">
      <c r="AF2150" s="19"/>
    </row>
    <row r="2151" spans="32:32" x14ac:dyDescent="0.3">
      <c r="AF2151" s="19"/>
    </row>
    <row r="2152" spans="32:32" x14ac:dyDescent="0.3">
      <c r="AF2152" s="19"/>
    </row>
    <row r="2153" spans="32:32" x14ac:dyDescent="0.3">
      <c r="AF2153" s="19"/>
    </row>
    <row r="2169" spans="32:32" x14ac:dyDescent="0.3">
      <c r="AF2169" s="19"/>
    </row>
    <row r="2170" spans="32:32" x14ac:dyDescent="0.3">
      <c r="AF2170" s="19"/>
    </row>
    <row r="2171" spans="32:32" x14ac:dyDescent="0.3">
      <c r="AF2171" s="19"/>
    </row>
    <row r="2172" spans="32:32" x14ac:dyDescent="0.3">
      <c r="AF2172" s="19"/>
    </row>
    <row r="2173" spans="32:32" x14ac:dyDescent="0.3">
      <c r="AF2173" s="19"/>
    </row>
    <row r="2174" spans="32:32" x14ac:dyDescent="0.3">
      <c r="AF2174" s="19"/>
    </row>
    <row r="2175" spans="32:32" x14ac:dyDescent="0.3">
      <c r="AF2175" s="19"/>
    </row>
    <row r="2176" spans="32:32" x14ac:dyDescent="0.3">
      <c r="AF2176" s="19"/>
    </row>
    <row r="2190" spans="32:32" x14ac:dyDescent="0.3">
      <c r="AF2190" s="19"/>
    </row>
    <row r="2191" spans="32:32" x14ac:dyDescent="0.3">
      <c r="AF2191" s="19"/>
    </row>
    <row r="2192" spans="32:32" x14ac:dyDescent="0.3">
      <c r="AF2192" s="19"/>
    </row>
    <row r="2193" spans="32:32" x14ac:dyDescent="0.3">
      <c r="AF2193" s="19"/>
    </row>
    <row r="2194" spans="32:32" x14ac:dyDescent="0.3">
      <c r="AF2194" s="19"/>
    </row>
    <row r="2195" spans="32:32" x14ac:dyDescent="0.3">
      <c r="AF2195" s="19"/>
    </row>
    <row r="2196" spans="32:32" x14ac:dyDescent="0.3">
      <c r="AF2196" s="19"/>
    </row>
    <row r="2197" spans="32:32" x14ac:dyDescent="0.3">
      <c r="AF2197" s="19"/>
    </row>
    <row r="2211" spans="32:32" x14ac:dyDescent="0.3">
      <c r="AF2211" s="19"/>
    </row>
    <row r="2212" spans="32:32" x14ac:dyDescent="0.3">
      <c r="AF2212" s="19"/>
    </row>
    <row r="2213" spans="32:32" x14ac:dyDescent="0.3">
      <c r="AF2213" s="19"/>
    </row>
    <row r="2214" spans="32:32" x14ac:dyDescent="0.3">
      <c r="AF2214" s="19"/>
    </row>
    <row r="2215" spans="32:32" x14ac:dyDescent="0.3">
      <c r="AF2215" s="19"/>
    </row>
    <row r="2216" spans="32:32" x14ac:dyDescent="0.3">
      <c r="AF2216" s="19"/>
    </row>
    <row r="2217" spans="32:32" x14ac:dyDescent="0.3">
      <c r="AF2217" s="19"/>
    </row>
    <row r="2218" spans="32:32" x14ac:dyDescent="0.3">
      <c r="AF2218" s="19"/>
    </row>
    <row r="2233" spans="32:32" x14ac:dyDescent="0.3">
      <c r="AF2233" s="19"/>
    </row>
    <row r="2234" spans="32:32" x14ac:dyDescent="0.3">
      <c r="AF2234" s="19"/>
    </row>
    <row r="2235" spans="32:32" x14ac:dyDescent="0.3">
      <c r="AF2235" s="19"/>
    </row>
    <row r="2236" spans="32:32" x14ac:dyDescent="0.3">
      <c r="AF2236" s="19"/>
    </row>
    <row r="2237" spans="32:32" x14ac:dyDescent="0.3">
      <c r="AF2237" s="19"/>
    </row>
    <row r="2238" spans="32:32" x14ac:dyDescent="0.3">
      <c r="AF2238" s="19"/>
    </row>
    <row r="2239" spans="32:32" x14ac:dyDescent="0.3">
      <c r="AF2239" s="19"/>
    </row>
    <row r="2240" spans="32:32" x14ac:dyDescent="0.3">
      <c r="AF2240" s="19"/>
    </row>
    <row r="2241" spans="32:32" x14ac:dyDescent="0.3">
      <c r="AF2241" s="19"/>
    </row>
    <row r="2253" spans="32:32" x14ac:dyDescent="0.3">
      <c r="AF2253" s="19"/>
    </row>
    <row r="2254" spans="32:32" x14ac:dyDescent="0.3">
      <c r="AF2254" s="19"/>
    </row>
    <row r="2255" spans="32:32" x14ac:dyDescent="0.3">
      <c r="AF2255" s="19"/>
    </row>
    <row r="2256" spans="32:32" x14ac:dyDescent="0.3">
      <c r="AF2256" s="19"/>
    </row>
    <row r="2257" spans="32:32" x14ac:dyDescent="0.3">
      <c r="AF2257" s="19"/>
    </row>
    <row r="2258" spans="32:32" x14ac:dyDescent="0.3">
      <c r="AF2258" s="19"/>
    </row>
    <row r="2259" spans="32:32" x14ac:dyDescent="0.3">
      <c r="AF2259" s="19"/>
    </row>
    <row r="2260" spans="32:32" x14ac:dyDescent="0.3">
      <c r="AF2260" s="19"/>
    </row>
    <row r="2261" spans="32:32" x14ac:dyDescent="0.3">
      <c r="AF2261" s="19"/>
    </row>
    <row r="2275" spans="32:32" x14ac:dyDescent="0.3">
      <c r="AF2275" s="19"/>
    </row>
    <row r="2276" spans="32:32" x14ac:dyDescent="0.3">
      <c r="AF2276" s="19"/>
    </row>
    <row r="2277" spans="32:32" x14ac:dyDescent="0.3">
      <c r="AF2277" s="19"/>
    </row>
    <row r="2278" spans="32:32" x14ac:dyDescent="0.3">
      <c r="AF2278" s="19"/>
    </row>
    <row r="2279" spans="32:32" x14ac:dyDescent="0.3">
      <c r="AF2279" s="19"/>
    </row>
    <row r="2280" spans="32:32" x14ac:dyDescent="0.3">
      <c r="AF2280" s="19"/>
    </row>
    <row r="2281" spans="32:32" x14ac:dyDescent="0.3">
      <c r="AF2281" s="19"/>
    </row>
    <row r="2294" spans="32:32" x14ac:dyDescent="0.3">
      <c r="AF2294" s="19"/>
    </row>
    <row r="2295" spans="32:32" x14ac:dyDescent="0.3">
      <c r="AF2295" s="19"/>
    </row>
    <row r="2296" spans="32:32" x14ac:dyDescent="0.3">
      <c r="AF2296" s="19"/>
    </row>
    <row r="2297" spans="32:32" x14ac:dyDescent="0.3">
      <c r="AF2297" s="19"/>
    </row>
    <row r="2298" spans="32:32" x14ac:dyDescent="0.3">
      <c r="AF2298" s="19"/>
    </row>
    <row r="2299" spans="32:32" x14ac:dyDescent="0.3">
      <c r="AF2299" s="19"/>
    </row>
    <row r="2300" spans="32:32" x14ac:dyDescent="0.3">
      <c r="AF2300" s="19"/>
    </row>
    <row r="2301" spans="32:32" x14ac:dyDescent="0.3">
      <c r="AF2301" s="19"/>
    </row>
    <row r="2302" spans="32:32" x14ac:dyDescent="0.3">
      <c r="AF2302" s="19"/>
    </row>
    <row r="2303" spans="32:32" x14ac:dyDescent="0.3">
      <c r="AF2303" s="19"/>
    </row>
    <row r="2313" spans="32:32" x14ac:dyDescent="0.3">
      <c r="AF2313" s="19"/>
    </row>
    <row r="2314" spans="32:32" x14ac:dyDescent="0.3">
      <c r="AF2314" s="19"/>
    </row>
    <row r="2315" spans="32:32" x14ac:dyDescent="0.3">
      <c r="AF2315" s="19"/>
    </row>
    <row r="2316" spans="32:32" x14ac:dyDescent="0.3">
      <c r="AF2316" s="19"/>
    </row>
    <row r="2317" spans="32:32" x14ac:dyDescent="0.3">
      <c r="AF2317" s="19"/>
    </row>
    <row r="2318" spans="32:32" x14ac:dyDescent="0.3">
      <c r="AF2318" s="19"/>
    </row>
    <row r="2319" spans="32:32" x14ac:dyDescent="0.3">
      <c r="AF2319" s="19"/>
    </row>
    <row r="2320" spans="32:32" x14ac:dyDescent="0.3">
      <c r="AF2320" s="19"/>
    </row>
    <row r="2321" spans="32:32" x14ac:dyDescent="0.3">
      <c r="AF2321" s="19"/>
    </row>
    <row r="2322" spans="32:32" x14ac:dyDescent="0.3">
      <c r="AF2322" s="19"/>
    </row>
    <row r="2336" spans="32:32" x14ac:dyDescent="0.3">
      <c r="AF2336" s="19"/>
    </row>
    <row r="2337" spans="32:32" x14ac:dyDescent="0.3">
      <c r="AF2337" s="19"/>
    </row>
    <row r="2338" spans="32:32" x14ac:dyDescent="0.3">
      <c r="AF2338" s="19"/>
    </row>
    <row r="2339" spans="32:32" x14ac:dyDescent="0.3">
      <c r="AF2339" s="19"/>
    </row>
    <row r="2340" spans="32:32" x14ac:dyDescent="0.3">
      <c r="AF2340" s="19"/>
    </row>
    <row r="2341" spans="32:32" x14ac:dyDescent="0.3">
      <c r="AF2341" s="19"/>
    </row>
    <row r="2342" spans="32:32" x14ac:dyDescent="0.3">
      <c r="AF2342" s="19"/>
    </row>
    <row r="2357" spans="32:32" x14ac:dyDescent="0.3">
      <c r="AF2357" s="19"/>
    </row>
    <row r="2358" spans="32:32" x14ac:dyDescent="0.3">
      <c r="AF2358" s="19"/>
    </row>
    <row r="2359" spans="32:32" x14ac:dyDescent="0.3">
      <c r="AF2359" s="19"/>
    </row>
    <row r="2360" spans="32:32" x14ac:dyDescent="0.3">
      <c r="AF2360" s="19"/>
    </row>
    <row r="2361" spans="32:32" x14ac:dyDescent="0.3">
      <c r="AF2361" s="19"/>
    </row>
    <row r="2362" spans="32:32" x14ac:dyDescent="0.3">
      <c r="AF2362" s="19"/>
    </row>
    <row r="2363" spans="32:32" x14ac:dyDescent="0.3">
      <c r="AF2363" s="19"/>
    </row>
    <row r="2364" spans="32:32" x14ac:dyDescent="0.3">
      <c r="AF2364" s="19"/>
    </row>
    <row r="2377" spans="32:32" x14ac:dyDescent="0.3">
      <c r="AF2377" s="19"/>
    </row>
    <row r="2378" spans="32:32" x14ac:dyDescent="0.3">
      <c r="AF2378" s="19"/>
    </row>
    <row r="2379" spans="32:32" x14ac:dyDescent="0.3">
      <c r="AF2379" s="19"/>
    </row>
    <row r="2380" spans="32:32" x14ac:dyDescent="0.3">
      <c r="AF2380" s="19"/>
    </row>
    <row r="2381" spans="32:32" x14ac:dyDescent="0.3">
      <c r="AF2381" s="19"/>
    </row>
    <row r="2382" spans="32:32" x14ac:dyDescent="0.3">
      <c r="AF2382" s="19"/>
    </row>
    <row r="2383" spans="32:32" x14ac:dyDescent="0.3">
      <c r="AF2383" s="19"/>
    </row>
    <row r="2384" spans="32:32" x14ac:dyDescent="0.3">
      <c r="AF2384" s="19"/>
    </row>
    <row r="2385" spans="32:32" x14ac:dyDescent="0.3">
      <c r="AF2385" s="19"/>
    </row>
    <row r="2399" spans="32:32" x14ac:dyDescent="0.3">
      <c r="AF2399" s="19"/>
    </row>
    <row r="2400" spans="32:32" x14ac:dyDescent="0.3">
      <c r="AF2400" s="19"/>
    </row>
    <row r="2401" spans="32:32" x14ac:dyDescent="0.3">
      <c r="AF2401" s="19"/>
    </row>
    <row r="2402" spans="32:32" x14ac:dyDescent="0.3">
      <c r="AF2402" s="19"/>
    </row>
    <row r="2403" spans="32:32" x14ac:dyDescent="0.3">
      <c r="AF2403" s="19"/>
    </row>
    <row r="2404" spans="32:32" x14ac:dyDescent="0.3">
      <c r="AF2404" s="19"/>
    </row>
    <row r="2405" spans="32:32" x14ac:dyDescent="0.3">
      <c r="AF2405" s="19"/>
    </row>
    <row r="2420" spans="32:32" x14ac:dyDescent="0.3">
      <c r="AF2420" s="19"/>
    </row>
    <row r="2421" spans="32:32" x14ac:dyDescent="0.3">
      <c r="AF2421" s="19"/>
    </row>
    <row r="2422" spans="32:32" x14ac:dyDescent="0.3">
      <c r="AF2422" s="19"/>
    </row>
    <row r="2423" spans="32:32" x14ac:dyDescent="0.3">
      <c r="AF2423" s="19"/>
    </row>
    <row r="2424" spans="32:32" x14ac:dyDescent="0.3">
      <c r="AF2424" s="19"/>
    </row>
    <row r="2425" spans="32:32" x14ac:dyDescent="0.3">
      <c r="AF2425" s="19"/>
    </row>
    <row r="2426" spans="32:32" x14ac:dyDescent="0.3">
      <c r="AF2426" s="19"/>
    </row>
    <row r="2427" spans="32:32" x14ac:dyDescent="0.3">
      <c r="AF2427" s="19"/>
    </row>
    <row r="2428" spans="32:32" x14ac:dyDescent="0.3">
      <c r="AF2428" s="19"/>
    </row>
    <row r="2442" spans="32:32" x14ac:dyDescent="0.3">
      <c r="AF2442" s="19"/>
    </row>
    <row r="2443" spans="32:32" x14ac:dyDescent="0.3">
      <c r="AF2443" s="19"/>
    </row>
    <row r="2444" spans="32:32" x14ac:dyDescent="0.3">
      <c r="AF2444" s="19"/>
    </row>
    <row r="2445" spans="32:32" x14ac:dyDescent="0.3">
      <c r="AF2445" s="19"/>
    </row>
    <row r="2446" spans="32:32" x14ac:dyDescent="0.3">
      <c r="AF2446" s="19"/>
    </row>
    <row r="2447" spans="32:32" x14ac:dyDescent="0.3">
      <c r="AF2447" s="19"/>
    </row>
    <row r="2448" spans="32:32" x14ac:dyDescent="0.3">
      <c r="AF2448" s="19"/>
    </row>
    <row r="2463" spans="32:32" x14ac:dyDescent="0.3">
      <c r="AF2463" s="19"/>
    </row>
    <row r="2464" spans="32:32" x14ac:dyDescent="0.3">
      <c r="AF2464" s="19"/>
    </row>
    <row r="2465" spans="32:32" x14ac:dyDescent="0.3">
      <c r="AF2465" s="19"/>
    </row>
    <row r="2466" spans="32:32" x14ac:dyDescent="0.3">
      <c r="AF2466" s="19"/>
    </row>
    <row r="2467" spans="32:32" x14ac:dyDescent="0.3">
      <c r="AF2467" s="19"/>
    </row>
    <row r="2468" spans="32:32" x14ac:dyDescent="0.3">
      <c r="AF2468" s="19"/>
    </row>
    <row r="2469" spans="32:32" x14ac:dyDescent="0.3">
      <c r="AF2469" s="19"/>
    </row>
    <row r="2470" spans="32:32" x14ac:dyDescent="0.3">
      <c r="AF2470" s="19"/>
    </row>
    <row r="2484" spans="32:32" x14ac:dyDescent="0.3">
      <c r="AF2484" s="19"/>
    </row>
    <row r="2485" spans="32:32" x14ac:dyDescent="0.3">
      <c r="AF2485" s="19"/>
    </row>
    <row r="2486" spans="32:32" x14ac:dyDescent="0.3">
      <c r="AF2486" s="19"/>
    </row>
    <row r="2487" spans="32:32" x14ac:dyDescent="0.3">
      <c r="AF2487" s="19"/>
    </row>
    <row r="2488" spans="32:32" x14ac:dyDescent="0.3">
      <c r="AF2488" s="19"/>
    </row>
    <row r="2489" spans="32:32" x14ac:dyDescent="0.3">
      <c r="AF2489" s="19"/>
    </row>
    <row r="2490" spans="32:32" x14ac:dyDescent="0.3">
      <c r="AF2490" s="19"/>
    </row>
    <row r="2491" spans="32:32" x14ac:dyDescent="0.3">
      <c r="AF2491" s="19"/>
    </row>
    <row r="2492" spans="32:32" x14ac:dyDescent="0.3">
      <c r="AF2492" s="19"/>
    </row>
    <row r="2493" spans="32:32" x14ac:dyDescent="0.3">
      <c r="AF2493" s="19"/>
    </row>
    <row r="2505" spans="32:32" x14ac:dyDescent="0.3">
      <c r="AF2505" s="19"/>
    </row>
    <row r="2506" spans="32:32" x14ac:dyDescent="0.3">
      <c r="AF2506" s="19"/>
    </row>
    <row r="2507" spans="32:32" x14ac:dyDescent="0.3">
      <c r="AF2507" s="19"/>
    </row>
    <row r="2508" spans="32:32" x14ac:dyDescent="0.3">
      <c r="AF2508" s="19"/>
    </row>
    <row r="2509" spans="32:32" x14ac:dyDescent="0.3">
      <c r="AF2509" s="19"/>
    </row>
    <row r="2510" spans="32:32" x14ac:dyDescent="0.3">
      <c r="AF2510" s="19"/>
    </row>
    <row r="2511" spans="32:32" x14ac:dyDescent="0.3">
      <c r="AF2511" s="19"/>
    </row>
    <row r="2512" spans="32:32" x14ac:dyDescent="0.3">
      <c r="AF2512" s="19"/>
    </row>
    <row r="2526" spans="32:32" x14ac:dyDescent="0.3">
      <c r="AF2526" s="19"/>
    </row>
    <row r="2527" spans="32:32" x14ac:dyDescent="0.3">
      <c r="AF2527" s="19"/>
    </row>
    <row r="2528" spans="32:32" x14ac:dyDescent="0.3">
      <c r="AF2528" s="19"/>
    </row>
    <row r="2529" spans="32:32" x14ac:dyDescent="0.3">
      <c r="AF2529" s="19"/>
    </row>
    <row r="2530" spans="32:32" x14ac:dyDescent="0.3">
      <c r="AF2530" s="19"/>
    </row>
    <row r="2531" spans="32:32" x14ac:dyDescent="0.3">
      <c r="AF2531" s="19"/>
    </row>
    <row r="2532" spans="32:32" x14ac:dyDescent="0.3">
      <c r="AF2532" s="19"/>
    </row>
    <row r="2533" spans="32:32" x14ac:dyDescent="0.3">
      <c r="AF2533" s="19"/>
    </row>
    <row r="2546" spans="32:32" x14ac:dyDescent="0.3">
      <c r="AF2546" s="19"/>
    </row>
    <row r="2547" spans="32:32" x14ac:dyDescent="0.3">
      <c r="AF2547" s="19"/>
    </row>
    <row r="2548" spans="32:32" x14ac:dyDescent="0.3">
      <c r="AF2548" s="19"/>
    </row>
    <row r="2549" spans="32:32" x14ac:dyDescent="0.3">
      <c r="AF2549" s="19"/>
    </row>
    <row r="2550" spans="32:32" x14ac:dyDescent="0.3">
      <c r="AF2550" s="19"/>
    </row>
    <row r="2551" spans="32:32" x14ac:dyDescent="0.3">
      <c r="AF2551" s="19"/>
    </row>
    <row r="2552" spans="32:32" x14ac:dyDescent="0.3">
      <c r="AF2552" s="19"/>
    </row>
    <row r="2553" spans="32:32" x14ac:dyDescent="0.3">
      <c r="AF2553" s="19"/>
    </row>
    <row r="2554" spans="32:32" x14ac:dyDescent="0.3">
      <c r="AF2554" s="19"/>
    </row>
    <row r="2566" spans="32:32" x14ac:dyDescent="0.3">
      <c r="AF2566" s="19"/>
    </row>
    <row r="2567" spans="32:32" x14ac:dyDescent="0.3">
      <c r="AF2567" s="19"/>
    </row>
    <row r="2568" spans="32:32" x14ac:dyDescent="0.3">
      <c r="AF2568" s="19"/>
    </row>
    <row r="2569" spans="32:32" x14ac:dyDescent="0.3">
      <c r="AF2569" s="19"/>
    </row>
    <row r="2570" spans="32:32" x14ac:dyDescent="0.3">
      <c r="AF2570" s="19"/>
    </row>
    <row r="2571" spans="32:32" x14ac:dyDescent="0.3">
      <c r="AF2571" s="19"/>
    </row>
    <row r="2572" spans="32:32" x14ac:dyDescent="0.3">
      <c r="AF2572" s="19"/>
    </row>
    <row r="2573" spans="32:32" x14ac:dyDescent="0.3">
      <c r="AF2573" s="19"/>
    </row>
    <row r="2589" spans="32:32" x14ac:dyDescent="0.3">
      <c r="AF2589" s="19"/>
    </row>
    <row r="2590" spans="32:32" x14ac:dyDescent="0.3">
      <c r="AF2590" s="19"/>
    </row>
    <row r="2591" spans="32:32" x14ac:dyDescent="0.3">
      <c r="AF2591" s="19"/>
    </row>
    <row r="2592" spans="32:32" x14ac:dyDescent="0.3">
      <c r="AF2592" s="19"/>
    </row>
    <row r="2593" spans="32:32" x14ac:dyDescent="0.3">
      <c r="AF2593" s="19"/>
    </row>
    <row r="2594" spans="32:32" x14ac:dyDescent="0.3">
      <c r="AF2594" s="19"/>
    </row>
    <row r="2595" spans="32:32" x14ac:dyDescent="0.3">
      <c r="AF2595" s="19"/>
    </row>
    <row r="2596" spans="32:32" x14ac:dyDescent="0.3">
      <c r="AF2596" s="19"/>
    </row>
    <row r="2608" spans="32:32" x14ac:dyDescent="0.3">
      <c r="AF2608" s="19"/>
    </row>
    <row r="2609" spans="32:32" x14ac:dyDescent="0.3">
      <c r="AF2609" s="19"/>
    </row>
    <row r="2610" spans="32:32" x14ac:dyDescent="0.3">
      <c r="AF2610" s="19"/>
    </row>
    <row r="2611" spans="32:32" x14ac:dyDescent="0.3">
      <c r="AF2611" s="19"/>
    </row>
    <row r="2612" spans="32:32" x14ac:dyDescent="0.3">
      <c r="AF2612" s="19"/>
    </row>
    <row r="2613" spans="32:32" x14ac:dyDescent="0.3">
      <c r="AF2613" s="19"/>
    </row>
    <row r="2614" spans="32:32" x14ac:dyDescent="0.3">
      <c r="AF2614" s="19"/>
    </row>
    <row r="2615" spans="32:32" x14ac:dyDescent="0.3">
      <c r="AF2615" s="19"/>
    </row>
    <row r="2616" spans="32:32" x14ac:dyDescent="0.3">
      <c r="AF2616" s="19"/>
    </row>
    <row r="2617" spans="32:32" x14ac:dyDescent="0.3">
      <c r="AF2617" s="19"/>
    </row>
    <row r="2630" spans="32:32" x14ac:dyDescent="0.3">
      <c r="AF2630" s="19"/>
    </row>
    <row r="2631" spans="32:32" x14ac:dyDescent="0.3">
      <c r="AF2631" s="19"/>
    </row>
    <row r="2632" spans="32:32" x14ac:dyDescent="0.3">
      <c r="AF2632" s="19"/>
    </row>
    <row r="2633" spans="32:32" x14ac:dyDescent="0.3">
      <c r="AF2633" s="19"/>
    </row>
    <row r="2634" spans="32:32" x14ac:dyDescent="0.3">
      <c r="AF2634" s="19"/>
    </row>
    <row r="2635" spans="32:32" x14ac:dyDescent="0.3">
      <c r="AF2635" s="19"/>
    </row>
    <row r="2636" spans="32:32" x14ac:dyDescent="0.3">
      <c r="AF2636" s="19"/>
    </row>
    <row r="2637" spans="32:32" x14ac:dyDescent="0.3">
      <c r="AF2637" s="19"/>
    </row>
    <row r="2652" spans="32:32" x14ac:dyDescent="0.3">
      <c r="AF2652" s="19"/>
    </row>
    <row r="2653" spans="32:32" x14ac:dyDescent="0.3">
      <c r="AF2653" s="19"/>
    </row>
    <row r="2654" spans="32:32" x14ac:dyDescent="0.3">
      <c r="AF2654" s="19"/>
    </row>
    <row r="2655" spans="32:32" x14ac:dyDescent="0.3">
      <c r="AF2655" s="19"/>
    </row>
    <row r="2656" spans="32:32" x14ac:dyDescent="0.3">
      <c r="AF2656" s="19"/>
    </row>
    <row r="2657" spans="32:32" x14ac:dyDescent="0.3">
      <c r="AF2657" s="19"/>
    </row>
    <row r="2658" spans="32:32" x14ac:dyDescent="0.3">
      <c r="AF2658" s="19"/>
    </row>
    <row r="2672" spans="32:32" x14ac:dyDescent="0.3">
      <c r="AF2672" s="19"/>
    </row>
    <row r="2673" spans="32:32" x14ac:dyDescent="0.3">
      <c r="AF2673" s="19"/>
    </row>
    <row r="2674" spans="32:32" x14ac:dyDescent="0.3">
      <c r="AF2674" s="19"/>
    </row>
    <row r="2675" spans="32:32" x14ac:dyDescent="0.3">
      <c r="AF2675" s="19"/>
    </row>
    <row r="2676" spans="32:32" x14ac:dyDescent="0.3">
      <c r="AF2676" s="19"/>
    </row>
    <row r="2677" spans="32:32" x14ac:dyDescent="0.3">
      <c r="AF2677" s="19"/>
    </row>
    <row r="2678" spans="32:32" x14ac:dyDescent="0.3">
      <c r="AF2678" s="19"/>
    </row>
    <row r="2679" spans="32:32" x14ac:dyDescent="0.3">
      <c r="AF2679" s="19"/>
    </row>
    <row r="2680" spans="32:32" x14ac:dyDescent="0.3">
      <c r="AF2680" s="19"/>
    </row>
    <row r="2695" spans="32:32" x14ac:dyDescent="0.3">
      <c r="AF2695" s="19"/>
    </row>
    <row r="2696" spans="32:32" x14ac:dyDescent="0.3">
      <c r="AF2696" s="19"/>
    </row>
    <row r="2697" spans="32:32" x14ac:dyDescent="0.3">
      <c r="AF2697" s="19"/>
    </row>
    <row r="2698" spans="32:32" x14ac:dyDescent="0.3">
      <c r="AF2698" s="19"/>
    </row>
    <row r="2699" spans="32:32" x14ac:dyDescent="0.3">
      <c r="AF2699" s="19"/>
    </row>
    <row r="2700" spans="32:32" x14ac:dyDescent="0.3">
      <c r="AF2700" s="19"/>
    </row>
    <row r="2701" spans="32:32" x14ac:dyDescent="0.3">
      <c r="AF2701" s="19"/>
    </row>
    <row r="2715" spans="32:32" x14ac:dyDescent="0.3">
      <c r="AF2715" s="19"/>
    </row>
    <row r="2716" spans="32:32" x14ac:dyDescent="0.3">
      <c r="AF2716" s="19"/>
    </row>
    <row r="2717" spans="32:32" x14ac:dyDescent="0.3">
      <c r="AF2717" s="19"/>
    </row>
    <row r="2718" spans="32:32" x14ac:dyDescent="0.3">
      <c r="AF2718" s="19"/>
    </row>
    <row r="2719" spans="32:32" x14ac:dyDescent="0.3">
      <c r="AF2719" s="19"/>
    </row>
    <row r="2720" spans="32:32" x14ac:dyDescent="0.3">
      <c r="AF2720" s="19"/>
    </row>
    <row r="2721" spans="32:32" x14ac:dyDescent="0.3">
      <c r="AF2721" s="19"/>
    </row>
    <row r="2722" spans="32:32" x14ac:dyDescent="0.3">
      <c r="AF2722" s="19"/>
    </row>
    <row r="2723" spans="32:32" x14ac:dyDescent="0.3">
      <c r="AF2723" s="19"/>
    </row>
    <row r="2737" spans="32:32" x14ac:dyDescent="0.3">
      <c r="AF2737" s="19"/>
    </row>
    <row r="2738" spans="32:32" x14ac:dyDescent="0.3">
      <c r="AF2738" s="19"/>
    </row>
    <row r="2739" spans="32:32" x14ac:dyDescent="0.3">
      <c r="AF2739" s="19"/>
    </row>
    <row r="2740" spans="32:32" x14ac:dyDescent="0.3">
      <c r="AF2740" s="19"/>
    </row>
    <row r="2741" spans="32:32" x14ac:dyDescent="0.3">
      <c r="AF2741" s="19"/>
    </row>
    <row r="2742" spans="32:32" x14ac:dyDescent="0.3">
      <c r="AF2742" s="19"/>
    </row>
    <row r="2743" spans="32:32" x14ac:dyDescent="0.3">
      <c r="AF2743" s="19"/>
    </row>
    <row r="2744" spans="32:32" x14ac:dyDescent="0.3">
      <c r="AF2744" s="19"/>
    </row>
    <row r="2758" spans="32:32" x14ac:dyDescent="0.3">
      <c r="AF2758" s="19"/>
    </row>
    <row r="2759" spans="32:32" x14ac:dyDescent="0.3">
      <c r="AF2759" s="19"/>
    </row>
    <row r="2760" spans="32:32" x14ac:dyDescent="0.3">
      <c r="AF2760" s="19"/>
    </row>
    <row r="2761" spans="32:32" x14ac:dyDescent="0.3">
      <c r="AF2761" s="19"/>
    </row>
    <row r="2762" spans="32:32" x14ac:dyDescent="0.3">
      <c r="AF2762" s="19"/>
    </row>
    <row r="2763" spans="32:32" x14ac:dyDescent="0.3">
      <c r="AF2763" s="19"/>
    </row>
    <row r="2764" spans="32:32" x14ac:dyDescent="0.3">
      <c r="AF2764" s="19"/>
    </row>
    <row r="2765" spans="32:32" x14ac:dyDescent="0.3">
      <c r="AF2765" s="19"/>
    </row>
    <row r="2778" spans="32:32" x14ac:dyDescent="0.3">
      <c r="AF2778" s="19"/>
    </row>
    <row r="2779" spans="32:32" x14ac:dyDescent="0.3">
      <c r="AF2779" s="19"/>
    </row>
    <row r="2780" spans="32:32" x14ac:dyDescent="0.3">
      <c r="AF2780" s="19"/>
    </row>
    <row r="2781" spans="32:32" x14ac:dyDescent="0.3">
      <c r="AF2781" s="19"/>
    </row>
    <row r="2782" spans="32:32" x14ac:dyDescent="0.3">
      <c r="AF2782" s="19"/>
    </row>
    <row r="2783" spans="32:32" x14ac:dyDescent="0.3">
      <c r="AF2783" s="19"/>
    </row>
    <row r="2784" spans="32:32" x14ac:dyDescent="0.3">
      <c r="AF2784" s="19"/>
    </row>
    <row r="2785" spans="32:32" x14ac:dyDescent="0.3">
      <c r="AF2785" s="19"/>
    </row>
    <row r="2786" spans="32:32" x14ac:dyDescent="0.3">
      <c r="AF2786" s="19"/>
    </row>
    <row r="2799" spans="32:32" x14ac:dyDescent="0.3">
      <c r="AF2799" s="19"/>
    </row>
    <row r="2800" spans="32:32" x14ac:dyDescent="0.3">
      <c r="AF2800" s="19"/>
    </row>
    <row r="2801" spans="32:32" x14ac:dyDescent="0.3">
      <c r="AF2801" s="19"/>
    </row>
    <row r="2802" spans="32:32" x14ac:dyDescent="0.3">
      <c r="AF2802" s="19"/>
    </row>
    <row r="2803" spans="32:32" x14ac:dyDescent="0.3">
      <c r="AF2803" s="19"/>
    </row>
    <row r="2804" spans="32:32" x14ac:dyDescent="0.3">
      <c r="AF2804" s="19"/>
    </row>
    <row r="2805" spans="32:32" x14ac:dyDescent="0.3">
      <c r="AF2805" s="19"/>
    </row>
    <row r="2806" spans="32:32" x14ac:dyDescent="0.3">
      <c r="AF2806" s="19"/>
    </row>
    <row r="2818" spans="32:32" x14ac:dyDescent="0.3">
      <c r="AF2818" s="19"/>
    </row>
    <row r="2819" spans="32:32" x14ac:dyDescent="0.3">
      <c r="AF2819" s="19"/>
    </row>
    <row r="2820" spans="32:32" x14ac:dyDescent="0.3">
      <c r="AF2820" s="19"/>
    </row>
    <row r="2821" spans="32:32" x14ac:dyDescent="0.3">
      <c r="AF2821" s="19"/>
    </row>
    <row r="2822" spans="32:32" x14ac:dyDescent="0.3">
      <c r="AF2822" s="19"/>
    </row>
    <row r="2823" spans="32:32" x14ac:dyDescent="0.3">
      <c r="AF2823" s="19"/>
    </row>
    <row r="2824" spans="32:32" x14ac:dyDescent="0.3">
      <c r="AF2824" s="19"/>
    </row>
    <row r="2825" spans="32:32" x14ac:dyDescent="0.3">
      <c r="AF2825" s="19"/>
    </row>
    <row r="2840" spans="32:32" x14ac:dyDescent="0.3">
      <c r="AF2840" s="19"/>
    </row>
    <row r="2841" spans="32:32" x14ac:dyDescent="0.3">
      <c r="AF2841" s="19"/>
    </row>
    <row r="2842" spans="32:32" x14ac:dyDescent="0.3">
      <c r="AF2842" s="19"/>
    </row>
    <row r="2843" spans="32:32" x14ac:dyDescent="0.3">
      <c r="AF2843" s="19"/>
    </row>
    <row r="2844" spans="32:32" x14ac:dyDescent="0.3">
      <c r="AF2844" s="19"/>
    </row>
    <row r="2845" spans="32:32" x14ac:dyDescent="0.3">
      <c r="AF2845" s="19"/>
    </row>
    <row r="2846" spans="32:32" x14ac:dyDescent="0.3">
      <c r="AF2846" s="19"/>
    </row>
    <row r="2847" spans="32:32" x14ac:dyDescent="0.3">
      <c r="AF2847" s="19"/>
    </row>
    <row r="2848" spans="32:32" x14ac:dyDescent="0.3">
      <c r="AF2848" s="19"/>
    </row>
    <row r="2860" spans="32:32" x14ac:dyDescent="0.3">
      <c r="AF2860" s="19"/>
    </row>
    <row r="2861" spans="32:32" x14ac:dyDescent="0.3">
      <c r="AF2861" s="19"/>
    </row>
    <row r="2862" spans="32:32" x14ac:dyDescent="0.3">
      <c r="AF2862" s="19"/>
    </row>
    <row r="2863" spans="32:32" x14ac:dyDescent="0.3">
      <c r="AF2863" s="19"/>
    </row>
    <row r="2864" spans="32:32" x14ac:dyDescent="0.3">
      <c r="AF2864" s="19"/>
    </row>
    <row r="2865" spans="32:32" x14ac:dyDescent="0.3">
      <c r="AF2865" s="19"/>
    </row>
    <row r="2866" spans="32:32" x14ac:dyDescent="0.3">
      <c r="AF2866" s="19"/>
    </row>
    <row r="2867" spans="32:32" x14ac:dyDescent="0.3">
      <c r="AF2867" s="19"/>
    </row>
    <row r="2868" spans="32:32" x14ac:dyDescent="0.3">
      <c r="AF2868" s="19"/>
    </row>
    <row r="2882" spans="32:32" x14ac:dyDescent="0.3">
      <c r="AF2882" s="19"/>
    </row>
    <row r="2883" spans="32:32" x14ac:dyDescent="0.3">
      <c r="AF2883" s="19"/>
    </row>
    <row r="2884" spans="32:32" x14ac:dyDescent="0.3">
      <c r="AF2884" s="19"/>
    </row>
    <row r="2885" spans="32:32" x14ac:dyDescent="0.3">
      <c r="AF2885" s="19"/>
    </row>
    <row r="2886" spans="32:32" x14ac:dyDescent="0.3">
      <c r="AF2886" s="19"/>
    </row>
    <row r="2887" spans="32:32" x14ac:dyDescent="0.3">
      <c r="AF2887" s="19"/>
    </row>
    <row r="2888" spans="32:32" x14ac:dyDescent="0.3">
      <c r="AF2888" s="19"/>
    </row>
    <row r="2889" spans="32:32" x14ac:dyDescent="0.3">
      <c r="AF2889" s="19"/>
    </row>
    <row r="2903" spans="32:32" x14ac:dyDescent="0.3">
      <c r="AF2903" s="19"/>
    </row>
    <row r="2904" spans="32:32" x14ac:dyDescent="0.3">
      <c r="AF2904" s="19"/>
    </row>
    <row r="2905" spans="32:32" x14ac:dyDescent="0.3">
      <c r="AF2905" s="19"/>
    </row>
    <row r="2906" spans="32:32" x14ac:dyDescent="0.3">
      <c r="AF2906" s="19"/>
    </row>
    <row r="2907" spans="32:32" x14ac:dyDescent="0.3">
      <c r="AF2907" s="19"/>
    </row>
    <row r="2908" spans="32:32" x14ac:dyDescent="0.3">
      <c r="AF2908" s="19"/>
    </row>
    <row r="2909" spans="32:32" x14ac:dyDescent="0.3">
      <c r="AF2909" s="19"/>
    </row>
    <row r="2910" spans="32:32" x14ac:dyDescent="0.3">
      <c r="AF2910" s="19"/>
    </row>
    <row r="2924" spans="32:32" x14ac:dyDescent="0.3">
      <c r="AF2924" s="19"/>
    </row>
    <row r="2925" spans="32:32" x14ac:dyDescent="0.3">
      <c r="AF2925" s="19"/>
    </row>
    <row r="2926" spans="32:32" x14ac:dyDescent="0.3">
      <c r="AF2926" s="19"/>
    </row>
    <row r="2927" spans="32:32" x14ac:dyDescent="0.3">
      <c r="AF2927" s="19"/>
    </row>
    <row r="2928" spans="32:32" x14ac:dyDescent="0.3">
      <c r="AF2928" s="19"/>
    </row>
    <row r="2929" spans="32:32" x14ac:dyDescent="0.3">
      <c r="AF2929" s="19"/>
    </row>
    <row r="2930" spans="32:32" x14ac:dyDescent="0.3">
      <c r="AF2930" s="19"/>
    </row>
    <row r="2931" spans="32:32" x14ac:dyDescent="0.3">
      <c r="AF2931" s="19"/>
    </row>
    <row r="2947" spans="32:32" x14ac:dyDescent="0.3">
      <c r="AF2947" s="19"/>
    </row>
    <row r="2948" spans="32:32" x14ac:dyDescent="0.3">
      <c r="AF2948" s="19"/>
    </row>
    <row r="2949" spans="32:32" x14ac:dyDescent="0.3">
      <c r="AF2949" s="19"/>
    </row>
    <row r="2950" spans="32:32" x14ac:dyDescent="0.3">
      <c r="AF2950" s="19"/>
    </row>
    <row r="2951" spans="32:32" x14ac:dyDescent="0.3">
      <c r="AF2951" s="19"/>
    </row>
    <row r="2962" spans="32:32" x14ac:dyDescent="0.3">
      <c r="AF2962" s="19"/>
    </row>
    <row r="2963" spans="32:32" x14ac:dyDescent="0.3">
      <c r="AF2963" s="19"/>
    </row>
    <row r="2964" spans="32:32" x14ac:dyDescent="0.3">
      <c r="AF2964" s="19"/>
    </row>
    <row r="2965" spans="32:32" x14ac:dyDescent="0.3">
      <c r="AF2965" s="19"/>
    </row>
    <row r="2966" spans="32:32" x14ac:dyDescent="0.3">
      <c r="AF2966" s="19"/>
    </row>
    <row r="2967" spans="32:32" x14ac:dyDescent="0.3">
      <c r="AF2967" s="19"/>
    </row>
    <row r="2968" spans="32:32" x14ac:dyDescent="0.3">
      <c r="AF2968" s="19"/>
    </row>
    <row r="2969" spans="32:32" x14ac:dyDescent="0.3">
      <c r="AF2969" s="19"/>
    </row>
    <row r="2970" spans="32:32" x14ac:dyDescent="0.3">
      <c r="AF2970" s="19"/>
    </row>
    <row r="2971" spans="32:32" x14ac:dyDescent="0.3">
      <c r="AF2971" s="19"/>
    </row>
    <row r="2985" spans="32:32" x14ac:dyDescent="0.3">
      <c r="AF2985" s="19"/>
    </row>
    <row r="2986" spans="32:32" x14ac:dyDescent="0.3">
      <c r="AF2986" s="19"/>
    </row>
    <row r="2987" spans="32:32" x14ac:dyDescent="0.3">
      <c r="AF2987" s="19"/>
    </row>
    <row r="2988" spans="32:32" x14ac:dyDescent="0.3">
      <c r="AF2988" s="19"/>
    </row>
    <row r="2989" spans="32:32" x14ac:dyDescent="0.3">
      <c r="AF2989" s="19"/>
    </row>
    <row r="2990" spans="32:32" x14ac:dyDescent="0.3">
      <c r="AF2990" s="19"/>
    </row>
    <row r="2991" spans="32:32" x14ac:dyDescent="0.3">
      <c r="AF2991" s="19"/>
    </row>
    <row r="2992" spans="32:32" x14ac:dyDescent="0.3">
      <c r="AF2992" s="19"/>
    </row>
    <row r="3006" spans="32:32" x14ac:dyDescent="0.3">
      <c r="AF3006" s="19"/>
    </row>
    <row r="3007" spans="32:32" x14ac:dyDescent="0.3">
      <c r="AF3007" s="19"/>
    </row>
    <row r="3008" spans="32:32" x14ac:dyDescent="0.3">
      <c r="AF3008" s="19"/>
    </row>
    <row r="3009" spans="32:32" x14ac:dyDescent="0.3">
      <c r="AF3009" s="19"/>
    </row>
    <row r="3010" spans="32:32" x14ac:dyDescent="0.3">
      <c r="AF3010" s="19"/>
    </row>
    <row r="3011" spans="32:32" x14ac:dyDescent="0.3">
      <c r="AF3011" s="19"/>
    </row>
    <row r="3012" spans="32:32" x14ac:dyDescent="0.3">
      <c r="AF3012" s="19"/>
    </row>
    <row r="3013" spans="32:32" x14ac:dyDescent="0.3">
      <c r="AF3013" s="19"/>
    </row>
    <row r="3026" spans="32:32" x14ac:dyDescent="0.3">
      <c r="AF3026" s="19"/>
    </row>
    <row r="3027" spans="32:32" x14ac:dyDescent="0.3">
      <c r="AF3027" s="19"/>
    </row>
    <row r="3028" spans="32:32" x14ac:dyDescent="0.3">
      <c r="AF3028" s="19"/>
    </row>
    <row r="3029" spans="32:32" x14ac:dyDescent="0.3">
      <c r="AF3029" s="19"/>
    </row>
    <row r="3030" spans="32:32" x14ac:dyDescent="0.3">
      <c r="AF3030" s="19"/>
    </row>
    <row r="3031" spans="32:32" x14ac:dyDescent="0.3">
      <c r="AF3031" s="19"/>
    </row>
    <row r="3032" spans="32:32" x14ac:dyDescent="0.3">
      <c r="AF3032" s="19"/>
    </row>
    <row r="3033" spans="32:32" x14ac:dyDescent="0.3">
      <c r="AF3033" s="19"/>
    </row>
    <row r="3047" spans="32:32" x14ac:dyDescent="0.3">
      <c r="AF3047" s="19"/>
    </row>
    <row r="3048" spans="32:32" x14ac:dyDescent="0.3">
      <c r="AF3048" s="19"/>
    </row>
    <row r="3049" spans="32:32" x14ac:dyDescent="0.3">
      <c r="AF3049" s="19"/>
    </row>
    <row r="3050" spans="32:32" x14ac:dyDescent="0.3">
      <c r="AF3050" s="19"/>
    </row>
    <row r="3051" spans="32:32" x14ac:dyDescent="0.3">
      <c r="AF3051" s="19"/>
    </row>
    <row r="3052" spans="32:32" x14ac:dyDescent="0.3">
      <c r="AF3052" s="19"/>
    </row>
    <row r="3053" spans="32:32" x14ac:dyDescent="0.3">
      <c r="AF3053" s="19"/>
    </row>
    <row r="3054" spans="32:32" x14ac:dyDescent="0.3">
      <c r="AF3054" s="19"/>
    </row>
    <row r="3066" spans="32:32" x14ac:dyDescent="0.3">
      <c r="AF3066" s="19"/>
    </row>
    <row r="3067" spans="32:32" x14ac:dyDescent="0.3">
      <c r="AF3067" s="19"/>
    </row>
    <row r="3068" spans="32:32" x14ac:dyDescent="0.3">
      <c r="AF3068" s="19"/>
    </row>
    <row r="3069" spans="32:32" x14ac:dyDescent="0.3">
      <c r="AF3069" s="19"/>
    </row>
    <row r="3070" spans="32:32" x14ac:dyDescent="0.3">
      <c r="AF3070" s="19"/>
    </row>
    <row r="3071" spans="32:32" x14ac:dyDescent="0.3">
      <c r="AF3071" s="19"/>
    </row>
    <row r="3072" spans="32:32" x14ac:dyDescent="0.3">
      <c r="AF3072" s="19"/>
    </row>
    <row r="3073" spans="32:32" x14ac:dyDescent="0.3">
      <c r="AF3073" s="19"/>
    </row>
    <row r="3086" spans="32:32" x14ac:dyDescent="0.3">
      <c r="AF3086" s="19"/>
    </row>
    <row r="3087" spans="32:32" x14ac:dyDescent="0.3">
      <c r="AF3087" s="19"/>
    </row>
    <row r="3088" spans="32:32" x14ac:dyDescent="0.3">
      <c r="AF3088" s="19"/>
    </row>
    <row r="3089" spans="32:32" x14ac:dyDescent="0.3">
      <c r="AF3089" s="19"/>
    </row>
    <row r="3090" spans="32:32" x14ac:dyDescent="0.3">
      <c r="AF3090" s="19"/>
    </row>
    <row r="3091" spans="32:32" x14ac:dyDescent="0.3">
      <c r="AF3091" s="19"/>
    </row>
    <row r="3092" spans="32:32" x14ac:dyDescent="0.3">
      <c r="AF3092" s="19"/>
    </row>
    <row r="3093" spans="32:32" x14ac:dyDescent="0.3">
      <c r="AF3093" s="19"/>
    </row>
    <row r="3094" spans="32:32" x14ac:dyDescent="0.3">
      <c r="AF3094" s="19"/>
    </row>
    <row r="3095" spans="32:32" x14ac:dyDescent="0.3">
      <c r="AF3095" s="19"/>
    </row>
    <row r="3108" spans="32:32" x14ac:dyDescent="0.3">
      <c r="AF3108" s="19"/>
    </row>
    <row r="3109" spans="32:32" x14ac:dyDescent="0.3">
      <c r="AF3109" s="19"/>
    </row>
    <row r="3110" spans="32:32" x14ac:dyDescent="0.3">
      <c r="AF3110" s="19"/>
    </row>
    <row r="3111" spans="32:32" x14ac:dyDescent="0.3">
      <c r="AF3111" s="19"/>
    </row>
    <row r="3112" spans="32:32" x14ac:dyDescent="0.3">
      <c r="AF3112" s="19"/>
    </row>
    <row r="3113" spans="32:32" x14ac:dyDescent="0.3">
      <c r="AF3113" s="19"/>
    </row>
    <row r="3114" spans="32:32" x14ac:dyDescent="0.3">
      <c r="AF3114" s="19"/>
    </row>
    <row r="3115" spans="32:32" x14ac:dyDescent="0.3">
      <c r="AF3115" s="19"/>
    </row>
    <row r="3130" spans="32:32" x14ac:dyDescent="0.3">
      <c r="AF3130" s="19"/>
    </row>
    <row r="3131" spans="32:32" x14ac:dyDescent="0.3">
      <c r="AF3131" s="19"/>
    </row>
    <row r="3132" spans="32:32" x14ac:dyDescent="0.3">
      <c r="AF3132" s="19"/>
    </row>
    <row r="3133" spans="32:32" x14ac:dyDescent="0.3">
      <c r="AF3133" s="19"/>
    </row>
    <row r="3134" spans="32:32" x14ac:dyDescent="0.3">
      <c r="AF3134" s="19"/>
    </row>
    <row r="3135" spans="32:32" x14ac:dyDescent="0.3">
      <c r="AF3135" s="19"/>
    </row>
    <row r="3136" spans="32:32" x14ac:dyDescent="0.3">
      <c r="AF3136" s="19"/>
    </row>
    <row r="3137" spans="32:32" x14ac:dyDescent="0.3">
      <c r="AF3137" s="19"/>
    </row>
    <row r="3150" spans="32:32" x14ac:dyDescent="0.3">
      <c r="AF3150" s="19"/>
    </row>
    <row r="3151" spans="32:32" x14ac:dyDescent="0.3">
      <c r="AF3151" s="19"/>
    </row>
    <row r="3152" spans="32:32" x14ac:dyDescent="0.3">
      <c r="AF3152" s="19"/>
    </row>
    <row r="3153" spans="32:32" x14ac:dyDescent="0.3">
      <c r="AF3153" s="19"/>
    </row>
    <row r="3154" spans="32:32" x14ac:dyDescent="0.3">
      <c r="AF3154" s="19"/>
    </row>
    <row r="3155" spans="32:32" x14ac:dyDescent="0.3">
      <c r="AF3155" s="19"/>
    </row>
    <row r="3156" spans="32:32" x14ac:dyDescent="0.3">
      <c r="AF3156" s="19"/>
    </row>
    <row r="3157" spans="32:32" x14ac:dyDescent="0.3">
      <c r="AF3157" s="19"/>
    </row>
    <row r="3158" spans="32:32" x14ac:dyDescent="0.3">
      <c r="AF3158" s="19"/>
    </row>
    <row r="3172" spans="32:32" x14ac:dyDescent="0.3">
      <c r="AF3172" s="19"/>
    </row>
    <row r="3173" spans="32:32" x14ac:dyDescent="0.3">
      <c r="AF3173" s="19"/>
    </row>
    <row r="3174" spans="32:32" x14ac:dyDescent="0.3">
      <c r="AF3174" s="19"/>
    </row>
    <row r="3175" spans="32:32" x14ac:dyDescent="0.3">
      <c r="AF3175" s="19"/>
    </row>
    <row r="3176" spans="32:32" x14ac:dyDescent="0.3">
      <c r="AF3176" s="19"/>
    </row>
    <row r="3177" spans="32:32" x14ac:dyDescent="0.3">
      <c r="AF3177" s="19"/>
    </row>
    <row r="3178" spans="32:32" x14ac:dyDescent="0.3">
      <c r="AF3178" s="19"/>
    </row>
    <row r="3179" spans="32:32" x14ac:dyDescent="0.3">
      <c r="AF3179" s="19"/>
    </row>
    <row r="3194" spans="32:32" x14ac:dyDescent="0.3">
      <c r="AF3194" s="19"/>
    </row>
    <row r="3195" spans="32:32" x14ac:dyDescent="0.3">
      <c r="AF3195" s="19"/>
    </row>
    <row r="3196" spans="32:32" x14ac:dyDescent="0.3">
      <c r="AF3196" s="19"/>
    </row>
    <row r="3197" spans="32:32" x14ac:dyDescent="0.3">
      <c r="AF3197" s="19"/>
    </row>
    <row r="3198" spans="32:32" x14ac:dyDescent="0.3">
      <c r="AF3198" s="19"/>
    </row>
    <row r="3199" spans="32:32" x14ac:dyDescent="0.3">
      <c r="AF3199" s="19"/>
    </row>
    <row r="3200" spans="32:32" x14ac:dyDescent="0.3">
      <c r="AF3200" s="19"/>
    </row>
    <row r="3201" spans="32:32" x14ac:dyDescent="0.3">
      <c r="AF3201" s="19"/>
    </row>
    <row r="3214" spans="32:32" x14ac:dyDescent="0.3">
      <c r="AF3214" s="19"/>
    </row>
    <row r="3215" spans="32:32" x14ac:dyDescent="0.3">
      <c r="AF3215" s="19"/>
    </row>
    <row r="3216" spans="32:32" x14ac:dyDescent="0.3">
      <c r="AF3216" s="19"/>
    </row>
    <row r="3217" spans="32:32" x14ac:dyDescent="0.3">
      <c r="AF3217" s="19"/>
    </row>
    <row r="3218" spans="32:32" x14ac:dyDescent="0.3">
      <c r="AF3218" s="19"/>
    </row>
    <row r="3219" spans="32:32" x14ac:dyDescent="0.3">
      <c r="AF3219" s="19"/>
    </row>
    <row r="3220" spans="32:32" x14ac:dyDescent="0.3">
      <c r="AF3220" s="19"/>
    </row>
    <row r="3221" spans="32:32" x14ac:dyDescent="0.3">
      <c r="AF3221" s="19"/>
    </row>
    <row r="3222" spans="32:32" x14ac:dyDescent="0.3">
      <c r="AF3222" s="19"/>
    </row>
    <row r="3237" spans="32:32" x14ac:dyDescent="0.3">
      <c r="AF3237" s="19"/>
    </row>
    <row r="3238" spans="32:32" x14ac:dyDescent="0.3">
      <c r="AF3238" s="19"/>
    </row>
    <row r="3239" spans="32:32" x14ac:dyDescent="0.3">
      <c r="AF3239" s="19"/>
    </row>
    <row r="3240" spans="32:32" x14ac:dyDescent="0.3">
      <c r="AF3240" s="19"/>
    </row>
    <row r="3241" spans="32:32" x14ac:dyDescent="0.3">
      <c r="AF3241" s="19"/>
    </row>
    <row r="3242" spans="32:32" x14ac:dyDescent="0.3">
      <c r="AF3242" s="19"/>
    </row>
    <row r="3243" spans="32:32" x14ac:dyDescent="0.3">
      <c r="AF3243" s="19"/>
    </row>
    <row r="3244" spans="32:32" x14ac:dyDescent="0.3">
      <c r="AF3244" s="19"/>
    </row>
    <row r="3257" spans="32:32" x14ac:dyDescent="0.3">
      <c r="AF3257" s="19"/>
    </row>
    <row r="3258" spans="32:32" x14ac:dyDescent="0.3">
      <c r="AF3258" s="19"/>
    </row>
    <row r="3259" spans="32:32" x14ac:dyDescent="0.3">
      <c r="AF3259" s="19"/>
    </row>
    <row r="3260" spans="32:32" x14ac:dyDescent="0.3">
      <c r="AF3260" s="19"/>
    </row>
    <row r="3261" spans="32:32" x14ac:dyDescent="0.3">
      <c r="AF3261" s="19"/>
    </row>
    <row r="3262" spans="32:32" x14ac:dyDescent="0.3">
      <c r="AF3262" s="19"/>
    </row>
    <row r="3263" spans="32:32" x14ac:dyDescent="0.3">
      <c r="AF3263" s="19"/>
    </row>
    <row r="3264" spans="32:32" x14ac:dyDescent="0.3">
      <c r="AF3264" s="19"/>
    </row>
    <row r="3265" spans="32:32" x14ac:dyDescent="0.3">
      <c r="AF3265" s="19"/>
    </row>
    <row r="3278" spans="32:32" x14ac:dyDescent="0.3">
      <c r="AF3278" s="19"/>
    </row>
    <row r="3279" spans="32:32" x14ac:dyDescent="0.3">
      <c r="AF3279" s="19"/>
    </row>
    <row r="3280" spans="32:32" x14ac:dyDescent="0.3">
      <c r="AF3280" s="19"/>
    </row>
    <row r="3281" spans="32:32" x14ac:dyDescent="0.3">
      <c r="AF3281" s="19"/>
    </row>
    <row r="3282" spans="32:32" x14ac:dyDescent="0.3">
      <c r="AF3282" s="19"/>
    </row>
    <row r="3283" spans="32:32" x14ac:dyDescent="0.3">
      <c r="AF3283" s="19"/>
    </row>
    <row r="3284" spans="32:32" x14ac:dyDescent="0.3">
      <c r="AF3284" s="19"/>
    </row>
    <row r="3299" spans="32:32" x14ac:dyDescent="0.3">
      <c r="AF3299" s="19"/>
    </row>
    <row r="3300" spans="32:32" x14ac:dyDescent="0.3">
      <c r="AF3300" s="19"/>
    </row>
    <row r="3301" spans="32:32" x14ac:dyDescent="0.3">
      <c r="AF3301" s="19"/>
    </row>
    <row r="3302" spans="32:32" x14ac:dyDescent="0.3">
      <c r="AF3302" s="19"/>
    </row>
    <row r="3303" spans="32:32" x14ac:dyDescent="0.3">
      <c r="AF3303" s="19"/>
    </row>
    <row r="3304" spans="32:32" x14ac:dyDescent="0.3">
      <c r="AF3304" s="19"/>
    </row>
    <row r="3305" spans="32:32" x14ac:dyDescent="0.3">
      <c r="AF3305" s="19"/>
    </row>
    <row r="3306" spans="32:32" x14ac:dyDescent="0.3">
      <c r="AF3306" s="19"/>
    </row>
    <row r="3318" spans="32:32" x14ac:dyDescent="0.3">
      <c r="AF3318" s="19"/>
    </row>
    <row r="3319" spans="32:32" x14ac:dyDescent="0.3">
      <c r="AF3319" s="19"/>
    </row>
    <row r="3320" spans="32:32" x14ac:dyDescent="0.3">
      <c r="AF3320" s="19"/>
    </row>
    <row r="3321" spans="32:32" x14ac:dyDescent="0.3">
      <c r="AF3321" s="19"/>
    </row>
    <row r="3322" spans="32:32" x14ac:dyDescent="0.3">
      <c r="AF3322" s="19"/>
    </row>
    <row r="3323" spans="32:32" x14ac:dyDescent="0.3">
      <c r="AF3323" s="19"/>
    </row>
    <row r="3324" spans="32:32" x14ac:dyDescent="0.3">
      <c r="AF3324" s="19"/>
    </row>
    <row r="3325" spans="32:32" x14ac:dyDescent="0.3">
      <c r="AF3325" s="19"/>
    </row>
    <row r="3339" spans="32:32" x14ac:dyDescent="0.3">
      <c r="AF3339" s="19"/>
    </row>
    <row r="3340" spans="32:32" x14ac:dyDescent="0.3">
      <c r="AF3340" s="19"/>
    </row>
    <row r="3341" spans="32:32" x14ac:dyDescent="0.3">
      <c r="AF3341" s="19"/>
    </row>
    <row r="3342" spans="32:32" x14ac:dyDescent="0.3">
      <c r="AF3342" s="19"/>
    </row>
    <row r="3343" spans="32:32" x14ac:dyDescent="0.3">
      <c r="AF3343" s="19"/>
    </row>
    <row r="3344" spans="32:32" x14ac:dyDescent="0.3">
      <c r="AF3344" s="19"/>
    </row>
    <row r="3345" spans="32:32" x14ac:dyDescent="0.3">
      <c r="AF3345" s="19"/>
    </row>
    <row r="3346" spans="32:32" x14ac:dyDescent="0.3">
      <c r="AF3346" s="19"/>
    </row>
    <row r="3347" spans="32:32" x14ac:dyDescent="0.3">
      <c r="AF3347" s="19"/>
    </row>
    <row r="3360" spans="32:32" x14ac:dyDescent="0.3">
      <c r="AF3360" s="19"/>
    </row>
    <row r="3361" spans="32:32" x14ac:dyDescent="0.3">
      <c r="AF3361" s="19"/>
    </row>
    <row r="3362" spans="32:32" x14ac:dyDescent="0.3">
      <c r="AF3362" s="19"/>
    </row>
    <row r="3363" spans="32:32" x14ac:dyDescent="0.3">
      <c r="AF3363" s="19"/>
    </row>
    <row r="3364" spans="32:32" x14ac:dyDescent="0.3">
      <c r="AF3364" s="19"/>
    </row>
    <row r="3365" spans="32:32" x14ac:dyDescent="0.3">
      <c r="AF3365" s="19"/>
    </row>
    <row r="3366" spans="32:32" x14ac:dyDescent="0.3">
      <c r="AF3366" s="19"/>
    </row>
    <row r="3367" spans="32:32" x14ac:dyDescent="0.3">
      <c r="AF3367" s="19"/>
    </row>
    <row r="3381" spans="32:32" x14ac:dyDescent="0.3">
      <c r="AF3381" s="19"/>
    </row>
    <row r="3382" spans="32:32" x14ac:dyDescent="0.3">
      <c r="AF3382" s="19"/>
    </row>
    <row r="3383" spans="32:32" x14ac:dyDescent="0.3">
      <c r="AF3383" s="19"/>
    </row>
    <row r="3384" spans="32:32" x14ac:dyDescent="0.3">
      <c r="AF3384" s="19"/>
    </row>
    <row r="3385" spans="32:32" x14ac:dyDescent="0.3">
      <c r="AF3385" s="19"/>
    </row>
    <row r="3386" spans="32:32" x14ac:dyDescent="0.3">
      <c r="AF3386" s="19"/>
    </row>
    <row r="3387" spans="32:32" x14ac:dyDescent="0.3">
      <c r="AF3387" s="19"/>
    </row>
    <row r="3388" spans="32:32" x14ac:dyDescent="0.3">
      <c r="AF3388" s="19"/>
    </row>
    <row r="3389" spans="32:32" x14ac:dyDescent="0.3">
      <c r="AF3389" s="19"/>
    </row>
    <row r="3402" spans="32:32" x14ac:dyDescent="0.3">
      <c r="AF3402" s="19"/>
    </row>
    <row r="3403" spans="32:32" x14ac:dyDescent="0.3">
      <c r="AF3403" s="19"/>
    </row>
    <row r="3404" spans="32:32" x14ac:dyDescent="0.3">
      <c r="AF3404" s="19"/>
    </row>
    <row r="3405" spans="32:32" x14ac:dyDescent="0.3">
      <c r="AF3405" s="19"/>
    </row>
    <row r="3406" spans="32:32" x14ac:dyDescent="0.3">
      <c r="AF3406" s="19"/>
    </row>
    <row r="3407" spans="32:32" x14ac:dyDescent="0.3">
      <c r="AF3407" s="19"/>
    </row>
    <row r="3408" spans="32:32" x14ac:dyDescent="0.3">
      <c r="AF3408" s="19"/>
    </row>
    <row r="3409" spans="32:32" x14ac:dyDescent="0.3">
      <c r="AF3409" s="19"/>
    </row>
    <row r="3424" spans="32:32" x14ac:dyDescent="0.3">
      <c r="AF3424" s="19"/>
    </row>
    <row r="3425" spans="32:32" x14ac:dyDescent="0.3">
      <c r="AF3425" s="19"/>
    </row>
    <row r="3426" spans="32:32" x14ac:dyDescent="0.3">
      <c r="AF3426" s="19"/>
    </row>
    <row r="3427" spans="32:32" x14ac:dyDescent="0.3">
      <c r="AF3427" s="19"/>
    </row>
    <row r="3428" spans="32:32" x14ac:dyDescent="0.3">
      <c r="AF3428" s="19"/>
    </row>
    <row r="3429" spans="32:32" x14ac:dyDescent="0.3">
      <c r="AF3429" s="19"/>
    </row>
    <row r="3430" spans="32:32" x14ac:dyDescent="0.3">
      <c r="AF3430" s="19"/>
    </row>
    <row r="3431" spans="32:32" x14ac:dyDescent="0.3">
      <c r="AF3431" s="19"/>
    </row>
    <row r="3445" spans="32:32" x14ac:dyDescent="0.3">
      <c r="AF3445" s="19"/>
    </row>
    <row r="3446" spans="32:32" x14ac:dyDescent="0.3">
      <c r="AF3446" s="19"/>
    </row>
    <row r="3447" spans="32:32" x14ac:dyDescent="0.3">
      <c r="AF3447" s="19"/>
    </row>
    <row r="3448" spans="32:32" x14ac:dyDescent="0.3">
      <c r="AF3448" s="19"/>
    </row>
    <row r="3449" spans="32:32" x14ac:dyDescent="0.3">
      <c r="AF3449" s="19"/>
    </row>
    <row r="3450" spans="32:32" x14ac:dyDescent="0.3">
      <c r="AF3450" s="19"/>
    </row>
    <row r="3451" spans="32:32" x14ac:dyDescent="0.3">
      <c r="AF3451" s="19"/>
    </row>
    <row r="3452" spans="32:32" x14ac:dyDescent="0.3">
      <c r="AF3452" s="19"/>
    </row>
    <row r="3453" spans="32:32" x14ac:dyDescent="0.3">
      <c r="AF3453" s="19"/>
    </row>
    <row r="3466" spans="32:32" x14ac:dyDescent="0.3">
      <c r="AF3466" s="19"/>
    </row>
    <row r="3467" spans="32:32" x14ac:dyDescent="0.3">
      <c r="AF3467" s="19"/>
    </row>
    <row r="3468" spans="32:32" x14ac:dyDescent="0.3">
      <c r="AF3468" s="19"/>
    </row>
    <row r="3469" spans="32:32" x14ac:dyDescent="0.3">
      <c r="AF3469" s="19"/>
    </row>
    <row r="3470" spans="32:32" x14ac:dyDescent="0.3">
      <c r="AF3470" s="19"/>
    </row>
    <row r="3471" spans="32:32" x14ac:dyDescent="0.3">
      <c r="AF3471" s="19"/>
    </row>
    <row r="3472" spans="32:32" x14ac:dyDescent="0.3">
      <c r="AF3472" s="19"/>
    </row>
    <row r="3473" spans="32:32" x14ac:dyDescent="0.3">
      <c r="AF3473" s="19"/>
    </row>
    <row r="3489" spans="32:32" x14ac:dyDescent="0.3">
      <c r="AF3489" s="19"/>
    </row>
    <row r="3490" spans="32:32" x14ac:dyDescent="0.3">
      <c r="AF3490" s="19"/>
    </row>
    <row r="3491" spans="32:32" x14ac:dyDescent="0.3">
      <c r="AF3491" s="19"/>
    </row>
    <row r="3492" spans="32:32" x14ac:dyDescent="0.3">
      <c r="AF3492" s="19"/>
    </row>
    <row r="3493" spans="32:32" x14ac:dyDescent="0.3">
      <c r="AF3493" s="19"/>
    </row>
    <row r="3494" spans="32:32" x14ac:dyDescent="0.3">
      <c r="AF3494" s="19"/>
    </row>
    <row r="3495" spans="32:32" x14ac:dyDescent="0.3">
      <c r="AF3495" s="19"/>
    </row>
    <row r="3496" spans="32:32" x14ac:dyDescent="0.3">
      <c r="AF3496" s="19"/>
    </row>
    <row r="3508" spans="32:32" x14ac:dyDescent="0.3">
      <c r="AF3508" s="19"/>
    </row>
    <row r="3509" spans="32:32" x14ac:dyDescent="0.3">
      <c r="AF3509" s="19"/>
    </row>
    <row r="3510" spans="32:32" x14ac:dyDescent="0.3">
      <c r="AF3510" s="19"/>
    </row>
    <row r="3511" spans="32:32" x14ac:dyDescent="0.3">
      <c r="AF3511" s="19"/>
    </row>
    <row r="3512" spans="32:32" x14ac:dyDescent="0.3">
      <c r="AF3512" s="19"/>
    </row>
    <row r="3513" spans="32:32" x14ac:dyDescent="0.3">
      <c r="AF3513" s="19"/>
    </row>
    <row r="3514" spans="32:32" x14ac:dyDescent="0.3">
      <c r="AF3514" s="19"/>
    </row>
    <row r="3515" spans="32:32" x14ac:dyDescent="0.3">
      <c r="AF3515" s="19"/>
    </row>
    <row r="3516" spans="32:32" x14ac:dyDescent="0.3">
      <c r="AF3516" s="19"/>
    </row>
    <row r="3517" spans="32:32" x14ac:dyDescent="0.3">
      <c r="AF3517" s="19"/>
    </row>
    <row r="3530" spans="32:32" x14ac:dyDescent="0.3">
      <c r="AF3530" s="19"/>
    </row>
    <row r="3531" spans="32:32" x14ac:dyDescent="0.3">
      <c r="AF3531" s="19"/>
    </row>
    <row r="3532" spans="32:32" x14ac:dyDescent="0.3">
      <c r="AF3532" s="19"/>
    </row>
    <row r="3533" spans="32:32" x14ac:dyDescent="0.3">
      <c r="AF3533" s="19"/>
    </row>
    <row r="3534" spans="32:32" x14ac:dyDescent="0.3">
      <c r="AF3534" s="19"/>
    </row>
    <row r="3535" spans="32:32" x14ac:dyDescent="0.3">
      <c r="AF3535" s="19"/>
    </row>
    <row r="3536" spans="32:32" x14ac:dyDescent="0.3">
      <c r="AF3536" s="19"/>
    </row>
    <row r="3550" spans="32:32" x14ac:dyDescent="0.3">
      <c r="AF3550" s="19"/>
    </row>
    <row r="3551" spans="32:32" x14ac:dyDescent="0.3">
      <c r="AF3551" s="19"/>
    </row>
    <row r="3552" spans="32:32" x14ac:dyDescent="0.3">
      <c r="AF3552" s="19"/>
    </row>
    <row r="3553" spans="32:32" x14ac:dyDescent="0.3">
      <c r="AF3553" s="19"/>
    </row>
    <row r="3554" spans="32:32" x14ac:dyDescent="0.3">
      <c r="AF3554" s="19"/>
    </row>
    <row r="3555" spans="32:32" x14ac:dyDescent="0.3">
      <c r="AF3555" s="19"/>
    </row>
    <row r="3556" spans="32:32" x14ac:dyDescent="0.3">
      <c r="AF3556" s="19"/>
    </row>
    <row r="3557" spans="32:32" x14ac:dyDescent="0.3">
      <c r="AF3557" s="19"/>
    </row>
    <row r="3558" spans="32:32" x14ac:dyDescent="0.3">
      <c r="AF3558" s="19"/>
    </row>
    <row r="3569" spans="32:32" x14ac:dyDescent="0.3">
      <c r="AF3569" s="19"/>
    </row>
    <row r="3570" spans="32:32" x14ac:dyDescent="0.3">
      <c r="AF3570" s="19"/>
    </row>
    <row r="3571" spans="32:32" x14ac:dyDescent="0.3">
      <c r="AF3571" s="19"/>
    </row>
    <row r="3572" spans="32:32" x14ac:dyDescent="0.3">
      <c r="AF3572" s="19"/>
    </row>
    <row r="3573" spans="32:32" x14ac:dyDescent="0.3">
      <c r="AF3573" s="19"/>
    </row>
    <row r="3574" spans="32:32" x14ac:dyDescent="0.3">
      <c r="AF3574" s="19"/>
    </row>
    <row r="3575" spans="32:32" x14ac:dyDescent="0.3">
      <c r="AF3575" s="19"/>
    </row>
    <row r="3576" spans="32:32" x14ac:dyDescent="0.3">
      <c r="AF3576" s="19"/>
    </row>
    <row r="3577" spans="32:32" x14ac:dyDescent="0.3">
      <c r="AF3577" s="19"/>
    </row>
    <row r="3578" spans="32:32" x14ac:dyDescent="0.3">
      <c r="AF3578" s="19"/>
    </row>
    <row r="3592" spans="32:32" x14ac:dyDescent="0.3">
      <c r="AF3592" s="19"/>
    </row>
    <row r="3593" spans="32:32" x14ac:dyDescent="0.3">
      <c r="AF3593" s="19"/>
    </row>
    <row r="3594" spans="32:32" x14ac:dyDescent="0.3">
      <c r="AF3594" s="19"/>
    </row>
    <row r="3595" spans="32:32" x14ac:dyDescent="0.3">
      <c r="AF3595" s="19"/>
    </row>
    <row r="3596" spans="32:32" x14ac:dyDescent="0.3">
      <c r="AF3596" s="19"/>
    </row>
    <row r="3597" spans="32:32" x14ac:dyDescent="0.3">
      <c r="AF3597" s="19"/>
    </row>
    <row r="3598" spans="32:32" x14ac:dyDescent="0.3">
      <c r="AF3598" s="19"/>
    </row>
    <row r="3613" spans="32:32" x14ac:dyDescent="0.3">
      <c r="AF3613" s="19"/>
    </row>
    <row r="3614" spans="32:32" x14ac:dyDescent="0.3">
      <c r="AF3614" s="19"/>
    </row>
    <row r="3615" spans="32:32" x14ac:dyDescent="0.3">
      <c r="AF3615" s="19"/>
    </row>
    <row r="3616" spans="32:32" x14ac:dyDescent="0.3">
      <c r="AF3616" s="19"/>
    </row>
    <row r="3617" spans="32:32" x14ac:dyDescent="0.3">
      <c r="AF3617" s="19"/>
    </row>
    <row r="3618" spans="32:32" x14ac:dyDescent="0.3">
      <c r="AF3618" s="19"/>
    </row>
    <row r="3619" spans="32:32" x14ac:dyDescent="0.3">
      <c r="AF3619" s="19"/>
    </row>
    <row r="3620" spans="32:32" x14ac:dyDescent="0.3">
      <c r="AF3620" s="19"/>
    </row>
    <row r="3633" spans="32:32" x14ac:dyDescent="0.3">
      <c r="AF3633" s="19"/>
    </row>
    <row r="3634" spans="32:32" x14ac:dyDescent="0.3">
      <c r="AF3634" s="19"/>
    </row>
    <row r="3635" spans="32:32" x14ac:dyDescent="0.3">
      <c r="AF3635" s="19"/>
    </row>
    <row r="3636" spans="32:32" x14ac:dyDescent="0.3">
      <c r="AF3636" s="19"/>
    </row>
    <row r="3637" spans="32:32" x14ac:dyDescent="0.3">
      <c r="AF3637" s="19"/>
    </row>
    <row r="3638" spans="32:32" x14ac:dyDescent="0.3">
      <c r="AF3638" s="19"/>
    </row>
    <row r="3639" spans="32:32" x14ac:dyDescent="0.3">
      <c r="AF3639" s="19"/>
    </row>
    <row r="3640" spans="32:32" x14ac:dyDescent="0.3">
      <c r="AF3640" s="19"/>
    </row>
    <row r="3641" spans="32:32" x14ac:dyDescent="0.3">
      <c r="AF3641" s="19"/>
    </row>
    <row r="3655" spans="32:32" x14ac:dyDescent="0.3">
      <c r="AF3655" s="19"/>
    </row>
    <row r="3656" spans="32:32" x14ac:dyDescent="0.3">
      <c r="AF3656" s="19"/>
    </row>
    <row r="3657" spans="32:32" x14ac:dyDescent="0.3">
      <c r="AF3657" s="19"/>
    </row>
    <row r="3658" spans="32:32" x14ac:dyDescent="0.3">
      <c r="AF3658" s="19"/>
    </row>
    <row r="3659" spans="32:32" x14ac:dyDescent="0.3">
      <c r="AF3659" s="19"/>
    </row>
    <row r="3660" spans="32:32" x14ac:dyDescent="0.3">
      <c r="AF3660" s="19"/>
    </row>
    <row r="3661" spans="32:32" x14ac:dyDescent="0.3">
      <c r="AF3661" s="19"/>
    </row>
    <row r="3676" spans="32:32" x14ac:dyDescent="0.3">
      <c r="AF3676" s="19"/>
    </row>
    <row r="3677" spans="32:32" x14ac:dyDescent="0.3">
      <c r="AF3677" s="19"/>
    </row>
    <row r="3678" spans="32:32" x14ac:dyDescent="0.3">
      <c r="AF3678" s="19"/>
    </row>
    <row r="3679" spans="32:32" x14ac:dyDescent="0.3">
      <c r="AF3679" s="19"/>
    </row>
    <row r="3680" spans="32:32" x14ac:dyDescent="0.3">
      <c r="AF3680" s="19"/>
    </row>
    <row r="3681" spans="32:32" x14ac:dyDescent="0.3">
      <c r="AF3681" s="19"/>
    </row>
    <row r="3682" spans="32:32" x14ac:dyDescent="0.3">
      <c r="AF3682" s="19"/>
    </row>
    <row r="3683" spans="32:32" x14ac:dyDescent="0.3">
      <c r="AF3683" s="19"/>
    </row>
    <row r="3684" spans="32:32" x14ac:dyDescent="0.3">
      <c r="AF3684" s="19"/>
    </row>
    <row r="3698" spans="32:32" x14ac:dyDescent="0.3">
      <c r="AF3698" s="19"/>
    </row>
    <row r="3699" spans="32:32" x14ac:dyDescent="0.3">
      <c r="AF3699" s="19"/>
    </row>
    <row r="3700" spans="32:32" x14ac:dyDescent="0.3">
      <c r="AF3700" s="19"/>
    </row>
    <row r="3701" spans="32:32" x14ac:dyDescent="0.3">
      <c r="AF3701" s="19"/>
    </row>
    <row r="3702" spans="32:32" x14ac:dyDescent="0.3">
      <c r="AF3702" s="19"/>
    </row>
    <row r="3703" spans="32:32" x14ac:dyDescent="0.3">
      <c r="AF3703" s="19"/>
    </row>
    <row r="3704" spans="32:32" x14ac:dyDescent="0.3">
      <c r="AF3704" s="19"/>
    </row>
    <row r="3719" spans="32:32" x14ac:dyDescent="0.3">
      <c r="AF3719" s="19"/>
    </row>
    <row r="3720" spans="32:32" x14ac:dyDescent="0.3">
      <c r="AF3720" s="19"/>
    </row>
    <row r="3721" spans="32:32" x14ac:dyDescent="0.3">
      <c r="AF3721" s="19"/>
    </row>
    <row r="3722" spans="32:32" x14ac:dyDescent="0.3">
      <c r="AF3722" s="19"/>
    </row>
    <row r="3723" spans="32:32" x14ac:dyDescent="0.3">
      <c r="AF3723" s="19"/>
    </row>
    <row r="3724" spans="32:32" x14ac:dyDescent="0.3">
      <c r="AF3724" s="19"/>
    </row>
    <row r="3725" spans="32:32" x14ac:dyDescent="0.3">
      <c r="AF3725" s="19"/>
    </row>
    <row r="3726" spans="32:32" x14ac:dyDescent="0.3">
      <c r="AF3726" s="19"/>
    </row>
    <row r="3740" spans="32:32" x14ac:dyDescent="0.3">
      <c r="AF3740" s="19"/>
    </row>
    <row r="3741" spans="32:32" x14ac:dyDescent="0.3">
      <c r="AF3741" s="19"/>
    </row>
    <row r="3742" spans="32:32" x14ac:dyDescent="0.3">
      <c r="AF3742" s="19"/>
    </row>
    <row r="3743" spans="32:32" x14ac:dyDescent="0.3">
      <c r="AF3743" s="19"/>
    </row>
    <row r="3744" spans="32:32" x14ac:dyDescent="0.3">
      <c r="AF3744" s="19"/>
    </row>
    <row r="3745" spans="32:32" x14ac:dyDescent="0.3">
      <c r="AF3745" s="19"/>
    </row>
    <row r="3746" spans="32:32" x14ac:dyDescent="0.3">
      <c r="AF3746" s="19"/>
    </row>
    <row r="3747" spans="32:32" x14ac:dyDescent="0.3">
      <c r="AF3747" s="19"/>
    </row>
    <row r="3748" spans="32:32" x14ac:dyDescent="0.3">
      <c r="AF3748" s="19"/>
    </row>
    <row r="3749" spans="32:32" x14ac:dyDescent="0.3">
      <c r="AF3749" s="19"/>
    </row>
    <row r="3761" spans="32:32" x14ac:dyDescent="0.3">
      <c r="AF3761" s="19"/>
    </row>
    <row r="3762" spans="32:32" x14ac:dyDescent="0.3">
      <c r="AF3762" s="19"/>
    </row>
    <row r="3763" spans="32:32" x14ac:dyDescent="0.3">
      <c r="AF3763" s="19"/>
    </row>
    <row r="3764" spans="32:32" x14ac:dyDescent="0.3">
      <c r="AF3764" s="19"/>
    </row>
    <row r="3765" spans="32:32" x14ac:dyDescent="0.3">
      <c r="AF3765" s="19"/>
    </row>
    <row r="3766" spans="32:32" x14ac:dyDescent="0.3">
      <c r="AF3766" s="19"/>
    </row>
    <row r="3767" spans="32:32" x14ac:dyDescent="0.3">
      <c r="AF3767" s="19"/>
    </row>
    <row r="3768" spans="32:32" x14ac:dyDescent="0.3">
      <c r="AF3768" s="19"/>
    </row>
    <row r="3783" spans="32:32" x14ac:dyDescent="0.3">
      <c r="AF3783" s="19"/>
    </row>
    <row r="3784" spans="32:32" x14ac:dyDescent="0.3">
      <c r="AF3784" s="19"/>
    </row>
    <row r="3785" spans="32:32" x14ac:dyDescent="0.3">
      <c r="AF3785" s="19"/>
    </row>
    <row r="3786" spans="32:32" x14ac:dyDescent="0.3">
      <c r="AF3786" s="19"/>
    </row>
    <row r="3787" spans="32:32" x14ac:dyDescent="0.3">
      <c r="AF3787" s="19"/>
    </row>
    <row r="3788" spans="32:32" x14ac:dyDescent="0.3">
      <c r="AF3788" s="19"/>
    </row>
    <row r="3789" spans="32:32" x14ac:dyDescent="0.3">
      <c r="AF3789" s="19"/>
    </row>
    <row r="3790" spans="32:32" x14ac:dyDescent="0.3">
      <c r="AF3790" s="19"/>
    </row>
    <row r="3803" spans="32:32" x14ac:dyDescent="0.3">
      <c r="AF3803" s="19"/>
    </row>
    <row r="3804" spans="32:32" x14ac:dyDescent="0.3">
      <c r="AF3804" s="19"/>
    </row>
    <row r="3805" spans="32:32" x14ac:dyDescent="0.3">
      <c r="AF3805" s="19"/>
    </row>
    <row r="3806" spans="32:32" x14ac:dyDescent="0.3">
      <c r="AF3806" s="19"/>
    </row>
    <row r="3807" spans="32:32" x14ac:dyDescent="0.3">
      <c r="AF3807" s="19"/>
    </row>
    <row r="3808" spans="32:32" x14ac:dyDescent="0.3">
      <c r="AF3808" s="19"/>
    </row>
    <row r="3809" spans="32:32" x14ac:dyDescent="0.3">
      <c r="AF3809" s="19"/>
    </row>
    <row r="3810" spans="32:32" x14ac:dyDescent="0.3">
      <c r="AF3810" s="19"/>
    </row>
    <row r="3811" spans="32:32" x14ac:dyDescent="0.3">
      <c r="AF3811" s="19"/>
    </row>
    <row r="3822" spans="32:32" x14ac:dyDescent="0.3">
      <c r="AF3822" s="19"/>
    </row>
    <row r="3823" spans="32:32" x14ac:dyDescent="0.3">
      <c r="AF3823" s="19"/>
    </row>
    <row r="3824" spans="32:32" x14ac:dyDescent="0.3">
      <c r="AF3824" s="19"/>
    </row>
    <row r="3825" spans="32:32" x14ac:dyDescent="0.3">
      <c r="AF3825" s="19"/>
    </row>
    <row r="3826" spans="32:32" x14ac:dyDescent="0.3">
      <c r="AF3826" s="19"/>
    </row>
    <row r="3827" spans="32:32" x14ac:dyDescent="0.3">
      <c r="AF3827" s="19"/>
    </row>
    <row r="3828" spans="32:32" x14ac:dyDescent="0.3">
      <c r="AF3828" s="19"/>
    </row>
    <row r="3829" spans="32:32" x14ac:dyDescent="0.3">
      <c r="AF3829" s="19"/>
    </row>
    <row r="3830" spans="32:32" x14ac:dyDescent="0.3">
      <c r="AF3830" s="19"/>
    </row>
    <row r="3844" spans="32:32" x14ac:dyDescent="0.3">
      <c r="AF3844" s="19"/>
    </row>
    <row r="3845" spans="32:32" x14ac:dyDescent="0.3">
      <c r="AF3845" s="19"/>
    </row>
    <row r="3846" spans="32:32" x14ac:dyDescent="0.3">
      <c r="AF3846" s="19"/>
    </row>
    <row r="3847" spans="32:32" x14ac:dyDescent="0.3">
      <c r="AF3847" s="19"/>
    </row>
    <row r="3848" spans="32:32" x14ac:dyDescent="0.3">
      <c r="AF3848" s="19"/>
    </row>
    <row r="3849" spans="32:32" x14ac:dyDescent="0.3">
      <c r="AF3849" s="19"/>
    </row>
    <row r="3850" spans="32:32" x14ac:dyDescent="0.3">
      <c r="AF3850" s="19"/>
    </row>
    <row r="3851" spans="32:32" x14ac:dyDescent="0.3">
      <c r="AF3851" s="19"/>
    </row>
    <row r="3865" spans="32:32" x14ac:dyDescent="0.3">
      <c r="AF3865" s="19"/>
    </row>
    <row r="3866" spans="32:32" x14ac:dyDescent="0.3">
      <c r="AF3866" s="19"/>
    </row>
    <row r="3867" spans="32:32" x14ac:dyDescent="0.3">
      <c r="AF3867" s="19"/>
    </row>
    <row r="3868" spans="32:32" x14ac:dyDescent="0.3">
      <c r="AF3868" s="19"/>
    </row>
    <row r="3869" spans="32:32" x14ac:dyDescent="0.3">
      <c r="AF3869" s="19"/>
    </row>
    <row r="3870" spans="32:32" x14ac:dyDescent="0.3">
      <c r="AF3870" s="19"/>
    </row>
    <row r="3871" spans="32:32" x14ac:dyDescent="0.3">
      <c r="AF3871" s="19"/>
    </row>
    <row r="3872" spans="32:32" x14ac:dyDescent="0.3">
      <c r="AF3872" s="19"/>
    </row>
    <row r="3873" spans="32:32" x14ac:dyDescent="0.3">
      <c r="AF3873" s="19"/>
    </row>
    <row r="3886" spans="32:32" x14ac:dyDescent="0.3">
      <c r="AF3886" s="19"/>
    </row>
    <row r="3887" spans="32:32" x14ac:dyDescent="0.3">
      <c r="AF3887" s="19"/>
    </row>
    <row r="3888" spans="32:32" x14ac:dyDescent="0.3">
      <c r="AF3888" s="19"/>
    </row>
    <row r="3889" spans="32:32" x14ac:dyDescent="0.3">
      <c r="AF3889" s="19"/>
    </row>
    <row r="3890" spans="32:32" x14ac:dyDescent="0.3">
      <c r="AF3890" s="19"/>
    </row>
    <row r="3891" spans="32:32" x14ac:dyDescent="0.3">
      <c r="AF3891" s="19"/>
    </row>
    <row r="3892" spans="32:32" x14ac:dyDescent="0.3">
      <c r="AF3892" s="19"/>
    </row>
    <row r="3893" spans="32:32" x14ac:dyDescent="0.3">
      <c r="AF3893" s="19"/>
    </row>
    <row r="3908" spans="32:32" x14ac:dyDescent="0.3">
      <c r="AF3908" s="19"/>
    </row>
    <row r="3909" spans="32:32" x14ac:dyDescent="0.3">
      <c r="AF3909" s="19"/>
    </row>
    <row r="3910" spans="32:32" x14ac:dyDescent="0.3">
      <c r="AF3910" s="19"/>
    </row>
    <row r="3911" spans="32:32" x14ac:dyDescent="0.3">
      <c r="AF3911" s="19"/>
    </row>
    <row r="3912" spans="32:32" x14ac:dyDescent="0.3">
      <c r="AF3912" s="19"/>
    </row>
    <row r="3913" spans="32:32" x14ac:dyDescent="0.3">
      <c r="AF3913" s="19"/>
    </row>
    <row r="3914" spans="32:32" x14ac:dyDescent="0.3">
      <c r="AF3914" s="19"/>
    </row>
    <row r="3928" spans="32:32" x14ac:dyDescent="0.3">
      <c r="AF3928" s="19"/>
    </row>
    <row r="3929" spans="32:32" x14ac:dyDescent="0.3">
      <c r="AF3929" s="19"/>
    </row>
    <row r="3930" spans="32:32" x14ac:dyDescent="0.3">
      <c r="AF3930" s="19"/>
    </row>
    <row r="3931" spans="32:32" x14ac:dyDescent="0.3">
      <c r="AF3931" s="19"/>
    </row>
    <row r="3932" spans="32:32" x14ac:dyDescent="0.3">
      <c r="AF3932" s="19"/>
    </row>
    <row r="3933" spans="32:32" x14ac:dyDescent="0.3">
      <c r="AF3933" s="19"/>
    </row>
    <row r="3934" spans="32:32" x14ac:dyDescent="0.3">
      <c r="AF3934" s="19"/>
    </row>
    <row r="3935" spans="32:32" x14ac:dyDescent="0.3">
      <c r="AF3935" s="19"/>
    </row>
    <row r="3936" spans="32:32" x14ac:dyDescent="0.3">
      <c r="AF3936" s="19"/>
    </row>
    <row r="3937" spans="32:32" x14ac:dyDescent="0.3">
      <c r="AF3937" s="19"/>
    </row>
    <row r="3951" spans="32:32" x14ac:dyDescent="0.3">
      <c r="AF3951" s="19"/>
    </row>
    <row r="3952" spans="32:32" x14ac:dyDescent="0.3">
      <c r="AF3952" s="19"/>
    </row>
    <row r="3953" spans="32:32" x14ac:dyDescent="0.3">
      <c r="AF3953" s="19"/>
    </row>
    <row r="3954" spans="32:32" x14ac:dyDescent="0.3">
      <c r="AF3954" s="19"/>
    </row>
    <row r="3955" spans="32:32" x14ac:dyDescent="0.3">
      <c r="AF3955" s="19"/>
    </row>
    <row r="3956" spans="32:32" x14ac:dyDescent="0.3">
      <c r="AF3956" s="19"/>
    </row>
    <row r="3957" spans="32:32" x14ac:dyDescent="0.3">
      <c r="AF3957" s="19"/>
    </row>
    <row r="3972" spans="32:32" x14ac:dyDescent="0.3">
      <c r="AF3972" s="19"/>
    </row>
    <row r="3973" spans="32:32" x14ac:dyDescent="0.3">
      <c r="AF3973" s="19"/>
    </row>
    <row r="3974" spans="32:32" x14ac:dyDescent="0.3">
      <c r="AF3974" s="19"/>
    </row>
    <row r="3975" spans="32:32" x14ac:dyDescent="0.3">
      <c r="AF3975" s="19"/>
    </row>
    <row r="3976" spans="32:32" x14ac:dyDescent="0.3">
      <c r="AF3976" s="19"/>
    </row>
    <row r="3977" spans="32:32" x14ac:dyDescent="0.3">
      <c r="AF3977" s="19"/>
    </row>
    <row r="3978" spans="32:32" x14ac:dyDescent="0.3">
      <c r="AF3978" s="19"/>
    </row>
    <row r="3979" spans="32:32" x14ac:dyDescent="0.3">
      <c r="AF3979" s="19"/>
    </row>
    <row r="3993" spans="32:32" x14ac:dyDescent="0.3">
      <c r="AF3993" s="19"/>
    </row>
    <row r="3994" spans="32:32" x14ac:dyDescent="0.3">
      <c r="AF3994" s="19"/>
    </row>
    <row r="3995" spans="32:32" x14ac:dyDescent="0.3">
      <c r="AF3995" s="19"/>
    </row>
    <row r="3996" spans="32:32" x14ac:dyDescent="0.3">
      <c r="AF3996" s="19"/>
    </row>
    <row r="3997" spans="32:32" x14ac:dyDescent="0.3">
      <c r="AF3997" s="19"/>
    </row>
    <row r="3998" spans="32:32" x14ac:dyDescent="0.3">
      <c r="AF3998" s="19"/>
    </row>
    <row r="3999" spans="32:32" x14ac:dyDescent="0.3">
      <c r="AF3999" s="19"/>
    </row>
    <row r="4000" spans="32:32" x14ac:dyDescent="0.3">
      <c r="AF4000" s="19"/>
    </row>
    <row r="4001" spans="32:32" x14ac:dyDescent="0.3">
      <c r="AF4001" s="19"/>
    </row>
    <row r="4014" spans="32:32" x14ac:dyDescent="0.3">
      <c r="AF4014" s="19"/>
    </row>
    <row r="4015" spans="32:32" x14ac:dyDescent="0.3">
      <c r="AF4015" s="19"/>
    </row>
    <row r="4016" spans="32:32" x14ac:dyDescent="0.3">
      <c r="AF4016" s="19"/>
    </row>
    <row r="4017" spans="32:32" x14ac:dyDescent="0.3">
      <c r="AF4017" s="19"/>
    </row>
    <row r="4018" spans="32:32" x14ac:dyDescent="0.3">
      <c r="AF4018" s="19"/>
    </row>
    <row r="4019" spans="32:32" x14ac:dyDescent="0.3">
      <c r="AF4019" s="19"/>
    </row>
    <row r="4020" spans="32:32" x14ac:dyDescent="0.3">
      <c r="AF4020" s="19"/>
    </row>
    <row r="4021" spans="32:32" x14ac:dyDescent="0.3">
      <c r="AF4021" s="19"/>
    </row>
    <row r="4035" spans="32:32" x14ac:dyDescent="0.3">
      <c r="AF4035" s="19"/>
    </row>
    <row r="4036" spans="32:32" x14ac:dyDescent="0.3">
      <c r="AF4036" s="19"/>
    </row>
    <row r="4037" spans="32:32" x14ac:dyDescent="0.3">
      <c r="AF4037" s="19"/>
    </row>
    <row r="4038" spans="32:32" x14ac:dyDescent="0.3">
      <c r="AF4038" s="19"/>
    </row>
    <row r="4039" spans="32:32" x14ac:dyDescent="0.3">
      <c r="AF4039" s="19"/>
    </row>
    <row r="4040" spans="32:32" x14ac:dyDescent="0.3">
      <c r="AF4040" s="19"/>
    </row>
    <row r="4041" spans="32:32" x14ac:dyDescent="0.3">
      <c r="AF4041" s="19"/>
    </row>
    <row r="4042" spans="32:32" x14ac:dyDescent="0.3">
      <c r="AF4042" s="19"/>
    </row>
    <row r="4055" spans="32:32" x14ac:dyDescent="0.3">
      <c r="AF4055" s="19"/>
    </row>
    <row r="4056" spans="32:32" x14ac:dyDescent="0.3">
      <c r="AF4056" s="19"/>
    </row>
    <row r="4057" spans="32:32" x14ac:dyDescent="0.3">
      <c r="AF4057" s="19"/>
    </row>
    <row r="4058" spans="32:32" x14ac:dyDescent="0.3">
      <c r="AF4058" s="19"/>
    </row>
    <row r="4059" spans="32:32" x14ac:dyDescent="0.3">
      <c r="AF4059" s="19"/>
    </row>
    <row r="4060" spans="32:32" x14ac:dyDescent="0.3">
      <c r="AF4060" s="19"/>
    </row>
    <row r="4061" spans="32:32" x14ac:dyDescent="0.3">
      <c r="AF4061" s="19"/>
    </row>
    <row r="4062" spans="32:32" x14ac:dyDescent="0.3">
      <c r="AF4062" s="19"/>
    </row>
    <row r="4074" spans="32:32" x14ac:dyDescent="0.3">
      <c r="AF4074" s="19"/>
    </row>
    <row r="4075" spans="32:32" x14ac:dyDescent="0.3">
      <c r="AF4075" s="19"/>
    </row>
    <row r="4076" spans="32:32" x14ac:dyDescent="0.3">
      <c r="AF4076" s="19"/>
    </row>
    <row r="4077" spans="32:32" x14ac:dyDescent="0.3">
      <c r="AF4077" s="19"/>
    </row>
    <row r="4078" spans="32:32" x14ac:dyDescent="0.3">
      <c r="AF4078" s="19"/>
    </row>
    <row r="4079" spans="32:32" x14ac:dyDescent="0.3">
      <c r="AF4079" s="19"/>
    </row>
    <row r="4080" spans="32:32" x14ac:dyDescent="0.3">
      <c r="AF4080" s="19"/>
    </row>
    <row r="4081" spans="32:32" x14ac:dyDescent="0.3">
      <c r="AF4081" s="19"/>
    </row>
    <row r="4097" spans="32:32" x14ac:dyDescent="0.3">
      <c r="AF4097" s="19"/>
    </row>
    <row r="4098" spans="32:32" x14ac:dyDescent="0.3">
      <c r="AF4098" s="19"/>
    </row>
    <row r="4099" spans="32:32" x14ac:dyDescent="0.3">
      <c r="AF4099" s="19"/>
    </row>
    <row r="4100" spans="32:32" x14ac:dyDescent="0.3">
      <c r="AF4100" s="19"/>
    </row>
    <row r="4101" spans="32:32" x14ac:dyDescent="0.3">
      <c r="AF4101" s="19"/>
    </row>
    <row r="4102" spans="32:32" x14ac:dyDescent="0.3">
      <c r="AF4102" s="19"/>
    </row>
    <row r="4103" spans="32:32" x14ac:dyDescent="0.3">
      <c r="AF4103" s="19"/>
    </row>
    <row r="4104" spans="32:32" x14ac:dyDescent="0.3">
      <c r="AF4104" s="19"/>
    </row>
    <row r="4116" spans="32:32" x14ac:dyDescent="0.3">
      <c r="AF4116" s="19"/>
    </row>
    <row r="4117" spans="32:32" x14ac:dyDescent="0.3">
      <c r="AF4117" s="19"/>
    </row>
    <row r="4118" spans="32:32" x14ac:dyDescent="0.3">
      <c r="AF4118" s="19"/>
    </row>
    <row r="4119" spans="32:32" x14ac:dyDescent="0.3">
      <c r="AF4119" s="19"/>
    </row>
    <row r="4120" spans="32:32" x14ac:dyDescent="0.3">
      <c r="AF4120" s="19"/>
    </row>
    <row r="4121" spans="32:32" x14ac:dyDescent="0.3">
      <c r="AF4121" s="19"/>
    </row>
    <row r="4122" spans="32:32" x14ac:dyDescent="0.3">
      <c r="AF4122" s="19"/>
    </row>
    <row r="4123" spans="32:32" x14ac:dyDescent="0.3">
      <c r="AF4123" s="19"/>
    </row>
    <row r="4124" spans="32:32" x14ac:dyDescent="0.3">
      <c r="AF4124" s="19"/>
    </row>
    <row r="4125" spans="32:32" x14ac:dyDescent="0.3">
      <c r="AF4125" s="19"/>
    </row>
    <row r="4138" spans="32:32" x14ac:dyDescent="0.3">
      <c r="AF4138" s="19"/>
    </row>
    <row r="4139" spans="32:32" x14ac:dyDescent="0.3">
      <c r="AF4139" s="19"/>
    </row>
    <row r="4140" spans="32:32" x14ac:dyDescent="0.3">
      <c r="AF4140" s="19"/>
    </row>
    <row r="4141" spans="32:32" x14ac:dyDescent="0.3">
      <c r="AF4141" s="19"/>
    </row>
    <row r="4142" spans="32:32" x14ac:dyDescent="0.3">
      <c r="AF4142" s="19"/>
    </row>
    <row r="4143" spans="32:32" x14ac:dyDescent="0.3">
      <c r="AF4143" s="19"/>
    </row>
    <row r="4144" spans="32:32" x14ac:dyDescent="0.3">
      <c r="AF4144" s="19"/>
    </row>
    <row r="4145" spans="32:32" x14ac:dyDescent="0.3">
      <c r="AF4145" s="19"/>
    </row>
    <row r="4160" spans="32:32" x14ac:dyDescent="0.3">
      <c r="AF4160" s="19"/>
    </row>
    <row r="4161" spans="32:32" x14ac:dyDescent="0.3">
      <c r="AF4161" s="19"/>
    </row>
    <row r="4162" spans="32:32" x14ac:dyDescent="0.3">
      <c r="AF4162" s="19"/>
    </row>
    <row r="4163" spans="32:32" x14ac:dyDescent="0.3">
      <c r="AF4163" s="19"/>
    </row>
    <row r="4164" spans="32:32" x14ac:dyDescent="0.3">
      <c r="AF4164" s="19"/>
    </row>
    <row r="4165" spans="32:32" x14ac:dyDescent="0.3">
      <c r="AF4165" s="19"/>
    </row>
    <row r="4166" spans="32:32" x14ac:dyDescent="0.3">
      <c r="AF4166" s="19"/>
    </row>
    <row r="4180" spans="32:32" x14ac:dyDescent="0.3">
      <c r="AF4180" s="19"/>
    </row>
    <row r="4181" spans="32:32" x14ac:dyDescent="0.3">
      <c r="AF4181" s="19"/>
    </row>
    <row r="4182" spans="32:32" x14ac:dyDescent="0.3">
      <c r="AF4182" s="19"/>
    </row>
    <row r="4183" spans="32:32" x14ac:dyDescent="0.3">
      <c r="AF4183" s="19"/>
    </row>
    <row r="4184" spans="32:32" x14ac:dyDescent="0.3">
      <c r="AF4184" s="19"/>
    </row>
    <row r="4185" spans="32:32" x14ac:dyDescent="0.3">
      <c r="AF4185" s="19"/>
    </row>
    <row r="4186" spans="32:32" x14ac:dyDescent="0.3">
      <c r="AF4186" s="19"/>
    </row>
    <row r="4187" spans="32:32" x14ac:dyDescent="0.3">
      <c r="AF4187" s="19"/>
    </row>
    <row r="4188" spans="32:32" x14ac:dyDescent="0.3">
      <c r="AF4188" s="19"/>
    </row>
    <row r="4203" spans="32:32" x14ac:dyDescent="0.3">
      <c r="AF4203" s="19"/>
    </row>
    <row r="4204" spans="32:32" x14ac:dyDescent="0.3">
      <c r="AF4204" s="19"/>
    </row>
    <row r="4205" spans="32:32" x14ac:dyDescent="0.3">
      <c r="AF4205" s="19"/>
    </row>
    <row r="4206" spans="32:32" x14ac:dyDescent="0.3">
      <c r="AF4206" s="19"/>
    </row>
    <row r="4207" spans="32:32" x14ac:dyDescent="0.3">
      <c r="AF4207" s="19"/>
    </row>
    <row r="4208" spans="32:32" x14ac:dyDescent="0.3">
      <c r="AF4208" s="19"/>
    </row>
    <row r="4209" spans="32:32" x14ac:dyDescent="0.3">
      <c r="AF4209" s="19"/>
    </row>
    <row r="4223" spans="32:32" x14ac:dyDescent="0.3">
      <c r="AF4223" s="19"/>
    </row>
    <row r="4224" spans="32:32" x14ac:dyDescent="0.3">
      <c r="AF4224" s="19"/>
    </row>
    <row r="4225" spans="32:32" x14ac:dyDescent="0.3">
      <c r="AF4225" s="19"/>
    </row>
    <row r="4226" spans="32:32" x14ac:dyDescent="0.3">
      <c r="AF4226" s="19"/>
    </row>
    <row r="4227" spans="32:32" x14ac:dyDescent="0.3">
      <c r="AF4227" s="19"/>
    </row>
    <row r="4228" spans="32:32" x14ac:dyDescent="0.3">
      <c r="AF4228" s="19"/>
    </row>
    <row r="4229" spans="32:32" x14ac:dyDescent="0.3">
      <c r="AF4229" s="19"/>
    </row>
    <row r="4230" spans="32:32" x14ac:dyDescent="0.3">
      <c r="AF4230" s="19"/>
    </row>
    <row r="4231" spans="32:32" x14ac:dyDescent="0.3">
      <c r="AF4231" s="19"/>
    </row>
    <row r="4245" spans="32:32" x14ac:dyDescent="0.3">
      <c r="AF4245" s="19"/>
    </row>
    <row r="4246" spans="32:32" x14ac:dyDescent="0.3">
      <c r="AF4246" s="19"/>
    </row>
    <row r="4247" spans="32:32" x14ac:dyDescent="0.3">
      <c r="AF4247" s="19"/>
    </row>
    <row r="4248" spans="32:32" x14ac:dyDescent="0.3">
      <c r="AF4248" s="19"/>
    </row>
    <row r="4249" spans="32:32" x14ac:dyDescent="0.3">
      <c r="AF4249" s="19"/>
    </row>
    <row r="4250" spans="32:32" x14ac:dyDescent="0.3">
      <c r="AF4250" s="19"/>
    </row>
    <row r="4251" spans="32:32" x14ac:dyDescent="0.3">
      <c r="AF4251" s="19"/>
    </row>
    <row r="4252" spans="32:32" x14ac:dyDescent="0.3">
      <c r="AF4252" s="19"/>
    </row>
    <row r="4266" spans="32:32" x14ac:dyDescent="0.3">
      <c r="AF4266" s="19"/>
    </row>
    <row r="4267" spans="32:32" x14ac:dyDescent="0.3">
      <c r="AF4267" s="19"/>
    </row>
    <row r="4268" spans="32:32" x14ac:dyDescent="0.3">
      <c r="AF4268" s="19"/>
    </row>
    <row r="4269" spans="32:32" x14ac:dyDescent="0.3">
      <c r="AF4269" s="19"/>
    </row>
    <row r="4270" spans="32:32" x14ac:dyDescent="0.3">
      <c r="AF4270" s="19"/>
    </row>
    <row r="4271" spans="32:32" x14ac:dyDescent="0.3">
      <c r="AF4271" s="19"/>
    </row>
    <row r="4272" spans="32:32" x14ac:dyDescent="0.3">
      <c r="AF4272" s="19"/>
    </row>
    <row r="4273" spans="32:32" x14ac:dyDescent="0.3">
      <c r="AF4273" s="19"/>
    </row>
    <row r="4286" spans="32:32" x14ac:dyDescent="0.3">
      <c r="AF4286" s="19"/>
    </row>
    <row r="4287" spans="32:32" x14ac:dyDescent="0.3">
      <c r="AF4287" s="19"/>
    </row>
    <row r="4288" spans="32:32" x14ac:dyDescent="0.3">
      <c r="AF4288" s="19"/>
    </row>
    <row r="4289" spans="32:32" x14ac:dyDescent="0.3">
      <c r="AF4289" s="19"/>
    </row>
    <row r="4290" spans="32:32" x14ac:dyDescent="0.3">
      <c r="AF4290" s="19"/>
    </row>
    <row r="4291" spans="32:32" x14ac:dyDescent="0.3">
      <c r="AF4291" s="19"/>
    </row>
    <row r="4292" spans="32:32" x14ac:dyDescent="0.3">
      <c r="AF4292" s="19"/>
    </row>
    <row r="4293" spans="32:32" x14ac:dyDescent="0.3">
      <c r="AF4293" s="19"/>
    </row>
    <row r="4306" spans="32:32" x14ac:dyDescent="0.3">
      <c r="AF4306" s="19"/>
    </row>
    <row r="4307" spans="32:32" x14ac:dyDescent="0.3">
      <c r="AF4307" s="19"/>
    </row>
    <row r="4308" spans="32:32" x14ac:dyDescent="0.3">
      <c r="AF4308" s="19"/>
    </row>
    <row r="4309" spans="32:32" x14ac:dyDescent="0.3">
      <c r="AF4309" s="19"/>
    </row>
    <row r="4310" spans="32:32" x14ac:dyDescent="0.3">
      <c r="AF4310" s="19"/>
    </row>
    <row r="4311" spans="32:32" x14ac:dyDescent="0.3">
      <c r="AF4311" s="19"/>
    </row>
    <row r="4312" spans="32:32" x14ac:dyDescent="0.3">
      <c r="AF4312" s="19"/>
    </row>
    <row r="4313" spans="32:32" x14ac:dyDescent="0.3">
      <c r="AF4313" s="19"/>
    </row>
    <row r="4325" spans="32:32" x14ac:dyDescent="0.3">
      <c r="AF4325" s="19"/>
    </row>
    <row r="4326" spans="32:32" x14ac:dyDescent="0.3">
      <c r="AF4326" s="19"/>
    </row>
    <row r="4327" spans="32:32" x14ac:dyDescent="0.3">
      <c r="AF4327" s="19"/>
    </row>
    <row r="4328" spans="32:32" x14ac:dyDescent="0.3">
      <c r="AF4328" s="19"/>
    </row>
    <row r="4329" spans="32:32" x14ac:dyDescent="0.3">
      <c r="AF4329" s="19"/>
    </row>
    <row r="4330" spans="32:32" x14ac:dyDescent="0.3">
      <c r="AF4330" s="19"/>
    </row>
    <row r="4331" spans="32:32" x14ac:dyDescent="0.3">
      <c r="AF4331" s="19"/>
    </row>
    <row r="4332" spans="32:32" x14ac:dyDescent="0.3">
      <c r="AF4332" s="19"/>
    </row>
    <row r="4347" spans="32:32" x14ac:dyDescent="0.3">
      <c r="AF4347" s="19"/>
    </row>
    <row r="4348" spans="32:32" x14ac:dyDescent="0.3">
      <c r="AF4348" s="19"/>
    </row>
    <row r="4349" spans="32:32" x14ac:dyDescent="0.3">
      <c r="AF4349" s="19"/>
    </row>
    <row r="4350" spans="32:32" x14ac:dyDescent="0.3">
      <c r="AF4350" s="19"/>
    </row>
    <row r="4351" spans="32:32" x14ac:dyDescent="0.3">
      <c r="AF4351" s="19"/>
    </row>
    <row r="4352" spans="32:32" x14ac:dyDescent="0.3">
      <c r="AF4352" s="19"/>
    </row>
    <row r="4353" spans="32:32" x14ac:dyDescent="0.3">
      <c r="AF4353" s="19"/>
    </row>
    <row r="4354" spans="32:32" x14ac:dyDescent="0.3">
      <c r="AF4354" s="19"/>
    </row>
    <row r="4367" spans="32:32" x14ac:dyDescent="0.3">
      <c r="AF4367" s="19"/>
    </row>
    <row r="4368" spans="32:32" x14ac:dyDescent="0.3">
      <c r="AF4368" s="19"/>
    </row>
    <row r="4369" spans="32:32" x14ac:dyDescent="0.3">
      <c r="AF4369" s="19"/>
    </row>
    <row r="4370" spans="32:32" x14ac:dyDescent="0.3">
      <c r="AF4370" s="19"/>
    </row>
    <row r="4371" spans="32:32" x14ac:dyDescent="0.3">
      <c r="AF4371" s="19"/>
    </row>
    <row r="4372" spans="32:32" x14ac:dyDescent="0.3">
      <c r="AF4372" s="19"/>
    </row>
    <row r="4373" spans="32:32" x14ac:dyDescent="0.3">
      <c r="AF4373" s="19"/>
    </row>
    <row r="4374" spans="32:32" x14ac:dyDescent="0.3">
      <c r="AF4374" s="19"/>
    </row>
    <row r="4375" spans="32:32" x14ac:dyDescent="0.3">
      <c r="AF4375" s="19"/>
    </row>
    <row r="4389" spans="32:32" x14ac:dyDescent="0.3">
      <c r="AF4389" s="19"/>
    </row>
    <row r="4390" spans="32:32" x14ac:dyDescent="0.3">
      <c r="AF4390" s="19"/>
    </row>
    <row r="4391" spans="32:32" x14ac:dyDescent="0.3">
      <c r="AF4391" s="19"/>
    </row>
    <row r="4392" spans="32:32" x14ac:dyDescent="0.3">
      <c r="AF4392" s="19"/>
    </row>
    <row r="4393" spans="32:32" x14ac:dyDescent="0.3">
      <c r="AF4393" s="19"/>
    </row>
    <row r="4394" spans="32:32" x14ac:dyDescent="0.3">
      <c r="AF4394" s="19"/>
    </row>
    <row r="4395" spans="32:32" x14ac:dyDescent="0.3">
      <c r="AF4395" s="19"/>
    </row>
    <row r="4396" spans="32:32" x14ac:dyDescent="0.3">
      <c r="AF4396" s="19"/>
    </row>
    <row r="4410" spans="32:32" x14ac:dyDescent="0.3">
      <c r="AF4410" s="19"/>
    </row>
    <row r="4411" spans="32:32" x14ac:dyDescent="0.3">
      <c r="AF4411" s="19"/>
    </row>
    <row r="4412" spans="32:32" x14ac:dyDescent="0.3">
      <c r="AF4412" s="19"/>
    </row>
    <row r="4413" spans="32:32" x14ac:dyDescent="0.3">
      <c r="AF4413" s="19"/>
    </row>
    <row r="4414" spans="32:32" x14ac:dyDescent="0.3">
      <c r="AF4414" s="19"/>
    </row>
    <row r="4415" spans="32:32" x14ac:dyDescent="0.3">
      <c r="AF4415" s="19"/>
    </row>
    <row r="4416" spans="32:32" x14ac:dyDescent="0.3">
      <c r="AF4416" s="19"/>
    </row>
    <row r="4417" spans="32:32" x14ac:dyDescent="0.3">
      <c r="AF4417" s="19"/>
    </row>
    <row r="4431" spans="32:32" x14ac:dyDescent="0.3">
      <c r="AF4431" s="19"/>
    </row>
    <row r="4432" spans="32:32" x14ac:dyDescent="0.3">
      <c r="AF4432" s="19"/>
    </row>
    <row r="4433" spans="32:32" x14ac:dyDescent="0.3">
      <c r="AF4433" s="19"/>
    </row>
    <row r="4434" spans="32:32" x14ac:dyDescent="0.3">
      <c r="AF4434" s="19"/>
    </row>
    <row r="4435" spans="32:32" x14ac:dyDescent="0.3">
      <c r="AF4435" s="19"/>
    </row>
    <row r="4436" spans="32:32" x14ac:dyDescent="0.3">
      <c r="AF4436" s="19"/>
    </row>
    <row r="4437" spans="32:32" x14ac:dyDescent="0.3">
      <c r="AF4437" s="19"/>
    </row>
    <row r="4438" spans="32:32" x14ac:dyDescent="0.3">
      <c r="AF4438" s="19"/>
    </row>
    <row r="4454" spans="32:32" x14ac:dyDescent="0.3">
      <c r="AF4454" s="19"/>
    </row>
    <row r="4455" spans="32:32" x14ac:dyDescent="0.3">
      <c r="AF4455" s="19"/>
    </row>
    <row r="4456" spans="32:32" x14ac:dyDescent="0.3">
      <c r="AF4456" s="19"/>
    </row>
    <row r="4457" spans="32:32" x14ac:dyDescent="0.3">
      <c r="AF4457" s="19"/>
    </row>
    <row r="4458" spans="32:32" x14ac:dyDescent="0.3">
      <c r="AF4458" s="19"/>
    </row>
    <row r="4459" spans="32:32" x14ac:dyDescent="0.3">
      <c r="AF4459" s="19"/>
    </row>
    <row r="4460" spans="32:32" x14ac:dyDescent="0.3">
      <c r="AF4460" s="19"/>
    </row>
    <row r="4473" spans="32:32" x14ac:dyDescent="0.3">
      <c r="AF4473" s="19"/>
    </row>
    <row r="4474" spans="32:32" x14ac:dyDescent="0.3">
      <c r="AF4474" s="19"/>
    </row>
    <row r="4475" spans="32:32" x14ac:dyDescent="0.3">
      <c r="AF4475" s="19"/>
    </row>
    <row r="4476" spans="32:32" x14ac:dyDescent="0.3">
      <c r="AF4476" s="19"/>
    </row>
    <row r="4477" spans="32:32" x14ac:dyDescent="0.3">
      <c r="AF4477" s="19"/>
    </row>
    <row r="4478" spans="32:32" x14ac:dyDescent="0.3">
      <c r="AF4478" s="19"/>
    </row>
    <row r="4479" spans="32:32" x14ac:dyDescent="0.3">
      <c r="AF4479" s="19"/>
    </row>
    <row r="4480" spans="32:32" x14ac:dyDescent="0.3">
      <c r="AF4480" s="19"/>
    </row>
    <row r="4481" spans="32:32" x14ac:dyDescent="0.3">
      <c r="AF4481" s="19"/>
    </row>
    <row r="4482" spans="32:32" x14ac:dyDescent="0.3">
      <c r="AF4482" s="19"/>
    </row>
    <row r="4496" spans="32:32" x14ac:dyDescent="0.3">
      <c r="AF4496" s="19"/>
    </row>
    <row r="4497" spans="32:32" x14ac:dyDescent="0.3">
      <c r="AF4497" s="19"/>
    </row>
    <row r="4498" spans="32:32" x14ac:dyDescent="0.3">
      <c r="AF4498" s="19"/>
    </row>
    <row r="4499" spans="32:32" x14ac:dyDescent="0.3">
      <c r="AF4499" s="19"/>
    </row>
    <row r="4500" spans="32:32" x14ac:dyDescent="0.3">
      <c r="AF4500" s="19"/>
    </row>
    <row r="4501" spans="32:32" x14ac:dyDescent="0.3">
      <c r="AF4501" s="19"/>
    </row>
    <row r="4502" spans="32:32" x14ac:dyDescent="0.3">
      <c r="AF4502" s="19"/>
    </row>
    <row r="4503" spans="32:32" x14ac:dyDescent="0.3">
      <c r="AF4503" s="19"/>
    </row>
    <row r="4517" spans="32:32" x14ac:dyDescent="0.3">
      <c r="AF4517" s="19"/>
    </row>
    <row r="4518" spans="32:32" x14ac:dyDescent="0.3">
      <c r="AF4518" s="19"/>
    </row>
    <row r="4519" spans="32:32" x14ac:dyDescent="0.3">
      <c r="AF4519" s="19"/>
    </row>
    <row r="4520" spans="32:32" x14ac:dyDescent="0.3">
      <c r="AF4520" s="19"/>
    </row>
    <row r="4521" spans="32:32" x14ac:dyDescent="0.3">
      <c r="AF4521" s="19"/>
    </row>
    <row r="4522" spans="32:32" x14ac:dyDescent="0.3">
      <c r="AF4522" s="19"/>
    </row>
    <row r="4523" spans="32:32" x14ac:dyDescent="0.3">
      <c r="AF4523" s="19"/>
    </row>
    <row r="4524" spans="32:32" x14ac:dyDescent="0.3">
      <c r="AF4524" s="19"/>
    </row>
    <row r="4537" spans="32:32" x14ac:dyDescent="0.3">
      <c r="AF4537" s="19"/>
    </row>
    <row r="4538" spans="32:32" x14ac:dyDescent="0.3">
      <c r="AF4538" s="19"/>
    </row>
    <row r="4539" spans="32:32" x14ac:dyDescent="0.3">
      <c r="AF4539" s="19"/>
    </row>
    <row r="4540" spans="32:32" x14ac:dyDescent="0.3">
      <c r="AF4540" s="19"/>
    </row>
    <row r="4541" spans="32:32" x14ac:dyDescent="0.3">
      <c r="AF4541" s="19"/>
    </row>
    <row r="4542" spans="32:32" x14ac:dyDescent="0.3">
      <c r="AF4542" s="19"/>
    </row>
    <row r="4543" spans="32:32" x14ac:dyDescent="0.3">
      <c r="AF4543" s="19"/>
    </row>
    <row r="4544" spans="32:32" x14ac:dyDescent="0.3">
      <c r="AF4544" s="19"/>
    </row>
    <row r="4558" spans="32:32" x14ac:dyDescent="0.3">
      <c r="AF4558" s="19"/>
    </row>
    <row r="4559" spans="32:32" x14ac:dyDescent="0.3">
      <c r="AF4559" s="19"/>
    </row>
    <row r="4560" spans="32:32" x14ac:dyDescent="0.3">
      <c r="AF4560" s="19"/>
    </row>
    <row r="4561" spans="32:32" x14ac:dyDescent="0.3">
      <c r="AF4561" s="19"/>
    </row>
    <row r="4562" spans="32:32" x14ac:dyDescent="0.3">
      <c r="AF4562" s="19"/>
    </row>
    <row r="4563" spans="32:32" x14ac:dyDescent="0.3">
      <c r="AF4563" s="19"/>
    </row>
    <row r="4564" spans="32:32" x14ac:dyDescent="0.3">
      <c r="AF4564" s="19"/>
    </row>
    <row r="4565" spans="32:32" x14ac:dyDescent="0.3">
      <c r="AF4565" s="19"/>
    </row>
    <row r="4578" spans="32:32" x14ac:dyDescent="0.3">
      <c r="AF4578" s="19"/>
    </row>
    <row r="4579" spans="32:32" x14ac:dyDescent="0.3">
      <c r="AF4579" s="19"/>
    </row>
    <row r="4580" spans="32:32" x14ac:dyDescent="0.3">
      <c r="AF4580" s="19"/>
    </row>
    <row r="4581" spans="32:32" x14ac:dyDescent="0.3">
      <c r="AF4581" s="19"/>
    </row>
    <row r="4582" spans="32:32" x14ac:dyDescent="0.3">
      <c r="AF4582" s="19"/>
    </row>
    <row r="4583" spans="32:32" x14ac:dyDescent="0.3">
      <c r="AF4583" s="19"/>
    </row>
    <row r="4584" spans="32:32" x14ac:dyDescent="0.3">
      <c r="AF4584" s="19"/>
    </row>
    <row r="4585" spans="32:32" x14ac:dyDescent="0.3">
      <c r="AF4585" s="19"/>
    </row>
    <row r="4598" spans="32:32" x14ac:dyDescent="0.3">
      <c r="AF4598" s="19"/>
    </row>
    <row r="4599" spans="32:32" x14ac:dyDescent="0.3">
      <c r="AF4599" s="19"/>
    </row>
    <row r="4600" spans="32:32" x14ac:dyDescent="0.3">
      <c r="AF4600" s="19"/>
    </row>
    <row r="4601" spans="32:32" x14ac:dyDescent="0.3">
      <c r="AF4601" s="19"/>
    </row>
    <row r="4602" spans="32:32" x14ac:dyDescent="0.3">
      <c r="AF4602" s="19"/>
    </row>
    <row r="4603" spans="32:32" x14ac:dyDescent="0.3">
      <c r="AF4603" s="19"/>
    </row>
    <row r="4604" spans="32:32" x14ac:dyDescent="0.3">
      <c r="AF4604" s="19"/>
    </row>
    <row r="4605" spans="32:32" x14ac:dyDescent="0.3">
      <c r="AF4605" s="19"/>
    </row>
    <row r="4606" spans="32:32" x14ac:dyDescent="0.3">
      <c r="AF4606" s="19"/>
    </row>
    <row r="4620" spans="32:32" x14ac:dyDescent="0.3">
      <c r="AF4620" s="19"/>
    </row>
    <row r="4621" spans="32:32" x14ac:dyDescent="0.3">
      <c r="AF4621" s="19"/>
    </row>
    <row r="4622" spans="32:32" x14ac:dyDescent="0.3">
      <c r="AF4622" s="19"/>
    </row>
    <row r="4623" spans="32:32" x14ac:dyDescent="0.3">
      <c r="AF4623" s="19"/>
    </row>
    <row r="4624" spans="32:32" x14ac:dyDescent="0.3">
      <c r="AF4624" s="19"/>
    </row>
    <row r="4625" spans="32:32" x14ac:dyDescent="0.3">
      <c r="AF4625" s="19"/>
    </row>
    <row r="4626" spans="32:32" x14ac:dyDescent="0.3">
      <c r="AF4626" s="19"/>
    </row>
    <row r="4627" spans="32:32" x14ac:dyDescent="0.3">
      <c r="AF4627" s="19"/>
    </row>
    <row r="4641" spans="32:32" x14ac:dyDescent="0.3">
      <c r="AF4641" s="19"/>
    </row>
    <row r="4642" spans="32:32" x14ac:dyDescent="0.3">
      <c r="AF4642" s="19"/>
    </row>
    <row r="4643" spans="32:32" x14ac:dyDescent="0.3">
      <c r="AF4643" s="19"/>
    </row>
    <row r="4644" spans="32:32" x14ac:dyDescent="0.3">
      <c r="AF4644" s="19"/>
    </row>
    <row r="4645" spans="32:32" x14ac:dyDescent="0.3">
      <c r="AF4645" s="19"/>
    </row>
    <row r="4646" spans="32:32" x14ac:dyDescent="0.3">
      <c r="AF4646" s="19"/>
    </row>
    <row r="4647" spans="32:32" x14ac:dyDescent="0.3">
      <c r="AF4647" s="19"/>
    </row>
    <row r="4648" spans="32:32" x14ac:dyDescent="0.3">
      <c r="AF4648" s="19"/>
    </row>
    <row r="4649" spans="32:32" x14ac:dyDescent="0.3">
      <c r="AF4649" s="19"/>
    </row>
    <row r="4662" spans="32:32" x14ac:dyDescent="0.3">
      <c r="AF4662" s="19"/>
    </row>
    <row r="4663" spans="32:32" x14ac:dyDescent="0.3">
      <c r="AF4663" s="19"/>
    </row>
    <row r="4664" spans="32:32" x14ac:dyDescent="0.3">
      <c r="AF4664" s="19"/>
    </row>
    <row r="4665" spans="32:32" x14ac:dyDescent="0.3">
      <c r="AF4665" s="19"/>
    </row>
    <row r="4666" spans="32:32" x14ac:dyDescent="0.3">
      <c r="AF4666" s="19"/>
    </row>
    <row r="4667" spans="32:32" x14ac:dyDescent="0.3">
      <c r="AF4667" s="19"/>
    </row>
    <row r="4668" spans="32:32" x14ac:dyDescent="0.3">
      <c r="AF4668" s="19"/>
    </row>
    <row r="4669" spans="32:32" x14ac:dyDescent="0.3">
      <c r="AF4669" s="19"/>
    </row>
    <row r="4684" spans="32:32" x14ac:dyDescent="0.3">
      <c r="AF4684" s="19"/>
    </row>
    <row r="4685" spans="32:32" x14ac:dyDescent="0.3">
      <c r="AF4685" s="19"/>
    </row>
    <row r="4686" spans="32:32" x14ac:dyDescent="0.3">
      <c r="AF4686" s="19"/>
    </row>
    <row r="4687" spans="32:32" x14ac:dyDescent="0.3">
      <c r="AF4687" s="19"/>
    </row>
    <row r="4688" spans="32:32" x14ac:dyDescent="0.3">
      <c r="AF4688" s="19"/>
    </row>
    <row r="4689" spans="32:32" x14ac:dyDescent="0.3">
      <c r="AF4689" s="19"/>
    </row>
    <row r="4690" spans="32:32" x14ac:dyDescent="0.3">
      <c r="AF4690" s="19"/>
    </row>
    <row r="4691" spans="32:32" x14ac:dyDescent="0.3">
      <c r="AF4691" s="19"/>
    </row>
    <row r="4705" spans="32:32" x14ac:dyDescent="0.3">
      <c r="AF4705" s="19"/>
    </row>
    <row r="4706" spans="32:32" x14ac:dyDescent="0.3">
      <c r="AF4706" s="19"/>
    </row>
    <row r="4707" spans="32:32" x14ac:dyDescent="0.3">
      <c r="AF4707" s="19"/>
    </row>
    <row r="4708" spans="32:32" x14ac:dyDescent="0.3">
      <c r="AF4708" s="19"/>
    </row>
    <row r="4709" spans="32:32" x14ac:dyDescent="0.3">
      <c r="AF4709" s="19"/>
    </row>
    <row r="4710" spans="32:32" x14ac:dyDescent="0.3">
      <c r="AF4710" s="19"/>
    </row>
    <row r="4711" spans="32:32" x14ac:dyDescent="0.3">
      <c r="AF4711" s="19"/>
    </row>
    <row r="4712" spans="32:32" x14ac:dyDescent="0.3">
      <c r="AF4712" s="19"/>
    </row>
    <row r="4713" spans="32:32" x14ac:dyDescent="0.3">
      <c r="AF4713" s="19"/>
    </row>
    <row r="4726" spans="32:32" x14ac:dyDescent="0.3">
      <c r="AF4726" s="19"/>
    </row>
    <row r="4727" spans="32:32" x14ac:dyDescent="0.3">
      <c r="AF4727" s="19"/>
    </row>
    <row r="4728" spans="32:32" x14ac:dyDescent="0.3">
      <c r="AF4728" s="19"/>
    </row>
    <row r="4729" spans="32:32" x14ac:dyDescent="0.3">
      <c r="AF4729" s="19"/>
    </row>
    <row r="4730" spans="32:32" x14ac:dyDescent="0.3">
      <c r="AF4730" s="19"/>
    </row>
    <row r="4731" spans="32:32" x14ac:dyDescent="0.3">
      <c r="AF4731" s="19"/>
    </row>
    <row r="4732" spans="32:32" x14ac:dyDescent="0.3">
      <c r="AF4732" s="19"/>
    </row>
    <row r="4733" spans="32:32" x14ac:dyDescent="0.3">
      <c r="AF4733" s="19"/>
    </row>
    <row r="4749" spans="32:32" x14ac:dyDescent="0.3">
      <c r="AF4749" s="19"/>
    </row>
    <row r="4750" spans="32:32" x14ac:dyDescent="0.3">
      <c r="AF4750" s="19"/>
    </row>
    <row r="4751" spans="32:32" x14ac:dyDescent="0.3">
      <c r="AF4751" s="19"/>
    </row>
    <row r="4752" spans="32:32" x14ac:dyDescent="0.3">
      <c r="AF4752" s="19"/>
    </row>
    <row r="4753" spans="32:32" x14ac:dyDescent="0.3">
      <c r="AF4753" s="19"/>
    </row>
    <row r="4754" spans="32:32" x14ac:dyDescent="0.3">
      <c r="AF4754" s="19"/>
    </row>
    <row r="4755" spans="32:32" x14ac:dyDescent="0.3">
      <c r="AF4755" s="19"/>
    </row>
    <row r="4756" spans="32:32" x14ac:dyDescent="0.3">
      <c r="AF4756" s="19"/>
    </row>
    <row r="4768" spans="32:32" x14ac:dyDescent="0.3">
      <c r="AF4768" s="19"/>
    </row>
    <row r="4769" spans="32:32" x14ac:dyDescent="0.3">
      <c r="AF4769" s="19"/>
    </row>
    <row r="4770" spans="32:32" x14ac:dyDescent="0.3">
      <c r="AF4770" s="19"/>
    </row>
    <row r="4771" spans="32:32" x14ac:dyDescent="0.3">
      <c r="AF4771" s="19"/>
    </row>
    <row r="4772" spans="32:32" x14ac:dyDescent="0.3">
      <c r="AF4772" s="19"/>
    </row>
    <row r="4773" spans="32:32" x14ac:dyDescent="0.3">
      <c r="AF4773" s="19"/>
    </row>
    <row r="4774" spans="32:32" x14ac:dyDescent="0.3">
      <c r="AF4774" s="19"/>
    </row>
    <row r="4775" spans="32:32" x14ac:dyDescent="0.3">
      <c r="AF4775" s="19"/>
    </row>
    <row r="4776" spans="32:32" x14ac:dyDescent="0.3">
      <c r="AF4776" s="19"/>
    </row>
    <row r="4777" spans="32:32" x14ac:dyDescent="0.3">
      <c r="AF4777" s="19"/>
    </row>
    <row r="4790" spans="32:32" x14ac:dyDescent="0.3">
      <c r="AF4790" s="19"/>
    </row>
    <row r="4791" spans="32:32" x14ac:dyDescent="0.3">
      <c r="AF4791" s="19"/>
    </row>
    <row r="4792" spans="32:32" x14ac:dyDescent="0.3">
      <c r="AF4792" s="19"/>
    </row>
    <row r="4793" spans="32:32" x14ac:dyDescent="0.3">
      <c r="AF4793" s="19"/>
    </row>
    <row r="4794" spans="32:32" x14ac:dyDescent="0.3">
      <c r="AF4794" s="19"/>
    </row>
    <row r="4795" spans="32:32" x14ac:dyDescent="0.3">
      <c r="AF4795" s="19"/>
    </row>
    <row r="4796" spans="32:32" x14ac:dyDescent="0.3">
      <c r="AF4796" s="19"/>
    </row>
    <row r="4810" spans="32:32" x14ac:dyDescent="0.3">
      <c r="AF4810" s="19"/>
    </row>
    <row r="4811" spans="32:32" x14ac:dyDescent="0.3">
      <c r="AF4811" s="19"/>
    </row>
    <row r="4812" spans="32:32" x14ac:dyDescent="0.3">
      <c r="AF4812" s="19"/>
    </row>
    <row r="4813" spans="32:32" x14ac:dyDescent="0.3">
      <c r="AF4813" s="19"/>
    </row>
    <row r="4814" spans="32:32" x14ac:dyDescent="0.3">
      <c r="AF4814" s="19"/>
    </row>
    <row r="4815" spans="32:32" x14ac:dyDescent="0.3">
      <c r="AF4815" s="19"/>
    </row>
    <row r="4816" spans="32:32" x14ac:dyDescent="0.3">
      <c r="AF4816" s="19"/>
    </row>
    <row r="4817" spans="32:32" x14ac:dyDescent="0.3">
      <c r="AF4817" s="19"/>
    </row>
    <row r="4818" spans="32:32" x14ac:dyDescent="0.3">
      <c r="AF4818" s="19"/>
    </row>
    <row r="4829" spans="32:32" x14ac:dyDescent="0.3">
      <c r="AF4829" s="19"/>
    </row>
    <row r="4830" spans="32:32" x14ac:dyDescent="0.3">
      <c r="AF4830" s="19"/>
    </row>
    <row r="4831" spans="32:32" x14ac:dyDescent="0.3">
      <c r="AF4831" s="19"/>
    </row>
    <row r="4832" spans="32:32" x14ac:dyDescent="0.3">
      <c r="AF4832" s="19"/>
    </row>
    <row r="4833" spans="32:32" x14ac:dyDescent="0.3">
      <c r="AF4833" s="19"/>
    </row>
    <row r="4834" spans="32:32" x14ac:dyDescent="0.3">
      <c r="AF4834" s="19"/>
    </row>
    <row r="4835" spans="32:32" x14ac:dyDescent="0.3">
      <c r="AF4835" s="19"/>
    </row>
    <row r="4836" spans="32:32" x14ac:dyDescent="0.3">
      <c r="AF4836" s="19"/>
    </row>
    <row r="4837" spans="32:32" x14ac:dyDescent="0.3">
      <c r="AF4837" s="19"/>
    </row>
    <row r="4851" spans="32:32" x14ac:dyDescent="0.3">
      <c r="AF4851" s="19"/>
    </row>
    <row r="4852" spans="32:32" x14ac:dyDescent="0.3">
      <c r="AF4852" s="19"/>
    </row>
    <row r="4853" spans="32:32" x14ac:dyDescent="0.3">
      <c r="AF4853" s="19"/>
    </row>
    <row r="4854" spans="32:32" x14ac:dyDescent="0.3">
      <c r="AF4854" s="19"/>
    </row>
    <row r="4855" spans="32:32" x14ac:dyDescent="0.3">
      <c r="AF4855" s="19"/>
    </row>
    <row r="4856" spans="32:32" x14ac:dyDescent="0.3">
      <c r="AF4856" s="19"/>
    </row>
    <row r="4857" spans="32:32" x14ac:dyDescent="0.3">
      <c r="AF4857" s="19"/>
    </row>
    <row r="4872" spans="32:32" x14ac:dyDescent="0.3">
      <c r="AF4872" s="19"/>
    </row>
    <row r="4873" spans="32:32" x14ac:dyDescent="0.3">
      <c r="AF4873" s="19"/>
    </row>
    <row r="4874" spans="32:32" x14ac:dyDescent="0.3">
      <c r="AF4874" s="19"/>
    </row>
    <row r="4875" spans="32:32" x14ac:dyDescent="0.3">
      <c r="AF4875" s="19"/>
    </row>
    <row r="4876" spans="32:32" x14ac:dyDescent="0.3">
      <c r="AF4876" s="19"/>
    </row>
    <row r="4877" spans="32:32" x14ac:dyDescent="0.3">
      <c r="AF4877" s="19"/>
    </row>
    <row r="4878" spans="32:32" x14ac:dyDescent="0.3">
      <c r="AF4878" s="19"/>
    </row>
    <row r="4879" spans="32:32" x14ac:dyDescent="0.3">
      <c r="AF4879" s="19"/>
    </row>
    <row r="4892" spans="32:32" x14ac:dyDescent="0.3">
      <c r="AF4892" s="19"/>
    </row>
    <row r="4893" spans="32:32" x14ac:dyDescent="0.3">
      <c r="AF4893" s="19"/>
    </row>
    <row r="4894" spans="32:32" x14ac:dyDescent="0.3">
      <c r="AF4894" s="19"/>
    </row>
    <row r="4895" spans="32:32" x14ac:dyDescent="0.3">
      <c r="AF4895" s="19"/>
    </row>
    <row r="4896" spans="32:32" x14ac:dyDescent="0.3">
      <c r="AF4896" s="19"/>
    </row>
    <row r="4897" spans="32:32" x14ac:dyDescent="0.3">
      <c r="AF4897" s="19"/>
    </row>
    <row r="4898" spans="32:32" x14ac:dyDescent="0.3">
      <c r="AF4898" s="19"/>
    </row>
    <row r="4899" spans="32:32" x14ac:dyDescent="0.3">
      <c r="AF4899" s="19"/>
    </row>
    <row r="4900" spans="32:32" x14ac:dyDescent="0.3">
      <c r="AF4900" s="19"/>
    </row>
    <row r="4901" spans="32:32" x14ac:dyDescent="0.3">
      <c r="AF4901" s="19"/>
    </row>
    <row r="4914" spans="32:32" x14ac:dyDescent="0.3">
      <c r="AF4914" s="19"/>
    </row>
    <row r="4915" spans="32:32" x14ac:dyDescent="0.3">
      <c r="AF4915" s="19"/>
    </row>
    <row r="4916" spans="32:32" x14ac:dyDescent="0.3">
      <c r="AF4916" s="19"/>
    </row>
    <row r="4917" spans="32:32" x14ac:dyDescent="0.3">
      <c r="AF4917" s="19"/>
    </row>
    <row r="4918" spans="32:32" x14ac:dyDescent="0.3">
      <c r="AF4918" s="19"/>
    </row>
    <row r="4919" spans="32:32" x14ac:dyDescent="0.3">
      <c r="AF4919" s="19"/>
    </row>
    <row r="4920" spans="32:32" x14ac:dyDescent="0.3">
      <c r="AF4920" s="19"/>
    </row>
    <row r="4936" spans="32:32" x14ac:dyDescent="0.3">
      <c r="AF4936" s="19"/>
    </row>
    <row r="4937" spans="32:32" x14ac:dyDescent="0.3">
      <c r="AF4937" s="19"/>
    </row>
    <row r="4938" spans="32:32" x14ac:dyDescent="0.3">
      <c r="AF4938" s="19"/>
    </row>
    <row r="4939" spans="32:32" x14ac:dyDescent="0.3">
      <c r="AF4939" s="19"/>
    </row>
    <row r="4940" spans="32:32" x14ac:dyDescent="0.3">
      <c r="AF4940" s="19"/>
    </row>
    <row r="4941" spans="32:32" x14ac:dyDescent="0.3">
      <c r="AF4941" s="19"/>
    </row>
    <row r="4942" spans="32:32" x14ac:dyDescent="0.3">
      <c r="AF4942" s="19"/>
    </row>
    <row r="4943" spans="32:32" x14ac:dyDescent="0.3">
      <c r="AF4943" s="19"/>
    </row>
    <row r="4957" spans="32:32" x14ac:dyDescent="0.3">
      <c r="AF4957" s="19"/>
    </row>
    <row r="4958" spans="32:32" x14ac:dyDescent="0.3">
      <c r="AF4958" s="19"/>
    </row>
    <row r="4959" spans="32:32" x14ac:dyDescent="0.3">
      <c r="AF4959" s="19"/>
    </row>
    <row r="4960" spans="32:32" x14ac:dyDescent="0.3">
      <c r="AF4960" s="19"/>
    </row>
    <row r="4961" spans="32:32" x14ac:dyDescent="0.3">
      <c r="AF4961" s="19"/>
    </row>
    <row r="4962" spans="32:32" x14ac:dyDescent="0.3">
      <c r="AF4962" s="19"/>
    </row>
    <row r="4963" spans="32:32" x14ac:dyDescent="0.3">
      <c r="AF4963" s="19"/>
    </row>
    <row r="4964" spans="32:32" x14ac:dyDescent="0.3">
      <c r="AF4964" s="19"/>
    </row>
    <row r="4978" spans="32:32" x14ac:dyDescent="0.3">
      <c r="AF4978" s="19"/>
    </row>
    <row r="4979" spans="32:32" x14ac:dyDescent="0.3">
      <c r="AF4979" s="19"/>
    </row>
    <row r="4980" spans="32:32" x14ac:dyDescent="0.3">
      <c r="AF4980" s="19"/>
    </row>
    <row r="4981" spans="32:32" x14ac:dyDescent="0.3">
      <c r="AF4981" s="19"/>
    </row>
    <row r="4982" spans="32:32" x14ac:dyDescent="0.3">
      <c r="AF4982" s="19"/>
    </row>
    <row r="4983" spans="32:32" x14ac:dyDescent="0.3">
      <c r="AF4983" s="19"/>
    </row>
    <row r="4984" spans="32:32" x14ac:dyDescent="0.3">
      <c r="AF4984" s="19"/>
    </row>
    <row r="4985" spans="32:32" x14ac:dyDescent="0.3">
      <c r="AF4985" s="19"/>
    </row>
    <row r="5000" spans="32:32" x14ac:dyDescent="0.3">
      <c r="AF5000" s="19"/>
    </row>
    <row r="5001" spans="32:32" x14ac:dyDescent="0.3">
      <c r="AF5001" s="19"/>
    </row>
    <row r="5002" spans="32:32" x14ac:dyDescent="0.3">
      <c r="AF5002" s="19"/>
    </row>
    <row r="5003" spans="32:32" x14ac:dyDescent="0.3">
      <c r="AF5003" s="19"/>
    </row>
    <row r="5004" spans="32:32" x14ac:dyDescent="0.3">
      <c r="AF5004" s="19"/>
    </row>
    <row r="5005" spans="32:32" x14ac:dyDescent="0.3">
      <c r="AF5005" s="19"/>
    </row>
    <row r="5006" spans="32:32" x14ac:dyDescent="0.3">
      <c r="AF5006" s="19"/>
    </row>
    <row r="5007" spans="32:32" x14ac:dyDescent="0.3">
      <c r="AF5007" s="19"/>
    </row>
    <row r="5008" spans="32:32" x14ac:dyDescent="0.3">
      <c r="AF5008" s="19"/>
    </row>
    <row r="5020" spans="32:32" x14ac:dyDescent="0.3">
      <c r="AF5020" s="19"/>
    </row>
    <row r="5021" spans="32:32" x14ac:dyDescent="0.3">
      <c r="AF5021" s="19"/>
    </row>
    <row r="5022" spans="32:32" x14ac:dyDescent="0.3">
      <c r="AF5022" s="19"/>
    </row>
    <row r="5023" spans="32:32" x14ac:dyDescent="0.3">
      <c r="AF5023" s="19"/>
    </row>
    <row r="5024" spans="32:32" x14ac:dyDescent="0.3">
      <c r="AF5024" s="19"/>
    </row>
    <row r="5025" spans="32:32" x14ac:dyDescent="0.3">
      <c r="AF5025" s="19"/>
    </row>
    <row r="5026" spans="32:32" x14ac:dyDescent="0.3">
      <c r="AF5026" s="19"/>
    </row>
    <row r="5027" spans="32:32" x14ac:dyDescent="0.3">
      <c r="AF5027" s="19"/>
    </row>
    <row r="5028" spans="32:32" x14ac:dyDescent="0.3">
      <c r="AF5028" s="19"/>
    </row>
    <row r="5042" spans="32:32" x14ac:dyDescent="0.3">
      <c r="AF5042" s="19"/>
    </row>
    <row r="5043" spans="32:32" x14ac:dyDescent="0.3">
      <c r="AF5043" s="19"/>
    </row>
    <row r="5044" spans="32:32" x14ac:dyDescent="0.3">
      <c r="AF5044" s="19"/>
    </row>
    <row r="5045" spans="32:32" x14ac:dyDescent="0.3">
      <c r="AF5045" s="19"/>
    </row>
    <row r="5046" spans="32:32" x14ac:dyDescent="0.3">
      <c r="AF5046" s="19"/>
    </row>
    <row r="5047" spans="32:32" x14ac:dyDescent="0.3">
      <c r="AF5047" s="19"/>
    </row>
    <row r="5048" spans="32:32" x14ac:dyDescent="0.3">
      <c r="AF5048" s="19"/>
    </row>
    <row r="5061" spans="32:32" x14ac:dyDescent="0.3">
      <c r="AF5061" s="19"/>
    </row>
    <row r="5062" spans="32:32" x14ac:dyDescent="0.3">
      <c r="AF5062" s="19"/>
    </row>
    <row r="5063" spans="32:32" x14ac:dyDescent="0.3">
      <c r="AF5063" s="19"/>
    </row>
    <row r="5064" spans="32:32" x14ac:dyDescent="0.3">
      <c r="AF5064" s="19"/>
    </row>
    <row r="5065" spans="32:32" x14ac:dyDescent="0.3">
      <c r="AF5065" s="19"/>
    </row>
    <row r="5066" spans="32:32" x14ac:dyDescent="0.3">
      <c r="AF5066" s="19"/>
    </row>
    <row r="5067" spans="32:32" x14ac:dyDescent="0.3">
      <c r="AF5067" s="19"/>
    </row>
    <row r="5068" spans="32:32" x14ac:dyDescent="0.3">
      <c r="AF5068" s="19"/>
    </row>
    <row r="5069" spans="32:32" x14ac:dyDescent="0.3">
      <c r="AF5069" s="19"/>
    </row>
    <row r="5070" spans="32:32" x14ac:dyDescent="0.3">
      <c r="AF5070" s="19"/>
    </row>
    <row r="5080" spans="32:32" x14ac:dyDescent="0.3">
      <c r="AF5080" s="19"/>
    </row>
    <row r="5081" spans="32:32" x14ac:dyDescent="0.3">
      <c r="AF5081" s="19"/>
    </row>
    <row r="5082" spans="32:32" x14ac:dyDescent="0.3">
      <c r="AF5082" s="19"/>
    </row>
    <row r="5083" spans="32:32" x14ac:dyDescent="0.3">
      <c r="AF5083" s="19"/>
    </row>
    <row r="5084" spans="32:32" x14ac:dyDescent="0.3">
      <c r="AF5084" s="19"/>
    </row>
    <row r="5085" spans="32:32" x14ac:dyDescent="0.3">
      <c r="AF5085" s="19"/>
    </row>
    <row r="5086" spans="32:32" x14ac:dyDescent="0.3">
      <c r="AF5086" s="19"/>
    </row>
    <row r="5087" spans="32:32" x14ac:dyDescent="0.3">
      <c r="AF5087" s="19"/>
    </row>
    <row r="5088" spans="32:32" x14ac:dyDescent="0.3">
      <c r="AF5088" s="19"/>
    </row>
    <row r="5089" spans="32:32" x14ac:dyDescent="0.3">
      <c r="AF5089" s="19"/>
    </row>
    <row r="5103" spans="32:32" x14ac:dyDescent="0.3">
      <c r="AF5103" s="19"/>
    </row>
    <row r="5104" spans="32:32" x14ac:dyDescent="0.3">
      <c r="AF5104" s="19"/>
    </row>
    <row r="5105" spans="32:32" x14ac:dyDescent="0.3">
      <c r="AF5105" s="19"/>
    </row>
    <row r="5106" spans="32:32" x14ac:dyDescent="0.3">
      <c r="AF5106" s="19"/>
    </row>
    <row r="5107" spans="32:32" x14ac:dyDescent="0.3">
      <c r="AF5107" s="19"/>
    </row>
    <row r="5108" spans="32:32" x14ac:dyDescent="0.3">
      <c r="AF5108" s="19"/>
    </row>
    <row r="5109" spans="32:32" x14ac:dyDescent="0.3">
      <c r="AF5109" s="19"/>
    </row>
    <row r="5124" spans="32:32" x14ac:dyDescent="0.3">
      <c r="AF5124" s="19"/>
    </row>
    <row r="5125" spans="32:32" x14ac:dyDescent="0.3">
      <c r="AF5125" s="19"/>
    </row>
    <row r="5126" spans="32:32" x14ac:dyDescent="0.3">
      <c r="AF5126" s="19"/>
    </row>
    <row r="5127" spans="32:32" x14ac:dyDescent="0.3">
      <c r="AF5127" s="19"/>
    </row>
    <row r="5128" spans="32:32" x14ac:dyDescent="0.3">
      <c r="AF5128" s="19"/>
    </row>
    <row r="5129" spans="32:32" x14ac:dyDescent="0.3">
      <c r="AF5129" s="19"/>
    </row>
    <row r="5130" spans="32:32" x14ac:dyDescent="0.3">
      <c r="AF5130" s="19"/>
    </row>
    <row r="5131" spans="32:32" x14ac:dyDescent="0.3">
      <c r="AF5131" s="19"/>
    </row>
    <row r="5144" spans="32:32" x14ac:dyDescent="0.3">
      <c r="AF5144" s="19"/>
    </row>
    <row r="5145" spans="32:32" x14ac:dyDescent="0.3">
      <c r="AF5145" s="19"/>
    </row>
    <row r="5146" spans="32:32" x14ac:dyDescent="0.3">
      <c r="AF5146" s="19"/>
    </row>
    <row r="5147" spans="32:32" x14ac:dyDescent="0.3">
      <c r="AF5147" s="19"/>
    </row>
    <row r="5148" spans="32:32" x14ac:dyDescent="0.3">
      <c r="AF5148" s="19"/>
    </row>
    <row r="5149" spans="32:32" x14ac:dyDescent="0.3">
      <c r="AF5149" s="19"/>
    </row>
    <row r="5150" spans="32:32" x14ac:dyDescent="0.3">
      <c r="AF5150" s="19"/>
    </row>
    <row r="5151" spans="32:32" x14ac:dyDescent="0.3">
      <c r="AF5151" s="19"/>
    </row>
    <row r="5152" spans="32:32" x14ac:dyDescent="0.3">
      <c r="AF5152" s="19"/>
    </row>
    <row r="5166" spans="32:32" x14ac:dyDescent="0.3">
      <c r="AF5166" s="19"/>
    </row>
    <row r="5167" spans="32:32" x14ac:dyDescent="0.3">
      <c r="AF5167" s="19"/>
    </row>
    <row r="5168" spans="32:32" x14ac:dyDescent="0.3">
      <c r="AF5168" s="19"/>
    </row>
    <row r="5169" spans="32:32" x14ac:dyDescent="0.3">
      <c r="AF5169" s="19"/>
    </row>
    <row r="5170" spans="32:32" x14ac:dyDescent="0.3">
      <c r="AF5170" s="19"/>
    </row>
    <row r="5171" spans="32:32" x14ac:dyDescent="0.3">
      <c r="AF5171" s="19"/>
    </row>
    <row r="5172" spans="32:32" x14ac:dyDescent="0.3">
      <c r="AF5172" s="19"/>
    </row>
    <row r="5187" spans="32:32" x14ac:dyDescent="0.3">
      <c r="AF5187" s="19"/>
    </row>
    <row r="5188" spans="32:32" x14ac:dyDescent="0.3">
      <c r="AF5188" s="19"/>
    </row>
    <row r="5189" spans="32:32" x14ac:dyDescent="0.3">
      <c r="AF5189" s="19"/>
    </row>
    <row r="5190" spans="32:32" x14ac:dyDescent="0.3">
      <c r="AF5190" s="19"/>
    </row>
    <row r="5191" spans="32:32" x14ac:dyDescent="0.3">
      <c r="AF5191" s="19"/>
    </row>
    <row r="5192" spans="32:32" x14ac:dyDescent="0.3">
      <c r="AF5192" s="19"/>
    </row>
    <row r="5193" spans="32:32" x14ac:dyDescent="0.3">
      <c r="AF5193" s="19"/>
    </row>
    <row r="5194" spans="32:32" x14ac:dyDescent="0.3">
      <c r="AF5194" s="19"/>
    </row>
    <row r="5195" spans="32:32" x14ac:dyDescent="0.3">
      <c r="AF5195" s="19"/>
    </row>
    <row r="5209" spans="32:32" x14ac:dyDescent="0.3">
      <c r="AF5209" s="19"/>
    </row>
    <row r="5210" spans="32:32" x14ac:dyDescent="0.3">
      <c r="AF5210" s="19"/>
    </row>
    <row r="5211" spans="32:32" x14ac:dyDescent="0.3">
      <c r="AF5211" s="19"/>
    </row>
    <row r="5212" spans="32:32" x14ac:dyDescent="0.3">
      <c r="AF5212" s="19"/>
    </row>
    <row r="5213" spans="32:32" x14ac:dyDescent="0.3">
      <c r="AF5213" s="19"/>
    </row>
    <row r="5214" spans="32:32" x14ac:dyDescent="0.3">
      <c r="AF5214" s="19"/>
    </row>
    <row r="5215" spans="32:32" x14ac:dyDescent="0.3">
      <c r="AF5215" s="19"/>
    </row>
    <row r="5230" spans="32:32" x14ac:dyDescent="0.3">
      <c r="AF5230" s="19"/>
    </row>
    <row r="5231" spans="32:32" x14ac:dyDescent="0.3">
      <c r="AF5231" s="19"/>
    </row>
    <row r="5232" spans="32:32" x14ac:dyDescent="0.3">
      <c r="AF5232" s="19"/>
    </row>
    <row r="5233" spans="32:32" x14ac:dyDescent="0.3">
      <c r="AF5233" s="19"/>
    </row>
    <row r="5234" spans="32:32" x14ac:dyDescent="0.3">
      <c r="AF5234" s="19"/>
    </row>
    <row r="5235" spans="32:32" x14ac:dyDescent="0.3">
      <c r="AF5235" s="19"/>
    </row>
    <row r="5236" spans="32:32" x14ac:dyDescent="0.3">
      <c r="AF5236" s="19"/>
    </row>
    <row r="5237" spans="32:32" x14ac:dyDescent="0.3">
      <c r="AF5237" s="19"/>
    </row>
    <row r="5251" spans="32:32" x14ac:dyDescent="0.3">
      <c r="AF5251" s="19"/>
    </row>
    <row r="5252" spans="32:32" x14ac:dyDescent="0.3">
      <c r="AF5252" s="19"/>
    </row>
    <row r="5253" spans="32:32" x14ac:dyDescent="0.3">
      <c r="AF5253" s="19"/>
    </row>
    <row r="5254" spans="32:32" x14ac:dyDescent="0.3">
      <c r="AF5254" s="19"/>
    </row>
    <row r="5255" spans="32:32" x14ac:dyDescent="0.3">
      <c r="AF5255" s="19"/>
    </row>
    <row r="5256" spans="32:32" x14ac:dyDescent="0.3">
      <c r="AF5256" s="19"/>
    </row>
    <row r="5257" spans="32:32" x14ac:dyDescent="0.3">
      <c r="AF5257" s="19"/>
    </row>
    <row r="5258" spans="32:32" x14ac:dyDescent="0.3">
      <c r="AF5258" s="19"/>
    </row>
    <row r="5259" spans="32:32" x14ac:dyDescent="0.3">
      <c r="AF5259" s="19"/>
    </row>
    <row r="5260" spans="32:32" x14ac:dyDescent="0.3">
      <c r="AF5260" s="19"/>
    </row>
    <row r="5272" spans="32:32" x14ac:dyDescent="0.3">
      <c r="AF5272" s="19"/>
    </row>
    <row r="5273" spans="32:32" x14ac:dyDescent="0.3">
      <c r="AF5273" s="19"/>
    </row>
    <row r="5274" spans="32:32" x14ac:dyDescent="0.3">
      <c r="AF5274" s="19"/>
    </row>
    <row r="5275" spans="32:32" x14ac:dyDescent="0.3">
      <c r="AF5275" s="19"/>
    </row>
    <row r="5276" spans="32:32" x14ac:dyDescent="0.3">
      <c r="AF5276" s="19"/>
    </row>
    <row r="5277" spans="32:32" x14ac:dyDescent="0.3">
      <c r="AF5277" s="19"/>
    </row>
    <row r="5278" spans="32:32" x14ac:dyDescent="0.3">
      <c r="AF5278" s="19"/>
    </row>
    <row r="5279" spans="32:32" x14ac:dyDescent="0.3">
      <c r="AF5279" s="19"/>
    </row>
    <row r="5294" spans="32:32" x14ac:dyDescent="0.3">
      <c r="AF5294" s="19"/>
    </row>
    <row r="5295" spans="32:32" x14ac:dyDescent="0.3">
      <c r="AF5295" s="19"/>
    </row>
    <row r="5296" spans="32:32" x14ac:dyDescent="0.3">
      <c r="AF5296" s="19"/>
    </row>
    <row r="5297" spans="32:32" x14ac:dyDescent="0.3">
      <c r="AF5297" s="19"/>
    </row>
    <row r="5298" spans="32:32" x14ac:dyDescent="0.3">
      <c r="AF5298" s="19"/>
    </row>
    <row r="5299" spans="32:32" x14ac:dyDescent="0.3">
      <c r="AF5299" s="19"/>
    </row>
    <row r="5300" spans="32:32" x14ac:dyDescent="0.3">
      <c r="AF5300" s="19"/>
    </row>
    <row r="5301" spans="32:32" x14ac:dyDescent="0.3">
      <c r="AF5301" s="19"/>
    </row>
    <row r="5314" spans="32:32" x14ac:dyDescent="0.3">
      <c r="AF5314" s="19"/>
    </row>
    <row r="5315" spans="32:32" x14ac:dyDescent="0.3">
      <c r="AF5315" s="19"/>
    </row>
    <row r="5316" spans="32:32" x14ac:dyDescent="0.3">
      <c r="AF5316" s="19"/>
    </row>
    <row r="5317" spans="32:32" x14ac:dyDescent="0.3">
      <c r="AF5317" s="19"/>
    </row>
    <row r="5318" spans="32:32" x14ac:dyDescent="0.3">
      <c r="AF5318" s="19"/>
    </row>
    <row r="5319" spans="32:32" x14ac:dyDescent="0.3">
      <c r="AF5319" s="19"/>
    </row>
    <row r="5320" spans="32:32" x14ac:dyDescent="0.3">
      <c r="AF5320" s="19"/>
    </row>
    <row r="5321" spans="32:32" x14ac:dyDescent="0.3">
      <c r="AF5321" s="19"/>
    </row>
    <row r="5322" spans="32:32" x14ac:dyDescent="0.3">
      <c r="AF5322" s="19"/>
    </row>
    <row r="5333" spans="32:32" x14ac:dyDescent="0.3">
      <c r="AF5333" s="19"/>
    </row>
    <row r="5334" spans="32:32" x14ac:dyDescent="0.3">
      <c r="AF5334" s="19"/>
    </row>
    <row r="5335" spans="32:32" x14ac:dyDescent="0.3">
      <c r="AF5335" s="19"/>
    </row>
    <row r="5336" spans="32:32" x14ac:dyDescent="0.3">
      <c r="AF5336" s="19"/>
    </row>
    <row r="5337" spans="32:32" x14ac:dyDescent="0.3">
      <c r="AF5337" s="19"/>
    </row>
    <row r="5338" spans="32:32" x14ac:dyDescent="0.3">
      <c r="AF5338" s="19"/>
    </row>
    <row r="5339" spans="32:32" x14ac:dyDescent="0.3">
      <c r="AF5339" s="19"/>
    </row>
    <row r="5340" spans="32:32" x14ac:dyDescent="0.3">
      <c r="AF5340" s="19"/>
    </row>
    <row r="5341" spans="32:32" x14ac:dyDescent="0.3">
      <c r="AF5341" s="19"/>
    </row>
    <row r="5356" spans="32:32" x14ac:dyDescent="0.3">
      <c r="AF5356" s="19"/>
    </row>
    <row r="5357" spans="32:32" x14ac:dyDescent="0.3">
      <c r="AF5357" s="19"/>
    </row>
    <row r="5358" spans="32:32" x14ac:dyDescent="0.3">
      <c r="AF5358" s="19"/>
    </row>
    <row r="5359" spans="32:32" x14ac:dyDescent="0.3">
      <c r="AF5359" s="19"/>
    </row>
    <row r="5360" spans="32:32" x14ac:dyDescent="0.3">
      <c r="AF5360" s="19"/>
    </row>
    <row r="5361" spans="32:32" x14ac:dyDescent="0.3">
      <c r="AF5361" s="19"/>
    </row>
    <row r="5362" spans="32:32" x14ac:dyDescent="0.3">
      <c r="AF5362" s="19"/>
    </row>
    <row r="5363" spans="32:32" x14ac:dyDescent="0.3">
      <c r="AF5363" s="19"/>
    </row>
    <row r="5376" spans="32:32" x14ac:dyDescent="0.3">
      <c r="AF5376" s="19"/>
    </row>
    <row r="5377" spans="32:32" x14ac:dyDescent="0.3">
      <c r="AF5377" s="19"/>
    </row>
    <row r="5378" spans="32:32" x14ac:dyDescent="0.3">
      <c r="AF5378" s="19"/>
    </row>
    <row r="5379" spans="32:32" x14ac:dyDescent="0.3">
      <c r="AF5379" s="19"/>
    </row>
    <row r="5380" spans="32:32" x14ac:dyDescent="0.3">
      <c r="AF5380" s="19"/>
    </row>
    <row r="5381" spans="32:32" x14ac:dyDescent="0.3">
      <c r="AF5381" s="19"/>
    </row>
    <row r="5382" spans="32:32" x14ac:dyDescent="0.3">
      <c r="AF5382" s="19"/>
    </row>
    <row r="5383" spans="32:32" x14ac:dyDescent="0.3">
      <c r="AF5383" s="19"/>
    </row>
    <row r="5384" spans="32:32" x14ac:dyDescent="0.3">
      <c r="AF5384" s="19"/>
    </row>
    <row r="5397" spans="32:32" x14ac:dyDescent="0.3">
      <c r="AF5397" s="19"/>
    </row>
    <row r="5398" spans="32:32" x14ac:dyDescent="0.3">
      <c r="AF5398" s="19"/>
    </row>
    <row r="5399" spans="32:32" x14ac:dyDescent="0.3">
      <c r="AF5399" s="19"/>
    </row>
    <row r="5400" spans="32:32" x14ac:dyDescent="0.3">
      <c r="AF5400" s="19"/>
    </row>
    <row r="5401" spans="32:32" x14ac:dyDescent="0.3">
      <c r="AF5401" s="19"/>
    </row>
    <row r="5402" spans="32:32" x14ac:dyDescent="0.3">
      <c r="AF5402" s="19"/>
    </row>
    <row r="5403" spans="32:32" x14ac:dyDescent="0.3">
      <c r="AF5403" s="19"/>
    </row>
    <row r="5404" spans="32:32" x14ac:dyDescent="0.3">
      <c r="AF5404" s="19"/>
    </row>
    <row r="5419" spans="32:32" x14ac:dyDescent="0.3">
      <c r="AF5419" s="19"/>
    </row>
    <row r="5420" spans="32:32" x14ac:dyDescent="0.3">
      <c r="AF5420" s="19"/>
    </row>
    <row r="5421" spans="32:32" x14ac:dyDescent="0.3">
      <c r="AF5421" s="19"/>
    </row>
    <row r="5422" spans="32:32" x14ac:dyDescent="0.3">
      <c r="AF5422" s="19"/>
    </row>
    <row r="5423" spans="32:32" x14ac:dyDescent="0.3">
      <c r="AF5423" s="19"/>
    </row>
    <row r="5424" spans="32:32" x14ac:dyDescent="0.3">
      <c r="AF5424" s="19"/>
    </row>
    <row r="5425" spans="32:32" x14ac:dyDescent="0.3">
      <c r="AF5425" s="19"/>
    </row>
    <row r="5439" spans="32:32" x14ac:dyDescent="0.3">
      <c r="AF5439" s="19"/>
    </row>
    <row r="5440" spans="32:32" x14ac:dyDescent="0.3">
      <c r="AF5440" s="19"/>
    </row>
    <row r="5441" spans="32:32" x14ac:dyDescent="0.3">
      <c r="AF5441" s="19"/>
    </row>
    <row r="5442" spans="32:32" x14ac:dyDescent="0.3">
      <c r="AF5442" s="19"/>
    </row>
    <row r="5443" spans="32:32" x14ac:dyDescent="0.3">
      <c r="AF5443" s="19"/>
    </row>
    <row r="5444" spans="32:32" x14ac:dyDescent="0.3">
      <c r="AF5444" s="19"/>
    </row>
    <row r="5445" spans="32:32" x14ac:dyDescent="0.3">
      <c r="AF5445" s="19"/>
    </row>
    <row r="5446" spans="32:32" x14ac:dyDescent="0.3">
      <c r="AF5446" s="19"/>
    </row>
    <row r="5447" spans="32:32" x14ac:dyDescent="0.3">
      <c r="AF5447" s="19"/>
    </row>
    <row r="5448" spans="32:32" x14ac:dyDescent="0.3">
      <c r="AF5448" s="19"/>
    </row>
    <row r="5462" spans="32:32" x14ac:dyDescent="0.3">
      <c r="AF5462" s="19"/>
    </row>
    <row r="5463" spans="32:32" x14ac:dyDescent="0.3">
      <c r="AF5463" s="19"/>
    </row>
    <row r="5464" spans="32:32" x14ac:dyDescent="0.3">
      <c r="AF5464" s="19"/>
    </row>
    <row r="5465" spans="32:32" x14ac:dyDescent="0.3">
      <c r="AF5465" s="19"/>
    </row>
    <row r="5466" spans="32:32" x14ac:dyDescent="0.3">
      <c r="AF5466" s="19"/>
    </row>
    <row r="5467" spans="32:32" x14ac:dyDescent="0.3">
      <c r="AF5467" s="19"/>
    </row>
    <row r="5468" spans="32:32" x14ac:dyDescent="0.3">
      <c r="AF5468" s="19"/>
    </row>
    <row r="5483" spans="32:32" x14ac:dyDescent="0.3">
      <c r="AF5483" s="19"/>
    </row>
    <row r="5484" spans="32:32" x14ac:dyDescent="0.3">
      <c r="AF5484" s="19"/>
    </row>
    <row r="5485" spans="32:32" x14ac:dyDescent="0.3">
      <c r="AF5485" s="19"/>
    </row>
    <row r="5486" spans="32:32" x14ac:dyDescent="0.3">
      <c r="AF5486" s="19"/>
    </row>
    <row r="5487" spans="32:32" x14ac:dyDescent="0.3">
      <c r="AF5487" s="19"/>
    </row>
    <row r="5488" spans="32:32" x14ac:dyDescent="0.3">
      <c r="AF5488" s="19"/>
    </row>
    <row r="5489" spans="32:32" x14ac:dyDescent="0.3">
      <c r="AF5489" s="19"/>
    </row>
    <row r="5490" spans="32:32" x14ac:dyDescent="0.3">
      <c r="AF5490" s="19"/>
    </row>
    <row r="5504" spans="32:32" x14ac:dyDescent="0.3">
      <c r="AF5504" s="19"/>
    </row>
    <row r="5505" spans="32:32" x14ac:dyDescent="0.3">
      <c r="AF5505" s="19"/>
    </row>
    <row r="5506" spans="32:32" x14ac:dyDescent="0.3">
      <c r="AF5506" s="19"/>
    </row>
    <row r="5507" spans="32:32" x14ac:dyDescent="0.3">
      <c r="AF5507" s="19"/>
    </row>
    <row r="5508" spans="32:32" x14ac:dyDescent="0.3">
      <c r="AF5508" s="19"/>
    </row>
    <row r="5509" spans="32:32" x14ac:dyDescent="0.3">
      <c r="AF5509" s="19"/>
    </row>
    <row r="5510" spans="32:32" x14ac:dyDescent="0.3">
      <c r="AF5510" s="19"/>
    </row>
    <row r="5511" spans="32:32" x14ac:dyDescent="0.3">
      <c r="AF5511" s="19"/>
    </row>
    <row r="5512" spans="32:32" x14ac:dyDescent="0.3">
      <c r="AF5512" s="19"/>
    </row>
    <row r="5525" spans="32:32" x14ac:dyDescent="0.3">
      <c r="AF5525" s="19"/>
    </row>
    <row r="5526" spans="32:32" x14ac:dyDescent="0.3">
      <c r="AF5526" s="19"/>
    </row>
    <row r="5527" spans="32:32" x14ac:dyDescent="0.3">
      <c r="AF5527" s="19"/>
    </row>
    <row r="5528" spans="32:32" x14ac:dyDescent="0.3">
      <c r="AF5528" s="19"/>
    </row>
    <row r="5529" spans="32:32" x14ac:dyDescent="0.3">
      <c r="AF5529" s="19"/>
    </row>
    <row r="5530" spans="32:32" x14ac:dyDescent="0.3">
      <c r="AF5530" s="19"/>
    </row>
    <row r="5531" spans="32:32" x14ac:dyDescent="0.3">
      <c r="AF5531" s="19"/>
    </row>
    <row r="5532" spans="32:32" x14ac:dyDescent="0.3">
      <c r="AF5532" s="19"/>
    </row>
    <row r="5546" spans="32:32" x14ac:dyDescent="0.3">
      <c r="AF5546" s="19"/>
    </row>
    <row r="5547" spans="32:32" x14ac:dyDescent="0.3">
      <c r="AF5547" s="19"/>
    </row>
    <row r="5548" spans="32:32" x14ac:dyDescent="0.3">
      <c r="AF5548" s="19"/>
    </row>
    <row r="5549" spans="32:32" x14ac:dyDescent="0.3">
      <c r="AF5549" s="19"/>
    </row>
    <row r="5550" spans="32:32" x14ac:dyDescent="0.3">
      <c r="AF5550" s="19"/>
    </row>
    <row r="5551" spans="32:32" x14ac:dyDescent="0.3">
      <c r="AF5551" s="19"/>
    </row>
    <row r="5552" spans="32:32" x14ac:dyDescent="0.3">
      <c r="AF5552" s="19"/>
    </row>
    <row r="5553" spans="32:32" x14ac:dyDescent="0.3">
      <c r="AF5553" s="19"/>
    </row>
    <row r="5566" spans="32:32" x14ac:dyDescent="0.3">
      <c r="AF5566" s="19"/>
    </row>
    <row r="5567" spans="32:32" x14ac:dyDescent="0.3">
      <c r="AF5567" s="19"/>
    </row>
    <row r="5568" spans="32:32" x14ac:dyDescent="0.3">
      <c r="AF5568" s="19"/>
    </row>
    <row r="5569" spans="32:32" x14ac:dyDescent="0.3">
      <c r="AF5569" s="19"/>
    </row>
    <row r="5570" spans="32:32" x14ac:dyDescent="0.3">
      <c r="AF5570" s="19"/>
    </row>
    <row r="5571" spans="32:32" x14ac:dyDescent="0.3">
      <c r="AF5571" s="19"/>
    </row>
    <row r="5572" spans="32:32" x14ac:dyDescent="0.3">
      <c r="AF5572" s="19"/>
    </row>
    <row r="5573" spans="32:32" x14ac:dyDescent="0.3">
      <c r="AF5573" s="19"/>
    </row>
    <row r="5586" spans="32:32" x14ac:dyDescent="0.3">
      <c r="AF5586" s="19"/>
    </row>
    <row r="5587" spans="32:32" x14ac:dyDescent="0.3">
      <c r="AF5587" s="19"/>
    </row>
    <row r="5588" spans="32:32" x14ac:dyDescent="0.3">
      <c r="AF5588" s="19"/>
    </row>
    <row r="5589" spans="32:32" x14ac:dyDescent="0.3">
      <c r="AF5589" s="19"/>
    </row>
    <row r="5590" spans="32:32" x14ac:dyDescent="0.3">
      <c r="AF5590" s="19"/>
    </row>
    <row r="5591" spans="32:32" x14ac:dyDescent="0.3">
      <c r="AF5591" s="19"/>
    </row>
    <row r="5592" spans="32:32" x14ac:dyDescent="0.3">
      <c r="AF5592" s="19"/>
    </row>
    <row r="5593" spans="32:32" x14ac:dyDescent="0.3">
      <c r="AF5593" s="19"/>
    </row>
    <row r="5608" spans="32:32" x14ac:dyDescent="0.3">
      <c r="AF5608" s="19"/>
    </row>
    <row r="5609" spans="32:32" x14ac:dyDescent="0.3">
      <c r="AF5609" s="19"/>
    </row>
    <row r="5610" spans="32:32" x14ac:dyDescent="0.3">
      <c r="AF5610" s="19"/>
    </row>
    <row r="5611" spans="32:32" x14ac:dyDescent="0.3">
      <c r="AF5611" s="19"/>
    </row>
    <row r="5612" spans="32:32" x14ac:dyDescent="0.3">
      <c r="AF5612" s="19"/>
    </row>
    <row r="5613" spans="32:32" x14ac:dyDescent="0.3">
      <c r="AF5613" s="19"/>
    </row>
    <row r="5614" spans="32:32" x14ac:dyDescent="0.3">
      <c r="AF5614" s="19"/>
    </row>
    <row r="5615" spans="32:32" x14ac:dyDescent="0.3">
      <c r="AF5615" s="19"/>
    </row>
    <row r="5628" spans="32:32" x14ac:dyDescent="0.3">
      <c r="AF5628" s="19"/>
    </row>
    <row r="5629" spans="32:32" x14ac:dyDescent="0.3">
      <c r="AF5629" s="19"/>
    </row>
    <row r="5630" spans="32:32" x14ac:dyDescent="0.3">
      <c r="AF5630" s="19"/>
    </row>
    <row r="5631" spans="32:32" x14ac:dyDescent="0.3">
      <c r="AF5631" s="19"/>
    </row>
    <row r="5632" spans="32:32" x14ac:dyDescent="0.3">
      <c r="AF5632" s="19"/>
    </row>
    <row r="5633" spans="32:32" x14ac:dyDescent="0.3">
      <c r="AF5633" s="19"/>
    </row>
    <row r="5634" spans="32:32" x14ac:dyDescent="0.3">
      <c r="AF5634" s="19"/>
    </row>
    <row r="5635" spans="32:32" x14ac:dyDescent="0.3">
      <c r="AF5635" s="19"/>
    </row>
    <row r="5636" spans="32:32" x14ac:dyDescent="0.3">
      <c r="AF5636" s="19"/>
    </row>
    <row r="5650" spans="32:32" x14ac:dyDescent="0.3">
      <c r="AF5650" s="19"/>
    </row>
    <row r="5651" spans="32:32" x14ac:dyDescent="0.3">
      <c r="AF5651" s="19"/>
    </row>
    <row r="5652" spans="32:32" x14ac:dyDescent="0.3">
      <c r="AF5652" s="19"/>
    </row>
    <row r="5653" spans="32:32" x14ac:dyDescent="0.3">
      <c r="AF5653" s="19"/>
    </row>
    <row r="5654" spans="32:32" x14ac:dyDescent="0.3">
      <c r="AF5654" s="19"/>
    </row>
    <row r="5655" spans="32:32" x14ac:dyDescent="0.3">
      <c r="AF5655" s="19"/>
    </row>
    <row r="5656" spans="32:32" x14ac:dyDescent="0.3">
      <c r="AF5656" s="19"/>
    </row>
    <row r="5657" spans="32:32" x14ac:dyDescent="0.3">
      <c r="AF5657" s="19"/>
    </row>
    <row r="5671" spans="32:32" x14ac:dyDescent="0.3">
      <c r="AF5671" s="19"/>
    </row>
    <row r="5672" spans="32:32" x14ac:dyDescent="0.3">
      <c r="AF5672" s="19"/>
    </row>
    <row r="5673" spans="32:32" x14ac:dyDescent="0.3">
      <c r="AF5673" s="19"/>
    </row>
    <row r="5674" spans="32:32" x14ac:dyDescent="0.3">
      <c r="AF5674" s="19"/>
    </row>
    <row r="5675" spans="32:32" x14ac:dyDescent="0.3">
      <c r="AF5675" s="19"/>
    </row>
    <row r="5676" spans="32:32" x14ac:dyDescent="0.3">
      <c r="AF5676" s="19"/>
    </row>
    <row r="5677" spans="32:32" x14ac:dyDescent="0.3">
      <c r="AF5677" s="19"/>
    </row>
    <row r="5678" spans="32:32" x14ac:dyDescent="0.3">
      <c r="AF5678" s="19"/>
    </row>
    <row r="5692" spans="32:32" x14ac:dyDescent="0.3">
      <c r="AF5692" s="19"/>
    </row>
    <row r="5693" spans="32:32" x14ac:dyDescent="0.3">
      <c r="AF5693" s="19"/>
    </row>
    <row r="5694" spans="32:32" x14ac:dyDescent="0.3">
      <c r="AF5694" s="19"/>
    </row>
    <row r="5695" spans="32:32" x14ac:dyDescent="0.3">
      <c r="AF5695" s="19"/>
    </row>
    <row r="5696" spans="32:32" x14ac:dyDescent="0.3">
      <c r="AF5696" s="19"/>
    </row>
    <row r="5697" spans="32:32" x14ac:dyDescent="0.3">
      <c r="AF5697" s="19"/>
    </row>
    <row r="5698" spans="32:32" x14ac:dyDescent="0.3">
      <c r="AF5698" s="19"/>
    </row>
    <row r="5699" spans="32:32" x14ac:dyDescent="0.3">
      <c r="AF5699" s="19"/>
    </row>
    <row r="5715" spans="32:32" x14ac:dyDescent="0.3">
      <c r="AF5715" s="19"/>
    </row>
    <row r="5716" spans="32:32" x14ac:dyDescent="0.3">
      <c r="AF5716" s="19"/>
    </row>
    <row r="5717" spans="32:32" x14ac:dyDescent="0.3">
      <c r="AF5717" s="19"/>
    </row>
    <row r="5718" spans="32:32" x14ac:dyDescent="0.3">
      <c r="AF5718" s="19"/>
    </row>
    <row r="5719" spans="32:32" x14ac:dyDescent="0.3">
      <c r="AF5719" s="19"/>
    </row>
    <row r="5720" spans="32:32" x14ac:dyDescent="0.3">
      <c r="AF5720" s="19"/>
    </row>
    <row r="5721" spans="32:32" x14ac:dyDescent="0.3">
      <c r="AF5721" s="19"/>
    </row>
    <row r="5734" spans="32:32" x14ac:dyDescent="0.3">
      <c r="AF5734" s="19"/>
    </row>
    <row r="5735" spans="32:32" x14ac:dyDescent="0.3">
      <c r="AF5735" s="19"/>
    </row>
    <row r="5736" spans="32:32" x14ac:dyDescent="0.3">
      <c r="AF5736" s="19"/>
    </row>
    <row r="5737" spans="32:32" x14ac:dyDescent="0.3">
      <c r="AF5737" s="19"/>
    </row>
    <row r="5738" spans="32:32" x14ac:dyDescent="0.3">
      <c r="AF5738" s="19"/>
    </row>
    <row r="5739" spans="32:32" x14ac:dyDescent="0.3">
      <c r="AF5739" s="19"/>
    </row>
    <row r="5740" spans="32:32" x14ac:dyDescent="0.3">
      <c r="AF5740" s="19"/>
    </row>
    <row r="5741" spans="32:32" x14ac:dyDescent="0.3">
      <c r="AF5741" s="19"/>
    </row>
    <row r="5742" spans="32:32" x14ac:dyDescent="0.3">
      <c r="AF5742" s="19"/>
    </row>
    <row r="5743" spans="32:32" x14ac:dyDescent="0.3">
      <c r="AF5743" s="19"/>
    </row>
    <row r="5755" spans="32:32" x14ac:dyDescent="0.3">
      <c r="AF5755" s="19"/>
    </row>
    <row r="5756" spans="32:32" x14ac:dyDescent="0.3">
      <c r="AF5756" s="19"/>
    </row>
    <row r="5757" spans="32:32" x14ac:dyDescent="0.3">
      <c r="AF5757" s="19"/>
    </row>
    <row r="5758" spans="32:32" x14ac:dyDescent="0.3">
      <c r="AF5758" s="19"/>
    </row>
    <row r="5759" spans="32:32" x14ac:dyDescent="0.3">
      <c r="AF5759" s="19"/>
    </row>
    <row r="5760" spans="32:32" x14ac:dyDescent="0.3">
      <c r="AF5760" s="19"/>
    </row>
    <row r="5761" spans="32:32" x14ac:dyDescent="0.3">
      <c r="AF5761" s="19"/>
    </row>
    <row r="5762" spans="32:32" x14ac:dyDescent="0.3">
      <c r="AF5762" s="19"/>
    </row>
    <row r="5776" spans="32:32" x14ac:dyDescent="0.3">
      <c r="AF5776" s="19"/>
    </row>
    <row r="5777" spans="32:32" x14ac:dyDescent="0.3">
      <c r="AF5777" s="19"/>
    </row>
    <row r="5778" spans="32:32" x14ac:dyDescent="0.3">
      <c r="AF5778" s="19"/>
    </row>
    <row r="5779" spans="32:32" x14ac:dyDescent="0.3">
      <c r="AF5779" s="19"/>
    </row>
    <row r="5780" spans="32:32" x14ac:dyDescent="0.3">
      <c r="AF5780" s="19"/>
    </row>
    <row r="5781" spans="32:32" x14ac:dyDescent="0.3">
      <c r="AF5781" s="19"/>
    </row>
    <row r="5782" spans="32:32" x14ac:dyDescent="0.3">
      <c r="AF5782" s="19"/>
    </row>
    <row r="5783" spans="32:32" x14ac:dyDescent="0.3">
      <c r="AF5783" s="19"/>
    </row>
    <row r="5796" spans="32:32" x14ac:dyDescent="0.3">
      <c r="AF5796" s="19"/>
    </row>
    <row r="5797" spans="32:32" x14ac:dyDescent="0.3">
      <c r="AF5797" s="19"/>
    </row>
    <row r="5798" spans="32:32" x14ac:dyDescent="0.3">
      <c r="AF5798" s="19"/>
    </row>
    <row r="5799" spans="32:32" x14ac:dyDescent="0.3">
      <c r="AF5799" s="19"/>
    </row>
    <row r="5800" spans="32:32" x14ac:dyDescent="0.3">
      <c r="AF5800" s="19"/>
    </row>
    <row r="5801" spans="32:32" x14ac:dyDescent="0.3">
      <c r="AF5801" s="19"/>
    </row>
    <row r="5802" spans="32:32" x14ac:dyDescent="0.3">
      <c r="AF5802" s="19"/>
    </row>
    <row r="5803" spans="32:32" x14ac:dyDescent="0.3">
      <c r="AF5803" s="19"/>
    </row>
    <row r="5817" spans="32:32" x14ac:dyDescent="0.3">
      <c r="AF5817" s="19"/>
    </row>
    <row r="5818" spans="32:32" x14ac:dyDescent="0.3">
      <c r="AF5818" s="19"/>
    </row>
    <row r="5819" spans="32:32" x14ac:dyDescent="0.3">
      <c r="AF5819" s="19"/>
    </row>
    <row r="5820" spans="32:32" x14ac:dyDescent="0.3">
      <c r="AF5820" s="19"/>
    </row>
    <row r="5821" spans="32:32" x14ac:dyDescent="0.3">
      <c r="AF5821" s="19"/>
    </row>
    <row r="5822" spans="32:32" x14ac:dyDescent="0.3">
      <c r="AF5822" s="19"/>
    </row>
    <row r="5823" spans="32:32" x14ac:dyDescent="0.3">
      <c r="AF5823" s="19"/>
    </row>
    <row r="5824" spans="32:32" x14ac:dyDescent="0.3">
      <c r="AF5824" s="19"/>
    </row>
    <row r="5836" spans="32:32" x14ac:dyDescent="0.3">
      <c r="AF5836" s="19"/>
    </row>
    <row r="5837" spans="32:32" x14ac:dyDescent="0.3">
      <c r="AF5837" s="19"/>
    </row>
    <row r="5838" spans="32:32" x14ac:dyDescent="0.3">
      <c r="AF5838" s="19"/>
    </row>
    <row r="5839" spans="32:32" x14ac:dyDescent="0.3">
      <c r="AF5839" s="19"/>
    </row>
    <row r="5840" spans="32:32" x14ac:dyDescent="0.3">
      <c r="AF5840" s="19"/>
    </row>
    <row r="5841" spans="32:32" x14ac:dyDescent="0.3">
      <c r="AF5841" s="19"/>
    </row>
    <row r="5842" spans="32:32" x14ac:dyDescent="0.3">
      <c r="AF5842" s="19"/>
    </row>
    <row r="5843" spans="32:32" x14ac:dyDescent="0.3">
      <c r="AF5843" s="19"/>
    </row>
    <row r="5856" spans="32:32" x14ac:dyDescent="0.3">
      <c r="AF5856" s="19"/>
    </row>
    <row r="5857" spans="32:32" x14ac:dyDescent="0.3">
      <c r="AF5857" s="19"/>
    </row>
    <row r="5858" spans="32:32" x14ac:dyDescent="0.3">
      <c r="AF5858" s="19"/>
    </row>
    <row r="5859" spans="32:32" x14ac:dyDescent="0.3">
      <c r="AF5859" s="19"/>
    </row>
    <row r="5860" spans="32:32" x14ac:dyDescent="0.3">
      <c r="AF5860" s="19"/>
    </row>
    <row r="5861" spans="32:32" x14ac:dyDescent="0.3">
      <c r="AF5861" s="19"/>
    </row>
    <row r="5862" spans="32:32" x14ac:dyDescent="0.3">
      <c r="AF5862" s="19"/>
    </row>
    <row r="5863" spans="32:32" x14ac:dyDescent="0.3">
      <c r="AF5863" s="19"/>
    </row>
    <row r="5864" spans="32:32" x14ac:dyDescent="0.3">
      <c r="AF5864" s="19"/>
    </row>
    <row r="5865" spans="32:32" x14ac:dyDescent="0.3">
      <c r="AF5865" s="19"/>
    </row>
    <row r="5878" spans="32:32" x14ac:dyDescent="0.3">
      <c r="AF5878" s="19"/>
    </row>
    <row r="5879" spans="32:32" x14ac:dyDescent="0.3">
      <c r="AF5879" s="19"/>
    </row>
    <row r="5880" spans="32:32" x14ac:dyDescent="0.3">
      <c r="AF5880" s="19"/>
    </row>
    <row r="5881" spans="32:32" x14ac:dyDescent="0.3">
      <c r="AF5881" s="19"/>
    </row>
    <row r="5882" spans="32:32" x14ac:dyDescent="0.3">
      <c r="AF5882" s="19"/>
    </row>
    <row r="5883" spans="32:32" x14ac:dyDescent="0.3">
      <c r="AF5883" s="19"/>
    </row>
    <row r="5884" spans="32:32" x14ac:dyDescent="0.3">
      <c r="AF5884" s="19"/>
    </row>
    <row r="5885" spans="32:32" x14ac:dyDescent="0.3">
      <c r="AF5885" s="19"/>
    </row>
    <row r="5900" spans="32:32" x14ac:dyDescent="0.3">
      <c r="AF5900" s="19"/>
    </row>
    <row r="5901" spans="32:32" x14ac:dyDescent="0.3">
      <c r="AF5901" s="19"/>
    </row>
    <row r="5902" spans="32:32" x14ac:dyDescent="0.3">
      <c r="AF5902" s="19"/>
    </row>
    <row r="5903" spans="32:32" x14ac:dyDescent="0.3">
      <c r="AF5903" s="19"/>
    </row>
    <row r="5904" spans="32:32" x14ac:dyDescent="0.3">
      <c r="AF5904" s="19"/>
    </row>
    <row r="5905" spans="32:32" x14ac:dyDescent="0.3">
      <c r="AF5905" s="19"/>
    </row>
    <row r="5906" spans="32:32" x14ac:dyDescent="0.3">
      <c r="AF5906" s="19"/>
    </row>
    <row r="5907" spans="32:32" x14ac:dyDescent="0.3">
      <c r="AF5907" s="19"/>
    </row>
    <row r="5920" spans="32:32" x14ac:dyDescent="0.3">
      <c r="AF5920" s="19"/>
    </row>
    <row r="5921" spans="32:32" x14ac:dyDescent="0.3">
      <c r="AF5921" s="19"/>
    </row>
    <row r="5922" spans="32:32" x14ac:dyDescent="0.3">
      <c r="AF5922" s="19"/>
    </row>
    <row r="5923" spans="32:32" x14ac:dyDescent="0.3">
      <c r="AF5923" s="19"/>
    </row>
    <row r="5924" spans="32:32" x14ac:dyDescent="0.3">
      <c r="AF5924" s="19"/>
    </row>
    <row r="5925" spans="32:32" x14ac:dyDescent="0.3">
      <c r="AF5925" s="19"/>
    </row>
    <row r="5926" spans="32:32" x14ac:dyDescent="0.3">
      <c r="AF5926" s="19"/>
    </row>
    <row r="5927" spans="32:32" x14ac:dyDescent="0.3">
      <c r="AF5927" s="19"/>
    </row>
    <row r="5928" spans="32:32" x14ac:dyDescent="0.3">
      <c r="AF5928" s="19"/>
    </row>
    <row r="5942" spans="32:32" x14ac:dyDescent="0.3">
      <c r="AF5942" s="19"/>
    </row>
    <row r="5943" spans="32:32" x14ac:dyDescent="0.3">
      <c r="AF5943" s="19"/>
    </row>
    <row r="5944" spans="32:32" x14ac:dyDescent="0.3">
      <c r="AF5944" s="19"/>
    </row>
    <row r="5945" spans="32:32" x14ac:dyDescent="0.3">
      <c r="AF5945" s="19"/>
    </row>
    <row r="5946" spans="32:32" x14ac:dyDescent="0.3">
      <c r="AF5946" s="19"/>
    </row>
    <row r="5947" spans="32:32" x14ac:dyDescent="0.3">
      <c r="AF5947" s="19"/>
    </row>
    <row r="5948" spans="32:32" x14ac:dyDescent="0.3">
      <c r="AF5948" s="19"/>
    </row>
    <row r="5949" spans="32:32" x14ac:dyDescent="0.3">
      <c r="AF5949" s="19"/>
    </row>
    <row r="5964" spans="32:32" x14ac:dyDescent="0.3">
      <c r="AF5964" s="19"/>
    </row>
    <row r="5965" spans="32:32" x14ac:dyDescent="0.3">
      <c r="AF5965" s="19"/>
    </row>
    <row r="5966" spans="32:32" x14ac:dyDescent="0.3">
      <c r="AF5966" s="19"/>
    </row>
    <row r="5967" spans="32:32" x14ac:dyDescent="0.3">
      <c r="AF5967" s="19"/>
    </row>
    <row r="5968" spans="32:32" x14ac:dyDescent="0.3">
      <c r="AF5968" s="19"/>
    </row>
    <row r="5969" spans="32:32" x14ac:dyDescent="0.3">
      <c r="AF5969" s="19"/>
    </row>
    <row r="5970" spans="32:32" x14ac:dyDescent="0.3">
      <c r="AF5970" s="19"/>
    </row>
    <row r="5971" spans="32:32" x14ac:dyDescent="0.3">
      <c r="AF5971" s="19"/>
    </row>
    <row r="5984" spans="32:32" x14ac:dyDescent="0.3">
      <c r="AF5984" s="19"/>
    </row>
    <row r="5985" spans="32:32" x14ac:dyDescent="0.3">
      <c r="AF5985" s="19"/>
    </row>
    <row r="5986" spans="32:32" x14ac:dyDescent="0.3">
      <c r="AF5986" s="19"/>
    </row>
    <row r="5987" spans="32:32" x14ac:dyDescent="0.3">
      <c r="AF5987" s="19"/>
    </row>
    <row r="5988" spans="32:32" x14ac:dyDescent="0.3">
      <c r="AF5988" s="19"/>
    </row>
    <row r="5989" spans="32:32" x14ac:dyDescent="0.3">
      <c r="AF5989" s="19"/>
    </row>
    <row r="5990" spans="32:32" x14ac:dyDescent="0.3">
      <c r="AF5990" s="19"/>
    </row>
    <row r="5991" spans="32:32" x14ac:dyDescent="0.3">
      <c r="AF5991" s="19"/>
    </row>
    <row r="5992" spans="32:32" x14ac:dyDescent="0.3">
      <c r="AF5992" s="19"/>
    </row>
    <row r="6007" spans="32:32" x14ac:dyDescent="0.3">
      <c r="AF6007" s="19"/>
    </row>
    <row r="6008" spans="32:32" x14ac:dyDescent="0.3">
      <c r="AF6008" s="19"/>
    </row>
    <row r="6009" spans="32:32" x14ac:dyDescent="0.3">
      <c r="AF6009" s="19"/>
    </row>
    <row r="6010" spans="32:32" x14ac:dyDescent="0.3">
      <c r="AF6010" s="19"/>
    </row>
    <row r="6011" spans="32:32" x14ac:dyDescent="0.3">
      <c r="AF6011" s="19"/>
    </row>
    <row r="6012" spans="32:32" x14ac:dyDescent="0.3">
      <c r="AF6012" s="19"/>
    </row>
    <row r="6013" spans="32:32" x14ac:dyDescent="0.3">
      <c r="AF6013" s="19"/>
    </row>
    <row r="6014" spans="32:32" x14ac:dyDescent="0.3">
      <c r="AF6014" s="19"/>
    </row>
    <row r="6027" spans="32:32" x14ac:dyDescent="0.3">
      <c r="AF6027" s="19"/>
    </row>
    <row r="6028" spans="32:32" x14ac:dyDescent="0.3">
      <c r="AF6028" s="19"/>
    </row>
    <row r="6029" spans="32:32" x14ac:dyDescent="0.3">
      <c r="AF6029" s="19"/>
    </row>
    <row r="6030" spans="32:32" x14ac:dyDescent="0.3">
      <c r="AF6030" s="19"/>
    </row>
    <row r="6031" spans="32:32" x14ac:dyDescent="0.3">
      <c r="AF6031" s="19"/>
    </row>
    <row r="6032" spans="32:32" x14ac:dyDescent="0.3">
      <c r="AF6032" s="19"/>
    </row>
    <row r="6033" spans="32:32" x14ac:dyDescent="0.3">
      <c r="AF6033" s="19"/>
    </row>
    <row r="6034" spans="32:32" x14ac:dyDescent="0.3">
      <c r="AF6034" s="19"/>
    </row>
    <row r="6035" spans="32:32" x14ac:dyDescent="0.3">
      <c r="AF6035" s="19"/>
    </row>
    <row r="6048" spans="32:32" x14ac:dyDescent="0.3">
      <c r="AF6048" s="19"/>
    </row>
    <row r="6049" spans="32:32" x14ac:dyDescent="0.3">
      <c r="AF6049" s="19"/>
    </row>
    <row r="6050" spans="32:32" x14ac:dyDescent="0.3">
      <c r="AF6050" s="19"/>
    </row>
    <row r="6051" spans="32:32" x14ac:dyDescent="0.3">
      <c r="AF6051" s="19"/>
    </row>
    <row r="6052" spans="32:32" x14ac:dyDescent="0.3">
      <c r="AF6052" s="19"/>
    </row>
    <row r="6053" spans="32:32" x14ac:dyDescent="0.3">
      <c r="AF6053" s="19"/>
    </row>
    <row r="6054" spans="32:32" x14ac:dyDescent="0.3">
      <c r="AF6054" s="19"/>
    </row>
    <row r="6069" spans="32:32" x14ac:dyDescent="0.3">
      <c r="AF6069" s="19"/>
    </row>
    <row r="6070" spans="32:32" x14ac:dyDescent="0.3">
      <c r="AF6070" s="19"/>
    </row>
    <row r="6071" spans="32:32" x14ac:dyDescent="0.3">
      <c r="AF6071" s="19"/>
    </row>
    <row r="6072" spans="32:32" x14ac:dyDescent="0.3">
      <c r="AF6072" s="19"/>
    </row>
    <row r="6073" spans="32:32" x14ac:dyDescent="0.3">
      <c r="AF6073" s="19"/>
    </row>
    <row r="6074" spans="32:32" x14ac:dyDescent="0.3">
      <c r="AF6074" s="19"/>
    </row>
    <row r="6075" spans="32:32" x14ac:dyDescent="0.3">
      <c r="AF6075" s="19"/>
    </row>
    <row r="6076" spans="32:32" x14ac:dyDescent="0.3">
      <c r="AF6076" s="19"/>
    </row>
    <row r="6088" spans="32:32" x14ac:dyDescent="0.3">
      <c r="AF6088" s="19"/>
    </row>
    <row r="6089" spans="32:32" x14ac:dyDescent="0.3">
      <c r="AF6089" s="19"/>
    </row>
    <row r="6090" spans="32:32" x14ac:dyDescent="0.3">
      <c r="AF6090" s="19"/>
    </row>
    <row r="6091" spans="32:32" x14ac:dyDescent="0.3">
      <c r="AF6091" s="19"/>
    </row>
    <row r="6092" spans="32:32" x14ac:dyDescent="0.3">
      <c r="AF6092" s="19"/>
    </row>
    <row r="6093" spans="32:32" x14ac:dyDescent="0.3">
      <c r="AF6093" s="19"/>
    </row>
    <row r="6094" spans="32:32" x14ac:dyDescent="0.3">
      <c r="AF6094" s="19"/>
    </row>
    <row r="6095" spans="32:32" x14ac:dyDescent="0.3">
      <c r="AF6095" s="19"/>
    </row>
    <row r="6109" spans="32:32" x14ac:dyDescent="0.3">
      <c r="AF6109" s="19"/>
    </row>
    <row r="6110" spans="32:32" x14ac:dyDescent="0.3">
      <c r="AF6110" s="19"/>
    </row>
    <row r="6111" spans="32:32" x14ac:dyDescent="0.3">
      <c r="AF6111" s="19"/>
    </row>
    <row r="6112" spans="32:32" x14ac:dyDescent="0.3">
      <c r="AF6112" s="19"/>
    </row>
    <row r="6113" spans="32:32" x14ac:dyDescent="0.3">
      <c r="AF6113" s="19"/>
    </row>
    <row r="6114" spans="32:32" x14ac:dyDescent="0.3">
      <c r="AF6114" s="19"/>
    </row>
    <row r="6115" spans="32:32" x14ac:dyDescent="0.3">
      <c r="AF6115" s="19"/>
    </row>
    <row r="6116" spans="32:32" x14ac:dyDescent="0.3">
      <c r="AF6116" s="19"/>
    </row>
    <row r="6117" spans="32:32" x14ac:dyDescent="0.3">
      <c r="AF6117" s="19"/>
    </row>
    <row r="6130" spans="32:32" x14ac:dyDescent="0.3">
      <c r="AF6130" s="19"/>
    </row>
    <row r="6131" spans="32:32" x14ac:dyDescent="0.3">
      <c r="AF6131" s="19"/>
    </row>
    <row r="6132" spans="32:32" x14ac:dyDescent="0.3">
      <c r="AF6132" s="19"/>
    </row>
    <row r="6133" spans="32:32" x14ac:dyDescent="0.3">
      <c r="AF6133" s="19"/>
    </row>
    <row r="6134" spans="32:32" x14ac:dyDescent="0.3">
      <c r="AF6134" s="19"/>
    </row>
    <row r="6135" spans="32:32" x14ac:dyDescent="0.3">
      <c r="AF6135" s="19"/>
    </row>
    <row r="6136" spans="32:32" x14ac:dyDescent="0.3">
      <c r="AF6136" s="19"/>
    </row>
    <row r="6137" spans="32:32" x14ac:dyDescent="0.3">
      <c r="AF6137" s="19"/>
    </row>
    <row r="6151" spans="32:32" x14ac:dyDescent="0.3">
      <c r="AF6151" s="19"/>
    </row>
    <row r="6152" spans="32:32" x14ac:dyDescent="0.3">
      <c r="AF6152" s="19"/>
    </row>
    <row r="6153" spans="32:32" x14ac:dyDescent="0.3">
      <c r="AF6153" s="19"/>
    </row>
    <row r="6154" spans="32:32" x14ac:dyDescent="0.3">
      <c r="AF6154" s="19"/>
    </row>
    <row r="6155" spans="32:32" x14ac:dyDescent="0.3">
      <c r="AF6155" s="19"/>
    </row>
    <row r="6156" spans="32:32" x14ac:dyDescent="0.3">
      <c r="AF6156" s="19"/>
    </row>
    <row r="6157" spans="32:32" x14ac:dyDescent="0.3">
      <c r="AF6157" s="19"/>
    </row>
    <row r="6158" spans="32:32" x14ac:dyDescent="0.3">
      <c r="AF6158" s="19"/>
    </row>
    <row r="6159" spans="32:32" x14ac:dyDescent="0.3">
      <c r="AF6159" s="19"/>
    </row>
    <row r="6172" spans="32:32" x14ac:dyDescent="0.3">
      <c r="AF6172" s="19"/>
    </row>
    <row r="6173" spans="32:32" x14ac:dyDescent="0.3">
      <c r="AF6173" s="19"/>
    </row>
    <row r="6174" spans="32:32" x14ac:dyDescent="0.3">
      <c r="AF6174" s="19"/>
    </row>
    <row r="6175" spans="32:32" x14ac:dyDescent="0.3">
      <c r="AF6175" s="19"/>
    </row>
    <row r="6176" spans="32:32" x14ac:dyDescent="0.3">
      <c r="AF6176" s="19"/>
    </row>
    <row r="6177" spans="32:32" x14ac:dyDescent="0.3">
      <c r="AF6177" s="19"/>
    </row>
    <row r="6178" spans="32:32" x14ac:dyDescent="0.3">
      <c r="AF6178" s="19"/>
    </row>
    <row r="6179" spans="32:32" x14ac:dyDescent="0.3">
      <c r="AF6179" s="19"/>
    </row>
    <row r="6194" spans="32:32" x14ac:dyDescent="0.3">
      <c r="AF6194" s="19"/>
    </row>
    <row r="6195" spans="32:32" x14ac:dyDescent="0.3">
      <c r="AF6195" s="19"/>
    </row>
    <row r="6196" spans="32:32" x14ac:dyDescent="0.3">
      <c r="AF6196" s="19"/>
    </row>
    <row r="6197" spans="32:32" x14ac:dyDescent="0.3">
      <c r="AF6197" s="19"/>
    </row>
    <row r="6198" spans="32:32" x14ac:dyDescent="0.3">
      <c r="AF6198" s="19"/>
    </row>
    <row r="6199" spans="32:32" x14ac:dyDescent="0.3">
      <c r="AF6199" s="19"/>
    </row>
    <row r="6200" spans="32:32" x14ac:dyDescent="0.3">
      <c r="AF6200" s="19"/>
    </row>
    <row r="6201" spans="32:32" x14ac:dyDescent="0.3">
      <c r="AF6201" s="19"/>
    </row>
    <row r="6215" spans="32:32" x14ac:dyDescent="0.3">
      <c r="AF6215" s="19"/>
    </row>
    <row r="6216" spans="32:32" x14ac:dyDescent="0.3">
      <c r="AF6216" s="19"/>
    </row>
    <row r="6217" spans="32:32" x14ac:dyDescent="0.3">
      <c r="AF6217" s="19"/>
    </row>
    <row r="6218" spans="32:32" x14ac:dyDescent="0.3">
      <c r="AF6218" s="19"/>
    </row>
    <row r="6219" spans="32:32" x14ac:dyDescent="0.3">
      <c r="AF6219" s="19"/>
    </row>
    <row r="6220" spans="32:32" x14ac:dyDescent="0.3">
      <c r="AF6220" s="19"/>
    </row>
    <row r="6221" spans="32:32" x14ac:dyDescent="0.3">
      <c r="AF6221" s="19"/>
    </row>
    <row r="6222" spans="32:32" x14ac:dyDescent="0.3">
      <c r="AF6222" s="19"/>
    </row>
    <row r="6223" spans="32:32" x14ac:dyDescent="0.3">
      <c r="AF6223" s="19"/>
    </row>
    <row r="6236" spans="32:32" x14ac:dyDescent="0.3">
      <c r="AF6236" s="19"/>
    </row>
    <row r="6237" spans="32:32" x14ac:dyDescent="0.3">
      <c r="AF6237" s="19"/>
    </row>
    <row r="6238" spans="32:32" x14ac:dyDescent="0.3">
      <c r="AF6238" s="19"/>
    </row>
    <row r="6239" spans="32:32" x14ac:dyDescent="0.3">
      <c r="AF6239" s="19"/>
    </row>
    <row r="6240" spans="32:32" x14ac:dyDescent="0.3">
      <c r="AF6240" s="19"/>
    </row>
    <row r="6241" spans="32:32" x14ac:dyDescent="0.3">
      <c r="AF6241" s="19"/>
    </row>
    <row r="6242" spans="32:32" x14ac:dyDescent="0.3">
      <c r="AF6242" s="19"/>
    </row>
    <row r="6243" spans="32:32" x14ac:dyDescent="0.3">
      <c r="AF6243" s="19"/>
    </row>
    <row r="6259" spans="32:32" x14ac:dyDescent="0.3">
      <c r="AF6259" s="19"/>
    </row>
    <row r="6260" spans="32:32" x14ac:dyDescent="0.3">
      <c r="AF6260" s="19"/>
    </row>
    <row r="6261" spans="32:32" x14ac:dyDescent="0.3">
      <c r="AF6261" s="19"/>
    </row>
    <row r="6262" spans="32:32" x14ac:dyDescent="0.3">
      <c r="AF6262" s="19"/>
    </row>
    <row r="6263" spans="32:32" x14ac:dyDescent="0.3">
      <c r="AF6263" s="19"/>
    </row>
    <row r="6264" spans="32:32" x14ac:dyDescent="0.3">
      <c r="AF6264" s="19"/>
    </row>
    <row r="6265" spans="32:32" x14ac:dyDescent="0.3">
      <c r="AF6265" s="19"/>
    </row>
    <row r="6266" spans="32:32" x14ac:dyDescent="0.3">
      <c r="AF6266" s="19"/>
    </row>
    <row r="6278" spans="32:32" x14ac:dyDescent="0.3">
      <c r="AF6278" s="19"/>
    </row>
    <row r="6279" spans="32:32" x14ac:dyDescent="0.3">
      <c r="AF6279" s="19"/>
    </row>
    <row r="6280" spans="32:32" x14ac:dyDescent="0.3">
      <c r="AF6280" s="19"/>
    </row>
    <row r="6281" spans="32:32" x14ac:dyDescent="0.3">
      <c r="AF6281" s="19"/>
    </row>
    <row r="6282" spans="32:32" x14ac:dyDescent="0.3">
      <c r="AF6282" s="19"/>
    </row>
    <row r="6283" spans="32:32" x14ac:dyDescent="0.3">
      <c r="AF6283" s="19"/>
    </row>
    <row r="6284" spans="32:32" x14ac:dyDescent="0.3">
      <c r="AF6284" s="19"/>
    </row>
    <row r="6285" spans="32:32" x14ac:dyDescent="0.3">
      <c r="AF6285" s="19"/>
    </row>
    <row r="6286" spans="32:32" x14ac:dyDescent="0.3">
      <c r="AF6286" s="19"/>
    </row>
    <row r="6287" spans="32:32" x14ac:dyDescent="0.3">
      <c r="AF6287" s="19"/>
    </row>
    <row r="6300" spans="32:32" x14ac:dyDescent="0.3">
      <c r="AF6300" s="19"/>
    </row>
    <row r="6301" spans="32:32" x14ac:dyDescent="0.3">
      <c r="AF6301" s="19"/>
    </row>
    <row r="6302" spans="32:32" x14ac:dyDescent="0.3">
      <c r="AF6302" s="19"/>
    </row>
    <row r="6303" spans="32:32" x14ac:dyDescent="0.3">
      <c r="AF6303" s="19"/>
    </row>
    <row r="6304" spans="32:32" x14ac:dyDescent="0.3">
      <c r="AF6304" s="19"/>
    </row>
    <row r="6305" spans="32:32" x14ac:dyDescent="0.3">
      <c r="AF6305" s="19"/>
    </row>
    <row r="6306" spans="32:32" x14ac:dyDescent="0.3">
      <c r="AF6306" s="19"/>
    </row>
    <row r="6320" spans="32:32" x14ac:dyDescent="0.3">
      <c r="AF6320" s="19"/>
    </row>
    <row r="6321" spans="32:32" x14ac:dyDescent="0.3">
      <c r="AF6321" s="19"/>
    </row>
    <row r="6322" spans="32:32" x14ac:dyDescent="0.3">
      <c r="AF6322" s="19"/>
    </row>
    <row r="6323" spans="32:32" x14ac:dyDescent="0.3">
      <c r="AF6323" s="19"/>
    </row>
    <row r="6324" spans="32:32" x14ac:dyDescent="0.3">
      <c r="AF6324" s="19"/>
    </row>
    <row r="6325" spans="32:32" x14ac:dyDescent="0.3">
      <c r="AF6325" s="19"/>
    </row>
    <row r="6326" spans="32:32" x14ac:dyDescent="0.3">
      <c r="AF6326" s="19"/>
    </row>
    <row r="6327" spans="32:32" x14ac:dyDescent="0.3">
      <c r="AF6327" s="19"/>
    </row>
    <row r="6328" spans="32:32" x14ac:dyDescent="0.3">
      <c r="AF6328" s="19"/>
    </row>
    <row r="6339" spans="32:32" x14ac:dyDescent="0.3">
      <c r="AF6339" s="19"/>
    </row>
    <row r="6340" spans="32:32" x14ac:dyDescent="0.3">
      <c r="AF6340" s="19"/>
    </row>
    <row r="6341" spans="32:32" x14ac:dyDescent="0.3">
      <c r="AF6341" s="19"/>
    </row>
    <row r="6342" spans="32:32" x14ac:dyDescent="0.3">
      <c r="AF6342" s="19"/>
    </row>
    <row r="6343" spans="32:32" x14ac:dyDescent="0.3">
      <c r="AF6343" s="19"/>
    </row>
    <row r="6344" spans="32:32" x14ac:dyDescent="0.3">
      <c r="AF6344" s="19"/>
    </row>
    <row r="6345" spans="32:32" x14ac:dyDescent="0.3">
      <c r="AF6345" s="19"/>
    </row>
    <row r="6346" spans="32:32" x14ac:dyDescent="0.3">
      <c r="AF6346" s="19"/>
    </row>
    <row r="6347" spans="32:32" x14ac:dyDescent="0.3">
      <c r="AF6347" s="19"/>
    </row>
    <row r="6361" spans="32:32" x14ac:dyDescent="0.3">
      <c r="AF6361" s="19"/>
    </row>
    <row r="6362" spans="32:32" x14ac:dyDescent="0.3">
      <c r="AF6362" s="19"/>
    </row>
    <row r="6363" spans="32:32" x14ac:dyDescent="0.3">
      <c r="AF6363" s="19"/>
    </row>
    <row r="6364" spans="32:32" x14ac:dyDescent="0.3">
      <c r="AF6364" s="19"/>
    </row>
    <row r="6365" spans="32:32" x14ac:dyDescent="0.3">
      <c r="AF6365" s="19"/>
    </row>
    <row r="6366" spans="32:32" x14ac:dyDescent="0.3">
      <c r="AF6366" s="19"/>
    </row>
    <row r="6367" spans="32:32" x14ac:dyDescent="0.3">
      <c r="AF6367" s="19"/>
    </row>
    <row r="6382" spans="32:32" x14ac:dyDescent="0.3">
      <c r="AF6382" s="19"/>
    </row>
    <row r="6383" spans="32:32" x14ac:dyDescent="0.3">
      <c r="AF6383" s="19"/>
    </row>
    <row r="6384" spans="32:32" x14ac:dyDescent="0.3">
      <c r="AF6384" s="19"/>
    </row>
    <row r="6385" spans="32:32" x14ac:dyDescent="0.3">
      <c r="AF6385" s="19"/>
    </row>
    <row r="6386" spans="32:32" x14ac:dyDescent="0.3">
      <c r="AF6386" s="19"/>
    </row>
    <row r="6387" spans="32:32" x14ac:dyDescent="0.3">
      <c r="AF6387" s="19"/>
    </row>
    <row r="6388" spans="32:32" x14ac:dyDescent="0.3">
      <c r="AF6388" s="19"/>
    </row>
    <row r="6389" spans="32:32" x14ac:dyDescent="0.3">
      <c r="AF6389" s="19"/>
    </row>
    <row r="6402" spans="32:32" x14ac:dyDescent="0.3">
      <c r="AF6402" s="19"/>
    </row>
    <row r="6403" spans="32:32" x14ac:dyDescent="0.3">
      <c r="AF6403" s="19"/>
    </row>
    <row r="6404" spans="32:32" x14ac:dyDescent="0.3">
      <c r="AF6404" s="19"/>
    </row>
    <row r="6405" spans="32:32" x14ac:dyDescent="0.3">
      <c r="AF6405" s="19"/>
    </row>
    <row r="6406" spans="32:32" x14ac:dyDescent="0.3">
      <c r="AF6406" s="19"/>
    </row>
    <row r="6407" spans="32:32" x14ac:dyDescent="0.3">
      <c r="AF6407" s="19"/>
    </row>
    <row r="6408" spans="32:32" x14ac:dyDescent="0.3">
      <c r="AF6408" s="19"/>
    </row>
    <row r="6409" spans="32:32" x14ac:dyDescent="0.3">
      <c r="AF6409" s="19"/>
    </row>
    <row r="6410" spans="32:32" x14ac:dyDescent="0.3">
      <c r="AF6410" s="19"/>
    </row>
    <row r="6411" spans="32:32" x14ac:dyDescent="0.3">
      <c r="AF6411" s="19"/>
    </row>
    <row r="6424" spans="32:32" x14ac:dyDescent="0.3">
      <c r="AF6424" s="19"/>
    </row>
    <row r="6425" spans="32:32" x14ac:dyDescent="0.3">
      <c r="AF6425" s="19"/>
    </row>
    <row r="6426" spans="32:32" x14ac:dyDescent="0.3">
      <c r="AF6426" s="19"/>
    </row>
    <row r="6427" spans="32:32" x14ac:dyDescent="0.3">
      <c r="AF6427" s="19"/>
    </row>
    <row r="6428" spans="32:32" x14ac:dyDescent="0.3">
      <c r="AF6428" s="19"/>
    </row>
    <row r="6429" spans="32:32" x14ac:dyDescent="0.3">
      <c r="AF6429" s="19"/>
    </row>
    <row r="6430" spans="32:32" x14ac:dyDescent="0.3">
      <c r="AF6430" s="19"/>
    </row>
    <row r="6446" spans="32:32" x14ac:dyDescent="0.3">
      <c r="AF6446" s="19"/>
    </row>
    <row r="6447" spans="32:32" x14ac:dyDescent="0.3">
      <c r="AF6447" s="19"/>
    </row>
    <row r="6448" spans="32:32" x14ac:dyDescent="0.3">
      <c r="AF6448" s="19"/>
    </row>
    <row r="6449" spans="32:32" x14ac:dyDescent="0.3">
      <c r="AF6449" s="19"/>
    </row>
    <row r="6450" spans="32:32" x14ac:dyDescent="0.3">
      <c r="AF6450" s="19"/>
    </row>
    <row r="6451" spans="32:32" x14ac:dyDescent="0.3">
      <c r="AF6451" s="19"/>
    </row>
    <row r="6452" spans="32:32" x14ac:dyDescent="0.3">
      <c r="AF6452" s="19"/>
    </row>
    <row r="6453" spans="32:32" x14ac:dyDescent="0.3">
      <c r="AF6453" s="19"/>
    </row>
    <row r="6467" spans="32:32" x14ac:dyDescent="0.3">
      <c r="AF6467" s="19"/>
    </row>
    <row r="6468" spans="32:32" x14ac:dyDescent="0.3">
      <c r="AF6468" s="19"/>
    </row>
    <row r="6469" spans="32:32" x14ac:dyDescent="0.3">
      <c r="AF6469" s="19"/>
    </row>
    <row r="6470" spans="32:32" x14ac:dyDescent="0.3">
      <c r="AF6470" s="19"/>
    </row>
    <row r="6471" spans="32:32" x14ac:dyDescent="0.3">
      <c r="AF6471" s="19"/>
    </row>
    <row r="6472" spans="32:32" x14ac:dyDescent="0.3">
      <c r="AF6472" s="19"/>
    </row>
    <row r="6473" spans="32:32" x14ac:dyDescent="0.3">
      <c r="AF6473" s="19"/>
    </row>
    <row r="6474" spans="32:32" x14ac:dyDescent="0.3">
      <c r="AF6474" s="19"/>
    </row>
    <row r="6488" spans="32:32" x14ac:dyDescent="0.3">
      <c r="AF6488" s="19"/>
    </row>
    <row r="6489" spans="32:32" x14ac:dyDescent="0.3">
      <c r="AF6489" s="19"/>
    </row>
    <row r="6490" spans="32:32" x14ac:dyDescent="0.3">
      <c r="AF6490" s="19"/>
    </row>
    <row r="6491" spans="32:32" x14ac:dyDescent="0.3">
      <c r="AF6491" s="19"/>
    </row>
    <row r="6492" spans="32:32" x14ac:dyDescent="0.3">
      <c r="AF6492" s="19"/>
    </row>
    <row r="6493" spans="32:32" x14ac:dyDescent="0.3">
      <c r="AF6493" s="19"/>
    </row>
    <row r="6494" spans="32:32" x14ac:dyDescent="0.3">
      <c r="AF6494" s="19"/>
    </row>
    <row r="6495" spans="32:32" x14ac:dyDescent="0.3">
      <c r="AF6495" s="19"/>
    </row>
    <row r="6510" spans="32:32" x14ac:dyDescent="0.3">
      <c r="AF6510" s="19"/>
    </row>
    <row r="6511" spans="32:32" x14ac:dyDescent="0.3">
      <c r="AF6511" s="19"/>
    </row>
    <row r="6512" spans="32:32" x14ac:dyDescent="0.3">
      <c r="AF6512" s="19"/>
    </row>
    <row r="6513" spans="32:32" x14ac:dyDescent="0.3">
      <c r="AF6513" s="19"/>
    </row>
    <row r="6514" spans="32:32" x14ac:dyDescent="0.3">
      <c r="AF6514" s="19"/>
    </row>
    <row r="6515" spans="32:32" x14ac:dyDescent="0.3">
      <c r="AF6515" s="19"/>
    </row>
    <row r="6516" spans="32:32" x14ac:dyDescent="0.3">
      <c r="AF6516" s="19"/>
    </row>
    <row r="6517" spans="32:32" x14ac:dyDescent="0.3">
      <c r="AF6517" s="19"/>
    </row>
    <row r="6518" spans="32:32" x14ac:dyDescent="0.3">
      <c r="AF6518" s="19"/>
    </row>
    <row r="6530" spans="32:32" x14ac:dyDescent="0.3">
      <c r="AF6530" s="19"/>
    </row>
    <row r="6531" spans="32:32" x14ac:dyDescent="0.3">
      <c r="AF6531" s="19"/>
    </row>
    <row r="6532" spans="32:32" x14ac:dyDescent="0.3">
      <c r="AF6532" s="19"/>
    </row>
    <row r="6533" spans="32:32" x14ac:dyDescent="0.3">
      <c r="AF6533" s="19"/>
    </row>
    <row r="6534" spans="32:32" x14ac:dyDescent="0.3">
      <c r="AF6534" s="19"/>
    </row>
    <row r="6535" spans="32:32" x14ac:dyDescent="0.3">
      <c r="AF6535" s="19"/>
    </row>
    <row r="6536" spans="32:32" x14ac:dyDescent="0.3">
      <c r="AF6536" s="19"/>
    </row>
    <row r="6537" spans="32:32" x14ac:dyDescent="0.3">
      <c r="AF6537" s="19"/>
    </row>
    <row r="6538" spans="32:32" x14ac:dyDescent="0.3">
      <c r="AF6538" s="19"/>
    </row>
    <row r="6552" spans="32:32" x14ac:dyDescent="0.3">
      <c r="AF6552" s="19"/>
    </row>
    <row r="6553" spans="32:32" x14ac:dyDescent="0.3">
      <c r="AF6553" s="19"/>
    </row>
    <row r="6554" spans="32:32" x14ac:dyDescent="0.3">
      <c r="AF6554" s="19"/>
    </row>
    <row r="6555" spans="32:32" x14ac:dyDescent="0.3">
      <c r="AF6555" s="19"/>
    </row>
    <row r="6556" spans="32:32" x14ac:dyDescent="0.3">
      <c r="AF6556" s="19"/>
    </row>
    <row r="6557" spans="32:32" x14ac:dyDescent="0.3">
      <c r="AF6557" s="19"/>
    </row>
    <row r="6558" spans="32:32" x14ac:dyDescent="0.3">
      <c r="AF6558" s="19"/>
    </row>
    <row r="6571" spans="32:32" x14ac:dyDescent="0.3">
      <c r="AF6571" s="19"/>
    </row>
    <row r="6572" spans="32:32" x14ac:dyDescent="0.3">
      <c r="AF6572" s="19"/>
    </row>
    <row r="6573" spans="32:32" x14ac:dyDescent="0.3">
      <c r="AF6573" s="19"/>
    </row>
    <row r="6574" spans="32:32" x14ac:dyDescent="0.3">
      <c r="AF6574" s="19"/>
    </row>
    <row r="6575" spans="32:32" x14ac:dyDescent="0.3">
      <c r="AF6575" s="19"/>
    </row>
    <row r="6576" spans="32:32" x14ac:dyDescent="0.3">
      <c r="AF6576" s="19"/>
    </row>
    <row r="6577" spans="32:32" x14ac:dyDescent="0.3">
      <c r="AF6577" s="19"/>
    </row>
    <row r="6578" spans="32:32" x14ac:dyDescent="0.3">
      <c r="AF6578" s="19"/>
    </row>
    <row r="6579" spans="32:32" x14ac:dyDescent="0.3">
      <c r="AF6579" s="19"/>
    </row>
    <row r="6580" spans="32:32" x14ac:dyDescent="0.3">
      <c r="AF6580" s="19"/>
    </row>
    <row r="6591" spans="32:32" x14ac:dyDescent="0.3">
      <c r="AF6591" s="19"/>
    </row>
    <row r="6592" spans="32:32" x14ac:dyDescent="0.3">
      <c r="AF6592" s="19"/>
    </row>
    <row r="6593" spans="32:32" x14ac:dyDescent="0.3">
      <c r="AF6593" s="19"/>
    </row>
    <row r="6594" spans="32:32" x14ac:dyDescent="0.3">
      <c r="AF6594" s="19"/>
    </row>
    <row r="6595" spans="32:32" x14ac:dyDescent="0.3">
      <c r="AF6595" s="19"/>
    </row>
    <row r="6596" spans="32:32" x14ac:dyDescent="0.3">
      <c r="AF6596" s="19"/>
    </row>
    <row r="6597" spans="32:32" x14ac:dyDescent="0.3">
      <c r="AF6597" s="19"/>
    </row>
    <row r="6598" spans="32:32" x14ac:dyDescent="0.3">
      <c r="AF6598" s="19"/>
    </row>
    <row r="6599" spans="32:32" x14ac:dyDescent="0.3">
      <c r="AF6599" s="19"/>
    </row>
    <row r="6613" spans="32:32" x14ac:dyDescent="0.3">
      <c r="AF6613" s="19"/>
    </row>
    <row r="6614" spans="32:32" x14ac:dyDescent="0.3">
      <c r="AF6614" s="19"/>
    </row>
    <row r="6615" spans="32:32" x14ac:dyDescent="0.3">
      <c r="AF6615" s="19"/>
    </row>
    <row r="6616" spans="32:32" x14ac:dyDescent="0.3">
      <c r="AF6616" s="19"/>
    </row>
    <row r="6617" spans="32:32" x14ac:dyDescent="0.3">
      <c r="AF6617" s="19"/>
    </row>
    <row r="6618" spans="32:32" x14ac:dyDescent="0.3">
      <c r="AF6618" s="19"/>
    </row>
    <row r="6619" spans="32:32" x14ac:dyDescent="0.3">
      <c r="AF6619" s="19"/>
    </row>
    <row r="6620" spans="32:32" x14ac:dyDescent="0.3">
      <c r="AF6620" s="19"/>
    </row>
    <row r="6634" spans="32:32" x14ac:dyDescent="0.3">
      <c r="AF6634" s="19"/>
    </row>
    <row r="6635" spans="32:32" x14ac:dyDescent="0.3">
      <c r="AF6635" s="19"/>
    </row>
    <row r="6636" spans="32:32" x14ac:dyDescent="0.3">
      <c r="AF6636" s="19"/>
    </row>
    <row r="6637" spans="32:32" x14ac:dyDescent="0.3">
      <c r="AF6637" s="19"/>
    </row>
    <row r="6638" spans="32:32" x14ac:dyDescent="0.3">
      <c r="AF6638" s="19"/>
    </row>
    <row r="6639" spans="32:32" x14ac:dyDescent="0.3">
      <c r="AF6639" s="19"/>
    </row>
    <row r="6640" spans="32:32" x14ac:dyDescent="0.3">
      <c r="AF6640" s="19"/>
    </row>
    <row r="6641" spans="32:32" x14ac:dyDescent="0.3">
      <c r="AF6641" s="19"/>
    </row>
    <row r="6642" spans="32:32" x14ac:dyDescent="0.3">
      <c r="AF6642" s="19"/>
    </row>
    <row r="6655" spans="32:32" x14ac:dyDescent="0.3">
      <c r="AF6655" s="19"/>
    </row>
    <row r="6656" spans="32:32" x14ac:dyDescent="0.3">
      <c r="AF6656" s="19"/>
    </row>
    <row r="6657" spans="32:32" x14ac:dyDescent="0.3">
      <c r="AF6657" s="19"/>
    </row>
    <row r="6658" spans="32:32" x14ac:dyDescent="0.3">
      <c r="AF6658" s="19"/>
    </row>
    <row r="6659" spans="32:32" x14ac:dyDescent="0.3">
      <c r="AF6659" s="19"/>
    </row>
    <row r="6660" spans="32:32" x14ac:dyDescent="0.3">
      <c r="AF6660" s="19"/>
    </row>
    <row r="6661" spans="32:32" x14ac:dyDescent="0.3">
      <c r="AF6661" s="19"/>
    </row>
    <row r="6662" spans="32:32" x14ac:dyDescent="0.3">
      <c r="AF6662" s="19"/>
    </row>
    <row r="6677" spans="32:32" x14ac:dyDescent="0.3">
      <c r="AF6677" s="19"/>
    </row>
    <row r="6678" spans="32:32" x14ac:dyDescent="0.3">
      <c r="AF6678" s="19"/>
    </row>
    <row r="6679" spans="32:32" x14ac:dyDescent="0.3">
      <c r="AF6679" s="19"/>
    </row>
    <row r="6680" spans="32:32" x14ac:dyDescent="0.3">
      <c r="AF6680" s="19"/>
    </row>
    <row r="6681" spans="32:32" x14ac:dyDescent="0.3">
      <c r="AF6681" s="19"/>
    </row>
    <row r="6682" spans="32:32" x14ac:dyDescent="0.3">
      <c r="AF6682" s="19"/>
    </row>
    <row r="6683" spans="32:32" x14ac:dyDescent="0.3">
      <c r="AF6683" s="19"/>
    </row>
    <row r="6697" spans="32:32" x14ac:dyDescent="0.3">
      <c r="AF6697" s="19"/>
    </row>
    <row r="6698" spans="32:32" x14ac:dyDescent="0.3">
      <c r="AF6698" s="19"/>
    </row>
    <row r="6699" spans="32:32" x14ac:dyDescent="0.3">
      <c r="AF6699" s="19"/>
    </row>
    <row r="6700" spans="32:32" x14ac:dyDescent="0.3">
      <c r="AF6700" s="19"/>
    </row>
    <row r="6701" spans="32:32" x14ac:dyDescent="0.3">
      <c r="AF6701" s="19"/>
    </row>
    <row r="6702" spans="32:32" x14ac:dyDescent="0.3">
      <c r="AF6702" s="19"/>
    </row>
    <row r="6703" spans="32:32" x14ac:dyDescent="0.3">
      <c r="AF6703" s="19"/>
    </row>
    <row r="6704" spans="32:32" x14ac:dyDescent="0.3">
      <c r="AF6704" s="19"/>
    </row>
    <row r="6705" spans="32:32" x14ac:dyDescent="0.3">
      <c r="AF6705" s="19"/>
    </row>
    <row r="6706" spans="32:32" x14ac:dyDescent="0.3">
      <c r="AF6706" s="19"/>
    </row>
    <row r="6720" spans="32:32" x14ac:dyDescent="0.3">
      <c r="AF6720" s="19"/>
    </row>
    <row r="6721" spans="32:32" x14ac:dyDescent="0.3">
      <c r="AF6721" s="19"/>
    </row>
    <row r="6722" spans="32:32" x14ac:dyDescent="0.3">
      <c r="AF6722" s="19"/>
    </row>
    <row r="6723" spans="32:32" x14ac:dyDescent="0.3">
      <c r="AF6723" s="19"/>
    </row>
    <row r="6724" spans="32:32" x14ac:dyDescent="0.3">
      <c r="AF6724" s="19"/>
    </row>
    <row r="6725" spans="32:32" x14ac:dyDescent="0.3">
      <c r="AF6725" s="19"/>
    </row>
    <row r="6726" spans="32:32" x14ac:dyDescent="0.3">
      <c r="AF6726" s="19"/>
    </row>
    <row r="6741" spans="32:32" x14ac:dyDescent="0.3">
      <c r="AF6741" s="19"/>
    </row>
    <row r="6742" spans="32:32" x14ac:dyDescent="0.3">
      <c r="AF6742" s="19"/>
    </row>
    <row r="6743" spans="32:32" x14ac:dyDescent="0.3">
      <c r="AF6743" s="19"/>
    </row>
    <row r="6744" spans="32:32" x14ac:dyDescent="0.3">
      <c r="AF6744" s="19"/>
    </row>
    <row r="6745" spans="32:32" x14ac:dyDescent="0.3">
      <c r="AF6745" s="19"/>
    </row>
    <row r="6746" spans="32:32" x14ac:dyDescent="0.3">
      <c r="AF6746" s="19"/>
    </row>
    <row r="6747" spans="32:32" x14ac:dyDescent="0.3">
      <c r="AF6747" s="19"/>
    </row>
    <row r="6748" spans="32:32" x14ac:dyDescent="0.3">
      <c r="AF6748" s="19"/>
    </row>
    <row r="6762" spans="32:32" x14ac:dyDescent="0.3">
      <c r="AF6762" s="19"/>
    </row>
    <row r="6763" spans="32:32" x14ac:dyDescent="0.3">
      <c r="AF6763" s="19"/>
    </row>
    <row r="6764" spans="32:32" x14ac:dyDescent="0.3">
      <c r="AF6764" s="19"/>
    </row>
    <row r="6765" spans="32:32" x14ac:dyDescent="0.3">
      <c r="AF6765" s="19"/>
    </row>
    <row r="6766" spans="32:32" x14ac:dyDescent="0.3">
      <c r="AF6766" s="19"/>
    </row>
    <row r="6767" spans="32:32" x14ac:dyDescent="0.3">
      <c r="AF6767" s="19"/>
    </row>
    <row r="6768" spans="32:32" x14ac:dyDescent="0.3">
      <c r="AF6768" s="19"/>
    </row>
    <row r="6769" spans="32:32" x14ac:dyDescent="0.3">
      <c r="AF6769" s="19"/>
    </row>
    <row r="6770" spans="32:32" x14ac:dyDescent="0.3">
      <c r="AF6770" s="19"/>
    </row>
    <row r="6783" spans="32:32" x14ac:dyDescent="0.3">
      <c r="AF6783" s="19"/>
    </row>
    <row r="6784" spans="32:32" x14ac:dyDescent="0.3">
      <c r="AF6784" s="19"/>
    </row>
    <row r="6785" spans="32:32" x14ac:dyDescent="0.3">
      <c r="AF6785" s="19"/>
    </row>
    <row r="6786" spans="32:32" x14ac:dyDescent="0.3">
      <c r="AF6786" s="19"/>
    </row>
    <row r="6787" spans="32:32" x14ac:dyDescent="0.3">
      <c r="AF6787" s="19"/>
    </row>
    <row r="6788" spans="32:32" x14ac:dyDescent="0.3">
      <c r="AF6788" s="19"/>
    </row>
    <row r="6789" spans="32:32" x14ac:dyDescent="0.3">
      <c r="AF6789" s="19"/>
    </row>
    <row r="6790" spans="32:32" x14ac:dyDescent="0.3">
      <c r="AF6790" s="19"/>
    </row>
    <row r="6804" spans="32:32" x14ac:dyDescent="0.3">
      <c r="AF6804" s="19"/>
    </row>
    <row r="6805" spans="32:32" x14ac:dyDescent="0.3">
      <c r="AF6805" s="19"/>
    </row>
    <row r="6806" spans="32:32" x14ac:dyDescent="0.3">
      <c r="AF6806" s="19"/>
    </row>
    <row r="6807" spans="32:32" x14ac:dyDescent="0.3">
      <c r="AF6807" s="19"/>
    </row>
    <row r="6808" spans="32:32" x14ac:dyDescent="0.3">
      <c r="AF6808" s="19"/>
    </row>
    <row r="6809" spans="32:32" x14ac:dyDescent="0.3">
      <c r="AF6809" s="19"/>
    </row>
    <row r="6810" spans="32:32" x14ac:dyDescent="0.3">
      <c r="AF6810" s="19"/>
    </row>
    <row r="6811" spans="32:32" x14ac:dyDescent="0.3">
      <c r="AF6811" s="19"/>
    </row>
    <row r="6824" spans="32:32" x14ac:dyDescent="0.3">
      <c r="AF6824" s="19"/>
    </row>
    <row r="6825" spans="32:32" x14ac:dyDescent="0.3">
      <c r="AF6825" s="19"/>
    </row>
    <row r="6826" spans="32:32" x14ac:dyDescent="0.3">
      <c r="AF6826" s="19"/>
    </row>
    <row r="6827" spans="32:32" x14ac:dyDescent="0.3">
      <c r="AF6827" s="19"/>
    </row>
    <row r="6828" spans="32:32" x14ac:dyDescent="0.3">
      <c r="AF6828" s="19"/>
    </row>
    <row r="6829" spans="32:32" x14ac:dyDescent="0.3">
      <c r="AF6829" s="19"/>
    </row>
    <row r="6830" spans="32:32" x14ac:dyDescent="0.3">
      <c r="AF6830" s="19"/>
    </row>
    <row r="6831" spans="32:32" x14ac:dyDescent="0.3">
      <c r="AF6831" s="19"/>
    </row>
    <row r="6843" spans="32:32" x14ac:dyDescent="0.3">
      <c r="AF6843" s="19"/>
    </row>
    <row r="6844" spans="32:32" x14ac:dyDescent="0.3">
      <c r="AF6844" s="19"/>
    </row>
    <row r="6845" spans="32:32" x14ac:dyDescent="0.3">
      <c r="AF6845" s="19"/>
    </row>
    <row r="6846" spans="32:32" x14ac:dyDescent="0.3">
      <c r="AF6846" s="19"/>
    </row>
    <row r="6847" spans="32:32" x14ac:dyDescent="0.3">
      <c r="AF6847" s="19"/>
    </row>
    <row r="6848" spans="32:32" x14ac:dyDescent="0.3">
      <c r="AF6848" s="19"/>
    </row>
    <row r="6849" spans="32:32" x14ac:dyDescent="0.3">
      <c r="AF6849" s="19"/>
    </row>
    <row r="6850" spans="32:32" x14ac:dyDescent="0.3">
      <c r="AF6850" s="19"/>
    </row>
    <row r="6866" spans="32:32" x14ac:dyDescent="0.3">
      <c r="AF6866" s="19"/>
    </row>
    <row r="6867" spans="32:32" x14ac:dyDescent="0.3">
      <c r="AF6867" s="19"/>
    </row>
    <row r="6868" spans="32:32" x14ac:dyDescent="0.3">
      <c r="AF6868" s="19"/>
    </row>
    <row r="6869" spans="32:32" x14ac:dyDescent="0.3">
      <c r="AF6869" s="19"/>
    </row>
    <row r="6870" spans="32:32" x14ac:dyDescent="0.3">
      <c r="AF6870" s="19"/>
    </row>
    <row r="6871" spans="32:32" x14ac:dyDescent="0.3">
      <c r="AF6871" s="19"/>
    </row>
    <row r="6872" spans="32:32" x14ac:dyDescent="0.3">
      <c r="AF6872" s="19"/>
    </row>
    <row r="6873" spans="32:32" x14ac:dyDescent="0.3">
      <c r="AF6873" s="19"/>
    </row>
    <row r="6885" spans="32:32" x14ac:dyDescent="0.3">
      <c r="AF6885" s="19"/>
    </row>
    <row r="6886" spans="32:32" x14ac:dyDescent="0.3">
      <c r="AF6886" s="19"/>
    </row>
    <row r="6887" spans="32:32" x14ac:dyDescent="0.3">
      <c r="AF6887" s="19"/>
    </row>
    <row r="6888" spans="32:32" x14ac:dyDescent="0.3">
      <c r="AF6888" s="19"/>
    </row>
    <row r="6889" spans="32:32" x14ac:dyDescent="0.3">
      <c r="AF6889" s="19"/>
    </row>
    <row r="6890" spans="32:32" x14ac:dyDescent="0.3">
      <c r="AF6890" s="19"/>
    </row>
    <row r="6891" spans="32:32" x14ac:dyDescent="0.3">
      <c r="AF6891" s="19"/>
    </row>
    <row r="6892" spans="32:32" x14ac:dyDescent="0.3">
      <c r="AF6892" s="19"/>
    </row>
    <row r="6893" spans="32:32" x14ac:dyDescent="0.3">
      <c r="AF6893" s="19"/>
    </row>
    <row r="6894" spans="32:32" x14ac:dyDescent="0.3">
      <c r="AF6894" s="19"/>
    </row>
    <row r="6907" spans="32:32" x14ac:dyDescent="0.3">
      <c r="AF6907" s="19"/>
    </row>
    <row r="6908" spans="32:32" x14ac:dyDescent="0.3">
      <c r="AF6908" s="19"/>
    </row>
    <row r="6909" spans="32:32" x14ac:dyDescent="0.3">
      <c r="AF6909" s="19"/>
    </row>
    <row r="6910" spans="32:32" x14ac:dyDescent="0.3">
      <c r="AF6910" s="19"/>
    </row>
    <row r="6911" spans="32:32" x14ac:dyDescent="0.3">
      <c r="AF6911" s="19"/>
    </row>
    <row r="6912" spans="32:32" x14ac:dyDescent="0.3">
      <c r="AF6912" s="19"/>
    </row>
    <row r="6913" spans="32:32" x14ac:dyDescent="0.3">
      <c r="AF6913" s="19"/>
    </row>
    <row r="6914" spans="32:32" x14ac:dyDescent="0.3">
      <c r="AF6914" s="19"/>
    </row>
    <row r="6929" spans="32:32" x14ac:dyDescent="0.3">
      <c r="AF6929" s="19"/>
    </row>
    <row r="6930" spans="32:32" x14ac:dyDescent="0.3">
      <c r="AF6930" s="19"/>
    </row>
    <row r="6931" spans="32:32" x14ac:dyDescent="0.3">
      <c r="AF6931" s="19"/>
    </row>
    <row r="6932" spans="32:32" x14ac:dyDescent="0.3">
      <c r="AF6932" s="19"/>
    </row>
    <row r="6933" spans="32:32" x14ac:dyDescent="0.3">
      <c r="AF6933" s="19"/>
    </row>
    <row r="6934" spans="32:32" x14ac:dyDescent="0.3">
      <c r="AF6934" s="19"/>
    </row>
    <row r="6935" spans="32:32" x14ac:dyDescent="0.3">
      <c r="AF6935" s="19"/>
    </row>
    <row r="6949" spans="32:32" x14ac:dyDescent="0.3">
      <c r="AF6949" s="19"/>
    </row>
    <row r="6950" spans="32:32" x14ac:dyDescent="0.3">
      <c r="AF6950" s="19"/>
    </row>
    <row r="6951" spans="32:32" x14ac:dyDescent="0.3">
      <c r="AF6951" s="19"/>
    </row>
    <row r="6952" spans="32:32" x14ac:dyDescent="0.3">
      <c r="AF6952" s="19"/>
    </row>
    <row r="6953" spans="32:32" x14ac:dyDescent="0.3">
      <c r="AF6953" s="19"/>
    </row>
    <row r="6954" spans="32:32" x14ac:dyDescent="0.3">
      <c r="AF6954" s="19"/>
    </row>
    <row r="6955" spans="32:32" x14ac:dyDescent="0.3">
      <c r="AF6955" s="19"/>
    </row>
    <row r="6956" spans="32:32" x14ac:dyDescent="0.3">
      <c r="AF6956" s="19"/>
    </row>
    <row r="6957" spans="32:32" x14ac:dyDescent="0.3">
      <c r="AF6957" s="19"/>
    </row>
    <row r="6972" spans="32:32" x14ac:dyDescent="0.3">
      <c r="AF6972" s="19"/>
    </row>
    <row r="6973" spans="32:32" x14ac:dyDescent="0.3">
      <c r="AF6973" s="19"/>
    </row>
    <row r="6974" spans="32:32" x14ac:dyDescent="0.3">
      <c r="AF6974" s="19"/>
    </row>
    <row r="6975" spans="32:32" x14ac:dyDescent="0.3">
      <c r="AF6975" s="19"/>
    </row>
    <row r="6976" spans="32:32" x14ac:dyDescent="0.3">
      <c r="AF6976" s="19"/>
    </row>
    <row r="6977" spans="32:32" x14ac:dyDescent="0.3">
      <c r="AF6977" s="19"/>
    </row>
    <row r="6978" spans="32:32" x14ac:dyDescent="0.3">
      <c r="AF6978" s="19"/>
    </row>
    <row r="6992" spans="32:32" x14ac:dyDescent="0.3">
      <c r="AF6992" s="19"/>
    </row>
    <row r="6993" spans="32:32" x14ac:dyDescent="0.3">
      <c r="AF6993" s="19"/>
    </row>
    <row r="6994" spans="32:32" x14ac:dyDescent="0.3">
      <c r="AF6994" s="19"/>
    </row>
    <row r="6995" spans="32:32" x14ac:dyDescent="0.3">
      <c r="AF6995" s="19"/>
    </row>
    <row r="6996" spans="32:32" x14ac:dyDescent="0.3">
      <c r="AF6996" s="19"/>
    </row>
    <row r="6997" spans="32:32" x14ac:dyDescent="0.3">
      <c r="AF6997" s="19"/>
    </row>
    <row r="6998" spans="32:32" x14ac:dyDescent="0.3">
      <c r="AF6998" s="19"/>
    </row>
    <row r="6999" spans="32:32" x14ac:dyDescent="0.3">
      <c r="AF6999" s="19"/>
    </row>
    <row r="7000" spans="32:32" x14ac:dyDescent="0.3">
      <c r="AF7000" s="19"/>
    </row>
    <row r="7014" spans="32:32" x14ac:dyDescent="0.3">
      <c r="AF7014" s="19"/>
    </row>
    <row r="7015" spans="32:32" x14ac:dyDescent="0.3">
      <c r="AF7015" s="19"/>
    </row>
    <row r="7016" spans="32:32" x14ac:dyDescent="0.3">
      <c r="AF7016" s="19"/>
    </row>
    <row r="7017" spans="32:32" x14ac:dyDescent="0.3">
      <c r="AF7017" s="19"/>
    </row>
    <row r="7018" spans="32:32" x14ac:dyDescent="0.3">
      <c r="AF7018" s="19"/>
    </row>
    <row r="7019" spans="32:32" x14ac:dyDescent="0.3">
      <c r="AF7019" s="19"/>
    </row>
    <row r="7020" spans="32:32" x14ac:dyDescent="0.3">
      <c r="AF7020" s="19"/>
    </row>
    <row r="7021" spans="32:32" x14ac:dyDescent="0.3">
      <c r="AF7021" s="19"/>
    </row>
    <row r="7035" spans="32:32" x14ac:dyDescent="0.3">
      <c r="AF7035" s="19"/>
    </row>
    <row r="7036" spans="32:32" x14ac:dyDescent="0.3">
      <c r="AF7036" s="19"/>
    </row>
    <row r="7037" spans="32:32" x14ac:dyDescent="0.3">
      <c r="AF7037" s="19"/>
    </row>
    <row r="7038" spans="32:32" x14ac:dyDescent="0.3">
      <c r="AF7038" s="19"/>
    </row>
    <row r="7039" spans="32:32" x14ac:dyDescent="0.3">
      <c r="AF7039" s="19"/>
    </row>
    <row r="7040" spans="32:32" x14ac:dyDescent="0.3">
      <c r="AF7040" s="19"/>
    </row>
    <row r="7041" spans="32:32" x14ac:dyDescent="0.3">
      <c r="AF7041" s="19"/>
    </row>
    <row r="7042" spans="32:32" x14ac:dyDescent="0.3">
      <c r="AF7042" s="19"/>
    </row>
    <row r="7055" spans="32:32" x14ac:dyDescent="0.3">
      <c r="AF7055" s="19"/>
    </row>
    <row r="7056" spans="32:32" x14ac:dyDescent="0.3">
      <c r="AF7056" s="19"/>
    </row>
    <row r="7057" spans="32:32" x14ac:dyDescent="0.3">
      <c r="AF7057" s="19"/>
    </row>
    <row r="7058" spans="32:32" x14ac:dyDescent="0.3">
      <c r="AF7058" s="19"/>
    </row>
    <row r="7059" spans="32:32" x14ac:dyDescent="0.3">
      <c r="AF7059" s="19"/>
    </row>
    <row r="7060" spans="32:32" x14ac:dyDescent="0.3">
      <c r="AF7060" s="19"/>
    </row>
    <row r="7061" spans="32:32" x14ac:dyDescent="0.3">
      <c r="AF7061" s="19"/>
    </row>
    <row r="7062" spans="32:32" x14ac:dyDescent="0.3">
      <c r="AF7062" s="19"/>
    </row>
    <row r="7063" spans="32:32" x14ac:dyDescent="0.3">
      <c r="AF7063" s="19"/>
    </row>
    <row r="7076" spans="32:32" x14ac:dyDescent="0.3">
      <c r="AF7076" s="19"/>
    </row>
    <row r="7077" spans="32:32" x14ac:dyDescent="0.3">
      <c r="AF7077" s="19"/>
    </row>
    <row r="7078" spans="32:32" x14ac:dyDescent="0.3">
      <c r="AF7078" s="19"/>
    </row>
    <row r="7079" spans="32:32" x14ac:dyDescent="0.3">
      <c r="AF7079" s="19"/>
    </row>
    <row r="7080" spans="32:32" x14ac:dyDescent="0.3">
      <c r="AF7080" s="19"/>
    </row>
    <row r="7081" spans="32:32" x14ac:dyDescent="0.3">
      <c r="AF7081" s="19"/>
    </row>
    <row r="7082" spans="32:32" x14ac:dyDescent="0.3">
      <c r="AF7082" s="19"/>
    </row>
    <row r="7083" spans="32:32" x14ac:dyDescent="0.3">
      <c r="AF7083" s="19"/>
    </row>
    <row r="7095" spans="32:32" x14ac:dyDescent="0.3">
      <c r="AF7095" s="19"/>
    </row>
    <row r="7096" spans="32:32" x14ac:dyDescent="0.3">
      <c r="AF7096" s="19"/>
    </row>
    <row r="7097" spans="32:32" x14ac:dyDescent="0.3">
      <c r="AF7097" s="19"/>
    </row>
    <row r="7098" spans="32:32" x14ac:dyDescent="0.3">
      <c r="AF7098" s="19"/>
    </row>
    <row r="7099" spans="32:32" x14ac:dyDescent="0.3">
      <c r="AF7099" s="19"/>
    </row>
    <row r="7100" spans="32:32" x14ac:dyDescent="0.3">
      <c r="AF7100" s="19"/>
    </row>
    <row r="7101" spans="32:32" x14ac:dyDescent="0.3">
      <c r="AF7101" s="19"/>
    </row>
    <row r="7102" spans="32:32" x14ac:dyDescent="0.3">
      <c r="AF7102" s="19"/>
    </row>
    <row r="7116" spans="32:32" x14ac:dyDescent="0.3">
      <c r="AF7116" s="19"/>
    </row>
    <row r="7117" spans="32:32" x14ac:dyDescent="0.3">
      <c r="AF7117" s="19"/>
    </row>
    <row r="7118" spans="32:32" x14ac:dyDescent="0.3">
      <c r="AF7118" s="19"/>
    </row>
    <row r="7119" spans="32:32" x14ac:dyDescent="0.3">
      <c r="AF7119" s="19"/>
    </row>
    <row r="7120" spans="32:32" x14ac:dyDescent="0.3">
      <c r="AF7120" s="19"/>
    </row>
    <row r="7121" spans="32:32" x14ac:dyDescent="0.3">
      <c r="AF7121" s="19"/>
    </row>
    <row r="7122" spans="32:32" x14ac:dyDescent="0.3">
      <c r="AF7122" s="19"/>
    </row>
    <row r="7123" spans="32:32" x14ac:dyDescent="0.3">
      <c r="AF7123" s="19"/>
    </row>
    <row r="7124" spans="32:32" x14ac:dyDescent="0.3">
      <c r="AF7124" s="19"/>
    </row>
    <row r="7137" spans="32:32" x14ac:dyDescent="0.3">
      <c r="AF7137" s="19"/>
    </row>
    <row r="7138" spans="32:32" x14ac:dyDescent="0.3">
      <c r="AF7138" s="19"/>
    </row>
    <row r="7139" spans="32:32" x14ac:dyDescent="0.3">
      <c r="AF7139" s="19"/>
    </row>
    <row r="7140" spans="32:32" x14ac:dyDescent="0.3">
      <c r="AF7140" s="19"/>
    </row>
    <row r="7141" spans="32:32" x14ac:dyDescent="0.3">
      <c r="AF7141" s="19"/>
    </row>
    <row r="7142" spans="32:32" x14ac:dyDescent="0.3">
      <c r="AF7142" s="19"/>
    </row>
    <row r="7143" spans="32:32" x14ac:dyDescent="0.3">
      <c r="AF7143" s="19"/>
    </row>
    <row r="7144" spans="32:32" x14ac:dyDescent="0.3">
      <c r="AF7144" s="19"/>
    </row>
    <row r="7145" spans="32:32" x14ac:dyDescent="0.3">
      <c r="AF7145" s="19"/>
    </row>
    <row r="7159" spans="32:32" x14ac:dyDescent="0.3">
      <c r="AF7159" s="19"/>
    </row>
    <row r="7160" spans="32:32" x14ac:dyDescent="0.3">
      <c r="AF7160" s="19"/>
    </row>
    <row r="7161" spans="32:32" x14ac:dyDescent="0.3">
      <c r="AF7161" s="19"/>
    </row>
    <row r="7162" spans="32:32" x14ac:dyDescent="0.3">
      <c r="AF7162" s="19"/>
    </row>
    <row r="7163" spans="32:32" x14ac:dyDescent="0.3">
      <c r="AF7163" s="19"/>
    </row>
    <row r="7164" spans="32:32" x14ac:dyDescent="0.3">
      <c r="AF7164" s="19"/>
    </row>
    <row r="7165" spans="32:32" x14ac:dyDescent="0.3">
      <c r="AF7165" s="19"/>
    </row>
    <row r="7166" spans="32:32" x14ac:dyDescent="0.3">
      <c r="AF7166" s="19"/>
    </row>
    <row r="7180" spans="32:32" x14ac:dyDescent="0.3">
      <c r="AF7180" s="19"/>
    </row>
    <row r="7181" spans="32:32" x14ac:dyDescent="0.3">
      <c r="AF7181" s="19"/>
    </row>
    <row r="7182" spans="32:32" x14ac:dyDescent="0.3">
      <c r="AF7182" s="19"/>
    </row>
    <row r="7183" spans="32:32" x14ac:dyDescent="0.3">
      <c r="AF7183" s="19"/>
    </row>
    <row r="7184" spans="32:32" x14ac:dyDescent="0.3">
      <c r="AF7184" s="19"/>
    </row>
    <row r="7185" spans="32:32" x14ac:dyDescent="0.3">
      <c r="AF7185" s="19"/>
    </row>
    <row r="7186" spans="32:32" x14ac:dyDescent="0.3">
      <c r="AF7186" s="19"/>
    </row>
    <row r="7187" spans="32:32" x14ac:dyDescent="0.3">
      <c r="AF7187" s="19"/>
    </row>
    <row r="7201" spans="32:32" x14ac:dyDescent="0.3">
      <c r="AF7201" s="19"/>
    </row>
    <row r="7202" spans="32:32" x14ac:dyDescent="0.3">
      <c r="AF7202" s="19"/>
    </row>
    <row r="7203" spans="32:32" x14ac:dyDescent="0.3">
      <c r="AF7203" s="19"/>
    </row>
    <row r="7204" spans="32:32" x14ac:dyDescent="0.3">
      <c r="AF7204" s="19"/>
    </row>
    <row r="7205" spans="32:32" x14ac:dyDescent="0.3">
      <c r="AF7205" s="19"/>
    </row>
    <row r="7206" spans="32:32" x14ac:dyDescent="0.3">
      <c r="AF7206" s="19"/>
    </row>
    <row r="7207" spans="32:32" x14ac:dyDescent="0.3">
      <c r="AF7207" s="19"/>
    </row>
    <row r="7208" spans="32:32" x14ac:dyDescent="0.3">
      <c r="AF7208" s="19"/>
    </row>
    <row r="7224" spans="32:32" x14ac:dyDescent="0.3">
      <c r="AF7224" s="19"/>
    </row>
    <row r="7225" spans="32:32" x14ac:dyDescent="0.3">
      <c r="AF7225" s="19"/>
    </row>
    <row r="7226" spans="32:32" x14ac:dyDescent="0.3">
      <c r="AF7226" s="19"/>
    </row>
    <row r="7227" spans="32:32" x14ac:dyDescent="0.3">
      <c r="AF7227" s="19"/>
    </row>
    <row r="7228" spans="32:32" x14ac:dyDescent="0.3">
      <c r="AF7228" s="19"/>
    </row>
    <row r="7229" spans="32:32" x14ac:dyDescent="0.3">
      <c r="AF7229" s="19"/>
    </row>
    <row r="7230" spans="32:32" x14ac:dyDescent="0.3">
      <c r="AF7230" s="19"/>
    </row>
    <row r="7243" spans="32:32" x14ac:dyDescent="0.3">
      <c r="AF7243" s="19"/>
    </row>
    <row r="7244" spans="32:32" x14ac:dyDescent="0.3">
      <c r="AF7244" s="19"/>
    </row>
    <row r="7245" spans="32:32" x14ac:dyDescent="0.3">
      <c r="AF7245" s="19"/>
    </row>
    <row r="7246" spans="32:32" x14ac:dyDescent="0.3">
      <c r="AF7246" s="19"/>
    </row>
    <row r="7247" spans="32:32" x14ac:dyDescent="0.3">
      <c r="AF7247" s="19"/>
    </row>
    <row r="7248" spans="32:32" x14ac:dyDescent="0.3">
      <c r="AF7248" s="19"/>
    </row>
    <row r="7249" spans="32:32" x14ac:dyDescent="0.3">
      <c r="AF7249" s="19"/>
    </row>
    <row r="7250" spans="32:32" x14ac:dyDescent="0.3">
      <c r="AF7250" s="19"/>
    </row>
    <row r="7251" spans="32:32" x14ac:dyDescent="0.3">
      <c r="AF7251" s="19"/>
    </row>
    <row r="7252" spans="32:32" x14ac:dyDescent="0.3">
      <c r="AF7252" s="19"/>
    </row>
    <row r="7266" spans="32:32" x14ac:dyDescent="0.3">
      <c r="AF7266" s="19"/>
    </row>
    <row r="7267" spans="32:32" x14ac:dyDescent="0.3">
      <c r="AF7267" s="19"/>
    </row>
    <row r="7268" spans="32:32" x14ac:dyDescent="0.3">
      <c r="AF7268" s="19"/>
    </row>
    <row r="7269" spans="32:32" x14ac:dyDescent="0.3">
      <c r="AF7269" s="19"/>
    </row>
    <row r="7270" spans="32:32" x14ac:dyDescent="0.3">
      <c r="AF7270" s="19"/>
    </row>
    <row r="7271" spans="32:32" x14ac:dyDescent="0.3">
      <c r="AF7271" s="19"/>
    </row>
    <row r="7272" spans="32:32" x14ac:dyDescent="0.3">
      <c r="AF7272" s="19"/>
    </row>
    <row r="7273" spans="32:32" x14ac:dyDescent="0.3">
      <c r="AF7273" s="19"/>
    </row>
    <row r="7287" spans="32:32" x14ac:dyDescent="0.3">
      <c r="AF7287" s="19"/>
    </row>
    <row r="7288" spans="32:32" x14ac:dyDescent="0.3">
      <c r="AF7288" s="19"/>
    </row>
    <row r="7289" spans="32:32" x14ac:dyDescent="0.3">
      <c r="AF7289" s="19"/>
    </row>
    <row r="7290" spans="32:32" x14ac:dyDescent="0.3">
      <c r="AF7290" s="19"/>
    </row>
    <row r="7291" spans="32:32" x14ac:dyDescent="0.3">
      <c r="AF7291" s="19"/>
    </row>
    <row r="7292" spans="32:32" x14ac:dyDescent="0.3">
      <c r="AF7292" s="19"/>
    </row>
    <row r="7293" spans="32:32" x14ac:dyDescent="0.3">
      <c r="AF7293" s="19"/>
    </row>
    <row r="7306" spans="32:32" x14ac:dyDescent="0.3">
      <c r="AF7306" s="19"/>
    </row>
    <row r="7307" spans="32:32" x14ac:dyDescent="0.3">
      <c r="AF7307" s="19"/>
    </row>
    <row r="7308" spans="32:32" x14ac:dyDescent="0.3">
      <c r="AF7308" s="19"/>
    </row>
    <row r="7309" spans="32:32" x14ac:dyDescent="0.3">
      <c r="AF7309" s="19"/>
    </row>
    <row r="7310" spans="32:32" x14ac:dyDescent="0.3">
      <c r="AF7310" s="19"/>
    </row>
    <row r="7311" spans="32:32" x14ac:dyDescent="0.3">
      <c r="AF7311" s="19"/>
    </row>
    <row r="7312" spans="32:32" x14ac:dyDescent="0.3">
      <c r="AF7312" s="19"/>
    </row>
    <row r="7313" spans="32:32" x14ac:dyDescent="0.3">
      <c r="AF7313" s="19"/>
    </row>
    <row r="7327" spans="32:32" x14ac:dyDescent="0.3">
      <c r="AF7327" s="19"/>
    </row>
    <row r="7328" spans="32:32" x14ac:dyDescent="0.3">
      <c r="AF7328" s="19"/>
    </row>
    <row r="7329" spans="32:32" x14ac:dyDescent="0.3">
      <c r="AF7329" s="19"/>
    </row>
    <row r="7330" spans="32:32" x14ac:dyDescent="0.3">
      <c r="AF7330" s="19"/>
    </row>
    <row r="7331" spans="32:32" x14ac:dyDescent="0.3">
      <c r="AF7331" s="19"/>
    </row>
    <row r="7332" spans="32:32" x14ac:dyDescent="0.3">
      <c r="AF7332" s="19"/>
    </row>
    <row r="7333" spans="32:32" x14ac:dyDescent="0.3">
      <c r="AF7333" s="19"/>
    </row>
    <row r="7334" spans="32:32" x14ac:dyDescent="0.3">
      <c r="AF7334" s="19"/>
    </row>
    <row r="7346" spans="32:32" x14ac:dyDescent="0.3">
      <c r="AF7346" s="19"/>
    </row>
    <row r="7347" spans="32:32" x14ac:dyDescent="0.3">
      <c r="AF7347" s="19"/>
    </row>
    <row r="7348" spans="32:32" x14ac:dyDescent="0.3">
      <c r="AF7348" s="19"/>
    </row>
    <row r="7349" spans="32:32" x14ac:dyDescent="0.3">
      <c r="AF7349" s="19"/>
    </row>
    <row r="7350" spans="32:32" x14ac:dyDescent="0.3">
      <c r="AF7350" s="19"/>
    </row>
    <row r="7351" spans="32:32" x14ac:dyDescent="0.3">
      <c r="AF7351" s="19"/>
    </row>
    <row r="7352" spans="32:32" x14ac:dyDescent="0.3">
      <c r="AF7352" s="19"/>
    </row>
    <row r="7353" spans="32:32" x14ac:dyDescent="0.3">
      <c r="AF7353" s="19"/>
    </row>
    <row r="7367" spans="32:32" x14ac:dyDescent="0.3">
      <c r="AF7367" s="19"/>
    </row>
    <row r="7368" spans="32:32" x14ac:dyDescent="0.3">
      <c r="AF7368" s="19"/>
    </row>
    <row r="7369" spans="32:32" x14ac:dyDescent="0.3">
      <c r="AF7369" s="19"/>
    </row>
    <row r="7370" spans="32:32" x14ac:dyDescent="0.3">
      <c r="AF7370" s="19"/>
    </row>
    <row r="7371" spans="32:32" x14ac:dyDescent="0.3">
      <c r="AF7371" s="19"/>
    </row>
    <row r="7372" spans="32:32" x14ac:dyDescent="0.3">
      <c r="AF7372" s="19"/>
    </row>
    <row r="7373" spans="32:32" x14ac:dyDescent="0.3">
      <c r="AF7373" s="19"/>
    </row>
    <row r="7374" spans="32:32" x14ac:dyDescent="0.3">
      <c r="AF7374" s="19"/>
    </row>
    <row r="7375" spans="32:32" x14ac:dyDescent="0.3">
      <c r="AF7375" s="19"/>
    </row>
    <row r="7376" spans="32:32" x14ac:dyDescent="0.3">
      <c r="AF7376" s="19"/>
    </row>
    <row r="7388" spans="32:32" x14ac:dyDescent="0.3">
      <c r="AF7388" s="19"/>
    </row>
    <row r="7389" spans="32:32" x14ac:dyDescent="0.3">
      <c r="AF7389" s="19"/>
    </row>
    <row r="7390" spans="32:32" x14ac:dyDescent="0.3">
      <c r="AF7390" s="19"/>
    </row>
    <row r="7391" spans="32:32" x14ac:dyDescent="0.3">
      <c r="AF7391" s="19"/>
    </row>
    <row r="7392" spans="32:32" x14ac:dyDescent="0.3">
      <c r="AF7392" s="19"/>
    </row>
    <row r="7393" spans="32:32" x14ac:dyDescent="0.3">
      <c r="AF7393" s="19"/>
    </row>
    <row r="7394" spans="32:32" x14ac:dyDescent="0.3">
      <c r="AF7394" s="19"/>
    </row>
    <row r="7395" spans="32:32" x14ac:dyDescent="0.3">
      <c r="AF7395" s="19"/>
    </row>
    <row r="7410" spans="32:32" x14ac:dyDescent="0.3">
      <c r="AF7410" s="19"/>
    </row>
    <row r="7411" spans="32:32" x14ac:dyDescent="0.3">
      <c r="AF7411" s="19"/>
    </row>
    <row r="7412" spans="32:32" x14ac:dyDescent="0.3">
      <c r="AF7412" s="19"/>
    </row>
    <row r="7413" spans="32:32" x14ac:dyDescent="0.3">
      <c r="AF7413" s="19"/>
    </row>
    <row r="7414" spans="32:32" x14ac:dyDescent="0.3">
      <c r="AF7414" s="19"/>
    </row>
    <row r="7415" spans="32:32" x14ac:dyDescent="0.3">
      <c r="AF7415" s="19"/>
    </row>
    <row r="7416" spans="32:32" x14ac:dyDescent="0.3">
      <c r="AF7416" s="19"/>
    </row>
    <row r="7417" spans="32:32" x14ac:dyDescent="0.3">
      <c r="AF7417" s="19"/>
    </row>
    <row r="7430" spans="32:32" x14ac:dyDescent="0.3">
      <c r="AF7430" s="19"/>
    </row>
    <row r="7431" spans="32:32" x14ac:dyDescent="0.3">
      <c r="AF7431" s="19"/>
    </row>
    <row r="7432" spans="32:32" x14ac:dyDescent="0.3">
      <c r="AF7432" s="19"/>
    </row>
    <row r="7433" spans="32:32" x14ac:dyDescent="0.3">
      <c r="AF7433" s="19"/>
    </row>
    <row r="7434" spans="32:32" x14ac:dyDescent="0.3">
      <c r="AF7434" s="19"/>
    </row>
    <row r="7435" spans="32:32" x14ac:dyDescent="0.3">
      <c r="AF7435" s="19"/>
    </row>
    <row r="7436" spans="32:32" x14ac:dyDescent="0.3">
      <c r="AF7436" s="19"/>
    </row>
    <row r="7437" spans="32:32" x14ac:dyDescent="0.3">
      <c r="AF7437" s="19"/>
    </row>
    <row r="7438" spans="32:32" x14ac:dyDescent="0.3">
      <c r="AF7438" s="19"/>
    </row>
    <row r="7452" spans="32:32" x14ac:dyDescent="0.3">
      <c r="AF7452" s="19"/>
    </row>
    <row r="7453" spans="32:32" x14ac:dyDescent="0.3">
      <c r="AF7453" s="19"/>
    </row>
    <row r="7454" spans="32:32" x14ac:dyDescent="0.3">
      <c r="AF7454" s="19"/>
    </row>
    <row r="7455" spans="32:32" x14ac:dyDescent="0.3">
      <c r="AF7455" s="19"/>
    </row>
    <row r="7456" spans="32:32" x14ac:dyDescent="0.3">
      <c r="AF7456" s="19"/>
    </row>
    <row r="7457" spans="32:32" x14ac:dyDescent="0.3">
      <c r="AF7457" s="19"/>
    </row>
    <row r="7458" spans="32:32" x14ac:dyDescent="0.3">
      <c r="AF7458" s="19"/>
    </row>
    <row r="7459" spans="32:32" x14ac:dyDescent="0.3">
      <c r="AF7459" s="19"/>
    </row>
    <row r="7474" spans="32:32" x14ac:dyDescent="0.3">
      <c r="AF7474" s="19"/>
    </row>
    <row r="7475" spans="32:32" x14ac:dyDescent="0.3">
      <c r="AF7475" s="19"/>
    </row>
    <row r="7476" spans="32:32" x14ac:dyDescent="0.3">
      <c r="AF7476" s="19"/>
    </row>
    <row r="7477" spans="32:32" x14ac:dyDescent="0.3">
      <c r="AF7477" s="19"/>
    </row>
    <row r="7478" spans="32:32" x14ac:dyDescent="0.3">
      <c r="AF7478" s="19"/>
    </row>
    <row r="7479" spans="32:32" x14ac:dyDescent="0.3">
      <c r="AF7479" s="19"/>
    </row>
    <row r="7480" spans="32:32" x14ac:dyDescent="0.3">
      <c r="AF7480" s="19"/>
    </row>
    <row r="7481" spans="32:32" x14ac:dyDescent="0.3">
      <c r="AF7481" s="19"/>
    </row>
    <row r="7494" spans="32:32" x14ac:dyDescent="0.3">
      <c r="AF7494" s="19"/>
    </row>
    <row r="7495" spans="32:32" x14ac:dyDescent="0.3">
      <c r="AF7495" s="19"/>
    </row>
    <row r="7496" spans="32:32" x14ac:dyDescent="0.3">
      <c r="AF7496" s="19"/>
    </row>
    <row r="7497" spans="32:32" x14ac:dyDescent="0.3">
      <c r="AF7497" s="19"/>
    </row>
    <row r="7498" spans="32:32" x14ac:dyDescent="0.3">
      <c r="AF7498" s="19"/>
    </row>
    <row r="7499" spans="32:32" x14ac:dyDescent="0.3">
      <c r="AF7499" s="19"/>
    </row>
    <row r="7500" spans="32:32" x14ac:dyDescent="0.3">
      <c r="AF7500" s="19"/>
    </row>
    <row r="7501" spans="32:32" x14ac:dyDescent="0.3">
      <c r="AF7501" s="19"/>
    </row>
    <row r="7502" spans="32:32" x14ac:dyDescent="0.3">
      <c r="AF7502" s="19"/>
    </row>
    <row r="7517" spans="32:32" x14ac:dyDescent="0.3">
      <c r="AF7517" s="19"/>
    </row>
    <row r="7518" spans="32:32" x14ac:dyDescent="0.3">
      <c r="AF7518" s="19"/>
    </row>
    <row r="7519" spans="32:32" x14ac:dyDescent="0.3">
      <c r="AF7519" s="19"/>
    </row>
    <row r="7520" spans="32:32" x14ac:dyDescent="0.3">
      <c r="AF7520" s="19"/>
    </row>
    <row r="7521" spans="32:32" x14ac:dyDescent="0.3">
      <c r="AF7521" s="19"/>
    </row>
    <row r="7522" spans="32:32" x14ac:dyDescent="0.3">
      <c r="AF7522" s="19"/>
    </row>
    <row r="7523" spans="32:32" x14ac:dyDescent="0.3">
      <c r="AF7523" s="19"/>
    </row>
    <row r="7524" spans="32:32" x14ac:dyDescent="0.3">
      <c r="AF7524" s="19"/>
    </row>
    <row r="7537" spans="32:32" x14ac:dyDescent="0.3">
      <c r="AF7537" s="19"/>
    </row>
    <row r="7538" spans="32:32" x14ac:dyDescent="0.3">
      <c r="AF7538" s="19"/>
    </row>
    <row r="7539" spans="32:32" x14ac:dyDescent="0.3">
      <c r="AF7539" s="19"/>
    </row>
    <row r="7540" spans="32:32" x14ac:dyDescent="0.3">
      <c r="AF7540" s="19"/>
    </row>
    <row r="7541" spans="32:32" x14ac:dyDescent="0.3">
      <c r="AF7541" s="19"/>
    </row>
    <row r="7542" spans="32:32" x14ac:dyDescent="0.3">
      <c r="AF7542" s="19"/>
    </row>
    <row r="7543" spans="32:32" x14ac:dyDescent="0.3">
      <c r="AF7543" s="19"/>
    </row>
    <row r="7544" spans="32:32" x14ac:dyDescent="0.3">
      <c r="AF7544" s="19"/>
    </row>
    <row r="7545" spans="32:32" x14ac:dyDescent="0.3">
      <c r="AF7545" s="19"/>
    </row>
    <row r="7558" spans="32:32" x14ac:dyDescent="0.3">
      <c r="AF7558" s="19"/>
    </row>
    <row r="7559" spans="32:32" x14ac:dyDescent="0.3">
      <c r="AF7559" s="19"/>
    </row>
    <row r="7560" spans="32:32" x14ac:dyDescent="0.3">
      <c r="AF7560" s="19"/>
    </row>
    <row r="7561" spans="32:32" x14ac:dyDescent="0.3">
      <c r="AF7561" s="19"/>
    </row>
    <row r="7562" spans="32:32" x14ac:dyDescent="0.3">
      <c r="AF7562" s="19"/>
    </row>
    <row r="7563" spans="32:32" x14ac:dyDescent="0.3">
      <c r="AF7563" s="19"/>
    </row>
    <row r="7564" spans="32:32" x14ac:dyDescent="0.3">
      <c r="AF7564" s="19"/>
    </row>
    <row r="7579" spans="32:32" x14ac:dyDescent="0.3">
      <c r="AF7579" s="19"/>
    </row>
    <row r="7580" spans="32:32" x14ac:dyDescent="0.3">
      <c r="AF7580" s="19"/>
    </row>
    <row r="7581" spans="32:32" x14ac:dyDescent="0.3">
      <c r="AF7581" s="19"/>
    </row>
    <row r="7582" spans="32:32" x14ac:dyDescent="0.3">
      <c r="AF7582" s="19"/>
    </row>
    <row r="7583" spans="32:32" x14ac:dyDescent="0.3">
      <c r="AF7583" s="19"/>
    </row>
    <row r="7584" spans="32:32" x14ac:dyDescent="0.3">
      <c r="AF7584" s="19"/>
    </row>
    <row r="7585" spans="32:32" x14ac:dyDescent="0.3">
      <c r="AF7585" s="19"/>
    </row>
    <row r="7586" spans="32:32" x14ac:dyDescent="0.3">
      <c r="AF7586" s="19"/>
    </row>
    <row r="7598" spans="32:32" x14ac:dyDescent="0.3">
      <c r="AF7598" s="19"/>
    </row>
    <row r="7599" spans="32:32" x14ac:dyDescent="0.3">
      <c r="AF7599" s="19"/>
    </row>
    <row r="7600" spans="32:32" x14ac:dyDescent="0.3">
      <c r="AF7600" s="19"/>
    </row>
    <row r="7601" spans="32:32" x14ac:dyDescent="0.3">
      <c r="AF7601" s="19"/>
    </row>
    <row r="7602" spans="32:32" x14ac:dyDescent="0.3">
      <c r="AF7602" s="19"/>
    </row>
    <row r="7603" spans="32:32" x14ac:dyDescent="0.3">
      <c r="AF7603" s="19"/>
    </row>
    <row r="7604" spans="32:32" x14ac:dyDescent="0.3">
      <c r="AF7604" s="19"/>
    </row>
    <row r="7605" spans="32:32" x14ac:dyDescent="0.3">
      <c r="AF7605" s="19"/>
    </row>
    <row r="7606" spans="32:32" x14ac:dyDescent="0.3">
      <c r="AF7606" s="19"/>
    </row>
    <row r="7620" spans="32:32" x14ac:dyDescent="0.3">
      <c r="AF7620" s="19"/>
    </row>
    <row r="7621" spans="32:32" x14ac:dyDescent="0.3">
      <c r="AF7621" s="19"/>
    </row>
    <row r="7622" spans="32:32" x14ac:dyDescent="0.3">
      <c r="AF7622" s="19"/>
    </row>
    <row r="7623" spans="32:32" x14ac:dyDescent="0.3">
      <c r="AF7623" s="19"/>
    </row>
    <row r="7624" spans="32:32" x14ac:dyDescent="0.3">
      <c r="AF7624" s="19"/>
    </row>
    <row r="7625" spans="32:32" x14ac:dyDescent="0.3">
      <c r="AF7625" s="19"/>
    </row>
    <row r="7626" spans="32:32" x14ac:dyDescent="0.3">
      <c r="AF7626" s="19"/>
    </row>
    <row r="7641" spans="32:32" x14ac:dyDescent="0.3">
      <c r="AF7641" s="19"/>
    </row>
    <row r="7642" spans="32:32" x14ac:dyDescent="0.3">
      <c r="AF7642" s="19"/>
    </row>
    <row r="7643" spans="32:32" x14ac:dyDescent="0.3">
      <c r="AF7643" s="19"/>
    </row>
    <row r="7644" spans="32:32" x14ac:dyDescent="0.3">
      <c r="AF7644" s="19"/>
    </row>
    <row r="7645" spans="32:32" x14ac:dyDescent="0.3">
      <c r="AF7645" s="19"/>
    </row>
    <row r="7646" spans="32:32" x14ac:dyDescent="0.3">
      <c r="AF7646" s="19"/>
    </row>
    <row r="7647" spans="32:32" x14ac:dyDescent="0.3">
      <c r="AF7647" s="19"/>
    </row>
    <row r="7648" spans="32:32" x14ac:dyDescent="0.3">
      <c r="AF7648" s="19"/>
    </row>
    <row r="7661" spans="32:32" x14ac:dyDescent="0.3">
      <c r="AF7661" s="19"/>
    </row>
    <row r="7662" spans="32:32" x14ac:dyDescent="0.3">
      <c r="AF7662" s="19"/>
    </row>
    <row r="7663" spans="32:32" x14ac:dyDescent="0.3">
      <c r="AF7663" s="19"/>
    </row>
    <row r="7664" spans="32:32" x14ac:dyDescent="0.3">
      <c r="AF7664" s="19"/>
    </row>
    <row r="7665" spans="32:32" x14ac:dyDescent="0.3">
      <c r="AF7665" s="19"/>
    </row>
    <row r="7666" spans="32:32" x14ac:dyDescent="0.3">
      <c r="AF7666" s="19"/>
    </row>
    <row r="7667" spans="32:32" x14ac:dyDescent="0.3">
      <c r="AF7667" s="19"/>
    </row>
    <row r="7668" spans="32:32" x14ac:dyDescent="0.3">
      <c r="AF7668" s="19"/>
    </row>
    <row r="7669" spans="32:32" x14ac:dyDescent="0.3">
      <c r="AF7669" s="19"/>
    </row>
    <row r="7670" spans="32:32" x14ac:dyDescent="0.3">
      <c r="AF7670" s="19"/>
    </row>
    <row r="7683" spans="32:32" x14ac:dyDescent="0.3">
      <c r="AF7683" s="19"/>
    </row>
    <row r="7684" spans="32:32" x14ac:dyDescent="0.3">
      <c r="AF7684" s="19"/>
    </row>
    <row r="7685" spans="32:32" x14ac:dyDescent="0.3">
      <c r="AF7685" s="19"/>
    </row>
    <row r="7686" spans="32:32" x14ac:dyDescent="0.3">
      <c r="AF7686" s="19"/>
    </row>
    <row r="7687" spans="32:32" x14ac:dyDescent="0.3">
      <c r="AF7687" s="19"/>
    </row>
    <row r="7688" spans="32:32" x14ac:dyDescent="0.3">
      <c r="AF7688" s="19"/>
    </row>
    <row r="7689" spans="32:32" x14ac:dyDescent="0.3">
      <c r="AF7689" s="19"/>
    </row>
    <row r="7705" spans="32:32" x14ac:dyDescent="0.3">
      <c r="AF7705" s="19"/>
    </row>
    <row r="7706" spans="32:32" x14ac:dyDescent="0.3">
      <c r="AF7706" s="19"/>
    </row>
    <row r="7707" spans="32:32" x14ac:dyDescent="0.3">
      <c r="AF7707" s="19"/>
    </row>
    <row r="7708" spans="32:32" x14ac:dyDescent="0.3">
      <c r="AF7708" s="19"/>
    </row>
    <row r="7709" spans="32:32" x14ac:dyDescent="0.3">
      <c r="AF7709" s="19"/>
    </row>
    <row r="7710" spans="32:32" x14ac:dyDescent="0.3">
      <c r="AF7710" s="19"/>
    </row>
    <row r="7711" spans="32:32" x14ac:dyDescent="0.3">
      <c r="AF7711" s="19"/>
    </row>
    <row r="7712" spans="32:32" x14ac:dyDescent="0.3">
      <c r="AF7712" s="19"/>
    </row>
    <row r="7726" spans="32:32" x14ac:dyDescent="0.3">
      <c r="AF7726" s="19"/>
    </row>
    <row r="7727" spans="32:32" x14ac:dyDescent="0.3">
      <c r="AF7727" s="19"/>
    </row>
    <row r="7728" spans="32:32" x14ac:dyDescent="0.3">
      <c r="AF7728" s="19"/>
    </row>
    <row r="7729" spans="32:32" x14ac:dyDescent="0.3">
      <c r="AF7729" s="19"/>
    </row>
    <row r="7730" spans="32:32" x14ac:dyDescent="0.3">
      <c r="AF7730" s="19"/>
    </row>
    <row r="7731" spans="32:32" x14ac:dyDescent="0.3">
      <c r="AF7731" s="19"/>
    </row>
    <row r="7732" spans="32:32" x14ac:dyDescent="0.3">
      <c r="AF7732" s="19"/>
    </row>
    <row r="7733" spans="32:32" x14ac:dyDescent="0.3">
      <c r="AF7733" s="19"/>
    </row>
    <row r="7747" spans="32:32" x14ac:dyDescent="0.3">
      <c r="AF7747" s="19"/>
    </row>
    <row r="7748" spans="32:32" x14ac:dyDescent="0.3">
      <c r="AF7748" s="19"/>
    </row>
    <row r="7749" spans="32:32" x14ac:dyDescent="0.3">
      <c r="AF7749" s="19"/>
    </row>
    <row r="7750" spans="32:32" x14ac:dyDescent="0.3">
      <c r="AF7750" s="19"/>
    </row>
    <row r="7751" spans="32:32" x14ac:dyDescent="0.3">
      <c r="AF7751" s="19"/>
    </row>
    <row r="7752" spans="32:32" x14ac:dyDescent="0.3">
      <c r="AF7752" s="19"/>
    </row>
    <row r="7753" spans="32:32" x14ac:dyDescent="0.3">
      <c r="AF7753" s="19"/>
    </row>
    <row r="7754" spans="32:32" x14ac:dyDescent="0.3">
      <c r="AF7754" s="19"/>
    </row>
    <row r="7769" spans="32:32" x14ac:dyDescent="0.3">
      <c r="AF7769" s="19"/>
    </row>
    <row r="7770" spans="32:32" x14ac:dyDescent="0.3">
      <c r="AF7770" s="19"/>
    </row>
    <row r="7771" spans="32:32" x14ac:dyDescent="0.3">
      <c r="AF7771" s="19"/>
    </row>
    <row r="7772" spans="32:32" x14ac:dyDescent="0.3">
      <c r="AF7772" s="19"/>
    </row>
    <row r="7773" spans="32:32" x14ac:dyDescent="0.3">
      <c r="AF7773" s="19"/>
    </row>
    <row r="7774" spans="32:32" x14ac:dyDescent="0.3">
      <c r="AF7774" s="19"/>
    </row>
    <row r="7775" spans="32:32" x14ac:dyDescent="0.3">
      <c r="AF7775" s="19"/>
    </row>
    <row r="7776" spans="32:32" x14ac:dyDescent="0.3">
      <c r="AF7776" s="19"/>
    </row>
    <row r="7777" spans="32:32" x14ac:dyDescent="0.3">
      <c r="AF7777" s="19"/>
    </row>
    <row r="7789" spans="32:32" x14ac:dyDescent="0.3">
      <c r="AF7789" s="19"/>
    </row>
    <row r="7790" spans="32:32" x14ac:dyDescent="0.3">
      <c r="AF7790" s="19"/>
    </row>
    <row r="7791" spans="32:32" x14ac:dyDescent="0.3">
      <c r="AF7791" s="19"/>
    </row>
    <row r="7792" spans="32:32" x14ac:dyDescent="0.3">
      <c r="AF7792" s="19"/>
    </row>
    <row r="7793" spans="32:32" x14ac:dyDescent="0.3">
      <c r="AF7793" s="19"/>
    </row>
    <row r="7794" spans="32:32" x14ac:dyDescent="0.3">
      <c r="AF7794" s="19"/>
    </row>
    <row r="7795" spans="32:32" x14ac:dyDescent="0.3">
      <c r="AF7795" s="19"/>
    </row>
    <row r="7796" spans="32:32" x14ac:dyDescent="0.3">
      <c r="AF7796" s="19"/>
    </row>
    <row r="7797" spans="32:32" x14ac:dyDescent="0.3">
      <c r="AF7797" s="19"/>
    </row>
    <row r="7811" spans="32:32" x14ac:dyDescent="0.3">
      <c r="AF7811" s="19"/>
    </row>
    <row r="7812" spans="32:32" x14ac:dyDescent="0.3">
      <c r="AF7812" s="19"/>
    </row>
    <row r="7813" spans="32:32" x14ac:dyDescent="0.3">
      <c r="AF7813" s="19"/>
    </row>
    <row r="7814" spans="32:32" x14ac:dyDescent="0.3">
      <c r="AF7814" s="19"/>
    </row>
    <row r="7815" spans="32:32" x14ac:dyDescent="0.3">
      <c r="AF7815" s="19"/>
    </row>
    <row r="7816" spans="32:32" x14ac:dyDescent="0.3">
      <c r="AF7816" s="19"/>
    </row>
    <row r="7817" spans="32:32" x14ac:dyDescent="0.3">
      <c r="AF7817" s="19"/>
    </row>
    <row r="7830" spans="32:32" x14ac:dyDescent="0.3">
      <c r="AF7830" s="19"/>
    </row>
    <row r="7831" spans="32:32" x14ac:dyDescent="0.3">
      <c r="AF7831" s="19"/>
    </row>
    <row r="7832" spans="32:32" x14ac:dyDescent="0.3">
      <c r="AF7832" s="19"/>
    </row>
    <row r="7833" spans="32:32" x14ac:dyDescent="0.3">
      <c r="AF7833" s="19"/>
    </row>
    <row r="7834" spans="32:32" x14ac:dyDescent="0.3">
      <c r="AF7834" s="19"/>
    </row>
    <row r="7835" spans="32:32" x14ac:dyDescent="0.3">
      <c r="AF7835" s="19"/>
    </row>
    <row r="7836" spans="32:32" x14ac:dyDescent="0.3">
      <c r="AF7836" s="19"/>
    </row>
    <row r="7837" spans="32:32" x14ac:dyDescent="0.3">
      <c r="AF7837" s="19"/>
    </row>
    <row r="7838" spans="32:32" x14ac:dyDescent="0.3">
      <c r="AF7838" s="19"/>
    </row>
    <row r="7839" spans="32:32" x14ac:dyDescent="0.3">
      <c r="AF7839" s="19"/>
    </row>
    <row r="7849" spans="32:32" x14ac:dyDescent="0.3">
      <c r="AF7849" s="19"/>
    </row>
    <row r="7850" spans="32:32" x14ac:dyDescent="0.3">
      <c r="AF7850" s="19"/>
    </row>
    <row r="7851" spans="32:32" x14ac:dyDescent="0.3">
      <c r="AF7851" s="19"/>
    </row>
    <row r="7852" spans="32:32" x14ac:dyDescent="0.3">
      <c r="AF7852" s="19"/>
    </row>
    <row r="7853" spans="32:32" x14ac:dyDescent="0.3">
      <c r="AF7853" s="19"/>
    </row>
    <row r="7854" spans="32:32" x14ac:dyDescent="0.3">
      <c r="AF7854" s="19"/>
    </row>
    <row r="7855" spans="32:32" x14ac:dyDescent="0.3">
      <c r="AF7855" s="19"/>
    </row>
    <row r="7856" spans="32:32" x14ac:dyDescent="0.3">
      <c r="AF7856" s="19"/>
    </row>
    <row r="7857" spans="32:32" x14ac:dyDescent="0.3">
      <c r="AF7857" s="19"/>
    </row>
    <row r="7858" spans="32:32" x14ac:dyDescent="0.3">
      <c r="AF7858" s="19"/>
    </row>
    <row r="7872" spans="32:32" x14ac:dyDescent="0.3">
      <c r="AF7872" s="19"/>
    </row>
    <row r="7873" spans="32:32" x14ac:dyDescent="0.3">
      <c r="AF7873" s="19"/>
    </row>
    <row r="7874" spans="32:32" x14ac:dyDescent="0.3">
      <c r="AF7874" s="19"/>
    </row>
    <row r="7875" spans="32:32" x14ac:dyDescent="0.3">
      <c r="AF7875" s="19"/>
    </row>
    <row r="7876" spans="32:32" x14ac:dyDescent="0.3">
      <c r="AF7876" s="19"/>
    </row>
    <row r="7877" spans="32:32" x14ac:dyDescent="0.3">
      <c r="AF7877" s="19"/>
    </row>
    <row r="7878" spans="32:32" x14ac:dyDescent="0.3">
      <c r="AF7878" s="19"/>
    </row>
    <row r="7893" spans="32:32" x14ac:dyDescent="0.3">
      <c r="AF7893" s="19"/>
    </row>
    <row r="7894" spans="32:32" x14ac:dyDescent="0.3">
      <c r="AF7894" s="19"/>
    </row>
    <row r="7895" spans="32:32" x14ac:dyDescent="0.3">
      <c r="AF7895" s="19"/>
    </row>
    <row r="7896" spans="32:32" x14ac:dyDescent="0.3">
      <c r="AF7896" s="19"/>
    </row>
    <row r="7897" spans="32:32" x14ac:dyDescent="0.3">
      <c r="AF7897" s="19"/>
    </row>
    <row r="7898" spans="32:32" x14ac:dyDescent="0.3">
      <c r="AF7898" s="19"/>
    </row>
    <row r="7899" spans="32:32" x14ac:dyDescent="0.3">
      <c r="AF7899" s="19"/>
    </row>
    <row r="7900" spans="32:32" x14ac:dyDescent="0.3">
      <c r="AF7900" s="19"/>
    </row>
    <row r="7913" spans="32:32" x14ac:dyDescent="0.3">
      <c r="AF7913" s="19"/>
    </row>
    <row r="7914" spans="32:32" x14ac:dyDescent="0.3">
      <c r="AF7914" s="19"/>
    </row>
    <row r="7915" spans="32:32" x14ac:dyDescent="0.3">
      <c r="AF7915" s="19"/>
    </row>
    <row r="7916" spans="32:32" x14ac:dyDescent="0.3">
      <c r="AF7916" s="19"/>
    </row>
    <row r="7917" spans="32:32" x14ac:dyDescent="0.3">
      <c r="AF7917" s="19"/>
    </row>
    <row r="7918" spans="32:32" x14ac:dyDescent="0.3">
      <c r="AF7918" s="19"/>
    </row>
    <row r="7919" spans="32:32" x14ac:dyDescent="0.3">
      <c r="AF7919" s="19"/>
    </row>
    <row r="7920" spans="32:32" x14ac:dyDescent="0.3">
      <c r="AF7920" s="19"/>
    </row>
    <row r="7921" spans="32:32" x14ac:dyDescent="0.3">
      <c r="AF7921" s="19"/>
    </row>
    <row r="7935" spans="32:32" x14ac:dyDescent="0.3">
      <c r="AF7935" s="19"/>
    </row>
    <row r="7936" spans="32:32" x14ac:dyDescent="0.3">
      <c r="AF7936" s="19"/>
    </row>
    <row r="7937" spans="32:32" x14ac:dyDescent="0.3">
      <c r="AF7937" s="19"/>
    </row>
    <row r="7938" spans="32:32" x14ac:dyDescent="0.3">
      <c r="AF7938" s="19"/>
    </row>
    <row r="7939" spans="32:32" x14ac:dyDescent="0.3">
      <c r="AF7939" s="19"/>
    </row>
    <row r="7940" spans="32:32" x14ac:dyDescent="0.3">
      <c r="AF7940" s="19"/>
    </row>
    <row r="7941" spans="32:32" x14ac:dyDescent="0.3">
      <c r="AF7941" s="19"/>
    </row>
    <row r="7956" spans="32:32" x14ac:dyDescent="0.3">
      <c r="AF7956" s="19"/>
    </row>
    <row r="7957" spans="32:32" x14ac:dyDescent="0.3">
      <c r="AF7957" s="19"/>
    </row>
    <row r="7958" spans="32:32" x14ac:dyDescent="0.3">
      <c r="AF7958" s="19"/>
    </row>
    <row r="7959" spans="32:32" x14ac:dyDescent="0.3">
      <c r="AF7959" s="19"/>
    </row>
    <row r="7960" spans="32:32" x14ac:dyDescent="0.3">
      <c r="AF7960" s="19"/>
    </row>
    <row r="7961" spans="32:32" x14ac:dyDescent="0.3">
      <c r="AF7961" s="19"/>
    </row>
    <row r="7962" spans="32:32" x14ac:dyDescent="0.3">
      <c r="AF7962" s="19"/>
    </row>
    <row r="7963" spans="32:32" x14ac:dyDescent="0.3">
      <c r="AF7963" s="19"/>
    </row>
    <row r="7964" spans="32:32" x14ac:dyDescent="0.3">
      <c r="AF7964" s="19"/>
    </row>
    <row r="7978" spans="32:32" x14ac:dyDescent="0.3">
      <c r="AF7978" s="19"/>
    </row>
    <row r="7979" spans="32:32" x14ac:dyDescent="0.3">
      <c r="AF7979" s="19"/>
    </row>
    <row r="7980" spans="32:32" x14ac:dyDescent="0.3">
      <c r="AF7980" s="19"/>
    </row>
    <row r="7981" spans="32:32" x14ac:dyDescent="0.3">
      <c r="AF7981" s="19"/>
    </row>
    <row r="7982" spans="32:32" x14ac:dyDescent="0.3">
      <c r="AF7982" s="19"/>
    </row>
    <row r="7983" spans="32:32" x14ac:dyDescent="0.3">
      <c r="AF7983" s="19"/>
    </row>
    <row r="7984" spans="32:32" x14ac:dyDescent="0.3">
      <c r="AF7984" s="19"/>
    </row>
    <row r="7999" spans="32:32" x14ac:dyDescent="0.3">
      <c r="AF7999" s="19"/>
    </row>
    <row r="8000" spans="32:32" x14ac:dyDescent="0.3">
      <c r="AF8000" s="19"/>
    </row>
    <row r="8001" spans="32:32" x14ac:dyDescent="0.3">
      <c r="AF8001" s="19"/>
    </row>
    <row r="8002" spans="32:32" x14ac:dyDescent="0.3">
      <c r="AF8002" s="19"/>
    </row>
    <row r="8003" spans="32:32" x14ac:dyDescent="0.3">
      <c r="AF8003" s="19"/>
    </row>
    <row r="8004" spans="32:32" x14ac:dyDescent="0.3">
      <c r="AF8004" s="19"/>
    </row>
    <row r="8005" spans="32:32" x14ac:dyDescent="0.3">
      <c r="AF8005" s="19"/>
    </row>
    <row r="8006" spans="32:32" x14ac:dyDescent="0.3">
      <c r="AF8006" s="19"/>
    </row>
    <row r="8020" spans="32:32" x14ac:dyDescent="0.3">
      <c r="AF8020" s="19"/>
    </row>
    <row r="8021" spans="32:32" x14ac:dyDescent="0.3">
      <c r="AF8021" s="19"/>
    </row>
    <row r="8022" spans="32:32" x14ac:dyDescent="0.3">
      <c r="AF8022" s="19"/>
    </row>
    <row r="8023" spans="32:32" x14ac:dyDescent="0.3">
      <c r="AF8023" s="19"/>
    </row>
    <row r="8024" spans="32:32" x14ac:dyDescent="0.3">
      <c r="AF8024" s="19"/>
    </row>
    <row r="8025" spans="32:32" x14ac:dyDescent="0.3">
      <c r="AF8025" s="19"/>
    </row>
    <row r="8026" spans="32:32" x14ac:dyDescent="0.3">
      <c r="AF8026" s="19"/>
    </row>
    <row r="8027" spans="32:32" x14ac:dyDescent="0.3">
      <c r="AF8027" s="19"/>
    </row>
    <row r="8028" spans="32:32" x14ac:dyDescent="0.3">
      <c r="AF8028" s="19"/>
    </row>
    <row r="8029" spans="32:32" x14ac:dyDescent="0.3">
      <c r="AF8029" s="19"/>
    </row>
    <row r="8041" spans="32:32" x14ac:dyDescent="0.3">
      <c r="AF8041" s="19"/>
    </row>
    <row r="8042" spans="32:32" x14ac:dyDescent="0.3">
      <c r="AF8042" s="19"/>
    </row>
    <row r="8043" spans="32:32" x14ac:dyDescent="0.3">
      <c r="AF8043" s="19"/>
    </row>
    <row r="8044" spans="32:32" x14ac:dyDescent="0.3">
      <c r="AF8044" s="19"/>
    </row>
    <row r="8045" spans="32:32" x14ac:dyDescent="0.3">
      <c r="AF8045" s="19"/>
    </row>
    <row r="8046" spans="32:32" x14ac:dyDescent="0.3">
      <c r="AF8046" s="19"/>
    </row>
    <row r="8047" spans="32:32" x14ac:dyDescent="0.3">
      <c r="AF8047" s="19"/>
    </row>
    <row r="8048" spans="32:32" x14ac:dyDescent="0.3">
      <c r="AF8048" s="19"/>
    </row>
    <row r="8063" spans="32:32" x14ac:dyDescent="0.3">
      <c r="AF8063" s="19"/>
    </row>
    <row r="8064" spans="32:32" x14ac:dyDescent="0.3">
      <c r="AF8064" s="19"/>
    </row>
    <row r="8065" spans="32:32" x14ac:dyDescent="0.3">
      <c r="AF8065" s="19"/>
    </row>
    <row r="8066" spans="32:32" x14ac:dyDescent="0.3">
      <c r="AF8066" s="19"/>
    </row>
    <row r="8067" spans="32:32" x14ac:dyDescent="0.3">
      <c r="AF8067" s="19"/>
    </row>
    <row r="8068" spans="32:32" x14ac:dyDescent="0.3">
      <c r="AF8068" s="19"/>
    </row>
    <row r="8069" spans="32:32" x14ac:dyDescent="0.3">
      <c r="AF8069" s="19"/>
    </row>
    <row r="8070" spans="32:32" x14ac:dyDescent="0.3">
      <c r="AF8070" s="19"/>
    </row>
    <row r="8083" spans="32:32" x14ac:dyDescent="0.3">
      <c r="AF8083" s="19"/>
    </row>
    <row r="8084" spans="32:32" x14ac:dyDescent="0.3">
      <c r="AF8084" s="19"/>
    </row>
    <row r="8085" spans="32:32" x14ac:dyDescent="0.3">
      <c r="AF8085" s="19"/>
    </row>
    <row r="8086" spans="32:32" x14ac:dyDescent="0.3">
      <c r="AF8086" s="19"/>
    </row>
    <row r="8087" spans="32:32" x14ac:dyDescent="0.3">
      <c r="AF8087" s="19"/>
    </row>
    <row r="8088" spans="32:32" x14ac:dyDescent="0.3">
      <c r="AF8088" s="19"/>
    </row>
    <row r="8089" spans="32:32" x14ac:dyDescent="0.3">
      <c r="AF8089" s="19"/>
    </row>
    <row r="8090" spans="32:32" x14ac:dyDescent="0.3">
      <c r="AF8090" s="19"/>
    </row>
    <row r="8091" spans="32:32" x14ac:dyDescent="0.3">
      <c r="AF8091" s="19"/>
    </row>
    <row r="8102" spans="32:32" x14ac:dyDescent="0.3">
      <c r="AF8102" s="19"/>
    </row>
    <row r="8103" spans="32:32" x14ac:dyDescent="0.3">
      <c r="AF8103" s="19"/>
    </row>
    <row r="8104" spans="32:32" x14ac:dyDescent="0.3">
      <c r="AF8104" s="19"/>
    </row>
    <row r="8105" spans="32:32" x14ac:dyDescent="0.3">
      <c r="AF8105" s="19"/>
    </row>
    <row r="8106" spans="32:32" x14ac:dyDescent="0.3">
      <c r="AF8106" s="19"/>
    </row>
    <row r="8107" spans="32:32" x14ac:dyDescent="0.3">
      <c r="AF8107" s="19"/>
    </row>
    <row r="8108" spans="32:32" x14ac:dyDescent="0.3">
      <c r="AF8108" s="19"/>
    </row>
    <row r="8109" spans="32:32" x14ac:dyDescent="0.3">
      <c r="AF8109" s="19"/>
    </row>
    <row r="8110" spans="32:32" x14ac:dyDescent="0.3">
      <c r="AF8110" s="19"/>
    </row>
    <row r="8125" spans="32:32" x14ac:dyDescent="0.3">
      <c r="AF8125" s="19"/>
    </row>
    <row r="8126" spans="32:32" x14ac:dyDescent="0.3">
      <c r="AF8126" s="19"/>
    </row>
    <row r="8127" spans="32:32" x14ac:dyDescent="0.3">
      <c r="AF8127" s="19"/>
    </row>
    <row r="8128" spans="32:32" x14ac:dyDescent="0.3">
      <c r="AF8128" s="19"/>
    </row>
    <row r="8129" spans="32:32" x14ac:dyDescent="0.3">
      <c r="AF8129" s="19"/>
    </row>
    <row r="8130" spans="32:32" x14ac:dyDescent="0.3">
      <c r="AF8130" s="19"/>
    </row>
    <row r="8131" spans="32:32" x14ac:dyDescent="0.3">
      <c r="AF8131" s="19"/>
    </row>
    <row r="8132" spans="32:32" x14ac:dyDescent="0.3">
      <c r="AF8132" s="19"/>
    </row>
    <row r="8145" spans="32:32" x14ac:dyDescent="0.3">
      <c r="AF8145" s="19"/>
    </row>
    <row r="8146" spans="32:32" x14ac:dyDescent="0.3">
      <c r="AF8146" s="19"/>
    </row>
    <row r="8147" spans="32:32" x14ac:dyDescent="0.3">
      <c r="AF8147" s="19"/>
    </row>
    <row r="8148" spans="32:32" x14ac:dyDescent="0.3">
      <c r="AF8148" s="19"/>
    </row>
    <row r="8149" spans="32:32" x14ac:dyDescent="0.3">
      <c r="AF8149" s="19"/>
    </row>
    <row r="8150" spans="32:32" x14ac:dyDescent="0.3">
      <c r="AF8150" s="19"/>
    </row>
    <row r="8151" spans="32:32" x14ac:dyDescent="0.3">
      <c r="AF8151" s="19"/>
    </row>
    <row r="8152" spans="32:32" x14ac:dyDescent="0.3">
      <c r="AF8152" s="19"/>
    </row>
    <row r="8153" spans="32:32" x14ac:dyDescent="0.3">
      <c r="AF8153" s="19"/>
    </row>
    <row r="8167" spans="32:32" x14ac:dyDescent="0.3">
      <c r="AF8167" s="19"/>
    </row>
    <row r="8168" spans="32:32" x14ac:dyDescent="0.3">
      <c r="AF8168" s="19"/>
    </row>
    <row r="8169" spans="32:32" x14ac:dyDescent="0.3">
      <c r="AF8169" s="19"/>
    </row>
    <row r="8170" spans="32:32" x14ac:dyDescent="0.3">
      <c r="AF8170" s="19"/>
    </row>
    <row r="8171" spans="32:32" x14ac:dyDescent="0.3">
      <c r="AF8171" s="19"/>
    </row>
    <row r="8172" spans="32:32" x14ac:dyDescent="0.3">
      <c r="AF8172" s="19"/>
    </row>
    <row r="8173" spans="32:32" x14ac:dyDescent="0.3">
      <c r="AF8173" s="19"/>
    </row>
    <row r="8174" spans="32:32" x14ac:dyDescent="0.3">
      <c r="AF8174" s="19"/>
    </row>
    <row r="8189" spans="32:32" x14ac:dyDescent="0.3">
      <c r="AF8189" s="19"/>
    </row>
    <row r="8190" spans="32:32" x14ac:dyDescent="0.3">
      <c r="AF8190" s="19"/>
    </row>
    <row r="8191" spans="32:32" x14ac:dyDescent="0.3">
      <c r="AF8191" s="19"/>
    </row>
    <row r="8192" spans="32:32" x14ac:dyDescent="0.3">
      <c r="AF8192" s="19"/>
    </row>
    <row r="8193" spans="32:32" x14ac:dyDescent="0.3">
      <c r="AF8193" s="19"/>
    </row>
    <row r="8194" spans="32:32" x14ac:dyDescent="0.3">
      <c r="AF8194" s="19"/>
    </row>
    <row r="8195" spans="32:32" x14ac:dyDescent="0.3">
      <c r="AF8195" s="19"/>
    </row>
    <row r="8196" spans="32:32" x14ac:dyDescent="0.3">
      <c r="AF8196" s="19"/>
    </row>
    <row r="8210" spans="32:32" x14ac:dyDescent="0.3">
      <c r="AF8210" s="19"/>
    </row>
    <row r="8211" spans="32:32" x14ac:dyDescent="0.3">
      <c r="AF8211" s="19"/>
    </row>
    <row r="8212" spans="32:32" x14ac:dyDescent="0.3">
      <c r="AF8212" s="19"/>
    </row>
    <row r="8213" spans="32:32" x14ac:dyDescent="0.3">
      <c r="AF8213" s="19"/>
    </row>
    <row r="8214" spans="32:32" x14ac:dyDescent="0.3">
      <c r="AF8214" s="19"/>
    </row>
    <row r="8215" spans="32:32" x14ac:dyDescent="0.3">
      <c r="AF8215" s="19"/>
    </row>
    <row r="8216" spans="32:32" x14ac:dyDescent="0.3">
      <c r="AF8216" s="19"/>
    </row>
    <row r="8217" spans="32:32" x14ac:dyDescent="0.3">
      <c r="AF8217" s="19"/>
    </row>
    <row r="8218" spans="32:32" x14ac:dyDescent="0.3">
      <c r="AF8218" s="19"/>
    </row>
    <row r="8219" spans="32:32" x14ac:dyDescent="0.3">
      <c r="AF8219" s="19"/>
    </row>
    <row r="8233" spans="32:32" x14ac:dyDescent="0.3">
      <c r="AF8233" s="19"/>
    </row>
    <row r="8234" spans="32:32" x14ac:dyDescent="0.3">
      <c r="AF8234" s="19"/>
    </row>
    <row r="8235" spans="32:32" x14ac:dyDescent="0.3">
      <c r="AF8235" s="19"/>
    </row>
    <row r="8236" spans="32:32" x14ac:dyDescent="0.3">
      <c r="AF8236" s="19"/>
    </row>
    <row r="8237" spans="32:32" x14ac:dyDescent="0.3">
      <c r="AF8237" s="19"/>
    </row>
    <row r="8238" spans="32:32" x14ac:dyDescent="0.3">
      <c r="AF8238" s="19"/>
    </row>
    <row r="8239" spans="32:32" x14ac:dyDescent="0.3">
      <c r="AF8239" s="19"/>
    </row>
    <row r="8240" spans="32:32" x14ac:dyDescent="0.3">
      <c r="AF8240" s="19"/>
    </row>
    <row r="8255" spans="32:32" x14ac:dyDescent="0.3">
      <c r="AF8255" s="19"/>
    </row>
    <row r="8256" spans="32:32" x14ac:dyDescent="0.3">
      <c r="AF8256" s="19"/>
    </row>
    <row r="8257" spans="32:32" x14ac:dyDescent="0.3">
      <c r="AF8257" s="19"/>
    </row>
    <row r="8258" spans="32:32" x14ac:dyDescent="0.3">
      <c r="AF8258" s="19"/>
    </row>
    <row r="8259" spans="32:32" x14ac:dyDescent="0.3">
      <c r="AF8259" s="19"/>
    </row>
    <row r="8260" spans="32:32" x14ac:dyDescent="0.3">
      <c r="AF8260" s="19"/>
    </row>
    <row r="8261" spans="32:32" x14ac:dyDescent="0.3">
      <c r="AF8261" s="19"/>
    </row>
    <row r="8262" spans="32:32" x14ac:dyDescent="0.3">
      <c r="AF8262" s="19"/>
    </row>
    <row r="8276" spans="32:32" x14ac:dyDescent="0.3">
      <c r="AF8276" s="19"/>
    </row>
    <row r="8277" spans="32:32" x14ac:dyDescent="0.3">
      <c r="AF8277" s="19"/>
    </row>
    <row r="8278" spans="32:32" x14ac:dyDescent="0.3">
      <c r="AF8278" s="19"/>
    </row>
    <row r="8279" spans="32:32" x14ac:dyDescent="0.3">
      <c r="AF8279" s="19"/>
    </row>
    <row r="8280" spans="32:32" x14ac:dyDescent="0.3">
      <c r="AF8280" s="19"/>
    </row>
    <row r="8281" spans="32:32" x14ac:dyDescent="0.3">
      <c r="AF8281" s="19"/>
    </row>
    <row r="8282" spans="32:32" x14ac:dyDescent="0.3">
      <c r="AF8282" s="19"/>
    </row>
    <row r="8283" spans="32:32" x14ac:dyDescent="0.3">
      <c r="AF8283" s="19"/>
    </row>
    <row r="8284" spans="32:32" x14ac:dyDescent="0.3">
      <c r="AF8284" s="19"/>
    </row>
    <row r="8298" spans="32:32" x14ac:dyDescent="0.3">
      <c r="AF8298" s="19"/>
    </row>
    <row r="8299" spans="32:32" x14ac:dyDescent="0.3">
      <c r="AF8299" s="19"/>
    </row>
    <row r="8300" spans="32:32" x14ac:dyDescent="0.3">
      <c r="AF8300" s="19"/>
    </row>
    <row r="8301" spans="32:32" x14ac:dyDescent="0.3">
      <c r="AF8301" s="19"/>
    </row>
    <row r="8302" spans="32:32" x14ac:dyDescent="0.3">
      <c r="AF8302" s="19"/>
    </row>
    <row r="8303" spans="32:32" x14ac:dyDescent="0.3">
      <c r="AF8303" s="19"/>
    </row>
    <row r="8304" spans="32:32" x14ac:dyDescent="0.3">
      <c r="AF8304" s="19"/>
    </row>
    <row r="8305" spans="32:32" x14ac:dyDescent="0.3">
      <c r="AF8305" s="19"/>
    </row>
    <row r="8319" spans="32:32" x14ac:dyDescent="0.3">
      <c r="AF8319" s="19"/>
    </row>
    <row r="8320" spans="32:32" x14ac:dyDescent="0.3">
      <c r="AF8320" s="19"/>
    </row>
    <row r="8321" spans="32:32" x14ac:dyDescent="0.3">
      <c r="AF8321" s="19"/>
    </row>
    <row r="8322" spans="32:32" x14ac:dyDescent="0.3">
      <c r="AF8322" s="19"/>
    </row>
    <row r="8323" spans="32:32" x14ac:dyDescent="0.3">
      <c r="AF8323" s="19"/>
    </row>
    <row r="8324" spans="32:32" x14ac:dyDescent="0.3">
      <c r="AF8324" s="19"/>
    </row>
    <row r="8325" spans="32:32" x14ac:dyDescent="0.3">
      <c r="AF8325" s="19"/>
    </row>
    <row r="8326" spans="32:32" x14ac:dyDescent="0.3">
      <c r="AF8326" s="19"/>
    </row>
    <row r="8340" spans="32:32" x14ac:dyDescent="0.3">
      <c r="AF8340" s="19"/>
    </row>
    <row r="8341" spans="32:32" x14ac:dyDescent="0.3">
      <c r="AF8341" s="19"/>
    </row>
    <row r="8342" spans="32:32" x14ac:dyDescent="0.3">
      <c r="AF8342" s="19"/>
    </row>
    <row r="8343" spans="32:32" x14ac:dyDescent="0.3">
      <c r="AF8343" s="19"/>
    </row>
    <row r="8344" spans="32:32" x14ac:dyDescent="0.3">
      <c r="AF8344" s="19"/>
    </row>
    <row r="8345" spans="32:32" x14ac:dyDescent="0.3">
      <c r="AF8345" s="19"/>
    </row>
    <row r="8346" spans="32:32" x14ac:dyDescent="0.3">
      <c r="AF8346" s="19"/>
    </row>
    <row r="8347" spans="32:32" x14ac:dyDescent="0.3">
      <c r="AF8347" s="19"/>
    </row>
    <row r="8360" spans="32:32" x14ac:dyDescent="0.3">
      <c r="AF8360" s="19"/>
    </row>
    <row r="8361" spans="32:32" x14ac:dyDescent="0.3">
      <c r="AF8361" s="19"/>
    </row>
    <row r="8362" spans="32:32" x14ac:dyDescent="0.3">
      <c r="AF8362" s="19"/>
    </row>
    <row r="8363" spans="32:32" x14ac:dyDescent="0.3">
      <c r="AF8363" s="19"/>
    </row>
    <row r="8364" spans="32:32" x14ac:dyDescent="0.3">
      <c r="AF8364" s="19"/>
    </row>
    <row r="8365" spans="32:32" x14ac:dyDescent="0.3">
      <c r="AF8365" s="19"/>
    </row>
    <row r="8366" spans="32:32" x14ac:dyDescent="0.3">
      <c r="AF8366" s="19"/>
    </row>
    <row r="8367" spans="32:32" x14ac:dyDescent="0.3">
      <c r="AF8367" s="19"/>
    </row>
    <row r="8383" spans="32:32" x14ac:dyDescent="0.3">
      <c r="AF8383" s="19"/>
    </row>
    <row r="8384" spans="32:32" x14ac:dyDescent="0.3">
      <c r="AF8384" s="19"/>
    </row>
    <row r="8385" spans="32:32" x14ac:dyDescent="0.3">
      <c r="AF8385" s="19"/>
    </row>
    <row r="8386" spans="32:32" x14ac:dyDescent="0.3">
      <c r="AF8386" s="19"/>
    </row>
    <row r="8387" spans="32:32" x14ac:dyDescent="0.3">
      <c r="AF8387" s="19"/>
    </row>
    <row r="8388" spans="32:32" x14ac:dyDescent="0.3">
      <c r="AF8388" s="19"/>
    </row>
    <row r="8389" spans="32:32" x14ac:dyDescent="0.3">
      <c r="AF8389" s="19"/>
    </row>
    <row r="8402" spans="32:32" x14ac:dyDescent="0.3">
      <c r="AF8402" s="19"/>
    </row>
    <row r="8403" spans="32:32" x14ac:dyDescent="0.3">
      <c r="AF8403" s="19"/>
    </row>
    <row r="8404" spans="32:32" x14ac:dyDescent="0.3">
      <c r="AF8404" s="19"/>
    </row>
    <row r="8405" spans="32:32" x14ac:dyDescent="0.3">
      <c r="AF8405" s="19"/>
    </row>
    <row r="8406" spans="32:32" x14ac:dyDescent="0.3">
      <c r="AF8406" s="19"/>
    </row>
    <row r="8407" spans="32:32" x14ac:dyDescent="0.3">
      <c r="AF8407" s="19"/>
    </row>
    <row r="8408" spans="32:32" x14ac:dyDescent="0.3">
      <c r="AF8408" s="19"/>
    </row>
    <row r="8409" spans="32:32" x14ac:dyDescent="0.3">
      <c r="AF8409" s="19"/>
    </row>
    <row r="8410" spans="32:32" x14ac:dyDescent="0.3">
      <c r="AF8410" s="19"/>
    </row>
    <row r="8411" spans="32:32" x14ac:dyDescent="0.3">
      <c r="AF8411" s="19"/>
    </row>
    <row r="8425" spans="32:32" x14ac:dyDescent="0.3">
      <c r="AF8425" s="19"/>
    </row>
    <row r="8426" spans="32:32" x14ac:dyDescent="0.3">
      <c r="AF8426" s="19"/>
    </row>
    <row r="8427" spans="32:32" x14ac:dyDescent="0.3">
      <c r="AF8427" s="19"/>
    </row>
    <row r="8428" spans="32:32" x14ac:dyDescent="0.3">
      <c r="AF8428" s="19"/>
    </row>
    <row r="8429" spans="32:32" x14ac:dyDescent="0.3">
      <c r="AF8429" s="19"/>
    </row>
    <row r="8430" spans="32:32" x14ac:dyDescent="0.3">
      <c r="AF8430" s="19"/>
    </row>
    <row r="8431" spans="32:32" x14ac:dyDescent="0.3">
      <c r="AF8431" s="19"/>
    </row>
    <row r="8432" spans="32:32" x14ac:dyDescent="0.3">
      <c r="AF8432" s="19"/>
    </row>
    <row r="8447" spans="32:32" x14ac:dyDescent="0.3">
      <c r="AF8447" s="19"/>
    </row>
    <row r="8448" spans="32:32" x14ac:dyDescent="0.3">
      <c r="AF8448" s="19"/>
    </row>
    <row r="8449" spans="32:32" x14ac:dyDescent="0.3">
      <c r="AF8449" s="19"/>
    </row>
    <row r="8450" spans="32:32" x14ac:dyDescent="0.3">
      <c r="AF8450" s="19"/>
    </row>
    <row r="8451" spans="32:32" x14ac:dyDescent="0.3">
      <c r="AF8451" s="19"/>
    </row>
    <row r="8452" spans="32:32" x14ac:dyDescent="0.3">
      <c r="AF8452" s="19"/>
    </row>
    <row r="8453" spans="32:32" x14ac:dyDescent="0.3">
      <c r="AF8453" s="19"/>
    </row>
    <row r="8454" spans="32:32" x14ac:dyDescent="0.3">
      <c r="AF8454" s="19"/>
    </row>
    <row r="8468" spans="32:32" x14ac:dyDescent="0.3">
      <c r="AF8468" s="19"/>
    </row>
    <row r="8469" spans="32:32" x14ac:dyDescent="0.3">
      <c r="AF8469" s="19"/>
    </row>
    <row r="8470" spans="32:32" x14ac:dyDescent="0.3">
      <c r="AF8470" s="19"/>
    </row>
    <row r="8471" spans="32:32" x14ac:dyDescent="0.3">
      <c r="AF8471" s="19"/>
    </row>
    <row r="8472" spans="32:32" x14ac:dyDescent="0.3">
      <c r="AF8472" s="19"/>
    </row>
    <row r="8473" spans="32:32" x14ac:dyDescent="0.3">
      <c r="AF8473" s="19"/>
    </row>
    <row r="8474" spans="32:32" x14ac:dyDescent="0.3">
      <c r="AF8474" s="19"/>
    </row>
    <row r="8475" spans="32:32" x14ac:dyDescent="0.3">
      <c r="AF8475" s="19"/>
    </row>
    <row r="8476" spans="32:32" x14ac:dyDescent="0.3">
      <c r="AF8476" s="19"/>
    </row>
    <row r="8491" spans="32:32" x14ac:dyDescent="0.3">
      <c r="AF8491" s="19"/>
    </row>
    <row r="8492" spans="32:32" x14ac:dyDescent="0.3">
      <c r="AF8492" s="19"/>
    </row>
    <row r="8493" spans="32:32" x14ac:dyDescent="0.3">
      <c r="AF8493" s="19"/>
    </row>
    <row r="8494" spans="32:32" x14ac:dyDescent="0.3">
      <c r="AF8494" s="19"/>
    </row>
    <row r="8495" spans="32:32" x14ac:dyDescent="0.3">
      <c r="AF8495" s="19"/>
    </row>
    <row r="8496" spans="32:32" x14ac:dyDescent="0.3">
      <c r="AF8496" s="19"/>
    </row>
    <row r="8497" spans="32:32" x14ac:dyDescent="0.3">
      <c r="AF8497" s="19"/>
    </row>
    <row r="8498" spans="32:32" x14ac:dyDescent="0.3">
      <c r="AF8498" s="19"/>
    </row>
    <row r="8512" spans="32:32" x14ac:dyDescent="0.3">
      <c r="AF8512" s="19"/>
    </row>
    <row r="8513" spans="32:32" x14ac:dyDescent="0.3">
      <c r="AF8513" s="19"/>
    </row>
    <row r="8514" spans="32:32" x14ac:dyDescent="0.3">
      <c r="AF8514" s="19"/>
    </row>
    <row r="8515" spans="32:32" x14ac:dyDescent="0.3">
      <c r="AF8515" s="19"/>
    </row>
    <row r="8516" spans="32:32" x14ac:dyDescent="0.3">
      <c r="AF8516" s="19"/>
    </row>
    <row r="8517" spans="32:32" x14ac:dyDescent="0.3">
      <c r="AF8517" s="19"/>
    </row>
    <row r="8518" spans="32:32" x14ac:dyDescent="0.3">
      <c r="AF8518" s="19"/>
    </row>
    <row r="8519" spans="32:32" x14ac:dyDescent="0.3">
      <c r="AF8519" s="19"/>
    </row>
    <row r="8520" spans="32:32" x14ac:dyDescent="0.3">
      <c r="AF8520" s="19"/>
    </row>
    <row r="8534" spans="32:32" x14ac:dyDescent="0.3">
      <c r="AF8534" s="19"/>
    </row>
    <row r="8535" spans="32:32" x14ac:dyDescent="0.3">
      <c r="AF8535" s="19"/>
    </row>
    <row r="8536" spans="32:32" x14ac:dyDescent="0.3">
      <c r="AF8536" s="19"/>
    </row>
    <row r="8537" spans="32:32" x14ac:dyDescent="0.3">
      <c r="AF8537" s="19"/>
    </row>
    <row r="8538" spans="32:32" x14ac:dyDescent="0.3">
      <c r="AF8538" s="19"/>
    </row>
    <row r="8539" spans="32:32" x14ac:dyDescent="0.3">
      <c r="AF8539" s="19"/>
    </row>
    <row r="8540" spans="32:32" x14ac:dyDescent="0.3">
      <c r="AF8540" s="19"/>
    </row>
    <row r="8541" spans="32:32" x14ac:dyDescent="0.3">
      <c r="AF8541" s="19"/>
    </row>
    <row r="8556" spans="32:32" x14ac:dyDescent="0.3">
      <c r="AF8556" s="19"/>
    </row>
    <row r="8557" spans="32:32" x14ac:dyDescent="0.3">
      <c r="AF8557" s="19"/>
    </row>
    <row r="8558" spans="32:32" x14ac:dyDescent="0.3">
      <c r="AF8558" s="19"/>
    </row>
    <row r="8559" spans="32:32" x14ac:dyDescent="0.3">
      <c r="AF8559" s="19"/>
    </row>
    <row r="8560" spans="32:32" x14ac:dyDescent="0.3">
      <c r="AF8560" s="19"/>
    </row>
    <row r="8561" spans="32:32" x14ac:dyDescent="0.3">
      <c r="AF8561" s="19"/>
    </row>
    <row r="8562" spans="32:32" x14ac:dyDescent="0.3">
      <c r="AF8562" s="19"/>
    </row>
    <row r="8563" spans="32:32" x14ac:dyDescent="0.3">
      <c r="AF8563" s="19"/>
    </row>
    <row r="8576" spans="32:32" x14ac:dyDescent="0.3">
      <c r="AF8576" s="19"/>
    </row>
    <row r="8577" spans="32:32" x14ac:dyDescent="0.3">
      <c r="AF8577" s="19"/>
    </row>
    <row r="8578" spans="32:32" x14ac:dyDescent="0.3">
      <c r="AF8578" s="19"/>
    </row>
    <row r="8579" spans="32:32" x14ac:dyDescent="0.3">
      <c r="AF8579" s="19"/>
    </row>
    <row r="8580" spans="32:32" x14ac:dyDescent="0.3">
      <c r="AF8580" s="19"/>
    </row>
    <row r="8581" spans="32:32" x14ac:dyDescent="0.3">
      <c r="AF8581" s="19"/>
    </row>
    <row r="8582" spans="32:32" x14ac:dyDescent="0.3">
      <c r="AF8582" s="19"/>
    </row>
    <row r="8583" spans="32:32" x14ac:dyDescent="0.3">
      <c r="AF8583" s="19"/>
    </row>
    <row r="8584" spans="32:32" x14ac:dyDescent="0.3">
      <c r="AF8584" s="19"/>
    </row>
    <row r="8598" spans="32:32" x14ac:dyDescent="0.3">
      <c r="AF8598" s="19"/>
    </row>
    <row r="8599" spans="32:32" x14ac:dyDescent="0.3">
      <c r="AF8599" s="19"/>
    </row>
    <row r="8600" spans="32:32" x14ac:dyDescent="0.3">
      <c r="AF8600" s="19"/>
    </row>
    <row r="8601" spans="32:32" x14ac:dyDescent="0.3">
      <c r="AF8601" s="19"/>
    </row>
    <row r="8602" spans="32:32" x14ac:dyDescent="0.3">
      <c r="AF8602" s="19"/>
    </row>
    <row r="8603" spans="32:32" x14ac:dyDescent="0.3">
      <c r="AF8603" s="19"/>
    </row>
    <row r="8604" spans="32:32" x14ac:dyDescent="0.3">
      <c r="AF8604" s="19"/>
    </row>
    <row r="8605" spans="32:32" x14ac:dyDescent="0.3">
      <c r="AF8605" s="19"/>
    </row>
    <row r="8619" spans="32:32" x14ac:dyDescent="0.3">
      <c r="AF8619" s="19"/>
    </row>
    <row r="8620" spans="32:32" x14ac:dyDescent="0.3">
      <c r="AF8620" s="19"/>
    </row>
    <row r="8621" spans="32:32" x14ac:dyDescent="0.3">
      <c r="AF8621" s="19"/>
    </row>
    <row r="8622" spans="32:32" x14ac:dyDescent="0.3">
      <c r="AF8622" s="19"/>
    </row>
    <row r="8623" spans="32:32" x14ac:dyDescent="0.3">
      <c r="AF8623" s="19"/>
    </row>
    <row r="8624" spans="32:32" x14ac:dyDescent="0.3">
      <c r="AF8624" s="19"/>
    </row>
    <row r="8625" spans="32:32" x14ac:dyDescent="0.3">
      <c r="AF8625" s="19"/>
    </row>
    <row r="8626" spans="32:32" x14ac:dyDescent="0.3">
      <c r="AF8626" s="19"/>
    </row>
    <row r="8639" spans="32:32" x14ac:dyDescent="0.3">
      <c r="AF8639" s="19"/>
    </row>
    <row r="8640" spans="32:32" x14ac:dyDescent="0.3">
      <c r="AF8640" s="19"/>
    </row>
    <row r="8641" spans="32:32" x14ac:dyDescent="0.3">
      <c r="AF8641" s="19"/>
    </row>
    <row r="8642" spans="32:32" x14ac:dyDescent="0.3">
      <c r="AF8642" s="19"/>
    </row>
    <row r="8643" spans="32:32" x14ac:dyDescent="0.3">
      <c r="AF8643" s="19"/>
    </row>
    <row r="8644" spans="32:32" x14ac:dyDescent="0.3">
      <c r="AF8644" s="19"/>
    </row>
    <row r="8645" spans="32:32" x14ac:dyDescent="0.3">
      <c r="AF8645" s="19"/>
    </row>
    <row r="8646" spans="32:32" x14ac:dyDescent="0.3">
      <c r="AF8646" s="19"/>
    </row>
    <row r="8647" spans="32:32" x14ac:dyDescent="0.3">
      <c r="AF8647" s="19"/>
    </row>
    <row r="8648" spans="32:32" x14ac:dyDescent="0.3">
      <c r="AF8648" s="19"/>
    </row>
    <row r="8661" spans="32:32" x14ac:dyDescent="0.3">
      <c r="AF8661" s="19"/>
    </row>
    <row r="8662" spans="32:32" x14ac:dyDescent="0.3">
      <c r="AF8662" s="19"/>
    </row>
    <row r="8663" spans="32:32" x14ac:dyDescent="0.3">
      <c r="AF8663" s="19"/>
    </row>
    <row r="8664" spans="32:32" x14ac:dyDescent="0.3">
      <c r="AF8664" s="19"/>
    </row>
    <row r="8665" spans="32:32" x14ac:dyDescent="0.3">
      <c r="AF8665" s="19"/>
    </row>
    <row r="8666" spans="32:32" x14ac:dyDescent="0.3">
      <c r="AF8666" s="19"/>
    </row>
    <row r="8667" spans="32:32" x14ac:dyDescent="0.3">
      <c r="AF8667" s="19"/>
    </row>
    <row r="8668" spans="32:32" x14ac:dyDescent="0.3">
      <c r="AF8668" s="19"/>
    </row>
    <row r="8684" spans="32:32" x14ac:dyDescent="0.3">
      <c r="AF8684" s="19"/>
    </row>
    <row r="8685" spans="32:32" x14ac:dyDescent="0.3">
      <c r="AF8685" s="19"/>
    </row>
    <row r="8686" spans="32:32" x14ac:dyDescent="0.3">
      <c r="AF8686" s="19"/>
    </row>
    <row r="8687" spans="32:32" x14ac:dyDescent="0.3">
      <c r="AF8687" s="19"/>
    </row>
    <row r="8688" spans="32:32" x14ac:dyDescent="0.3">
      <c r="AF8688" s="19"/>
    </row>
    <row r="8689" spans="32:32" x14ac:dyDescent="0.3">
      <c r="AF8689" s="19"/>
    </row>
    <row r="8690" spans="32:32" x14ac:dyDescent="0.3">
      <c r="AF8690" s="19"/>
    </row>
    <row r="8691" spans="32:32" x14ac:dyDescent="0.3">
      <c r="AF8691" s="19"/>
    </row>
    <row r="8704" spans="32:32" x14ac:dyDescent="0.3">
      <c r="AF8704" s="19"/>
    </row>
    <row r="8705" spans="32:32" x14ac:dyDescent="0.3">
      <c r="AF8705" s="19"/>
    </row>
    <row r="8706" spans="32:32" x14ac:dyDescent="0.3">
      <c r="AF8706" s="19"/>
    </row>
    <row r="8707" spans="32:32" x14ac:dyDescent="0.3">
      <c r="AF8707" s="19"/>
    </row>
    <row r="8708" spans="32:32" x14ac:dyDescent="0.3">
      <c r="AF8708" s="19"/>
    </row>
    <row r="8709" spans="32:32" x14ac:dyDescent="0.3">
      <c r="AF8709" s="19"/>
    </row>
    <row r="8710" spans="32:32" x14ac:dyDescent="0.3">
      <c r="AF8710" s="19"/>
    </row>
    <row r="8711" spans="32:32" x14ac:dyDescent="0.3">
      <c r="AF8711" s="19"/>
    </row>
    <row r="8712" spans="32:32" x14ac:dyDescent="0.3">
      <c r="AF8712" s="19"/>
    </row>
    <row r="8713" spans="32:32" x14ac:dyDescent="0.3">
      <c r="AF8713" s="19"/>
    </row>
    <row r="8727" spans="32:32" x14ac:dyDescent="0.3">
      <c r="AF8727" s="19"/>
    </row>
    <row r="8728" spans="32:32" x14ac:dyDescent="0.3">
      <c r="AF8728" s="19"/>
    </row>
    <row r="8729" spans="32:32" x14ac:dyDescent="0.3">
      <c r="AF8729" s="19"/>
    </row>
    <row r="8730" spans="32:32" x14ac:dyDescent="0.3">
      <c r="AF8730" s="19"/>
    </row>
    <row r="8731" spans="32:32" x14ac:dyDescent="0.3">
      <c r="AF8731" s="19"/>
    </row>
    <row r="8732" spans="32:32" x14ac:dyDescent="0.3">
      <c r="AF8732" s="19"/>
    </row>
    <row r="8733" spans="32:32" x14ac:dyDescent="0.3">
      <c r="AF8733" s="19"/>
    </row>
    <row r="8734" spans="32:32" x14ac:dyDescent="0.3">
      <c r="AF8734" s="19"/>
    </row>
    <row r="8749" spans="32:32" x14ac:dyDescent="0.3">
      <c r="AF8749" s="19"/>
    </row>
    <row r="8750" spans="32:32" x14ac:dyDescent="0.3">
      <c r="AF8750" s="19"/>
    </row>
    <row r="8751" spans="32:32" x14ac:dyDescent="0.3">
      <c r="AF8751" s="19"/>
    </row>
    <row r="8752" spans="32:32" x14ac:dyDescent="0.3">
      <c r="AF8752" s="19"/>
    </row>
    <row r="8753" spans="32:32" x14ac:dyDescent="0.3">
      <c r="AF8753" s="19"/>
    </row>
    <row r="8754" spans="32:32" x14ac:dyDescent="0.3">
      <c r="AF8754" s="19"/>
    </row>
    <row r="8755" spans="32:32" x14ac:dyDescent="0.3">
      <c r="AF8755" s="19"/>
    </row>
    <row r="8756" spans="32:32" x14ac:dyDescent="0.3">
      <c r="AF8756" s="19"/>
    </row>
    <row r="8757" spans="32:32" x14ac:dyDescent="0.3">
      <c r="AF8757" s="19"/>
    </row>
    <row r="8770" spans="32:32" x14ac:dyDescent="0.3">
      <c r="AF8770" s="19"/>
    </row>
    <row r="8771" spans="32:32" x14ac:dyDescent="0.3">
      <c r="AF8771" s="19"/>
    </row>
    <row r="8772" spans="32:32" x14ac:dyDescent="0.3">
      <c r="AF8772" s="19"/>
    </row>
    <row r="8773" spans="32:32" x14ac:dyDescent="0.3">
      <c r="AF8773" s="19"/>
    </row>
    <row r="8774" spans="32:32" x14ac:dyDescent="0.3">
      <c r="AF8774" s="19"/>
    </row>
    <row r="8775" spans="32:32" x14ac:dyDescent="0.3">
      <c r="AF8775" s="19"/>
    </row>
    <row r="8776" spans="32:32" x14ac:dyDescent="0.3">
      <c r="AF8776" s="19"/>
    </row>
    <row r="8777" spans="32:32" x14ac:dyDescent="0.3">
      <c r="AF8777" s="19"/>
    </row>
    <row r="8778" spans="32:32" x14ac:dyDescent="0.3">
      <c r="AF8778" s="19"/>
    </row>
    <row r="8793" spans="32:32" x14ac:dyDescent="0.3">
      <c r="AF8793" s="19"/>
    </row>
    <row r="8794" spans="32:32" x14ac:dyDescent="0.3">
      <c r="AF8794" s="19"/>
    </row>
    <row r="8795" spans="32:32" x14ac:dyDescent="0.3">
      <c r="AF8795" s="19"/>
    </row>
    <row r="8796" spans="32:32" x14ac:dyDescent="0.3">
      <c r="AF8796" s="19"/>
    </row>
    <row r="8797" spans="32:32" x14ac:dyDescent="0.3">
      <c r="AF8797" s="19"/>
    </row>
    <row r="8798" spans="32:32" x14ac:dyDescent="0.3">
      <c r="AF8798" s="19"/>
    </row>
    <row r="8799" spans="32:32" x14ac:dyDescent="0.3">
      <c r="AF8799" s="19"/>
    </row>
    <row r="8800" spans="32:32" x14ac:dyDescent="0.3">
      <c r="AF8800" s="19"/>
    </row>
    <row r="8814" spans="32:32" x14ac:dyDescent="0.3">
      <c r="AF8814" s="19"/>
    </row>
    <row r="8815" spans="32:32" x14ac:dyDescent="0.3">
      <c r="AF8815" s="19"/>
    </row>
    <row r="8816" spans="32:32" x14ac:dyDescent="0.3">
      <c r="AF8816" s="19"/>
    </row>
    <row r="8817" spans="32:32" x14ac:dyDescent="0.3">
      <c r="AF8817" s="19"/>
    </row>
    <row r="8818" spans="32:32" x14ac:dyDescent="0.3">
      <c r="AF8818" s="19"/>
    </row>
    <row r="8819" spans="32:32" x14ac:dyDescent="0.3">
      <c r="AF8819" s="19"/>
    </row>
    <row r="8820" spans="32:32" x14ac:dyDescent="0.3">
      <c r="AF8820" s="19"/>
    </row>
    <row r="8821" spans="32:32" x14ac:dyDescent="0.3">
      <c r="AF8821" s="19"/>
    </row>
    <row r="8822" spans="32:32" x14ac:dyDescent="0.3">
      <c r="AF8822" s="19"/>
    </row>
    <row r="8835" spans="32:32" x14ac:dyDescent="0.3">
      <c r="AF8835" s="19"/>
    </row>
    <row r="8836" spans="32:32" x14ac:dyDescent="0.3">
      <c r="AF8836" s="19"/>
    </row>
    <row r="8837" spans="32:32" x14ac:dyDescent="0.3">
      <c r="AF8837" s="19"/>
    </row>
    <row r="8838" spans="32:32" x14ac:dyDescent="0.3">
      <c r="AF8838" s="19"/>
    </row>
    <row r="8839" spans="32:32" x14ac:dyDescent="0.3">
      <c r="AF8839" s="19"/>
    </row>
    <row r="8840" spans="32:32" x14ac:dyDescent="0.3">
      <c r="AF8840" s="19"/>
    </row>
    <row r="8841" spans="32:32" x14ac:dyDescent="0.3">
      <c r="AF8841" s="19"/>
    </row>
    <row r="8857" spans="32:32" x14ac:dyDescent="0.3">
      <c r="AF8857" s="19"/>
    </row>
    <row r="8858" spans="32:32" x14ac:dyDescent="0.3">
      <c r="AF8858" s="19"/>
    </row>
    <row r="8859" spans="32:32" x14ac:dyDescent="0.3">
      <c r="AF8859" s="19"/>
    </row>
    <row r="8860" spans="32:32" x14ac:dyDescent="0.3">
      <c r="AF8860" s="19"/>
    </row>
    <row r="8861" spans="32:32" x14ac:dyDescent="0.3">
      <c r="AF8861" s="19"/>
    </row>
    <row r="8862" spans="32:32" x14ac:dyDescent="0.3">
      <c r="AF8862" s="19"/>
    </row>
    <row r="8863" spans="32:32" x14ac:dyDescent="0.3">
      <c r="AF8863" s="19"/>
    </row>
    <row r="8864" spans="32:32" x14ac:dyDescent="0.3">
      <c r="AF8864" s="19"/>
    </row>
    <row r="8877" spans="32:32" x14ac:dyDescent="0.3">
      <c r="AF8877" s="19"/>
    </row>
    <row r="8878" spans="32:32" x14ac:dyDescent="0.3">
      <c r="AF8878" s="19"/>
    </row>
    <row r="8879" spans="32:32" x14ac:dyDescent="0.3">
      <c r="AF8879" s="19"/>
    </row>
    <row r="8880" spans="32:32" x14ac:dyDescent="0.3">
      <c r="AF8880" s="19"/>
    </row>
    <row r="8881" spans="32:32" x14ac:dyDescent="0.3">
      <c r="AF8881" s="19"/>
    </row>
    <row r="8882" spans="32:32" x14ac:dyDescent="0.3">
      <c r="AF8882" s="19"/>
    </row>
    <row r="8883" spans="32:32" x14ac:dyDescent="0.3">
      <c r="AF8883" s="19"/>
    </row>
    <row r="8884" spans="32:32" x14ac:dyDescent="0.3">
      <c r="AF8884" s="19"/>
    </row>
    <row r="8898" spans="32:32" x14ac:dyDescent="0.3">
      <c r="AF8898" s="19"/>
    </row>
    <row r="8899" spans="32:32" x14ac:dyDescent="0.3">
      <c r="AF8899" s="19"/>
    </row>
    <row r="8900" spans="32:32" x14ac:dyDescent="0.3">
      <c r="AF8900" s="19"/>
    </row>
    <row r="8901" spans="32:32" x14ac:dyDescent="0.3">
      <c r="AF8901" s="19"/>
    </row>
    <row r="8902" spans="32:32" x14ac:dyDescent="0.3">
      <c r="AF8902" s="19"/>
    </row>
    <row r="8903" spans="32:32" x14ac:dyDescent="0.3">
      <c r="AF8903" s="19"/>
    </row>
    <row r="8904" spans="32:32" x14ac:dyDescent="0.3">
      <c r="AF8904" s="19"/>
    </row>
    <row r="8905" spans="32:32" x14ac:dyDescent="0.3">
      <c r="AF8905" s="19"/>
    </row>
    <row r="8906" spans="32:32" x14ac:dyDescent="0.3">
      <c r="AF8906" s="19"/>
    </row>
    <row r="8919" spans="32:32" x14ac:dyDescent="0.3">
      <c r="AF8919" s="19"/>
    </row>
    <row r="8920" spans="32:32" x14ac:dyDescent="0.3">
      <c r="AF8920" s="19"/>
    </row>
    <row r="8921" spans="32:32" x14ac:dyDescent="0.3">
      <c r="AF8921" s="19"/>
    </row>
    <row r="8922" spans="32:32" x14ac:dyDescent="0.3">
      <c r="AF8922" s="19"/>
    </row>
    <row r="8923" spans="32:32" x14ac:dyDescent="0.3">
      <c r="AF8923" s="19"/>
    </row>
    <row r="8924" spans="32:32" x14ac:dyDescent="0.3">
      <c r="AF8924" s="19"/>
    </row>
    <row r="8925" spans="32:32" x14ac:dyDescent="0.3">
      <c r="AF8925" s="19"/>
    </row>
    <row r="8926" spans="32:32" x14ac:dyDescent="0.3">
      <c r="AF8926" s="19"/>
    </row>
    <row r="8941" spans="32:32" x14ac:dyDescent="0.3">
      <c r="AF8941" s="19"/>
    </row>
    <row r="8942" spans="32:32" x14ac:dyDescent="0.3">
      <c r="AF8942" s="19"/>
    </row>
    <row r="8943" spans="32:32" x14ac:dyDescent="0.3">
      <c r="AF8943" s="19"/>
    </row>
    <row r="8944" spans="32:32" x14ac:dyDescent="0.3">
      <c r="AF8944" s="19"/>
    </row>
    <row r="8945" spans="32:32" x14ac:dyDescent="0.3">
      <c r="AF8945" s="19"/>
    </row>
    <row r="8946" spans="32:32" x14ac:dyDescent="0.3">
      <c r="AF8946" s="19"/>
    </row>
    <row r="8947" spans="32:32" x14ac:dyDescent="0.3">
      <c r="AF8947" s="19"/>
    </row>
    <row r="8948" spans="32:32" x14ac:dyDescent="0.3">
      <c r="AF8948" s="19"/>
    </row>
    <row r="8949" spans="32:32" x14ac:dyDescent="0.3">
      <c r="AF8949" s="19"/>
    </row>
    <row r="8962" spans="32:32" x14ac:dyDescent="0.3">
      <c r="AF8962" s="19"/>
    </row>
    <row r="8963" spans="32:32" x14ac:dyDescent="0.3">
      <c r="AF8963" s="19"/>
    </row>
    <row r="8964" spans="32:32" x14ac:dyDescent="0.3">
      <c r="AF8964" s="19"/>
    </row>
    <row r="8965" spans="32:32" x14ac:dyDescent="0.3">
      <c r="AF8965" s="19"/>
    </row>
    <row r="8966" spans="32:32" x14ac:dyDescent="0.3">
      <c r="AF8966" s="19"/>
    </row>
    <row r="8967" spans="32:32" x14ac:dyDescent="0.3">
      <c r="AF8967" s="19"/>
    </row>
    <row r="8968" spans="32:32" x14ac:dyDescent="0.3">
      <c r="AF8968" s="19"/>
    </row>
    <row r="8969" spans="32:32" x14ac:dyDescent="0.3">
      <c r="AF8969" s="19"/>
    </row>
    <row r="8970" spans="32:32" x14ac:dyDescent="0.3">
      <c r="AF8970" s="19"/>
    </row>
    <row r="8985" spans="32:32" x14ac:dyDescent="0.3">
      <c r="AF8985" s="19"/>
    </row>
    <row r="8986" spans="32:32" x14ac:dyDescent="0.3">
      <c r="AF8986" s="19"/>
    </row>
    <row r="8987" spans="32:32" x14ac:dyDescent="0.3">
      <c r="AF8987" s="19"/>
    </row>
    <row r="8988" spans="32:32" x14ac:dyDescent="0.3">
      <c r="AF8988" s="19"/>
    </row>
    <row r="8989" spans="32:32" x14ac:dyDescent="0.3">
      <c r="AF8989" s="19"/>
    </row>
    <row r="8990" spans="32:32" x14ac:dyDescent="0.3">
      <c r="AF8990" s="19"/>
    </row>
    <row r="8991" spans="32:32" x14ac:dyDescent="0.3">
      <c r="AF8991" s="19"/>
    </row>
    <row r="8992" spans="32:32" x14ac:dyDescent="0.3">
      <c r="AF8992" s="19"/>
    </row>
    <row r="9006" spans="32:32" x14ac:dyDescent="0.3">
      <c r="AF9006" s="19"/>
    </row>
    <row r="9007" spans="32:32" x14ac:dyDescent="0.3">
      <c r="AF9007" s="19"/>
    </row>
    <row r="9008" spans="32:32" x14ac:dyDescent="0.3">
      <c r="AF9008" s="19"/>
    </row>
    <row r="9009" spans="32:32" x14ac:dyDescent="0.3">
      <c r="AF9009" s="19"/>
    </row>
    <row r="9010" spans="32:32" x14ac:dyDescent="0.3">
      <c r="AF9010" s="19"/>
    </row>
    <row r="9011" spans="32:32" x14ac:dyDescent="0.3">
      <c r="AF9011" s="19"/>
    </row>
    <row r="9012" spans="32:32" x14ac:dyDescent="0.3">
      <c r="AF9012" s="19"/>
    </row>
    <row r="9013" spans="32:32" x14ac:dyDescent="0.3">
      <c r="AF9013" s="19"/>
    </row>
    <row r="9014" spans="32:32" x14ac:dyDescent="0.3">
      <c r="AF9014" s="19"/>
    </row>
    <row r="9015" spans="32:32" x14ac:dyDescent="0.3">
      <c r="AF9015" s="19"/>
    </row>
    <row r="9028" spans="32:32" x14ac:dyDescent="0.3">
      <c r="AF9028" s="19"/>
    </row>
    <row r="9029" spans="32:32" x14ac:dyDescent="0.3">
      <c r="AF9029" s="19"/>
    </row>
    <row r="9030" spans="32:32" x14ac:dyDescent="0.3">
      <c r="AF9030" s="19"/>
    </row>
    <row r="9031" spans="32:32" x14ac:dyDescent="0.3">
      <c r="AF9031" s="19"/>
    </row>
    <row r="9032" spans="32:32" x14ac:dyDescent="0.3">
      <c r="AF9032" s="19"/>
    </row>
    <row r="9033" spans="32:32" x14ac:dyDescent="0.3">
      <c r="AF9033" s="19"/>
    </row>
    <row r="9034" spans="32:32" x14ac:dyDescent="0.3">
      <c r="AF9034" s="19"/>
    </row>
    <row r="9035" spans="32:32" x14ac:dyDescent="0.3">
      <c r="AF9035" s="19"/>
    </row>
    <row r="9051" spans="32:32" x14ac:dyDescent="0.3">
      <c r="AF9051" s="19"/>
    </row>
    <row r="9052" spans="32:32" x14ac:dyDescent="0.3">
      <c r="AF9052" s="19"/>
    </row>
    <row r="9053" spans="32:32" x14ac:dyDescent="0.3">
      <c r="AF9053" s="19"/>
    </row>
    <row r="9054" spans="32:32" x14ac:dyDescent="0.3">
      <c r="AF9054" s="19"/>
    </row>
    <row r="9055" spans="32:32" x14ac:dyDescent="0.3">
      <c r="AF9055" s="19"/>
    </row>
    <row r="9056" spans="32:32" x14ac:dyDescent="0.3">
      <c r="AF9056" s="19"/>
    </row>
    <row r="9057" spans="32:32" x14ac:dyDescent="0.3">
      <c r="AF9057" s="19"/>
    </row>
    <row r="9058" spans="32:32" x14ac:dyDescent="0.3">
      <c r="AF9058" s="19"/>
    </row>
    <row r="9071" spans="32:32" x14ac:dyDescent="0.3">
      <c r="AF9071" s="19"/>
    </row>
    <row r="9072" spans="32:32" x14ac:dyDescent="0.3">
      <c r="AF9072" s="19"/>
    </row>
    <row r="9073" spans="32:32" x14ac:dyDescent="0.3">
      <c r="AF9073" s="19"/>
    </row>
    <row r="9074" spans="32:32" x14ac:dyDescent="0.3">
      <c r="AF9074" s="19"/>
    </row>
    <row r="9075" spans="32:32" x14ac:dyDescent="0.3">
      <c r="AF9075" s="19"/>
    </row>
    <row r="9076" spans="32:32" x14ac:dyDescent="0.3">
      <c r="AF9076" s="19"/>
    </row>
    <row r="9077" spans="32:32" x14ac:dyDescent="0.3">
      <c r="AF9077" s="19"/>
    </row>
    <row r="9078" spans="32:32" x14ac:dyDescent="0.3">
      <c r="AF9078" s="19"/>
    </row>
    <row r="9079" spans="32:32" x14ac:dyDescent="0.3">
      <c r="AF9079" s="19"/>
    </row>
    <row r="9080" spans="32:32" x14ac:dyDescent="0.3">
      <c r="AF9080" s="19"/>
    </row>
    <row r="9093" spans="32:32" x14ac:dyDescent="0.3">
      <c r="AF9093" s="19"/>
    </row>
    <row r="9094" spans="32:32" x14ac:dyDescent="0.3">
      <c r="AF9094" s="19"/>
    </row>
    <row r="9095" spans="32:32" x14ac:dyDescent="0.3">
      <c r="AF9095" s="19"/>
    </row>
    <row r="9096" spans="32:32" x14ac:dyDescent="0.3">
      <c r="AF9096" s="19"/>
    </row>
    <row r="9097" spans="32:32" x14ac:dyDescent="0.3">
      <c r="AF9097" s="19"/>
    </row>
    <row r="9098" spans="32:32" x14ac:dyDescent="0.3">
      <c r="AF9098" s="19"/>
    </row>
    <row r="9099" spans="32:32" x14ac:dyDescent="0.3">
      <c r="AF9099" s="19"/>
    </row>
    <row r="9114" spans="32:32" x14ac:dyDescent="0.3">
      <c r="AF9114" s="19"/>
    </row>
    <row r="9115" spans="32:32" x14ac:dyDescent="0.3">
      <c r="AF9115" s="19"/>
    </row>
    <row r="9116" spans="32:32" x14ac:dyDescent="0.3">
      <c r="AF9116" s="19"/>
    </row>
    <row r="9117" spans="32:32" x14ac:dyDescent="0.3">
      <c r="AF9117" s="19"/>
    </row>
    <row r="9118" spans="32:32" x14ac:dyDescent="0.3">
      <c r="AF9118" s="19"/>
    </row>
    <row r="9119" spans="32:32" x14ac:dyDescent="0.3">
      <c r="AF9119" s="19"/>
    </row>
    <row r="9120" spans="32:32" x14ac:dyDescent="0.3">
      <c r="AF9120" s="19"/>
    </row>
    <row r="9121" spans="32:32" x14ac:dyDescent="0.3">
      <c r="AF9121" s="19"/>
    </row>
    <row r="9122" spans="32:32" x14ac:dyDescent="0.3">
      <c r="AF9122" s="19"/>
    </row>
    <row r="9134" spans="32:32" x14ac:dyDescent="0.3">
      <c r="AF9134" s="19"/>
    </row>
    <row r="9135" spans="32:32" x14ac:dyDescent="0.3">
      <c r="AF9135" s="19"/>
    </row>
    <row r="9136" spans="32:32" x14ac:dyDescent="0.3">
      <c r="AF9136" s="19"/>
    </row>
    <row r="9137" spans="32:32" x14ac:dyDescent="0.3">
      <c r="AF9137" s="19"/>
    </row>
    <row r="9138" spans="32:32" x14ac:dyDescent="0.3">
      <c r="AF9138" s="19"/>
    </row>
    <row r="9139" spans="32:32" x14ac:dyDescent="0.3">
      <c r="AF9139" s="19"/>
    </row>
    <row r="9140" spans="32:32" x14ac:dyDescent="0.3">
      <c r="AF9140" s="19"/>
    </row>
    <row r="9141" spans="32:32" x14ac:dyDescent="0.3">
      <c r="AF9141" s="19"/>
    </row>
    <row r="9142" spans="32:32" x14ac:dyDescent="0.3">
      <c r="AF9142" s="19"/>
    </row>
    <row r="9156" spans="32:32" x14ac:dyDescent="0.3">
      <c r="AF9156" s="19"/>
    </row>
    <row r="9157" spans="32:32" x14ac:dyDescent="0.3">
      <c r="AF9157" s="19"/>
    </row>
    <row r="9158" spans="32:32" x14ac:dyDescent="0.3">
      <c r="AF9158" s="19"/>
    </row>
    <row r="9159" spans="32:32" x14ac:dyDescent="0.3">
      <c r="AF9159" s="19"/>
    </row>
    <row r="9160" spans="32:32" x14ac:dyDescent="0.3">
      <c r="AF9160" s="19"/>
    </row>
    <row r="9161" spans="32:32" x14ac:dyDescent="0.3">
      <c r="AF9161" s="19"/>
    </row>
    <row r="9162" spans="32:32" x14ac:dyDescent="0.3">
      <c r="AF9162" s="19"/>
    </row>
    <row r="9177" spans="32:32" x14ac:dyDescent="0.3">
      <c r="AF9177" s="19"/>
    </row>
    <row r="9178" spans="32:32" x14ac:dyDescent="0.3">
      <c r="AF9178" s="19"/>
    </row>
    <row r="9179" spans="32:32" x14ac:dyDescent="0.3">
      <c r="AF9179" s="19"/>
    </row>
    <row r="9180" spans="32:32" x14ac:dyDescent="0.3">
      <c r="AF9180" s="19"/>
    </row>
    <row r="9181" spans="32:32" x14ac:dyDescent="0.3">
      <c r="AF9181" s="19"/>
    </row>
    <row r="9182" spans="32:32" x14ac:dyDescent="0.3">
      <c r="AF9182" s="19"/>
    </row>
    <row r="9183" spans="32:32" x14ac:dyDescent="0.3">
      <c r="AF9183" s="19"/>
    </row>
    <row r="9184" spans="32:32" x14ac:dyDescent="0.3">
      <c r="AF9184" s="19"/>
    </row>
    <row r="9198" spans="32:32" x14ac:dyDescent="0.3">
      <c r="AF9198" s="19"/>
    </row>
    <row r="9199" spans="32:32" x14ac:dyDescent="0.3">
      <c r="AF9199" s="19"/>
    </row>
    <row r="9200" spans="32:32" x14ac:dyDescent="0.3">
      <c r="AF9200" s="19"/>
    </row>
    <row r="9201" spans="32:32" x14ac:dyDescent="0.3">
      <c r="AF9201" s="19"/>
    </row>
    <row r="9202" spans="32:32" x14ac:dyDescent="0.3">
      <c r="AF9202" s="19"/>
    </row>
    <row r="9203" spans="32:32" x14ac:dyDescent="0.3">
      <c r="AF9203" s="19"/>
    </row>
    <row r="9204" spans="32:32" x14ac:dyDescent="0.3">
      <c r="AF9204" s="19"/>
    </row>
    <row r="9205" spans="32:32" x14ac:dyDescent="0.3">
      <c r="AF9205" s="19"/>
    </row>
    <row r="9206" spans="32:32" x14ac:dyDescent="0.3">
      <c r="AF9206" s="19"/>
    </row>
    <row r="9207" spans="32:32" x14ac:dyDescent="0.3">
      <c r="AF9207" s="19"/>
    </row>
    <row r="9220" spans="32:32" x14ac:dyDescent="0.3">
      <c r="AF9220" s="19"/>
    </row>
    <row r="9221" spans="32:32" x14ac:dyDescent="0.3">
      <c r="AF9221" s="19"/>
    </row>
    <row r="9222" spans="32:32" x14ac:dyDescent="0.3">
      <c r="AF9222" s="19"/>
    </row>
    <row r="9223" spans="32:32" x14ac:dyDescent="0.3">
      <c r="AF9223" s="19"/>
    </row>
    <row r="9224" spans="32:32" x14ac:dyDescent="0.3">
      <c r="AF9224" s="19"/>
    </row>
    <row r="9225" spans="32:32" x14ac:dyDescent="0.3">
      <c r="AF9225" s="19"/>
    </row>
    <row r="9226" spans="32:32" x14ac:dyDescent="0.3">
      <c r="AF9226" s="19"/>
    </row>
    <row r="9227" spans="32:32" x14ac:dyDescent="0.3">
      <c r="AF9227" s="19"/>
    </row>
    <row r="9243" spans="32:32" x14ac:dyDescent="0.3">
      <c r="AF9243" s="19"/>
    </row>
    <row r="9244" spans="32:32" x14ac:dyDescent="0.3">
      <c r="AF9244" s="19"/>
    </row>
    <row r="9245" spans="32:32" x14ac:dyDescent="0.3">
      <c r="AF9245" s="19"/>
    </row>
    <row r="9246" spans="32:32" x14ac:dyDescent="0.3">
      <c r="AF9246" s="19"/>
    </row>
    <row r="9247" spans="32:32" x14ac:dyDescent="0.3">
      <c r="AF9247" s="19"/>
    </row>
    <row r="9248" spans="32:32" x14ac:dyDescent="0.3">
      <c r="AF9248" s="19"/>
    </row>
    <row r="9249" spans="32:32" x14ac:dyDescent="0.3">
      <c r="AF9249" s="19"/>
    </row>
    <row r="9250" spans="32:32" x14ac:dyDescent="0.3">
      <c r="AF925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03"/>
  <sheetViews>
    <sheetView topLeftCell="B1" zoomScale="70" zoomScaleNormal="70" workbookViewId="0">
      <selection activeCell="E8" sqref="E8"/>
    </sheetView>
  </sheetViews>
  <sheetFormatPr defaultColWidth="9.109375" defaultRowHeight="14.4" x14ac:dyDescent="0.3"/>
  <cols>
    <col min="1" max="1" width="16.44140625" style="1" hidden="1" customWidth="1"/>
    <col min="2" max="2" width="19.6640625" style="1" customWidth="1"/>
    <col min="3" max="3" width="18.6640625" style="1" customWidth="1"/>
    <col min="4" max="4" width="11.109375" style="1" customWidth="1"/>
    <col min="5" max="5" width="23.33203125" style="1" customWidth="1"/>
    <col min="6" max="11" width="9.109375" style="1" customWidth="1"/>
    <col min="12" max="13" width="23" style="1" customWidth="1"/>
    <col min="14" max="14" width="23.88671875" style="1" customWidth="1"/>
    <col min="15" max="15" width="23" style="1" customWidth="1"/>
    <col min="16" max="16" width="13" style="1" customWidth="1"/>
    <col min="17" max="17" width="19.5546875" style="1" customWidth="1"/>
    <col min="18" max="18" width="19.88671875" style="1" customWidth="1"/>
    <col min="19" max="19" width="18.6640625" style="1" customWidth="1"/>
    <col min="20" max="20" width="16.6640625" style="1" customWidth="1"/>
    <col min="21" max="27" width="9.109375" style="1" customWidth="1"/>
    <col min="28" max="16384" width="9.109375" style="1"/>
  </cols>
  <sheetData>
    <row r="1" spans="2:20" x14ac:dyDescent="0.3">
      <c r="L1" s="23" t="s">
        <v>223</v>
      </c>
      <c r="M1" s="24" t="s">
        <v>224</v>
      </c>
      <c r="N1" s="24" t="s">
        <v>225</v>
      </c>
      <c r="O1" s="25" t="s">
        <v>226</v>
      </c>
      <c r="Q1" s="3" t="s">
        <v>227</v>
      </c>
      <c r="R1" s="3" t="s">
        <v>228</v>
      </c>
      <c r="S1" s="2" t="s">
        <v>229</v>
      </c>
      <c r="T1" s="3" t="s">
        <v>230</v>
      </c>
    </row>
    <row r="2" spans="2:20" x14ac:dyDescent="0.3">
      <c r="B2" s="29" t="s">
        <v>231</v>
      </c>
      <c r="C2" s="30"/>
      <c r="D2" s="30"/>
      <c r="E2" s="31"/>
      <c r="J2" s="1" t="s">
        <v>232</v>
      </c>
      <c r="L2" s="4" t="str">
        <f>Trades!P2</f>
        <v>signal</v>
      </c>
      <c r="M2" s="5">
        <f>Trades!T2</f>
        <v>782.97500000000002</v>
      </c>
      <c r="N2" s="5">
        <f>Trades!U2</f>
        <v>0.36824447044600628</v>
      </c>
      <c r="O2" s="5">
        <f>Trades!W2</f>
        <v>208.22538799591561</v>
      </c>
      <c r="Q2" s="1">
        <v>0</v>
      </c>
      <c r="R2" s="1">
        <v>3</v>
      </c>
      <c r="S2" s="1" t="e">
        <f>AVERAGEIFS(Trades!W:W,Trades!N:N,"&gt;="&amp;Q2,Trades!N:N,"&lt;="&amp;R2)</f>
        <v>#DIV/0!</v>
      </c>
      <c r="T2" s="1">
        <f>COUNTIFS(Trades!N:N,"&gt;="&amp;Q2,Trades!N:N,"&lt;="&amp;R2)</f>
        <v>0</v>
      </c>
    </row>
    <row r="3" spans="2:20" x14ac:dyDescent="0.3">
      <c r="L3" s="4" t="str">
        <f>Trades!P3</f>
        <v>signal</v>
      </c>
      <c r="M3" s="5">
        <f>M2+Trades!T3</f>
        <v>1569.075</v>
      </c>
      <c r="N3" s="5">
        <f>N2+Trades!U3</f>
        <v>0.82684744474686456</v>
      </c>
      <c r="O3" s="5">
        <f>O2+Trades!W3</f>
        <v>611.57159291379674</v>
      </c>
      <c r="Q3" s="1">
        <v>4</v>
      </c>
      <c r="R3" s="1">
        <v>7</v>
      </c>
      <c r="S3" s="1" t="e">
        <f>AVERAGEIFS(Trades!W:W,Trades!N:N,"&gt;="&amp;Q3,Trades!N:N,"&lt;="&amp;R3)</f>
        <v>#DIV/0!</v>
      </c>
      <c r="T3" s="1">
        <f>COUNTIFS(Trades!N:N,"&gt;="&amp;Q3,Trades!N:N,"&lt;="&amp;R3)</f>
        <v>0</v>
      </c>
    </row>
    <row r="4" spans="2:20" x14ac:dyDescent="0.3">
      <c r="B4" s="1" t="s">
        <v>233</v>
      </c>
      <c r="C4" s="1" t="s">
        <v>234</v>
      </c>
      <c r="D4" s="1" t="s">
        <v>235</v>
      </c>
      <c r="E4" s="1" t="s">
        <v>236</v>
      </c>
      <c r="L4" s="4" t="str">
        <f>Trades!P4</f>
        <v>signal</v>
      </c>
      <c r="M4" s="5">
        <f>M3+Trades!T4</f>
        <v>2352.6750000000002</v>
      </c>
      <c r="N4" s="5">
        <f>N3+Trades!U4</f>
        <v>1.2126290156892789</v>
      </c>
      <c r="O4" s="5">
        <f>O3+Trades!W4</f>
        <v>620.55967232023556</v>
      </c>
      <c r="Q4" s="1">
        <v>8</v>
      </c>
      <c r="R4" s="1">
        <v>11</v>
      </c>
      <c r="S4" s="1" t="e">
        <f>AVERAGEIFS(Trades!W:W,Trades!N:N,"&gt;="&amp;Q4,Trades!N:N,"&lt;="&amp;R4)</f>
        <v>#DIV/0!</v>
      </c>
      <c r="T4" s="1">
        <f>COUNTIFS(Trades!N:N,"&gt;="&amp;Q4,Trades!N:N,"&lt;="&amp;R4)</f>
        <v>0</v>
      </c>
    </row>
    <row r="5" spans="2:20" x14ac:dyDescent="0.3">
      <c r="B5" s="1" t="s">
        <v>237</v>
      </c>
      <c r="C5" s="6">
        <f>SUM(Trades!T2:T9652)</f>
        <v>18702.55999999999</v>
      </c>
      <c r="D5" s="6">
        <f>SUM(Trades!U2:U9652)</f>
        <v>5.8159471476831452</v>
      </c>
      <c r="E5" s="6">
        <f>SUM(Trades!W2:W9652)</f>
        <v>6829.00158318992</v>
      </c>
      <c r="L5" s="4" t="str">
        <f>Trades!P5</f>
        <v>signal</v>
      </c>
      <c r="M5" s="5">
        <f>M4+Trades!T5</f>
        <v>3142.9549999999999</v>
      </c>
      <c r="N5" s="5">
        <f>N4+Trades!U5</f>
        <v>1.4798635163951852</v>
      </c>
      <c r="O5" s="5">
        <f>O4+Trades!W5</f>
        <v>965.64378684048665</v>
      </c>
      <c r="Q5" s="1">
        <v>12</v>
      </c>
      <c r="R5" s="1">
        <v>15</v>
      </c>
      <c r="S5" s="1" t="e">
        <f>AVERAGEIFS(Trades!W:W,Trades!N:N,"&gt;="&amp;Q5,Trades!N:N,"&lt;="&amp;R5)</f>
        <v>#DIV/0!</v>
      </c>
      <c r="T5" s="1">
        <f>COUNTIFS(Trades!N:N,"&gt;="&amp;Q5,Trades!N:N,"&lt;="&amp;R5)</f>
        <v>0</v>
      </c>
    </row>
    <row r="6" spans="2:20" x14ac:dyDescent="0.3">
      <c r="B6" s="1" t="s">
        <v>238</v>
      </c>
      <c r="C6" s="6">
        <f>AVERAGE(Trades!T:T)</f>
        <v>146.11374999999992</v>
      </c>
      <c r="D6" s="6">
        <f>AVERAGE(Trades!U:U)</f>
        <v>4.5437087091274572E-2</v>
      </c>
      <c r="E6" s="6">
        <f>AVERAGE(Trades!W:W)</f>
        <v>53.35157486867125</v>
      </c>
      <c r="F6" s="7"/>
      <c r="L6" s="4" t="str">
        <f>Trades!P6</f>
        <v>signal</v>
      </c>
      <c r="M6" s="5">
        <f>M5+Trades!T6</f>
        <v>3921.7449999999999</v>
      </c>
      <c r="N6" s="5">
        <f>N5+Trades!U6</f>
        <v>1.6968893319791547</v>
      </c>
      <c r="O6" s="5">
        <f>O5+Trades!W6</f>
        <v>1240.4061424334759</v>
      </c>
      <c r="Q6" s="1">
        <v>16</v>
      </c>
      <c r="R6" s="1">
        <v>19</v>
      </c>
      <c r="S6" s="1" t="e">
        <f>AVERAGEIFS(Trades!W:W,Trades!N:N,"&gt;="&amp;Q6,Trades!N:N,"&lt;="&amp;R6)</f>
        <v>#DIV/0!</v>
      </c>
      <c r="T6" s="1">
        <f>COUNTIFS(Trades!N:N,"&gt;="&amp;Q6,Trades!N:N,"&lt;="&amp;R6)</f>
        <v>0</v>
      </c>
    </row>
    <row r="7" spans="2:20" x14ac:dyDescent="0.3">
      <c r="B7" s="1" t="s">
        <v>239</v>
      </c>
      <c r="C7" s="6">
        <f>MEDIAN(Trades!T:T)</f>
        <v>58.252499999999998</v>
      </c>
      <c r="D7" s="6">
        <f>MEDIAN(Trades!U:U)</f>
        <v>0.10970512871401661</v>
      </c>
      <c r="E7" s="6">
        <f>MEDIAN(Trades!W:W)</f>
        <v>85.609663319250373</v>
      </c>
      <c r="L7" s="4" t="str">
        <f>Trades!P7</f>
        <v>signal</v>
      </c>
      <c r="M7" s="5">
        <f>M6+Trades!T7</f>
        <v>4713.7749999999996</v>
      </c>
      <c r="N7" s="5">
        <f>N6+Trades!U7</f>
        <v>1.9108581127749291</v>
      </c>
      <c r="O7" s="5">
        <f>O6+Trades!W7</f>
        <v>1049.8528230938252</v>
      </c>
      <c r="Q7" s="1">
        <v>20</v>
      </c>
      <c r="R7" s="1">
        <v>23</v>
      </c>
      <c r="S7" s="1" t="e">
        <f>AVERAGEIFS(Trades!W:W,Trades!N:N,"&gt;="&amp;Q7,Trades!N:N,"&lt;="&amp;R7)</f>
        <v>#DIV/0!</v>
      </c>
      <c r="T7" s="1">
        <f>COUNTIFS(Trades!N:N,"&gt;="&amp;Q7,Trades!N:N,"&lt;="&amp;R7)</f>
        <v>0</v>
      </c>
    </row>
    <row r="8" spans="2:20" x14ac:dyDescent="0.3">
      <c r="B8" s="1" t="s">
        <v>240</v>
      </c>
      <c r="C8" s="6">
        <f>MIN(Trades!T:T)</f>
        <v>47.21</v>
      </c>
      <c r="D8" s="6">
        <f>MIN(Trades!U:U)</f>
        <v>-0.49528238982585743</v>
      </c>
      <c r="E8" s="6">
        <f>MIN(Trades!W:W)</f>
        <v>-2229.86427232288</v>
      </c>
      <c r="L8" s="4" t="str">
        <f>Trades!P8</f>
        <v>signal</v>
      </c>
      <c r="M8" s="5">
        <f>M7+Trades!T8</f>
        <v>5506.2349999999997</v>
      </c>
      <c r="N8" s="5">
        <f>N7+Trades!U8</f>
        <v>2.0113213213235079</v>
      </c>
      <c r="O8" s="5">
        <f>O7+Trades!W8</f>
        <v>1124.6473431369825</v>
      </c>
      <c r="Q8" s="1">
        <v>24</v>
      </c>
      <c r="R8" s="1">
        <v>27</v>
      </c>
      <c r="S8" s="1" t="e">
        <f>AVERAGEIFS(Trades!W:W,Trades!N:N,"&gt;="&amp;Q8,Trades!N:N,"&lt;="&amp;R8)</f>
        <v>#DIV/0!</v>
      </c>
      <c r="T8" s="1">
        <f>COUNTIFS(Trades!N:N,"&gt;="&amp;Q8,Trades!N:N,"&lt;="&amp;R8)</f>
        <v>0</v>
      </c>
    </row>
    <row r="9" spans="2:20" x14ac:dyDescent="0.3">
      <c r="B9" s="1" t="s">
        <v>241</v>
      </c>
      <c r="C9" s="6">
        <f>MAX(Trades!T:T)</f>
        <v>829.34</v>
      </c>
      <c r="D9" s="6">
        <f>MAX(Trades!U:U)</f>
        <v>0.4871990736000601</v>
      </c>
      <c r="E9" s="6">
        <f>MAX(Trades!W:W)</f>
        <v>877.07999627882373</v>
      </c>
      <c r="L9" s="4" t="str">
        <f>Trades!P9</f>
        <v>signal</v>
      </c>
      <c r="M9" s="5">
        <f>M8+Trades!T9</f>
        <v>6310.6349999999993</v>
      </c>
      <c r="N9" s="5">
        <f>N8+Trades!U9</f>
        <v>1.7906159706036333</v>
      </c>
      <c r="O9" s="5">
        <f>O8+Trades!W9</f>
        <v>1394.4670556770184</v>
      </c>
      <c r="Q9" s="1">
        <v>28</v>
      </c>
      <c r="R9" s="1">
        <v>34</v>
      </c>
      <c r="S9" s="1" t="e">
        <f>AVERAGEIFS(Trades!W:W,Trades!N:N,"&gt;="&amp;Q9,Trades!N:N,"&lt;="&amp;R9)</f>
        <v>#DIV/0!</v>
      </c>
      <c r="T9" s="1">
        <f>COUNTIFS(Trades!N:N,"&gt;="&amp;Q9,Trades!N:N,"&lt;="&amp;R9)</f>
        <v>0</v>
      </c>
    </row>
    <row r="10" spans="2:20" x14ac:dyDescent="0.3">
      <c r="B10" s="1" t="s">
        <v>48</v>
      </c>
      <c r="C10" s="8">
        <f>COUNTIF(Trades!T:T,"&gt;0")/(COUNTIF(Trades!T:T,"&gt;0")+COUNTIF(Trades!T:T,"&lt;0"))</f>
        <v>1</v>
      </c>
      <c r="D10" s="8">
        <f>COUNTIF(Trades!U:U,"&gt;0")/(COUNTIF(Trades!U:U,"&gt;0")+COUNTIF(Trades!U:U,"&lt;0"))</f>
        <v>0.609375</v>
      </c>
      <c r="E10" s="8">
        <f>COUNTIF(Trades!W:W,"&gt;0")/(COUNTIF(Trades!W:W,"&gt;0")+COUNTIF(Trades!W:W,"&lt;0"))</f>
        <v>0.671875</v>
      </c>
      <c r="L10" s="4" t="str">
        <f>Trades!P10</f>
        <v>signal</v>
      </c>
      <c r="M10" s="5">
        <f>M9+Trades!T10</f>
        <v>7108.3749999999991</v>
      </c>
      <c r="N10" s="5">
        <f>N9+Trades!U10</f>
        <v>1.8820893651323343</v>
      </c>
      <c r="O10" s="5">
        <f>O9+Trades!W10</f>
        <v>1601.2330455078791</v>
      </c>
      <c r="Q10" s="1">
        <v>35</v>
      </c>
      <c r="R10" s="1">
        <v>40</v>
      </c>
      <c r="S10" s="1" t="e">
        <f>AVERAGEIFS(Trades!W:W,Trades!N:N,"&gt;="&amp;Q10,Trades!N:N,"&lt;="&amp;R10)</f>
        <v>#DIV/0!</v>
      </c>
      <c r="T10" s="1">
        <f>COUNTIFS(Trades!N:N,"&gt;="&amp;Q10,Trades!N:N,"&lt;="&amp;R10)</f>
        <v>0</v>
      </c>
    </row>
    <row r="11" spans="2:20" x14ac:dyDescent="0.3">
      <c r="B11" s="9" t="s">
        <v>242</v>
      </c>
      <c r="C11" s="10" t="e">
        <f>SUMIF(Trades!T:T,"&gt;0",Trades!T:T)/ABS(SUMIF(Trades!T:T,"&lt;0",Trades!T:T))</f>
        <v>#DIV/0!</v>
      </c>
      <c r="D11" s="10">
        <f>SUMIF(Trades!U:U,"&gt;0",Trades!U:U)/ABS(SUMIF(Trades!U:U,"&lt;0",Trades!U:U))</f>
        <v>1.3842140753899077</v>
      </c>
      <c r="E11" s="10">
        <f>SUMIF(Trades!W:W,"&gt;0",Trades!W:W)/ABS(SUMIF(Trades!W:W,"&lt;0",Trades!W:W))</f>
        <v>1.5195604137850707</v>
      </c>
      <c r="L11" s="4" t="str">
        <f>Trades!P11</f>
        <v>signal</v>
      </c>
      <c r="M11" s="5">
        <f>M9+Trades!T11</f>
        <v>7139.9749999999995</v>
      </c>
      <c r="N11" s="5">
        <f>N9+Trades!U11</f>
        <v>1.6993650218731686</v>
      </c>
      <c r="O11" s="5">
        <f>O9+Trades!W11</f>
        <v>1538.8456025108035</v>
      </c>
    </row>
    <row r="12" spans="2:20" x14ac:dyDescent="0.3">
      <c r="L12" s="4" t="str">
        <f>Trades!P12</f>
        <v>signal</v>
      </c>
      <c r="M12" s="5">
        <f>M11+Trades!T12</f>
        <v>7226.0449999999992</v>
      </c>
      <c r="N12" s="5">
        <f>N11+Trades!U12</f>
        <v>1.2333703451777791</v>
      </c>
      <c r="O12" s="5">
        <f>O11+Trades!W12</f>
        <v>1584.3428354169041</v>
      </c>
      <c r="Q12" s="1">
        <v>41</v>
      </c>
      <c r="R12" s="1">
        <v>47</v>
      </c>
      <c r="S12" s="1" t="e">
        <f>AVERAGEIFS(Trades!W:W,Trades!N:N,"&gt;="&amp;Q12,Trades!N:N,"&lt;="&amp;R12)</f>
        <v>#DIV/0!</v>
      </c>
      <c r="T12" s="1">
        <f>COUNTIFS(Trades!N:N,"&gt;="&amp;Q12,Trades!N:N,"&lt;="&amp;R12)</f>
        <v>0</v>
      </c>
    </row>
    <row r="13" spans="2:20" x14ac:dyDescent="0.3">
      <c r="B13" s="1" t="s">
        <v>233</v>
      </c>
      <c r="C13" s="1" t="s">
        <v>243</v>
      </c>
      <c r="L13" s="4" t="str">
        <f>Trades!P20</f>
        <v>signal</v>
      </c>
      <c r="M13" s="5">
        <f>M12+Trades!T20</f>
        <v>7311.704999999999</v>
      </c>
      <c r="N13" s="5">
        <f>N12+Trades!U20</f>
        <v>1.3963850207687909</v>
      </c>
      <c r="O13" s="5">
        <f>O12+Trades!W20</f>
        <v>1771.1044500611738</v>
      </c>
    </row>
    <row r="14" spans="2:20" x14ac:dyDescent="0.3">
      <c r="B14" s="1" t="s">
        <v>244</v>
      </c>
      <c r="C14" s="1">
        <f>COUNTA(Trades!A:A)-1</f>
        <v>128</v>
      </c>
      <c r="L14" s="4" t="str">
        <f>Trades!P13</f>
        <v>signal</v>
      </c>
      <c r="M14" s="5">
        <f>M13+Trades!T13</f>
        <v>7396.5599999999986</v>
      </c>
      <c r="N14" s="5">
        <f>N13+Trades!U13</f>
        <v>1.0311827565724552</v>
      </c>
      <c r="O14" s="5">
        <f>O13+Trades!W13</f>
        <v>1776.0606294477782</v>
      </c>
    </row>
    <row r="15" spans="2:20" x14ac:dyDescent="0.3">
      <c r="B15" s="1" t="s">
        <v>245</v>
      </c>
      <c r="C15" s="1" t="e">
        <f>AVERAGE(Trades!N:N)</f>
        <v>#DIV/0!</v>
      </c>
      <c r="F15" s="11"/>
      <c r="L15" s="4" t="str">
        <f>Trades!P21</f>
        <v>signal</v>
      </c>
      <c r="M15" s="5">
        <f>M14+Trades!T21</f>
        <v>7481.9499999999989</v>
      </c>
      <c r="N15" s="5">
        <f>N14+Trades!U21</f>
        <v>0.74959175104974873</v>
      </c>
      <c r="O15" s="5">
        <f>O14+Trades!W21</f>
        <v>1852.6062210185089</v>
      </c>
    </row>
    <row r="16" spans="2:20" x14ac:dyDescent="0.3">
      <c r="B16" s="1" t="s">
        <v>246</v>
      </c>
      <c r="C16" s="1" t="e">
        <f>MEDIAN(Trades!N:N)</f>
        <v>#NUM!</v>
      </c>
      <c r="L16" s="4" t="str">
        <f>Trades!P22</f>
        <v>signal</v>
      </c>
      <c r="M16" s="5">
        <f>M15+Trades!T22</f>
        <v>7568.7799999999988</v>
      </c>
      <c r="N16" s="5">
        <f>N15+Trades!U22</f>
        <v>1.2242854493494908</v>
      </c>
      <c r="O16" s="5">
        <f>O15+Trades!W22</f>
        <v>1840.5895401592081</v>
      </c>
    </row>
    <row r="17" spans="2:15" x14ac:dyDescent="0.3">
      <c r="B17" s="1" t="s">
        <v>247</v>
      </c>
      <c r="C17" s="1">
        <f>MAX(Trades!N:N)</f>
        <v>0</v>
      </c>
      <c r="L17" s="4" t="str">
        <f>Trades!P23</f>
        <v>signal</v>
      </c>
      <c r="M17" s="5">
        <f>M16+Trades!T23</f>
        <v>7658.5349999999989</v>
      </c>
      <c r="N17" s="5">
        <f>N16+Trades!U23</f>
        <v>1.3432324982289452</v>
      </c>
      <c r="O17" s="5">
        <f>O16+Trades!W23</f>
        <v>2125.7805795872396</v>
      </c>
    </row>
    <row r="18" spans="2:15" x14ac:dyDescent="0.3">
      <c r="L18" s="4" t="str">
        <f>Trades!P14</f>
        <v>signal</v>
      </c>
      <c r="M18" s="5">
        <f>M17+Trades!T14</f>
        <v>7742.6749999999993</v>
      </c>
      <c r="N18" s="5">
        <f>N17+Trades!U14</f>
        <v>1.1348141120608</v>
      </c>
      <c r="O18" s="5">
        <f>O17+Trades!W14</f>
        <v>2142.960210125405</v>
      </c>
    </row>
    <row r="19" spans="2:15" x14ac:dyDescent="0.3">
      <c r="B19" s="1" t="s">
        <v>233</v>
      </c>
      <c r="C19" s="1" t="s">
        <v>248</v>
      </c>
      <c r="D19" s="1" t="s">
        <v>249</v>
      </c>
      <c r="L19" s="4" t="str">
        <f>Trades!P15</f>
        <v>signal</v>
      </c>
      <c r="M19" s="5">
        <f>M18+Trades!T15</f>
        <v>7827.1049999999996</v>
      </c>
      <c r="N19" s="5">
        <f>N18+Trades!U15</f>
        <v>1.5380001560087333</v>
      </c>
      <c r="O19" s="5">
        <f>O18+Trades!W15</f>
        <v>1996.9823421476794</v>
      </c>
    </row>
    <row r="20" spans="2:15" x14ac:dyDescent="0.3">
      <c r="B20" s="1" t="s">
        <v>250</v>
      </c>
      <c r="C20" s="1">
        <f>AVERAGEIF(Trades!I:I,"&gt;0",Trades!I:I)</f>
        <v>145.85923774609375</v>
      </c>
      <c r="D20" s="1" t="e">
        <f>AVERAGEIF(Trades!I:I,"&lt;0",Trades!I:I)</f>
        <v>#DIV/0!</v>
      </c>
      <c r="L20" s="4" t="str">
        <f>Trades!P24</f>
        <v>signal</v>
      </c>
      <c r="M20" s="5">
        <f>M19+Trades!T24</f>
        <v>7917.49</v>
      </c>
      <c r="N20" s="5">
        <f>N19+Trades!U24</f>
        <v>1.5979366949496465</v>
      </c>
      <c r="O20" s="5">
        <f>O19+Trades!W24</f>
        <v>2567.4303378792738</v>
      </c>
    </row>
    <row r="21" spans="2:15" x14ac:dyDescent="0.3">
      <c r="B21" s="1" t="s">
        <v>251</v>
      </c>
      <c r="C21" s="1">
        <f t="array" ref="C21">MEDIAN(_xlfn._xlws.FILTER(Trades!I:I,Trades!I:I&gt;0))</f>
        <v>58.3308325</v>
      </c>
      <c r="D21" s="1" t="e" vm="1">
        <f t="array" ref="D21">MEDIAN(_xlfn._xlws.FILTER(Trades!I:I,Trades!I:I&lt;0))</f>
        <v>#VALUE!</v>
      </c>
      <c r="L21" s="4" t="str">
        <f>Trades!P25</f>
        <v>signal</v>
      </c>
      <c r="M21" s="5">
        <f>M20+Trades!T25</f>
        <v>8010.0599999999995</v>
      </c>
      <c r="N21" s="5">
        <f>N20+Trades!U25</f>
        <v>1.7648689458241535</v>
      </c>
      <c r="O21" s="5">
        <f>O20+Trades!W25</f>
        <v>2092.6837942448387</v>
      </c>
    </row>
    <row r="22" spans="2:15" x14ac:dyDescent="0.3">
      <c r="B22" s="1" t="s">
        <v>252</v>
      </c>
      <c r="C22" s="1">
        <f>_xlfn.MAXIFS(Trades!I:I,Trades!I:I,"&gt;0")</f>
        <v>816.74831700000004</v>
      </c>
      <c r="D22" s="1">
        <f>_xlfn.MINIFS(Trades!I:I,Trades!I:I,"&lt;0")</f>
        <v>0</v>
      </c>
      <c r="L22" s="4" t="str">
        <f>Trades!P16</f>
        <v>signal</v>
      </c>
      <c r="M22" s="5">
        <f>M21+Trades!T16</f>
        <v>8095.2</v>
      </c>
      <c r="N22" s="5">
        <f>N21+Trades!U16</f>
        <v>2.1670238644180668</v>
      </c>
      <c r="O22" s="5">
        <f>O21+Trades!W16</f>
        <v>2856.0454404927227</v>
      </c>
    </row>
    <row r="23" spans="2:15" x14ac:dyDescent="0.3">
      <c r="B23" s="1" t="s">
        <v>253</v>
      </c>
      <c r="C23" s="1">
        <f>AVERAGEIF(Trades!S:S,"&gt;0",Trades!S:S)</f>
        <v>227.70214843749997</v>
      </c>
      <c r="D23" s="1" t="e">
        <f>AVERAGEIF(Trades!S:S,"&lt;0",Trades!S:S)</f>
        <v>#DIV/0!</v>
      </c>
      <c r="L23" s="4" t="str">
        <f>Trades!P26</f>
        <v>signal</v>
      </c>
      <c r="M23" s="5">
        <f>M22+Trades!T26</f>
        <v>8188.23</v>
      </c>
      <c r="N23" s="5">
        <f>N22+Trades!U26</f>
        <v>1.753893351123752</v>
      </c>
      <c r="O23" s="5">
        <f>O22+Trades!W26</f>
        <v>3577.3277333072365</v>
      </c>
    </row>
    <row r="24" spans="2:15" x14ac:dyDescent="0.3">
      <c r="B24" s="1" t="s">
        <v>254</v>
      </c>
      <c r="C24" s="1">
        <f t="array" ref="C24">MEDIAN(_xlfn._xlws.FILTER(Trades!S:S,Trades!S:S&gt;0))</f>
        <v>170.905</v>
      </c>
      <c r="D24" s="1" t="e" vm="1">
        <f t="array" ref="D24">MEDIAN(_xlfn._xlws.FILTER(Trades!S:S,Trades!S:S&lt;0))</f>
        <v>#VALUE!</v>
      </c>
      <c r="L24" s="4" t="str">
        <f>Trades!P27</f>
        <v>signal</v>
      </c>
      <c r="M24" s="5">
        <f>M23+Trades!T27</f>
        <v>8281.9349999999995</v>
      </c>
      <c r="N24" s="5">
        <f>N23+Trades!U27</f>
        <v>1.9006740278634762</v>
      </c>
      <c r="O24" s="5">
        <f>O23+Trades!W27</f>
        <v>4037.0460061766944</v>
      </c>
    </row>
    <row r="25" spans="2:15" x14ac:dyDescent="0.3">
      <c r="B25" s="1" t="s">
        <v>255</v>
      </c>
      <c r="C25" s="1">
        <f>_xlfn.MAXIFS(Trades!S:S,Trades!S:S,"&gt;0")</f>
        <v>955.77</v>
      </c>
      <c r="D25" s="1">
        <f>_xlfn.MINIFS(Trades!S:S,Trades!S:S,"&lt;0")</f>
        <v>0</v>
      </c>
      <c r="L25" s="4" t="str">
        <f>Trades!P17</f>
        <v>signal</v>
      </c>
      <c r="M25" s="5">
        <f>M24+Trades!T17</f>
        <v>8366.9599999999991</v>
      </c>
      <c r="N25" s="5">
        <f>N24+Trades!U17</f>
        <v>1.4074962597438019</v>
      </c>
      <c r="O25" s="5">
        <f>O24+Trades!W17</f>
        <v>3906.7464862919451</v>
      </c>
    </row>
    <row r="26" spans="2:15" x14ac:dyDescent="0.3">
      <c r="G26" s="12">
        <v>1</v>
      </c>
      <c r="H26" s="12" t="s">
        <v>256</v>
      </c>
      <c r="L26" s="4" t="str">
        <f>Trades!P18</f>
        <v>signal</v>
      </c>
      <c r="M26" s="5">
        <f>M25+Trades!T18</f>
        <v>8452.4499999999989</v>
      </c>
      <c r="N26" s="5">
        <f>N25+Trades!U18</f>
        <v>1.3571371857406642</v>
      </c>
      <c r="O26" s="5">
        <f>O25+Trades!W18</f>
        <v>3992.7851009835294</v>
      </c>
    </row>
    <row r="27" spans="2:15" x14ac:dyDescent="0.3">
      <c r="B27" s="1" t="s">
        <v>233</v>
      </c>
      <c r="C27" s="1" t="s">
        <v>257</v>
      </c>
      <c r="D27" s="1" t="s">
        <v>258</v>
      </c>
      <c r="E27" s="1" t="s">
        <v>259</v>
      </c>
      <c r="F27" s="1" t="s">
        <v>260</v>
      </c>
      <c r="L27" s="4" t="str">
        <f>Trades!P19</f>
        <v>signal</v>
      </c>
      <c r="M27" s="5">
        <f>M26+Trades!T19</f>
        <v>8538.3399999999983</v>
      </c>
      <c r="N27" s="5">
        <f>N26+Trades!U19</f>
        <v>1.8119740513660227</v>
      </c>
      <c r="O27" s="5">
        <f>O26+Trades!W19</f>
        <v>3199.9652031232417</v>
      </c>
    </row>
    <row r="28" spans="2:15" x14ac:dyDescent="0.3">
      <c r="B28" s="1" t="s">
        <v>261</v>
      </c>
      <c r="C28" s="1">
        <f>SUMIF(Trades!M:M,"LONG",Trades!T:T)</f>
        <v>0</v>
      </c>
      <c r="D28" s="1">
        <f>SUMIF(Trades!M:M,"SHORT",Trades!T:T)</f>
        <v>0</v>
      </c>
      <c r="E28" s="1">
        <f>SUMIF(Trades!O:O,"Signal",Trades!T:T)</f>
        <v>0</v>
      </c>
      <c r="F28" s="1">
        <f>SUMIF(Trades!O:O,"Forced",Trades!T:T)</f>
        <v>0</v>
      </c>
      <c r="L28" s="4" t="str">
        <f>Trades!P28</f>
        <v>signal</v>
      </c>
      <c r="M28" s="5">
        <f>M27+Trades!T28</f>
        <v>8630.4149999999991</v>
      </c>
      <c r="N28" s="5">
        <f>N27+Trades!U28</f>
        <v>2.2248955239582662</v>
      </c>
      <c r="O28" s="5">
        <f>O27+Trades!W28</f>
        <v>3112.7628520705875</v>
      </c>
    </row>
    <row r="29" spans="2:15" x14ac:dyDescent="0.3">
      <c r="B29" s="1" t="s">
        <v>262</v>
      </c>
      <c r="C29" s="1">
        <f>COUNTIF(Trades!M:M,"LONG")</f>
        <v>0</v>
      </c>
      <c r="D29" s="1">
        <f>COUNTIF(Trades!M:M,"SHORT")</f>
        <v>0</v>
      </c>
      <c r="E29" s="1">
        <f>COUNTIF(Trades!O:O,"Signal")</f>
        <v>0</v>
      </c>
      <c r="F29" s="1">
        <f>COUNTIF(Trades!O:O,"Forced")</f>
        <v>0</v>
      </c>
      <c r="L29" s="4" t="str">
        <f>Trades!P35</f>
        <v>signal</v>
      </c>
      <c r="M29" s="5">
        <f>M28+Trades!T35</f>
        <v>8680.2549999999992</v>
      </c>
      <c r="N29" s="5">
        <f>N28+Trades!U35</f>
        <v>2.0839326116863957</v>
      </c>
      <c r="O29" s="5">
        <f>O28+Trades!W35</f>
        <v>3169.0151612833683</v>
      </c>
    </row>
    <row r="30" spans="2:15" x14ac:dyDescent="0.3">
      <c r="L30" s="4" t="str">
        <f>Trades!P44</f>
        <v>signal</v>
      </c>
      <c r="M30" s="5">
        <f>M29+Trades!T44</f>
        <v>8732.494999999999</v>
      </c>
      <c r="N30" s="5">
        <f>N29+Trades!U44</f>
        <v>1.7896421986219968</v>
      </c>
      <c r="O30" s="5">
        <f>O29+Trades!W44</f>
        <v>2918.2906352536565</v>
      </c>
    </row>
    <row r="31" spans="2:15" x14ac:dyDescent="0.3">
      <c r="B31" s="1" t="s">
        <v>263</v>
      </c>
      <c r="C31" s="1" t="s">
        <v>264</v>
      </c>
      <c r="D31" s="1" t="s">
        <v>48</v>
      </c>
      <c r="L31" s="4" t="str">
        <f>Trades!P52</f>
        <v>signal</v>
      </c>
      <c r="M31" s="5">
        <f>M30+Trades!T52</f>
        <v>8784.4649999999983</v>
      </c>
      <c r="N31" s="5">
        <f>N30+Trades!U52</f>
        <v>1.9367007904756397</v>
      </c>
      <c r="O31" s="5">
        <f>O30+Trades!W52</f>
        <v>3022.2005406159656</v>
      </c>
    </row>
    <row r="32" spans="2:15" x14ac:dyDescent="0.3">
      <c r="B32" s="1">
        <v>0</v>
      </c>
      <c r="C32" s="1">
        <v>3</v>
      </c>
      <c r="D32" s="1" t="e">
        <f>COUNTIFS(Trades!N:N,"&gt;="&amp;B32,Trades!N:N,"&lt;="&amp;C32,Trades!T:T,"&gt;0")/(COUNTIFS(Trades!N:N,"&gt;="&amp;B32,Trades!N:N,"&lt;="&amp;C32,Trades!T:T,"&gt;0")+COUNTIFS(Trades!N:N,"&gt;="&amp;B32,Trades!N:N,"&lt;="&amp;C32,Trades!T:T,"&lt;0"))</f>
        <v>#DIV/0!</v>
      </c>
      <c r="L32" s="4" t="str">
        <f>Trades!P36</f>
        <v>signal</v>
      </c>
      <c r="M32" s="5">
        <f>M31+Trades!T36</f>
        <v>8833.9649999999983</v>
      </c>
      <c r="N32" s="5">
        <f>N31+Trades!U36</f>
        <v>2.066460218139194</v>
      </c>
      <c r="O32" s="5">
        <f>O31+Trades!W36</f>
        <v>3067.4799062689135</v>
      </c>
    </row>
    <row r="33" spans="2:26" x14ac:dyDescent="0.3">
      <c r="B33" s="1">
        <v>4</v>
      </c>
      <c r="C33" s="1">
        <v>7</v>
      </c>
      <c r="D33" s="1" t="e">
        <f>COUNTIFS(Trades!N:N,"&gt;="&amp;B33,Trades!N:N,"&lt;="&amp;C33,Trades!T:T,"&gt;0")/(COUNTIFS(Trades!N:N,"&gt;="&amp;B33,Trades!N:N,"&lt;="&amp;C33,Trades!T:T,"&gt;0")+COUNTIFS(Trades!N:N,"&gt;="&amp;B33,Trades!N:N,"&lt;="&amp;C33,Trades!T:T,"&lt;0"))</f>
        <v>#DIV/0!</v>
      </c>
      <c r="L33" s="4" t="str">
        <f>Trades!P45</f>
        <v>signal</v>
      </c>
      <c r="M33" s="5">
        <f>M32+Trades!T45</f>
        <v>8886.3749999999982</v>
      </c>
      <c r="N33" s="5">
        <f>N32+Trades!U45</f>
        <v>2.4813967110846264</v>
      </c>
      <c r="O33" s="5">
        <f>O32+Trades!W45</f>
        <v>3134.2263871172163</v>
      </c>
    </row>
    <row r="34" spans="2:26" x14ac:dyDescent="0.3">
      <c r="B34" s="1">
        <v>8</v>
      </c>
      <c r="C34" s="1">
        <v>11</v>
      </c>
      <c r="D34" s="1" t="e">
        <f>COUNTIFS(Trades!N:N,"&gt;="&amp;B34,Trades!N:N,"&lt;="&amp;C34,Trades!T:T,"&gt;0")/(COUNTIFS(Trades!N:N,"&gt;="&amp;B34,Trades!N:N,"&lt;="&amp;C34,Trades!T:T,"&gt;0")+COUNTIFS(Trades!N:N,"&gt;="&amp;B34,Trades!N:N,"&lt;="&amp;C34,Trades!T:T,"&lt;0"))</f>
        <v>#DIV/0!</v>
      </c>
      <c r="L34" s="4" t="str">
        <f>Trades!P29</f>
        <v>signal</v>
      </c>
      <c r="M34" s="5">
        <f>M33+Trades!T29</f>
        <v>8980.489999999998</v>
      </c>
      <c r="N34" s="5">
        <f>N33+Trades!U29</f>
        <v>2.9685957846846867</v>
      </c>
      <c r="O34" s="5">
        <f>O33+Trades!W29</f>
        <v>3095.5985647201687</v>
      </c>
    </row>
    <row r="35" spans="2:26" x14ac:dyDescent="0.3">
      <c r="B35" s="1">
        <v>12</v>
      </c>
      <c r="C35" s="1">
        <v>15</v>
      </c>
      <c r="D35" s="1" t="e">
        <f>COUNTIFS(Trades!N:N,"&gt;="&amp;B35,Trades!N:N,"&lt;="&amp;C35,Trades!T:T,"&gt;0")/(COUNTIFS(Trades!N:N,"&gt;="&amp;B35,Trades!N:N,"&lt;="&amp;C35,Trades!T:T,"&gt;0")+COUNTIFS(Trades!N:N,"&gt;="&amp;B35,Trades!N:N,"&lt;="&amp;C35,Trades!T:T,"&lt;0"))</f>
        <v>#DIV/0!</v>
      </c>
      <c r="L35" s="4" t="str">
        <f>Trades!P30</f>
        <v>signal</v>
      </c>
      <c r="M35" s="5">
        <f>M34+Trades!T30</f>
        <v>9074.4499999999971</v>
      </c>
      <c r="N35" s="5">
        <f>N34+Trades!U30</f>
        <v>2.9860684704009604</v>
      </c>
      <c r="O35" s="5">
        <f>O34+Trades!W30</f>
        <v>3038.996551814023</v>
      </c>
    </row>
    <row r="36" spans="2:26" x14ac:dyDescent="0.3">
      <c r="B36" s="1">
        <v>16</v>
      </c>
      <c r="C36" s="1">
        <v>1000000</v>
      </c>
      <c r="D36" s="1" t="e">
        <f>COUNTIFS(Trades!N:N,"&gt;="&amp;B36,Trades!N:N,"&lt;="&amp;C36,Trades!T:T,"&gt;0")/(COUNTIFS(Trades!N:N,"&gt;="&amp;B36,Trades!N:N,"&lt;="&amp;C36,Trades!T:T,"&gt;0")+COUNTIFS(Trades!N:N,"&gt;="&amp;B36,Trades!N:N,"&lt;="&amp;C36,Trades!T:T,"&lt;0"))</f>
        <v>#DIV/0!</v>
      </c>
      <c r="L36" s="4" t="str">
        <f>Trades!P37</f>
        <v>signal</v>
      </c>
      <c r="M36" s="5">
        <f>M35+Trades!T37</f>
        <v>9123.4599999999973</v>
      </c>
      <c r="N36" s="5">
        <f>N35+Trades!U37</f>
        <v>3.4537317274420123</v>
      </c>
      <c r="O36" s="5">
        <f>O35+Trades!W37</f>
        <v>2478.4281246658002</v>
      </c>
    </row>
    <row r="37" spans="2:26" x14ac:dyDescent="0.3">
      <c r="L37" s="4" t="str">
        <f>Trades!P53</f>
        <v>signal</v>
      </c>
      <c r="M37" s="5">
        <f>M36+Trades!T53</f>
        <v>9175.3599999999969</v>
      </c>
      <c r="N37" s="5">
        <f>N36+Trades!U53</f>
        <v>3.2373880165059763</v>
      </c>
      <c r="O37" s="5">
        <f>O36+Trades!W53</f>
        <v>2833.6206698488472</v>
      </c>
    </row>
    <row r="38" spans="2:26" x14ac:dyDescent="0.3">
      <c r="L38" s="4" t="str">
        <f>Trades!P54</f>
        <v>signal</v>
      </c>
      <c r="M38" s="5">
        <f>M37+Trades!T54</f>
        <v>9227.7399999999961</v>
      </c>
      <c r="N38" s="5">
        <f>N37+Trades!U54</f>
        <v>3.3858218415446215</v>
      </c>
      <c r="O38" s="5">
        <f>O37+Trades!W54</f>
        <v>2631.9161173906255</v>
      </c>
    </row>
    <row r="39" spans="2:26" x14ac:dyDescent="0.3">
      <c r="B39" s="13" t="s">
        <v>265</v>
      </c>
      <c r="C39" s="29"/>
      <c r="D39" s="30"/>
      <c r="E39" s="31"/>
      <c r="L39" s="4" t="str">
        <f>Trades!P31</f>
        <v>signal</v>
      </c>
      <c r="M39" s="5">
        <f>M38+Trades!T31</f>
        <v>9322.029999999997</v>
      </c>
      <c r="N39" s="5">
        <f>N38+Trades!U31</f>
        <v>3.5622818727945389</v>
      </c>
      <c r="O39" s="5">
        <f>O38+Trades!W31</f>
        <v>2682.2552190031224</v>
      </c>
    </row>
    <row r="40" spans="2:26" x14ac:dyDescent="0.3">
      <c r="B40" s="32" t="s">
        <v>266</v>
      </c>
      <c r="C40" s="33"/>
      <c r="D40" s="33"/>
      <c r="E40" s="34"/>
      <c r="L40" s="4" t="str">
        <f>Trades!P32</f>
        <v>signal</v>
      </c>
      <c r="M40" s="5">
        <f>M39+Trades!T32</f>
        <v>9417.3249999999971</v>
      </c>
      <c r="N40" s="5">
        <f>N39+Trades!U32</f>
        <v>3.7275011076080466</v>
      </c>
      <c r="O40" s="5">
        <f>O39+Trades!W32</f>
        <v>2808.2769217836953</v>
      </c>
    </row>
    <row r="41" spans="2:26" x14ac:dyDescent="0.3">
      <c r="B41" s="35"/>
      <c r="C41" s="36"/>
      <c r="D41" s="36"/>
      <c r="E41" s="37"/>
      <c r="L41" s="4" t="str">
        <f>Trades!P46</f>
        <v>signal</v>
      </c>
      <c r="M41" s="5">
        <f>M40+Trades!T46</f>
        <v>9470.3099999999977</v>
      </c>
      <c r="N41" s="5">
        <f>N40+Trades!U46</f>
        <v>3.3758191933389385</v>
      </c>
      <c r="O41" s="5">
        <f>O40+Trades!W46</f>
        <v>2793.845556931406</v>
      </c>
    </row>
    <row r="42" spans="2:26" x14ac:dyDescent="0.3">
      <c r="B42" s="35"/>
      <c r="C42" s="36"/>
      <c r="D42" s="36"/>
      <c r="E42" s="37"/>
      <c r="L42" s="4" t="str">
        <f>Trades!P55</f>
        <v>signal</v>
      </c>
      <c r="M42" s="5">
        <f>M41+Trades!T55</f>
        <v>9523.1949999999979</v>
      </c>
      <c r="N42" s="5">
        <f>N41+Trades!U55</f>
        <v>3.7815840321778964</v>
      </c>
      <c r="O42" s="5">
        <f>O41+Trades!W55</f>
        <v>3021.5966767292548</v>
      </c>
    </row>
    <row r="43" spans="2:26" x14ac:dyDescent="0.3">
      <c r="B43" s="35"/>
      <c r="C43" s="36"/>
      <c r="D43" s="36"/>
      <c r="E43" s="37"/>
      <c r="L43" s="4" t="str">
        <f>Trades!P47</f>
        <v>signal</v>
      </c>
      <c r="M43" s="5">
        <f>M42+Trades!T47</f>
        <v>9575.5249999999978</v>
      </c>
      <c r="N43" s="5">
        <f>N42+Trades!U47</f>
        <v>3.3378480187511683</v>
      </c>
      <c r="O43" s="5">
        <f>O42+Trades!W47</f>
        <v>3548.3940808045177</v>
      </c>
    </row>
    <row r="44" spans="2:26" x14ac:dyDescent="0.3">
      <c r="B44" s="38"/>
      <c r="C44" s="39"/>
      <c r="D44" s="39"/>
      <c r="E44" s="40"/>
      <c r="L44" s="4" t="str">
        <f>Trades!P38</f>
        <v>signal</v>
      </c>
      <c r="M44" s="5">
        <f>M43+Trades!T38</f>
        <v>9626.0799999999981</v>
      </c>
      <c r="N44" s="5">
        <f>N43+Trades!U38</f>
        <v>3.8065298010521382</v>
      </c>
      <c r="O44" s="5">
        <f>O43+Trades!W38</f>
        <v>1318.5298084816377</v>
      </c>
    </row>
    <row r="45" spans="2:26" x14ac:dyDescent="0.3">
      <c r="L45" s="4" t="str">
        <f>Trades!P48</f>
        <v>signal</v>
      </c>
      <c r="M45" s="5">
        <f>M44+Trades!T48</f>
        <v>9678.5299999999988</v>
      </c>
      <c r="N45" s="5">
        <f>N44+Trades!U48</f>
        <v>3.4783777515385998</v>
      </c>
      <c r="O45" s="5">
        <f>O44+Trades!W48</f>
        <v>1319.5898511912185</v>
      </c>
    </row>
    <row r="46" spans="2:26" x14ac:dyDescent="0.3">
      <c r="G46" s="12">
        <v>2</v>
      </c>
      <c r="H46" s="12" t="s">
        <v>267</v>
      </c>
      <c r="L46" s="4" t="str">
        <f>Trades!P39</f>
        <v>signal</v>
      </c>
      <c r="M46" s="5">
        <f>M45+Trades!T39</f>
        <v>9728.9849999999988</v>
      </c>
      <c r="N46" s="5">
        <f>N45+Trades!U39</f>
        <v>3.6463693485852939</v>
      </c>
      <c r="O46" s="5">
        <f>O45+Trades!W39</f>
        <v>1543.6847046179005</v>
      </c>
      <c r="Y46" s="12">
        <v>3</v>
      </c>
      <c r="Z46" s="12" t="s">
        <v>268</v>
      </c>
    </row>
    <row r="47" spans="2:26" x14ac:dyDescent="0.3">
      <c r="L47" s="4" t="str">
        <f>Trades!P40</f>
        <v>signal</v>
      </c>
      <c r="M47" s="5">
        <f>M46+Trades!T40</f>
        <v>9779.5149999999994</v>
      </c>
      <c r="N47" s="5">
        <f>N46+Trades!U40</f>
        <v>3.9344704350700992</v>
      </c>
      <c r="O47" s="5">
        <f>O46+Trades!W40</f>
        <v>1853.8095028858029</v>
      </c>
    </row>
    <row r="48" spans="2:26" x14ac:dyDescent="0.3">
      <c r="L48" s="4" t="str">
        <f>Trades!P56</f>
        <v>signal</v>
      </c>
      <c r="M48" s="5">
        <f>M47+Trades!T56</f>
        <v>9832.4349999999995</v>
      </c>
      <c r="N48" s="5">
        <f>N47+Trades!U56</f>
        <v>3.9639375075278278</v>
      </c>
      <c r="O48" s="5">
        <f>O47+Trades!W56</f>
        <v>1875.7048807716244</v>
      </c>
    </row>
    <row r="49" spans="3:15" x14ac:dyDescent="0.3">
      <c r="L49" s="4" t="str">
        <f>Trades!P49</f>
        <v>signal</v>
      </c>
      <c r="M49" s="5">
        <f>M48+Trades!T49</f>
        <v>9884.8949999999986</v>
      </c>
      <c r="N49" s="5">
        <f>N48+Trades!U49</f>
        <v>3.5475340142570961</v>
      </c>
      <c r="O49" s="5">
        <f>O48+Trades!W49</f>
        <v>1974.0441281335011</v>
      </c>
    </row>
    <row r="50" spans="3:15" x14ac:dyDescent="0.3">
      <c r="C50" s="16"/>
      <c r="D50" s="17"/>
      <c r="E50" s="17"/>
      <c r="F50" s="17"/>
      <c r="G50" s="17"/>
      <c r="H50" s="17"/>
      <c r="I50" s="17"/>
      <c r="L50" s="4" t="str">
        <f>Trades!P57</f>
        <v>signal</v>
      </c>
      <c r="M50" s="5">
        <f>M49+Trades!T57</f>
        <v>9939.3849999999984</v>
      </c>
      <c r="N50" s="5">
        <f>N49+Trades!U57</f>
        <v>3.5772285631153715</v>
      </c>
      <c r="O50" s="5">
        <f>O49+Trades!W57</f>
        <v>2360.8368626938773</v>
      </c>
    </row>
    <row r="51" spans="3:15" x14ac:dyDescent="0.3">
      <c r="C51" s="15"/>
      <c r="D51" s="14"/>
      <c r="E51" s="14"/>
      <c r="F51" s="14"/>
      <c r="G51" s="14"/>
      <c r="H51" s="14"/>
      <c r="I51" s="14"/>
      <c r="L51" s="4" t="str">
        <f>Trades!P50</f>
        <v>signal</v>
      </c>
      <c r="M51" s="5">
        <f>M50+Trades!T50</f>
        <v>9992.0749999999989</v>
      </c>
      <c r="N51" s="5">
        <f>N50+Trades!U50</f>
        <v>3.8713243120752008</v>
      </c>
      <c r="O51" s="5">
        <f>O50+Trades!W50</f>
        <v>2422.0335076181977</v>
      </c>
    </row>
    <row r="52" spans="3:15" x14ac:dyDescent="0.3">
      <c r="C52" s="15"/>
      <c r="D52" s="14"/>
      <c r="E52" s="14"/>
      <c r="F52" s="14"/>
      <c r="G52" s="14"/>
      <c r="H52" s="14"/>
      <c r="I52" s="14"/>
      <c r="L52" s="4" t="str">
        <f>Trades!P58</f>
        <v>signal</v>
      </c>
      <c r="M52" s="5">
        <f>M51+Trades!T58</f>
        <v>10047.304999999998</v>
      </c>
      <c r="N52" s="5">
        <f>N51+Trades!U58</f>
        <v>3.6816729388400549</v>
      </c>
      <c r="O52" s="5">
        <f>O51+Trades!W58</f>
        <v>1816.7129042219078</v>
      </c>
    </row>
    <row r="53" spans="3:15" x14ac:dyDescent="0.3">
      <c r="C53" s="15"/>
      <c r="D53" s="14"/>
      <c r="E53" s="14"/>
      <c r="F53" s="14"/>
      <c r="G53" s="14"/>
      <c r="H53" s="14"/>
      <c r="I53" s="14"/>
      <c r="L53" s="4" t="str">
        <f>Trades!P33</f>
        <v>signal</v>
      </c>
      <c r="M53" s="5">
        <f>M52+Trades!T33</f>
        <v>10142.224999999999</v>
      </c>
      <c r="N53" s="5">
        <f>N52+Trades!U33</f>
        <v>3.1934265793453531</v>
      </c>
      <c r="O53" s="5">
        <f>O52+Trades!W33</f>
        <v>1772.1784231831855</v>
      </c>
    </row>
    <row r="54" spans="3:15" x14ac:dyDescent="0.3">
      <c r="L54" s="4" t="str">
        <f>Trades!P41</f>
        <v>signal</v>
      </c>
      <c r="M54" s="5">
        <f>M53+Trades!T41</f>
        <v>10193.194999999998</v>
      </c>
      <c r="N54" s="5">
        <f>N53+Trades!U41</f>
        <v>3.6263133122994571</v>
      </c>
      <c r="O54" s="5">
        <f>O53+Trades!W41</f>
        <v>2001.8594728434809</v>
      </c>
    </row>
    <row r="55" spans="3:15" x14ac:dyDescent="0.3">
      <c r="L55" s="4" t="str">
        <f>Trades!P59</f>
        <v>signal</v>
      </c>
      <c r="M55" s="5">
        <f>M54+Trades!T59</f>
        <v>10247.639999999998</v>
      </c>
      <c r="N55" s="5">
        <f>N54+Trades!U59</f>
        <v>3.4419436191055297</v>
      </c>
      <c r="O55" s="5">
        <f>O54+Trades!W59</f>
        <v>2350.9835435393206</v>
      </c>
    </row>
    <row r="56" spans="3:15" x14ac:dyDescent="0.3">
      <c r="L56" s="4" t="str">
        <f>Trades!P51</f>
        <v>signal</v>
      </c>
      <c r="M56" s="5">
        <f>M55+Trades!T51</f>
        <v>10299.559999999998</v>
      </c>
      <c r="N56" s="5">
        <f>N55+Trades!U51</f>
        <v>3.7793701035259688</v>
      </c>
      <c r="O56" s="5">
        <f>O55+Trades!W51</f>
        <v>2666.6860458501465</v>
      </c>
    </row>
    <row r="57" spans="3:15" x14ac:dyDescent="0.3">
      <c r="L57" s="4" t="str">
        <f>Trades!P60</f>
        <v>signal</v>
      </c>
      <c r="M57" s="5">
        <f>M56+Trades!T60</f>
        <v>10355.709999999997</v>
      </c>
      <c r="N57" s="5">
        <f>N56+Trades!U60</f>
        <v>3.9591225387198512</v>
      </c>
      <c r="O57" s="5">
        <f>O56+Trades!W60</f>
        <v>1754.7678215811993</v>
      </c>
    </row>
    <row r="58" spans="3:15" x14ac:dyDescent="0.3">
      <c r="L58" s="4" t="str">
        <f>Trades!P42</f>
        <v>signal</v>
      </c>
      <c r="M58" s="5">
        <f>M57+Trades!T42</f>
        <v>10405.934999999998</v>
      </c>
      <c r="N58" s="5">
        <f>N57+Trades!U42</f>
        <v>4.0570929496632733</v>
      </c>
      <c r="O58" s="5">
        <f>O57+Trades!W42</f>
        <v>1452.8170803425057</v>
      </c>
    </row>
    <row r="59" spans="3:15" x14ac:dyDescent="0.3">
      <c r="L59" s="4" t="str">
        <f>Trades!P61</f>
        <v>signal</v>
      </c>
      <c r="M59" s="5">
        <f>M58+Trades!T61</f>
        <v>10462.274999999998</v>
      </c>
      <c r="N59" s="5">
        <f>N58+Trades!U61</f>
        <v>3.5888203823291294</v>
      </c>
      <c r="O59" s="5">
        <f>O58+Trades!W61</f>
        <v>1775.2609204638823</v>
      </c>
    </row>
    <row r="60" spans="3:15" x14ac:dyDescent="0.3">
      <c r="L60" s="4" t="str">
        <f>Trades!P34</f>
        <v>signal</v>
      </c>
      <c r="M60" s="5">
        <f>M59+Trades!T34</f>
        <v>10512.279999999997</v>
      </c>
      <c r="N60" s="5">
        <f>N59+Trades!U34</f>
        <v>4.0130718641870855</v>
      </c>
      <c r="O60" s="5">
        <f>O59+Trades!W34</f>
        <v>1862.4811124841447</v>
      </c>
    </row>
    <row r="61" spans="3:15" x14ac:dyDescent="0.3">
      <c r="L61" s="4" t="str">
        <f>Trades!P43</f>
        <v>signal</v>
      </c>
      <c r="M61" s="5">
        <f>M60+Trades!T43</f>
        <v>10562.419999999996</v>
      </c>
      <c r="N61" s="5">
        <f>N60+Trades!U43</f>
        <v>4.3359312870995641</v>
      </c>
      <c r="O61" s="5">
        <f>O60+Trades!W43</f>
        <v>1619.0556212999791</v>
      </c>
    </row>
    <row r="62" spans="3:15" x14ac:dyDescent="0.3">
      <c r="L62" s="4" t="str">
        <f>Trades!P62</f>
        <v>signal</v>
      </c>
      <c r="M62" s="5">
        <f>M61+Trades!T62</f>
        <v>10618.994999999997</v>
      </c>
      <c r="N62" s="5">
        <f>N61+Trades!U62</f>
        <v>4.642512085675202</v>
      </c>
      <c r="O62" s="5">
        <f>O61+Trades!W62</f>
        <v>1411.289095959844</v>
      </c>
    </row>
    <row r="63" spans="3:15" x14ac:dyDescent="0.3">
      <c r="L63" s="4" t="str">
        <f>Trades!P63</f>
        <v>signal</v>
      </c>
      <c r="M63" s="5">
        <f>M62+Trades!T63</f>
        <v>10674.334999999997</v>
      </c>
      <c r="N63" s="5">
        <f>N62+Trades!U63</f>
        <v>4.941266650415522</v>
      </c>
      <c r="O63" s="5">
        <f>O62+Trades!W63</f>
        <v>1004.1481611566309</v>
      </c>
    </row>
    <row r="64" spans="3:15" x14ac:dyDescent="0.3">
      <c r="L64" s="4" t="str">
        <f>Trades!P74</f>
        <v>signal</v>
      </c>
      <c r="M64" s="5">
        <f>M63+Trades!T74</f>
        <v>10724.534999999998</v>
      </c>
      <c r="N64" s="5">
        <f>N63+Trades!U74</f>
        <v>5.1309335216842724</v>
      </c>
      <c r="O64" s="5">
        <f>O63+Trades!W74</f>
        <v>997.90951646098415</v>
      </c>
    </row>
    <row r="65" spans="12:15" x14ac:dyDescent="0.3">
      <c r="L65" s="4" t="str">
        <f>Trades!P85</f>
        <v>signal</v>
      </c>
      <c r="M65" s="5">
        <f>M64+Trades!T85</f>
        <v>10772.174999999997</v>
      </c>
      <c r="N65" s="5">
        <f>N64+Trades!U85</f>
        <v>4.7856011795107367</v>
      </c>
      <c r="O65" s="5">
        <f>O64+Trades!W85</f>
        <v>1065.5233091531845</v>
      </c>
    </row>
    <row r="66" spans="12:15" x14ac:dyDescent="0.3">
      <c r="L66" s="4" t="str">
        <f>Trades!P75</f>
        <v>signal</v>
      </c>
      <c r="M66" s="5">
        <f>M65+Trades!T75</f>
        <v>10819.699999999997</v>
      </c>
      <c r="N66" s="5">
        <f>N65+Trades!U75</f>
        <v>5.1423777838062259</v>
      </c>
      <c r="O66" s="5">
        <f>O65+Trades!W75</f>
        <v>1339.3899614855031</v>
      </c>
    </row>
    <row r="67" spans="12:15" x14ac:dyDescent="0.3">
      <c r="L67" s="4" t="str">
        <f>Trades!P64</f>
        <v>signal</v>
      </c>
      <c r="M67" s="5">
        <f>M66+Trades!T64</f>
        <v>10873.319999999998</v>
      </c>
      <c r="N67" s="5">
        <f>N66+Trades!U64</f>
        <v>5.220254522145372</v>
      </c>
      <c r="O67" s="5">
        <f>O66+Trades!W64</f>
        <v>1475.0234689484478</v>
      </c>
    </row>
    <row r="68" spans="12:15" x14ac:dyDescent="0.3">
      <c r="L68" s="4" t="str">
        <f>Trades!P86</f>
        <v>signal</v>
      </c>
      <c r="M68" s="5">
        <f>M67+Trades!T86</f>
        <v>10921.904999999997</v>
      </c>
      <c r="N68" s="5">
        <f>N67+Trades!U86</f>
        <v>5.3031844915720594</v>
      </c>
      <c r="O68" s="5">
        <f>O67+Trades!W86</f>
        <v>1560.2041808953643</v>
      </c>
    </row>
    <row r="69" spans="12:15" x14ac:dyDescent="0.3">
      <c r="L69" s="4" t="str">
        <f>Trades!P65</f>
        <v>signal</v>
      </c>
      <c r="M69" s="5">
        <f>M68+Trades!T65</f>
        <v>10975.179999999997</v>
      </c>
      <c r="N69" s="5">
        <f>N68+Trades!U65</f>
        <v>5.1597539059500308</v>
      </c>
      <c r="O69" s="5">
        <f>O68+Trades!W65</f>
        <v>2115.0663655724752</v>
      </c>
    </row>
    <row r="70" spans="12:15" x14ac:dyDescent="0.3">
      <c r="L70" s="4" t="str">
        <f>Trades!P76</f>
        <v>signal</v>
      </c>
      <c r="M70" s="5">
        <f>M69+Trades!T76</f>
        <v>11023.229999999996</v>
      </c>
      <c r="N70" s="5">
        <f>N69+Trades!U76</f>
        <v>4.7021074752913909</v>
      </c>
      <c r="O70" s="5">
        <f>O69+Trades!W76</f>
        <v>2380.5078458795733</v>
      </c>
    </row>
    <row r="71" spans="12:15" x14ac:dyDescent="0.3">
      <c r="L71" s="4" t="str">
        <f>Trades!P77</f>
        <v>signal</v>
      </c>
      <c r="M71" s="5">
        <f>M70+Trades!T77</f>
        <v>11072.264999999996</v>
      </c>
      <c r="N71" s="5">
        <f>N70+Trades!U77</f>
        <v>4.4642181798538765</v>
      </c>
      <c r="O71" s="5">
        <f>O70+Trades!W77</f>
        <v>2548.1963997362013</v>
      </c>
    </row>
    <row r="72" spans="12:15" x14ac:dyDescent="0.3">
      <c r="L72" s="4" t="str">
        <f>Trades!P78</f>
        <v>signal</v>
      </c>
      <c r="M72" s="5">
        <f>M71+Trades!T78</f>
        <v>11120.769999999995</v>
      </c>
      <c r="N72" s="5">
        <f>N71+Trades!U78</f>
        <v>4.4550827559369726</v>
      </c>
      <c r="O72" s="5">
        <f>O71+Trades!W78</f>
        <v>2880.8148019949076</v>
      </c>
    </row>
    <row r="73" spans="12:15" x14ac:dyDescent="0.3">
      <c r="L73" s="4" t="str">
        <f>Trades!P87</f>
        <v>signal</v>
      </c>
      <c r="M73" s="5">
        <f>M72+Trades!T87</f>
        <v>11169.604999999994</v>
      </c>
      <c r="N73" s="5">
        <f>N72+Trades!U87</f>
        <v>3.9598003661111152</v>
      </c>
      <c r="O73" s="5">
        <f>O72+Trades!W87</f>
        <v>3110.9138731809667</v>
      </c>
    </row>
    <row r="74" spans="12:15" x14ac:dyDescent="0.3">
      <c r="L74" s="4" t="str">
        <f>Trades!P66</f>
        <v>signal</v>
      </c>
      <c r="M74" s="5">
        <f>M73+Trades!T66</f>
        <v>11222.064999999993</v>
      </c>
      <c r="N74" s="5">
        <f>N73+Trades!U66</f>
        <v>4.328638017867422</v>
      </c>
      <c r="O74" s="5">
        <f>O73+Trades!W66</f>
        <v>3421.6724313599962</v>
      </c>
    </row>
    <row r="75" spans="12:15" x14ac:dyDescent="0.3">
      <c r="L75" s="4" t="str">
        <f>Trades!P67</f>
        <v>signal</v>
      </c>
      <c r="M75" s="5">
        <f>M74+Trades!T67</f>
        <v>11274.479999999994</v>
      </c>
      <c r="N75" s="5">
        <f>N74+Trades!U67</f>
        <v>4.0718249508878301</v>
      </c>
      <c r="O75" s="5">
        <f>O74+Trades!W67</f>
        <v>3511.5425096673484</v>
      </c>
    </row>
    <row r="76" spans="12:15" x14ac:dyDescent="0.3">
      <c r="L76" s="4" t="str">
        <f>Trades!P88</f>
        <v>signal</v>
      </c>
      <c r="M76" s="5">
        <f>M75+Trades!T88</f>
        <v>11477.649999999994</v>
      </c>
      <c r="N76" s="5">
        <f>N75+Trades!U88</f>
        <v>4.2056445819019261</v>
      </c>
      <c r="O76" s="5">
        <f>O75+Trades!W88</f>
        <v>3656.9614592462317</v>
      </c>
    </row>
    <row r="77" spans="12:15" x14ac:dyDescent="0.3">
      <c r="L77" s="4" t="str">
        <f>Trades!P79</f>
        <v>signal</v>
      </c>
      <c r="M77" s="5">
        <f>M76+Trades!T79</f>
        <v>11524.994999999994</v>
      </c>
      <c r="N77" s="5">
        <f>N76+Trades!U79</f>
        <v>4.4483953003184178</v>
      </c>
      <c r="O77" s="5">
        <f>O76+Trades!W79</f>
        <v>3787.6010424206834</v>
      </c>
    </row>
    <row r="78" spans="12:15" x14ac:dyDescent="0.3">
      <c r="L78" s="4" t="str">
        <f>Trades!P68</f>
        <v>signal</v>
      </c>
      <c r="M78" s="5">
        <f>M77+Trades!T68</f>
        <v>11577.074999999993</v>
      </c>
      <c r="N78" s="5">
        <f>N77+Trades!U68</f>
        <v>4.7192300141935073</v>
      </c>
      <c r="O78" s="5">
        <f>O77+Trades!W68</f>
        <v>3583.9302092043204</v>
      </c>
    </row>
    <row r="79" spans="12:15" x14ac:dyDescent="0.3">
      <c r="L79" s="4" t="str">
        <f>Trades!P80</f>
        <v>signal</v>
      </c>
      <c r="M79" s="5">
        <f>M78+Trades!T80</f>
        <v>11625.094999999994</v>
      </c>
      <c r="N79" s="5">
        <f>N78+Trades!U80</f>
        <v>5.1123707269448984</v>
      </c>
      <c r="O79" s="5">
        <f>O78+Trades!W80</f>
        <v>3705.1930060279556</v>
      </c>
    </row>
    <row r="80" spans="12:15" x14ac:dyDescent="0.3">
      <c r="L80" s="4" t="str">
        <f>Trades!P69</f>
        <v>signal</v>
      </c>
      <c r="M80" s="5">
        <f>M79+Trades!T69</f>
        <v>11678.074999999993</v>
      </c>
      <c r="N80" s="5">
        <f>N79+Trades!U69</f>
        <v>4.662108102648844</v>
      </c>
      <c r="O80" s="5">
        <f>O79+Trades!W69</f>
        <v>4041.6658539332125</v>
      </c>
    </row>
    <row r="81" spans="12:15" x14ac:dyDescent="0.3">
      <c r="L81" s="4" t="str">
        <f>Trades!P89</f>
        <v>signal</v>
      </c>
      <c r="M81" s="5">
        <f>M80+Trades!T89</f>
        <v>11885.004999999994</v>
      </c>
      <c r="N81" s="5">
        <f>N80+Trades!U89</f>
        <v>4.8740358478746844</v>
      </c>
      <c r="O81" s="5">
        <f>O80+Trades!W89</f>
        <v>4302.7760293797619</v>
      </c>
    </row>
    <row r="82" spans="12:15" x14ac:dyDescent="0.3">
      <c r="L82" s="4" t="str">
        <f>Trades!P90</f>
        <v>signal</v>
      </c>
      <c r="M82" s="5">
        <f>M81+Trades!T90</f>
        <v>12095.474999999993</v>
      </c>
      <c r="N82" s="5">
        <f>N81+Trades!U90</f>
        <v>4.9283072987612835</v>
      </c>
      <c r="O82" s="5">
        <f>O81+Trades!W90</f>
        <v>4451.7530727517005</v>
      </c>
    </row>
    <row r="83" spans="12:15" x14ac:dyDescent="0.3">
      <c r="L83" s="4" t="str">
        <f>Trades!P81</f>
        <v>signal</v>
      </c>
      <c r="M83" s="5">
        <f>M82+Trades!T81</f>
        <v>12142.899999999992</v>
      </c>
      <c r="N83" s="5">
        <f>N82+Trades!U81</f>
        <v>4.6898548751537232</v>
      </c>
      <c r="O83" s="5">
        <f>O82+Trades!W81</f>
        <v>4496.0206146309756</v>
      </c>
    </row>
    <row r="84" spans="12:15" x14ac:dyDescent="0.3">
      <c r="L84" s="4" t="str">
        <f>Trades!P70</f>
        <v>signal</v>
      </c>
      <c r="M84" s="5">
        <f>M83+Trades!T70</f>
        <v>12195.489999999993</v>
      </c>
      <c r="N84" s="5">
        <f>N83+Trades!U70</f>
        <v>4.4047026039301134</v>
      </c>
      <c r="O84" s="5">
        <f>O83+Trades!W70</f>
        <v>4251.8720566328175</v>
      </c>
    </row>
    <row r="85" spans="12:15" x14ac:dyDescent="0.3">
      <c r="L85" s="4" t="str">
        <f>Trades!P91</f>
        <v>signal</v>
      </c>
      <c r="M85" s="5">
        <f>M84+Trades!T91</f>
        <v>12407.809999999992</v>
      </c>
      <c r="N85" s="5">
        <f>N84+Trades!U91</f>
        <v>4.8085245395487535</v>
      </c>
      <c r="O85" s="5">
        <f>O84+Trades!W91</f>
        <v>4573.1530988941786</v>
      </c>
    </row>
    <row r="86" spans="12:15" x14ac:dyDescent="0.3">
      <c r="L86" s="4" t="str">
        <f>Trades!P71</f>
        <v>signal</v>
      </c>
      <c r="M86" s="5">
        <f>M85+Trades!T71</f>
        <v>12457.559999999992</v>
      </c>
      <c r="N86" s="5">
        <f>N85+Trades!U71</f>
        <v>5.1317001825850976</v>
      </c>
      <c r="O86" s="5">
        <f>O85+Trades!W71</f>
        <v>3908.8290811029756</v>
      </c>
    </row>
    <row r="87" spans="12:15" x14ac:dyDescent="0.3">
      <c r="L87" s="4" t="str">
        <f>Trades!P72</f>
        <v>signal</v>
      </c>
      <c r="M87" s="5">
        <f>M86+Trades!T72</f>
        <v>12507.809999999992</v>
      </c>
      <c r="N87" s="5">
        <f>N86+Trades!U72</f>
        <v>5.189191922150453</v>
      </c>
      <c r="O87" s="5">
        <f>O86+Trades!W72</f>
        <v>3506.1279015519067</v>
      </c>
    </row>
    <row r="88" spans="12:15" x14ac:dyDescent="0.3">
      <c r="L88" s="4" t="str">
        <f>Trades!P92</f>
        <v>signal</v>
      </c>
      <c r="M88" s="5">
        <f>M87+Trades!T92</f>
        <v>12721.039999999992</v>
      </c>
      <c r="N88" s="5">
        <f>N87+Trades!U92</f>
        <v>5.6525566319948641</v>
      </c>
      <c r="O88" s="5">
        <f>O87+Trades!W92</f>
        <v>3490.2962460894564</v>
      </c>
    </row>
    <row r="89" spans="12:15" x14ac:dyDescent="0.3">
      <c r="L89" s="4" t="str">
        <f>Trades!P82</f>
        <v>signal</v>
      </c>
      <c r="M89" s="5">
        <f>M88+Trades!T82</f>
        <v>12768.539999999992</v>
      </c>
      <c r="N89" s="5">
        <f>N88+Trades!U82</f>
        <v>5.2866170162761525</v>
      </c>
      <c r="O89" s="5">
        <f>O88+Trades!W82</f>
        <v>3720.6130175140647</v>
      </c>
    </row>
    <row r="90" spans="12:15" x14ac:dyDescent="0.3">
      <c r="L90" s="4" t="str">
        <f>Trades!P83</f>
        <v>signal</v>
      </c>
      <c r="M90" s="5">
        <f>M89+Trades!T83</f>
        <v>12815.749999999991</v>
      </c>
      <c r="N90" s="5">
        <f>N89+Trades!U83</f>
        <v>5.2922979380833359</v>
      </c>
      <c r="O90" s="5">
        <f>O89+Trades!W83</f>
        <v>3795.9294999563913</v>
      </c>
    </row>
    <row r="91" spans="12:15" x14ac:dyDescent="0.3">
      <c r="L91" s="4" t="str">
        <f>Trades!P73</f>
        <v>signal</v>
      </c>
      <c r="M91" s="5">
        <f>M90+Trades!T73</f>
        <v>12865.569999999991</v>
      </c>
      <c r="N91" s="5">
        <f>N90+Trades!U73</f>
        <v>5.6639389136130029</v>
      </c>
      <c r="O91" s="5">
        <f>O90+Trades!W73</f>
        <v>4025.8633482876576</v>
      </c>
    </row>
    <row r="92" spans="12:15" x14ac:dyDescent="0.3">
      <c r="L92" s="4" t="str">
        <f>Trades!P84</f>
        <v>signal</v>
      </c>
      <c r="M92" s="5">
        <f>M91+Trades!T84</f>
        <v>12913.53999999999</v>
      </c>
      <c r="N92" s="5">
        <f>N91+Trades!U84</f>
        <v>5.6742574223116149</v>
      </c>
      <c r="O92" s="5">
        <f>O91+Trades!W84</f>
        <v>4397.7051559924957</v>
      </c>
    </row>
    <row r="93" spans="12:15" x14ac:dyDescent="0.3">
      <c r="L93" s="4" t="str">
        <f>Trades!P93</f>
        <v>signal</v>
      </c>
      <c r="M93" s="5">
        <f>M92+Trades!T93</f>
        <v>13127.319999999991</v>
      </c>
      <c r="N93" s="5">
        <f>N92+Trades!U93</f>
        <v>5.2494367132239947</v>
      </c>
      <c r="O93" s="5">
        <f>O92+Trades!W93</f>
        <v>4671.6686053655994</v>
      </c>
    </row>
    <row r="94" spans="12:15" x14ac:dyDescent="0.3">
      <c r="L94" s="4" t="str">
        <f>Trades!P94</f>
        <v>signal</v>
      </c>
      <c r="M94" s="5">
        <f>M93+Trades!T94</f>
        <v>13348.87999999999</v>
      </c>
      <c r="N94" s="5">
        <f>N93+Trades!U94</f>
        <v>5.5100790961176616</v>
      </c>
      <c r="O94" s="5">
        <f>O93+Trades!W94</f>
        <v>4350.2180349961018</v>
      </c>
    </row>
    <row r="95" spans="12:15" x14ac:dyDescent="0.3">
      <c r="L95" s="4" t="str">
        <f>Trades!P105</f>
        <v>signal</v>
      </c>
      <c r="M95" s="5">
        <f>M94+Trades!T105</f>
        <v>13562.75499999999</v>
      </c>
      <c r="N95" s="5">
        <f>N94+Trades!U105</f>
        <v>5.2333812378628322</v>
      </c>
      <c r="O95" s="5">
        <f>O94+Trades!W105</f>
        <v>4567.0644715232665</v>
      </c>
    </row>
    <row r="96" spans="12:15" x14ac:dyDescent="0.3">
      <c r="L96" s="4" t="str">
        <f>Trades!P95</f>
        <v>signal</v>
      </c>
      <c r="M96" s="5">
        <f>M95+Trades!T95</f>
        <v>13785.42499999999</v>
      </c>
      <c r="N96" s="5">
        <f>N95+Trades!U95</f>
        <v>5.6174928486200226</v>
      </c>
      <c r="O96" s="5">
        <f>O95+Trades!W95</f>
        <v>4703.9084802352936</v>
      </c>
    </row>
    <row r="97" spans="12:15" x14ac:dyDescent="0.3">
      <c r="L97" s="4" t="str">
        <f>Trades!P106</f>
        <v>signal</v>
      </c>
      <c r="M97" s="5">
        <f>M96+Trades!T106</f>
        <v>14005.51499999999</v>
      </c>
      <c r="N97" s="5">
        <f>N96+Trades!U106</f>
        <v>5.7110270407010031</v>
      </c>
      <c r="O97" s="5">
        <f>O96+Trades!W106</f>
        <v>4764.8805313549583</v>
      </c>
    </row>
    <row r="98" spans="12:15" x14ac:dyDescent="0.3">
      <c r="L98" s="4" t="str">
        <f>Trades!P96</f>
        <v>signal</v>
      </c>
      <c r="M98" s="5">
        <f>M97+Trades!T96</f>
        <v>14227.43499999999</v>
      </c>
      <c r="N98" s="5">
        <f>N97+Trades!U96</f>
        <v>5.5064161412479322</v>
      </c>
      <c r="O98" s="5">
        <f>O97+Trades!W96</f>
        <v>5130.4503552944961</v>
      </c>
    </row>
    <row r="99" spans="12:15" x14ac:dyDescent="0.3">
      <c r="L99" s="4" t="str">
        <f>Trades!P97</f>
        <v>signal</v>
      </c>
      <c r="M99" s="5">
        <f>M98+Trades!T97</f>
        <v>14450.78999999999</v>
      </c>
      <c r="N99" s="5">
        <f>N98+Trades!U97</f>
        <v>5.7932001480803219</v>
      </c>
      <c r="O99" s="5">
        <f>O98+Trades!W97</f>
        <v>5171.8293027169284</v>
      </c>
    </row>
    <row r="100" spans="12:15" x14ac:dyDescent="0.3">
      <c r="L100" s="4" t="str">
        <f>Trades!P98</f>
        <v>signal</v>
      </c>
      <c r="M100" s="5">
        <f>M99+Trades!T98</f>
        <v>14672.51999999999</v>
      </c>
      <c r="N100" s="5">
        <f>N99+Trades!U98</f>
        <v>6.1005239195134546</v>
      </c>
      <c r="O100" s="5">
        <f>O99+Trades!W98</f>
        <v>5560.1037842816841</v>
      </c>
    </row>
    <row r="101" spans="12:15" x14ac:dyDescent="0.3">
      <c r="L101" s="4" t="str">
        <f>Trades!P107</f>
        <v>signal</v>
      </c>
      <c r="M101" s="5">
        <f>M100+Trades!T107</f>
        <v>14894.069999999989</v>
      </c>
      <c r="N101" s="5">
        <f>N100+Trades!U107</f>
        <v>6.2765241973214696</v>
      </c>
      <c r="O101" s="5">
        <f>O100+Trades!W107</f>
        <v>6437.1837805605082</v>
      </c>
    </row>
    <row r="102" spans="12:15" x14ac:dyDescent="0.3">
      <c r="L102" s="4" t="str">
        <f>Trades!P99</f>
        <v>signal</v>
      </c>
      <c r="M102" s="5">
        <f>M101+Trades!T99</f>
        <v>15112.804999999989</v>
      </c>
      <c r="N102" s="5">
        <f>N101+Trades!U99</f>
        <v>6.5729324764607924</v>
      </c>
      <c r="O102" s="5">
        <f>O101+Trades!W99</f>
        <v>6642.6415400881997</v>
      </c>
    </row>
    <row r="103" spans="12:15" x14ac:dyDescent="0.3">
      <c r="L103" s="4" t="str">
        <f>Trades!P108</f>
        <v>signal</v>
      </c>
      <c r="M103" s="5">
        <f>M102+Trades!T108</f>
        <v>15334.014999999989</v>
      </c>
      <c r="N103" s="5">
        <f>N102+Trades!U108</f>
        <v>6.9966437433781188</v>
      </c>
      <c r="O103" s="5">
        <f>O102+Trades!W108</f>
        <v>6808.683217200678</v>
      </c>
    </row>
    <row r="104" spans="12:15" x14ac:dyDescent="0.3">
      <c r="L104" s="4" t="str">
        <f>Trades!P100</f>
        <v>signal</v>
      </c>
      <c r="M104" s="5">
        <f>M103+Trades!T100</f>
        <v>15556.964999999989</v>
      </c>
      <c r="N104" s="5">
        <f>N103+Trades!U100</f>
        <v>6.9964719894435667</v>
      </c>
      <c r="O104" s="5">
        <f>O103+Trades!W100</f>
        <v>6798.5385830450214</v>
      </c>
    </row>
    <row r="105" spans="12:15" x14ac:dyDescent="0.3">
      <c r="L105" s="4" t="str">
        <f>Trades!P109</f>
        <v>signal</v>
      </c>
      <c r="M105" s="5">
        <f>M104+Trades!T109</f>
        <v>15774.00499999999</v>
      </c>
      <c r="N105" s="5">
        <f>N104+Trades!U109</f>
        <v>6.6483371035650567</v>
      </c>
      <c r="O105" s="5">
        <f>O104+Trades!W109</f>
        <v>6695.7121674245973</v>
      </c>
    </row>
    <row r="106" spans="12:15" x14ac:dyDescent="0.3">
      <c r="L106" s="4" t="str">
        <f>Trades!P110</f>
        <v>signal</v>
      </c>
      <c r="M106" s="5">
        <f>M105+Trades!T110</f>
        <v>15993.874999999991</v>
      </c>
      <c r="N106" s="5">
        <f>N105+Trades!U110</f>
        <v>6.3443000088635175</v>
      </c>
      <c r="O106" s="5">
        <f>O105+Trades!W110</f>
        <v>6809.6763090430359</v>
      </c>
    </row>
    <row r="107" spans="12:15" x14ac:dyDescent="0.3">
      <c r="L107" s="4" t="str">
        <f>Trades!P101</f>
        <v>signal</v>
      </c>
      <c r="M107" s="5">
        <f>M106+Trades!T101</f>
        <v>16213.569999999991</v>
      </c>
      <c r="N107" s="5">
        <f>N106+Trades!U101</f>
        <v>5.926012246358523</v>
      </c>
      <c r="O107" s="5">
        <f>O106+Trades!W101</f>
        <v>6858.4953301154155</v>
      </c>
    </row>
    <row r="108" spans="12:15" x14ac:dyDescent="0.3">
      <c r="L108" s="4" t="str">
        <f>Trades!P111</f>
        <v>signal</v>
      </c>
      <c r="M108" s="5">
        <f>M107+Trades!T111</f>
        <v>16262.609999999991</v>
      </c>
      <c r="N108" s="5">
        <f>N107+Trades!U111</f>
        <v>5.5993623141857176</v>
      </c>
      <c r="O108" s="5">
        <f>O107+Trades!W111</f>
        <v>6852.912956380681</v>
      </c>
    </row>
    <row r="109" spans="12:15" x14ac:dyDescent="0.3">
      <c r="L109" s="4" t="str">
        <f>Trades!P102</f>
        <v>signal</v>
      </c>
      <c r="M109" s="5">
        <f>M108+Trades!T102</f>
        <v>16478.019999999993</v>
      </c>
      <c r="N109" s="5">
        <f>N108+Trades!U102</f>
        <v>6.0450168718540649</v>
      </c>
      <c r="O109" s="5">
        <f>O108+Trades!W102</f>
        <v>6813.6991760883975</v>
      </c>
    </row>
    <row r="110" spans="12:15" x14ac:dyDescent="0.3">
      <c r="L110" s="4" t="str">
        <f>Trades!P112</f>
        <v>signal</v>
      </c>
      <c r="M110" s="5">
        <f>M109+Trades!T112</f>
        <v>16527.739999999994</v>
      </c>
      <c r="N110" s="5">
        <f>N109+Trades!U112</f>
        <v>5.76261974569538</v>
      </c>
      <c r="O110" s="5">
        <f>O109+Trades!W112</f>
        <v>7079.2999070123242</v>
      </c>
    </row>
    <row r="111" spans="12:15" x14ac:dyDescent="0.3">
      <c r="L111" s="4" t="str">
        <f>Trades!P103</f>
        <v>signal</v>
      </c>
      <c r="M111" s="5">
        <f>M110+Trades!T103</f>
        <v>16741.584999999995</v>
      </c>
      <c r="N111" s="5">
        <f>N110+Trades!U103</f>
        <v>5.2872816606787971</v>
      </c>
      <c r="O111" s="5">
        <f>O110+Trades!W103</f>
        <v>7013.3036287528203</v>
      </c>
    </row>
    <row r="112" spans="12:15" x14ac:dyDescent="0.3">
      <c r="L112" s="4" t="str">
        <f>Trades!P113</f>
        <v>signal</v>
      </c>
      <c r="M112" s="5">
        <f>M111+Trades!T113</f>
        <v>16790.939999999995</v>
      </c>
      <c r="N112" s="5">
        <f>N111+Trades!U113</f>
        <v>5.0058983651341515</v>
      </c>
      <c r="O112" s="5">
        <f>O111+Trades!W113</f>
        <v>7138.2824110258352</v>
      </c>
    </row>
    <row r="113" spans="12:15" x14ac:dyDescent="0.3">
      <c r="L113" s="4" t="str">
        <f>Trades!P104</f>
        <v>signal</v>
      </c>
      <c r="M113" s="5">
        <f>M112+Trades!T104</f>
        <v>17005.389999999996</v>
      </c>
      <c r="N113" s="5">
        <f>N112+Trades!U104</f>
        <v>4.9508017191507392</v>
      </c>
      <c r="O113" s="5">
        <f>O112+Trades!W104</f>
        <v>7447.7127960071621</v>
      </c>
    </row>
    <row r="114" spans="12:15" x14ac:dyDescent="0.3">
      <c r="L114" s="4">
        <f>Trades!P248</f>
        <v>0</v>
      </c>
      <c r="M114" s="5">
        <f>M113+Trades!T248</f>
        <v>17005.389999999996</v>
      </c>
      <c r="N114" s="5">
        <f>N113+Trades!U248</f>
        <v>4.9508017191507392</v>
      </c>
      <c r="O114" s="5">
        <f>O113+Trades!W248</f>
        <v>7447.7127960071621</v>
      </c>
    </row>
    <row r="115" spans="12:15" x14ac:dyDescent="0.3">
      <c r="L115" s="4" t="str">
        <f>Trades!P114</f>
        <v>signal</v>
      </c>
      <c r="M115" s="5">
        <f>M114+Trades!T114</f>
        <v>17055.404999999995</v>
      </c>
      <c r="N115" s="5">
        <f>N114+Trades!U114</f>
        <v>4.5892864059705332</v>
      </c>
      <c r="O115" s="5">
        <f>O114+Trades!W114</f>
        <v>7161.286179446568</v>
      </c>
    </row>
    <row r="116" spans="12:15" x14ac:dyDescent="0.3">
      <c r="L116" s="4" t="str">
        <f>Trades!P126</f>
        <v>signal</v>
      </c>
      <c r="M116" s="5">
        <f>M115+Trades!T126</f>
        <v>17115.994999999995</v>
      </c>
      <c r="N116" s="5">
        <f>N115+Trades!U126</f>
        <v>4.2422726919753364</v>
      </c>
      <c r="O116" s="5">
        <f>O115+Trades!W126</f>
        <v>7590.2461604788741</v>
      </c>
    </row>
    <row r="117" spans="12:15" x14ac:dyDescent="0.3">
      <c r="L117" s="4">
        <f>Trades!P137</f>
        <v>0</v>
      </c>
      <c r="M117" s="5">
        <f>M116+Trades!T137</f>
        <v>17115.994999999995</v>
      </c>
      <c r="N117" s="5">
        <f>N116+Trades!U137</f>
        <v>4.2422726919753364</v>
      </c>
      <c r="O117" s="5">
        <f>O116+Trades!W137</f>
        <v>7590.2461604788741</v>
      </c>
    </row>
    <row r="118" spans="12:15" x14ac:dyDescent="0.3">
      <c r="L118" s="4">
        <f>Trades!P148</f>
        <v>0</v>
      </c>
      <c r="M118" s="5">
        <f>M117+Trades!T148</f>
        <v>17115.994999999995</v>
      </c>
      <c r="N118" s="5">
        <f>N117+Trades!U148</f>
        <v>4.2422726919753364</v>
      </c>
      <c r="O118" s="5">
        <f>O117+Trades!W148</f>
        <v>7590.2461604788741</v>
      </c>
    </row>
    <row r="119" spans="12:15" x14ac:dyDescent="0.3">
      <c r="L119" s="4">
        <f>Trades!P159</f>
        <v>0</v>
      </c>
      <c r="M119" s="5">
        <f>M118+Trades!T159</f>
        <v>17115.994999999995</v>
      </c>
      <c r="N119" s="5">
        <f>N118+Trades!U159</f>
        <v>4.2422726919753364</v>
      </c>
      <c r="O119" s="5">
        <f>O118+Trades!W159</f>
        <v>7590.2461604788741</v>
      </c>
    </row>
    <row r="120" spans="12:15" x14ac:dyDescent="0.3">
      <c r="L120" s="4">
        <f>Trades!P166</f>
        <v>0</v>
      </c>
      <c r="M120" s="5">
        <f>M119+Trades!T166</f>
        <v>17115.994999999995</v>
      </c>
      <c r="N120" s="5">
        <f>N119+Trades!U166</f>
        <v>4.2422726919753364</v>
      </c>
      <c r="O120" s="5">
        <f>O119+Trades!W166</f>
        <v>7590.2461604788741</v>
      </c>
    </row>
    <row r="121" spans="12:15" x14ac:dyDescent="0.3">
      <c r="L121" s="4">
        <f>Trades!P177</f>
        <v>0</v>
      </c>
      <c r="M121" s="5">
        <f>M120+Trades!T177</f>
        <v>17115.994999999995</v>
      </c>
      <c r="N121" s="5">
        <f>N120+Trades!U177</f>
        <v>4.2422726919753364</v>
      </c>
      <c r="O121" s="5">
        <f>O120+Trades!W177</f>
        <v>7590.2461604788741</v>
      </c>
    </row>
    <row r="122" spans="12:15" x14ac:dyDescent="0.3">
      <c r="L122" s="4">
        <f>Trades!P200</f>
        <v>0</v>
      </c>
      <c r="M122" s="5">
        <f>M121+Trades!T200</f>
        <v>17115.994999999995</v>
      </c>
      <c r="N122" s="5">
        <f>N121+Trades!U200</f>
        <v>4.2422726919753364</v>
      </c>
      <c r="O122" s="5">
        <f>O121+Trades!W200</f>
        <v>7590.2461604788741</v>
      </c>
    </row>
    <row r="123" spans="12:15" x14ac:dyDescent="0.3">
      <c r="L123" s="4">
        <f>Trades!P212</f>
        <v>0</v>
      </c>
      <c r="M123" s="5">
        <f>M122+Trades!T212</f>
        <v>17115.994999999995</v>
      </c>
      <c r="N123" s="5">
        <f>N122+Trades!U212</f>
        <v>4.2422726919753364</v>
      </c>
      <c r="O123" s="5">
        <f>O122+Trades!W212</f>
        <v>7590.2461604788741</v>
      </c>
    </row>
    <row r="124" spans="12:15" x14ac:dyDescent="0.3">
      <c r="L124" s="4">
        <f>Trades!P226</f>
        <v>0</v>
      </c>
      <c r="M124" s="5">
        <f>M123+Trades!T226</f>
        <v>17115.994999999995</v>
      </c>
      <c r="N124" s="5">
        <f>N123+Trades!U226</f>
        <v>4.2422726919753364</v>
      </c>
      <c r="O124" s="5">
        <f>O123+Trades!W226</f>
        <v>7590.2461604788741</v>
      </c>
    </row>
    <row r="125" spans="12:15" x14ac:dyDescent="0.3">
      <c r="L125" s="4">
        <f>Trades!P237</f>
        <v>0</v>
      </c>
      <c r="M125" s="5">
        <f>M124+Trades!T237</f>
        <v>17115.994999999995</v>
      </c>
      <c r="N125" s="5">
        <f>N124+Trades!U237</f>
        <v>4.2422726919753364</v>
      </c>
      <c r="O125" s="5">
        <f>O124+Trades!W237</f>
        <v>7590.2461604788741</v>
      </c>
    </row>
    <row r="126" spans="12:15" x14ac:dyDescent="0.3">
      <c r="L126" s="4">
        <f>Trades!P256</f>
        <v>0</v>
      </c>
      <c r="M126" s="5">
        <f>M125+Trades!T256</f>
        <v>17115.994999999995</v>
      </c>
      <c r="N126" s="5">
        <f>N125+Trades!U256</f>
        <v>4.2422726919753364</v>
      </c>
      <c r="O126" s="5">
        <f>O125+Trades!W256</f>
        <v>7590.2461604788741</v>
      </c>
    </row>
    <row r="127" spans="12:15" x14ac:dyDescent="0.3">
      <c r="L127" s="4">
        <f>Trades!P268</f>
        <v>0</v>
      </c>
      <c r="M127" s="5">
        <f>M126+Trades!T268</f>
        <v>17115.994999999995</v>
      </c>
      <c r="N127" s="5">
        <f>N126+Trades!U268</f>
        <v>4.2422726919753364</v>
      </c>
      <c r="O127" s="5">
        <f>O126+Trades!W268</f>
        <v>7590.2461604788741</v>
      </c>
    </row>
    <row r="128" spans="12:15" x14ac:dyDescent="0.3">
      <c r="L128" s="4">
        <f>Trades!P281</f>
        <v>0</v>
      </c>
      <c r="M128" s="5">
        <f>M127+Trades!T281</f>
        <v>17115.994999999995</v>
      </c>
      <c r="N128" s="5">
        <f>N127+Trades!U281</f>
        <v>4.2422726919753364</v>
      </c>
      <c r="O128" s="5">
        <f>O127+Trades!W281</f>
        <v>7590.2461604788741</v>
      </c>
    </row>
    <row r="129" spans="12:15" x14ac:dyDescent="0.3">
      <c r="L129" s="4">
        <f>Trades!P291</f>
        <v>0</v>
      </c>
      <c r="M129" s="5">
        <f>M128+Trades!T291</f>
        <v>17115.994999999995</v>
      </c>
      <c r="N129" s="5">
        <f>N128+Trades!U291</f>
        <v>4.2422726919753364</v>
      </c>
      <c r="O129" s="5">
        <f>O128+Trades!W291</f>
        <v>7590.2461604788741</v>
      </c>
    </row>
    <row r="130" spans="12:15" x14ac:dyDescent="0.3">
      <c r="L130" s="4">
        <f>Trades!P308</f>
        <v>0</v>
      </c>
      <c r="M130" s="5">
        <f>M129+Trades!T308</f>
        <v>17115.994999999995</v>
      </c>
      <c r="N130" s="5">
        <f>N129+Trades!U308</f>
        <v>4.2422726919753364</v>
      </c>
      <c r="O130" s="5">
        <f>O129+Trades!W308</f>
        <v>7590.2461604788741</v>
      </c>
    </row>
    <row r="131" spans="12:15" x14ac:dyDescent="0.3">
      <c r="L131" s="4">
        <f>Trades!P318</f>
        <v>0</v>
      </c>
      <c r="M131" s="5">
        <f>M130+Trades!T318</f>
        <v>17115.994999999995</v>
      </c>
      <c r="N131" s="5">
        <f>N130+Trades!U318</f>
        <v>4.2422726919753364</v>
      </c>
      <c r="O131" s="5">
        <f>O130+Trades!W318</f>
        <v>7590.2461604788741</v>
      </c>
    </row>
    <row r="132" spans="12:15" x14ac:dyDescent="0.3">
      <c r="L132" s="4">
        <f>Trades!P327</f>
        <v>0</v>
      </c>
      <c r="M132" s="5">
        <f>M131+Trades!T327</f>
        <v>17115.994999999995</v>
      </c>
      <c r="N132" s="5">
        <f>N131+Trades!U327</f>
        <v>4.2422726919753364</v>
      </c>
      <c r="O132" s="5">
        <f>O131+Trades!W327</f>
        <v>7590.2461604788741</v>
      </c>
    </row>
    <row r="133" spans="12:15" x14ac:dyDescent="0.3">
      <c r="L133" s="4">
        <f>Trades!P337</f>
        <v>0</v>
      </c>
      <c r="M133" s="5">
        <f>M132+Trades!T337</f>
        <v>17115.994999999995</v>
      </c>
      <c r="N133" s="5">
        <f>N132+Trades!U337</f>
        <v>4.2422726919753364</v>
      </c>
      <c r="O133" s="5">
        <f>O132+Trades!W337</f>
        <v>7590.2461604788741</v>
      </c>
    </row>
    <row r="134" spans="12:15" x14ac:dyDescent="0.3">
      <c r="L134" s="4">
        <f>Trades!P191</f>
        <v>0</v>
      </c>
      <c r="M134" s="5">
        <f>M133+Trades!T191</f>
        <v>17115.994999999995</v>
      </c>
      <c r="N134" s="5">
        <f>N133+Trades!U191</f>
        <v>4.2422726919753364</v>
      </c>
      <c r="O134" s="5">
        <f>O133+Trades!W191</f>
        <v>7590.2461604788741</v>
      </c>
    </row>
    <row r="135" spans="12:15" x14ac:dyDescent="0.3">
      <c r="L135" s="4">
        <f>Trades!P257</f>
        <v>0</v>
      </c>
      <c r="M135" s="5">
        <f>M134+Trades!T257</f>
        <v>17115.994999999995</v>
      </c>
      <c r="N135" s="5">
        <f>N134+Trades!U257</f>
        <v>4.2422726919753364</v>
      </c>
      <c r="O135" s="5">
        <f>O134+Trades!W257</f>
        <v>7590.2461604788741</v>
      </c>
    </row>
    <row r="136" spans="12:15" x14ac:dyDescent="0.3">
      <c r="L136" s="4">
        <f>Trades!P213</f>
        <v>0</v>
      </c>
      <c r="M136" s="5">
        <f>M135+Trades!T213</f>
        <v>17115.994999999995</v>
      </c>
      <c r="N136" s="5">
        <f>N135+Trades!U213</f>
        <v>4.2422726919753364</v>
      </c>
      <c r="O136" s="5">
        <f>O135+Trades!W213</f>
        <v>7590.2461604788741</v>
      </c>
    </row>
    <row r="137" spans="12:15" x14ac:dyDescent="0.3">
      <c r="L137" s="4">
        <f>Trades!P282</f>
        <v>0</v>
      </c>
      <c r="M137" s="5">
        <f>M136+Trades!T282</f>
        <v>17115.994999999995</v>
      </c>
      <c r="N137" s="5">
        <f>N136+Trades!U282</f>
        <v>4.2422726919753364</v>
      </c>
      <c r="O137" s="5">
        <f>O136+Trades!W282</f>
        <v>7590.2461604788741</v>
      </c>
    </row>
    <row r="138" spans="12:15" x14ac:dyDescent="0.3">
      <c r="L138" s="4">
        <f>Trades!P328</f>
        <v>0</v>
      </c>
      <c r="M138" s="5">
        <f>M137+Trades!T328</f>
        <v>17115.994999999995</v>
      </c>
      <c r="N138" s="5">
        <f>N137+Trades!U328</f>
        <v>4.2422726919753364</v>
      </c>
      <c r="O138" s="5">
        <f>O137+Trades!W328</f>
        <v>7590.2461604788741</v>
      </c>
    </row>
    <row r="139" spans="12:15" x14ac:dyDescent="0.3">
      <c r="L139" s="4">
        <f>Trades!P178</f>
        <v>0</v>
      </c>
      <c r="M139" s="5">
        <f>M138+Trades!T178</f>
        <v>17115.994999999995</v>
      </c>
      <c r="N139" s="5">
        <f>N138+Trades!U178</f>
        <v>4.2422726919753364</v>
      </c>
      <c r="O139" s="5">
        <f>O138+Trades!W178</f>
        <v>7590.2461604788741</v>
      </c>
    </row>
    <row r="140" spans="12:15" x14ac:dyDescent="0.3">
      <c r="L140" s="4" t="str">
        <f>Trades!P127</f>
        <v>signal</v>
      </c>
      <c r="M140" s="5">
        <f>M139+Trades!T127</f>
        <v>17178.654999999995</v>
      </c>
      <c r="N140" s="5">
        <f>N139+Trades!U127</f>
        <v>3.7776528636266105</v>
      </c>
      <c r="O140" s="5">
        <f>O139+Trades!W127</f>
        <v>8145.660651114451</v>
      </c>
    </row>
    <row r="141" spans="12:15" x14ac:dyDescent="0.3">
      <c r="L141" s="4">
        <f>Trades!P201</f>
        <v>0</v>
      </c>
      <c r="M141" s="5">
        <f>M140+Trades!T201</f>
        <v>17178.654999999995</v>
      </c>
      <c r="N141" s="5">
        <f>N140+Trades!U201</f>
        <v>3.7776528636266105</v>
      </c>
      <c r="O141" s="5">
        <f>O140+Trades!W201</f>
        <v>8145.660651114451</v>
      </c>
    </row>
    <row r="142" spans="12:15" x14ac:dyDescent="0.3">
      <c r="L142" s="4">
        <f>Trades!P292</f>
        <v>0</v>
      </c>
      <c r="M142" s="5">
        <f>M141+Trades!T292</f>
        <v>17178.654999999995</v>
      </c>
      <c r="N142" s="5">
        <f>N141+Trades!U292</f>
        <v>3.7776528636266105</v>
      </c>
      <c r="O142" s="5">
        <f>O141+Trades!W292</f>
        <v>8145.660651114451</v>
      </c>
    </row>
    <row r="143" spans="12:15" x14ac:dyDescent="0.3">
      <c r="L143" s="4">
        <f>Trades!P293</f>
        <v>0</v>
      </c>
      <c r="M143" s="5">
        <f>M142+Trades!T293</f>
        <v>17178.654999999995</v>
      </c>
      <c r="N143" s="5">
        <f>N142+Trades!U293</f>
        <v>3.7776528636266105</v>
      </c>
      <c r="O143" s="5">
        <f>O142+Trades!W293</f>
        <v>8145.660651114451</v>
      </c>
    </row>
    <row r="144" spans="12:15" x14ac:dyDescent="0.3">
      <c r="L144" s="4">
        <f>Trades!P249</f>
        <v>0</v>
      </c>
      <c r="M144" s="5">
        <f>M143+Trades!T249</f>
        <v>17178.654999999995</v>
      </c>
      <c r="N144" s="5">
        <f>N143+Trades!U249</f>
        <v>3.7776528636266105</v>
      </c>
      <c r="O144" s="5">
        <f>O143+Trades!W249</f>
        <v>8145.660651114451</v>
      </c>
    </row>
    <row r="145" spans="12:15" x14ac:dyDescent="0.3">
      <c r="L145" s="4">
        <f>Trades!P238</f>
        <v>0</v>
      </c>
      <c r="M145" s="5">
        <f>M144+Trades!T238</f>
        <v>17178.654999999995</v>
      </c>
      <c r="N145" s="5">
        <f>N144+Trades!U238</f>
        <v>3.7776528636266105</v>
      </c>
      <c r="O145" s="5">
        <f>O144+Trades!W238</f>
        <v>8145.660651114451</v>
      </c>
    </row>
    <row r="146" spans="12:15" x14ac:dyDescent="0.3">
      <c r="L146" s="4">
        <f>Trades!P214</f>
        <v>0</v>
      </c>
      <c r="M146" s="5">
        <f>M145+Trades!T214</f>
        <v>17178.654999999995</v>
      </c>
      <c r="N146" s="5">
        <f>N145+Trades!U214</f>
        <v>3.7776528636266105</v>
      </c>
      <c r="O146" s="5">
        <f>O145+Trades!W214</f>
        <v>8145.660651114451</v>
      </c>
    </row>
    <row r="147" spans="12:15" x14ac:dyDescent="0.3">
      <c r="L147" s="4">
        <f>Trades!P283</f>
        <v>0</v>
      </c>
      <c r="M147" s="5">
        <f>M146+Trades!T283</f>
        <v>17178.654999999995</v>
      </c>
      <c r="N147" s="5">
        <f>N146+Trades!U283</f>
        <v>3.7776528636266105</v>
      </c>
      <c r="O147" s="5">
        <f>O146+Trades!W283</f>
        <v>8145.660651114451</v>
      </c>
    </row>
    <row r="148" spans="12:15" x14ac:dyDescent="0.3">
      <c r="L148" s="4">
        <f>Trades!P319</f>
        <v>0</v>
      </c>
      <c r="M148" s="5">
        <f>M147+Trades!T319</f>
        <v>17178.654999999995</v>
      </c>
      <c r="N148" s="5">
        <f>N147+Trades!U319</f>
        <v>3.7776528636266105</v>
      </c>
      <c r="O148" s="5">
        <f>O147+Trades!W319</f>
        <v>8145.660651114451</v>
      </c>
    </row>
    <row r="149" spans="12:15" x14ac:dyDescent="0.3">
      <c r="L149" s="4">
        <f>Trades!P258</f>
        <v>0</v>
      </c>
      <c r="M149" s="5">
        <f>M148+Trades!T258</f>
        <v>17178.654999999995</v>
      </c>
      <c r="N149" s="5">
        <f>N148+Trades!U258</f>
        <v>3.7776528636266105</v>
      </c>
      <c r="O149" s="5">
        <f>O148+Trades!W258</f>
        <v>8145.660651114451</v>
      </c>
    </row>
    <row r="150" spans="12:15" x14ac:dyDescent="0.3">
      <c r="L150" s="4">
        <f>Trades!P338</f>
        <v>0</v>
      </c>
      <c r="M150" s="5">
        <f>M149+Trades!T338</f>
        <v>17178.654999999995</v>
      </c>
      <c r="N150" s="5">
        <f>N149+Trades!U338</f>
        <v>3.7776528636266105</v>
      </c>
      <c r="O150" s="5">
        <f>O149+Trades!W338</f>
        <v>8145.660651114451</v>
      </c>
    </row>
    <row r="151" spans="12:15" x14ac:dyDescent="0.3">
      <c r="L151" s="4">
        <f>Trades!P138</f>
        <v>0</v>
      </c>
      <c r="M151" s="5">
        <f>M150+Trades!T138</f>
        <v>17178.654999999995</v>
      </c>
      <c r="N151" s="5">
        <f>N150+Trades!U138</f>
        <v>3.7776528636266105</v>
      </c>
      <c r="O151" s="5">
        <f>O150+Trades!W138</f>
        <v>8145.660651114451</v>
      </c>
    </row>
    <row r="152" spans="12:15" x14ac:dyDescent="0.3">
      <c r="L152" s="4">
        <f>Trades!P294</f>
        <v>0</v>
      </c>
      <c r="M152" s="5">
        <f>M151+Trades!T294</f>
        <v>17178.654999999995</v>
      </c>
      <c r="N152" s="5">
        <f>N151+Trades!U294</f>
        <v>3.7776528636266105</v>
      </c>
      <c r="O152" s="5">
        <f>O151+Trades!W294</f>
        <v>8145.660651114451</v>
      </c>
    </row>
    <row r="153" spans="12:15" x14ac:dyDescent="0.3">
      <c r="L153" s="4">
        <f>Trades!P269</f>
        <v>0</v>
      </c>
      <c r="M153" s="5">
        <f>M152+Trades!T269</f>
        <v>17178.654999999995</v>
      </c>
      <c r="N153" s="5">
        <f>N152+Trades!U269</f>
        <v>3.7776528636266105</v>
      </c>
      <c r="O153" s="5">
        <f>O152+Trades!W269</f>
        <v>8145.660651114451</v>
      </c>
    </row>
    <row r="154" spans="12:15" x14ac:dyDescent="0.3">
      <c r="L154" s="4">
        <f>Trades!P149</f>
        <v>0</v>
      </c>
      <c r="M154" s="5">
        <f>M153+Trades!T149</f>
        <v>17178.654999999995</v>
      </c>
      <c r="N154" s="5">
        <f>N153+Trades!U149</f>
        <v>3.7776528636266105</v>
      </c>
      <c r="O154" s="5">
        <f>O153+Trades!W149</f>
        <v>8145.660651114451</v>
      </c>
    </row>
    <row r="155" spans="12:15" x14ac:dyDescent="0.3">
      <c r="L155" s="4">
        <f>Trades!P160</f>
        <v>0</v>
      </c>
      <c r="M155" s="5">
        <f>M154+Trades!T160</f>
        <v>17178.654999999995</v>
      </c>
      <c r="N155" s="5">
        <f>N154+Trades!U160</f>
        <v>3.7776528636266105</v>
      </c>
      <c r="O155" s="5">
        <f>O154+Trades!W160</f>
        <v>8145.660651114451</v>
      </c>
    </row>
    <row r="156" spans="12:15" x14ac:dyDescent="0.3">
      <c r="L156" s="4">
        <f>Trades!P179</f>
        <v>0</v>
      </c>
      <c r="M156" s="5">
        <f>M155+Trades!T179</f>
        <v>17178.654999999995</v>
      </c>
      <c r="N156" s="5">
        <f>N155+Trades!U179</f>
        <v>3.7776528636266105</v>
      </c>
      <c r="O156" s="5">
        <f>O155+Trades!W179</f>
        <v>8145.660651114451</v>
      </c>
    </row>
    <row r="157" spans="12:15" x14ac:dyDescent="0.3">
      <c r="L157" s="4">
        <f>Trades!P202</f>
        <v>0</v>
      </c>
      <c r="M157" s="5">
        <f>M156+Trades!T202</f>
        <v>17178.654999999995</v>
      </c>
      <c r="N157" s="5">
        <f>N156+Trades!U202</f>
        <v>3.7776528636266105</v>
      </c>
      <c r="O157" s="5">
        <f>O156+Trades!W202</f>
        <v>8145.660651114451</v>
      </c>
    </row>
    <row r="158" spans="12:15" x14ac:dyDescent="0.3">
      <c r="L158" s="4">
        <f>Trades!P227</f>
        <v>0</v>
      </c>
      <c r="M158" s="5">
        <f>M157+Trades!T227</f>
        <v>17178.654999999995</v>
      </c>
      <c r="N158" s="5">
        <f>N157+Trades!U227</f>
        <v>3.7776528636266105</v>
      </c>
      <c r="O158" s="5">
        <f>O157+Trades!W227</f>
        <v>8145.660651114451</v>
      </c>
    </row>
    <row r="159" spans="12:15" x14ac:dyDescent="0.3">
      <c r="L159" s="4">
        <f>Trades!P250</f>
        <v>0</v>
      </c>
      <c r="M159" s="5">
        <f>M158+Trades!T250</f>
        <v>17178.654999999995</v>
      </c>
      <c r="N159" s="5">
        <f>N158+Trades!U250</f>
        <v>3.7776528636266105</v>
      </c>
      <c r="O159" s="5">
        <f>O158+Trades!W250</f>
        <v>8145.660651114451</v>
      </c>
    </row>
    <row r="160" spans="12:15" x14ac:dyDescent="0.3">
      <c r="L160" s="4" t="str">
        <f>Trades!P115</f>
        <v>signal</v>
      </c>
      <c r="M160" s="5">
        <f>M159+Trades!T115</f>
        <v>17229.924999999996</v>
      </c>
      <c r="N160" s="5">
        <f>N159+Trades!U115</f>
        <v>4.2513969166552013</v>
      </c>
      <c r="O160" s="5">
        <f>O159+Trades!W115</f>
        <v>7917.5027619460425</v>
      </c>
    </row>
    <row r="161" spans="12:15" x14ac:dyDescent="0.3">
      <c r="L161" s="4">
        <f>Trades!P192</f>
        <v>0</v>
      </c>
      <c r="M161" s="5">
        <f>M160+Trades!T192</f>
        <v>17229.924999999996</v>
      </c>
      <c r="N161" s="5">
        <f>N160+Trades!U192</f>
        <v>4.2513969166552013</v>
      </c>
      <c r="O161" s="5">
        <f>O160+Trades!W192</f>
        <v>7917.5027619460425</v>
      </c>
    </row>
    <row r="162" spans="12:15" x14ac:dyDescent="0.3">
      <c r="L162" s="4">
        <f>Trades!P215</f>
        <v>0</v>
      </c>
      <c r="M162" s="5">
        <f>M161+Trades!T215</f>
        <v>17229.924999999996</v>
      </c>
      <c r="N162" s="5">
        <f>N161+Trades!U215</f>
        <v>4.2513969166552013</v>
      </c>
      <c r="O162" s="5">
        <f>O161+Trades!W215</f>
        <v>7917.5027619460425</v>
      </c>
    </row>
    <row r="163" spans="12:15" x14ac:dyDescent="0.3">
      <c r="L163" s="4">
        <f>Trades!P309</f>
        <v>0</v>
      </c>
      <c r="M163" s="5">
        <f>M162+Trades!T309</f>
        <v>17229.924999999996</v>
      </c>
      <c r="N163" s="5">
        <f>N162+Trades!U309</f>
        <v>4.2513969166552013</v>
      </c>
      <c r="O163" s="5">
        <f>O162+Trades!W309</f>
        <v>7917.5027619460425</v>
      </c>
    </row>
    <row r="164" spans="12:15" x14ac:dyDescent="0.3">
      <c r="L164" s="4">
        <f>Trades!P329</f>
        <v>0</v>
      </c>
      <c r="M164" s="5">
        <f>M163+Trades!T329</f>
        <v>17229.924999999996</v>
      </c>
      <c r="N164" s="5">
        <f>N163+Trades!U329</f>
        <v>4.2513969166552013</v>
      </c>
      <c r="O164" s="5">
        <f>O163+Trades!W329</f>
        <v>7917.5027619460425</v>
      </c>
    </row>
    <row r="165" spans="12:15" x14ac:dyDescent="0.3">
      <c r="L165" s="4" t="str">
        <f>Trades!P116</f>
        <v>signal</v>
      </c>
      <c r="M165" s="5">
        <f>M164+Trades!T116</f>
        <v>17281.339999999997</v>
      </c>
      <c r="N165" s="5">
        <f>N164+Trades!U116</f>
        <v>4.0176956931177177</v>
      </c>
      <c r="O165" s="5">
        <f>O164+Trades!W116</f>
        <v>7925.793038531925</v>
      </c>
    </row>
    <row r="166" spans="12:15" x14ac:dyDescent="0.3">
      <c r="L166" s="4">
        <f>Trades!P270</f>
        <v>0</v>
      </c>
      <c r="M166" s="5">
        <f>M165+Trades!T270</f>
        <v>17281.339999999997</v>
      </c>
      <c r="N166" s="5">
        <f>N165+Trades!U270</f>
        <v>4.0176956931177177</v>
      </c>
      <c r="O166" s="5">
        <f>O165+Trades!W270</f>
        <v>7925.793038531925</v>
      </c>
    </row>
    <row r="167" spans="12:15" x14ac:dyDescent="0.3">
      <c r="L167" s="4">
        <f>Trades!P239</f>
        <v>0</v>
      </c>
      <c r="M167" s="5">
        <f>M166+Trades!T239</f>
        <v>17281.339999999997</v>
      </c>
      <c r="N167" s="5">
        <f>N166+Trades!U239</f>
        <v>4.0176956931177177</v>
      </c>
      <c r="O167" s="5">
        <f>O166+Trades!W239</f>
        <v>7925.793038531925</v>
      </c>
    </row>
    <row r="168" spans="12:15" x14ac:dyDescent="0.3">
      <c r="L168" s="4">
        <f>Trades!P216</f>
        <v>0</v>
      </c>
      <c r="M168" s="5">
        <f>M167+Trades!T216</f>
        <v>17281.339999999997</v>
      </c>
      <c r="N168" s="5">
        <f>N167+Trades!U216</f>
        <v>4.0176956931177177</v>
      </c>
      <c r="O168" s="5">
        <f>O167+Trades!W216</f>
        <v>7925.793038531925</v>
      </c>
    </row>
    <row r="169" spans="12:15" x14ac:dyDescent="0.3">
      <c r="L169" s="4">
        <f>Trades!P259</f>
        <v>0</v>
      </c>
      <c r="M169" s="5">
        <f>M168+Trades!T259</f>
        <v>17281.339999999997</v>
      </c>
      <c r="N169" s="5">
        <f>N168+Trades!U259</f>
        <v>4.0176956931177177</v>
      </c>
      <c r="O169" s="5">
        <f>O168+Trades!W259</f>
        <v>7925.793038531925</v>
      </c>
    </row>
    <row r="170" spans="12:15" x14ac:dyDescent="0.3">
      <c r="L170" s="4">
        <f>Trades!P139</f>
        <v>0</v>
      </c>
      <c r="M170" s="5">
        <f>M169+Trades!T139</f>
        <v>17281.339999999997</v>
      </c>
      <c r="N170" s="5">
        <f>N169+Trades!U139</f>
        <v>4.0176956931177177</v>
      </c>
      <c r="O170" s="5">
        <f>O169+Trades!W139</f>
        <v>7925.793038531925</v>
      </c>
    </row>
    <row r="171" spans="12:15" x14ac:dyDescent="0.3">
      <c r="L171" s="4">
        <f>Trades!P339</f>
        <v>0</v>
      </c>
      <c r="M171" s="5">
        <f>M170+Trades!T339</f>
        <v>17281.339999999997</v>
      </c>
      <c r="N171" s="5">
        <f>N170+Trades!U339</f>
        <v>4.0176956931177177</v>
      </c>
      <c r="O171" s="5">
        <f>O170+Trades!W339</f>
        <v>7925.793038531925</v>
      </c>
    </row>
    <row r="172" spans="12:15" x14ac:dyDescent="0.3">
      <c r="L172" s="4">
        <f>Trades!P167</f>
        <v>0</v>
      </c>
      <c r="M172" s="5">
        <f>M171+Trades!T167</f>
        <v>17281.339999999997</v>
      </c>
      <c r="N172" s="5">
        <f>N171+Trades!U167</f>
        <v>4.0176956931177177</v>
      </c>
      <c r="O172" s="5">
        <f>O171+Trades!W167</f>
        <v>7925.793038531925</v>
      </c>
    </row>
    <row r="173" spans="12:15" x14ac:dyDescent="0.3">
      <c r="L173" s="4" t="str">
        <f>Trades!P128</f>
        <v>signal</v>
      </c>
      <c r="M173" s="5">
        <f>M172+Trades!T128</f>
        <v>17344.599999999995</v>
      </c>
      <c r="N173" s="5">
        <f>N172+Trades!U128</f>
        <v>4.4793052360861552</v>
      </c>
      <c r="O173" s="5">
        <f>O172+Trades!W128</f>
        <v>7754.5109698841206</v>
      </c>
    </row>
    <row r="174" spans="12:15" x14ac:dyDescent="0.3">
      <c r="L174" s="4">
        <f>Trades!P320</f>
        <v>0</v>
      </c>
      <c r="M174" s="5">
        <f>M173+Trades!T320</f>
        <v>17344.599999999995</v>
      </c>
      <c r="N174" s="5">
        <f>N173+Trades!U320</f>
        <v>4.4793052360861552</v>
      </c>
      <c r="O174" s="5">
        <f>O173+Trades!W320</f>
        <v>7754.5109698841206</v>
      </c>
    </row>
    <row r="175" spans="12:15" x14ac:dyDescent="0.3">
      <c r="L175" s="4">
        <f>Trades!P217</f>
        <v>0</v>
      </c>
      <c r="M175" s="5">
        <f>M174+Trades!T217</f>
        <v>17344.599999999995</v>
      </c>
      <c r="N175" s="5">
        <f>N174+Trades!U217</f>
        <v>4.4793052360861552</v>
      </c>
      <c r="O175" s="5">
        <f>O174+Trades!W217</f>
        <v>7754.5109698841206</v>
      </c>
    </row>
    <row r="176" spans="12:15" x14ac:dyDescent="0.3">
      <c r="L176" s="4">
        <f>Trades!P330</f>
        <v>0</v>
      </c>
      <c r="M176" s="5">
        <f>M175+Trades!T330</f>
        <v>17344.599999999995</v>
      </c>
      <c r="N176" s="5">
        <f>N175+Trades!U330</f>
        <v>4.4793052360861552</v>
      </c>
      <c r="O176" s="5">
        <f>O175+Trades!W330</f>
        <v>7754.5109698841206</v>
      </c>
    </row>
    <row r="177" spans="12:15" x14ac:dyDescent="0.3">
      <c r="L177" s="4">
        <f>Trades!P340</f>
        <v>0</v>
      </c>
      <c r="M177" s="5">
        <f>M176+Trades!T340</f>
        <v>17344.599999999995</v>
      </c>
      <c r="N177" s="5">
        <f>N176+Trades!U340</f>
        <v>4.4793052360861552</v>
      </c>
      <c r="O177" s="5">
        <f>O176+Trades!W340</f>
        <v>7754.5109698841206</v>
      </c>
    </row>
    <row r="178" spans="12:15" x14ac:dyDescent="0.3">
      <c r="L178" s="4">
        <f>Trades!P193</f>
        <v>0</v>
      </c>
      <c r="M178" s="5">
        <f>M177+Trades!T193</f>
        <v>17344.599999999995</v>
      </c>
      <c r="N178" s="5">
        <f>N177+Trades!U193</f>
        <v>4.4793052360861552</v>
      </c>
      <c r="O178" s="5">
        <f>O177+Trades!W193</f>
        <v>7754.5109698841206</v>
      </c>
    </row>
    <row r="179" spans="12:15" x14ac:dyDescent="0.3">
      <c r="L179" s="4">
        <f>Trades!P260</f>
        <v>0</v>
      </c>
      <c r="M179" s="5">
        <f>M178+Trades!T260</f>
        <v>17344.599999999995</v>
      </c>
      <c r="N179" s="5">
        <f>N178+Trades!U260</f>
        <v>4.4793052360861552</v>
      </c>
      <c r="O179" s="5">
        <f>O178+Trades!W260</f>
        <v>7754.5109698841206</v>
      </c>
    </row>
    <row r="180" spans="12:15" x14ac:dyDescent="0.3">
      <c r="L180" s="4">
        <f>Trades!P284</f>
        <v>0</v>
      </c>
      <c r="M180" s="5">
        <f>M179+Trades!T284</f>
        <v>17344.599999999995</v>
      </c>
      <c r="N180" s="5">
        <f>N179+Trades!U284</f>
        <v>4.4793052360861552</v>
      </c>
      <c r="O180" s="5">
        <f>O179+Trades!W284</f>
        <v>7754.5109698841206</v>
      </c>
    </row>
    <row r="181" spans="12:15" x14ac:dyDescent="0.3">
      <c r="L181" s="4">
        <f>Trades!P140</f>
        <v>0</v>
      </c>
      <c r="M181" s="5">
        <f>M180+Trades!T140</f>
        <v>17344.599999999995</v>
      </c>
      <c r="N181" s="5">
        <f>N180+Trades!U140</f>
        <v>4.4793052360861552</v>
      </c>
      <c r="O181" s="5">
        <f>O180+Trades!W140</f>
        <v>7754.5109698841206</v>
      </c>
    </row>
    <row r="182" spans="12:15" x14ac:dyDescent="0.3">
      <c r="L182" s="4">
        <f>Trades!P271</f>
        <v>0</v>
      </c>
      <c r="M182" s="5">
        <f>M181+Trades!T271</f>
        <v>17344.599999999995</v>
      </c>
      <c r="N182" s="5">
        <f>N181+Trades!U271</f>
        <v>4.4793052360861552</v>
      </c>
      <c r="O182" s="5">
        <f>O181+Trades!W271</f>
        <v>7754.5109698841206</v>
      </c>
    </row>
    <row r="183" spans="12:15" x14ac:dyDescent="0.3">
      <c r="L183" s="4">
        <f>Trades!P295</f>
        <v>0</v>
      </c>
      <c r="M183" s="5">
        <f>M182+Trades!T295</f>
        <v>17344.599999999995</v>
      </c>
      <c r="N183" s="5">
        <f>N182+Trades!U295</f>
        <v>4.4793052360861552</v>
      </c>
      <c r="O183" s="5">
        <f>O182+Trades!W295</f>
        <v>7754.5109698841206</v>
      </c>
    </row>
    <row r="184" spans="12:15" x14ac:dyDescent="0.3">
      <c r="L184" s="4">
        <f>Trades!P218</f>
        <v>0</v>
      </c>
      <c r="M184" s="5">
        <f>M183+Trades!T218</f>
        <v>17344.599999999995</v>
      </c>
      <c r="N184" s="5">
        <f>N183+Trades!U218</f>
        <v>4.4793052360861552</v>
      </c>
      <c r="O184" s="5">
        <f>O183+Trades!W218</f>
        <v>7754.5109698841206</v>
      </c>
    </row>
    <row r="185" spans="12:15" x14ac:dyDescent="0.3">
      <c r="L185" s="4">
        <f>Trades!P341</f>
        <v>0</v>
      </c>
      <c r="M185" s="5">
        <f>M184+Trades!T341</f>
        <v>17344.599999999995</v>
      </c>
      <c r="N185" s="5">
        <f>N184+Trades!U341</f>
        <v>4.4793052360861552</v>
      </c>
      <c r="O185" s="5">
        <f>O184+Trades!W341</f>
        <v>7754.5109698841206</v>
      </c>
    </row>
    <row r="186" spans="12:15" x14ac:dyDescent="0.3">
      <c r="L186" s="4">
        <f>Trades!P180</f>
        <v>0</v>
      </c>
      <c r="M186" s="5">
        <f>M185+Trades!T180</f>
        <v>17344.599999999995</v>
      </c>
      <c r="N186" s="5">
        <f>N185+Trades!U180</f>
        <v>4.4793052360861552</v>
      </c>
      <c r="O186" s="5">
        <f>O185+Trades!W180</f>
        <v>7754.5109698841206</v>
      </c>
    </row>
    <row r="187" spans="12:15" x14ac:dyDescent="0.3">
      <c r="L187" s="4">
        <f>Trades!P168</f>
        <v>0</v>
      </c>
      <c r="M187" s="5">
        <f>M186+Trades!T168</f>
        <v>17344.599999999995</v>
      </c>
      <c r="N187" s="5">
        <f>N186+Trades!U168</f>
        <v>4.4793052360861552</v>
      </c>
      <c r="O187" s="5">
        <f>O186+Trades!W168</f>
        <v>7754.5109698841206</v>
      </c>
    </row>
    <row r="188" spans="12:15" x14ac:dyDescent="0.3">
      <c r="L188" s="4">
        <f>Trades!P251</f>
        <v>0</v>
      </c>
      <c r="M188" s="5">
        <f>M187+Trades!T251</f>
        <v>17344.599999999995</v>
      </c>
      <c r="N188" s="5">
        <f>N187+Trades!U251</f>
        <v>4.4793052360861552</v>
      </c>
      <c r="O188" s="5">
        <f>O187+Trades!W251</f>
        <v>7754.5109698841206</v>
      </c>
    </row>
    <row r="189" spans="12:15" x14ac:dyDescent="0.3">
      <c r="L189" s="4">
        <f>Trades!P161</f>
        <v>0</v>
      </c>
      <c r="M189" s="5">
        <f>M188+Trades!T161</f>
        <v>17344.599999999995</v>
      </c>
      <c r="N189" s="5">
        <f>N188+Trades!U161</f>
        <v>4.4793052360861552</v>
      </c>
      <c r="O189" s="5">
        <f>O188+Trades!W161</f>
        <v>7754.5109698841206</v>
      </c>
    </row>
    <row r="190" spans="12:15" x14ac:dyDescent="0.3">
      <c r="L190" s="4">
        <f>Trades!P203</f>
        <v>0</v>
      </c>
      <c r="M190" s="5">
        <f>M189+Trades!T203</f>
        <v>17344.599999999995</v>
      </c>
      <c r="N190" s="5">
        <f>N189+Trades!U203</f>
        <v>4.4793052360861552</v>
      </c>
      <c r="O190" s="5">
        <f>O189+Trades!W203</f>
        <v>7754.5109698841206</v>
      </c>
    </row>
    <row r="191" spans="12:15" x14ac:dyDescent="0.3">
      <c r="L191" s="4">
        <f>Trades!P272</f>
        <v>0</v>
      </c>
      <c r="M191" s="5">
        <f>M190+Trades!T272</f>
        <v>17344.599999999995</v>
      </c>
      <c r="N191" s="5">
        <f>N190+Trades!U272</f>
        <v>4.4793052360861552</v>
      </c>
      <c r="O191" s="5">
        <f>O190+Trades!W272</f>
        <v>7754.5109698841206</v>
      </c>
    </row>
    <row r="192" spans="12:15" x14ac:dyDescent="0.3">
      <c r="L192" s="4">
        <f>Trades!P310</f>
        <v>0</v>
      </c>
      <c r="M192" s="5">
        <f>M191+Trades!T310</f>
        <v>17344.599999999995</v>
      </c>
      <c r="N192" s="5">
        <f>N191+Trades!U310</f>
        <v>4.4793052360861552</v>
      </c>
      <c r="O192" s="5">
        <f>O191+Trades!W310</f>
        <v>7754.5109698841206</v>
      </c>
    </row>
    <row r="193" spans="12:15" x14ac:dyDescent="0.3">
      <c r="L193" s="4">
        <f>Trades!P240</f>
        <v>0</v>
      </c>
      <c r="M193" s="5">
        <f>M192+Trades!T240</f>
        <v>17344.599999999995</v>
      </c>
      <c r="N193" s="5">
        <f>N192+Trades!U240</f>
        <v>4.4793052360861552</v>
      </c>
      <c r="O193" s="5">
        <f>O192+Trades!W240</f>
        <v>7754.5109698841206</v>
      </c>
    </row>
    <row r="194" spans="12:15" x14ac:dyDescent="0.3">
      <c r="L194" s="4">
        <f>Trades!P228</f>
        <v>0</v>
      </c>
      <c r="M194" s="5">
        <f>M193+Trades!T228</f>
        <v>17344.599999999995</v>
      </c>
      <c r="N194" s="5">
        <f>N193+Trades!U228</f>
        <v>4.4793052360861552</v>
      </c>
      <c r="O194" s="5">
        <f>O193+Trades!W228</f>
        <v>7754.5109698841206</v>
      </c>
    </row>
    <row r="195" spans="12:15" x14ac:dyDescent="0.3">
      <c r="L195" s="4">
        <f>Trades!P261</f>
        <v>0</v>
      </c>
      <c r="M195" s="5">
        <f>M194+Trades!T261</f>
        <v>17344.599999999995</v>
      </c>
      <c r="N195" s="5">
        <f>N194+Trades!U261</f>
        <v>4.4793052360861552</v>
      </c>
      <c r="O195" s="5">
        <f>O194+Trades!W261</f>
        <v>7754.5109698841206</v>
      </c>
    </row>
    <row r="196" spans="12:15" x14ac:dyDescent="0.3">
      <c r="L196" s="4">
        <f>Trades!P181</f>
        <v>0</v>
      </c>
      <c r="M196" s="5">
        <f>M195+Trades!T181</f>
        <v>17344.599999999995</v>
      </c>
      <c r="N196" s="5">
        <f>N195+Trades!U181</f>
        <v>4.4793052360861552</v>
      </c>
      <c r="O196" s="5">
        <f>O195+Trades!W181</f>
        <v>7754.5109698841206</v>
      </c>
    </row>
    <row r="197" spans="12:15" x14ac:dyDescent="0.3">
      <c r="L197" s="4">
        <f>Trades!P296</f>
        <v>0</v>
      </c>
      <c r="M197" s="5">
        <f>M196+Trades!T296</f>
        <v>17344.599999999995</v>
      </c>
      <c r="N197" s="5">
        <f>N196+Trades!U296</f>
        <v>4.4793052360861552</v>
      </c>
      <c r="O197" s="5">
        <f>O196+Trades!W296</f>
        <v>7754.5109698841206</v>
      </c>
    </row>
    <row r="198" spans="12:15" x14ac:dyDescent="0.3">
      <c r="L198" s="4" t="str">
        <f>Trades!P117</f>
        <v>signal</v>
      </c>
      <c r="M198" s="5">
        <f>M197+Trades!T117</f>
        <v>17393.089999999997</v>
      </c>
      <c r="N198" s="5">
        <f>N197+Trades!U117</f>
        <v>4.9234029622670867</v>
      </c>
      <c r="O198" s="5">
        <f>O197+Trades!W117</f>
        <v>7511.8210796692138</v>
      </c>
    </row>
    <row r="199" spans="12:15" x14ac:dyDescent="0.3">
      <c r="L199" s="4" t="str">
        <f>Trades!P129</f>
        <v>signal</v>
      </c>
      <c r="M199" s="5">
        <f>M198+Trades!T129</f>
        <v>17454.969999999998</v>
      </c>
      <c r="N199" s="5">
        <f>N198+Trades!U129</f>
        <v>5.1167619108249633</v>
      </c>
      <c r="O199" s="5">
        <f>O198+Trades!W129</f>
        <v>6818.3442760601938</v>
      </c>
    </row>
    <row r="200" spans="12:15" x14ac:dyDescent="0.3">
      <c r="L200" s="4">
        <f>Trades!P252</f>
        <v>0</v>
      </c>
      <c r="M200" s="5">
        <f>M199+Trades!T252</f>
        <v>17454.969999999998</v>
      </c>
      <c r="N200" s="5">
        <f>N199+Trades!U252</f>
        <v>5.1167619108249633</v>
      </c>
      <c r="O200" s="5">
        <f>O199+Trades!W252</f>
        <v>6818.3442760601938</v>
      </c>
    </row>
    <row r="201" spans="12:15" x14ac:dyDescent="0.3">
      <c r="L201" s="4">
        <f>Trades!P150</f>
        <v>0</v>
      </c>
      <c r="M201" s="5">
        <f>M200+Trades!T150</f>
        <v>17454.969999999998</v>
      </c>
      <c r="N201" s="5">
        <f>N200+Trades!U150</f>
        <v>5.1167619108249633</v>
      </c>
      <c r="O201" s="5">
        <f>O200+Trades!W150</f>
        <v>6818.3442760601938</v>
      </c>
    </row>
    <row r="202" spans="12:15" x14ac:dyDescent="0.3">
      <c r="L202" s="4">
        <f>Trades!P169</f>
        <v>0</v>
      </c>
      <c r="M202" s="5">
        <f>M201+Trades!T169</f>
        <v>17454.969999999998</v>
      </c>
      <c r="N202" s="5">
        <f>N201+Trades!U169</f>
        <v>5.1167619108249633</v>
      </c>
      <c r="O202" s="5">
        <f>O201+Trades!W169</f>
        <v>6818.3442760601938</v>
      </c>
    </row>
    <row r="203" spans="12:15" x14ac:dyDescent="0.3">
      <c r="L203" s="4">
        <f>Trades!P194</f>
        <v>0</v>
      </c>
      <c r="M203" s="5">
        <f>M202+Trades!T194</f>
        <v>17454.969999999998</v>
      </c>
      <c r="N203" s="5">
        <f>N202+Trades!U194</f>
        <v>5.1167619108249633</v>
      </c>
      <c r="O203" s="5">
        <f>O202+Trades!W194</f>
        <v>6818.3442760601938</v>
      </c>
    </row>
    <row r="204" spans="12:15" x14ac:dyDescent="0.3">
      <c r="L204" s="4">
        <f>Trades!P321</f>
        <v>0</v>
      </c>
      <c r="M204" s="5">
        <f>M203+Trades!T321</f>
        <v>17454.969999999998</v>
      </c>
      <c r="N204" s="5">
        <f>N203+Trades!U321</f>
        <v>5.1167619108249633</v>
      </c>
      <c r="O204" s="5">
        <f>O203+Trades!W321</f>
        <v>6818.3442760601938</v>
      </c>
    </row>
    <row r="205" spans="12:15" x14ac:dyDescent="0.3">
      <c r="L205" s="4">
        <f>Trades!P170</f>
        <v>0</v>
      </c>
      <c r="M205" s="5">
        <f>M204+Trades!T170</f>
        <v>17454.969999999998</v>
      </c>
      <c r="N205" s="5">
        <f>N204+Trades!U170</f>
        <v>5.1167619108249633</v>
      </c>
      <c r="O205" s="5">
        <f>O204+Trades!W170</f>
        <v>6818.3442760601938</v>
      </c>
    </row>
    <row r="206" spans="12:15" x14ac:dyDescent="0.3">
      <c r="L206" s="4">
        <f>Trades!P130</f>
        <v>0</v>
      </c>
      <c r="M206" s="5">
        <f>M205+Trades!T130</f>
        <v>17454.969999999998</v>
      </c>
      <c r="N206" s="5">
        <f>N205+Trades!U130</f>
        <v>5.1167619108249633</v>
      </c>
      <c r="O206" s="5">
        <f>O205+Trades!W130</f>
        <v>6818.3442760601938</v>
      </c>
    </row>
    <row r="207" spans="12:15" x14ac:dyDescent="0.3">
      <c r="L207" s="4">
        <f>Trades!P182</f>
        <v>0</v>
      </c>
      <c r="M207" s="5">
        <f>M206+Trades!T182</f>
        <v>17454.969999999998</v>
      </c>
      <c r="N207" s="5">
        <f>N206+Trades!U182</f>
        <v>5.1167619108249633</v>
      </c>
      <c r="O207" s="5">
        <f>O206+Trades!W182</f>
        <v>6818.3442760601938</v>
      </c>
    </row>
    <row r="208" spans="12:15" x14ac:dyDescent="0.3">
      <c r="L208" s="4">
        <f>Trades!P131</f>
        <v>0</v>
      </c>
      <c r="M208" s="5">
        <f>M207+Trades!T131</f>
        <v>17454.969999999998</v>
      </c>
      <c r="N208" s="5">
        <f>N207+Trades!U131</f>
        <v>5.1167619108249633</v>
      </c>
      <c r="O208" s="5">
        <f>O207+Trades!W131</f>
        <v>6818.3442760601938</v>
      </c>
    </row>
    <row r="209" spans="12:15" x14ac:dyDescent="0.3">
      <c r="L209" s="4">
        <f>Trades!P285</f>
        <v>0</v>
      </c>
      <c r="M209" s="5">
        <f>M208+Trades!T285</f>
        <v>17454.969999999998</v>
      </c>
      <c r="N209" s="5">
        <f>N208+Trades!U285</f>
        <v>5.1167619108249633</v>
      </c>
      <c r="O209" s="5">
        <f>O208+Trades!W285</f>
        <v>6818.3442760601938</v>
      </c>
    </row>
    <row r="210" spans="12:15" x14ac:dyDescent="0.3">
      <c r="L210" s="4">
        <f>Trades!P297</f>
        <v>0</v>
      </c>
      <c r="M210" s="5">
        <f>M209+Trades!T297</f>
        <v>17454.969999999998</v>
      </c>
      <c r="N210" s="5">
        <f>N209+Trades!U297</f>
        <v>5.1167619108249633</v>
      </c>
      <c r="O210" s="5">
        <f>O209+Trades!W297</f>
        <v>6818.3442760601938</v>
      </c>
    </row>
    <row r="211" spans="12:15" x14ac:dyDescent="0.3">
      <c r="L211" s="4">
        <f>Trades!P298</f>
        <v>0</v>
      </c>
      <c r="M211" s="5">
        <f>M210+Trades!T298</f>
        <v>17454.969999999998</v>
      </c>
      <c r="N211" s="5">
        <f>N210+Trades!U298</f>
        <v>5.1167619108249633</v>
      </c>
      <c r="O211" s="5">
        <f>O210+Trades!W298</f>
        <v>6818.3442760601938</v>
      </c>
    </row>
    <row r="212" spans="12:15" x14ac:dyDescent="0.3">
      <c r="L212" s="4" t="str">
        <f>Trades!P118</f>
        <v>signal</v>
      </c>
      <c r="M212" s="5">
        <f>M211+Trades!T118</f>
        <v>17504.424999999999</v>
      </c>
      <c r="N212" s="5">
        <f>N211+Trades!U118</f>
        <v>5.3591596379630593</v>
      </c>
      <c r="O212" s="5">
        <f>O211+Trades!W118</f>
        <v>6702.1659726135822</v>
      </c>
    </row>
    <row r="213" spans="12:15" x14ac:dyDescent="0.3">
      <c r="L213" s="4">
        <f>Trades!P151</f>
        <v>0</v>
      </c>
      <c r="M213" s="5">
        <f>M212+Trades!T151</f>
        <v>17504.424999999999</v>
      </c>
      <c r="N213" s="5">
        <f>N212+Trades!U151</f>
        <v>5.3591596379630593</v>
      </c>
      <c r="O213" s="5">
        <f>O212+Trades!W151</f>
        <v>6702.1659726135822</v>
      </c>
    </row>
    <row r="214" spans="12:15" x14ac:dyDescent="0.3">
      <c r="L214" s="4" t="str">
        <f>Trades!P119</f>
        <v>signal</v>
      </c>
      <c r="M214" s="5">
        <f>M213+Trades!T119</f>
        <v>17552.759999999998</v>
      </c>
      <c r="N214" s="5">
        <f>N213+Trades!U119</f>
        <v>5.7791781009365524</v>
      </c>
      <c r="O214" s="5">
        <f>O213+Trades!W119</f>
        <v>6537.0393473971426</v>
      </c>
    </row>
    <row r="215" spans="12:15" x14ac:dyDescent="0.3">
      <c r="L215" s="4">
        <f>Trades!P253</f>
        <v>0</v>
      </c>
      <c r="M215" s="5">
        <f>M214+Trades!T253</f>
        <v>17552.759999999998</v>
      </c>
      <c r="N215" s="5">
        <f>N214+Trades!U253</f>
        <v>5.7791781009365524</v>
      </c>
      <c r="O215" s="5">
        <f>O214+Trades!W253</f>
        <v>6537.0393473971426</v>
      </c>
    </row>
    <row r="216" spans="12:15" x14ac:dyDescent="0.3">
      <c r="L216" s="4">
        <f>Trades!P141</f>
        <v>0</v>
      </c>
      <c r="M216" s="5">
        <f>M215+Trades!T141</f>
        <v>17552.759999999998</v>
      </c>
      <c r="N216" s="5">
        <f>N215+Trades!U141</f>
        <v>5.7791781009365524</v>
      </c>
      <c r="O216" s="5">
        <f>O215+Trades!W141</f>
        <v>6537.0393473971426</v>
      </c>
    </row>
    <row r="217" spans="12:15" x14ac:dyDescent="0.3">
      <c r="L217" s="4">
        <f>Trades!P152</f>
        <v>0</v>
      </c>
      <c r="M217" s="5">
        <f>M216+Trades!T152</f>
        <v>17552.759999999998</v>
      </c>
      <c r="N217" s="5">
        <f>N216+Trades!U152</f>
        <v>5.7791781009365524</v>
      </c>
      <c r="O217" s="5">
        <f>O216+Trades!W152</f>
        <v>6537.0393473971426</v>
      </c>
    </row>
    <row r="218" spans="12:15" x14ac:dyDescent="0.3">
      <c r="L218" s="4">
        <f>Trades!P183</f>
        <v>0</v>
      </c>
      <c r="M218" s="5">
        <f>M217+Trades!T183</f>
        <v>17552.759999999998</v>
      </c>
      <c r="N218" s="5">
        <f>N217+Trades!U183</f>
        <v>5.7791781009365524</v>
      </c>
      <c r="O218" s="5">
        <f>O217+Trades!W183</f>
        <v>6537.0393473971426</v>
      </c>
    </row>
    <row r="219" spans="12:15" x14ac:dyDescent="0.3">
      <c r="L219" s="4">
        <f>Trades!P229</f>
        <v>0</v>
      </c>
      <c r="M219" s="5">
        <f>M218+Trades!T229</f>
        <v>17552.759999999998</v>
      </c>
      <c r="N219" s="5">
        <f>N218+Trades!U229</f>
        <v>5.7791781009365524</v>
      </c>
      <c r="O219" s="5">
        <f>O218+Trades!W229</f>
        <v>6537.0393473971426</v>
      </c>
    </row>
    <row r="220" spans="12:15" x14ac:dyDescent="0.3">
      <c r="L220" s="4">
        <f>Trades!P241</f>
        <v>0</v>
      </c>
      <c r="M220" s="5">
        <f>M219+Trades!T241</f>
        <v>17552.759999999998</v>
      </c>
      <c r="N220" s="5">
        <f>N219+Trades!U241</f>
        <v>5.7791781009365524</v>
      </c>
      <c r="O220" s="5">
        <f>O219+Trades!W241</f>
        <v>6537.0393473971426</v>
      </c>
    </row>
    <row r="221" spans="12:15" x14ac:dyDescent="0.3">
      <c r="L221" s="4">
        <f>Trades!P219</f>
        <v>0</v>
      </c>
      <c r="M221" s="5">
        <f>M220+Trades!T219</f>
        <v>17552.759999999998</v>
      </c>
      <c r="N221" s="5">
        <f>N220+Trades!U219</f>
        <v>5.7791781009365524</v>
      </c>
      <c r="O221" s="5">
        <f>O220+Trades!W219</f>
        <v>6537.0393473971426</v>
      </c>
    </row>
    <row r="222" spans="12:15" x14ac:dyDescent="0.3">
      <c r="L222" s="4">
        <f>Trades!P331</f>
        <v>0</v>
      </c>
      <c r="M222" s="5">
        <f>M221+Trades!T331</f>
        <v>17552.759999999998</v>
      </c>
      <c r="N222" s="5">
        <f>N221+Trades!U331</f>
        <v>5.7791781009365524</v>
      </c>
      <c r="O222" s="5">
        <f>O221+Trades!W331</f>
        <v>6537.0393473971426</v>
      </c>
    </row>
    <row r="223" spans="12:15" x14ac:dyDescent="0.3">
      <c r="L223" s="4">
        <f>Trades!P204</f>
        <v>0</v>
      </c>
      <c r="M223" s="5">
        <f>M222+Trades!T204</f>
        <v>17552.759999999998</v>
      </c>
      <c r="N223" s="5">
        <f>N222+Trades!U204</f>
        <v>5.7791781009365524</v>
      </c>
      <c r="O223" s="5">
        <f>O222+Trades!W204</f>
        <v>6537.0393473971426</v>
      </c>
    </row>
    <row r="224" spans="12:15" x14ac:dyDescent="0.3">
      <c r="L224" s="4">
        <f>Trades!P195</f>
        <v>0</v>
      </c>
      <c r="M224" s="5">
        <f>M223+Trades!T195</f>
        <v>17552.759999999998</v>
      </c>
      <c r="N224" s="5">
        <f>N223+Trades!U195</f>
        <v>5.7791781009365524</v>
      </c>
      <c r="O224" s="5">
        <f>O223+Trades!W195</f>
        <v>6537.0393473971426</v>
      </c>
    </row>
    <row r="225" spans="12:15" x14ac:dyDescent="0.3">
      <c r="L225" s="4">
        <f>Trades!P262</f>
        <v>0</v>
      </c>
      <c r="M225" s="5">
        <f>M224+Trades!T262</f>
        <v>17552.759999999998</v>
      </c>
      <c r="N225" s="5">
        <f>N224+Trades!U262</f>
        <v>5.7791781009365524</v>
      </c>
      <c r="O225" s="5">
        <f>O224+Trades!W262</f>
        <v>6537.0393473971426</v>
      </c>
    </row>
    <row r="226" spans="12:15" x14ac:dyDescent="0.3">
      <c r="L226" s="4">
        <f>Trades!P286</f>
        <v>0</v>
      </c>
      <c r="M226" s="5">
        <f>M225+Trades!T286</f>
        <v>17552.759999999998</v>
      </c>
      <c r="N226" s="5">
        <f>N225+Trades!U286</f>
        <v>5.7791781009365524</v>
      </c>
      <c r="O226" s="5">
        <f>O225+Trades!W286</f>
        <v>6537.0393473971426</v>
      </c>
    </row>
    <row r="227" spans="12:15" x14ac:dyDescent="0.3">
      <c r="L227" s="4">
        <f>Trades!P299</f>
        <v>0</v>
      </c>
      <c r="M227" s="5">
        <f>M226+Trades!T299</f>
        <v>17552.759999999998</v>
      </c>
      <c r="N227" s="5">
        <f>N226+Trades!U299</f>
        <v>5.7791781009365524</v>
      </c>
      <c r="O227" s="5">
        <f>O226+Trades!W299</f>
        <v>6537.0393473971426</v>
      </c>
    </row>
    <row r="228" spans="12:15" x14ac:dyDescent="0.3">
      <c r="L228" s="4">
        <f>Trades!P311</f>
        <v>0</v>
      </c>
      <c r="M228" s="5">
        <f>M227+Trades!T311</f>
        <v>17552.759999999998</v>
      </c>
      <c r="N228" s="5">
        <f>N227+Trades!U311</f>
        <v>5.7791781009365524</v>
      </c>
      <c r="O228" s="5">
        <f>O227+Trades!W311</f>
        <v>6537.0393473971426</v>
      </c>
    </row>
    <row r="229" spans="12:15" x14ac:dyDescent="0.3">
      <c r="L229" s="4">
        <f>Trades!P132</f>
        <v>0</v>
      </c>
      <c r="M229" s="5">
        <f>M228+Trades!T132</f>
        <v>17552.759999999998</v>
      </c>
      <c r="N229" s="5">
        <f>N228+Trades!U132</f>
        <v>5.7791781009365524</v>
      </c>
      <c r="O229" s="5">
        <f>O228+Trades!W132</f>
        <v>6537.0393473971426</v>
      </c>
    </row>
    <row r="230" spans="12:15" x14ac:dyDescent="0.3">
      <c r="L230" s="4">
        <f>Trades!P153</f>
        <v>0</v>
      </c>
      <c r="M230" s="5">
        <f>M229+Trades!T153</f>
        <v>17552.759999999998</v>
      </c>
      <c r="N230" s="5">
        <f>N229+Trades!U153</f>
        <v>5.7791781009365524</v>
      </c>
      <c r="O230" s="5">
        <f>O229+Trades!W153</f>
        <v>6537.0393473971426</v>
      </c>
    </row>
    <row r="231" spans="12:15" x14ac:dyDescent="0.3">
      <c r="L231" s="4">
        <f>Trades!P332</f>
        <v>0</v>
      </c>
      <c r="M231" s="5">
        <f>M230+Trades!T332</f>
        <v>17552.759999999998</v>
      </c>
      <c r="N231" s="5">
        <f>N230+Trades!U332</f>
        <v>5.7791781009365524</v>
      </c>
      <c r="O231" s="5">
        <f>O230+Trades!W332</f>
        <v>6537.0393473971426</v>
      </c>
    </row>
    <row r="232" spans="12:15" x14ac:dyDescent="0.3">
      <c r="L232" s="4">
        <f>Trades!P342</f>
        <v>0</v>
      </c>
      <c r="M232" s="5">
        <f>M231+Trades!T342</f>
        <v>17552.759999999998</v>
      </c>
      <c r="N232" s="5">
        <f>N231+Trades!U342</f>
        <v>5.7791781009365524</v>
      </c>
      <c r="O232" s="5">
        <f>O231+Trades!W342</f>
        <v>6537.0393473971426</v>
      </c>
    </row>
    <row r="233" spans="12:15" x14ac:dyDescent="0.3">
      <c r="L233" s="4">
        <f>Trades!P273</f>
        <v>0</v>
      </c>
      <c r="M233" s="5">
        <f>M232+Trades!T273</f>
        <v>17552.759999999998</v>
      </c>
      <c r="N233" s="5">
        <f>N232+Trades!U273</f>
        <v>5.7791781009365524</v>
      </c>
      <c r="O233" s="5">
        <f>O232+Trades!W273</f>
        <v>6537.0393473971426</v>
      </c>
    </row>
    <row r="234" spans="12:15" x14ac:dyDescent="0.3">
      <c r="L234" s="4">
        <f>Trades!P220</f>
        <v>0</v>
      </c>
      <c r="M234" s="5">
        <f>M233+Trades!T220</f>
        <v>17552.759999999998</v>
      </c>
      <c r="N234" s="5">
        <f>N233+Trades!U220</f>
        <v>5.7791781009365524</v>
      </c>
      <c r="O234" s="5">
        <f>O233+Trades!W220</f>
        <v>6537.0393473971426</v>
      </c>
    </row>
    <row r="235" spans="12:15" x14ac:dyDescent="0.3">
      <c r="L235" s="4">
        <f>Trades!P333</f>
        <v>0</v>
      </c>
      <c r="M235" s="5">
        <f>M234+Trades!T333</f>
        <v>17552.759999999998</v>
      </c>
      <c r="N235" s="5">
        <f>N234+Trades!U333</f>
        <v>5.7791781009365524</v>
      </c>
      <c r="O235" s="5">
        <f>O234+Trades!W333</f>
        <v>6537.0393473971426</v>
      </c>
    </row>
    <row r="236" spans="12:15" x14ac:dyDescent="0.3">
      <c r="L236" s="4">
        <f>Trades!P300</f>
        <v>0</v>
      </c>
      <c r="M236" s="5">
        <f>M235+Trades!T300</f>
        <v>17552.759999999998</v>
      </c>
      <c r="N236" s="5">
        <f>N235+Trades!U300</f>
        <v>5.7791781009365524</v>
      </c>
      <c r="O236" s="5">
        <f>O235+Trades!W300</f>
        <v>6537.0393473971426</v>
      </c>
    </row>
    <row r="237" spans="12:15" x14ac:dyDescent="0.3">
      <c r="L237" s="4">
        <f>Trades!P343</f>
        <v>0</v>
      </c>
      <c r="M237" s="5">
        <f>M236+Trades!T343</f>
        <v>17552.759999999998</v>
      </c>
      <c r="N237" s="5">
        <f>N236+Trades!U343</f>
        <v>5.7791781009365524</v>
      </c>
      <c r="O237" s="5">
        <f>O236+Trades!W343</f>
        <v>6537.0393473971426</v>
      </c>
    </row>
    <row r="238" spans="12:15" x14ac:dyDescent="0.3">
      <c r="L238" s="4">
        <f>Trades!P334</f>
        <v>0</v>
      </c>
      <c r="M238" s="5">
        <f>M237+Trades!T334</f>
        <v>17552.759999999998</v>
      </c>
      <c r="N238" s="5">
        <f>N237+Trades!U334</f>
        <v>5.7791781009365524</v>
      </c>
      <c r="O238" s="5">
        <f>O237+Trades!W334</f>
        <v>6537.0393473971426</v>
      </c>
    </row>
    <row r="239" spans="12:15" x14ac:dyDescent="0.3">
      <c r="L239" s="4">
        <f>Trades!P171</f>
        <v>0</v>
      </c>
      <c r="M239" s="5">
        <f>M238+Trades!T171</f>
        <v>17552.759999999998</v>
      </c>
      <c r="N239" s="5">
        <f>N238+Trades!U171</f>
        <v>5.7791781009365524</v>
      </c>
      <c r="O239" s="5">
        <f>O238+Trades!W171</f>
        <v>6537.0393473971426</v>
      </c>
    </row>
    <row r="240" spans="12:15" x14ac:dyDescent="0.3">
      <c r="L240" s="4">
        <f>Trades!P230</f>
        <v>0</v>
      </c>
      <c r="M240" s="5">
        <f>M239+Trades!T230</f>
        <v>17552.759999999998</v>
      </c>
      <c r="N240" s="5">
        <f>N239+Trades!U230</f>
        <v>5.7791781009365524</v>
      </c>
      <c r="O240" s="5">
        <f>O239+Trades!W230</f>
        <v>6537.0393473971426</v>
      </c>
    </row>
    <row r="241" spans="12:15" x14ac:dyDescent="0.3">
      <c r="L241" s="4">
        <f>Trades!P221</f>
        <v>0</v>
      </c>
      <c r="M241" s="5">
        <f>M240+Trades!T221</f>
        <v>17552.759999999998</v>
      </c>
      <c r="N241" s="5">
        <f>N240+Trades!U221</f>
        <v>5.7791781009365524</v>
      </c>
      <c r="O241" s="5">
        <f>O240+Trades!W221</f>
        <v>6537.0393473971426</v>
      </c>
    </row>
    <row r="242" spans="12:15" x14ac:dyDescent="0.3">
      <c r="L242" s="4">
        <f>Trades!P312</f>
        <v>0</v>
      </c>
      <c r="M242" s="5">
        <f>M241+Trades!T312</f>
        <v>17552.759999999998</v>
      </c>
      <c r="N242" s="5">
        <f>N241+Trades!U312</f>
        <v>5.7791781009365524</v>
      </c>
      <c r="O242" s="5">
        <f>O241+Trades!W312</f>
        <v>6537.0393473971426</v>
      </c>
    </row>
    <row r="243" spans="12:15" x14ac:dyDescent="0.3">
      <c r="L243" s="4">
        <f>Trades!P196</f>
        <v>0</v>
      </c>
      <c r="M243" s="5">
        <f>M242+Trades!T196</f>
        <v>17552.759999999998</v>
      </c>
      <c r="N243" s="5">
        <f>N242+Trades!U196</f>
        <v>5.7791781009365524</v>
      </c>
      <c r="O243" s="5">
        <f>O242+Trades!W196</f>
        <v>6537.0393473971426</v>
      </c>
    </row>
    <row r="244" spans="12:15" x14ac:dyDescent="0.3">
      <c r="L244" s="4">
        <f>Trades!P322</f>
        <v>0</v>
      </c>
      <c r="M244" s="5">
        <f>M243+Trades!T322</f>
        <v>17552.759999999998</v>
      </c>
      <c r="N244" s="5">
        <f>N243+Trades!U322</f>
        <v>5.7791781009365524</v>
      </c>
      <c r="O244" s="5">
        <f>O243+Trades!W322</f>
        <v>6537.0393473971426</v>
      </c>
    </row>
    <row r="245" spans="12:15" x14ac:dyDescent="0.3">
      <c r="L245" s="4">
        <f>Trades!P287</f>
        <v>0</v>
      </c>
      <c r="M245" s="5">
        <f>M244+Trades!T287</f>
        <v>17552.759999999998</v>
      </c>
      <c r="N245" s="5">
        <f>N244+Trades!U287</f>
        <v>5.7791781009365524</v>
      </c>
      <c r="O245" s="5">
        <f>O244+Trades!W287</f>
        <v>6537.0393473971426</v>
      </c>
    </row>
    <row r="246" spans="12:15" x14ac:dyDescent="0.3">
      <c r="L246" s="4" t="str">
        <f>Trades!P120</f>
        <v>signal</v>
      </c>
      <c r="M246" s="5">
        <f>M245+Trades!T120</f>
        <v>17601.379999999997</v>
      </c>
      <c r="N246" s="5">
        <f>N245+Trades!U120</f>
        <v>6.1461794440460151</v>
      </c>
      <c r="O246" s="5">
        <f>O245+Trades!W120</f>
        <v>6656.6619720812587</v>
      </c>
    </row>
    <row r="247" spans="12:15" x14ac:dyDescent="0.3">
      <c r="L247" s="4">
        <f>Trades!P242</f>
        <v>0</v>
      </c>
      <c r="M247" s="5">
        <f>M246+Trades!T242</f>
        <v>17601.379999999997</v>
      </c>
      <c r="N247" s="5">
        <f>N246+Trades!U242</f>
        <v>6.1461794440460151</v>
      </c>
      <c r="O247" s="5">
        <f>O246+Trades!W242</f>
        <v>6656.6619720812587</v>
      </c>
    </row>
    <row r="248" spans="12:15" x14ac:dyDescent="0.3">
      <c r="L248" s="4">
        <f>Trades!P274</f>
        <v>0</v>
      </c>
      <c r="M248" s="5">
        <f>M247+Trades!T274</f>
        <v>17601.379999999997</v>
      </c>
      <c r="N248" s="5">
        <f>N247+Trades!U274</f>
        <v>6.1461794440460151</v>
      </c>
      <c r="O248" s="5">
        <f>O247+Trades!W274</f>
        <v>6656.6619720812587</v>
      </c>
    </row>
    <row r="249" spans="12:15" x14ac:dyDescent="0.3">
      <c r="L249" s="4">
        <f>Trades!P344</f>
        <v>0</v>
      </c>
      <c r="M249" s="5">
        <f>M248+Trades!T344</f>
        <v>17601.379999999997</v>
      </c>
      <c r="N249" s="5">
        <f>N248+Trades!U344</f>
        <v>6.1461794440460151</v>
      </c>
      <c r="O249" s="5">
        <f>O248+Trades!W344</f>
        <v>6656.6619720812587</v>
      </c>
    </row>
    <row r="250" spans="12:15" x14ac:dyDescent="0.3">
      <c r="L250" s="4" t="str">
        <f>Trades!P121</f>
        <v>signal</v>
      </c>
      <c r="M250" s="5">
        <f>M249+Trades!T121</f>
        <v>17661.309999999998</v>
      </c>
      <c r="N250" s="5">
        <f>N249+Trades!U121</f>
        <v>6.3512749925480199</v>
      </c>
      <c r="O250" s="5">
        <f>O249+Trades!W121</f>
        <v>7202.1547941459639</v>
      </c>
    </row>
    <row r="251" spans="12:15" x14ac:dyDescent="0.3">
      <c r="L251" s="4">
        <f>Trades!P172</f>
        <v>0</v>
      </c>
      <c r="M251" s="5">
        <f>M250+Trades!T172</f>
        <v>17661.309999999998</v>
      </c>
      <c r="N251" s="5">
        <f>N250+Trades!U172</f>
        <v>6.3512749925480199</v>
      </c>
      <c r="O251" s="5">
        <f>O250+Trades!W172</f>
        <v>7202.1547941459639</v>
      </c>
    </row>
    <row r="252" spans="12:15" x14ac:dyDescent="0.3">
      <c r="L252" s="4">
        <f>Trades!P301</f>
        <v>0</v>
      </c>
      <c r="M252" s="5">
        <f>M251+Trades!T301</f>
        <v>17661.309999999998</v>
      </c>
      <c r="N252" s="5">
        <f>N251+Trades!U301</f>
        <v>6.3512749925480199</v>
      </c>
      <c r="O252" s="5">
        <f>O251+Trades!W301</f>
        <v>7202.1547941459639</v>
      </c>
    </row>
    <row r="253" spans="12:15" x14ac:dyDescent="0.3">
      <c r="L253" s="4">
        <f>Trades!P323</f>
        <v>0</v>
      </c>
      <c r="M253" s="5">
        <f>M252+Trades!T323</f>
        <v>17661.309999999998</v>
      </c>
      <c r="N253" s="5">
        <f>N252+Trades!U323</f>
        <v>6.3512749925480199</v>
      </c>
      <c r="O253" s="5">
        <f>O252+Trades!W323</f>
        <v>7202.1547941459639</v>
      </c>
    </row>
    <row r="254" spans="12:15" x14ac:dyDescent="0.3">
      <c r="L254" s="4">
        <f>Trades!P313</f>
        <v>0</v>
      </c>
      <c r="M254" s="5">
        <f>M253+Trades!T313</f>
        <v>17661.309999999998</v>
      </c>
      <c r="N254" s="5">
        <f>N253+Trades!U313</f>
        <v>6.3512749925480199</v>
      </c>
      <c r="O254" s="5">
        <f>O253+Trades!W313</f>
        <v>7202.1547941459639</v>
      </c>
    </row>
    <row r="255" spans="12:15" x14ac:dyDescent="0.3">
      <c r="L255" s="4">
        <f>Trades!P243</f>
        <v>0</v>
      </c>
      <c r="M255" s="5">
        <f>M254+Trades!T243</f>
        <v>17661.309999999998</v>
      </c>
      <c r="N255" s="5">
        <f>N254+Trades!U243</f>
        <v>6.3512749925480199</v>
      </c>
      <c r="O255" s="5">
        <f>O254+Trades!W243</f>
        <v>7202.1547941459639</v>
      </c>
    </row>
    <row r="256" spans="12:15" x14ac:dyDescent="0.3">
      <c r="L256" s="4">
        <f>Trades!P205</f>
        <v>0</v>
      </c>
      <c r="M256" s="5">
        <f>M255+Trades!T205</f>
        <v>17661.309999999998</v>
      </c>
      <c r="N256" s="5">
        <f>N255+Trades!U205</f>
        <v>6.3512749925480199</v>
      </c>
      <c r="O256" s="5">
        <f>O255+Trades!W205</f>
        <v>7202.1547941459639</v>
      </c>
    </row>
    <row r="257" spans="12:15" x14ac:dyDescent="0.3">
      <c r="L257" s="4">
        <f>Trades!P184</f>
        <v>0</v>
      </c>
      <c r="M257" s="5">
        <f>M256+Trades!T184</f>
        <v>17661.309999999998</v>
      </c>
      <c r="N257" s="5">
        <f>N256+Trades!U184</f>
        <v>6.3512749925480199</v>
      </c>
      <c r="O257" s="5">
        <f>O256+Trades!W184</f>
        <v>7202.1547941459639</v>
      </c>
    </row>
    <row r="258" spans="12:15" x14ac:dyDescent="0.3">
      <c r="L258" s="4">
        <f>Trades!P231</f>
        <v>0</v>
      </c>
      <c r="M258" s="5">
        <f>M257+Trades!T231</f>
        <v>17661.309999999998</v>
      </c>
      <c r="N258" s="5">
        <f>N257+Trades!U231</f>
        <v>6.3512749925480199</v>
      </c>
      <c r="O258" s="5">
        <f>O257+Trades!W231</f>
        <v>7202.1547941459639</v>
      </c>
    </row>
    <row r="259" spans="12:15" x14ac:dyDescent="0.3">
      <c r="L259" s="4">
        <f>Trades!P142</f>
        <v>0</v>
      </c>
      <c r="M259" s="5">
        <f>M258+Trades!T142</f>
        <v>17661.309999999998</v>
      </c>
      <c r="N259" s="5">
        <f>N258+Trades!U142</f>
        <v>6.3512749925480199</v>
      </c>
      <c r="O259" s="5">
        <f>O258+Trades!W142</f>
        <v>7202.1547941459639</v>
      </c>
    </row>
    <row r="260" spans="12:15" x14ac:dyDescent="0.3">
      <c r="L260" s="4">
        <f>Trades!P154</f>
        <v>0</v>
      </c>
      <c r="M260" s="5">
        <f>M259+Trades!T154</f>
        <v>17661.309999999998</v>
      </c>
      <c r="N260" s="5">
        <f>N259+Trades!U154</f>
        <v>6.3512749925480199</v>
      </c>
      <c r="O260" s="5">
        <f>O259+Trades!W154</f>
        <v>7202.1547941459639</v>
      </c>
    </row>
    <row r="261" spans="12:15" x14ac:dyDescent="0.3">
      <c r="L261" s="4">
        <f>Trades!P275</f>
        <v>0</v>
      </c>
      <c r="M261" s="5">
        <f>M260+Trades!T275</f>
        <v>17661.309999999998</v>
      </c>
      <c r="N261" s="5">
        <f>N260+Trades!U275</f>
        <v>6.3512749925480199</v>
      </c>
      <c r="O261" s="5">
        <f>O260+Trades!W275</f>
        <v>7202.1547941459639</v>
      </c>
    </row>
    <row r="262" spans="12:15" x14ac:dyDescent="0.3">
      <c r="L262" s="4">
        <f>Trades!P133</f>
        <v>0</v>
      </c>
      <c r="M262" s="5">
        <f>M261+Trades!T133</f>
        <v>17661.309999999998</v>
      </c>
      <c r="N262" s="5">
        <f>N261+Trades!U133</f>
        <v>6.3512749925480199</v>
      </c>
      <c r="O262" s="5">
        <f>O261+Trades!W133</f>
        <v>7202.1547941459639</v>
      </c>
    </row>
    <row r="263" spans="12:15" x14ac:dyDescent="0.3">
      <c r="L263" s="4">
        <f>Trades!P244</f>
        <v>0</v>
      </c>
      <c r="M263" s="5">
        <f>M262+Trades!T244</f>
        <v>17661.309999999998</v>
      </c>
      <c r="N263" s="5">
        <f>N262+Trades!U244</f>
        <v>6.3512749925480199</v>
      </c>
      <c r="O263" s="5">
        <f>O262+Trades!W244</f>
        <v>7202.1547941459639</v>
      </c>
    </row>
    <row r="264" spans="12:15" x14ac:dyDescent="0.3">
      <c r="L264" s="4">
        <f>Trades!P162</f>
        <v>0</v>
      </c>
      <c r="M264" s="5">
        <f>M263+Trades!T162</f>
        <v>17661.309999999998</v>
      </c>
      <c r="N264" s="5">
        <f>N263+Trades!U162</f>
        <v>6.3512749925480199</v>
      </c>
      <c r="O264" s="5">
        <f>O263+Trades!W162</f>
        <v>7202.1547941459639</v>
      </c>
    </row>
    <row r="265" spans="12:15" x14ac:dyDescent="0.3">
      <c r="L265" s="4">
        <f>Trades!P185</f>
        <v>0</v>
      </c>
      <c r="M265" s="5">
        <f>M264+Trades!T185</f>
        <v>17661.309999999998</v>
      </c>
      <c r="N265" s="5">
        <f>N264+Trades!U185</f>
        <v>6.3512749925480199</v>
      </c>
      <c r="O265" s="5">
        <f>O264+Trades!W185</f>
        <v>7202.1547941459639</v>
      </c>
    </row>
    <row r="266" spans="12:15" x14ac:dyDescent="0.3">
      <c r="L266" s="4">
        <f>Trades!P173</f>
        <v>0</v>
      </c>
      <c r="M266" s="5">
        <f>M265+Trades!T173</f>
        <v>17661.309999999998</v>
      </c>
      <c r="N266" s="5">
        <f>N265+Trades!U173</f>
        <v>6.3512749925480199</v>
      </c>
      <c r="O266" s="5">
        <f>O265+Trades!W173</f>
        <v>7202.1547941459639</v>
      </c>
    </row>
    <row r="267" spans="12:15" x14ac:dyDescent="0.3">
      <c r="L267" s="4">
        <f>Trades!P232</f>
        <v>0</v>
      </c>
      <c r="M267" s="5">
        <f>M266+Trades!T232</f>
        <v>17661.309999999998</v>
      </c>
      <c r="N267" s="5">
        <f>N266+Trades!U232</f>
        <v>6.3512749925480199</v>
      </c>
      <c r="O267" s="5">
        <f>O266+Trades!W232</f>
        <v>7202.1547941459639</v>
      </c>
    </row>
    <row r="268" spans="12:15" x14ac:dyDescent="0.3">
      <c r="L268" s="4" t="str">
        <f>Trades!P122</f>
        <v>signal</v>
      </c>
      <c r="M268" s="5">
        <f>M267+Trades!T122</f>
        <v>17722.789999999997</v>
      </c>
      <c r="N268" s="5">
        <f>N267+Trades!U122</f>
        <v>5.913454816157766</v>
      </c>
      <c r="O268" s="5">
        <f>O267+Trades!W122</f>
        <v>6396.1479268067396</v>
      </c>
    </row>
    <row r="269" spans="12:15" x14ac:dyDescent="0.3">
      <c r="L269" s="4">
        <f>Trades!P134</f>
        <v>0</v>
      </c>
      <c r="M269" s="5">
        <f>M268+Trades!T134</f>
        <v>17722.789999999997</v>
      </c>
      <c r="N269" s="5">
        <f>N268+Trades!U134</f>
        <v>5.913454816157766</v>
      </c>
      <c r="O269" s="5">
        <f>O268+Trades!W134</f>
        <v>6396.1479268067396</v>
      </c>
    </row>
    <row r="270" spans="12:15" x14ac:dyDescent="0.3">
      <c r="L270" s="4">
        <f>Trades!P302</f>
        <v>0</v>
      </c>
      <c r="M270" s="5">
        <f>M269+Trades!T302</f>
        <v>17722.789999999997</v>
      </c>
      <c r="N270" s="5">
        <f>N269+Trades!U302</f>
        <v>5.913454816157766</v>
      </c>
      <c r="O270" s="5">
        <f>O269+Trades!W302</f>
        <v>6396.1479268067396</v>
      </c>
    </row>
    <row r="271" spans="12:15" x14ac:dyDescent="0.3">
      <c r="L271" s="4">
        <f>Trades!P276</f>
        <v>0</v>
      </c>
      <c r="M271" s="5">
        <f>M270+Trades!T276</f>
        <v>17722.789999999997</v>
      </c>
      <c r="N271" s="5">
        <f>N270+Trades!U276</f>
        <v>5.913454816157766</v>
      </c>
      <c r="O271" s="5">
        <f>O270+Trades!W276</f>
        <v>6396.1479268067396</v>
      </c>
    </row>
    <row r="272" spans="12:15" x14ac:dyDescent="0.3">
      <c r="L272" s="4">
        <f>Trades!P135</f>
        <v>0</v>
      </c>
      <c r="M272" s="5">
        <f>M271+Trades!T135</f>
        <v>17722.789999999997</v>
      </c>
      <c r="N272" s="5">
        <f>N271+Trades!U135</f>
        <v>5.913454816157766</v>
      </c>
      <c r="O272" s="5">
        <f>O271+Trades!W135</f>
        <v>6396.1479268067396</v>
      </c>
    </row>
    <row r="273" spans="12:15" x14ac:dyDescent="0.3">
      <c r="L273" s="4">
        <f>Trades!P277</f>
        <v>0</v>
      </c>
      <c r="M273" s="5">
        <f>M272+Trades!T277</f>
        <v>17722.789999999997</v>
      </c>
      <c r="N273" s="5">
        <f>N272+Trades!U277</f>
        <v>5.913454816157766</v>
      </c>
      <c r="O273" s="5">
        <f>O272+Trades!W277</f>
        <v>6396.1479268067396</v>
      </c>
    </row>
    <row r="274" spans="12:15" x14ac:dyDescent="0.3">
      <c r="L274" s="4" t="str">
        <f>Trades!P123</f>
        <v>signal</v>
      </c>
      <c r="M274" s="5">
        <f>M273+Trades!T123</f>
        <v>17783.709999999995</v>
      </c>
      <c r="N274" s="5">
        <f>N273+Trades!U123</f>
        <v>5.5626055354202748</v>
      </c>
      <c r="O274" s="5">
        <f>O273+Trades!W123</f>
        <v>5952.0115164342906</v>
      </c>
    </row>
    <row r="275" spans="12:15" x14ac:dyDescent="0.3">
      <c r="L275" s="4">
        <f>Trades!P222</f>
        <v>0</v>
      </c>
      <c r="M275" s="5">
        <f>M274+Trades!T222</f>
        <v>17783.709999999995</v>
      </c>
      <c r="N275" s="5">
        <f>N274+Trades!U222</f>
        <v>5.5626055354202748</v>
      </c>
      <c r="O275" s="5">
        <f>O274+Trades!W222</f>
        <v>5952.0115164342906</v>
      </c>
    </row>
    <row r="276" spans="12:15" x14ac:dyDescent="0.3">
      <c r="L276" s="4">
        <f>Trades!P254</f>
        <v>0</v>
      </c>
      <c r="M276" s="5">
        <f>M275+Trades!T254</f>
        <v>17783.709999999995</v>
      </c>
      <c r="N276" s="5">
        <f>N275+Trades!U254</f>
        <v>5.5626055354202748</v>
      </c>
      <c r="O276" s="5">
        <f>O275+Trades!W254</f>
        <v>5952.0115164342906</v>
      </c>
    </row>
    <row r="277" spans="12:15" x14ac:dyDescent="0.3">
      <c r="L277" s="4">
        <f>Trades!P163</f>
        <v>0</v>
      </c>
      <c r="M277" s="5">
        <f>M276+Trades!T163</f>
        <v>17783.709999999995</v>
      </c>
      <c r="N277" s="5">
        <f>N276+Trades!U163</f>
        <v>5.5626055354202748</v>
      </c>
      <c r="O277" s="5">
        <f>O276+Trades!W163</f>
        <v>5952.0115164342906</v>
      </c>
    </row>
    <row r="278" spans="12:15" x14ac:dyDescent="0.3">
      <c r="L278" s="4">
        <f>Trades!P303</f>
        <v>0</v>
      </c>
      <c r="M278" s="5">
        <f>M277+Trades!T303</f>
        <v>17783.709999999995</v>
      </c>
      <c r="N278" s="5">
        <f>N277+Trades!U303</f>
        <v>5.5626055354202748</v>
      </c>
      <c r="O278" s="5">
        <f>O277+Trades!W303</f>
        <v>5952.0115164342906</v>
      </c>
    </row>
    <row r="279" spans="12:15" x14ac:dyDescent="0.3">
      <c r="L279" s="4">
        <f>Trades!P186</f>
        <v>0</v>
      </c>
      <c r="M279" s="5">
        <f>M278+Trades!T186</f>
        <v>17783.709999999995</v>
      </c>
      <c r="N279" s="5">
        <f>N278+Trades!U186</f>
        <v>5.5626055354202748</v>
      </c>
      <c r="O279" s="5">
        <f>O278+Trades!W186</f>
        <v>5952.0115164342906</v>
      </c>
    </row>
    <row r="280" spans="12:15" x14ac:dyDescent="0.3">
      <c r="L280" s="4">
        <f>Trades!P197</f>
        <v>0</v>
      </c>
      <c r="M280" s="5">
        <f>M279+Trades!T197</f>
        <v>17783.709999999995</v>
      </c>
      <c r="N280" s="5">
        <f>N279+Trades!U197</f>
        <v>5.5626055354202748</v>
      </c>
      <c r="O280" s="5">
        <f>O279+Trades!W197</f>
        <v>5952.0115164342906</v>
      </c>
    </row>
    <row r="281" spans="12:15" x14ac:dyDescent="0.3">
      <c r="L281" s="4">
        <f>Trades!P155</f>
        <v>0</v>
      </c>
      <c r="M281" s="5">
        <f>M280+Trades!T155</f>
        <v>17783.709999999995</v>
      </c>
      <c r="N281" s="5">
        <f>N280+Trades!U155</f>
        <v>5.5626055354202748</v>
      </c>
      <c r="O281" s="5">
        <f>O280+Trades!W155</f>
        <v>5952.0115164342906</v>
      </c>
    </row>
    <row r="282" spans="12:15" x14ac:dyDescent="0.3">
      <c r="L282" s="4">
        <f>Trades!P245</f>
        <v>0</v>
      </c>
      <c r="M282" s="5">
        <f>M281+Trades!T245</f>
        <v>17783.709999999995</v>
      </c>
      <c r="N282" s="5">
        <f>N281+Trades!U245</f>
        <v>5.5626055354202748</v>
      </c>
      <c r="O282" s="5">
        <f>O281+Trades!W245</f>
        <v>5952.0115164342906</v>
      </c>
    </row>
    <row r="283" spans="12:15" x14ac:dyDescent="0.3">
      <c r="L283" s="4">
        <f>Trades!P324</f>
        <v>0</v>
      </c>
      <c r="M283" s="5">
        <f>M282+Trades!T324</f>
        <v>17783.709999999995</v>
      </c>
      <c r="N283" s="5">
        <f>N282+Trades!U324</f>
        <v>5.5626055354202748</v>
      </c>
      <c r="O283" s="5">
        <f>O282+Trades!W324</f>
        <v>5952.0115164342906</v>
      </c>
    </row>
    <row r="284" spans="12:15" x14ac:dyDescent="0.3">
      <c r="L284" s="4">
        <f>Trades!P288</f>
        <v>0</v>
      </c>
      <c r="M284" s="5">
        <f>M283+Trades!T288</f>
        <v>17783.709999999995</v>
      </c>
      <c r="N284" s="5">
        <f>N283+Trades!U288</f>
        <v>5.5626055354202748</v>
      </c>
      <c r="O284" s="5">
        <f>O283+Trades!W288</f>
        <v>5952.0115164342906</v>
      </c>
    </row>
    <row r="285" spans="12:15" x14ac:dyDescent="0.3">
      <c r="L285" s="4">
        <f>Trades!P335</f>
        <v>0</v>
      </c>
      <c r="M285" s="5">
        <f>M284+Trades!T335</f>
        <v>17783.709999999995</v>
      </c>
      <c r="N285" s="5">
        <f>N284+Trades!U335</f>
        <v>5.5626055354202748</v>
      </c>
      <c r="O285" s="5">
        <f>O284+Trades!W335</f>
        <v>5952.0115164342906</v>
      </c>
    </row>
    <row r="286" spans="12:15" x14ac:dyDescent="0.3">
      <c r="L286" s="4">
        <f>Trades!P314</f>
        <v>0</v>
      </c>
      <c r="M286" s="5">
        <f>M285+Trades!T314</f>
        <v>17783.709999999995</v>
      </c>
      <c r="N286" s="5">
        <f>N285+Trades!U314</f>
        <v>5.5626055354202748</v>
      </c>
      <c r="O286" s="5">
        <f>O285+Trades!W314</f>
        <v>5952.0115164342906</v>
      </c>
    </row>
    <row r="287" spans="12:15" x14ac:dyDescent="0.3">
      <c r="L287" s="4">
        <f>Trades!P206</f>
        <v>0</v>
      </c>
      <c r="M287" s="5">
        <f>M286+Trades!T206</f>
        <v>17783.709999999995</v>
      </c>
      <c r="N287" s="5">
        <f>N286+Trades!U206</f>
        <v>5.5626055354202748</v>
      </c>
      <c r="O287" s="5">
        <f>O286+Trades!W206</f>
        <v>5952.0115164342906</v>
      </c>
    </row>
    <row r="288" spans="12:15" x14ac:dyDescent="0.3">
      <c r="L288" s="4">
        <f>Trades!P233</f>
        <v>0</v>
      </c>
      <c r="M288" s="5">
        <f>M287+Trades!T233</f>
        <v>17783.709999999995</v>
      </c>
      <c r="N288" s="5">
        <f>N287+Trades!U233</f>
        <v>5.5626055354202748</v>
      </c>
      <c r="O288" s="5">
        <f>O287+Trades!W233</f>
        <v>5952.0115164342906</v>
      </c>
    </row>
    <row r="289" spans="12:15" x14ac:dyDescent="0.3">
      <c r="L289" s="4">
        <f>Trades!P143</f>
        <v>0</v>
      </c>
      <c r="M289" s="5">
        <f>M288+Trades!T143</f>
        <v>17783.709999999995</v>
      </c>
      <c r="N289" s="5">
        <f>N288+Trades!U143</f>
        <v>5.5626055354202748</v>
      </c>
      <c r="O289" s="5">
        <f>O288+Trades!W143</f>
        <v>5952.0115164342906</v>
      </c>
    </row>
    <row r="290" spans="12:15" x14ac:dyDescent="0.3">
      <c r="L290" s="4">
        <f>Trades!P345</f>
        <v>0</v>
      </c>
      <c r="M290" s="5">
        <f>M289+Trades!T345</f>
        <v>17783.709999999995</v>
      </c>
      <c r="N290" s="5">
        <f>N289+Trades!U345</f>
        <v>5.5626055354202748</v>
      </c>
      <c r="O290" s="5">
        <f>O289+Trades!W345</f>
        <v>5952.0115164342906</v>
      </c>
    </row>
    <row r="291" spans="12:15" x14ac:dyDescent="0.3">
      <c r="L291" s="4">
        <f>Trades!P263</f>
        <v>0</v>
      </c>
      <c r="M291" s="5">
        <f>M290+Trades!T263</f>
        <v>17783.709999999995</v>
      </c>
      <c r="N291" s="5">
        <f>N290+Trades!U263</f>
        <v>5.5626055354202748</v>
      </c>
      <c r="O291" s="5">
        <f>O290+Trades!W263</f>
        <v>5952.0115164342906</v>
      </c>
    </row>
    <row r="292" spans="12:15" x14ac:dyDescent="0.3">
      <c r="L292" s="4">
        <f>Trades!P207</f>
        <v>0</v>
      </c>
      <c r="M292" s="5">
        <f>M291+Trades!T207</f>
        <v>17783.709999999995</v>
      </c>
      <c r="N292" s="5">
        <f>N291+Trades!U207</f>
        <v>5.5626055354202748</v>
      </c>
      <c r="O292" s="5">
        <f>O291+Trades!W207</f>
        <v>5952.0115164342906</v>
      </c>
    </row>
    <row r="293" spans="12:15" x14ac:dyDescent="0.3">
      <c r="L293" s="4">
        <f>Trades!P346</f>
        <v>0</v>
      </c>
      <c r="M293" s="5">
        <f>M292+Trades!T346</f>
        <v>17783.709999999995</v>
      </c>
      <c r="N293" s="5">
        <f>N292+Trades!U346</f>
        <v>5.5626055354202748</v>
      </c>
      <c r="O293" s="5">
        <f>O292+Trades!W346</f>
        <v>5952.0115164342906</v>
      </c>
    </row>
    <row r="294" spans="12:15" x14ac:dyDescent="0.3">
      <c r="L294" s="4">
        <f>Trades!P174</f>
        <v>0</v>
      </c>
      <c r="M294" s="5">
        <f>M293+Trades!T174</f>
        <v>17783.709999999995</v>
      </c>
      <c r="N294" s="5">
        <f>N293+Trades!U174</f>
        <v>5.5626055354202748</v>
      </c>
      <c r="O294" s="5">
        <f>O293+Trades!W174</f>
        <v>5952.0115164342906</v>
      </c>
    </row>
    <row r="295" spans="12:15" x14ac:dyDescent="0.3">
      <c r="L295" s="4">
        <f>Trades!P208</f>
        <v>0</v>
      </c>
      <c r="M295" s="5">
        <f>M294+Trades!T208</f>
        <v>17783.709999999995</v>
      </c>
      <c r="N295" s="5">
        <f>N294+Trades!U208</f>
        <v>5.5626055354202748</v>
      </c>
      <c r="O295" s="5">
        <f>O294+Trades!W208</f>
        <v>5952.0115164342906</v>
      </c>
    </row>
    <row r="296" spans="12:15" x14ac:dyDescent="0.3">
      <c r="L296" s="4">
        <f>Trades!P223</f>
        <v>0</v>
      </c>
      <c r="M296" s="5">
        <f>M295+Trades!T223</f>
        <v>17783.709999999995</v>
      </c>
      <c r="N296" s="5">
        <f>N295+Trades!U223</f>
        <v>5.5626055354202748</v>
      </c>
      <c r="O296" s="5">
        <f>O295+Trades!W223</f>
        <v>5952.0115164342906</v>
      </c>
    </row>
    <row r="297" spans="12:15" x14ac:dyDescent="0.3">
      <c r="L297" s="4">
        <f>Trades!P246</f>
        <v>0</v>
      </c>
      <c r="M297" s="5">
        <f>M296+Trades!T246</f>
        <v>17783.709999999995</v>
      </c>
      <c r="N297" s="5">
        <f>N296+Trades!U246</f>
        <v>5.5626055354202748</v>
      </c>
      <c r="O297" s="5">
        <f>O296+Trades!W246</f>
        <v>5952.0115164342906</v>
      </c>
    </row>
    <row r="298" spans="12:15" x14ac:dyDescent="0.3">
      <c r="L298" s="4">
        <f>Trades!P304</f>
        <v>0</v>
      </c>
      <c r="M298" s="5">
        <f>M297+Trades!T304</f>
        <v>17783.709999999995</v>
      </c>
      <c r="N298" s="5">
        <f>N297+Trades!U304</f>
        <v>5.5626055354202748</v>
      </c>
      <c r="O298" s="5">
        <f>O297+Trades!W304</f>
        <v>5952.0115164342906</v>
      </c>
    </row>
    <row r="299" spans="12:15" x14ac:dyDescent="0.3">
      <c r="L299" s="4">
        <f>Trades!P278</f>
        <v>0</v>
      </c>
      <c r="M299" s="5">
        <f>M298+Trades!T278</f>
        <v>17783.709999999995</v>
      </c>
      <c r="N299" s="5">
        <f>N298+Trades!U278</f>
        <v>5.5626055354202748</v>
      </c>
      <c r="O299" s="5">
        <f>O298+Trades!W278</f>
        <v>5952.0115164342906</v>
      </c>
    </row>
    <row r="300" spans="12:15" x14ac:dyDescent="0.3">
      <c r="L300" s="4">
        <f>Trades!P325</f>
        <v>0</v>
      </c>
      <c r="M300" s="5">
        <f>M299+Trades!T325</f>
        <v>17783.709999999995</v>
      </c>
      <c r="N300" s="5">
        <f>N299+Trades!U325</f>
        <v>5.5626055354202748</v>
      </c>
      <c r="O300" s="5">
        <f>O299+Trades!W325</f>
        <v>5952.0115164342906</v>
      </c>
    </row>
    <row r="301" spans="12:15" x14ac:dyDescent="0.3">
      <c r="L301" s="4">
        <f>Trades!P347</f>
        <v>0</v>
      </c>
      <c r="M301" s="5">
        <f>M300+Trades!T347</f>
        <v>17783.709999999995</v>
      </c>
      <c r="N301" s="5">
        <f>N300+Trades!U347</f>
        <v>5.5626055354202748</v>
      </c>
      <c r="O301" s="5">
        <f>O300+Trades!W347</f>
        <v>5952.0115164342906</v>
      </c>
    </row>
    <row r="302" spans="12:15" x14ac:dyDescent="0.3">
      <c r="L302" s="4">
        <f>Trades!P289</f>
        <v>0</v>
      </c>
      <c r="M302" s="5">
        <f>M301+Trades!T289</f>
        <v>17783.709999999995</v>
      </c>
      <c r="N302" s="5">
        <f>N301+Trades!U289</f>
        <v>5.5626055354202748</v>
      </c>
      <c r="O302" s="5">
        <f>O301+Trades!W289</f>
        <v>5952.0115164342906</v>
      </c>
    </row>
    <row r="303" spans="12:15" x14ac:dyDescent="0.3">
      <c r="L303" s="4">
        <f>Trades!P144</f>
        <v>0</v>
      </c>
      <c r="M303" s="5">
        <f>M302+Trades!T144</f>
        <v>17783.709999999995</v>
      </c>
      <c r="N303" s="5">
        <f>N302+Trades!U144</f>
        <v>5.5626055354202748</v>
      </c>
      <c r="O303" s="5">
        <f>O302+Trades!W144</f>
        <v>5952.0115164342906</v>
      </c>
    </row>
    <row r="304" spans="12:15" x14ac:dyDescent="0.3">
      <c r="L304" s="4">
        <f>Trades!P255</f>
        <v>0</v>
      </c>
      <c r="M304" s="5">
        <f>M303+Trades!T255</f>
        <v>17783.709999999995</v>
      </c>
      <c r="N304" s="5">
        <f>N303+Trades!U255</f>
        <v>5.5626055354202748</v>
      </c>
      <c r="O304" s="5">
        <f>O303+Trades!W255</f>
        <v>5952.0115164342906</v>
      </c>
    </row>
    <row r="305" spans="12:15" x14ac:dyDescent="0.3">
      <c r="L305" s="4">
        <f>Trades!P156</f>
        <v>0</v>
      </c>
      <c r="M305" s="5">
        <f>M304+Trades!T156</f>
        <v>17783.709999999995</v>
      </c>
      <c r="N305" s="5">
        <f>N304+Trades!U156</f>
        <v>5.5626055354202748</v>
      </c>
      <c r="O305" s="5">
        <f>O304+Trades!W156</f>
        <v>5952.0115164342906</v>
      </c>
    </row>
    <row r="306" spans="12:15" x14ac:dyDescent="0.3">
      <c r="L306" s="4">
        <f>Trades!P198</f>
        <v>0</v>
      </c>
      <c r="M306" s="5">
        <f>M305+Trades!T198</f>
        <v>17783.709999999995</v>
      </c>
      <c r="N306" s="5">
        <f>N305+Trades!U198</f>
        <v>5.5626055354202748</v>
      </c>
      <c r="O306" s="5">
        <f>O305+Trades!W198</f>
        <v>5952.0115164342906</v>
      </c>
    </row>
    <row r="307" spans="12:15" x14ac:dyDescent="0.3">
      <c r="L307" s="4">
        <f>Trades!P209</f>
        <v>0</v>
      </c>
      <c r="M307" s="5">
        <f>M306+Trades!T209</f>
        <v>17783.709999999995</v>
      </c>
      <c r="N307" s="5">
        <f>N306+Trades!U209</f>
        <v>5.5626055354202748</v>
      </c>
      <c r="O307" s="5">
        <f>O306+Trades!W209</f>
        <v>5952.0115164342906</v>
      </c>
    </row>
    <row r="308" spans="12:15" x14ac:dyDescent="0.3">
      <c r="L308" s="4">
        <f>Trades!P264</f>
        <v>0</v>
      </c>
      <c r="M308" s="5">
        <f>M307+Trades!T264</f>
        <v>17783.709999999995</v>
      </c>
      <c r="N308" s="5">
        <f>N307+Trades!U264</f>
        <v>5.5626055354202748</v>
      </c>
      <c r="O308" s="5">
        <f>O307+Trades!W264</f>
        <v>5952.0115164342906</v>
      </c>
    </row>
    <row r="309" spans="12:15" x14ac:dyDescent="0.3">
      <c r="L309" s="4">
        <f>Trades!P145</f>
        <v>0</v>
      </c>
      <c r="M309" s="5">
        <f>M308+Trades!T145</f>
        <v>17783.709999999995</v>
      </c>
      <c r="N309" s="5">
        <f>N308+Trades!U145</f>
        <v>5.5626055354202748</v>
      </c>
      <c r="O309" s="5">
        <f>O308+Trades!W145</f>
        <v>5952.0115164342906</v>
      </c>
    </row>
    <row r="310" spans="12:15" x14ac:dyDescent="0.3">
      <c r="L310" s="4">
        <f>Trades!P187</f>
        <v>0</v>
      </c>
      <c r="M310" s="5">
        <f>M309+Trades!T187</f>
        <v>17783.709999999995</v>
      </c>
      <c r="N310" s="5">
        <f>N309+Trades!U187</f>
        <v>5.5626055354202748</v>
      </c>
      <c r="O310" s="5">
        <f>O309+Trades!W187</f>
        <v>5952.0115164342906</v>
      </c>
    </row>
    <row r="311" spans="12:15" x14ac:dyDescent="0.3">
      <c r="L311" s="4">
        <f>Trades!P175</f>
        <v>0</v>
      </c>
      <c r="M311" s="5">
        <f>M310+Trades!T175</f>
        <v>17783.709999999995</v>
      </c>
      <c r="N311" s="5">
        <f>N310+Trades!U175</f>
        <v>5.5626055354202748</v>
      </c>
      <c r="O311" s="5">
        <f>O310+Trades!W175</f>
        <v>5952.0115164342906</v>
      </c>
    </row>
    <row r="312" spans="12:15" x14ac:dyDescent="0.3">
      <c r="L312" s="4">
        <f>Trades!P265</f>
        <v>0</v>
      </c>
      <c r="M312" s="5">
        <f>M311+Trades!T265</f>
        <v>17783.709999999995</v>
      </c>
      <c r="N312" s="5">
        <f>N311+Trades!U265</f>
        <v>5.5626055354202748</v>
      </c>
      <c r="O312" s="5">
        <f>O311+Trades!W265</f>
        <v>5952.0115164342906</v>
      </c>
    </row>
    <row r="313" spans="12:15" x14ac:dyDescent="0.3">
      <c r="L313" s="4">
        <f>Trades!P234</f>
        <v>0</v>
      </c>
      <c r="M313" s="5">
        <f>M312+Trades!T234</f>
        <v>17783.709999999995</v>
      </c>
      <c r="N313" s="5">
        <f>N312+Trades!U234</f>
        <v>5.5626055354202748</v>
      </c>
      <c r="O313" s="5">
        <f>O312+Trades!W234</f>
        <v>5952.0115164342906</v>
      </c>
    </row>
    <row r="314" spans="12:15" x14ac:dyDescent="0.3">
      <c r="L314" s="4">
        <f>Trades!P305</f>
        <v>0</v>
      </c>
      <c r="M314" s="5">
        <f>M313+Trades!T305</f>
        <v>17783.709999999995</v>
      </c>
      <c r="N314" s="5">
        <f>N313+Trades!U305</f>
        <v>5.5626055354202748</v>
      </c>
      <c r="O314" s="5">
        <f>O313+Trades!W305</f>
        <v>5952.0115164342906</v>
      </c>
    </row>
    <row r="315" spans="12:15" x14ac:dyDescent="0.3">
      <c r="L315" s="4">
        <f>Trades!P306</f>
        <v>0</v>
      </c>
      <c r="M315" s="5">
        <f>M314+Trades!T306</f>
        <v>17783.709999999995</v>
      </c>
      <c r="N315" s="5">
        <f>N314+Trades!U306</f>
        <v>5.5626055354202748</v>
      </c>
      <c r="O315" s="5">
        <f>O314+Trades!W306</f>
        <v>5952.0115164342906</v>
      </c>
    </row>
    <row r="316" spans="12:15" x14ac:dyDescent="0.3">
      <c r="L316" s="4">
        <f>Trades!P157</f>
        <v>0</v>
      </c>
      <c r="M316" s="5">
        <f>M315+Trades!T157</f>
        <v>17783.709999999995</v>
      </c>
      <c r="N316" s="5">
        <f>N315+Trades!U157</f>
        <v>5.5626055354202748</v>
      </c>
      <c r="O316" s="5">
        <f>O315+Trades!W157</f>
        <v>5952.0115164342906</v>
      </c>
    </row>
    <row r="317" spans="12:15" x14ac:dyDescent="0.3">
      <c r="L317" s="4">
        <f>Trades!P210</f>
        <v>0</v>
      </c>
      <c r="M317" s="5">
        <f>M316+Trades!T210</f>
        <v>17783.709999999995</v>
      </c>
      <c r="N317" s="5">
        <f>N316+Trades!U210</f>
        <v>5.5626055354202748</v>
      </c>
      <c r="O317" s="5">
        <f>O316+Trades!W210</f>
        <v>5952.0115164342906</v>
      </c>
    </row>
    <row r="318" spans="12:15" x14ac:dyDescent="0.3">
      <c r="L318" s="4">
        <f>Trades!P315</f>
        <v>0</v>
      </c>
      <c r="M318" s="5">
        <f>M317+Trades!T315</f>
        <v>17783.709999999995</v>
      </c>
      <c r="N318" s="5">
        <f>N317+Trades!U315</f>
        <v>5.5626055354202748</v>
      </c>
      <c r="O318" s="5">
        <f>O317+Trades!W315</f>
        <v>5952.0115164342906</v>
      </c>
    </row>
    <row r="319" spans="12:15" x14ac:dyDescent="0.3">
      <c r="L319" s="4">
        <f>Trades!P266</f>
        <v>0</v>
      </c>
      <c r="M319" s="5">
        <f>M318+Trades!T266</f>
        <v>17783.709999999995</v>
      </c>
      <c r="N319" s="5">
        <f>N318+Trades!U266</f>
        <v>5.5626055354202748</v>
      </c>
      <c r="O319" s="5">
        <f>O318+Trades!W266</f>
        <v>5952.0115164342906</v>
      </c>
    </row>
    <row r="320" spans="12:15" x14ac:dyDescent="0.3">
      <c r="L320" s="4">
        <f>Trades!P279</f>
        <v>0</v>
      </c>
      <c r="M320" s="5">
        <f>M319+Trades!T279</f>
        <v>17783.709999999995</v>
      </c>
      <c r="N320" s="5">
        <f>N319+Trades!U279</f>
        <v>5.5626055354202748</v>
      </c>
      <c r="O320" s="5">
        <f>O319+Trades!W279</f>
        <v>5952.0115164342906</v>
      </c>
    </row>
    <row r="321" spans="12:15" x14ac:dyDescent="0.3">
      <c r="L321" s="4">
        <f>Trades!P146</f>
        <v>0</v>
      </c>
      <c r="M321" s="5">
        <f>M320+Trades!T146</f>
        <v>17783.709999999995</v>
      </c>
      <c r="N321" s="5">
        <f>N320+Trades!U146</f>
        <v>5.5626055354202748</v>
      </c>
      <c r="O321" s="5">
        <f>O320+Trades!W146</f>
        <v>5952.0115164342906</v>
      </c>
    </row>
    <row r="322" spans="12:15" x14ac:dyDescent="0.3">
      <c r="L322" s="4">
        <f>Trades!P199</f>
        <v>0</v>
      </c>
      <c r="M322" s="5">
        <f>M321+Trades!T199</f>
        <v>17783.709999999995</v>
      </c>
      <c r="N322" s="5">
        <f>N321+Trades!U199</f>
        <v>5.5626055354202748</v>
      </c>
      <c r="O322" s="5">
        <f>O321+Trades!W199</f>
        <v>5952.0115164342906</v>
      </c>
    </row>
    <row r="323" spans="12:15" x14ac:dyDescent="0.3">
      <c r="L323" s="4">
        <f>Trades!P224</f>
        <v>0</v>
      </c>
      <c r="M323" s="5">
        <f>M322+Trades!T224</f>
        <v>17783.709999999995</v>
      </c>
      <c r="N323" s="5">
        <f>N322+Trades!U224</f>
        <v>5.5626055354202748</v>
      </c>
      <c r="O323" s="5">
        <f>O322+Trades!W224</f>
        <v>5952.0115164342906</v>
      </c>
    </row>
    <row r="324" spans="12:15" x14ac:dyDescent="0.3">
      <c r="L324" s="4">
        <f>Trades!P290</f>
        <v>0</v>
      </c>
      <c r="M324" s="5">
        <f>M323+Trades!T290</f>
        <v>17783.709999999995</v>
      </c>
      <c r="N324" s="5">
        <f>N323+Trades!U290</f>
        <v>5.5626055354202748</v>
      </c>
      <c r="O324" s="5">
        <f>O323+Trades!W290</f>
        <v>5952.0115164342906</v>
      </c>
    </row>
    <row r="325" spans="12:15" x14ac:dyDescent="0.3">
      <c r="L325" s="4">
        <f>Trades!P164</f>
        <v>0</v>
      </c>
      <c r="M325" s="5">
        <f>M324+Trades!T164</f>
        <v>17783.709999999995</v>
      </c>
      <c r="N325" s="5">
        <f>N324+Trades!U164</f>
        <v>5.5626055354202748</v>
      </c>
      <c r="O325" s="5">
        <f>O324+Trades!W164</f>
        <v>5952.0115164342906</v>
      </c>
    </row>
    <row r="326" spans="12:15" x14ac:dyDescent="0.3">
      <c r="L326" s="4">
        <f>Trades!P188</f>
        <v>0</v>
      </c>
      <c r="M326" s="5">
        <f>M325+Trades!T188</f>
        <v>17783.709999999995</v>
      </c>
      <c r="N326" s="5">
        <f>N325+Trades!U188</f>
        <v>5.5626055354202748</v>
      </c>
      <c r="O326" s="5">
        <f>O325+Trades!W188</f>
        <v>5952.0115164342906</v>
      </c>
    </row>
    <row r="327" spans="12:15" x14ac:dyDescent="0.3">
      <c r="L327" s="4">
        <f>Trades!P348</f>
        <v>0</v>
      </c>
      <c r="M327" s="5">
        <f>M326+Trades!T348</f>
        <v>17783.709999999995</v>
      </c>
      <c r="N327" s="5">
        <f>N326+Trades!U348</f>
        <v>5.5626055354202748</v>
      </c>
      <c r="O327" s="5">
        <f>O326+Trades!W348</f>
        <v>5952.0115164342906</v>
      </c>
    </row>
    <row r="328" spans="12:15" x14ac:dyDescent="0.3">
      <c r="L328" s="4">
        <f>Trades!P235</f>
        <v>0</v>
      </c>
      <c r="M328" s="5">
        <f>M327+Trades!T235</f>
        <v>17783.709999999995</v>
      </c>
      <c r="N328" s="5">
        <f>N327+Trades!U235</f>
        <v>5.5626055354202748</v>
      </c>
      <c r="O328" s="5">
        <f>O327+Trades!W235</f>
        <v>5952.0115164342906</v>
      </c>
    </row>
    <row r="329" spans="12:15" x14ac:dyDescent="0.3">
      <c r="L329" s="4">
        <f>Trades!P326</f>
        <v>0</v>
      </c>
      <c r="M329" s="5">
        <f>M328+Trades!T326</f>
        <v>17783.709999999995</v>
      </c>
      <c r="N329" s="5">
        <f>N328+Trades!U326</f>
        <v>5.5626055354202748</v>
      </c>
      <c r="O329" s="5">
        <f>O328+Trades!W326</f>
        <v>5952.0115164342906</v>
      </c>
    </row>
    <row r="330" spans="12:15" x14ac:dyDescent="0.3">
      <c r="L330" s="4">
        <f>Trades!P189</f>
        <v>0</v>
      </c>
      <c r="M330" s="5">
        <f>M329+Trades!T189</f>
        <v>17783.709999999995</v>
      </c>
      <c r="N330" s="5">
        <f>N329+Trades!U189</f>
        <v>5.5626055354202748</v>
      </c>
      <c r="O330" s="5">
        <f>O329+Trades!W189</f>
        <v>5952.0115164342906</v>
      </c>
    </row>
    <row r="331" spans="12:15" x14ac:dyDescent="0.3">
      <c r="L331" s="4" t="str">
        <f>Trades!P124</f>
        <v>signal</v>
      </c>
      <c r="M331" s="5">
        <f>M330+Trades!T124</f>
        <v>17844.454999999994</v>
      </c>
      <c r="N331" s="5">
        <f>N330+Trades!U124</f>
        <v>5.8713080694761226</v>
      </c>
      <c r="O331" s="5">
        <f>O330+Trades!W124</f>
        <v>6036.1935072209162</v>
      </c>
    </row>
    <row r="332" spans="12:15" x14ac:dyDescent="0.3">
      <c r="L332" s="4">
        <f>Trades!P316</f>
        <v>0</v>
      </c>
      <c r="M332" s="5">
        <f>M331+Trades!T316</f>
        <v>17844.454999999994</v>
      </c>
      <c r="N332" s="5">
        <f>N331+Trades!U316</f>
        <v>5.8713080694761226</v>
      </c>
      <c r="O332" s="5">
        <f>O331+Trades!W316</f>
        <v>6036.1935072209162</v>
      </c>
    </row>
    <row r="333" spans="12:15" x14ac:dyDescent="0.3">
      <c r="L333" s="4">
        <f>Trades!P336</f>
        <v>0</v>
      </c>
      <c r="M333" s="5">
        <f>M332+Trades!T336</f>
        <v>17844.454999999994</v>
      </c>
      <c r="N333" s="5">
        <f>N332+Trades!U336</f>
        <v>5.8713080694761226</v>
      </c>
      <c r="O333" s="5">
        <f>O332+Trades!W336</f>
        <v>6036.1935072209162</v>
      </c>
    </row>
    <row r="334" spans="12:15" x14ac:dyDescent="0.3">
      <c r="L334" s="4">
        <f>Trades!P349</f>
        <v>0</v>
      </c>
      <c r="M334" s="5">
        <f>M333+Trades!T349</f>
        <v>17844.454999999994</v>
      </c>
      <c r="N334" s="5">
        <f>N333+Trades!U349</f>
        <v>5.8713080694761226</v>
      </c>
      <c r="O334" s="5">
        <f>O333+Trades!W349</f>
        <v>6036.1935072209162</v>
      </c>
    </row>
    <row r="335" spans="12:15" x14ac:dyDescent="0.3">
      <c r="L335" s="4">
        <f>Trades!P158</f>
        <v>0</v>
      </c>
      <c r="M335" s="5">
        <f>M334+Trades!T158</f>
        <v>17844.454999999994</v>
      </c>
      <c r="N335" s="5">
        <f>N334+Trades!U158</f>
        <v>5.8713080694761226</v>
      </c>
      <c r="O335" s="5">
        <f>O334+Trades!W158</f>
        <v>6036.1935072209162</v>
      </c>
    </row>
    <row r="336" spans="12:15" x14ac:dyDescent="0.3">
      <c r="L336" s="4">
        <f>Trades!P280</f>
        <v>0</v>
      </c>
      <c r="M336" s="5">
        <f>M335+Trades!T280</f>
        <v>17844.454999999994</v>
      </c>
      <c r="N336" s="5">
        <f>N335+Trades!U280</f>
        <v>5.8713080694761226</v>
      </c>
      <c r="O336" s="5">
        <f>O335+Trades!W280</f>
        <v>6036.1935072209162</v>
      </c>
    </row>
    <row r="337" spans="12:15" x14ac:dyDescent="0.3">
      <c r="L337" s="4">
        <f>Trades!P211</f>
        <v>0</v>
      </c>
      <c r="M337" s="5">
        <f>M336+Trades!T211</f>
        <v>17844.454999999994</v>
      </c>
      <c r="N337" s="5">
        <f>N336+Trades!U211</f>
        <v>5.8713080694761226</v>
      </c>
      <c r="O337" s="5">
        <f>O336+Trades!W211</f>
        <v>6036.1935072209162</v>
      </c>
    </row>
    <row r="338" spans="12:15" x14ac:dyDescent="0.3">
      <c r="L338" s="4">
        <f>Trades!P307</f>
        <v>0</v>
      </c>
      <c r="M338" s="5">
        <f>M337+Trades!T307</f>
        <v>17844.454999999994</v>
      </c>
      <c r="N338" s="5">
        <f>N337+Trades!U307</f>
        <v>5.8713080694761226</v>
      </c>
      <c r="O338" s="5">
        <f>O337+Trades!W307</f>
        <v>6036.1935072209162</v>
      </c>
    </row>
    <row r="339" spans="12:15" x14ac:dyDescent="0.3">
      <c r="L339" s="4">
        <f>Trades!P190</f>
        <v>0</v>
      </c>
      <c r="M339" s="5">
        <f>M338+Trades!T190</f>
        <v>17844.454999999994</v>
      </c>
      <c r="N339" s="5">
        <f>N338+Trades!U190</f>
        <v>5.8713080694761226</v>
      </c>
      <c r="O339" s="5">
        <f>O338+Trades!W190</f>
        <v>6036.1935072209162</v>
      </c>
    </row>
    <row r="340" spans="12:15" x14ac:dyDescent="0.3">
      <c r="L340" s="4" t="str">
        <f>Trades!P125</f>
        <v>signal</v>
      </c>
      <c r="M340" s="5">
        <f>M339+Trades!T125</f>
        <v>17904.819999999996</v>
      </c>
      <c r="N340" s="5">
        <f>N339+Trades!U125</f>
        <v>5.7244737531544461</v>
      </c>
      <c r="O340" s="5">
        <f>O339+Trades!W125</f>
        <v>6622.2355933590607</v>
      </c>
    </row>
    <row r="341" spans="12:15" x14ac:dyDescent="0.3">
      <c r="L341" s="4">
        <f>Trades!P267</f>
        <v>0</v>
      </c>
      <c r="M341" s="5">
        <f>M340+Trades!T267</f>
        <v>17904.819999999996</v>
      </c>
      <c r="N341" s="5">
        <f>N340+Trades!U267</f>
        <v>5.7244737531544461</v>
      </c>
      <c r="O341" s="5">
        <f>O340+Trades!W267</f>
        <v>6622.2355933590607</v>
      </c>
    </row>
    <row r="342" spans="12:15" x14ac:dyDescent="0.3">
      <c r="L342" s="4">
        <f>Trades!P225</f>
        <v>0</v>
      </c>
      <c r="M342" s="5">
        <f>M341+Trades!T225</f>
        <v>17904.819999999996</v>
      </c>
      <c r="N342" s="5">
        <f>N341+Trades!U225</f>
        <v>5.7244737531544461</v>
      </c>
      <c r="O342" s="5">
        <f>O341+Trades!W225</f>
        <v>6622.2355933590607</v>
      </c>
    </row>
    <row r="343" spans="12:15" x14ac:dyDescent="0.3">
      <c r="L343" s="4">
        <f>Trades!P236</f>
        <v>0</v>
      </c>
      <c r="M343" s="5">
        <f>M342+Trades!T236</f>
        <v>17904.819999999996</v>
      </c>
      <c r="N343" s="5">
        <f>N342+Trades!U236</f>
        <v>5.7244737531544461</v>
      </c>
      <c r="O343" s="5">
        <f>O342+Trades!W236</f>
        <v>6622.2355933590607</v>
      </c>
    </row>
    <row r="344" spans="12:15" x14ac:dyDescent="0.3">
      <c r="L344" s="4">
        <f>Trades!P136</f>
        <v>0</v>
      </c>
      <c r="M344" s="5">
        <f>M343+Trades!T136</f>
        <v>17904.819999999996</v>
      </c>
      <c r="N344" s="5">
        <f>N343+Trades!U136</f>
        <v>5.7244737531544461</v>
      </c>
      <c r="O344" s="5">
        <f>O343+Trades!W136</f>
        <v>6622.2355933590607</v>
      </c>
    </row>
    <row r="345" spans="12:15" x14ac:dyDescent="0.3">
      <c r="L345" s="4">
        <f>Trades!P176</f>
        <v>0</v>
      </c>
      <c r="M345" s="5">
        <f>M344+Trades!T176</f>
        <v>17904.819999999996</v>
      </c>
      <c r="N345" s="5">
        <f>N344+Trades!U176</f>
        <v>5.7244737531544461</v>
      </c>
      <c r="O345" s="5">
        <f>O344+Trades!W176</f>
        <v>6622.2355933590607</v>
      </c>
    </row>
    <row r="346" spans="12:15" x14ac:dyDescent="0.3">
      <c r="L346" s="4">
        <f>Trades!P247</f>
        <v>0</v>
      </c>
      <c r="M346" s="5">
        <f>M345+Trades!T247</f>
        <v>17904.819999999996</v>
      </c>
      <c r="N346" s="5">
        <f>N345+Trades!U247</f>
        <v>5.7244737531544461</v>
      </c>
      <c r="O346" s="5">
        <f>O345+Trades!W247</f>
        <v>6622.2355933590607</v>
      </c>
    </row>
    <row r="347" spans="12:15" x14ac:dyDescent="0.3">
      <c r="L347" s="4">
        <f>Trades!P317</f>
        <v>0</v>
      </c>
      <c r="M347" s="5">
        <f>M346+Trades!T317</f>
        <v>17904.819999999996</v>
      </c>
      <c r="N347" s="5">
        <f>N346+Trades!U317</f>
        <v>5.7244737531544461</v>
      </c>
      <c r="O347" s="5">
        <f>O346+Trades!W317</f>
        <v>6622.2355933590607</v>
      </c>
    </row>
    <row r="348" spans="12:15" x14ac:dyDescent="0.3">
      <c r="L348" s="4">
        <f>Trades!P147</f>
        <v>0</v>
      </c>
      <c r="M348" s="5">
        <f>M347+Trades!T147</f>
        <v>17904.819999999996</v>
      </c>
      <c r="N348" s="5">
        <f>N347+Trades!U147</f>
        <v>5.7244737531544461</v>
      </c>
      <c r="O348" s="5">
        <f>O347+Trades!W147</f>
        <v>6622.2355933590607</v>
      </c>
    </row>
    <row r="349" spans="12:15" x14ac:dyDescent="0.3">
      <c r="L349" s="4">
        <f>Trades!P165</f>
        <v>0</v>
      </c>
      <c r="M349" s="5">
        <f>M348+Trades!T165</f>
        <v>17904.819999999996</v>
      </c>
      <c r="N349" s="5">
        <f>N348+Trades!U165</f>
        <v>5.7244737531544461</v>
      </c>
      <c r="O349" s="5">
        <f>O348+Trades!W165</f>
        <v>6622.2355933590607</v>
      </c>
    </row>
    <row r="350" spans="12:15" x14ac:dyDescent="0.3">
      <c r="L350" s="4">
        <f>Trades!P350</f>
        <v>0</v>
      </c>
      <c r="M350" s="5">
        <f>M349+Trades!T350</f>
        <v>17904.819999999996</v>
      </c>
      <c r="N350" s="5">
        <f>N349+Trades!U350</f>
        <v>5.7244737531544461</v>
      </c>
      <c r="O350" s="5">
        <f>O349+Trades!W350</f>
        <v>6622.2355933590607</v>
      </c>
    </row>
    <row r="351" spans="12:15" x14ac:dyDescent="0.3">
      <c r="L351" s="4">
        <f>Trades!P361</f>
        <v>0</v>
      </c>
      <c r="M351" s="5">
        <f>M350+Trades!T361</f>
        <v>17904.819999999996</v>
      </c>
      <c r="N351" s="5">
        <f>N350+Trades!U361</f>
        <v>5.7244737531544461</v>
      </c>
      <c r="O351" s="5">
        <f>O350+Trades!W361</f>
        <v>6622.2355933590607</v>
      </c>
    </row>
    <row r="352" spans="12:15" x14ac:dyDescent="0.3">
      <c r="L352" s="4">
        <f>Trades!P374</f>
        <v>0</v>
      </c>
      <c r="M352" s="5">
        <f>M351+Trades!T374</f>
        <v>17904.819999999996</v>
      </c>
      <c r="N352" s="5">
        <f>N351+Trades!U374</f>
        <v>5.7244737531544461</v>
      </c>
      <c r="O352" s="5">
        <f>O351+Trades!W374</f>
        <v>6622.2355933590607</v>
      </c>
    </row>
    <row r="353" spans="12:15" x14ac:dyDescent="0.3">
      <c r="L353" s="4">
        <f>Trades!P362</f>
        <v>0</v>
      </c>
      <c r="M353" s="5">
        <f>M352+Trades!T362</f>
        <v>17904.819999999996</v>
      </c>
      <c r="N353" s="5">
        <f>N352+Trades!U362</f>
        <v>5.7244737531544461</v>
      </c>
      <c r="O353" s="5">
        <f>O352+Trades!W362</f>
        <v>6622.2355933590607</v>
      </c>
    </row>
    <row r="354" spans="12:15" x14ac:dyDescent="0.3">
      <c r="L354" s="4">
        <f>Trades!P351</f>
        <v>0</v>
      </c>
      <c r="M354" s="5">
        <f>M353+Trades!T351</f>
        <v>17904.819999999996</v>
      </c>
      <c r="N354" s="5">
        <f>N353+Trades!U351</f>
        <v>5.7244737531544461</v>
      </c>
      <c r="O354" s="5">
        <f>O353+Trades!W351</f>
        <v>6622.2355933590607</v>
      </c>
    </row>
    <row r="355" spans="12:15" x14ac:dyDescent="0.3">
      <c r="L355" s="4">
        <f>Trades!P363</f>
        <v>0</v>
      </c>
      <c r="M355" s="5">
        <f>M354+Trades!T363</f>
        <v>17904.819999999996</v>
      </c>
      <c r="N355" s="5">
        <f>N354+Trades!U363</f>
        <v>5.7244737531544461</v>
      </c>
      <c r="O355" s="5">
        <f>O354+Trades!W363</f>
        <v>6622.2355933590607</v>
      </c>
    </row>
    <row r="356" spans="12:15" x14ac:dyDescent="0.3">
      <c r="L356" s="4">
        <f>Trades!P352</f>
        <v>0</v>
      </c>
      <c r="M356" s="5">
        <f>M355+Trades!T352</f>
        <v>17904.819999999996</v>
      </c>
      <c r="N356" s="5">
        <f>N355+Trades!U352</f>
        <v>5.7244737531544461</v>
      </c>
      <c r="O356" s="5">
        <f>O355+Trades!W352</f>
        <v>6622.2355933590607</v>
      </c>
    </row>
    <row r="357" spans="12:15" x14ac:dyDescent="0.3">
      <c r="L357" s="4">
        <f>Trades!P364</f>
        <v>0</v>
      </c>
      <c r="M357" s="5">
        <f>M356+Trades!T364</f>
        <v>17904.819999999996</v>
      </c>
      <c r="N357" s="5">
        <f>N356+Trades!U364</f>
        <v>5.7244737531544461</v>
      </c>
      <c r="O357" s="5">
        <f>O356+Trades!W364</f>
        <v>6622.2355933590607</v>
      </c>
    </row>
    <row r="358" spans="12:15" x14ac:dyDescent="0.3">
      <c r="L358" s="4">
        <f>Trades!P353</f>
        <v>0</v>
      </c>
      <c r="M358" s="5">
        <f>M357+Trades!T353</f>
        <v>17904.819999999996</v>
      </c>
      <c r="N358" s="5">
        <f>N357+Trades!U353</f>
        <v>5.7244737531544461</v>
      </c>
      <c r="O358" s="5">
        <f>O357+Trades!W353</f>
        <v>6622.2355933590607</v>
      </c>
    </row>
    <row r="359" spans="12:15" x14ac:dyDescent="0.3">
      <c r="L359" s="4">
        <f>Trades!P365</f>
        <v>0</v>
      </c>
      <c r="M359" s="5">
        <f>M358+Trades!T365</f>
        <v>17904.819999999996</v>
      </c>
      <c r="N359" s="5">
        <f>N358+Trades!U365</f>
        <v>5.7244737531544461</v>
      </c>
      <c r="O359" s="5">
        <f>O358+Trades!W365</f>
        <v>6622.2355933590607</v>
      </c>
    </row>
    <row r="360" spans="12:15" x14ac:dyDescent="0.3">
      <c r="L360" s="4">
        <f>Trades!P366</f>
        <v>0</v>
      </c>
      <c r="M360" s="5">
        <f>M359+Trades!T366</f>
        <v>17904.819999999996</v>
      </c>
      <c r="N360" s="5">
        <f>N359+Trades!U366</f>
        <v>5.7244737531544461</v>
      </c>
      <c r="O360" s="5">
        <f>O359+Trades!W366</f>
        <v>6622.2355933590607</v>
      </c>
    </row>
    <row r="361" spans="12:15" x14ac:dyDescent="0.3">
      <c r="L361" s="4">
        <f>Trades!P375</f>
        <v>0</v>
      </c>
      <c r="M361" s="5">
        <f>M360+Trades!T375</f>
        <v>17904.819999999996</v>
      </c>
      <c r="N361" s="5">
        <f>N360+Trades!U375</f>
        <v>5.7244737531544461</v>
      </c>
      <c r="O361" s="5">
        <f>O360+Trades!W375</f>
        <v>6622.2355933590607</v>
      </c>
    </row>
    <row r="362" spans="12:15" x14ac:dyDescent="0.3">
      <c r="L362" s="4">
        <f>Trades!P354</f>
        <v>0</v>
      </c>
      <c r="M362" s="5">
        <f>M361+Trades!T354</f>
        <v>17904.819999999996</v>
      </c>
      <c r="N362" s="5">
        <f>N361+Trades!U354</f>
        <v>5.7244737531544461</v>
      </c>
      <c r="O362" s="5">
        <f>O361+Trades!W354</f>
        <v>6622.2355933590607</v>
      </c>
    </row>
    <row r="363" spans="12:15" x14ac:dyDescent="0.3">
      <c r="L363" s="4">
        <f>Trades!P367</f>
        <v>0</v>
      </c>
      <c r="M363" s="5">
        <f>M362+Trades!T367</f>
        <v>17904.819999999996</v>
      </c>
      <c r="N363" s="5">
        <f>N362+Trades!U367</f>
        <v>5.7244737531544461</v>
      </c>
      <c r="O363" s="5">
        <f>O362+Trades!W367</f>
        <v>6622.2355933590607</v>
      </c>
    </row>
    <row r="364" spans="12:15" x14ac:dyDescent="0.3">
      <c r="L364" s="4">
        <f>Trades!P368</f>
        <v>0</v>
      </c>
      <c r="M364" s="5">
        <f>M363+Trades!T368</f>
        <v>17904.819999999996</v>
      </c>
      <c r="N364" s="5">
        <f>N363+Trades!U368</f>
        <v>5.7244737531544461</v>
      </c>
      <c r="O364" s="5">
        <f>O363+Trades!W368</f>
        <v>6622.2355933590607</v>
      </c>
    </row>
    <row r="365" spans="12:15" x14ac:dyDescent="0.3">
      <c r="L365" s="4">
        <f>Trades!P355</f>
        <v>0</v>
      </c>
      <c r="M365" s="5">
        <f>M364+Trades!T355</f>
        <v>17904.819999999996</v>
      </c>
      <c r="N365" s="5">
        <f>N364+Trades!U355</f>
        <v>5.7244737531544461</v>
      </c>
      <c r="O365" s="5">
        <f>O364+Trades!W355</f>
        <v>6622.2355933590607</v>
      </c>
    </row>
    <row r="366" spans="12:15" x14ac:dyDescent="0.3">
      <c r="L366" s="4">
        <f>Trades!P376</f>
        <v>0</v>
      </c>
      <c r="M366" s="5">
        <f>M365+Trades!T376</f>
        <v>17904.819999999996</v>
      </c>
      <c r="N366" s="5">
        <f>N365+Trades!U376</f>
        <v>5.7244737531544461</v>
      </c>
      <c r="O366" s="5">
        <f>O365+Trades!W376</f>
        <v>6622.2355933590607</v>
      </c>
    </row>
    <row r="367" spans="12:15" x14ac:dyDescent="0.3">
      <c r="L367" s="4">
        <f>Trades!P369</f>
        <v>0</v>
      </c>
      <c r="M367" s="5">
        <f>M366+Trades!T369</f>
        <v>17904.819999999996</v>
      </c>
      <c r="N367" s="5">
        <f>N366+Trades!U369</f>
        <v>5.7244737531544461</v>
      </c>
      <c r="O367" s="5">
        <f>O366+Trades!W369</f>
        <v>6622.2355933590607</v>
      </c>
    </row>
    <row r="368" spans="12:15" x14ac:dyDescent="0.3">
      <c r="L368" s="4">
        <f>Trades!P356</f>
        <v>0</v>
      </c>
      <c r="M368" s="5">
        <f>M367+Trades!T356</f>
        <v>17904.819999999996</v>
      </c>
      <c r="N368" s="5">
        <f>N367+Trades!U356</f>
        <v>5.7244737531544461</v>
      </c>
      <c r="O368" s="5">
        <f>O367+Trades!W356</f>
        <v>6622.2355933590607</v>
      </c>
    </row>
    <row r="369" spans="12:15" x14ac:dyDescent="0.3">
      <c r="L369" s="4">
        <f>Trades!P377</f>
        <v>0</v>
      </c>
      <c r="M369" s="5">
        <f>M368+Trades!T377</f>
        <v>17904.819999999996</v>
      </c>
      <c r="N369" s="5">
        <f>N368+Trades!U377</f>
        <v>5.7244737531544461</v>
      </c>
      <c r="O369" s="5">
        <f>O368+Trades!W377</f>
        <v>6622.2355933590607</v>
      </c>
    </row>
    <row r="370" spans="12:15" x14ac:dyDescent="0.3">
      <c r="L370" s="4">
        <f>Trades!P370</f>
        <v>0</v>
      </c>
      <c r="M370" s="5">
        <f>M369+Trades!T370</f>
        <v>17904.819999999996</v>
      </c>
      <c r="N370" s="5">
        <f>N369+Trades!U370</f>
        <v>5.7244737531544461</v>
      </c>
      <c r="O370" s="5">
        <f>O369+Trades!W370</f>
        <v>6622.2355933590607</v>
      </c>
    </row>
    <row r="371" spans="12:15" x14ac:dyDescent="0.3">
      <c r="L371" s="4">
        <f>Trades!P357</f>
        <v>0</v>
      </c>
      <c r="M371" s="5">
        <f>M370+Trades!T357</f>
        <v>17904.819999999996</v>
      </c>
      <c r="N371" s="5">
        <f>N370+Trades!U357</f>
        <v>5.7244737531544461</v>
      </c>
      <c r="O371" s="5">
        <f>O370+Trades!W357</f>
        <v>6622.2355933590607</v>
      </c>
    </row>
    <row r="372" spans="12:15" x14ac:dyDescent="0.3">
      <c r="L372" s="4">
        <f>Trades!P358</f>
        <v>0</v>
      </c>
      <c r="M372" s="5">
        <f>M371+Trades!T358</f>
        <v>17904.819999999996</v>
      </c>
      <c r="N372" s="5">
        <f>N371+Trades!U358</f>
        <v>5.7244737531544461</v>
      </c>
      <c r="O372" s="5">
        <f>O371+Trades!W358</f>
        <v>6622.2355933590607</v>
      </c>
    </row>
    <row r="373" spans="12:15" x14ac:dyDescent="0.3">
      <c r="L373" s="4">
        <f>Trades!P378</f>
        <v>0</v>
      </c>
      <c r="M373" s="5">
        <f>M372+Trades!T378</f>
        <v>17904.819999999996</v>
      </c>
      <c r="N373" s="5">
        <f>N372+Trades!U378</f>
        <v>5.7244737531544461</v>
      </c>
      <c r="O373" s="5">
        <f>O372+Trades!W378</f>
        <v>6622.2355933590607</v>
      </c>
    </row>
    <row r="374" spans="12:15" x14ac:dyDescent="0.3">
      <c r="L374" s="4">
        <f>Trades!P371</f>
        <v>0</v>
      </c>
      <c r="M374" s="5">
        <f>M373+Trades!T371</f>
        <v>17904.819999999996</v>
      </c>
      <c r="N374" s="5">
        <f>N373+Trades!U371</f>
        <v>5.7244737531544461</v>
      </c>
      <c r="O374" s="5">
        <f>O373+Trades!W371</f>
        <v>6622.2355933590607</v>
      </c>
    </row>
    <row r="375" spans="12:15" x14ac:dyDescent="0.3">
      <c r="L375" s="4">
        <f>Trades!P372</f>
        <v>0</v>
      </c>
      <c r="M375" s="5">
        <f>M374+Trades!T372</f>
        <v>17904.819999999996</v>
      </c>
      <c r="N375" s="5">
        <f>N374+Trades!U372</f>
        <v>5.7244737531544461</v>
      </c>
      <c r="O375" s="5">
        <f>O374+Trades!W372</f>
        <v>6622.2355933590607</v>
      </c>
    </row>
    <row r="376" spans="12:15" x14ac:dyDescent="0.3">
      <c r="L376" s="4">
        <f>Trades!P359</f>
        <v>0</v>
      </c>
      <c r="M376" s="5">
        <f>M375+Trades!T359</f>
        <v>17904.819999999996</v>
      </c>
      <c r="N376" s="5">
        <f>N375+Trades!U359</f>
        <v>5.7244737531544461</v>
      </c>
      <c r="O376" s="5">
        <f>O375+Trades!W359</f>
        <v>6622.2355933590607</v>
      </c>
    </row>
    <row r="377" spans="12:15" x14ac:dyDescent="0.3">
      <c r="L377" s="4">
        <f>Trades!P373</f>
        <v>0</v>
      </c>
      <c r="M377" s="5">
        <f>M376+Trades!T373</f>
        <v>17904.819999999996</v>
      </c>
      <c r="N377" s="5">
        <f>N376+Trades!U373</f>
        <v>5.7244737531544461</v>
      </c>
      <c r="O377" s="5">
        <f>O376+Trades!W373</f>
        <v>6622.2355933590607</v>
      </c>
    </row>
    <row r="378" spans="12:15" x14ac:dyDescent="0.3">
      <c r="L378" s="4">
        <f>Trades!P360</f>
        <v>0</v>
      </c>
      <c r="M378" s="5">
        <f>M377+Trades!T360</f>
        <v>17904.819999999996</v>
      </c>
      <c r="N378" s="5">
        <f>N377+Trades!U360</f>
        <v>5.7244737531544461</v>
      </c>
      <c r="O378" s="5">
        <f>O377+Trades!W360</f>
        <v>6622.2355933590607</v>
      </c>
    </row>
    <row r="379" spans="12:15" x14ac:dyDescent="0.3">
      <c r="L379" s="4">
        <f>Trades!P379</f>
        <v>0</v>
      </c>
      <c r="M379" s="5">
        <f>M378+Trades!T379</f>
        <v>17904.819999999996</v>
      </c>
      <c r="N379" s="5">
        <f>N378+Trades!U379</f>
        <v>5.7244737531544461</v>
      </c>
      <c r="O379" s="5">
        <f>O378+Trades!W379</f>
        <v>6622.2355933590607</v>
      </c>
    </row>
    <row r="380" spans="12:15" x14ac:dyDescent="0.3">
      <c r="L380" s="4">
        <f>Trades!P380</f>
        <v>0</v>
      </c>
      <c r="M380" s="5">
        <f>M379+Trades!T380</f>
        <v>17904.819999999996</v>
      </c>
      <c r="N380" s="5">
        <f>N379+Trades!U380</f>
        <v>5.7244737531544461</v>
      </c>
      <c r="O380" s="5">
        <f>O379+Trades!W380</f>
        <v>6622.2355933590607</v>
      </c>
    </row>
    <row r="381" spans="12:15" x14ac:dyDescent="0.3">
      <c r="L381" s="4">
        <f>Trades!P381</f>
        <v>0</v>
      </c>
      <c r="M381" s="5">
        <f>M380+Trades!T381</f>
        <v>17904.819999999996</v>
      </c>
      <c r="N381" s="5">
        <f>N380+Trades!U381</f>
        <v>5.7244737531544461</v>
      </c>
      <c r="O381" s="5">
        <f>O380+Trades!W381</f>
        <v>6622.2355933590607</v>
      </c>
    </row>
    <row r="382" spans="12:15" x14ac:dyDescent="0.3">
      <c r="L382" s="4">
        <f>Trades!P382</f>
        <v>0</v>
      </c>
      <c r="M382" s="5">
        <f>M381+Trades!T382</f>
        <v>17904.819999999996</v>
      </c>
      <c r="N382" s="5">
        <f>N381+Trades!U382</f>
        <v>5.7244737531544461</v>
      </c>
      <c r="O382" s="5">
        <f>O381+Trades!W382</f>
        <v>6622.2355933590607</v>
      </c>
    </row>
    <row r="383" spans="12:15" x14ac:dyDescent="0.3">
      <c r="L383" s="4">
        <f>Trades!P383</f>
        <v>0</v>
      </c>
      <c r="M383" s="5">
        <f>M382+Trades!T383</f>
        <v>17904.819999999996</v>
      </c>
      <c r="N383" s="5">
        <f>N382+Trades!U383</f>
        <v>5.7244737531544461</v>
      </c>
      <c r="O383" s="5">
        <f>O382+Trades!W383</f>
        <v>6622.2355933590607</v>
      </c>
    </row>
    <row r="384" spans="12:15" x14ac:dyDescent="0.3">
      <c r="L384" s="4">
        <f>Trades!P384</f>
        <v>0</v>
      </c>
      <c r="M384" s="5">
        <f>M383+Trades!T384</f>
        <v>17904.819999999996</v>
      </c>
      <c r="N384" s="5">
        <f>N383+Trades!U384</f>
        <v>5.7244737531544461</v>
      </c>
      <c r="O384" s="5">
        <f>O383+Trades!W384</f>
        <v>6622.2355933590607</v>
      </c>
    </row>
    <row r="385" spans="12:15" x14ac:dyDescent="0.3">
      <c r="L385" s="4">
        <f>Trades!P385</f>
        <v>0</v>
      </c>
      <c r="M385" s="5">
        <f>M384+Trades!T385</f>
        <v>17904.819999999996</v>
      </c>
      <c r="N385" s="5">
        <f>N384+Trades!U385</f>
        <v>5.7244737531544461</v>
      </c>
      <c r="O385" s="5">
        <f>O384+Trades!W385</f>
        <v>6622.2355933590607</v>
      </c>
    </row>
    <row r="386" spans="12:15" x14ac:dyDescent="0.3">
      <c r="L386" s="4">
        <f>Trades!P386</f>
        <v>0</v>
      </c>
      <c r="M386" s="5">
        <f>M385+Trades!T386</f>
        <v>17904.819999999996</v>
      </c>
      <c r="N386" s="5">
        <f>N385+Trades!U386</f>
        <v>5.7244737531544461</v>
      </c>
      <c r="O386" s="5">
        <f>O385+Trades!W386</f>
        <v>6622.2355933590607</v>
      </c>
    </row>
    <row r="387" spans="12:15" x14ac:dyDescent="0.3">
      <c r="L387" s="4">
        <f>Trades!P387</f>
        <v>0</v>
      </c>
      <c r="M387" s="5">
        <f>M386+Trades!T387</f>
        <v>17904.819999999996</v>
      </c>
      <c r="N387" s="5">
        <f>N386+Trades!U387</f>
        <v>5.7244737531544461</v>
      </c>
      <c r="O387" s="5">
        <f>O386+Trades!W387</f>
        <v>6622.2355933590607</v>
      </c>
    </row>
    <row r="388" spans="12:15" x14ac:dyDescent="0.3">
      <c r="L388" s="4">
        <f>Trades!P388</f>
        <v>0</v>
      </c>
      <c r="M388" s="5">
        <f>M387+Trades!T388</f>
        <v>17904.819999999996</v>
      </c>
      <c r="N388" s="5">
        <f>N387+Trades!U388</f>
        <v>5.7244737531544461</v>
      </c>
      <c r="O388" s="5">
        <f>O387+Trades!W388</f>
        <v>6622.2355933590607</v>
      </c>
    </row>
    <row r="389" spans="12:15" x14ac:dyDescent="0.3">
      <c r="L389" s="4">
        <f>Trades!P399</f>
        <v>0</v>
      </c>
      <c r="M389" s="5">
        <f>M388+Trades!T399</f>
        <v>17904.819999999996</v>
      </c>
      <c r="N389" s="5">
        <f>N388+Trades!U399</f>
        <v>5.7244737531544461</v>
      </c>
      <c r="O389" s="5">
        <f>O388+Trades!W399</f>
        <v>6622.2355933590607</v>
      </c>
    </row>
    <row r="390" spans="12:15" x14ac:dyDescent="0.3">
      <c r="L390" s="4">
        <f>Trades!P400</f>
        <v>0</v>
      </c>
      <c r="M390" s="5">
        <f>M389+Trades!T400</f>
        <v>17904.819999999996</v>
      </c>
      <c r="N390" s="5">
        <f>N389+Trades!U400</f>
        <v>5.7244737531544461</v>
      </c>
      <c r="O390" s="5">
        <f>O389+Trades!W400</f>
        <v>6622.2355933590607</v>
      </c>
    </row>
    <row r="391" spans="12:15" x14ac:dyDescent="0.3">
      <c r="L391" s="4">
        <f>Trades!P389</f>
        <v>0</v>
      </c>
      <c r="M391" s="5">
        <f>M390+Trades!T389</f>
        <v>17904.819999999996</v>
      </c>
      <c r="N391" s="5">
        <f>N390+Trades!U389</f>
        <v>5.7244737531544461</v>
      </c>
      <c r="O391" s="5">
        <f>O390+Trades!W389</f>
        <v>6622.2355933590607</v>
      </c>
    </row>
    <row r="392" spans="12:15" x14ac:dyDescent="0.3">
      <c r="L392" s="4">
        <f>Trades!P401</f>
        <v>0</v>
      </c>
      <c r="M392" s="5">
        <f>M391+Trades!T401</f>
        <v>17904.819999999996</v>
      </c>
      <c r="N392" s="5">
        <f>N391+Trades!U401</f>
        <v>5.7244737531544461</v>
      </c>
      <c r="O392" s="5">
        <f>O391+Trades!W401</f>
        <v>6622.2355933590607</v>
      </c>
    </row>
    <row r="393" spans="12:15" x14ac:dyDescent="0.3">
      <c r="L393" s="4">
        <f>Trades!P390</f>
        <v>0</v>
      </c>
      <c r="M393" s="5">
        <f>M392+Trades!T390</f>
        <v>17904.819999999996</v>
      </c>
      <c r="N393" s="5">
        <f>N392+Trades!U390</f>
        <v>5.7244737531544461</v>
      </c>
      <c r="O393" s="5">
        <f>O392+Trades!W390</f>
        <v>6622.2355933590607</v>
      </c>
    </row>
    <row r="394" spans="12:15" x14ac:dyDescent="0.3">
      <c r="L394" s="4">
        <f>Trades!P402</f>
        <v>0</v>
      </c>
      <c r="M394" s="5">
        <f>M393+Trades!T402</f>
        <v>17904.819999999996</v>
      </c>
      <c r="N394" s="5">
        <f>N393+Trades!U402</f>
        <v>5.7244737531544461</v>
      </c>
      <c r="O394" s="5">
        <f>O393+Trades!W402</f>
        <v>6622.2355933590607</v>
      </c>
    </row>
    <row r="395" spans="12:15" x14ac:dyDescent="0.3">
      <c r="L395" s="4">
        <f>Trades!P391</f>
        <v>0</v>
      </c>
      <c r="M395" s="5">
        <f>M394+Trades!T391</f>
        <v>17904.819999999996</v>
      </c>
      <c r="N395" s="5">
        <f>N394+Trades!U391</f>
        <v>5.7244737531544461</v>
      </c>
      <c r="O395" s="5">
        <f>O394+Trades!W391</f>
        <v>6622.2355933590607</v>
      </c>
    </row>
    <row r="396" spans="12:15" x14ac:dyDescent="0.3">
      <c r="L396" s="4">
        <f>Trades!P403</f>
        <v>0</v>
      </c>
      <c r="M396" s="5">
        <f>M395+Trades!T403</f>
        <v>17904.819999999996</v>
      </c>
      <c r="N396" s="5">
        <f>N395+Trades!U403</f>
        <v>5.7244737531544461</v>
      </c>
      <c r="O396" s="5">
        <f>O395+Trades!W403</f>
        <v>6622.2355933590607</v>
      </c>
    </row>
    <row r="397" spans="12:15" x14ac:dyDescent="0.3">
      <c r="L397" s="4">
        <f>Trades!P404</f>
        <v>0</v>
      </c>
      <c r="M397" s="5">
        <f>M396+Trades!T404</f>
        <v>17904.819999999996</v>
      </c>
      <c r="N397" s="5">
        <f>N396+Trades!U404</f>
        <v>5.7244737531544461</v>
      </c>
      <c r="O397" s="5">
        <f>O396+Trades!W404</f>
        <v>6622.2355933590607</v>
      </c>
    </row>
    <row r="398" spans="12:15" x14ac:dyDescent="0.3">
      <c r="L398" s="4">
        <f>Trades!P405</f>
        <v>0</v>
      </c>
      <c r="M398" s="5">
        <f>M397+Trades!T405</f>
        <v>17904.819999999996</v>
      </c>
      <c r="N398" s="5">
        <f>N397+Trades!U405</f>
        <v>5.7244737531544461</v>
      </c>
      <c r="O398" s="5">
        <f>O397+Trades!W405</f>
        <v>6622.2355933590607</v>
      </c>
    </row>
    <row r="399" spans="12:15" x14ac:dyDescent="0.3">
      <c r="L399" s="4">
        <f>Trades!P406</f>
        <v>0</v>
      </c>
      <c r="M399" s="5">
        <f>M398+Trades!T406</f>
        <v>17904.819999999996</v>
      </c>
      <c r="N399" s="5">
        <f>N398+Trades!U406</f>
        <v>5.7244737531544461</v>
      </c>
      <c r="O399" s="5">
        <f>O398+Trades!W406</f>
        <v>6622.2355933590607</v>
      </c>
    </row>
    <row r="400" spans="12:15" x14ac:dyDescent="0.3">
      <c r="L400" s="4">
        <f>Trades!P392</f>
        <v>0</v>
      </c>
      <c r="M400" s="5">
        <f>M399+Trades!T392</f>
        <v>17904.819999999996</v>
      </c>
      <c r="N400" s="5">
        <f>N399+Trades!U392</f>
        <v>5.7244737531544461</v>
      </c>
      <c r="O400" s="5">
        <f>O399+Trades!W392</f>
        <v>6622.2355933590607</v>
      </c>
    </row>
    <row r="401" spans="12:15" x14ac:dyDescent="0.3">
      <c r="L401" s="4">
        <f>Trades!P393</f>
        <v>0</v>
      </c>
      <c r="M401" s="5">
        <f>M400+Trades!T393</f>
        <v>17904.819999999996</v>
      </c>
      <c r="N401" s="5">
        <f>N400+Trades!U393</f>
        <v>5.7244737531544461</v>
      </c>
      <c r="O401" s="5">
        <f>O400+Trades!W393</f>
        <v>6622.2355933590607</v>
      </c>
    </row>
    <row r="402" spans="12:15" x14ac:dyDescent="0.3">
      <c r="L402" s="4">
        <f>Trades!P407</f>
        <v>0</v>
      </c>
      <c r="M402" s="5">
        <f>M401+Trades!T407</f>
        <v>17904.819999999996</v>
      </c>
      <c r="N402" s="5">
        <f>N401+Trades!U407</f>
        <v>5.7244737531544461</v>
      </c>
      <c r="O402" s="5">
        <f>O401+Trades!W407</f>
        <v>6622.2355933590607</v>
      </c>
    </row>
    <row r="403" spans="12:15" x14ac:dyDescent="0.3">
      <c r="L403" s="4">
        <f>Trades!P408</f>
        <v>0</v>
      </c>
      <c r="M403" s="5">
        <f>M402+Trades!T408</f>
        <v>17904.819999999996</v>
      </c>
      <c r="N403" s="5">
        <f>N402+Trades!U408</f>
        <v>5.7244737531544461</v>
      </c>
      <c r="O403" s="5">
        <f>O402+Trades!W408</f>
        <v>6622.2355933590607</v>
      </c>
    </row>
    <row r="404" spans="12:15" x14ac:dyDescent="0.3">
      <c r="L404" s="4">
        <f>Trades!P394</f>
        <v>0</v>
      </c>
      <c r="M404" s="5">
        <f>M403+Trades!T394</f>
        <v>17904.819999999996</v>
      </c>
      <c r="N404" s="5">
        <f>N403+Trades!U394</f>
        <v>5.7244737531544461</v>
      </c>
      <c r="O404" s="5">
        <f>O403+Trades!W394</f>
        <v>6622.2355933590607</v>
      </c>
    </row>
    <row r="405" spans="12:15" x14ac:dyDescent="0.3">
      <c r="L405" s="4">
        <f>Trades!P409</f>
        <v>0</v>
      </c>
      <c r="M405" s="5">
        <f>M404+Trades!T409</f>
        <v>17904.819999999996</v>
      </c>
      <c r="N405" s="5">
        <f>N404+Trades!U409</f>
        <v>5.7244737531544461</v>
      </c>
      <c r="O405" s="5">
        <f>O404+Trades!W409</f>
        <v>6622.2355933590607</v>
      </c>
    </row>
    <row r="406" spans="12:15" x14ac:dyDescent="0.3">
      <c r="L406" s="4">
        <f>Trades!P395</f>
        <v>0</v>
      </c>
      <c r="M406" s="5">
        <f>M405+Trades!T395</f>
        <v>17904.819999999996</v>
      </c>
      <c r="N406" s="5">
        <f>N405+Trades!U395</f>
        <v>5.7244737531544461</v>
      </c>
      <c r="O406" s="5">
        <f>O405+Trades!W395</f>
        <v>6622.2355933590607</v>
      </c>
    </row>
    <row r="407" spans="12:15" x14ac:dyDescent="0.3">
      <c r="L407" s="4">
        <f>Trades!P410</f>
        <v>0</v>
      </c>
      <c r="M407" s="5">
        <f>M406+Trades!T410</f>
        <v>17904.819999999996</v>
      </c>
      <c r="N407" s="5">
        <f>N406+Trades!U410</f>
        <v>5.7244737531544461</v>
      </c>
      <c r="O407" s="5">
        <f>O406+Trades!W410</f>
        <v>6622.2355933590607</v>
      </c>
    </row>
    <row r="408" spans="12:15" x14ac:dyDescent="0.3">
      <c r="L408" s="4">
        <f>Trades!P396</f>
        <v>0</v>
      </c>
      <c r="M408" s="5">
        <f>M407+Trades!T396</f>
        <v>17904.819999999996</v>
      </c>
      <c r="N408" s="5">
        <f>N407+Trades!U396</f>
        <v>5.7244737531544461</v>
      </c>
      <c r="O408" s="5">
        <f>O407+Trades!W396</f>
        <v>6622.2355933590607</v>
      </c>
    </row>
    <row r="409" spans="12:15" x14ac:dyDescent="0.3">
      <c r="L409" s="4">
        <f>Trades!P397</f>
        <v>0</v>
      </c>
      <c r="M409" s="5">
        <f>M408+Trades!T397</f>
        <v>17904.819999999996</v>
      </c>
      <c r="N409" s="5">
        <f>N408+Trades!U397</f>
        <v>5.7244737531544461</v>
      </c>
      <c r="O409" s="5">
        <f>O408+Trades!W397</f>
        <v>6622.2355933590607</v>
      </c>
    </row>
    <row r="410" spans="12:15" x14ac:dyDescent="0.3">
      <c r="L410" s="4">
        <f>Trades!P411</f>
        <v>0</v>
      </c>
      <c r="M410" s="5">
        <f>M409+Trades!T411</f>
        <v>17904.819999999996</v>
      </c>
      <c r="N410" s="5">
        <f>N409+Trades!U411</f>
        <v>5.7244737531544461</v>
      </c>
      <c r="O410" s="5">
        <f>O409+Trades!W411</f>
        <v>6622.2355933590607</v>
      </c>
    </row>
    <row r="411" spans="12:15" x14ac:dyDescent="0.3">
      <c r="L411" s="4">
        <f>Trades!P412</f>
        <v>0</v>
      </c>
      <c r="M411" s="5">
        <f>M410+Trades!T412</f>
        <v>17904.819999999996</v>
      </c>
      <c r="N411" s="5">
        <f>N410+Trades!U412</f>
        <v>5.7244737531544461</v>
      </c>
      <c r="O411" s="5">
        <f>O410+Trades!W412</f>
        <v>6622.2355933590607</v>
      </c>
    </row>
    <row r="412" spans="12:15" x14ac:dyDescent="0.3">
      <c r="L412" s="4">
        <f>Trades!P398</f>
        <v>0</v>
      </c>
      <c r="M412" s="5">
        <f>M411+Trades!T398</f>
        <v>17904.819999999996</v>
      </c>
      <c r="N412" s="5">
        <f>N411+Trades!U398</f>
        <v>5.7244737531544461</v>
      </c>
      <c r="O412" s="5">
        <f>O411+Trades!W398</f>
        <v>6622.2355933590607</v>
      </c>
    </row>
    <row r="413" spans="12:15" x14ac:dyDescent="0.3">
      <c r="L413" s="4">
        <f>Trades!P413</f>
        <v>0</v>
      </c>
      <c r="M413" s="5">
        <f>M412+Trades!T413</f>
        <v>17904.819999999996</v>
      </c>
      <c r="N413" s="5">
        <f>N412+Trades!U413</f>
        <v>5.7244737531544461</v>
      </c>
      <c r="O413" s="5">
        <f>O412+Trades!W413</f>
        <v>6622.2355933590607</v>
      </c>
    </row>
    <row r="414" spans="12:15" x14ac:dyDescent="0.3">
      <c r="L414" s="4">
        <f>Trades!P422</f>
        <v>0</v>
      </c>
      <c r="M414" s="5">
        <f>M413+Trades!T422</f>
        <v>17904.819999999996</v>
      </c>
      <c r="N414" s="5">
        <f>N413+Trades!U422</f>
        <v>5.7244737531544461</v>
      </c>
      <c r="O414" s="5">
        <f>O413+Trades!W422</f>
        <v>6622.2355933590607</v>
      </c>
    </row>
    <row r="415" spans="12:15" x14ac:dyDescent="0.3">
      <c r="L415" s="4">
        <f>Trades!P431</f>
        <v>0</v>
      </c>
      <c r="M415" s="5">
        <f>M414+Trades!T431</f>
        <v>17904.819999999996</v>
      </c>
      <c r="N415" s="5">
        <f>N414+Trades!U431</f>
        <v>5.7244737531544461</v>
      </c>
      <c r="O415" s="5">
        <f>O414+Trades!W431</f>
        <v>6622.2355933590607</v>
      </c>
    </row>
    <row r="416" spans="12:15" x14ac:dyDescent="0.3">
      <c r="L416" s="4">
        <f>Trades!P423</f>
        <v>0</v>
      </c>
      <c r="M416" s="5">
        <f>M415+Trades!T423</f>
        <v>17904.819999999996</v>
      </c>
      <c r="N416" s="5">
        <f>N415+Trades!U423</f>
        <v>5.7244737531544461</v>
      </c>
      <c r="O416" s="5">
        <f>O415+Trades!W423</f>
        <v>6622.2355933590607</v>
      </c>
    </row>
    <row r="417" spans="12:15" x14ac:dyDescent="0.3">
      <c r="L417" s="4">
        <f>Trades!P432</f>
        <v>0</v>
      </c>
      <c r="M417" s="5">
        <f>M416+Trades!T432</f>
        <v>17904.819999999996</v>
      </c>
      <c r="N417" s="5">
        <f>N416+Trades!U432</f>
        <v>5.7244737531544461</v>
      </c>
      <c r="O417" s="5">
        <f>O416+Trades!W432</f>
        <v>6622.2355933590607</v>
      </c>
    </row>
    <row r="418" spans="12:15" x14ac:dyDescent="0.3">
      <c r="L418" s="4">
        <f>Trades!P424</f>
        <v>0</v>
      </c>
      <c r="M418" s="5">
        <f>M417+Trades!T424</f>
        <v>17904.819999999996</v>
      </c>
      <c r="N418" s="5">
        <f>N417+Trades!U424</f>
        <v>5.7244737531544461</v>
      </c>
      <c r="O418" s="5">
        <f>O417+Trades!W424</f>
        <v>6622.2355933590607</v>
      </c>
    </row>
    <row r="419" spans="12:15" x14ac:dyDescent="0.3">
      <c r="L419" s="4">
        <f>Trades!P433</f>
        <v>0</v>
      </c>
      <c r="M419" s="5">
        <f>M418+Trades!T433</f>
        <v>17904.819999999996</v>
      </c>
      <c r="N419" s="5">
        <f>N418+Trades!U433</f>
        <v>5.7244737531544461</v>
      </c>
      <c r="O419" s="5">
        <f>O418+Trades!W433</f>
        <v>6622.2355933590607</v>
      </c>
    </row>
    <row r="420" spans="12:15" x14ac:dyDescent="0.3">
      <c r="L420" s="4">
        <f>Trades!P414</f>
        <v>0</v>
      </c>
      <c r="M420" s="5">
        <f>M419+Trades!T414</f>
        <v>17904.819999999996</v>
      </c>
      <c r="N420" s="5">
        <f>N419+Trades!U414</f>
        <v>5.7244737531544461</v>
      </c>
      <c r="O420" s="5">
        <f>O419+Trades!W414</f>
        <v>6622.2355933590607</v>
      </c>
    </row>
    <row r="421" spans="12:15" x14ac:dyDescent="0.3">
      <c r="L421" s="4">
        <f>Trades!P415</f>
        <v>0</v>
      </c>
      <c r="M421" s="5">
        <f>M420+Trades!T415</f>
        <v>17904.819999999996</v>
      </c>
      <c r="N421" s="5">
        <f>N420+Trades!U415</f>
        <v>5.7244737531544461</v>
      </c>
      <c r="O421" s="5">
        <f>O420+Trades!W415</f>
        <v>6622.2355933590607</v>
      </c>
    </row>
    <row r="422" spans="12:15" x14ac:dyDescent="0.3">
      <c r="L422" s="4">
        <f>Trades!P425</f>
        <v>0</v>
      </c>
      <c r="M422" s="5">
        <f>M421+Trades!T425</f>
        <v>17904.819999999996</v>
      </c>
      <c r="N422" s="5">
        <f>N421+Trades!U425</f>
        <v>5.7244737531544461</v>
      </c>
      <c r="O422" s="5">
        <f>O421+Trades!W425</f>
        <v>6622.2355933590607</v>
      </c>
    </row>
    <row r="423" spans="12:15" x14ac:dyDescent="0.3">
      <c r="L423" s="4">
        <f>Trades!P416</f>
        <v>0</v>
      </c>
      <c r="M423" s="5">
        <f>M422+Trades!T416</f>
        <v>17904.819999999996</v>
      </c>
      <c r="N423" s="5">
        <f>N422+Trades!U416</f>
        <v>5.7244737531544461</v>
      </c>
      <c r="O423" s="5">
        <f>O422+Trades!W416</f>
        <v>6622.2355933590607</v>
      </c>
    </row>
    <row r="424" spans="12:15" x14ac:dyDescent="0.3">
      <c r="L424" s="4">
        <f>Trades!P434</f>
        <v>0</v>
      </c>
      <c r="M424" s="5">
        <f>M423+Trades!T434</f>
        <v>17904.819999999996</v>
      </c>
      <c r="N424" s="5">
        <f>N423+Trades!U434</f>
        <v>5.7244737531544461</v>
      </c>
      <c r="O424" s="5">
        <f>O423+Trades!W434</f>
        <v>6622.2355933590607</v>
      </c>
    </row>
    <row r="425" spans="12:15" x14ac:dyDescent="0.3">
      <c r="L425" s="4">
        <f>Trades!P426</f>
        <v>0</v>
      </c>
      <c r="M425" s="5">
        <f>M424+Trades!T426</f>
        <v>17904.819999999996</v>
      </c>
      <c r="N425" s="5">
        <f>N424+Trades!U426</f>
        <v>5.7244737531544461</v>
      </c>
      <c r="O425" s="5">
        <f>O424+Trades!W426</f>
        <v>6622.2355933590607</v>
      </c>
    </row>
    <row r="426" spans="12:15" x14ac:dyDescent="0.3">
      <c r="L426" s="4">
        <f>Trades!P435</f>
        <v>0</v>
      </c>
      <c r="M426" s="5">
        <f>M425+Trades!T435</f>
        <v>17904.819999999996</v>
      </c>
      <c r="N426" s="5">
        <f>N425+Trades!U435</f>
        <v>5.7244737531544461</v>
      </c>
      <c r="O426" s="5">
        <f>O425+Trades!W435</f>
        <v>6622.2355933590607</v>
      </c>
    </row>
    <row r="427" spans="12:15" x14ac:dyDescent="0.3">
      <c r="L427" s="4">
        <f>Trades!P417</f>
        <v>0</v>
      </c>
      <c r="M427" s="5">
        <f>M426+Trades!T417</f>
        <v>17904.819999999996</v>
      </c>
      <c r="N427" s="5">
        <f>N426+Trades!U417</f>
        <v>5.7244737531544461</v>
      </c>
      <c r="O427" s="5">
        <f>O426+Trades!W417</f>
        <v>6622.2355933590607</v>
      </c>
    </row>
    <row r="428" spans="12:15" x14ac:dyDescent="0.3">
      <c r="L428" s="4">
        <f>Trades!P427</f>
        <v>0</v>
      </c>
      <c r="M428" s="5">
        <f>M427+Trades!T427</f>
        <v>17904.819999999996</v>
      </c>
      <c r="N428" s="5">
        <f>N427+Trades!U427</f>
        <v>5.7244737531544461</v>
      </c>
      <c r="O428" s="5">
        <f>O427+Trades!W427</f>
        <v>6622.2355933590607</v>
      </c>
    </row>
    <row r="429" spans="12:15" x14ac:dyDescent="0.3">
      <c r="L429" s="4">
        <f>Trades!P436</f>
        <v>0</v>
      </c>
      <c r="M429" s="5">
        <f>M428+Trades!T436</f>
        <v>17904.819999999996</v>
      </c>
      <c r="N429" s="5">
        <f>N428+Trades!U436</f>
        <v>5.7244737531544461</v>
      </c>
      <c r="O429" s="5">
        <f>O428+Trades!W436</f>
        <v>6622.2355933590607</v>
      </c>
    </row>
    <row r="430" spans="12:15" x14ac:dyDescent="0.3">
      <c r="L430" s="4">
        <f>Trades!P428</f>
        <v>0</v>
      </c>
      <c r="M430" s="5">
        <f>M429+Trades!T428</f>
        <v>17904.819999999996</v>
      </c>
      <c r="N430" s="5">
        <f>N429+Trades!U428</f>
        <v>5.7244737531544461</v>
      </c>
      <c r="O430" s="5">
        <f>O429+Trades!W428</f>
        <v>6622.2355933590607</v>
      </c>
    </row>
    <row r="431" spans="12:15" x14ac:dyDescent="0.3">
      <c r="L431" s="4">
        <f>Trades!P418</f>
        <v>0</v>
      </c>
      <c r="M431" s="5">
        <f>M430+Trades!T418</f>
        <v>17904.819999999996</v>
      </c>
      <c r="N431" s="5">
        <f>N430+Trades!U418</f>
        <v>5.7244737531544461</v>
      </c>
      <c r="O431" s="5">
        <f>O430+Trades!W418</f>
        <v>6622.2355933590607</v>
      </c>
    </row>
    <row r="432" spans="12:15" x14ac:dyDescent="0.3">
      <c r="L432" s="4">
        <f>Trades!P429</f>
        <v>0</v>
      </c>
      <c r="M432" s="5">
        <f>M431+Trades!T429</f>
        <v>17904.819999999996</v>
      </c>
      <c r="N432" s="5">
        <f>N431+Trades!U429</f>
        <v>5.7244737531544461</v>
      </c>
      <c r="O432" s="5">
        <f>O431+Trades!W429</f>
        <v>6622.2355933590607</v>
      </c>
    </row>
    <row r="433" spans="12:15" x14ac:dyDescent="0.3">
      <c r="L433" s="4">
        <f>Trades!P419</f>
        <v>0</v>
      </c>
      <c r="M433" s="5">
        <f>M432+Trades!T419</f>
        <v>17904.819999999996</v>
      </c>
      <c r="N433" s="5">
        <f>N432+Trades!U419</f>
        <v>5.7244737531544461</v>
      </c>
      <c r="O433" s="5">
        <f>O432+Trades!W419</f>
        <v>6622.2355933590607</v>
      </c>
    </row>
    <row r="434" spans="12:15" x14ac:dyDescent="0.3">
      <c r="L434" s="4">
        <f>Trades!P430</f>
        <v>0</v>
      </c>
      <c r="M434" s="5">
        <f>M433+Trades!T430</f>
        <v>17904.819999999996</v>
      </c>
      <c r="N434" s="5">
        <f>N433+Trades!U430</f>
        <v>5.7244737531544461</v>
      </c>
      <c r="O434" s="5">
        <f>O433+Trades!W430</f>
        <v>6622.2355933590607</v>
      </c>
    </row>
    <row r="435" spans="12:15" x14ac:dyDescent="0.3">
      <c r="L435" s="4">
        <f>Trades!P437</f>
        <v>0</v>
      </c>
      <c r="M435" s="5">
        <f>M434+Trades!T437</f>
        <v>17904.819999999996</v>
      </c>
      <c r="N435" s="5">
        <f>N434+Trades!U437</f>
        <v>5.7244737531544461</v>
      </c>
      <c r="O435" s="5">
        <f>O434+Trades!W437</f>
        <v>6622.2355933590607</v>
      </c>
    </row>
    <row r="436" spans="12:15" x14ac:dyDescent="0.3">
      <c r="L436" s="4">
        <f>Trades!P420</f>
        <v>0</v>
      </c>
      <c r="M436" s="5">
        <f>M435+Trades!T420</f>
        <v>17904.819999999996</v>
      </c>
      <c r="N436" s="5">
        <f>N435+Trades!U420</f>
        <v>5.7244737531544461</v>
      </c>
      <c r="O436" s="5">
        <f>O435+Trades!W420</f>
        <v>6622.2355933590607</v>
      </c>
    </row>
    <row r="437" spans="12:15" x14ac:dyDescent="0.3">
      <c r="L437" s="4">
        <f>Trades!P421</f>
        <v>0</v>
      </c>
      <c r="M437" s="5">
        <f>M436+Trades!T421</f>
        <v>17904.819999999996</v>
      </c>
      <c r="N437" s="5">
        <f>N436+Trades!U421</f>
        <v>5.7244737531544461</v>
      </c>
      <c r="O437" s="5">
        <f>O436+Trades!W421</f>
        <v>6622.2355933590607</v>
      </c>
    </row>
    <row r="438" spans="12:15" x14ac:dyDescent="0.3">
      <c r="L438" s="4">
        <f>Trades!P438</f>
        <v>0</v>
      </c>
      <c r="M438" s="5">
        <f>M437+Trades!T438</f>
        <v>17904.819999999996</v>
      </c>
      <c r="N438" s="5">
        <f>N437+Trades!U438</f>
        <v>5.7244737531544461</v>
      </c>
      <c r="O438" s="5">
        <f>O437+Trades!W438</f>
        <v>6622.2355933590607</v>
      </c>
    </row>
    <row r="439" spans="12:15" x14ac:dyDescent="0.3">
      <c r="L439" s="4">
        <f>Trades!P452</f>
        <v>0</v>
      </c>
      <c r="M439" s="5">
        <f>M438+Trades!T452</f>
        <v>17904.819999999996</v>
      </c>
      <c r="N439" s="5">
        <f>N438+Trades!U452</f>
        <v>5.7244737531544461</v>
      </c>
      <c r="O439" s="5">
        <f>O438+Trades!W452</f>
        <v>6622.2355933590607</v>
      </c>
    </row>
    <row r="440" spans="12:15" x14ac:dyDescent="0.3">
      <c r="L440" s="4">
        <f>Trades!P470</f>
        <v>0</v>
      </c>
      <c r="M440" s="5">
        <f>M439+Trades!T470</f>
        <v>17904.819999999996</v>
      </c>
      <c r="N440" s="5">
        <f>N439+Trades!U470</f>
        <v>5.7244737531544461</v>
      </c>
      <c r="O440" s="5">
        <f>O439+Trades!W470</f>
        <v>6622.2355933590607</v>
      </c>
    </row>
    <row r="441" spans="12:15" x14ac:dyDescent="0.3">
      <c r="L441" s="4">
        <f>Trades!P439</f>
        <v>0</v>
      </c>
      <c r="M441" s="5">
        <f>M440+Trades!T439</f>
        <v>17904.819999999996</v>
      </c>
      <c r="N441" s="5">
        <f>N440+Trades!U439</f>
        <v>5.7244737531544461</v>
      </c>
      <c r="O441" s="5">
        <f>O440+Trades!W439</f>
        <v>6622.2355933590607</v>
      </c>
    </row>
    <row r="442" spans="12:15" x14ac:dyDescent="0.3">
      <c r="L442" s="4">
        <f>Trades!P453</f>
        <v>0</v>
      </c>
      <c r="M442" s="5">
        <f>M441+Trades!T453</f>
        <v>17904.819999999996</v>
      </c>
      <c r="N442" s="5">
        <f>N441+Trades!U453</f>
        <v>5.7244737531544461</v>
      </c>
      <c r="O442" s="5">
        <f>O441+Trades!W453</f>
        <v>6622.2355933590607</v>
      </c>
    </row>
    <row r="443" spans="12:15" x14ac:dyDescent="0.3">
      <c r="L443" s="4">
        <f>Trades!P454</f>
        <v>0</v>
      </c>
      <c r="M443" s="5">
        <f>M442+Trades!T454</f>
        <v>17904.819999999996</v>
      </c>
      <c r="N443" s="5">
        <f>N442+Trades!U454</f>
        <v>5.7244737531544461</v>
      </c>
      <c r="O443" s="5">
        <f>O442+Trades!W454</f>
        <v>6622.2355933590607</v>
      </c>
    </row>
    <row r="444" spans="12:15" x14ac:dyDescent="0.3">
      <c r="L444" s="4">
        <f>Trades!P440</f>
        <v>0</v>
      </c>
      <c r="M444" s="5">
        <f>M443+Trades!T440</f>
        <v>17904.819999999996</v>
      </c>
      <c r="N444" s="5">
        <f>N443+Trades!U440</f>
        <v>5.7244737531544461</v>
      </c>
      <c r="O444" s="5">
        <f>O443+Trades!W440</f>
        <v>6622.2355933590607</v>
      </c>
    </row>
    <row r="445" spans="12:15" x14ac:dyDescent="0.3">
      <c r="L445" s="4">
        <f>Trades!P455</f>
        <v>0</v>
      </c>
      <c r="M445" s="5">
        <f>M444+Trades!T455</f>
        <v>17904.819999999996</v>
      </c>
      <c r="N445" s="5">
        <f>N444+Trades!U455</f>
        <v>5.7244737531544461</v>
      </c>
      <c r="O445" s="5">
        <f>O444+Trades!W455</f>
        <v>6622.2355933590607</v>
      </c>
    </row>
    <row r="446" spans="12:15" x14ac:dyDescent="0.3">
      <c r="L446" s="4">
        <f>Trades!P456</f>
        <v>0</v>
      </c>
      <c r="M446" s="5">
        <f>M445+Trades!T456</f>
        <v>17904.819999999996</v>
      </c>
      <c r="N446" s="5">
        <f>N445+Trades!U456</f>
        <v>5.7244737531544461</v>
      </c>
      <c r="O446" s="5">
        <f>O445+Trades!W456</f>
        <v>6622.2355933590607</v>
      </c>
    </row>
    <row r="447" spans="12:15" x14ac:dyDescent="0.3">
      <c r="L447" s="4">
        <f>Trades!P441</f>
        <v>0</v>
      </c>
      <c r="M447" s="5">
        <f>M446+Trades!T441</f>
        <v>17904.819999999996</v>
      </c>
      <c r="N447" s="5">
        <f>N446+Trades!U441</f>
        <v>5.7244737531544461</v>
      </c>
      <c r="O447" s="5">
        <f>O446+Trades!W441</f>
        <v>6622.2355933590607</v>
      </c>
    </row>
    <row r="448" spans="12:15" x14ac:dyDescent="0.3">
      <c r="L448" s="4">
        <f>Trades!P457</f>
        <v>0</v>
      </c>
      <c r="M448" s="5">
        <f>M447+Trades!T457</f>
        <v>17904.819999999996</v>
      </c>
      <c r="N448" s="5">
        <f>N447+Trades!U457</f>
        <v>5.7244737531544461</v>
      </c>
      <c r="O448" s="5">
        <f>O447+Trades!W457</f>
        <v>6622.2355933590607</v>
      </c>
    </row>
    <row r="449" spans="12:15" x14ac:dyDescent="0.3">
      <c r="L449" s="4">
        <f>Trades!P471</f>
        <v>0</v>
      </c>
      <c r="M449" s="5">
        <f>M448+Trades!T471</f>
        <v>17904.819999999996</v>
      </c>
      <c r="N449" s="5">
        <f>N448+Trades!U471</f>
        <v>5.7244737531544461</v>
      </c>
      <c r="O449" s="5">
        <f>O448+Trades!W471</f>
        <v>6622.2355933590607</v>
      </c>
    </row>
    <row r="450" spans="12:15" x14ac:dyDescent="0.3">
      <c r="L450" s="4">
        <f>Trades!P472</f>
        <v>0</v>
      </c>
      <c r="M450" s="5">
        <f>M449+Trades!T472</f>
        <v>17904.819999999996</v>
      </c>
      <c r="N450" s="5">
        <f>N449+Trades!U472</f>
        <v>5.7244737531544461</v>
      </c>
      <c r="O450" s="5">
        <f>O449+Trades!W472</f>
        <v>6622.2355933590607</v>
      </c>
    </row>
    <row r="451" spans="12:15" x14ac:dyDescent="0.3">
      <c r="L451" s="4">
        <f>Trades!P458</f>
        <v>0</v>
      </c>
      <c r="M451" s="5">
        <f>M450+Trades!T458</f>
        <v>17904.819999999996</v>
      </c>
      <c r="N451" s="5">
        <f>N450+Trades!U458</f>
        <v>5.7244737531544461</v>
      </c>
      <c r="O451" s="5">
        <f>O450+Trades!W458</f>
        <v>6622.2355933590607</v>
      </c>
    </row>
    <row r="452" spans="12:15" x14ac:dyDescent="0.3">
      <c r="L452" s="4">
        <f>Trades!P442</f>
        <v>0</v>
      </c>
      <c r="M452" s="5">
        <f>M451+Trades!T442</f>
        <v>17904.819999999996</v>
      </c>
      <c r="N452" s="5">
        <f>N451+Trades!U442</f>
        <v>5.7244737531544461</v>
      </c>
      <c r="O452" s="5">
        <f>O451+Trades!W442</f>
        <v>6622.2355933590607</v>
      </c>
    </row>
    <row r="453" spans="12:15" x14ac:dyDescent="0.3">
      <c r="L453" s="4">
        <f>Trades!P459</f>
        <v>0</v>
      </c>
      <c r="M453" s="5">
        <f>M452+Trades!T459</f>
        <v>17904.819999999996</v>
      </c>
      <c r="N453" s="5">
        <f>N452+Trades!U459</f>
        <v>5.7244737531544461</v>
      </c>
      <c r="O453" s="5">
        <f>O452+Trades!W459</f>
        <v>6622.2355933590607</v>
      </c>
    </row>
    <row r="454" spans="12:15" x14ac:dyDescent="0.3">
      <c r="L454" s="4">
        <f>Trades!P460</f>
        <v>0</v>
      </c>
      <c r="M454" s="5">
        <f>M453+Trades!T460</f>
        <v>17904.819999999996</v>
      </c>
      <c r="N454" s="5">
        <f>N453+Trades!U460</f>
        <v>5.7244737531544461</v>
      </c>
      <c r="O454" s="5">
        <f>O453+Trades!W460</f>
        <v>6622.2355933590607</v>
      </c>
    </row>
    <row r="455" spans="12:15" x14ac:dyDescent="0.3">
      <c r="L455" s="4">
        <f>Trades!P473</f>
        <v>0</v>
      </c>
      <c r="M455" s="5">
        <f>M454+Trades!T473</f>
        <v>17904.819999999996</v>
      </c>
      <c r="N455" s="5">
        <f>N454+Trades!U473</f>
        <v>5.7244737531544461</v>
      </c>
      <c r="O455" s="5">
        <f>O454+Trades!W473</f>
        <v>6622.2355933590607</v>
      </c>
    </row>
    <row r="456" spans="12:15" x14ac:dyDescent="0.3">
      <c r="L456" s="4">
        <f>Trades!P461</f>
        <v>0</v>
      </c>
      <c r="M456" s="5">
        <f>M455+Trades!T461</f>
        <v>17904.819999999996</v>
      </c>
      <c r="N456" s="5">
        <f>N455+Trades!U461</f>
        <v>5.7244737531544461</v>
      </c>
      <c r="O456" s="5">
        <f>O455+Trades!W461</f>
        <v>6622.2355933590607</v>
      </c>
    </row>
    <row r="457" spans="12:15" x14ac:dyDescent="0.3">
      <c r="L457" s="4">
        <f>Trades!P443</f>
        <v>0</v>
      </c>
      <c r="M457" s="5">
        <f>M456+Trades!T443</f>
        <v>17904.819999999996</v>
      </c>
      <c r="N457" s="5">
        <f>N456+Trades!U443</f>
        <v>5.7244737531544461</v>
      </c>
      <c r="O457" s="5">
        <f>O456+Trades!W443</f>
        <v>6622.2355933590607</v>
      </c>
    </row>
    <row r="458" spans="12:15" x14ac:dyDescent="0.3">
      <c r="L458" s="4">
        <f>Trades!P462</f>
        <v>0</v>
      </c>
      <c r="M458" s="5">
        <f>M457+Trades!T462</f>
        <v>17904.819999999996</v>
      </c>
      <c r="N458" s="5">
        <f>N457+Trades!U462</f>
        <v>5.7244737531544461</v>
      </c>
      <c r="O458" s="5">
        <f>O457+Trades!W462</f>
        <v>6622.2355933590607</v>
      </c>
    </row>
    <row r="459" spans="12:15" x14ac:dyDescent="0.3">
      <c r="L459" s="4">
        <f>Trades!P444</f>
        <v>0</v>
      </c>
      <c r="M459" s="5">
        <f>M458+Trades!T444</f>
        <v>17904.819999999996</v>
      </c>
      <c r="N459" s="5">
        <f>N458+Trades!U444</f>
        <v>5.7244737531544461</v>
      </c>
      <c r="O459" s="5">
        <f>O458+Trades!W444</f>
        <v>6622.2355933590607</v>
      </c>
    </row>
    <row r="460" spans="12:15" x14ac:dyDescent="0.3">
      <c r="L460" s="4">
        <f>Trades!P445</f>
        <v>0</v>
      </c>
      <c r="M460" s="5">
        <f>M459+Trades!T445</f>
        <v>17904.819999999996</v>
      </c>
      <c r="N460" s="5">
        <f>N459+Trades!U445</f>
        <v>5.7244737531544461</v>
      </c>
      <c r="O460" s="5">
        <f>O459+Trades!W445</f>
        <v>6622.2355933590607</v>
      </c>
    </row>
    <row r="461" spans="12:15" x14ac:dyDescent="0.3">
      <c r="L461" s="4">
        <f>Trades!P463</f>
        <v>0</v>
      </c>
      <c r="M461" s="5">
        <f>M460+Trades!T463</f>
        <v>17904.819999999996</v>
      </c>
      <c r="N461" s="5">
        <f>N460+Trades!U463</f>
        <v>5.7244737531544461</v>
      </c>
      <c r="O461" s="5">
        <f>O460+Trades!W463</f>
        <v>6622.2355933590607</v>
      </c>
    </row>
    <row r="462" spans="12:15" x14ac:dyDescent="0.3">
      <c r="L462" s="4">
        <f>Trades!P464</f>
        <v>0</v>
      </c>
      <c r="M462" s="5">
        <f>M461+Trades!T464</f>
        <v>17904.819999999996</v>
      </c>
      <c r="N462" s="5">
        <f>N461+Trades!U464</f>
        <v>5.7244737531544461</v>
      </c>
      <c r="O462" s="5">
        <f>O461+Trades!W464</f>
        <v>6622.2355933590607</v>
      </c>
    </row>
    <row r="463" spans="12:15" x14ac:dyDescent="0.3">
      <c r="L463" s="4">
        <f>Trades!P446</f>
        <v>0</v>
      </c>
      <c r="M463" s="5">
        <f>M462+Trades!T446</f>
        <v>17904.819999999996</v>
      </c>
      <c r="N463" s="5">
        <f>N462+Trades!U446</f>
        <v>5.7244737531544461</v>
      </c>
      <c r="O463" s="5">
        <f>O462+Trades!W446</f>
        <v>6622.2355933590607</v>
      </c>
    </row>
    <row r="464" spans="12:15" x14ac:dyDescent="0.3">
      <c r="L464" s="4">
        <f>Trades!P474</f>
        <v>0</v>
      </c>
      <c r="M464" s="5">
        <f>M463+Trades!T474</f>
        <v>17904.819999999996</v>
      </c>
      <c r="N464" s="5">
        <f>N463+Trades!U474</f>
        <v>5.7244737531544461</v>
      </c>
      <c r="O464" s="5">
        <f>O463+Trades!W474</f>
        <v>6622.2355933590607</v>
      </c>
    </row>
    <row r="465" spans="12:15" x14ac:dyDescent="0.3">
      <c r="L465" s="4">
        <f>Trades!P465</f>
        <v>0</v>
      </c>
      <c r="M465" s="5">
        <f>M464+Trades!T465</f>
        <v>17904.819999999996</v>
      </c>
      <c r="N465" s="5">
        <f>N464+Trades!U465</f>
        <v>5.7244737531544461</v>
      </c>
      <c r="O465" s="5">
        <f>O464+Trades!W465</f>
        <v>6622.2355933590607</v>
      </c>
    </row>
    <row r="466" spans="12:15" x14ac:dyDescent="0.3">
      <c r="L466" s="4">
        <f>Trades!P475</f>
        <v>0</v>
      </c>
      <c r="M466" s="5">
        <f>M465+Trades!T475</f>
        <v>17904.819999999996</v>
      </c>
      <c r="N466" s="5">
        <f>N465+Trades!U475</f>
        <v>5.7244737531544461</v>
      </c>
      <c r="O466" s="5">
        <f>O465+Trades!W475</f>
        <v>6622.2355933590607</v>
      </c>
    </row>
    <row r="467" spans="12:15" x14ac:dyDescent="0.3">
      <c r="L467" s="4">
        <f>Trades!P447</f>
        <v>0</v>
      </c>
      <c r="M467" s="5">
        <f>M466+Trades!T447</f>
        <v>17904.819999999996</v>
      </c>
      <c r="N467" s="5">
        <f>N466+Trades!U447</f>
        <v>5.7244737531544461</v>
      </c>
      <c r="O467" s="5">
        <f>O466+Trades!W447</f>
        <v>6622.2355933590607</v>
      </c>
    </row>
    <row r="468" spans="12:15" x14ac:dyDescent="0.3">
      <c r="L468" s="4">
        <f>Trades!P448</f>
        <v>0</v>
      </c>
      <c r="M468" s="5">
        <f>M467+Trades!T448</f>
        <v>17904.819999999996</v>
      </c>
      <c r="N468" s="5">
        <f>N467+Trades!U448</f>
        <v>5.7244737531544461</v>
      </c>
      <c r="O468" s="5">
        <f>O467+Trades!W448</f>
        <v>6622.2355933590607</v>
      </c>
    </row>
    <row r="469" spans="12:15" x14ac:dyDescent="0.3">
      <c r="L469" s="4">
        <f>Trades!P466</f>
        <v>0</v>
      </c>
      <c r="M469" s="5">
        <f>M468+Trades!T466</f>
        <v>17904.819999999996</v>
      </c>
      <c r="N469" s="5">
        <f>N468+Trades!U466</f>
        <v>5.7244737531544461</v>
      </c>
      <c r="O469" s="5">
        <f>O468+Trades!W466</f>
        <v>6622.2355933590607</v>
      </c>
    </row>
    <row r="470" spans="12:15" x14ac:dyDescent="0.3">
      <c r="L470" s="4">
        <f>Trades!P467</f>
        <v>0</v>
      </c>
      <c r="M470" s="5">
        <f>M469+Trades!T467</f>
        <v>17904.819999999996</v>
      </c>
      <c r="N470" s="5">
        <f>N469+Trades!U467</f>
        <v>5.7244737531544461</v>
      </c>
      <c r="O470" s="5">
        <f>O469+Trades!W467</f>
        <v>6622.2355933590607</v>
      </c>
    </row>
    <row r="471" spans="12:15" x14ac:dyDescent="0.3">
      <c r="L471" s="4">
        <f>Trades!P476</f>
        <v>0</v>
      </c>
      <c r="M471" s="5">
        <f>M470+Trades!T476</f>
        <v>17904.819999999996</v>
      </c>
      <c r="N471" s="5">
        <f>N470+Trades!U476</f>
        <v>5.7244737531544461</v>
      </c>
      <c r="O471" s="5">
        <f>O470+Trades!W476</f>
        <v>6622.2355933590607</v>
      </c>
    </row>
    <row r="472" spans="12:15" x14ac:dyDescent="0.3">
      <c r="L472" s="4">
        <f>Trades!P449</f>
        <v>0</v>
      </c>
      <c r="M472" s="5">
        <f>M471+Trades!T449</f>
        <v>17904.819999999996</v>
      </c>
      <c r="N472" s="5">
        <f>N471+Trades!U449</f>
        <v>5.7244737531544461</v>
      </c>
      <c r="O472" s="5">
        <f>O471+Trades!W449</f>
        <v>6622.2355933590607</v>
      </c>
    </row>
    <row r="473" spans="12:15" x14ac:dyDescent="0.3">
      <c r="L473" s="4">
        <f>Trades!P468</f>
        <v>0</v>
      </c>
      <c r="M473" s="5">
        <f>M472+Trades!T468</f>
        <v>17904.819999999996</v>
      </c>
      <c r="N473" s="5">
        <f>N472+Trades!U468</f>
        <v>5.7244737531544461</v>
      </c>
      <c r="O473" s="5">
        <f>O472+Trades!W468</f>
        <v>6622.2355933590607</v>
      </c>
    </row>
    <row r="474" spans="12:15" x14ac:dyDescent="0.3">
      <c r="L474" s="4">
        <f>Trades!P477</f>
        <v>0</v>
      </c>
      <c r="M474" s="5">
        <f>M473+Trades!T477</f>
        <v>17904.819999999996</v>
      </c>
      <c r="N474" s="5">
        <f>N473+Trades!U477</f>
        <v>5.7244737531544461</v>
      </c>
      <c r="O474" s="5">
        <f>O473+Trades!W477</f>
        <v>6622.2355933590607</v>
      </c>
    </row>
    <row r="475" spans="12:15" x14ac:dyDescent="0.3">
      <c r="L475" s="4">
        <f>Trades!P450</f>
        <v>0</v>
      </c>
      <c r="M475" s="5">
        <f>M474+Trades!T450</f>
        <v>17904.819999999996</v>
      </c>
      <c r="N475" s="5">
        <f>N474+Trades!U450</f>
        <v>5.7244737531544461</v>
      </c>
      <c r="O475" s="5">
        <f>O474+Trades!W450</f>
        <v>6622.2355933590607</v>
      </c>
    </row>
    <row r="476" spans="12:15" x14ac:dyDescent="0.3">
      <c r="L476" s="4">
        <f>Trades!P478</f>
        <v>0</v>
      </c>
      <c r="M476" s="5">
        <f>M475+Trades!T478</f>
        <v>17904.819999999996</v>
      </c>
      <c r="N476" s="5">
        <f>N475+Trades!U478</f>
        <v>5.7244737531544461</v>
      </c>
      <c r="O476" s="5">
        <f>O475+Trades!W478</f>
        <v>6622.2355933590607</v>
      </c>
    </row>
    <row r="477" spans="12:15" x14ac:dyDescent="0.3">
      <c r="L477" s="4">
        <f>Trades!P469</f>
        <v>0</v>
      </c>
      <c r="M477" s="5">
        <f>M476+Trades!T469</f>
        <v>17904.819999999996</v>
      </c>
      <c r="N477" s="5">
        <f>N476+Trades!U469</f>
        <v>5.7244737531544461</v>
      </c>
      <c r="O477" s="5">
        <f>O476+Trades!W469</f>
        <v>6622.2355933590607</v>
      </c>
    </row>
    <row r="478" spans="12:15" x14ac:dyDescent="0.3">
      <c r="L478" s="4">
        <f>Trades!P451</f>
        <v>0</v>
      </c>
      <c r="M478" s="5">
        <f>M477+Trades!T451</f>
        <v>17904.819999999996</v>
      </c>
      <c r="N478" s="5">
        <f>N477+Trades!U451</f>
        <v>5.7244737531544461</v>
      </c>
      <c r="O478" s="5">
        <f>O477+Trades!W451</f>
        <v>6622.2355933590607</v>
      </c>
    </row>
    <row r="479" spans="12:15" x14ac:dyDescent="0.3">
      <c r="L479" s="4">
        <f>Trades!P479</f>
        <v>0</v>
      </c>
      <c r="M479" s="5">
        <f>M478+Trades!T479</f>
        <v>17904.819999999996</v>
      </c>
      <c r="N479" s="5">
        <f>N478+Trades!U479</f>
        <v>5.7244737531544461</v>
      </c>
      <c r="O479" s="5">
        <f>O478+Trades!W479</f>
        <v>6622.2355933590607</v>
      </c>
    </row>
    <row r="480" spans="12:15" x14ac:dyDescent="0.3">
      <c r="L480" s="4">
        <f>Trades!P480</f>
        <v>0</v>
      </c>
      <c r="M480" s="5">
        <f>M479+Trades!T480</f>
        <v>17904.819999999996</v>
      </c>
      <c r="N480" s="5">
        <f>N479+Trades!U480</f>
        <v>5.7244737531544461</v>
      </c>
      <c r="O480" s="5">
        <f>O479+Trades!W480</f>
        <v>6622.2355933590607</v>
      </c>
    </row>
    <row r="481" spans="12:15" x14ac:dyDescent="0.3">
      <c r="L481" s="4">
        <f>Trades!P490</f>
        <v>0</v>
      </c>
      <c r="M481" s="5">
        <f>M480+Trades!T490</f>
        <v>17904.819999999996</v>
      </c>
      <c r="N481" s="5">
        <f>N480+Trades!U490</f>
        <v>5.7244737531544461</v>
      </c>
      <c r="O481" s="5">
        <f>O480+Trades!W490</f>
        <v>6622.2355933590607</v>
      </c>
    </row>
    <row r="482" spans="12:15" x14ac:dyDescent="0.3">
      <c r="L482" s="4">
        <f>Trades!P504</f>
        <v>0</v>
      </c>
      <c r="M482" s="5">
        <f>M481+Trades!T504</f>
        <v>17904.819999999996</v>
      </c>
      <c r="N482" s="5">
        <f>N481+Trades!U504</f>
        <v>5.7244737531544461</v>
      </c>
      <c r="O482" s="5">
        <f>O481+Trades!W504</f>
        <v>6622.2355933590607</v>
      </c>
    </row>
    <row r="483" spans="12:15" x14ac:dyDescent="0.3">
      <c r="L483" s="4">
        <f>Trades!P513</f>
        <v>0</v>
      </c>
      <c r="M483" s="5">
        <f>M482+Trades!T513</f>
        <v>17904.819999999996</v>
      </c>
      <c r="N483" s="5">
        <f>N482+Trades!U513</f>
        <v>5.7244737531544461</v>
      </c>
      <c r="O483" s="5">
        <f>O482+Trades!W513</f>
        <v>6622.2355933590607</v>
      </c>
    </row>
    <row r="484" spans="12:15" x14ac:dyDescent="0.3">
      <c r="L484" s="4">
        <f>Trades!P523</f>
        <v>0</v>
      </c>
      <c r="M484" s="5">
        <f>M483+Trades!T523</f>
        <v>17904.819999999996</v>
      </c>
      <c r="N484" s="5">
        <f>N483+Trades!U523</f>
        <v>5.7244737531544461</v>
      </c>
      <c r="O484" s="5">
        <f>O483+Trades!W523</f>
        <v>6622.2355933590607</v>
      </c>
    </row>
    <row r="485" spans="12:15" x14ac:dyDescent="0.3">
      <c r="L485" s="4">
        <f>Trades!P536</f>
        <v>0</v>
      </c>
      <c r="M485" s="5">
        <f>M484+Trades!T536</f>
        <v>17904.819999999996</v>
      </c>
      <c r="N485" s="5">
        <f>N484+Trades!U536</f>
        <v>5.7244737531544461</v>
      </c>
      <c r="O485" s="5">
        <f>O484+Trades!W536</f>
        <v>6622.2355933590607</v>
      </c>
    </row>
    <row r="486" spans="12:15" x14ac:dyDescent="0.3">
      <c r="L486" s="4">
        <f>Trades!P547</f>
        <v>0</v>
      </c>
      <c r="M486" s="5">
        <f>M485+Trades!T547</f>
        <v>17904.819999999996</v>
      </c>
      <c r="N486" s="5">
        <f>N485+Trades!U547</f>
        <v>5.7244737531544461</v>
      </c>
      <c r="O486" s="5">
        <f>O485+Trades!W547</f>
        <v>6622.2355933590607</v>
      </c>
    </row>
    <row r="487" spans="12:15" x14ac:dyDescent="0.3">
      <c r="L487" s="4">
        <f>Trades!P558</f>
        <v>0</v>
      </c>
      <c r="M487" s="5">
        <f>M486+Trades!T558</f>
        <v>17904.819999999996</v>
      </c>
      <c r="N487" s="5">
        <f>N486+Trades!U558</f>
        <v>5.7244737531544461</v>
      </c>
      <c r="O487" s="5">
        <f>O486+Trades!W558</f>
        <v>6622.2355933590607</v>
      </c>
    </row>
    <row r="488" spans="12:15" x14ac:dyDescent="0.3">
      <c r="L488" s="4">
        <f>Trades!P568</f>
        <v>0</v>
      </c>
      <c r="M488" s="5">
        <f>M487+Trades!T568</f>
        <v>17904.819999999996</v>
      </c>
      <c r="N488" s="5">
        <f>N487+Trades!U568</f>
        <v>5.7244737531544461</v>
      </c>
      <c r="O488" s="5">
        <f>O487+Trades!W568</f>
        <v>6622.2355933590607</v>
      </c>
    </row>
    <row r="489" spans="12:15" x14ac:dyDescent="0.3">
      <c r="L489" s="4">
        <f>Trades!P575</f>
        <v>0</v>
      </c>
      <c r="M489" s="5">
        <f>M488+Trades!T575</f>
        <v>17904.819999999996</v>
      </c>
      <c r="N489" s="5">
        <f>N488+Trades!U575</f>
        <v>5.7244737531544461</v>
      </c>
      <c r="O489" s="5">
        <f>O488+Trades!W575</f>
        <v>6622.2355933590607</v>
      </c>
    </row>
    <row r="490" spans="12:15" x14ac:dyDescent="0.3">
      <c r="L490" s="4">
        <f>Trades!P586</f>
        <v>0</v>
      </c>
      <c r="M490" s="5">
        <f>M489+Trades!T586</f>
        <v>17904.819999999996</v>
      </c>
      <c r="N490" s="5">
        <f>N489+Trades!U586</f>
        <v>5.7244737531544461</v>
      </c>
      <c r="O490" s="5">
        <f>O489+Trades!W586</f>
        <v>6622.2355933590607</v>
      </c>
    </row>
    <row r="491" spans="12:15" x14ac:dyDescent="0.3">
      <c r="L491" s="4">
        <f>Trades!P596</f>
        <v>0</v>
      </c>
      <c r="M491" s="5">
        <f>M490+Trades!T596</f>
        <v>17904.819999999996</v>
      </c>
      <c r="N491" s="5">
        <f>N490+Trades!U596</f>
        <v>5.7244737531544461</v>
      </c>
      <c r="O491" s="5">
        <f>O490+Trades!W596</f>
        <v>6622.2355933590607</v>
      </c>
    </row>
    <row r="492" spans="12:15" x14ac:dyDescent="0.3">
      <c r="L492" s="4">
        <f>Trades!P514</f>
        <v>0</v>
      </c>
      <c r="M492" s="5">
        <f>M491+Trades!T514</f>
        <v>17904.819999999996</v>
      </c>
      <c r="N492" s="5">
        <f>N491+Trades!U514</f>
        <v>5.7244737531544461</v>
      </c>
      <c r="O492" s="5">
        <f>O491+Trades!W514</f>
        <v>6622.2355933590607</v>
      </c>
    </row>
    <row r="493" spans="12:15" x14ac:dyDescent="0.3">
      <c r="L493" s="4">
        <f>Trades!P597</f>
        <v>0</v>
      </c>
      <c r="M493" s="5">
        <f>M492+Trades!T597</f>
        <v>17904.819999999996</v>
      </c>
      <c r="N493" s="5">
        <f>N492+Trades!U597</f>
        <v>5.7244737531544461</v>
      </c>
      <c r="O493" s="5">
        <f>O492+Trades!W597</f>
        <v>6622.2355933590607</v>
      </c>
    </row>
    <row r="494" spans="12:15" x14ac:dyDescent="0.3">
      <c r="L494" s="4">
        <f>Trades!P598</f>
        <v>0</v>
      </c>
      <c r="M494" s="5">
        <f>M493+Trades!T598</f>
        <v>17904.819999999996</v>
      </c>
      <c r="N494" s="5">
        <f>N493+Trades!U598</f>
        <v>5.7244737531544461</v>
      </c>
      <c r="O494" s="5">
        <f>O493+Trades!W598</f>
        <v>6622.2355933590607</v>
      </c>
    </row>
    <row r="495" spans="12:15" x14ac:dyDescent="0.3">
      <c r="L495" s="4">
        <f>Trades!P515</f>
        <v>0</v>
      </c>
      <c r="M495" s="5">
        <f>M494+Trades!T515</f>
        <v>17904.819999999996</v>
      </c>
      <c r="N495" s="5">
        <f>N494+Trades!U515</f>
        <v>5.7244737531544461</v>
      </c>
      <c r="O495" s="5">
        <f>O494+Trades!W515</f>
        <v>6622.2355933590607</v>
      </c>
    </row>
    <row r="496" spans="12:15" x14ac:dyDescent="0.3">
      <c r="L496" s="4">
        <f>Trades!P491</f>
        <v>0</v>
      </c>
      <c r="M496" s="5">
        <f>M495+Trades!T491</f>
        <v>17904.819999999996</v>
      </c>
      <c r="N496" s="5">
        <f>N495+Trades!U491</f>
        <v>5.7244737531544461</v>
      </c>
      <c r="O496" s="5">
        <f>O495+Trades!W491</f>
        <v>6622.2355933590607</v>
      </c>
    </row>
    <row r="497" spans="12:15" x14ac:dyDescent="0.3">
      <c r="L497" s="4">
        <f>Trades!P537</f>
        <v>0</v>
      </c>
      <c r="M497" s="5">
        <f>M496+Trades!T537</f>
        <v>17904.819999999996</v>
      </c>
      <c r="N497" s="5">
        <f>N496+Trades!U537</f>
        <v>5.7244737531544461</v>
      </c>
      <c r="O497" s="5">
        <f>O496+Trades!W537</f>
        <v>6622.2355933590607</v>
      </c>
    </row>
    <row r="498" spans="12:15" x14ac:dyDescent="0.3">
      <c r="L498" s="4">
        <f>Trades!P569</f>
        <v>0</v>
      </c>
      <c r="M498" s="5">
        <f>M497+Trades!T569</f>
        <v>17904.819999999996</v>
      </c>
      <c r="N498" s="5">
        <f>N497+Trades!U569</f>
        <v>5.7244737531544461</v>
      </c>
      <c r="O498" s="5">
        <f>O497+Trades!W569</f>
        <v>6622.2355933590607</v>
      </c>
    </row>
    <row r="499" spans="12:15" x14ac:dyDescent="0.3">
      <c r="L499" s="4">
        <f>Trades!P599</f>
        <v>0</v>
      </c>
      <c r="M499" s="5">
        <f>M498+Trades!T599</f>
        <v>17904.819999999996</v>
      </c>
      <c r="N499" s="5">
        <f>N498+Trades!U599</f>
        <v>5.7244737531544461</v>
      </c>
      <c r="O499" s="5">
        <f>O498+Trades!W599</f>
        <v>6622.2355933590607</v>
      </c>
    </row>
    <row r="500" spans="12:15" x14ac:dyDescent="0.3">
      <c r="L500" s="4">
        <f>Trades!P548</f>
        <v>0</v>
      </c>
      <c r="M500" s="5">
        <f>M499+Trades!T548</f>
        <v>17904.819999999996</v>
      </c>
      <c r="N500" s="5">
        <f>N499+Trades!U548</f>
        <v>5.7244737531544461</v>
      </c>
      <c r="O500" s="5">
        <f>O499+Trades!W548</f>
        <v>6622.2355933590607</v>
      </c>
    </row>
    <row r="501" spans="12:15" x14ac:dyDescent="0.3">
      <c r="L501" s="4">
        <f>Trades!P524</f>
        <v>0</v>
      </c>
      <c r="M501" s="5">
        <f>M500+Trades!T524</f>
        <v>17904.819999999996</v>
      </c>
      <c r="N501" s="5">
        <f>N500+Trades!U524</f>
        <v>5.7244737531544461</v>
      </c>
      <c r="O501" s="5">
        <f>O500+Trades!W524</f>
        <v>6622.2355933590607</v>
      </c>
    </row>
    <row r="502" spans="12:15" x14ac:dyDescent="0.3">
      <c r="L502" s="4">
        <f>Trades!P481</f>
        <v>0</v>
      </c>
      <c r="M502" s="5">
        <f>M501+Trades!T481</f>
        <v>17904.819999999996</v>
      </c>
      <c r="N502" s="5">
        <f>N501+Trades!U481</f>
        <v>5.7244737531544461</v>
      </c>
      <c r="O502" s="5">
        <f>O501+Trades!W481</f>
        <v>6622.2355933590607</v>
      </c>
    </row>
    <row r="503" spans="12:15" x14ac:dyDescent="0.3">
      <c r="L503" s="4">
        <f>Trades!P492</f>
        <v>0</v>
      </c>
      <c r="M503" s="5">
        <f>M502+Trades!T492</f>
        <v>17904.819999999996</v>
      </c>
      <c r="N503" s="5">
        <f>N502+Trades!U492</f>
        <v>5.7244737531544461</v>
      </c>
      <c r="O503" s="5">
        <f>O502+Trades!W492</f>
        <v>6622.2355933590607</v>
      </c>
    </row>
    <row r="504" spans="12:15" x14ac:dyDescent="0.3">
      <c r="L504" s="4">
        <f>Trades!P559</f>
        <v>0</v>
      </c>
      <c r="M504" s="5">
        <f>M503+Trades!T559</f>
        <v>17904.819999999996</v>
      </c>
      <c r="N504" s="5">
        <f>N503+Trades!U559</f>
        <v>5.7244737531544461</v>
      </c>
      <c r="O504" s="5">
        <f>O503+Trades!W559</f>
        <v>6622.2355933590607</v>
      </c>
    </row>
    <row r="505" spans="12:15" x14ac:dyDescent="0.3">
      <c r="L505" s="4">
        <f>Trades!P587</f>
        <v>0</v>
      </c>
      <c r="M505" s="5">
        <f>M504+Trades!T587</f>
        <v>17904.819999999996</v>
      </c>
      <c r="N505" s="5">
        <f>N504+Trades!U587</f>
        <v>5.7244737531544461</v>
      </c>
      <c r="O505" s="5">
        <f>O504+Trades!W587</f>
        <v>6622.2355933590607</v>
      </c>
    </row>
    <row r="506" spans="12:15" x14ac:dyDescent="0.3">
      <c r="L506" s="4">
        <f>Trades!P588</f>
        <v>0</v>
      </c>
      <c r="M506" s="5">
        <f>M505+Trades!T588</f>
        <v>17904.819999999996</v>
      </c>
      <c r="N506" s="5">
        <f>N505+Trades!U588</f>
        <v>5.7244737531544461</v>
      </c>
      <c r="O506" s="5">
        <f>O505+Trades!W588</f>
        <v>6622.2355933590607</v>
      </c>
    </row>
    <row r="507" spans="12:15" x14ac:dyDescent="0.3">
      <c r="L507" s="4">
        <f>Trades!P525</f>
        <v>0</v>
      </c>
      <c r="M507" s="5">
        <f>M506+Trades!T525</f>
        <v>17904.819999999996</v>
      </c>
      <c r="N507" s="5">
        <f>N506+Trades!U525</f>
        <v>5.7244737531544461</v>
      </c>
      <c r="O507" s="5">
        <f>O506+Trades!W525</f>
        <v>6622.2355933590607</v>
      </c>
    </row>
    <row r="508" spans="12:15" x14ac:dyDescent="0.3">
      <c r="L508" s="4">
        <f>Trades!P505</f>
        <v>0</v>
      </c>
      <c r="M508" s="5">
        <f>M507+Trades!T505</f>
        <v>17904.819999999996</v>
      </c>
      <c r="N508" s="5">
        <f>N507+Trades!U505</f>
        <v>5.7244737531544461</v>
      </c>
      <c r="O508" s="5">
        <f>O507+Trades!W505</f>
        <v>6622.2355933590607</v>
      </c>
    </row>
    <row r="509" spans="12:15" x14ac:dyDescent="0.3">
      <c r="L509" s="4">
        <f>Trades!P493</f>
        <v>0</v>
      </c>
      <c r="M509" s="5">
        <f>M508+Trades!T493</f>
        <v>17904.819999999996</v>
      </c>
      <c r="N509" s="5">
        <f>N508+Trades!U493</f>
        <v>5.7244737531544461</v>
      </c>
      <c r="O509" s="5">
        <f>O508+Trades!W493</f>
        <v>6622.2355933590607</v>
      </c>
    </row>
    <row r="510" spans="12:15" x14ac:dyDescent="0.3">
      <c r="L510" s="4">
        <f>Trades!P560</f>
        <v>0</v>
      </c>
      <c r="M510" s="5">
        <f>M509+Trades!T560</f>
        <v>17904.819999999996</v>
      </c>
      <c r="N510" s="5">
        <f>N509+Trades!U560</f>
        <v>5.7244737531544461</v>
      </c>
      <c r="O510" s="5">
        <f>O509+Trades!W560</f>
        <v>6622.2355933590607</v>
      </c>
    </row>
    <row r="511" spans="12:15" x14ac:dyDescent="0.3">
      <c r="L511" s="4">
        <f>Trades!P482</f>
        <v>0</v>
      </c>
      <c r="M511" s="5">
        <f>M510+Trades!T482</f>
        <v>17904.819999999996</v>
      </c>
      <c r="N511" s="5">
        <f>N510+Trades!U482</f>
        <v>5.7244737531544461</v>
      </c>
      <c r="O511" s="5">
        <f>O510+Trades!W482</f>
        <v>6622.2355933590607</v>
      </c>
    </row>
    <row r="512" spans="12:15" x14ac:dyDescent="0.3">
      <c r="L512" s="4">
        <f>Trades!P494</f>
        <v>0</v>
      </c>
      <c r="M512" s="5">
        <f>M511+Trades!T494</f>
        <v>17904.819999999996</v>
      </c>
      <c r="N512" s="5">
        <f>N511+Trades!U494</f>
        <v>5.7244737531544461</v>
      </c>
      <c r="O512" s="5">
        <f>O511+Trades!W494</f>
        <v>6622.2355933590607</v>
      </c>
    </row>
    <row r="513" spans="12:15" x14ac:dyDescent="0.3">
      <c r="L513" s="4">
        <f>Trades!P506</f>
        <v>0</v>
      </c>
      <c r="M513" s="5">
        <f>M512+Trades!T506</f>
        <v>17904.819999999996</v>
      </c>
      <c r="N513" s="5">
        <f>N512+Trades!U506</f>
        <v>5.7244737531544461</v>
      </c>
      <c r="O513" s="5">
        <f>O512+Trades!W506</f>
        <v>6622.2355933590607</v>
      </c>
    </row>
    <row r="514" spans="12:15" x14ac:dyDescent="0.3">
      <c r="L514" s="4">
        <f>Trades!P589</f>
        <v>0</v>
      </c>
      <c r="M514" s="5">
        <f>M513+Trades!T589</f>
        <v>17904.819999999996</v>
      </c>
      <c r="N514" s="5">
        <f>N513+Trades!U589</f>
        <v>5.7244737531544461</v>
      </c>
      <c r="O514" s="5">
        <f>O513+Trades!W589</f>
        <v>6622.2355933590607</v>
      </c>
    </row>
    <row r="515" spans="12:15" x14ac:dyDescent="0.3">
      <c r="L515" s="4">
        <f>Trades!P576</f>
        <v>0</v>
      </c>
      <c r="M515" s="5">
        <f>M514+Trades!T576</f>
        <v>17904.819999999996</v>
      </c>
      <c r="N515" s="5">
        <f>N514+Trades!U576</f>
        <v>5.7244737531544461</v>
      </c>
      <c r="O515" s="5">
        <f>O514+Trades!W576</f>
        <v>6622.2355933590607</v>
      </c>
    </row>
    <row r="516" spans="12:15" x14ac:dyDescent="0.3">
      <c r="L516" s="4">
        <f>Trades!P526</f>
        <v>0</v>
      </c>
      <c r="M516" s="5">
        <f>M515+Trades!T526</f>
        <v>17904.819999999996</v>
      </c>
      <c r="N516" s="5">
        <f>N515+Trades!U526</f>
        <v>5.7244737531544461</v>
      </c>
      <c r="O516" s="5">
        <f>O515+Trades!W526</f>
        <v>6622.2355933590607</v>
      </c>
    </row>
    <row r="517" spans="12:15" x14ac:dyDescent="0.3">
      <c r="L517" s="4">
        <f>Trades!P516</f>
        <v>0</v>
      </c>
      <c r="M517" s="5">
        <f>M516+Trades!T516</f>
        <v>17904.819999999996</v>
      </c>
      <c r="N517" s="5">
        <f>N516+Trades!U516</f>
        <v>5.7244737531544461</v>
      </c>
      <c r="O517" s="5">
        <f>O516+Trades!W516</f>
        <v>6622.2355933590607</v>
      </c>
    </row>
    <row r="518" spans="12:15" x14ac:dyDescent="0.3">
      <c r="L518" s="4">
        <f>Trades!P600</f>
        <v>0</v>
      </c>
      <c r="M518" s="5">
        <f>M517+Trades!T600</f>
        <v>17904.819999999996</v>
      </c>
      <c r="N518" s="5">
        <f>N517+Trades!U600</f>
        <v>5.7244737531544461</v>
      </c>
      <c r="O518" s="5">
        <f>O517+Trades!W600</f>
        <v>6622.2355933590607</v>
      </c>
    </row>
    <row r="519" spans="12:15" x14ac:dyDescent="0.3">
      <c r="L519" s="4">
        <f>Trades!P549</f>
        <v>0</v>
      </c>
      <c r="M519" s="5">
        <f>M518+Trades!T549</f>
        <v>17904.819999999996</v>
      </c>
      <c r="N519" s="5">
        <f>N518+Trades!U549</f>
        <v>5.7244737531544461</v>
      </c>
      <c r="O519" s="5">
        <f>O518+Trades!W549</f>
        <v>6622.2355933590607</v>
      </c>
    </row>
    <row r="520" spans="12:15" x14ac:dyDescent="0.3">
      <c r="L520" s="4">
        <f>Trades!P561</f>
        <v>0</v>
      </c>
      <c r="M520" s="5">
        <f>M519+Trades!T561</f>
        <v>17904.819999999996</v>
      </c>
      <c r="N520" s="5">
        <f>N519+Trades!U561</f>
        <v>5.7244737531544461</v>
      </c>
      <c r="O520" s="5">
        <f>O519+Trades!W561</f>
        <v>6622.2355933590607</v>
      </c>
    </row>
    <row r="521" spans="12:15" x14ac:dyDescent="0.3">
      <c r="L521" s="4">
        <f>Trades!P577</f>
        <v>0</v>
      </c>
      <c r="M521" s="5">
        <f>M520+Trades!T577</f>
        <v>17904.819999999996</v>
      </c>
      <c r="N521" s="5">
        <f>N520+Trades!U577</f>
        <v>5.7244737531544461</v>
      </c>
      <c r="O521" s="5">
        <f>O520+Trades!W577</f>
        <v>6622.2355933590607</v>
      </c>
    </row>
    <row r="522" spans="12:15" x14ac:dyDescent="0.3">
      <c r="L522" s="4">
        <f>Trades!P590</f>
        <v>0</v>
      </c>
      <c r="M522" s="5">
        <f>M521+Trades!T590</f>
        <v>17904.819999999996</v>
      </c>
      <c r="N522" s="5">
        <f>N521+Trades!U590</f>
        <v>5.7244737531544461</v>
      </c>
      <c r="O522" s="5">
        <f>O521+Trades!W590</f>
        <v>6622.2355933590607</v>
      </c>
    </row>
    <row r="523" spans="12:15" x14ac:dyDescent="0.3">
      <c r="L523" s="4">
        <f>Trades!P570</f>
        <v>0</v>
      </c>
      <c r="M523" s="5">
        <f>M522+Trades!T570</f>
        <v>17904.819999999996</v>
      </c>
      <c r="N523" s="5">
        <f>N522+Trades!U570</f>
        <v>5.7244737531544461</v>
      </c>
      <c r="O523" s="5">
        <f>O522+Trades!W570</f>
        <v>6622.2355933590607</v>
      </c>
    </row>
    <row r="524" spans="12:15" x14ac:dyDescent="0.3">
      <c r="L524" s="4">
        <f>Trades!P483</f>
        <v>0</v>
      </c>
      <c r="M524" s="5">
        <f>M523+Trades!T483</f>
        <v>17904.819999999996</v>
      </c>
      <c r="N524" s="5">
        <f>N523+Trades!U483</f>
        <v>5.7244737531544461</v>
      </c>
      <c r="O524" s="5">
        <f>O523+Trades!W483</f>
        <v>6622.2355933590607</v>
      </c>
    </row>
    <row r="525" spans="12:15" x14ac:dyDescent="0.3">
      <c r="L525" s="4">
        <f>Trades!P495</f>
        <v>0</v>
      </c>
      <c r="M525" s="5">
        <f>M524+Trades!T495</f>
        <v>17904.819999999996</v>
      </c>
      <c r="N525" s="5">
        <f>N524+Trades!U495</f>
        <v>5.7244737531544461</v>
      </c>
      <c r="O525" s="5">
        <f>O524+Trades!W495</f>
        <v>6622.2355933590607</v>
      </c>
    </row>
    <row r="526" spans="12:15" x14ac:dyDescent="0.3">
      <c r="L526" s="4">
        <f>Trades!P507</f>
        <v>0</v>
      </c>
      <c r="M526" s="5">
        <f>M525+Trades!T507</f>
        <v>17904.819999999996</v>
      </c>
      <c r="N526" s="5">
        <f>N525+Trades!U507</f>
        <v>5.7244737531544461</v>
      </c>
      <c r="O526" s="5">
        <f>O525+Trades!W507</f>
        <v>6622.2355933590607</v>
      </c>
    </row>
    <row r="527" spans="12:15" x14ac:dyDescent="0.3">
      <c r="L527" s="4">
        <f>Trades!P538</f>
        <v>0</v>
      </c>
      <c r="M527" s="5">
        <f>M526+Trades!T538</f>
        <v>17904.819999999996</v>
      </c>
      <c r="N527" s="5">
        <f>N526+Trades!U538</f>
        <v>5.7244737531544461</v>
      </c>
      <c r="O527" s="5">
        <f>O526+Trades!W538</f>
        <v>6622.2355933590607</v>
      </c>
    </row>
    <row r="528" spans="12:15" x14ac:dyDescent="0.3">
      <c r="L528" s="4">
        <f>Trades!P562</f>
        <v>0</v>
      </c>
      <c r="M528" s="5">
        <f>M527+Trades!T562</f>
        <v>17904.819999999996</v>
      </c>
      <c r="N528" s="5">
        <f>N527+Trades!U562</f>
        <v>5.7244737531544461</v>
      </c>
      <c r="O528" s="5">
        <f>O527+Trades!W562</f>
        <v>6622.2355933590607</v>
      </c>
    </row>
    <row r="529" spans="12:15" x14ac:dyDescent="0.3">
      <c r="L529" s="4">
        <f>Trades!P550</f>
        <v>0</v>
      </c>
      <c r="M529" s="5">
        <f>M528+Trades!T550</f>
        <v>17904.819999999996</v>
      </c>
      <c r="N529" s="5">
        <f>N528+Trades!U550</f>
        <v>5.7244737531544461</v>
      </c>
      <c r="O529" s="5">
        <f>O528+Trades!W550</f>
        <v>6622.2355933590607</v>
      </c>
    </row>
    <row r="530" spans="12:15" x14ac:dyDescent="0.3">
      <c r="L530" s="4">
        <f>Trades!P601</f>
        <v>0</v>
      </c>
      <c r="M530" s="5">
        <f>M529+Trades!T601</f>
        <v>17904.819999999996</v>
      </c>
      <c r="N530" s="5">
        <f>N529+Trades!U601</f>
        <v>5.7244737531544461</v>
      </c>
      <c r="O530" s="5">
        <f>O529+Trades!W601</f>
        <v>6622.2355933590607</v>
      </c>
    </row>
    <row r="531" spans="12:15" x14ac:dyDescent="0.3">
      <c r="L531" s="4">
        <f>Trades!P539</f>
        <v>0</v>
      </c>
      <c r="M531" s="5">
        <f>M530+Trades!T539</f>
        <v>17904.819999999996</v>
      </c>
      <c r="N531" s="5">
        <f>N530+Trades!U539</f>
        <v>5.7244737531544461</v>
      </c>
      <c r="O531" s="5">
        <f>O530+Trades!W539</f>
        <v>6622.2355933590607</v>
      </c>
    </row>
    <row r="532" spans="12:15" x14ac:dyDescent="0.3">
      <c r="L532" s="4">
        <f>Trades!P591</f>
        <v>0</v>
      </c>
      <c r="M532" s="5">
        <f>M531+Trades!T591</f>
        <v>17904.819999999996</v>
      </c>
      <c r="N532" s="5">
        <f>N531+Trades!U591</f>
        <v>5.7244737531544461</v>
      </c>
      <c r="O532" s="5">
        <f>O531+Trades!W591</f>
        <v>6622.2355933590607</v>
      </c>
    </row>
    <row r="533" spans="12:15" x14ac:dyDescent="0.3">
      <c r="L533" s="4">
        <f>Trades!P496</f>
        <v>0</v>
      </c>
      <c r="M533" s="5">
        <f>M532+Trades!T496</f>
        <v>17904.819999999996</v>
      </c>
      <c r="N533" s="5">
        <f>N532+Trades!U496</f>
        <v>5.7244737531544461</v>
      </c>
      <c r="O533" s="5">
        <f>O532+Trades!W496</f>
        <v>6622.2355933590607</v>
      </c>
    </row>
    <row r="534" spans="12:15" x14ac:dyDescent="0.3">
      <c r="L534" s="4">
        <f>Trades!P571</f>
        <v>0</v>
      </c>
      <c r="M534" s="5">
        <f>M533+Trades!T571</f>
        <v>17904.819999999996</v>
      </c>
      <c r="N534" s="5">
        <f>N533+Trades!U571</f>
        <v>5.7244737531544461</v>
      </c>
      <c r="O534" s="5">
        <f>O533+Trades!W571</f>
        <v>6622.2355933590607</v>
      </c>
    </row>
    <row r="535" spans="12:15" x14ac:dyDescent="0.3">
      <c r="L535" s="4">
        <f>Trades!P578</f>
        <v>0</v>
      </c>
      <c r="M535" s="5">
        <f>M534+Trades!T578</f>
        <v>17904.819999999996</v>
      </c>
      <c r="N535" s="5">
        <f>N534+Trades!U578</f>
        <v>5.7244737531544461</v>
      </c>
      <c r="O535" s="5">
        <f>O534+Trades!W578</f>
        <v>6622.2355933590607</v>
      </c>
    </row>
    <row r="536" spans="12:15" x14ac:dyDescent="0.3">
      <c r="L536" s="4">
        <f>Trades!P527</f>
        <v>0</v>
      </c>
      <c r="M536" s="5">
        <f>M535+Trades!T527</f>
        <v>17904.819999999996</v>
      </c>
      <c r="N536" s="5">
        <f>N535+Trades!U527</f>
        <v>5.7244737531544461</v>
      </c>
      <c r="O536" s="5">
        <f>O535+Trades!W527</f>
        <v>6622.2355933590607</v>
      </c>
    </row>
    <row r="537" spans="12:15" x14ac:dyDescent="0.3">
      <c r="L537" s="4">
        <f>Trades!P540</f>
        <v>0</v>
      </c>
      <c r="M537" s="5">
        <f>M536+Trades!T540</f>
        <v>17904.819999999996</v>
      </c>
      <c r="N537" s="5">
        <f>N536+Trades!U540</f>
        <v>5.7244737531544461</v>
      </c>
      <c r="O537" s="5">
        <f>O536+Trades!W540</f>
        <v>6622.2355933590607</v>
      </c>
    </row>
    <row r="538" spans="12:15" x14ac:dyDescent="0.3">
      <c r="L538" s="4">
        <f>Trades!P563</f>
        <v>0</v>
      </c>
      <c r="M538" s="5">
        <f>M537+Trades!T563</f>
        <v>17904.819999999996</v>
      </c>
      <c r="N538" s="5">
        <f>N537+Trades!U563</f>
        <v>5.7244737531544461</v>
      </c>
      <c r="O538" s="5">
        <f>O537+Trades!W563</f>
        <v>6622.2355933590607</v>
      </c>
    </row>
    <row r="539" spans="12:15" x14ac:dyDescent="0.3">
      <c r="L539" s="4">
        <f>Trades!P602</f>
        <v>0</v>
      </c>
      <c r="M539" s="5">
        <f>M538+Trades!T602</f>
        <v>17904.819999999996</v>
      </c>
      <c r="N539" s="5">
        <f>N538+Trades!U602</f>
        <v>5.7244737531544461</v>
      </c>
      <c r="O539" s="5">
        <f>O538+Trades!W602</f>
        <v>6622.2355933590607</v>
      </c>
    </row>
    <row r="540" spans="12:15" x14ac:dyDescent="0.3">
      <c r="L540" s="4">
        <f>Trades!P528</f>
        <v>0</v>
      </c>
      <c r="M540" s="5">
        <f>M539+Trades!T528</f>
        <v>17904.819999999996</v>
      </c>
      <c r="N540" s="5">
        <f>N539+Trades!U528</f>
        <v>5.7244737531544461</v>
      </c>
      <c r="O540" s="5">
        <f>O539+Trades!W528</f>
        <v>6622.2355933590607</v>
      </c>
    </row>
    <row r="541" spans="12:15" x14ac:dyDescent="0.3">
      <c r="L541" s="4">
        <f>Trades!P484</f>
        <v>0</v>
      </c>
      <c r="M541" s="5">
        <f>M540+Trades!T484</f>
        <v>17904.819999999996</v>
      </c>
      <c r="N541" s="5">
        <f>N540+Trades!U484</f>
        <v>5.7244737531544461</v>
      </c>
      <c r="O541" s="5">
        <f>O540+Trades!W484</f>
        <v>6622.2355933590607</v>
      </c>
    </row>
    <row r="542" spans="12:15" x14ac:dyDescent="0.3">
      <c r="L542" s="4">
        <f>Trades!P497</f>
        <v>0</v>
      </c>
      <c r="M542" s="5">
        <f>M541+Trades!T497</f>
        <v>17904.819999999996</v>
      </c>
      <c r="N542" s="5">
        <f>N541+Trades!U497</f>
        <v>5.7244737531544461</v>
      </c>
      <c r="O542" s="5">
        <f>O541+Trades!W497</f>
        <v>6622.2355933590607</v>
      </c>
    </row>
    <row r="543" spans="12:15" x14ac:dyDescent="0.3">
      <c r="L543" s="4">
        <f>Trades!P517</f>
        <v>0</v>
      </c>
      <c r="M543" s="5">
        <f>M542+Trades!T517</f>
        <v>17904.819999999996</v>
      </c>
      <c r="N543" s="5">
        <f>N542+Trades!U517</f>
        <v>5.7244737531544461</v>
      </c>
      <c r="O543" s="5">
        <f>O542+Trades!W517</f>
        <v>6622.2355933590607</v>
      </c>
    </row>
    <row r="544" spans="12:15" x14ac:dyDescent="0.3">
      <c r="L544" s="4">
        <f>Trades!P572</f>
        <v>0</v>
      </c>
      <c r="M544" s="5">
        <f>M543+Trades!T572</f>
        <v>17904.819999999996</v>
      </c>
      <c r="N544" s="5">
        <f>N543+Trades!U572</f>
        <v>5.7244737531544461</v>
      </c>
      <c r="O544" s="5">
        <f>O543+Trades!W572</f>
        <v>6622.2355933590607</v>
      </c>
    </row>
    <row r="545" spans="12:15" x14ac:dyDescent="0.3">
      <c r="L545" s="4">
        <f>Trades!P541</f>
        <v>0</v>
      </c>
      <c r="M545" s="5">
        <f>M544+Trades!T541</f>
        <v>17904.819999999996</v>
      </c>
      <c r="N545" s="5">
        <f>N544+Trades!U541</f>
        <v>5.7244737531544461</v>
      </c>
      <c r="O545" s="5">
        <f>O544+Trades!W541</f>
        <v>6622.2355933590607</v>
      </c>
    </row>
    <row r="546" spans="12:15" x14ac:dyDescent="0.3">
      <c r="L546" s="4">
        <f>Trades!P498</f>
        <v>0</v>
      </c>
      <c r="M546" s="5">
        <f>M545+Trades!T498</f>
        <v>17904.819999999996</v>
      </c>
      <c r="N546" s="5">
        <f>N545+Trades!U498</f>
        <v>5.7244737531544461</v>
      </c>
      <c r="O546" s="5">
        <f>O545+Trades!W498</f>
        <v>6622.2355933590607</v>
      </c>
    </row>
    <row r="547" spans="12:15" x14ac:dyDescent="0.3">
      <c r="L547" s="4">
        <f>Trades!P579</f>
        <v>0</v>
      </c>
      <c r="M547" s="5">
        <f>M546+Trades!T579</f>
        <v>17904.819999999996</v>
      </c>
      <c r="N547" s="5">
        <f>N546+Trades!U579</f>
        <v>5.7244737531544461</v>
      </c>
      <c r="O547" s="5">
        <f>O546+Trades!W579</f>
        <v>6622.2355933590607</v>
      </c>
    </row>
    <row r="548" spans="12:15" x14ac:dyDescent="0.3">
      <c r="L548" s="4">
        <f>Trades!P542</f>
        <v>0</v>
      </c>
      <c r="M548" s="5">
        <f>M547+Trades!T542</f>
        <v>17904.819999999996</v>
      </c>
      <c r="N548" s="5">
        <f>N547+Trades!U542</f>
        <v>5.7244737531544461</v>
      </c>
      <c r="O548" s="5">
        <f>O547+Trades!W542</f>
        <v>6622.2355933590607</v>
      </c>
    </row>
    <row r="549" spans="12:15" x14ac:dyDescent="0.3">
      <c r="L549" s="4">
        <f>Trades!P518</f>
        <v>0</v>
      </c>
      <c r="M549" s="5">
        <f>M548+Trades!T518</f>
        <v>17904.819999999996</v>
      </c>
      <c r="N549" s="5">
        <f>N548+Trades!U518</f>
        <v>5.7244737531544461</v>
      </c>
      <c r="O549" s="5">
        <f>O548+Trades!W518</f>
        <v>6622.2355933590607</v>
      </c>
    </row>
    <row r="550" spans="12:15" x14ac:dyDescent="0.3">
      <c r="L550" s="4">
        <f>Trades!P580</f>
        <v>0</v>
      </c>
      <c r="M550" s="5">
        <f>M549+Trades!T580</f>
        <v>17904.819999999996</v>
      </c>
      <c r="N550" s="5">
        <f>N549+Trades!U580</f>
        <v>5.7244737531544461</v>
      </c>
      <c r="O550" s="5">
        <f>O549+Trades!W580</f>
        <v>6622.2355933590607</v>
      </c>
    </row>
    <row r="551" spans="12:15" x14ac:dyDescent="0.3">
      <c r="L551" s="4">
        <f>Trades!P529</f>
        <v>0</v>
      </c>
      <c r="M551" s="5">
        <f>M550+Trades!T529</f>
        <v>17904.819999999996</v>
      </c>
      <c r="N551" s="5">
        <f>N550+Trades!U529</f>
        <v>5.7244737531544461</v>
      </c>
      <c r="O551" s="5">
        <f>O550+Trades!W529</f>
        <v>6622.2355933590607</v>
      </c>
    </row>
    <row r="552" spans="12:15" x14ac:dyDescent="0.3">
      <c r="L552" s="4">
        <f>Trades!P592</f>
        <v>0</v>
      </c>
      <c r="M552" s="5">
        <f>M551+Trades!T592</f>
        <v>17904.819999999996</v>
      </c>
      <c r="N552" s="5">
        <f>N551+Trades!U592</f>
        <v>5.7244737531544461</v>
      </c>
      <c r="O552" s="5">
        <f>O551+Trades!W592</f>
        <v>6622.2355933590607</v>
      </c>
    </row>
    <row r="553" spans="12:15" x14ac:dyDescent="0.3">
      <c r="L553" s="4">
        <f>Trades!P508</f>
        <v>0</v>
      </c>
      <c r="M553" s="5">
        <f>M552+Trades!T508</f>
        <v>17904.819999999996</v>
      </c>
      <c r="N553" s="5">
        <f>N552+Trades!U508</f>
        <v>5.7244737531544461</v>
      </c>
      <c r="O553" s="5">
        <f>O552+Trades!W508</f>
        <v>6622.2355933590607</v>
      </c>
    </row>
    <row r="554" spans="12:15" x14ac:dyDescent="0.3">
      <c r="L554" s="4">
        <f>Trades!P485</f>
        <v>0</v>
      </c>
      <c r="M554" s="5">
        <f>M553+Trades!T485</f>
        <v>17904.819999999996</v>
      </c>
      <c r="N554" s="5">
        <f>N553+Trades!U485</f>
        <v>5.7244737531544461</v>
      </c>
      <c r="O554" s="5">
        <f>O553+Trades!W485</f>
        <v>6622.2355933590607</v>
      </c>
    </row>
    <row r="555" spans="12:15" x14ac:dyDescent="0.3">
      <c r="L555" s="4">
        <f>Trades!P499</f>
        <v>0</v>
      </c>
      <c r="M555" s="5">
        <f>M554+Trades!T499</f>
        <v>17904.819999999996</v>
      </c>
      <c r="N555" s="5">
        <f>N554+Trades!U499</f>
        <v>5.7244737531544461</v>
      </c>
      <c r="O555" s="5">
        <f>O554+Trades!W499</f>
        <v>6622.2355933590607</v>
      </c>
    </row>
    <row r="556" spans="12:15" x14ac:dyDescent="0.3">
      <c r="L556" s="4">
        <f>Trades!P564</f>
        <v>0</v>
      </c>
      <c r="M556" s="5">
        <f>M555+Trades!T564</f>
        <v>17904.819999999996</v>
      </c>
      <c r="N556" s="5">
        <f>N555+Trades!U564</f>
        <v>5.7244737531544461</v>
      </c>
      <c r="O556" s="5">
        <f>O555+Trades!W564</f>
        <v>6622.2355933590607</v>
      </c>
    </row>
    <row r="557" spans="12:15" x14ac:dyDescent="0.3">
      <c r="L557" s="4">
        <f>Trades!P593</f>
        <v>0</v>
      </c>
      <c r="M557" s="5">
        <f>M556+Trades!T593</f>
        <v>17904.819999999996</v>
      </c>
      <c r="N557" s="5">
        <f>N556+Trades!U593</f>
        <v>5.7244737531544461</v>
      </c>
      <c r="O557" s="5">
        <f>O556+Trades!W593</f>
        <v>6622.2355933590607</v>
      </c>
    </row>
    <row r="558" spans="12:15" x14ac:dyDescent="0.3">
      <c r="L558" s="4">
        <f>Trades!P519</f>
        <v>0</v>
      </c>
      <c r="M558" s="5">
        <f>M557+Trades!T519</f>
        <v>17904.819999999996</v>
      </c>
      <c r="N558" s="5">
        <f>N557+Trades!U519</f>
        <v>5.7244737531544461</v>
      </c>
      <c r="O558" s="5">
        <f>O557+Trades!W519</f>
        <v>6622.2355933590607</v>
      </c>
    </row>
    <row r="559" spans="12:15" x14ac:dyDescent="0.3">
      <c r="L559" s="4">
        <f>Trades!P581</f>
        <v>0</v>
      </c>
      <c r="M559" s="5">
        <f>M558+Trades!T581</f>
        <v>17904.819999999996</v>
      </c>
      <c r="N559" s="5">
        <f>N558+Trades!U581</f>
        <v>5.7244737531544461</v>
      </c>
      <c r="O559" s="5">
        <f>O558+Trades!W581</f>
        <v>6622.2355933590607</v>
      </c>
    </row>
    <row r="560" spans="12:15" x14ac:dyDescent="0.3">
      <c r="L560" s="4">
        <f>Trades!P486</f>
        <v>0</v>
      </c>
      <c r="M560" s="5">
        <f>M559+Trades!T486</f>
        <v>17904.819999999996</v>
      </c>
      <c r="N560" s="5">
        <f>N559+Trades!U486</f>
        <v>5.7244737531544461</v>
      </c>
      <c r="O560" s="5">
        <f>O559+Trades!W486</f>
        <v>6622.2355933590607</v>
      </c>
    </row>
    <row r="561" spans="12:15" x14ac:dyDescent="0.3">
      <c r="L561" s="4">
        <f>Trades!P543</f>
        <v>0</v>
      </c>
      <c r="M561" s="5">
        <f>M560+Trades!T543</f>
        <v>17904.819999999996</v>
      </c>
      <c r="N561" s="5">
        <f>N560+Trades!U543</f>
        <v>5.7244737531544461</v>
      </c>
      <c r="O561" s="5">
        <f>O560+Trades!W543</f>
        <v>6622.2355933590607</v>
      </c>
    </row>
    <row r="562" spans="12:15" x14ac:dyDescent="0.3">
      <c r="L562" s="4">
        <f>Trades!P551</f>
        <v>0</v>
      </c>
      <c r="M562" s="5">
        <f>M561+Trades!T551</f>
        <v>17904.819999999996</v>
      </c>
      <c r="N562" s="5">
        <f>N561+Trades!U551</f>
        <v>5.7244737531544461</v>
      </c>
      <c r="O562" s="5">
        <f>O561+Trades!W551</f>
        <v>6622.2355933590607</v>
      </c>
    </row>
    <row r="563" spans="12:15" x14ac:dyDescent="0.3">
      <c r="L563" s="4">
        <f>Trades!P509</f>
        <v>0</v>
      </c>
      <c r="M563" s="5">
        <f>M562+Trades!T509</f>
        <v>17904.819999999996</v>
      </c>
      <c r="N563" s="5">
        <f>N562+Trades!U509</f>
        <v>5.7244737531544461</v>
      </c>
      <c r="O563" s="5">
        <f>O562+Trades!W509</f>
        <v>6622.2355933590607</v>
      </c>
    </row>
    <row r="564" spans="12:15" x14ac:dyDescent="0.3">
      <c r="L564" s="4">
        <f>Trades!P603</f>
        <v>0</v>
      </c>
      <c r="M564" s="5">
        <f>M563+Trades!T603</f>
        <v>17904.819999999996</v>
      </c>
      <c r="N564" s="5">
        <f>N563+Trades!U603</f>
        <v>5.7244737531544461</v>
      </c>
      <c r="O564" s="5">
        <f>O563+Trades!W603</f>
        <v>6622.2355933590607</v>
      </c>
    </row>
    <row r="565" spans="12:15" x14ac:dyDescent="0.3">
      <c r="L565" s="4">
        <f>Trades!P500</f>
        <v>0</v>
      </c>
      <c r="M565" s="5">
        <f>M564+Trades!T500</f>
        <v>17904.819999999996</v>
      </c>
      <c r="N565" s="5">
        <f>N564+Trades!U500</f>
        <v>5.7244737531544461</v>
      </c>
      <c r="O565" s="5">
        <f>O564+Trades!W500</f>
        <v>6622.2355933590607</v>
      </c>
    </row>
    <row r="566" spans="12:15" x14ac:dyDescent="0.3">
      <c r="L566" s="4">
        <f>Trades!P530</f>
        <v>0</v>
      </c>
      <c r="M566" s="5">
        <f>M565+Trades!T530</f>
        <v>17904.819999999996</v>
      </c>
      <c r="N566" s="5">
        <f>N565+Trades!U530</f>
        <v>5.7244737531544461</v>
      </c>
      <c r="O566" s="5">
        <f>O565+Trades!W530</f>
        <v>6622.2355933590607</v>
      </c>
    </row>
    <row r="567" spans="12:15" x14ac:dyDescent="0.3">
      <c r="L567" s="4">
        <f>Trades!P544</f>
        <v>0</v>
      </c>
      <c r="M567" s="5">
        <f>M566+Trades!T544</f>
        <v>17904.819999999996</v>
      </c>
      <c r="N567" s="5">
        <f>N566+Trades!U544</f>
        <v>5.7244737531544461</v>
      </c>
      <c r="O567" s="5">
        <f>O566+Trades!W544</f>
        <v>6622.2355933590607</v>
      </c>
    </row>
    <row r="568" spans="12:15" x14ac:dyDescent="0.3">
      <c r="L568" s="4">
        <f>Trades!P552</f>
        <v>0</v>
      </c>
      <c r="M568" s="5">
        <f>M567+Trades!T552</f>
        <v>17904.819999999996</v>
      </c>
      <c r="N568" s="5">
        <f>N567+Trades!U552</f>
        <v>5.7244737531544461</v>
      </c>
      <c r="O568" s="5">
        <f>O567+Trades!W552</f>
        <v>6622.2355933590607</v>
      </c>
    </row>
    <row r="569" spans="12:15" x14ac:dyDescent="0.3">
      <c r="L569" s="4">
        <f>Trades!P531</f>
        <v>0</v>
      </c>
      <c r="M569" s="5">
        <f>M568+Trades!T531</f>
        <v>17904.819999999996</v>
      </c>
      <c r="N569" s="5">
        <f>N568+Trades!U531</f>
        <v>5.7244737531544461</v>
      </c>
      <c r="O569" s="5">
        <f>O568+Trades!W531</f>
        <v>6622.2355933590607</v>
      </c>
    </row>
    <row r="570" spans="12:15" x14ac:dyDescent="0.3">
      <c r="L570" s="4">
        <f>Trades!P582</f>
        <v>0</v>
      </c>
      <c r="M570" s="5">
        <f>M569+Trades!T582</f>
        <v>17904.819999999996</v>
      </c>
      <c r="N570" s="5">
        <f>N569+Trades!U582</f>
        <v>5.7244737531544461</v>
      </c>
      <c r="O570" s="5">
        <f>O569+Trades!W582</f>
        <v>6622.2355933590607</v>
      </c>
    </row>
    <row r="571" spans="12:15" x14ac:dyDescent="0.3">
      <c r="L571" s="4">
        <f>Trades!P565</f>
        <v>0</v>
      </c>
      <c r="M571" s="5">
        <f>M570+Trades!T565</f>
        <v>17904.819999999996</v>
      </c>
      <c r="N571" s="5">
        <f>N570+Trades!U565</f>
        <v>5.7244737531544461</v>
      </c>
      <c r="O571" s="5">
        <f>O570+Trades!W565</f>
        <v>6622.2355933590607</v>
      </c>
    </row>
    <row r="572" spans="12:15" x14ac:dyDescent="0.3">
      <c r="L572" s="4">
        <f>Trades!P532</f>
        <v>0</v>
      </c>
      <c r="M572" s="5">
        <f>M571+Trades!T532</f>
        <v>17904.819999999996</v>
      </c>
      <c r="N572" s="5">
        <f>N571+Trades!U532</f>
        <v>5.7244737531544461</v>
      </c>
      <c r="O572" s="5">
        <f>O571+Trades!W532</f>
        <v>6622.2355933590607</v>
      </c>
    </row>
    <row r="573" spans="12:15" x14ac:dyDescent="0.3">
      <c r="L573" s="4">
        <f>Trades!P604</f>
        <v>0</v>
      </c>
      <c r="M573" s="5">
        <f>M572+Trades!T604</f>
        <v>17904.819999999996</v>
      </c>
      <c r="N573" s="5">
        <f>N572+Trades!U604</f>
        <v>5.7244737531544461</v>
      </c>
      <c r="O573" s="5">
        <f>O572+Trades!W604</f>
        <v>6622.2355933590607</v>
      </c>
    </row>
    <row r="574" spans="12:15" x14ac:dyDescent="0.3">
      <c r="L574" s="4">
        <f>Trades!P520</f>
        <v>0</v>
      </c>
      <c r="M574" s="5">
        <f>M573+Trades!T520</f>
        <v>17904.819999999996</v>
      </c>
      <c r="N574" s="5">
        <f>N573+Trades!U520</f>
        <v>5.7244737531544461</v>
      </c>
      <c r="O574" s="5">
        <f>O573+Trades!W520</f>
        <v>6622.2355933590607</v>
      </c>
    </row>
    <row r="575" spans="12:15" x14ac:dyDescent="0.3">
      <c r="L575" s="4">
        <f>Trades!P553</f>
        <v>0</v>
      </c>
      <c r="M575" s="5">
        <f>M574+Trades!T553</f>
        <v>17904.819999999996</v>
      </c>
      <c r="N575" s="5">
        <f>N574+Trades!U553</f>
        <v>5.7244737531544461</v>
      </c>
      <c r="O575" s="5">
        <f>O574+Trades!W553</f>
        <v>6622.2355933590607</v>
      </c>
    </row>
    <row r="576" spans="12:15" x14ac:dyDescent="0.3">
      <c r="L576" s="4">
        <f>Trades!P501</f>
        <v>0</v>
      </c>
      <c r="M576" s="5">
        <f>M575+Trades!T501</f>
        <v>17904.819999999996</v>
      </c>
      <c r="N576" s="5">
        <f>N575+Trades!U501</f>
        <v>5.7244737531544461</v>
      </c>
      <c r="O576" s="5">
        <f>O575+Trades!W501</f>
        <v>6622.2355933590607</v>
      </c>
    </row>
    <row r="577" spans="12:15" x14ac:dyDescent="0.3">
      <c r="L577" s="4">
        <f>Trades!P533</f>
        <v>0</v>
      </c>
      <c r="M577" s="5">
        <f>M576+Trades!T533</f>
        <v>17904.819999999996</v>
      </c>
      <c r="N577" s="5">
        <f>N576+Trades!U533</f>
        <v>5.7244737531544461</v>
      </c>
      <c r="O577" s="5">
        <f>O576+Trades!W533</f>
        <v>6622.2355933590607</v>
      </c>
    </row>
    <row r="578" spans="12:15" x14ac:dyDescent="0.3">
      <c r="L578" s="4">
        <f>Trades!P487</f>
        <v>0</v>
      </c>
      <c r="M578" s="5">
        <f>M577+Trades!T487</f>
        <v>17904.819999999996</v>
      </c>
      <c r="N578" s="5">
        <f>N577+Trades!U487</f>
        <v>5.7244737531544461</v>
      </c>
      <c r="O578" s="5">
        <f>O577+Trades!W487</f>
        <v>6622.2355933590607</v>
      </c>
    </row>
    <row r="579" spans="12:15" x14ac:dyDescent="0.3">
      <c r="L579" s="4">
        <f>Trades!P554</f>
        <v>0</v>
      </c>
      <c r="M579" s="5">
        <f>M578+Trades!T554</f>
        <v>17904.819999999996</v>
      </c>
      <c r="N579" s="5">
        <f>N578+Trades!U554</f>
        <v>5.7244737531544461</v>
      </c>
      <c r="O579" s="5">
        <f>O578+Trades!W554</f>
        <v>6622.2355933590607</v>
      </c>
    </row>
    <row r="580" spans="12:15" x14ac:dyDescent="0.3">
      <c r="L580" s="4">
        <f>Trades!P502</f>
        <v>0</v>
      </c>
      <c r="M580" s="5">
        <f>M579+Trades!T502</f>
        <v>17904.819999999996</v>
      </c>
      <c r="N580" s="5">
        <f>N579+Trades!U502</f>
        <v>5.7244737531544461</v>
      </c>
      <c r="O580" s="5">
        <f>O579+Trades!W502</f>
        <v>6622.2355933590607</v>
      </c>
    </row>
    <row r="581" spans="12:15" x14ac:dyDescent="0.3">
      <c r="L581" s="4">
        <f>Trades!P566</f>
        <v>0</v>
      </c>
      <c r="M581" s="5">
        <f>M580+Trades!T566</f>
        <v>17904.819999999996</v>
      </c>
      <c r="N581" s="5">
        <f>N580+Trades!U566</f>
        <v>5.7244737531544461</v>
      </c>
      <c r="O581" s="5">
        <f>O580+Trades!W566</f>
        <v>6622.2355933590607</v>
      </c>
    </row>
    <row r="582" spans="12:15" x14ac:dyDescent="0.3">
      <c r="L582" s="4">
        <f>Trades!P510</f>
        <v>0</v>
      </c>
      <c r="M582" s="5">
        <f>M581+Trades!T510</f>
        <v>17904.819999999996</v>
      </c>
      <c r="N582" s="5">
        <f>N581+Trades!U510</f>
        <v>5.7244737531544461</v>
      </c>
      <c r="O582" s="5">
        <f>O581+Trades!W510</f>
        <v>6622.2355933590607</v>
      </c>
    </row>
    <row r="583" spans="12:15" x14ac:dyDescent="0.3">
      <c r="L583" s="4">
        <f>Trades!P555</f>
        <v>0</v>
      </c>
      <c r="M583" s="5">
        <f>M582+Trades!T555</f>
        <v>17904.819999999996</v>
      </c>
      <c r="N583" s="5">
        <f>N582+Trades!U555</f>
        <v>5.7244737531544461</v>
      </c>
      <c r="O583" s="5">
        <f>O582+Trades!W555</f>
        <v>6622.2355933590607</v>
      </c>
    </row>
    <row r="584" spans="12:15" x14ac:dyDescent="0.3">
      <c r="L584" s="4">
        <f>Trades!P545</f>
        <v>0</v>
      </c>
      <c r="M584" s="5">
        <f>M583+Trades!T545</f>
        <v>17904.819999999996</v>
      </c>
      <c r="N584" s="5">
        <f>N583+Trades!U545</f>
        <v>5.7244737531544461</v>
      </c>
      <c r="O584" s="5">
        <f>O583+Trades!W545</f>
        <v>6622.2355933590607</v>
      </c>
    </row>
    <row r="585" spans="12:15" x14ac:dyDescent="0.3">
      <c r="L585" s="4">
        <f>Trades!P583</f>
        <v>0</v>
      </c>
      <c r="M585" s="5">
        <f>M584+Trades!T583</f>
        <v>17904.819999999996</v>
      </c>
      <c r="N585" s="5">
        <f>N584+Trades!U583</f>
        <v>5.7244737531544461</v>
      </c>
      <c r="O585" s="5">
        <f>O584+Trades!W583</f>
        <v>6622.2355933590607</v>
      </c>
    </row>
    <row r="586" spans="12:15" x14ac:dyDescent="0.3">
      <c r="L586" s="4">
        <f>Trades!P594</f>
        <v>0</v>
      </c>
      <c r="M586" s="5">
        <f>M585+Trades!T594</f>
        <v>17904.819999999996</v>
      </c>
      <c r="N586" s="5">
        <f>N585+Trades!U594</f>
        <v>5.7244737531544461</v>
      </c>
      <c r="O586" s="5">
        <f>O585+Trades!W594</f>
        <v>6622.2355933590607</v>
      </c>
    </row>
    <row r="587" spans="12:15" x14ac:dyDescent="0.3">
      <c r="L587" s="4">
        <f>Trades!P573</f>
        <v>0</v>
      </c>
      <c r="M587" s="5">
        <f>M586+Trades!T573</f>
        <v>17904.819999999996</v>
      </c>
      <c r="N587" s="5">
        <f>N586+Trades!U573</f>
        <v>5.7244737531544461</v>
      </c>
      <c r="O587" s="5">
        <f>O586+Trades!W573</f>
        <v>6622.2355933590607</v>
      </c>
    </row>
    <row r="588" spans="12:15" x14ac:dyDescent="0.3">
      <c r="L588" s="4">
        <f>Trades!P584</f>
        <v>0</v>
      </c>
      <c r="M588" s="5">
        <f>M587+Trades!T584</f>
        <v>17904.819999999996</v>
      </c>
      <c r="N588" s="5">
        <f>N587+Trades!U584</f>
        <v>5.7244737531544461</v>
      </c>
      <c r="O588" s="5">
        <f>O587+Trades!W584</f>
        <v>6622.2355933590607</v>
      </c>
    </row>
    <row r="589" spans="12:15" x14ac:dyDescent="0.3">
      <c r="L589" s="4">
        <f>Trades!P521</f>
        <v>0</v>
      </c>
      <c r="M589" s="5">
        <f>M588+Trades!T521</f>
        <v>17904.819999999996</v>
      </c>
      <c r="N589" s="5">
        <f>N588+Trades!U521</f>
        <v>5.7244737531544461</v>
      </c>
      <c r="O589" s="5">
        <f>O588+Trades!W521</f>
        <v>6622.2355933590607</v>
      </c>
    </row>
    <row r="590" spans="12:15" x14ac:dyDescent="0.3">
      <c r="L590" s="4">
        <f>Trades!P556</f>
        <v>0</v>
      </c>
      <c r="M590" s="5">
        <f>M589+Trades!T556</f>
        <v>17904.819999999996</v>
      </c>
      <c r="N590" s="5">
        <f>N589+Trades!U556</f>
        <v>5.7244737531544461</v>
      </c>
      <c r="O590" s="5">
        <f>O589+Trades!W556</f>
        <v>6622.2355933590607</v>
      </c>
    </row>
    <row r="591" spans="12:15" x14ac:dyDescent="0.3">
      <c r="L591" s="4">
        <f>Trades!P511</f>
        <v>0</v>
      </c>
      <c r="M591" s="5">
        <f>M590+Trades!T511</f>
        <v>17904.819999999996</v>
      </c>
      <c r="N591" s="5">
        <f>N590+Trades!U511</f>
        <v>5.7244737531544461</v>
      </c>
      <c r="O591" s="5">
        <f>O590+Trades!W511</f>
        <v>6622.2355933590607</v>
      </c>
    </row>
    <row r="592" spans="12:15" x14ac:dyDescent="0.3">
      <c r="L592" s="4">
        <f>Trades!P557</f>
        <v>0</v>
      </c>
      <c r="M592" s="5">
        <f>M591+Trades!T557</f>
        <v>17904.819999999996</v>
      </c>
      <c r="N592" s="5">
        <f>N591+Trades!U557</f>
        <v>5.7244737531544461</v>
      </c>
      <c r="O592" s="5">
        <f>O591+Trades!W557</f>
        <v>6622.2355933590607</v>
      </c>
    </row>
    <row r="593" spans="12:15" x14ac:dyDescent="0.3">
      <c r="L593" s="4">
        <f>Trades!P605</f>
        <v>0</v>
      </c>
      <c r="M593" s="5">
        <f>M592+Trades!T605</f>
        <v>17904.819999999996</v>
      </c>
      <c r="N593" s="5">
        <f>N592+Trades!U605</f>
        <v>5.7244737531544461</v>
      </c>
      <c r="O593" s="5">
        <f>O592+Trades!W605</f>
        <v>6622.2355933590607</v>
      </c>
    </row>
    <row r="594" spans="12:15" x14ac:dyDescent="0.3">
      <c r="L594" s="4">
        <f>Trades!P546</f>
        <v>0</v>
      </c>
      <c r="M594" s="5">
        <f>M593+Trades!T546</f>
        <v>17904.819999999996</v>
      </c>
      <c r="N594" s="5">
        <f>N593+Trades!U546</f>
        <v>5.7244737531544461</v>
      </c>
      <c r="O594" s="5">
        <f>O593+Trades!W546</f>
        <v>6622.2355933590607</v>
      </c>
    </row>
    <row r="595" spans="12:15" x14ac:dyDescent="0.3">
      <c r="L595" s="4">
        <f>Trades!P488</f>
        <v>0</v>
      </c>
      <c r="M595" s="5">
        <f>M594+Trades!T488</f>
        <v>17904.819999999996</v>
      </c>
      <c r="N595" s="5">
        <f>N594+Trades!U488</f>
        <v>5.7244737531544461</v>
      </c>
      <c r="O595" s="5">
        <f>O594+Trades!W488</f>
        <v>6622.2355933590607</v>
      </c>
    </row>
    <row r="596" spans="12:15" x14ac:dyDescent="0.3">
      <c r="L596" s="4">
        <f>Trades!P585</f>
        <v>0</v>
      </c>
      <c r="M596" s="5">
        <f>M595+Trades!T585</f>
        <v>17904.819999999996</v>
      </c>
      <c r="N596" s="5">
        <f>N595+Trades!U585</f>
        <v>5.7244737531544461</v>
      </c>
      <c r="O596" s="5">
        <f>O595+Trades!W585</f>
        <v>6622.2355933590607</v>
      </c>
    </row>
    <row r="597" spans="12:15" x14ac:dyDescent="0.3">
      <c r="L597" s="4">
        <f>Trades!P595</f>
        <v>0</v>
      </c>
      <c r="M597" s="5">
        <f>M596+Trades!T595</f>
        <v>17904.819999999996</v>
      </c>
      <c r="N597" s="5">
        <f>N596+Trades!U595</f>
        <v>5.7244737531544461</v>
      </c>
      <c r="O597" s="5">
        <f>O596+Trades!W595</f>
        <v>6622.2355933590607</v>
      </c>
    </row>
    <row r="598" spans="12:15" x14ac:dyDescent="0.3">
      <c r="L598" s="4">
        <f>Trades!P534</f>
        <v>0</v>
      </c>
      <c r="M598" s="5">
        <f>M597+Trades!T534</f>
        <v>17904.819999999996</v>
      </c>
      <c r="N598" s="5">
        <f>N597+Trades!U534</f>
        <v>5.7244737531544461</v>
      </c>
      <c r="O598" s="5">
        <f>O597+Trades!W534</f>
        <v>6622.2355933590607</v>
      </c>
    </row>
    <row r="599" spans="12:15" x14ac:dyDescent="0.3">
      <c r="L599" s="4">
        <f>Trades!P512</f>
        <v>0</v>
      </c>
      <c r="M599" s="5">
        <f>M598+Trades!T512</f>
        <v>17904.819999999996</v>
      </c>
      <c r="N599" s="5">
        <f>N598+Trades!U512</f>
        <v>5.7244737531544461</v>
      </c>
      <c r="O599" s="5">
        <f>O598+Trades!W512</f>
        <v>6622.2355933590607</v>
      </c>
    </row>
    <row r="600" spans="12:15" x14ac:dyDescent="0.3">
      <c r="L600" s="4">
        <f>Trades!P574</f>
        <v>0</v>
      </c>
      <c r="M600" s="5">
        <f>M599+Trades!T574</f>
        <v>17904.819999999996</v>
      </c>
      <c r="N600" s="5">
        <f>N599+Trades!U574</f>
        <v>5.7244737531544461</v>
      </c>
      <c r="O600" s="5">
        <f>O599+Trades!W574</f>
        <v>6622.2355933590607</v>
      </c>
    </row>
    <row r="601" spans="12:15" x14ac:dyDescent="0.3">
      <c r="L601" s="4">
        <f>Trades!P535</f>
        <v>0</v>
      </c>
      <c r="M601" s="5">
        <f>M600+Trades!T535</f>
        <v>17904.819999999996</v>
      </c>
      <c r="N601" s="5">
        <f>N600+Trades!U535</f>
        <v>5.7244737531544461</v>
      </c>
      <c r="O601" s="5">
        <f>O600+Trades!W535</f>
        <v>6622.2355933590607</v>
      </c>
    </row>
    <row r="602" spans="12:15" x14ac:dyDescent="0.3">
      <c r="L602" s="4">
        <f>Trades!P522</f>
        <v>0</v>
      </c>
      <c r="M602" s="5">
        <f>M601+Trades!T522</f>
        <v>17904.819999999996</v>
      </c>
      <c r="N602" s="5">
        <f>N601+Trades!U522</f>
        <v>5.7244737531544461</v>
      </c>
      <c r="O602" s="5">
        <f>O601+Trades!W522</f>
        <v>6622.2355933590607</v>
      </c>
    </row>
    <row r="603" spans="12:15" x14ac:dyDescent="0.3">
      <c r="L603" s="4">
        <f>Trades!P489</f>
        <v>0</v>
      </c>
      <c r="M603" s="5">
        <f>M602+Trades!T489</f>
        <v>17904.819999999996</v>
      </c>
      <c r="N603" s="5">
        <f>N602+Trades!U489</f>
        <v>5.7244737531544461</v>
      </c>
      <c r="O603" s="5">
        <f>O602+Trades!W489</f>
        <v>6622.2355933590607</v>
      </c>
    </row>
    <row r="604" spans="12:15" x14ac:dyDescent="0.3">
      <c r="L604" s="4">
        <f>Trades!P567</f>
        <v>0</v>
      </c>
      <c r="M604" s="5">
        <f>M603+Trades!T567</f>
        <v>17904.819999999996</v>
      </c>
      <c r="N604" s="5">
        <f>N603+Trades!U567</f>
        <v>5.7244737531544461</v>
      </c>
      <c r="O604" s="5">
        <f>O603+Trades!W567</f>
        <v>6622.2355933590607</v>
      </c>
    </row>
    <row r="605" spans="12:15" x14ac:dyDescent="0.3">
      <c r="L605" s="4">
        <f>Trades!P503</f>
        <v>0</v>
      </c>
      <c r="M605" s="5">
        <f>M604+Trades!T503</f>
        <v>17904.819999999996</v>
      </c>
      <c r="N605" s="5">
        <f>N604+Trades!U503</f>
        <v>5.7244737531544461</v>
      </c>
      <c r="O605" s="5">
        <f>O604+Trades!W503</f>
        <v>6622.2355933590607</v>
      </c>
    </row>
    <row r="606" spans="12:15" x14ac:dyDescent="0.3">
      <c r="L606" s="4">
        <f>Trades!P606</f>
        <v>0</v>
      </c>
      <c r="M606" s="5">
        <f>M605+Trades!T606</f>
        <v>17904.819999999996</v>
      </c>
      <c r="N606" s="5">
        <f>N605+Trades!U606</f>
        <v>5.7244737531544461</v>
      </c>
      <c r="O606" s="5">
        <f>O605+Trades!W606</f>
        <v>6622.2355933590607</v>
      </c>
    </row>
    <row r="607" spans="12:15" x14ac:dyDescent="0.3">
      <c r="L607" s="4">
        <f>Trades!P617</f>
        <v>0</v>
      </c>
      <c r="M607" s="5">
        <f>M606+Trades!T617</f>
        <v>17904.819999999996</v>
      </c>
      <c r="N607" s="5">
        <f>N606+Trades!U617</f>
        <v>5.7244737531544461</v>
      </c>
      <c r="O607" s="5">
        <f>O606+Trades!W617</f>
        <v>6622.2355933590607</v>
      </c>
    </row>
    <row r="608" spans="12:15" x14ac:dyDescent="0.3">
      <c r="L608" s="4">
        <f>Trades!P628</f>
        <v>0</v>
      </c>
      <c r="M608" s="5">
        <f>M607+Trades!T628</f>
        <v>17904.819999999996</v>
      </c>
      <c r="N608" s="5">
        <f>N607+Trades!U628</f>
        <v>5.7244737531544461</v>
      </c>
      <c r="O608" s="5">
        <f>O607+Trades!W628</f>
        <v>6622.2355933590607</v>
      </c>
    </row>
    <row r="609" spans="12:15" x14ac:dyDescent="0.3">
      <c r="L609" s="4">
        <f>Trades!P638</f>
        <v>0</v>
      </c>
      <c r="M609" s="5">
        <f>M608+Trades!T638</f>
        <v>17904.819999999996</v>
      </c>
      <c r="N609" s="5">
        <f>N608+Trades!U638</f>
        <v>5.7244737531544461</v>
      </c>
      <c r="O609" s="5">
        <f>O608+Trades!W638</f>
        <v>6622.2355933590607</v>
      </c>
    </row>
    <row r="610" spans="12:15" x14ac:dyDescent="0.3">
      <c r="L610" s="4">
        <f>Trades!P639</f>
        <v>0</v>
      </c>
      <c r="M610" s="5">
        <f>M609+Trades!T639</f>
        <v>17904.819999999996</v>
      </c>
      <c r="N610" s="5">
        <f>N609+Trades!U639</f>
        <v>5.7244737531544461</v>
      </c>
      <c r="O610" s="5">
        <f>O609+Trades!W639</f>
        <v>6622.2355933590607</v>
      </c>
    </row>
    <row r="611" spans="12:15" x14ac:dyDescent="0.3">
      <c r="L611" s="4">
        <f>Trades!P618</f>
        <v>0</v>
      </c>
      <c r="M611" s="5">
        <f>M610+Trades!T618</f>
        <v>17904.819999999996</v>
      </c>
      <c r="N611" s="5">
        <f>N610+Trades!U618</f>
        <v>5.7244737531544461</v>
      </c>
      <c r="O611" s="5">
        <f>O610+Trades!W618</f>
        <v>6622.2355933590607</v>
      </c>
    </row>
    <row r="612" spans="12:15" x14ac:dyDescent="0.3">
      <c r="L612" s="4">
        <f>Trades!P607</f>
        <v>0</v>
      </c>
      <c r="M612" s="5">
        <f>M611+Trades!T607</f>
        <v>17904.819999999996</v>
      </c>
      <c r="N612" s="5">
        <f>N611+Trades!U607</f>
        <v>5.7244737531544461</v>
      </c>
      <c r="O612" s="5">
        <f>O611+Trades!W607</f>
        <v>6622.2355933590607</v>
      </c>
    </row>
    <row r="613" spans="12:15" x14ac:dyDescent="0.3">
      <c r="L613" s="4">
        <f>Trades!P619</f>
        <v>0</v>
      </c>
      <c r="M613" s="5">
        <f>M612+Trades!T619</f>
        <v>17904.819999999996</v>
      </c>
      <c r="N613" s="5">
        <f>N612+Trades!U619</f>
        <v>5.7244737531544461</v>
      </c>
      <c r="O613" s="5">
        <f>O612+Trades!W619</f>
        <v>6622.2355933590607</v>
      </c>
    </row>
    <row r="614" spans="12:15" x14ac:dyDescent="0.3">
      <c r="L614" s="4">
        <f>Trades!P640</f>
        <v>0</v>
      </c>
      <c r="M614" s="5">
        <f>M613+Trades!T640</f>
        <v>17904.819999999996</v>
      </c>
      <c r="N614" s="5">
        <f>N613+Trades!U640</f>
        <v>5.7244737531544461</v>
      </c>
      <c r="O614" s="5">
        <f>O613+Trades!W640</f>
        <v>6622.2355933590607</v>
      </c>
    </row>
    <row r="615" spans="12:15" x14ac:dyDescent="0.3">
      <c r="L615" s="4">
        <f>Trades!P608</f>
        <v>0</v>
      </c>
      <c r="M615" s="5">
        <f>M614+Trades!T608</f>
        <v>17904.819999999996</v>
      </c>
      <c r="N615" s="5">
        <f>N614+Trades!U608</f>
        <v>5.7244737531544461</v>
      </c>
      <c r="O615" s="5">
        <f>O614+Trades!W608</f>
        <v>6622.2355933590607</v>
      </c>
    </row>
    <row r="616" spans="12:15" x14ac:dyDescent="0.3">
      <c r="L616" s="4">
        <f>Trades!P620</f>
        <v>0</v>
      </c>
      <c r="M616" s="5">
        <f>M615+Trades!T620</f>
        <v>17904.819999999996</v>
      </c>
      <c r="N616" s="5">
        <f>N615+Trades!U620</f>
        <v>5.7244737531544461</v>
      </c>
      <c r="O616" s="5">
        <f>O615+Trades!W620</f>
        <v>6622.2355933590607</v>
      </c>
    </row>
    <row r="617" spans="12:15" x14ac:dyDescent="0.3">
      <c r="L617" s="4">
        <f>Trades!P609</f>
        <v>0</v>
      </c>
      <c r="M617" s="5">
        <f>M616+Trades!T609</f>
        <v>17904.819999999996</v>
      </c>
      <c r="N617" s="5">
        <f>N616+Trades!U609</f>
        <v>5.7244737531544461</v>
      </c>
      <c r="O617" s="5">
        <f>O616+Trades!W609</f>
        <v>6622.2355933590607</v>
      </c>
    </row>
    <row r="618" spans="12:15" x14ac:dyDescent="0.3">
      <c r="L618" s="4">
        <f>Trades!P621</f>
        <v>0</v>
      </c>
      <c r="M618" s="5">
        <f>M617+Trades!T621</f>
        <v>17904.819999999996</v>
      </c>
      <c r="N618" s="5">
        <f>N617+Trades!U621</f>
        <v>5.7244737531544461</v>
      </c>
      <c r="O618" s="5">
        <f>O617+Trades!W621</f>
        <v>6622.2355933590607</v>
      </c>
    </row>
    <row r="619" spans="12:15" x14ac:dyDescent="0.3">
      <c r="L619" s="4">
        <f>Trades!P641</f>
        <v>0</v>
      </c>
      <c r="M619" s="5">
        <f>M618+Trades!T641</f>
        <v>17904.819999999996</v>
      </c>
      <c r="N619" s="5">
        <f>N618+Trades!U641</f>
        <v>5.7244737531544461</v>
      </c>
      <c r="O619" s="5">
        <f>O618+Trades!W641</f>
        <v>6622.2355933590607</v>
      </c>
    </row>
    <row r="620" spans="12:15" x14ac:dyDescent="0.3">
      <c r="L620" s="4">
        <f>Trades!P610</f>
        <v>0</v>
      </c>
      <c r="M620" s="5">
        <f>M619+Trades!T610</f>
        <v>17904.819999999996</v>
      </c>
      <c r="N620" s="5">
        <f>N619+Trades!U610</f>
        <v>5.7244737531544461</v>
      </c>
      <c r="O620" s="5">
        <f>O619+Trades!W610</f>
        <v>6622.2355933590607</v>
      </c>
    </row>
    <row r="621" spans="12:15" x14ac:dyDescent="0.3">
      <c r="L621" s="4">
        <f>Trades!P629</f>
        <v>0</v>
      </c>
      <c r="M621" s="5">
        <f>M620+Trades!T629</f>
        <v>17904.819999999996</v>
      </c>
      <c r="N621" s="5">
        <f>N620+Trades!U629</f>
        <v>5.7244737531544461</v>
      </c>
      <c r="O621" s="5">
        <f>O620+Trades!W629</f>
        <v>6622.2355933590607</v>
      </c>
    </row>
    <row r="622" spans="12:15" x14ac:dyDescent="0.3">
      <c r="L622" s="4">
        <f>Trades!P630</f>
        <v>0</v>
      </c>
      <c r="M622" s="5">
        <f>M621+Trades!T630</f>
        <v>17904.819999999996</v>
      </c>
      <c r="N622" s="5">
        <f>N621+Trades!U630</f>
        <v>5.7244737531544461</v>
      </c>
      <c r="O622" s="5">
        <f>O621+Trades!W630</f>
        <v>6622.2355933590607</v>
      </c>
    </row>
    <row r="623" spans="12:15" x14ac:dyDescent="0.3">
      <c r="L623" s="4">
        <f>Trades!P611</f>
        <v>0</v>
      </c>
      <c r="M623" s="5">
        <f>M622+Trades!T611</f>
        <v>17904.819999999996</v>
      </c>
      <c r="N623" s="5">
        <f>N622+Trades!U611</f>
        <v>5.7244737531544461</v>
      </c>
      <c r="O623" s="5">
        <f>O622+Trades!W611</f>
        <v>6622.2355933590607</v>
      </c>
    </row>
    <row r="624" spans="12:15" x14ac:dyDescent="0.3">
      <c r="L624" s="4">
        <f>Trades!P642</f>
        <v>0</v>
      </c>
      <c r="M624" s="5">
        <f>M623+Trades!T642</f>
        <v>17904.819999999996</v>
      </c>
      <c r="N624" s="5">
        <f>N623+Trades!U642</f>
        <v>5.7244737531544461</v>
      </c>
      <c r="O624" s="5">
        <f>O623+Trades!W642</f>
        <v>6622.2355933590607</v>
      </c>
    </row>
    <row r="625" spans="12:15" x14ac:dyDescent="0.3">
      <c r="L625" s="4">
        <f>Trades!P622</f>
        <v>0</v>
      </c>
      <c r="M625" s="5">
        <f>M624+Trades!T622</f>
        <v>17904.819999999996</v>
      </c>
      <c r="N625" s="5">
        <f>N624+Trades!U622</f>
        <v>5.7244737531544461</v>
      </c>
      <c r="O625" s="5">
        <f>O624+Trades!W622</f>
        <v>6622.2355933590607</v>
      </c>
    </row>
    <row r="626" spans="12:15" x14ac:dyDescent="0.3">
      <c r="L626" s="4">
        <f>Trades!P612</f>
        <v>0</v>
      </c>
      <c r="M626" s="5">
        <f>M625+Trades!T612</f>
        <v>17904.819999999996</v>
      </c>
      <c r="N626" s="5">
        <f>N625+Trades!U612</f>
        <v>5.7244737531544461</v>
      </c>
      <c r="O626" s="5">
        <f>O625+Trades!W612</f>
        <v>6622.2355933590607</v>
      </c>
    </row>
    <row r="627" spans="12:15" x14ac:dyDescent="0.3">
      <c r="L627" s="4">
        <f>Trades!P631</f>
        <v>0</v>
      </c>
      <c r="M627" s="5">
        <f>M626+Trades!T631</f>
        <v>17904.819999999996</v>
      </c>
      <c r="N627" s="5">
        <f>N626+Trades!U631</f>
        <v>5.7244737531544461</v>
      </c>
      <c r="O627" s="5">
        <f>O626+Trades!W631</f>
        <v>6622.2355933590607</v>
      </c>
    </row>
    <row r="628" spans="12:15" x14ac:dyDescent="0.3">
      <c r="L628" s="4">
        <f>Trades!P613</f>
        <v>0</v>
      </c>
      <c r="M628" s="5">
        <f>M627+Trades!T613</f>
        <v>17904.819999999996</v>
      </c>
      <c r="N628" s="5">
        <f>N627+Trades!U613</f>
        <v>5.7244737531544461</v>
      </c>
      <c r="O628" s="5">
        <f>O627+Trades!W613</f>
        <v>6622.2355933590607</v>
      </c>
    </row>
    <row r="629" spans="12:15" x14ac:dyDescent="0.3">
      <c r="L629" s="4">
        <f>Trades!P643</f>
        <v>0</v>
      </c>
      <c r="M629" s="5">
        <f>M628+Trades!T643</f>
        <v>17904.819999999996</v>
      </c>
      <c r="N629" s="5">
        <f>N628+Trades!U643</f>
        <v>5.7244737531544461</v>
      </c>
      <c r="O629" s="5">
        <f>O628+Trades!W643</f>
        <v>6622.2355933590607</v>
      </c>
    </row>
    <row r="630" spans="12:15" x14ac:dyDescent="0.3">
      <c r="L630" s="4">
        <f>Trades!P644</f>
        <v>0</v>
      </c>
      <c r="M630" s="5">
        <f>M629+Trades!T644</f>
        <v>17904.819999999996</v>
      </c>
      <c r="N630" s="5">
        <f>N629+Trades!U644</f>
        <v>5.7244737531544461</v>
      </c>
      <c r="O630" s="5">
        <f>O629+Trades!W644</f>
        <v>6622.2355933590607</v>
      </c>
    </row>
    <row r="631" spans="12:15" x14ac:dyDescent="0.3">
      <c r="L631" s="4">
        <f>Trades!P645</f>
        <v>0</v>
      </c>
      <c r="M631" s="5">
        <f>M630+Trades!T645</f>
        <v>17904.819999999996</v>
      </c>
      <c r="N631" s="5">
        <f>N630+Trades!U645</f>
        <v>5.7244737531544461</v>
      </c>
      <c r="O631" s="5">
        <f>O630+Trades!W645</f>
        <v>6622.2355933590607</v>
      </c>
    </row>
    <row r="632" spans="12:15" x14ac:dyDescent="0.3">
      <c r="L632" s="4">
        <f>Trades!P632</f>
        <v>0</v>
      </c>
      <c r="M632" s="5">
        <f>M631+Trades!T632</f>
        <v>17904.819999999996</v>
      </c>
      <c r="N632" s="5">
        <f>N631+Trades!U632</f>
        <v>5.7244737531544461</v>
      </c>
      <c r="O632" s="5">
        <f>O631+Trades!W632</f>
        <v>6622.2355933590607</v>
      </c>
    </row>
    <row r="633" spans="12:15" x14ac:dyDescent="0.3">
      <c r="L633" s="4">
        <f>Trades!P614</f>
        <v>0</v>
      </c>
      <c r="M633" s="5">
        <f>M632+Trades!T614</f>
        <v>17904.819999999996</v>
      </c>
      <c r="N633" s="5">
        <f>N632+Trades!U614</f>
        <v>5.7244737531544461</v>
      </c>
      <c r="O633" s="5">
        <f>O632+Trades!W614</f>
        <v>6622.2355933590607</v>
      </c>
    </row>
    <row r="634" spans="12:15" x14ac:dyDescent="0.3">
      <c r="L634" s="4">
        <f>Trades!P623</f>
        <v>0</v>
      </c>
      <c r="M634" s="5">
        <f>M633+Trades!T623</f>
        <v>17904.819999999996</v>
      </c>
      <c r="N634" s="5">
        <f>N633+Trades!U623</f>
        <v>5.7244737531544461</v>
      </c>
      <c r="O634" s="5">
        <f>O633+Trades!W623</f>
        <v>6622.2355933590607</v>
      </c>
    </row>
    <row r="635" spans="12:15" x14ac:dyDescent="0.3">
      <c r="L635" s="4">
        <f>Trades!P646</f>
        <v>0</v>
      </c>
      <c r="M635" s="5">
        <f>M634+Trades!T646</f>
        <v>17904.819999999996</v>
      </c>
      <c r="N635" s="5">
        <f>N634+Trades!U646</f>
        <v>5.7244737531544461</v>
      </c>
      <c r="O635" s="5">
        <f>O634+Trades!W646</f>
        <v>6622.2355933590607</v>
      </c>
    </row>
    <row r="636" spans="12:15" x14ac:dyDescent="0.3">
      <c r="L636" s="4">
        <f>Trades!P624</f>
        <v>0</v>
      </c>
      <c r="M636" s="5">
        <f>M635+Trades!T624</f>
        <v>17904.819999999996</v>
      </c>
      <c r="N636" s="5">
        <f>N635+Trades!U624</f>
        <v>5.7244737531544461</v>
      </c>
      <c r="O636" s="5">
        <f>O635+Trades!W624</f>
        <v>6622.2355933590607</v>
      </c>
    </row>
    <row r="637" spans="12:15" x14ac:dyDescent="0.3">
      <c r="L637" s="4">
        <f>Trades!P625</f>
        <v>0</v>
      </c>
      <c r="M637" s="5">
        <f>M636+Trades!T625</f>
        <v>17904.819999999996</v>
      </c>
      <c r="N637" s="5">
        <f>N636+Trades!U625</f>
        <v>5.7244737531544461</v>
      </c>
      <c r="O637" s="5">
        <f>O636+Trades!W625</f>
        <v>6622.2355933590607</v>
      </c>
    </row>
    <row r="638" spans="12:15" x14ac:dyDescent="0.3">
      <c r="L638" s="4">
        <f>Trades!P615</f>
        <v>0</v>
      </c>
      <c r="M638" s="5">
        <f>M637+Trades!T615</f>
        <v>17904.819999999996</v>
      </c>
      <c r="N638" s="5">
        <f>N637+Trades!U615</f>
        <v>5.7244737531544461</v>
      </c>
      <c r="O638" s="5">
        <f>O637+Trades!W615</f>
        <v>6622.2355933590607</v>
      </c>
    </row>
    <row r="639" spans="12:15" x14ac:dyDescent="0.3">
      <c r="L639" s="4">
        <f>Trades!P647</f>
        <v>0</v>
      </c>
      <c r="M639" s="5">
        <f>M638+Trades!T647</f>
        <v>17904.819999999996</v>
      </c>
      <c r="N639" s="5">
        <f>N638+Trades!U647</f>
        <v>5.7244737531544461</v>
      </c>
      <c r="O639" s="5">
        <f>O638+Trades!W647</f>
        <v>6622.2355933590607</v>
      </c>
    </row>
    <row r="640" spans="12:15" x14ac:dyDescent="0.3">
      <c r="L640" s="4">
        <f>Trades!P616</f>
        <v>0</v>
      </c>
      <c r="M640" s="5">
        <f>M639+Trades!T616</f>
        <v>17904.819999999996</v>
      </c>
      <c r="N640" s="5">
        <f>N639+Trades!U616</f>
        <v>5.7244737531544461</v>
      </c>
      <c r="O640" s="5">
        <f>O639+Trades!W616</f>
        <v>6622.2355933590607</v>
      </c>
    </row>
    <row r="641" spans="12:15" x14ac:dyDescent="0.3">
      <c r="L641" s="4">
        <f>Trades!P626</f>
        <v>0</v>
      </c>
      <c r="M641" s="5">
        <f>M640+Trades!T626</f>
        <v>17904.819999999996</v>
      </c>
      <c r="N641" s="5">
        <f>N640+Trades!U626</f>
        <v>5.7244737531544461</v>
      </c>
      <c r="O641" s="5">
        <f>O640+Trades!W626</f>
        <v>6622.2355933590607</v>
      </c>
    </row>
    <row r="642" spans="12:15" x14ac:dyDescent="0.3">
      <c r="L642" s="4">
        <f>Trades!P633</f>
        <v>0</v>
      </c>
      <c r="M642" s="5">
        <f>M641+Trades!T633</f>
        <v>17904.819999999996</v>
      </c>
      <c r="N642" s="5">
        <f>N641+Trades!U633</f>
        <v>5.7244737531544461</v>
      </c>
      <c r="O642" s="5">
        <f>O641+Trades!W633</f>
        <v>6622.2355933590607</v>
      </c>
    </row>
    <row r="643" spans="12:15" x14ac:dyDescent="0.3">
      <c r="L643" s="4">
        <f>Trades!P627</f>
        <v>0</v>
      </c>
      <c r="M643" s="5">
        <f>M642+Trades!T627</f>
        <v>17904.819999999996</v>
      </c>
      <c r="N643" s="5">
        <f>N642+Trades!U627</f>
        <v>5.7244737531544461</v>
      </c>
      <c r="O643" s="5">
        <f>O642+Trades!W627</f>
        <v>6622.2355933590607</v>
      </c>
    </row>
    <row r="644" spans="12:15" x14ac:dyDescent="0.3">
      <c r="L644" s="4">
        <f>Trades!P634</f>
        <v>0</v>
      </c>
      <c r="M644" s="5">
        <f>M643+Trades!T634</f>
        <v>17904.819999999996</v>
      </c>
      <c r="N644" s="5">
        <f>N643+Trades!U634</f>
        <v>5.7244737531544461</v>
      </c>
      <c r="O644" s="5">
        <f>O643+Trades!W634</f>
        <v>6622.2355933590607</v>
      </c>
    </row>
    <row r="645" spans="12:15" x14ac:dyDescent="0.3">
      <c r="L645" s="4">
        <f>Trades!P635</f>
        <v>0</v>
      </c>
      <c r="M645" s="5">
        <f>M644+Trades!T635</f>
        <v>17904.819999999996</v>
      </c>
      <c r="N645" s="5">
        <f>N644+Trades!U635</f>
        <v>5.7244737531544461</v>
      </c>
      <c r="O645" s="5">
        <f>O644+Trades!W635</f>
        <v>6622.2355933590607</v>
      </c>
    </row>
    <row r="646" spans="12:15" x14ac:dyDescent="0.3">
      <c r="L646" s="4">
        <f>Trades!P648</f>
        <v>0</v>
      </c>
      <c r="M646" s="5">
        <f>M645+Trades!T648</f>
        <v>17904.819999999996</v>
      </c>
      <c r="N646" s="5">
        <f>N645+Trades!U648</f>
        <v>5.7244737531544461</v>
      </c>
      <c r="O646" s="5">
        <f>O645+Trades!W648</f>
        <v>6622.2355933590607</v>
      </c>
    </row>
    <row r="647" spans="12:15" x14ac:dyDescent="0.3">
      <c r="L647" s="4">
        <f>Trades!P636</f>
        <v>0</v>
      </c>
      <c r="M647" s="5">
        <f>M646+Trades!T636</f>
        <v>17904.819999999996</v>
      </c>
      <c r="N647" s="5">
        <f>N646+Trades!U636</f>
        <v>5.7244737531544461</v>
      </c>
      <c r="O647" s="5">
        <f>O646+Trades!W636</f>
        <v>6622.2355933590607</v>
      </c>
    </row>
    <row r="648" spans="12:15" x14ac:dyDescent="0.3">
      <c r="L648" s="4">
        <f>Trades!P637</f>
        <v>0</v>
      </c>
      <c r="M648" s="5">
        <f>M647+Trades!T637</f>
        <v>17904.819999999996</v>
      </c>
      <c r="N648" s="5">
        <f>N647+Trades!U637</f>
        <v>5.7244737531544461</v>
      </c>
      <c r="O648" s="5">
        <f>O647+Trades!W637</f>
        <v>6622.2355933590607</v>
      </c>
    </row>
    <row r="649" spans="12:15" x14ac:dyDescent="0.3">
      <c r="L649" s="4">
        <f>Trades!P649</f>
        <v>0</v>
      </c>
      <c r="M649" s="5">
        <f>M648+Trades!T649</f>
        <v>17904.819999999996</v>
      </c>
      <c r="N649" s="5">
        <f>N648+Trades!U649</f>
        <v>5.7244737531544461</v>
      </c>
      <c r="O649" s="5">
        <f>O648+Trades!W649</f>
        <v>6622.2355933590607</v>
      </c>
    </row>
    <row r="650" spans="12:15" x14ac:dyDescent="0.3">
      <c r="L650" s="4">
        <f>Trades!P658</f>
        <v>0</v>
      </c>
      <c r="M650" s="5">
        <f>M649+Trades!T658</f>
        <v>17904.819999999996</v>
      </c>
      <c r="N650" s="5">
        <f>N649+Trades!U658</f>
        <v>5.7244737531544461</v>
      </c>
      <c r="O650" s="5">
        <f>O649+Trades!W658</f>
        <v>6622.2355933590607</v>
      </c>
    </row>
    <row r="651" spans="12:15" x14ac:dyDescent="0.3">
      <c r="L651" s="4">
        <f>Trades!P669</f>
        <v>0</v>
      </c>
      <c r="M651" s="5">
        <f>M650+Trades!T669</f>
        <v>17904.819999999996</v>
      </c>
      <c r="N651" s="5">
        <f>N650+Trades!U669</f>
        <v>5.7244737531544461</v>
      </c>
      <c r="O651" s="5">
        <f>O650+Trades!W669</f>
        <v>6622.2355933590607</v>
      </c>
    </row>
    <row r="652" spans="12:15" x14ac:dyDescent="0.3">
      <c r="L652" s="4">
        <f>Trades!P682</f>
        <v>0</v>
      </c>
      <c r="M652" s="5">
        <f>M651+Trades!T682</f>
        <v>17904.819999999996</v>
      </c>
      <c r="N652" s="5">
        <f>N651+Trades!U682</f>
        <v>5.7244737531544461</v>
      </c>
      <c r="O652" s="5">
        <f>O651+Trades!W682</f>
        <v>6622.2355933590607</v>
      </c>
    </row>
    <row r="653" spans="12:15" x14ac:dyDescent="0.3">
      <c r="L653" s="4">
        <f>Trades!P692</f>
        <v>0</v>
      </c>
      <c r="M653" s="5">
        <f>M652+Trades!T692</f>
        <v>17904.819999999996</v>
      </c>
      <c r="N653" s="5">
        <f>N652+Trades!U692</f>
        <v>5.7244737531544461</v>
      </c>
      <c r="O653" s="5">
        <f>O652+Trades!W692</f>
        <v>6622.2355933590607</v>
      </c>
    </row>
    <row r="654" spans="12:15" x14ac:dyDescent="0.3">
      <c r="L654" s="4">
        <f>Trades!P693</f>
        <v>0</v>
      </c>
      <c r="M654" s="5">
        <f>M653+Trades!T693</f>
        <v>17904.819999999996</v>
      </c>
      <c r="N654" s="5">
        <f>N653+Trades!U693</f>
        <v>5.7244737531544461</v>
      </c>
      <c r="O654" s="5">
        <f>O653+Trades!W693</f>
        <v>6622.2355933590607</v>
      </c>
    </row>
    <row r="655" spans="12:15" x14ac:dyDescent="0.3">
      <c r="L655" s="4">
        <f>Trades!P670</f>
        <v>0</v>
      </c>
      <c r="M655" s="5">
        <f>M654+Trades!T670</f>
        <v>17904.819999999996</v>
      </c>
      <c r="N655" s="5">
        <f>N654+Trades!U670</f>
        <v>5.7244737531544461</v>
      </c>
      <c r="O655" s="5">
        <f>O654+Trades!W670</f>
        <v>6622.2355933590607</v>
      </c>
    </row>
    <row r="656" spans="12:15" x14ac:dyDescent="0.3">
      <c r="L656" s="4">
        <f>Trades!P659</f>
        <v>0</v>
      </c>
      <c r="M656" s="5">
        <f>M655+Trades!T659</f>
        <v>17904.819999999996</v>
      </c>
      <c r="N656" s="5">
        <f>N655+Trades!U659</f>
        <v>5.7244737531544461</v>
      </c>
      <c r="O656" s="5">
        <f>O655+Trades!W659</f>
        <v>6622.2355933590607</v>
      </c>
    </row>
    <row r="657" spans="12:15" x14ac:dyDescent="0.3">
      <c r="L657" s="4">
        <f>Trades!P683</f>
        <v>0</v>
      </c>
      <c r="M657" s="5">
        <f>M656+Trades!T683</f>
        <v>17904.819999999996</v>
      </c>
      <c r="N657" s="5">
        <f>N656+Trades!U683</f>
        <v>5.7244737531544461</v>
      </c>
      <c r="O657" s="5">
        <f>O656+Trades!W683</f>
        <v>6622.2355933590607</v>
      </c>
    </row>
    <row r="658" spans="12:15" x14ac:dyDescent="0.3">
      <c r="L658" s="4">
        <f>Trades!P671</f>
        <v>0</v>
      </c>
      <c r="M658" s="5">
        <f>M657+Trades!T671</f>
        <v>17904.819999999996</v>
      </c>
      <c r="N658" s="5">
        <f>N657+Trades!U671</f>
        <v>5.7244737531544461</v>
      </c>
      <c r="O658" s="5">
        <f>O657+Trades!W671</f>
        <v>6622.2355933590607</v>
      </c>
    </row>
    <row r="659" spans="12:15" x14ac:dyDescent="0.3">
      <c r="L659" s="4">
        <f>Trades!P660</f>
        <v>0</v>
      </c>
      <c r="M659" s="5">
        <f>M658+Trades!T660</f>
        <v>17904.819999999996</v>
      </c>
      <c r="N659" s="5">
        <f>N658+Trades!U660</f>
        <v>5.7244737531544461</v>
      </c>
      <c r="O659" s="5">
        <f>O658+Trades!W660</f>
        <v>6622.2355933590607</v>
      </c>
    </row>
    <row r="660" spans="12:15" x14ac:dyDescent="0.3">
      <c r="L660" s="4">
        <f>Trades!P650</f>
        <v>0</v>
      </c>
      <c r="M660" s="5">
        <f>M659+Trades!T650</f>
        <v>17904.819999999996</v>
      </c>
      <c r="N660" s="5">
        <f>N659+Trades!U650</f>
        <v>5.7244737531544461</v>
      </c>
      <c r="O660" s="5">
        <f>O659+Trades!W650</f>
        <v>6622.2355933590607</v>
      </c>
    </row>
    <row r="661" spans="12:15" x14ac:dyDescent="0.3">
      <c r="L661" s="4">
        <f>Trades!P672</f>
        <v>0</v>
      </c>
      <c r="M661" s="5">
        <f>M660+Trades!T672</f>
        <v>17904.819999999996</v>
      </c>
      <c r="N661" s="5">
        <f>N660+Trades!U672</f>
        <v>5.7244737531544461</v>
      </c>
      <c r="O661" s="5">
        <f>O660+Trades!W672</f>
        <v>6622.2355933590607</v>
      </c>
    </row>
    <row r="662" spans="12:15" x14ac:dyDescent="0.3">
      <c r="L662" s="4">
        <f>Trades!P694</f>
        <v>0</v>
      </c>
      <c r="M662" s="5">
        <f>M661+Trades!T694</f>
        <v>17904.819999999996</v>
      </c>
      <c r="N662" s="5">
        <f>N661+Trades!U694</f>
        <v>5.7244737531544461</v>
      </c>
      <c r="O662" s="5">
        <f>O661+Trades!W694</f>
        <v>6622.2355933590607</v>
      </c>
    </row>
    <row r="663" spans="12:15" x14ac:dyDescent="0.3">
      <c r="L663" s="4">
        <f>Trades!P684</f>
        <v>0</v>
      </c>
      <c r="M663" s="5">
        <f>M662+Trades!T684</f>
        <v>17904.819999999996</v>
      </c>
      <c r="N663" s="5">
        <f>N662+Trades!U684</f>
        <v>5.7244737531544461</v>
      </c>
      <c r="O663" s="5">
        <f>O662+Trades!W684</f>
        <v>6622.2355933590607</v>
      </c>
    </row>
    <row r="664" spans="12:15" x14ac:dyDescent="0.3">
      <c r="L664" s="4">
        <f>Trades!P661</f>
        <v>0</v>
      </c>
      <c r="M664" s="5">
        <f>M663+Trades!T661</f>
        <v>17904.819999999996</v>
      </c>
      <c r="N664" s="5">
        <f>N663+Trades!U661</f>
        <v>5.7244737531544461</v>
      </c>
      <c r="O664" s="5">
        <f>O663+Trades!W661</f>
        <v>6622.2355933590607</v>
      </c>
    </row>
    <row r="665" spans="12:15" x14ac:dyDescent="0.3">
      <c r="L665" s="4">
        <f>Trades!P651</f>
        <v>0</v>
      </c>
      <c r="M665" s="5">
        <f>M664+Trades!T651</f>
        <v>17904.819999999996</v>
      </c>
      <c r="N665" s="5">
        <f>N664+Trades!U651</f>
        <v>5.7244737531544461</v>
      </c>
      <c r="O665" s="5">
        <f>O664+Trades!W651</f>
        <v>6622.2355933590607</v>
      </c>
    </row>
    <row r="666" spans="12:15" x14ac:dyDescent="0.3">
      <c r="L666" s="4">
        <f>Trades!P695</f>
        <v>0</v>
      </c>
      <c r="M666" s="5">
        <f>M665+Trades!T695</f>
        <v>17904.819999999996</v>
      </c>
      <c r="N666" s="5">
        <f>N665+Trades!U695</f>
        <v>5.7244737531544461</v>
      </c>
      <c r="O666" s="5">
        <f>O665+Trades!W695</f>
        <v>6622.2355933590607</v>
      </c>
    </row>
    <row r="667" spans="12:15" x14ac:dyDescent="0.3">
      <c r="L667" s="4">
        <f>Trades!P673</f>
        <v>0</v>
      </c>
      <c r="M667" s="5">
        <f>M666+Trades!T673</f>
        <v>17904.819999999996</v>
      </c>
      <c r="N667" s="5">
        <f>N666+Trades!U673</f>
        <v>5.7244737531544461</v>
      </c>
      <c r="O667" s="5">
        <f>O666+Trades!W673</f>
        <v>6622.2355933590607</v>
      </c>
    </row>
    <row r="668" spans="12:15" x14ac:dyDescent="0.3">
      <c r="L668" s="4">
        <f>Trades!P685</f>
        <v>0</v>
      </c>
      <c r="M668" s="5">
        <f>M667+Trades!T685</f>
        <v>17904.819999999996</v>
      </c>
      <c r="N668" s="5">
        <f>N667+Trades!U685</f>
        <v>5.7244737531544461</v>
      </c>
      <c r="O668" s="5">
        <f>O667+Trades!W685</f>
        <v>6622.2355933590607</v>
      </c>
    </row>
    <row r="669" spans="12:15" x14ac:dyDescent="0.3">
      <c r="L669" s="4">
        <f>Trades!P652</f>
        <v>0</v>
      </c>
      <c r="M669" s="5">
        <f>M668+Trades!T652</f>
        <v>17904.819999999996</v>
      </c>
      <c r="N669" s="5">
        <f>N668+Trades!U652</f>
        <v>5.7244737531544461</v>
      </c>
      <c r="O669" s="5">
        <f>O668+Trades!W652</f>
        <v>6622.2355933590607</v>
      </c>
    </row>
    <row r="670" spans="12:15" x14ac:dyDescent="0.3">
      <c r="L670" s="4">
        <f>Trades!P674</f>
        <v>0</v>
      </c>
      <c r="M670" s="5">
        <f>M669+Trades!T674</f>
        <v>17904.819999999996</v>
      </c>
      <c r="N670" s="5">
        <f>N669+Trades!U674</f>
        <v>5.7244737531544461</v>
      </c>
      <c r="O670" s="5">
        <f>O669+Trades!W674</f>
        <v>6622.2355933590607</v>
      </c>
    </row>
    <row r="671" spans="12:15" x14ac:dyDescent="0.3">
      <c r="L671" s="4">
        <f>Trades!P675</f>
        <v>0</v>
      </c>
      <c r="M671" s="5">
        <f>M670+Trades!T675</f>
        <v>17904.819999999996</v>
      </c>
      <c r="N671" s="5">
        <f>N670+Trades!U675</f>
        <v>5.7244737531544461</v>
      </c>
      <c r="O671" s="5">
        <f>O670+Trades!W675</f>
        <v>6622.2355933590607</v>
      </c>
    </row>
    <row r="672" spans="12:15" x14ac:dyDescent="0.3">
      <c r="L672" s="4">
        <f>Trades!P662</f>
        <v>0</v>
      </c>
      <c r="M672" s="5">
        <f>M671+Trades!T662</f>
        <v>17904.819999999996</v>
      </c>
      <c r="N672" s="5">
        <f>N671+Trades!U662</f>
        <v>5.7244737531544461</v>
      </c>
      <c r="O672" s="5">
        <f>O671+Trades!W662</f>
        <v>6622.2355933590607</v>
      </c>
    </row>
    <row r="673" spans="12:15" x14ac:dyDescent="0.3">
      <c r="L673" s="4">
        <f>Trades!P653</f>
        <v>0</v>
      </c>
      <c r="M673" s="5">
        <f>M672+Trades!T653</f>
        <v>17904.819999999996</v>
      </c>
      <c r="N673" s="5">
        <f>N672+Trades!U653</f>
        <v>5.7244737531544461</v>
      </c>
      <c r="O673" s="5">
        <f>O672+Trades!W653</f>
        <v>6622.2355933590607</v>
      </c>
    </row>
    <row r="674" spans="12:15" x14ac:dyDescent="0.3">
      <c r="L674" s="4">
        <f>Trades!P663</f>
        <v>0</v>
      </c>
      <c r="M674" s="5">
        <f>M673+Trades!T663</f>
        <v>17904.819999999996</v>
      </c>
      <c r="N674" s="5">
        <f>N673+Trades!U663</f>
        <v>5.7244737531544461</v>
      </c>
      <c r="O674" s="5">
        <f>O673+Trades!W663</f>
        <v>6622.2355933590607</v>
      </c>
    </row>
    <row r="675" spans="12:15" x14ac:dyDescent="0.3">
      <c r="L675" s="4">
        <f>Trades!P696</f>
        <v>0</v>
      </c>
      <c r="M675" s="5">
        <f>M674+Trades!T696</f>
        <v>17904.819999999996</v>
      </c>
      <c r="N675" s="5">
        <f>N674+Trades!U696</f>
        <v>5.7244737531544461</v>
      </c>
      <c r="O675" s="5">
        <f>O674+Trades!W696</f>
        <v>6622.2355933590607</v>
      </c>
    </row>
    <row r="676" spans="12:15" x14ac:dyDescent="0.3">
      <c r="L676" s="4">
        <f>Trades!P676</f>
        <v>0</v>
      </c>
      <c r="M676" s="5">
        <f>M675+Trades!T676</f>
        <v>17904.819999999996</v>
      </c>
      <c r="N676" s="5">
        <f>N675+Trades!U676</f>
        <v>5.7244737531544461</v>
      </c>
      <c r="O676" s="5">
        <f>O675+Trades!W676</f>
        <v>6622.2355933590607</v>
      </c>
    </row>
    <row r="677" spans="12:15" x14ac:dyDescent="0.3">
      <c r="L677" s="4">
        <f>Trades!P686</f>
        <v>0</v>
      </c>
      <c r="M677" s="5">
        <f>M676+Trades!T686</f>
        <v>17904.819999999996</v>
      </c>
      <c r="N677" s="5">
        <f>N676+Trades!U686</f>
        <v>5.7244737531544461</v>
      </c>
      <c r="O677" s="5">
        <f>O676+Trades!W686</f>
        <v>6622.2355933590607</v>
      </c>
    </row>
    <row r="678" spans="12:15" x14ac:dyDescent="0.3">
      <c r="L678" s="4">
        <f>Trades!P687</f>
        <v>0</v>
      </c>
      <c r="M678" s="5">
        <f>M677+Trades!T687</f>
        <v>17904.819999999996</v>
      </c>
      <c r="N678" s="5">
        <f>N677+Trades!U687</f>
        <v>5.7244737531544461</v>
      </c>
      <c r="O678" s="5">
        <f>O677+Trades!W687</f>
        <v>6622.2355933590607</v>
      </c>
    </row>
    <row r="679" spans="12:15" x14ac:dyDescent="0.3">
      <c r="L679" s="4">
        <f>Trades!P664</f>
        <v>0</v>
      </c>
      <c r="M679" s="5">
        <f>M678+Trades!T664</f>
        <v>17904.819999999996</v>
      </c>
      <c r="N679" s="5">
        <f>N678+Trades!U664</f>
        <v>5.7244737531544461</v>
      </c>
      <c r="O679" s="5">
        <f>O678+Trades!W664</f>
        <v>6622.2355933590607</v>
      </c>
    </row>
    <row r="680" spans="12:15" x14ac:dyDescent="0.3">
      <c r="L680" s="4">
        <f>Trades!P654</f>
        <v>0</v>
      </c>
      <c r="M680" s="5">
        <f>M679+Trades!T654</f>
        <v>17904.819999999996</v>
      </c>
      <c r="N680" s="5">
        <f>N679+Trades!U654</f>
        <v>5.7244737531544461</v>
      </c>
      <c r="O680" s="5">
        <f>O679+Trades!W654</f>
        <v>6622.2355933590607</v>
      </c>
    </row>
    <row r="681" spans="12:15" x14ac:dyDescent="0.3">
      <c r="L681" s="4">
        <f>Trades!P655</f>
        <v>0</v>
      </c>
      <c r="M681" s="5">
        <f>M680+Trades!T655</f>
        <v>17904.819999999996</v>
      </c>
      <c r="N681" s="5">
        <f>N680+Trades!U655</f>
        <v>5.7244737531544461</v>
      </c>
      <c r="O681" s="5">
        <f>O680+Trades!W655</f>
        <v>6622.2355933590607</v>
      </c>
    </row>
    <row r="682" spans="12:15" x14ac:dyDescent="0.3">
      <c r="L682" s="4">
        <f>Trades!P697</f>
        <v>0</v>
      </c>
      <c r="M682" s="5">
        <f>M681+Trades!T697</f>
        <v>17904.819999999996</v>
      </c>
      <c r="N682" s="5">
        <f>N681+Trades!U697</f>
        <v>5.7244737531544461</v>
      </c>
      <c r="O682" s="5">
        <f>O681+Trades!W697</f>
        <v>6622.2355933590607</v>
      </c>
    </row>
    <row r="683" spans="12:15" x14ac:dyDescent="0.3">
      <c r="L683" s="4">
        <f>Trades!P677</f>
        <v>0</v>
      </c>
      <c r="M683" s="5">
        <f>M682+Trades!T677</f>
        <v>17904.819999999996</v>
      </c>
      <c r="N683" s="5">
        <f>N682+Trades!U677</f>
        <v>5.7244737531544461</v>
      </c>
      <c r="O683" s="5">
        <f>O682+Trades!W677</f>
        <v>6622.2355933590607</v>
      </c>
    </row>
    <row r="684" spans="12:15" x14ac:dyDescent="0.3">
      <c r="L684" s="4">
        <f>Trades!P688</f>
        <v>0</v>
      </c>
      <c r="M684" s="5">
        <f>M683+Trades!T688</f>
        <v>17904.819999999996</v>
      </c>
      <c r="N684" s="5">
        <f>N683+Trades!U688</f>
        <v>5.7244737531544461</v>
      </c>
      <c r="O684" s="5">
        <f>O683+Trades!W688</f>
        <v>6622.2355933590607</v>
      </c>
    </row>
    <row r="685" spans="12:15" x14ac:dyDescent="0.3">
      <c r="L685" s="4">
        <f>Trades!P665</f>
        <v>0</v>
      </c>
      <c r="M685" s="5">
        <f>M684+Trades!T665</f>
        <v>17904.819999999996</v>
      </c>
      <c r="N685" s="5">
        <f>N684+Trades!U665</f>
        <v>5.7244737531544461</v>
      </c>
      <c r="O685" s="5">
        <f>O684+Trades!W665</f>
        <v>6622.2355933590607</v>
      </c>
    </row>
    <row r="686" spans="12:15" x14ac:dyDescent="0.3">
      <c r="L686" s="4">
        <f>Trades!P666</f>
        <v>0</v>
      </c>
      <c r="M686" s="5">
        <f>M685+Trades!T666</f>
        <v>17904.819999999996</v>
      </c>
      <c r="N686" s="5">
        <f>N685+Trades!U666</f>
        <v>5.7244737531544461</v>
      </c>
      <c r="O686" s="5">
        <f>O685+Trades!W666</f>
        <v>6622.2355933590607</v>
      </c>
    </row>
    <row r="687" spans="12:15" x14ac:dyDescent="0.3">
      <c r="L687" s="4">
        <f>Trades!P656</f>
        <v>0</v>
      </c>
      <c r="M687" s="5">
        <f>M686+Trades!T656</f>
        <v>17904.819999999996</v>
      </c>
      <c r="N687" s="5">
        <f>N686+Trades!U656</f>
        <v>5.7244737531544461</v>
      </c>
      <c r="O687" s="5">
        <f>O686+Trades!W656</f>
        <v>6622.2355933590607</v>
      </c>
    </row>
    <row r="688" spans="12:15" x14ac:dyDescent="0.3">
      <c r="L688" s="4">
        <f>Trades!P689</f>
        <v>0</v>
      </c>
      <c r="M688" s="5">
        <f>M687+Trades!T689</f>
        <v>17904.819999999996</v>
      </c>
      <c r="N688" s="5">
        <f>N687+Trades!U689</f>
        <v>5.7244737531544461</v>
      </c>
      <c r="O688" s="5">
        <f>O687+Trades!W689</f>
        <v>6622.2355933590607</v>
      </c>
    </row>
    <row r="689" spans="12:15" x14ac:dyDescent="0.3">
      <c r="L689" s="4">
        <f>Trades!P678</f>
        <v>0</v>
      </c>
      <c r="M689" s="5">
        <f>M688+Trades!T678</f>
        <v>17904.819999999996</v>
      </c>
      <c r="N689" s="5">
        <f>N688+Trades!U678</f>
        <v>5.7244737531544461</v>
      </c>
      <c r="O689" s="5">
        <f>O688+Trades!W678</f>
        <v>6622.2355933590607</v>
      </c>
    </row>
    <row r="690" spans="12:15" x14ac:dyDescent="0.3">
      <c r="L690" s="4">
        <f>Trades!P698</f>
        <v>0</v>
      </c>
      <c r="M690" s="5">
        <f>M689+Trades!T698</f>
        <v>17904.819999999996</v>
      </c>
      <c r="N690" s="5">
        <f>N689+Trades!U698</f>
        <v>5.7244737531544461</v>
      </c>
      <c r="O690" s="5">
        <f>O689+Trades!W698</f>
        <v>6622.2355933590607</v>
      </c>
    </row>
    <row r="691" spans="12:15" x14ac:dyDescent="0.3">
      <c r="L691" s="4">
        <f>Trades!P667</f>
        <v>0</v>
      </c>
      <c r="M691" s="5">
        <f>M690+Trades!T667</f>
        <v>17904.819999999996</v>
      </c>
      <c r="N691" s="5">
        <f>N690+Trades!U667</f>
        <v>5.7244737531544461</v>
      </c>
      <c r="O691" s="5">
        <f>O690+Trades!W667</f>
        <v>6622.2355933590607</v>
      </c>
    </row>
    <row r="692" spans="12:15" x14ac:dyDescent="0.3">
      <c r="L692" s="4">
        <f>Trades!P690</f>
        <v>0</v>
      </c>
      <c r="M692" s="5">
        <f>M691+Trades!T690</f>
        <v>17904.819999999996</v>
      </c>
      <c r="N692" s="5">
        <f>N691+Trades!U690</f>
        <v>5.7244737531544461</v>
      </c>
      <c r="O692" s="5">
        <f>O691+Trades!W690</f>
        <v>6622.2355933590607</v>
      </c>
    </row>
    <row r="693" spans="12:15" x14ac:dyDescent="0.3">
      <c r="L693" s="4">
        <f>Trades!P679</f>
        <v>0</v>
      </c>
      <c r="M693" s="5">
        <f>M692+Trades!T679</f>
        <v>17904.819999999996</v>
      </c>
      <c r="N693" s="5">
        <f>N692+Trades!U679</f>
        <v>5.7244737531544461</v>
      </c>
      <c r="O693" s="5">
        <f>O692+Trades!W679</f>
        <v>6622.2355933590607</v>
      </c>
    </row>
    <row r="694" spans="12:15" x14ac:dyDescent="0.3">
      <c r="L694" s="4">
        <f>Trades!P657</f>
        <v>0</v>
      </c>
      <c r="M694" s="5">
        <f>M693+Trades!T657</f>
        <v>17904.819999999996</v>
      </c>
      <c r="N694" s="5">
        <f>N693+Trades!U657</f>
        <v>5.7244737531544461</v>
      </c>
      <c r="O694" s="5">
        <f>O693+Trades!W657</f>
        <v>6622.2355933590607</v>
      </c>
    </row>
    <row r="695" spans="12:15" x14ac:dyDescent="0.3">
      <c r="L695" s="4">
        <f>Trades!P668</f>
        <v>0</v>
      </c>
      <c r="M695" s="5">
        <f>M694+Trades!T668</f>
        <v>17904.819999999996</v>
      </c>
      <c r="N695" s="5">
        <f>N694+Trades!U668</f>
        <v>5.7244737531544461</v>
      </c>
      <c r="O695" s="5">
        <f>O694+Trades!W668</f>
        <v>6622.2355933590607</v>
      </c>
    </row>
    <row r="696" spans="12:15" x14ac:dyDescent="0.3">
      <c r="L696" s="4">
        <f>Trades!P680</f>
        <v>0</v>
      </c>
      <c r="M696" s="5">
        <f>M695+Trades!T680</f>
        <v>17904.819999999996</v>
      </c>
      <c r="N696" s="5">
        <f>N695+Trades!U680</f>
        <v>5.7244737531544461</v>
      </c>
      <c r="O696" s="5">
        <f>O695+Trades!W680</f>
        <v>6622.2355933590607</v>
      </c>
    </row>
    <row r="697" spans="12:15" x14ac:dyDescent="0.3">
      <c r="L697" s="4">
        <f>Trades!P691</f>
        <v>0</v>
      </c>
      <c r="M697" s="5">
        <f>M696+Trades!T691</f>
        <v>17904.819999999996</v>
      </c>
      <c r="N697" s="5">
        <f>N696+Trades!U691</f>
        <v>5.7244737531544461</v>
      </c>
      <c r="O697" s="5">
        <f>O696+Trades!W691</f>
        <v>6622.2355933590607</v>
      </c>
    </row>
    <row r="698" spans="12:15" x14ac:dyDescent="0.3">
      <c r="L698" s="4">
        <f>Trades!P699</f>
        <v>0</v>
      </c>
      <c r="M698" s="5">
        <f>M697+Trades!T699</f>
        <v>17904.819999999996</v>
      </c>
      <c r="N698" s="5">
        <f>N697+Trades!U699</f>
        <v>5.7244737531544461</v>
      </c>
      <c r="O698" s="5">
        <f>O697+Trades!W699</f>
        <v>6622.2355933590607</v>
      </c>
    </row>
    <row r="699" spans="12:15" x14ac:dyDescent="0.3">
      <c r="L699" s="4">
        <f>Trades!P681</f>
        <v>0</v>
      </c>
      <c r="M699" s="5">
        <f>M698+Trades!T681</f>
        <v>17904.819999999996</v>
      </c>
      <c r="N699" s="5">
        <f>N698+Trades!U681</f>
        <v>5.7244737531544461</v>
      </c>
      <c r="O699" s="5">
        <f>O698+Trades!W681</f>
        <v>6622.2355933590607</v>
      </c>
    </row>
    <row r="700" spans="12:15" x14ac:dyDescent="0.3">
      <c r="L700" s="4">
        <f>Trades!P700</f>
        <v>0</v>
      </c>
      <c r="M700" s="5">
        <f>M699+Trades!T700</f>
        <v>17904.819999999996</v>
      </c>
      <c r="N700" s="5">
        <f>N699+Trades!U700</f>
        <v>5.7244737531544461</v>
      </c>
      <c r="O700" s="5">
        <f>O699+Trades!W700</f>
        <v>6622.2355933590607</v>
      </c>
    </row>
    <row r="701" spans="12:15" x14ac:dyDescent="0.3">
      <c r="L701" s="4">
        <f>Trades!P701</f>
        <v>0</v>
      </c>
      <c r="M701" s="5">
        <f>M700+Trades!T701</f>
        <v>17904.819999999996</v>
      </c>
      <c r="N701" s="5">
        <f>N700+Trades!U701</f>
        <v>5.7244737531544461</v>
      </c>
      <c r="O701" s="5">
        <f>O700+Trades!W701</f>
        <v>6622.2355933590607</v>
      </c>
    </row>
    <row r="702" spans="12:15" x14ac:dyDescent="0.3">
      <c r="L702" s="4">
        <f>Trades!P714</f>
        <v>0</v>
      </c>
      <c r="M702" s="5">
        <f>M701+Trades!T714</f>
        <v>17904.819999999996</v>
      </c>
      <c r="N702" s="5">
        <f>N701+Trades!U714</f>
        <v>5.7244737531544461</v>
      </c>
      <c r="O702" s="5">
        <f>O701+Trades!W714</f>
        <v>6622.2355933590607</v>
      </c>
    </row>
    <row r="703" spans="12:15" x14ac:dyDescent="0.3">
      <c r="L703" s="4">
        <f>Trades!P730</f>
        <v>0</v>
      </c>
      <c r="M703" s="5">
        <f>M702+Trades!T730</f>
        <v>17904.819999999996</v>
      </c>
      <c r="N703" s="5">
        <f>N702+Trades!U730</f>
        <v>5.7244737531544461</v>
      </c>
      <c r="O703" s="5">
        <f>O702+Trades!W730</f>
        <v>6622.2355933590607</v>
      </c>
    </row>
    <row r="704" spans="12:15" x14ac:dyDescent="0.3">
      <c r="L704" s="4">
        <f>Trades!P741</f>
        <v>0</v>
      </c>
      <c r="M704" s="5">
        <f>M703+Trades!T741</f>
        <v>17904.819999999996</v>
      </c>
      <c r="N704" s="5">
        <f>N703+Trades!U741</f>
        <v>5.7244737531544461</v>
      </c>
      <c r="O704" s="5">
        <f>O703+Trades!W741</f>
        <v>6622.2355933590607</v>
      </c>
    </row>
    <row r="705" spans="12:15" x14ac:dyDescent="0.3">
      <c r="L705" s="4">
        <f>Trades!P756</f>
        <v>0</v>
      </c>
      <c r="M705" s="5">
        <f>M704+Trades!T756</f>
        <v>17904.819999999996</v>
      </c>
      <c r="N705" s="5">
        <f>N704+Trades!U756</f>
        <v>5.7244737531544461</v>
      </c>
      <c r="O705" s="5">
        <f>O704+Trades!W756</f>
        <v>6622.2355933590607</v>
      </c>
    </row>
    <row r="706" spans="12:15" x14ac:dyDescent="0.3">
      <c r="L706" s="4">
        <f>Trades!P766</f>
        <v>0</v>
      </c>
      <c r="M706" s="5">
        <f>M705+Trades!T766</f>
        <v>17904.819999999996</v>
      </c>
      <c r="N706" s="5">
        <f>N705+Trades!U766</f>
        <v>5.7244737531544461</v>
      </c>
      <c r="O706" s="5">
        <f>O705+Trades!W766</f>
        <v>6622.2355933590607</v>
      </c>
    </row>
    <row r="707" spans="12:15" x14ac:dyDescent="0.3">
      <c r="L707" s="4">
        <f>Trades!P777</f>
        <v>0</v>
      </c>
      <c r="M707" s="5">
        <f>M706+Trades!T777</f>
        <v>17904.819999999996</v>
      </c>
      <c r="N707" s="5">
        <f>N706+Trades!U777</f>
        <v>5.7244737531544461</v>
      </c>
      <c r="O707" s="5">
        <f>O706+Trades!W777</f>
        <v>6622.2355933590607</v>
      </c>
    </row>
    <row r="708" spans="12:15" x14ac:dyDescent="0.3">
      <c r="L708" s="4">
        <f>Trades!P778</f>
        <v>0</v>
      </c>
      <c r="M708" s="5">
        <f>M707+Trades!T778</f>
        <v>17904.819999999996</v>
      </c>
      <c r="N708" s="5">
        <f>N707+Trades!U778</f>
        <v>5.7244737531544461</v>
      </c>
      <c r="O708" s="5">
        <f>O707+Trades!W778</f>
        <v>6622.2355933590607</v>
      </c>
    </row>
    <row r="709" spans="12:15" x14ac:dyDescent="0.3">
      <c r="L709" s="4">
        <f>Trades!P779</f>
        <v>0</v>
      </c>
      <c r="M709" s="5">
        <f>M708+Trades!T779</f>
        <v>17904.819999999996</v>
      </c>
      <c r="N709" s="5">
        <f>N708+Trades!U779</f>
        <v>5.7244737531544461</v>
      </c>
      <c r="O709" s="5">
        <f>O708+Trades!W779</f>
        <v>6622.2355933590607</v>
      </c>
    </row>
    <row r="710" spans="12:15" x14ac:dyDescent="0.3">
      <c r="L710" s="4">
        <f>Trades!P702</f>
        <v>0</v>
      </c>
      <c r="M710" s="5">
        <f>M709+Trades!T702</f>
        <v>17904.819999999996</v>
      </c>
      <c r="N710" s="5">
        <f>N709+Trades!U702</f>
        <v>5.7244737531544461</v>
      </c>
      <c r="O710" s="5">
        <f>O709+Trades!W702</f>
        <v>6622.2355933590607</v>
      </c>
    </row>
    <row r="711" spans="12:15" x14ac:dyDescent="0.3">
      <c r="L711" s="4">
        <f>Trades!P742</f>
        <v>0</v>
      </c>
      <c r="M711" s="5">
        <f>M710+Trades!T742</f>
        <v>17904.819999999996</v>
      </c>
      <c r="N711" s="5">
        <f>N710+Trades!U742</f>
        <v>5.7244737531544461</v>
      </c>
      <c r="O711" s="5">
        <f>O710+Trades!W742</f>
        <v>6622.2355933590607</v>
      </c>
    </row>
    <row r="712" spans="12:15" x14ac:dyDescent="0.3">
      <c r="L712" s="4">
        <f>Trades!P703</f>
        <v>0</v>
      </c>
      <c r="M712" s="5">
        <f>M711+Trades!T703</f>
        <v>17904.819999999996</v>
      </c>
      <c r="N712" s="5">
        <f>N711+Trades!U703</f>
        <v>5.7244737531544461</v>
      </c>
      <c r="O712" s="5">
        <f>O711+Trades!W703</f>
        <v>6622.2355933590607</v>
      </c>
    </row>
    <row r="713" spans="12:15" x14ac:dyDescent="0.3">
      <c r="L713" s="4">
        <f>Trades!P715</f>
        <v>0</v>
      </c>
      <c r="M713" s="5">
        <f>M712+Trades!T715</f>
        <v>17904.819999999996</v>
      </c>
      <c r="N713" s="5">
        <f>N712+Trades!U715</f>
        <v>5.7244737531544461</v>
      </c>
      <c r="O713" s="5">
        <f>O712+Trades!W715</f>
        <v>6622.2355933590607</v>
      </c>
    </row>
    <row r="714" spans="12:15" x14ac:dyDescent="0.3">
      <c r="L714" s="4">
        <f>Trades!P731</f>
        <v>0</v>
      </c>
      <c r="M714" s="5">
        <f>M713+Trades!T731</f>
        <v>17904.819999999996</v>
      </c>
      <c r="N714" s="5">
        <f>N713+Trades!U731</f>
        <v>5.7244737531544461</v>
      </c>
      <c r="O714" s="5">
        <f>O713+Trades!W731</f>
        <v>6622.2355933590607</v>
      </c>
    </row>
    <row r="715" spans="12:15" x14ac:dyDescent="0.3">
      <c r="L715" s="4">
        <f>Trades!P757</f>
        <v>0</v>
      </c>
      <c r="M715" s="5">
        <f>M714+Trades!T757</f>
        <v>17904.819999999996</v>
      </c>
      <c r="N715" s="5">
        <f>N714+Trades!U757</f>
        <v>5.7244737531544461</v>
      </c>
      <c r="O715" s="5">
        <f>O714+Trades!W757</f>
        <v>6622.2355933590607</v>
      </c>
    </row>
    <row r="716" spans="12:15" x14ac:dyDescent="0.3">
      <c r="L716" s="4">
        <f>Trades!P780</f>
        <v>0</v>
      </c>
      <c r="M716" s="5">
        <f>M715+Trades!T780</f>
        <v>17904.819999999996</v>
      </c>
      <c r="N716" s="5">
        <f>N715+Trades!U780</f>
        <v>5.7244737531544461</v>
      </c>
      <c r="O716" s="5">
        <f>O715+Trades!W780</f>
        <v>6622.2355933590607</v>
      </c>
    </row>
    <row r="717" spans="12:15" x14ac:dyDescent="0.3">
      <c r="L717" s="4">
        <f>Trades!P767</f>
        <v>0</v>
      </c>
      <c r="M717" s="5">
        <f>M716+Trades!T767</f>
        <v>17904.819999999996</v>
      </c>
      <c r="N717" s="5">
        <f>N716+Trades!U767</f>
        <v>5.7244737531544461</v>
      </c>
      <c r="O717" s="5">
        <f>O716+Trades!W767</f>
        <v>6622.2355933590607</v>
      </c>
    </row>
    <row r="718" spans="12:15" x14ac:dyDescent="0.3">
      <c r="L718" s="4">
        <f>Trades!P732</f>
        <v>0</v>
      </c>
      <c r="M718" s="5">
        <f>M717+Trades!T732</f>
        <v>17904.819999999996</v>
      </c>
      <c r="N718" s="5">
        <f>N717+Trades!U732</f>
        <v>5.7244737531544461</v>
      </c>
      <c r="O718" s="5">
        <f>O717+Trades!W732</f>
        <v>6622.2355933590607</v>
      </c>
    </row>
    <row r="719" spans="12:15" x14ac:dyDescent="0.3">
      <c r="L719" s="4">
        <f>Trades!P716</f>
        <v>0</v>
      </c>
      <c r="M719" s="5">
        <f>M718+Trades!T716</f>
        <v>17904.819999999996</v>
      </c>
      <c r="N719" s="5">
        <f>N718+Trades!U716</f>
        <v>5.7244737531544461</v>
      </c>
      <c r="O719" s="5">
        <f>O718+Trades!W716</f>
        <v>6622.2355933590607</v>
      </c>
    </row>
    <row r="720" spans="12:15" x14ac:dyDescent="0.3">
      <c r="L720" s="4">
        <f>Trades!P704</f>
        <v>0</v>
      </c>
      <c r="M720" s="5">
        <f>M719+Trades!T704</f>
        <v>17904.819999999996</v>
      </c>
      <c r="N720" s="5">
        <f>N719+Trades!U704</f>
        <v>5.7244737531544461</v>
      </c>
      <c r="O720" s="5">
        <f>O719+Trades!W704</f>
        <v>6622.2355933590607</v>
      </c>
    </row>
    <row r="721" spans="12:15" x14ac:dyDescent="0.3">
      <c r="L721" s="4">
        <f>Trades!P758</f>
        <v>0</v>
      </c>
      <c r="M721" s="5">
        <f>M720+Trades!T758</f>
        <v>17904.819999999996</v>
      </c>
      <c r="N721" s="5">
        <f>N720+Trades!U758</f>
        <v>5.7244737531544461</v>
      </c>
      <c r="O721" s="5">
        <f>O720+Trades!W758</f>
        <v>6622.2355933590607</v>
      </c>
    </row>
    <row r="722" spans="12:15" x14ac:dyDescent="0.3">
      <c r="L722" s="4">
        <f>Trades!P781</f>
        <v>0</v>
      </c>
      <c r="M722" s="5">
        <f>M721+Trades!T781</f>
        <v>17904.819999999996</v>
      </c>
      <c r="N722" s="5">
        <f>N721+Trades!U781</f>
        <v>5.7244737531544461</v>
      </c>
      <c r="O722" s="5">
        <f>O721+Trades!W781</f>
        <v>6622.2355933590607</v>
      </c>
    </row>
    <row r="723" spans="12:15" x14ac:dyDescent="0.3">
      <c r="L723" s="4">
        <f>Trades!P768</f>
        <v>0</v>
      </c>
      <c r="M723" s="5">
        <f>M722+Trades!T768</f>
        <v>17904.819999999996</v>
      </c>
      <c r="N723" s="5">
        <f>N722+Trades!U768</f>
        <v>5.7244737531544461</v>
      </c>
      <c r="O723" s="5">
        <f>O722+Trades!W768</f>
        <v>6622.2355933590607</v>
      </c>
    </row>
    <row r="724" spans="12:15" x14ac:dyDescent="0.3">
      <c r="L724" s="4">
        <f>Trades!P733</f>
        <v>0</v>
      </c>
      <c r="M724" s="5">
        <f>M723+Trades!T733</f>
        <v>17904.819999999996</v>
      </c>
      <c r="N724" s="5">
        <f>N723+Trades!U733</f>
        <v>5.7244737531544461</v>
      </c>
      <c r="O724" s="5">
        <f>O723+Trades!W733</f>
        <v>6622.2355933590607</v>
      </c>
    </row>
    <row r="725" spans="12:15" x14ac:dyDescent="0.3">
      <c r="L725" s="4">
        <f>Trades!P743</f>
        <v>0</v>
      </c>
      <c r="M725" s="5">
        <f>M724+Trades!T743</f>
        <v>17904.819999999996</v>
      </c>
      <c r="N725" s="5">
        <f>N724+Trades!U743</f>
        <v>5.7244737531544461</v>
      </c>
      <c r="O725" s="5">
        <f>O724+Trades!W743</f>
        <v>6622.2355933590607</v>
      </c>
    </row>
    <row r="726" spans="12:15" x14ac:dyDescent="0.3">
      <c r="L726" s="4">
        <f>Trades!P717</f>
        <v>0</v>
      </c>
      <c r="M726" s="5">
        <f>M725+Trades!T717</f>
        <v>17904.819999999996</v>
      </c>
      <c r="N726" s="5">
        <f>N725+Trades!U717</f>
        <v>5.7244737531544461</v>
      </c>
      <c r="O726" s="5">
        <f>O725+Trades!W717</f>
        <v>6622.2355933590607</v>
      </c>
    </row>
    <row r="727" spans="12:15" x14ac:dyDescent="0.3">
      <c r="L727" s="4">
        <f>Trades!P744</f>
        <v>0</v>
      </c>
      <c r="M727" s="5">
        <f>M726+Trades!T744</f>
        <v>17904.819999999996</v>
      </c>
      <c r="N727" s="5">
        <f>N726+Trades!U744</f>
        <v>5.7244737531544461</v>
      </c>
      <c r="O727" s="5">
        <f>O726+Trades!W744</f>
        <v>6622.2355933590607</v>
      </c>
    </row>
    <row r="728" spans="12:15" x14ac:dyDescent="0.3">
      <c r="L728" s="4">
        <f>Trades!P718</f>
        <v>0</v>
      </c>
      <c r="M728" s="5">
        <f>M727+Trades!T718</f>
        <v>17904.819999999996</v>
      </c>
      <c r="N728" s="5">
        <f>N727+Trades!U718</f>
        <v>5.7244737531544461</v>
      </c>
      <c r="O728" s="5">
        <f>O727+Trades!W718</f>
        <v>6622.2355933590607</v>
      </c>
    </row>
    <row r="729" spans="12:15" x14ac:dyDescent="0.3">
      <c r="L729" s="4">
        <f>Trades!P734</f>
        <v>0</v>
      </c>
      <c r="M729" s="5">
        <f>M728+Trades!T734</f>
        <v>17904.819999999996</v>
      </c>
      <c r="N729" s="5">
        <f>N728+Trades!U734</f>
        <v>5.7244737531544461</v>
      </c>
      <c r="O729" s="5">
        <f>O728+Trades!W734</f>
        <v>6622.2355933590607</v>
      </c>
    </row>
    <row r="730" spans="12:15" x14ac:dyDescent="0.3">
      <c r="L730" s="4">
        <f>Trades!P745</f>
        <v>0</v>
      </c>
      <c r="M730" s="5">
        <f>M729+Trades!T745</f>
        <v>17904.819999999996</v>
      </c>
      <c r="N730" s="5">
        <f>N729+Trades!U745</f>
        <v>5.7244737531544461</v>
      </c>
      <c r="O730" s="5">
        <f>O729+Trades!W745</f>
        <v>6622.2355933590607</v>
      </c>
    </row>
    <row r="731" spans="12:15" x14ac:dyDescent="0.3">
      <c r="L731" s="4">
        <f>Trades!P705</f>
        <v>0</v>
      </c>
      <c r="M731" s="5">
        <f>M730+Trades!T705</f>
        <v>17904.819999999996</v>
      </c>
      <c r="N731" s="5">
        <f>N730+Trades!U705</f>
        <v>5.7244737531544461</v>
      </c>
      <c r="O731" s="5">
        <f>O730+Trades!W705</f>
        <v>6622.2355933590607</v>
      </c>
    </row>
    <row r="732" spans="12:15" x14ac:dyDescent="0.3">
      <c r="L732" s="4">
        <f>Trades!P769</f>
        <v>0</v>
      </c>
      <c r="M732" s="5">
        <f>M731+Trades!T769</f>
        <v>17904.819999999996</v>
      </c>
      <c r="N732" s="5">
        <f>N731+Trades!U769</f>
        <v>5.7244737531544461</v>
      </c>
      <c r="O732" s="5">
        <f>O731+Trades!W769</f>
        <v>6622.2355933590607</v>
      </c>
    </row>
    <row r="733" spans="12:15" x14ac:dyDescent="0.3">
      <c r="L733" s="4">
        <f>Trades!P770</f>
        <v>0</v>
      </c>
      <c r="M733" s="5">
        <f>M732+Trades!T770</f>
        <v>17904.819999999996</v>
      </c>
      <c r="N733" s="5">
        <f>N732+Trades!U770</f>
        <v>5.7244737531544461</v>
      </c>
      <c r="O733" s="5">
        <f>O732+Trades!W770</f>
        <v>6622.2355933590607</v>
      </c>
    </row>
    <row r="734" spans="12:15" x14ac:dyDescent="0.3">
      <c r="L734" s="4">
        <f>Trades!P759</f>
        <v>0</v>
      </c>
      <c r="M734" s="5">
        <f>M733+Trades!T759</f>
        <v>17904.819999999996</v>
      </c>
      <c r="N734" s="5">
        <f>N733+Trades!U759</f>
        <v>5.7244737531544461</v>
      </c>
      <c r="O734" s="5">
        <f>O733+Trades!W759</f>
        <v>6622.2355933590607</v>
      </c>
    </row>
    <row r="735" spans="12:15" x14ac:dyDescent="0.3">
      <c r="L735" s="4">
        <f>Trades!P746</f>
        <v>0</v>
      </c>
      <c r="M735" s="5">
        <f>M734+Trades!T746</f>
        <v>17904.819999999996</v>
      </c>
      <c r="N735" s="5">
        <f>N734+Trades!U746</f>
        <v>5.7244737531544461</v>
      </c>
      <c r="O735" s="5">
        <f>O734+Trades!W746</f>
        <v>6622.2355933590607</v>
      </c>
    </row>
    <row r="736" spans="12:15" x14ac:dyDescent="0.3">
      <c r="L736" s="4">
        <f>Trades!P782</f>
        <v>0</v>
      </c>
      <c r="M736" s="5">
        <f>M735+Trades!T782</f>
        <v>17904.819999999996</v>
      </c>
      <c r="N736" s="5">
        <f>N735+Trades!U782</f>
        <v>5.7244737531544461</v>
      </c>
      <c r="O736" s="5">
        <f>O735+Trades!W782</f>
        <v>6622.2355933590607</v>
      </c>
    </row>
    <row r="737" spans="12:15" x14ac:dyDescent="0.3">
      <c r="L737" s="4">
        <f>Trades!P783</f>
        <v>0</v>
      </c>
      <c r="M737" s="5">
        <f>M736+Trades!T783</f>
        <v>17904.819999999996</v>
      </c>
      <c r="N737" s="5">
        <f>N736+Trades!U783</f>
        <v>5.7244737531544461</v>
      </c>
      <c r="O737" s="5">
        <f>O736+Trades!W783</f>
        <v>6622.2355933590607</v>
      </c>
    </row>
    <row r="738" spans="12:15" x14ac:dyDescent="0.3">
      <c r="L738" s="4">
        <f>Trades!P719</f>
        <v>0</v>
      </c>
      <c r="M738" s="5">
        <f>M737+Trades!T719</f>
        <v>17904.819999999996</v>
      </c>
      <c r="N738" s="5">
        <f>N737+Trades!U719</f>
        <v>5.7244737531544461</v>
      </c>
      <c r="O738" s="5">
        <f>O737+Trades!W719</f>
        <v>6622.2355933590607</v>
      </c>
    </row>
    <row r="739" spans="12:15" x14ac:dyDescent="0.3">
      <c r="L739" s="4">
        <f>Trades!P747</f>
        <v>0</v>
      </c>
      <c r="M739" s="5">
        <f>M738+Trades!T747</f>
        <v>17904.819999999996</v>
      </c>
      <c r="N739" s="5">
        <f>N738+Trades!U747</f>
        <v>5.7244737531544461</v>
      </c>
      <c r="O739" s="5">
        <f>O738+Trades!W747</f>
        <v>6622.2355933590607</v>
      </c>
    </row>
    <row r="740" spans="12:15" x14ac:dyDescent="0.3">
      <c r="L740" s="4">
        <f>Trades!P735</f>
        <v>0</v>
      </c>
      <c r="M740" s="5">
        <f>M739+Trades!T735</f>
        <v>17904.819999999996</v>
      </c>
      <c r="N740" s="5">
        <f>N739+Trades!U735</f>
        <v>5.7244737531544461</v>
      </c>
      <c r="O740" s="5">
        <f>O739+Trades!W735</f>
        <v>6622.2355933590607</v>
      </c>
    </row>
    <row r="741" spans="12:15" x14ac:dyDescent="0.3">
      <c r="L741" s="4">
        <f>Trades!P771</f>
        <v>0</v>
      </c>
      <c r="M741" s="5">
        <f>M740+Trades!T771</f>
        <v>17904.819999999996</v>
      </c>
      <c r="N741" s="5">
        <f>N740+Trades!U771</f>
        <v>5.7244737531544461</v>
      </c>
      <c r="O741" s="5">
        <f>O740+Trades!W771</f>
        <v>6622.2355933590607</v>
      </c>
    </row>
    <row r="742" spans="12:15" x14ac:dyDescent="0.3">
      <c r="L742" s="4">
        <f>Trades!P720</f>
        <v>0</v>
      </c>
      <c r="M742" s="5">
        <f>M741+Trades!T720</f>
        <v>17904.819999999996</v>
      </c>
      <c r="N742" s="5">
        <f>N741+Trades!U720</f>
        <v>5.7244737531544461</v>
      </c>
      <c r="O742" s="5">
        <f>O741+Trades!W720</f>
        <v>6622.2355933590607</v>
      </c>
    </row>
    <row r="743" spans="12:15" x14ac:dyDescent="0.3">
      <c r="L743" s="4">
        <f>Trades!P760</f>
        <v>0</v>
      </c>
      <c r="M743" s="5">
        <f>M742+Trades!T760</f>
        <v>17904.819999999996</v>
      </c>
      <c r="N743" s="5">
        <f>N742+Trades!U760</f>
        <v>5.7244737531544461</v>
      </c>
      <c r="O743" s="5">
        <f>O742+Trades!W760</f>
        <v>6622.2355933590607</v>
      </c>
    </row>
    <row r="744" spans="12:15" x14ac:dyDescent="0.3">
      <c r="L744" s="4">
        <f>Trades!P784</f>
        <v>0</v>
      </c>
      <c r="M744" s="5">
        <f>M743+Trades!T784</f>
        <v>17904.819999999996</v>
      </c>
      <c r="N744" s="5">
        <f>N743+Trades!U784</f>
        <v>5.7244737531544461</v>
      </c>
      <c r="O744" s="5">
        <f>O743+Trades!W784</f>
        <v>6622.2355933590607</v>
      </c>
    </row>
    <row r="745" spans="12:15" x14ac:dyDescent="0.3">
      <c r="L745" s="4">
        <f>Trades!P748</f>
        <v>0</v>
      </c>
      <c r="M745" s="5">
        <f>M744+Trades!T748</f>
        <v>17904.819999999996</v>
      </c>
      <c r="N745" s="5">
        <f>N744+Trades!U748</f>
        <v>5.7244737531544461</v>
      </c>
      <c r="O745" s="5">
        <f>O744+Trades!W748</f>
        <v>6622.2355933590607</v>
      </c>
    </row>
    <row r="746" spans="12:15" x14ac:dyDescent="0.3">
      <c r="L746" s="4">
        <f>Trades!P785</f>
        <v>0</v>
      </c>
      <c r="M746" s="5">
        <f>M745+Trades!T785</f>
        <v>17904.819999999996</v>
      </c>
      <c r="N746" s="5">
        <f>N745+Trades!U785</f>
        <v>5.7244737531544461</v>
      </c>
      <c r="O746" s="5">
        <f>O745+Trades!W785</f>
        <v>6622.2355933590607</v>
      </c>
    </row>
    <row r="747" spans="12:15" x14ac:dyDescent="0.3">
      <c r="L747" s="4">
        <f>Trades!P749</f>
        <v>0</v>
      </c>
      <c r="M747" s="5">
        <f>M746+Trades!T749</f>
        <v>17904.819999999996</v>
      </c>
      <c r="N747" s="5">
        <f>N746+Trades!U749</f>
        <v>5.7244737531544461</v>
      </c>
      <c r="O747" s="5">
        <f>O746+Trades!W749</f>
        <v>6622.2355933590607</v>
      </c>
    </row>
    <row r="748" spans="12:15" x14ac:dyDescent="0.3">
      <c r="L748" s="4">
        <f>Trades!P750</f>
        <v>0</v>
      </c>
      <c r="M748" s="5">
        <f>M747+Trades!T750</f>
        <v>17904.819999999996</v>
      </c>
      <c r="N748" s="5">
        <f>N747+Trades!U750</f>
        <v>5.7244737531544461</v>
      </c>
      <c r="O748" s="5">
        <f>O747+Trades!W750</f>
        <v>6622.2355933590607</v>
      </c>
    </row>
    <row r="749" spans="12:15" x14ac:dyDescent="0.3">
      <c r="L749" s="4">
        <f>Trades!P761</f>
        <v>0</v>
      </c>
      <c r="M749" s="5">
        <f>M748+Trades!T761</f>
        <v>17904.819999999996</v>
      </c>
      <c r="N749" s="5">
        <f>N748+Trades!U761</f>
        <v>5.7244737531544461</v>
      </c>
      <c r="O749" s="5">
        <f>O748+Trades!W761</f>
        <v>6622.2355933590607</v>
      </c>
    </row>
    <row r="750" spans="12:15" x14ac:dyDescent="0.3">
      <c r="L750" s="4">
        <f>Trades!P751</f>
        <v>0</v>
      </c>
      <c r="M750" s="5">
        <f>M749+Trades!T751</f>
        <v>17904.819999999996</v>
      </c>
      <c r="N750" s="5">
        <f>N749+Trades!U751</f>
        <v>5.7244737531544461</v>
      </c>
      <c r="O750" s="5">
        <f>O749+Trades!W751</f>
        <v>6622.2355933590607</v>
      </c>
    </row>
    <row r="751" spans="12:15" x14ac:dyDescent="0.3">
      <c r="L751" s="4">
        <f>Trades!P721</f>
        <v>0</v>
      </c>
      <c r="M751" s="5">
        <f>M750+Trades!T721</f>
        <v>17904.819999999996</v>
      </c>
      <c r="N751" s="5">
        <f>N750+Trades!U721</f>
        <v>5.7244737531544461</v>
      </c>
      <c r="O751" s="5">
        <f>O750+Trades!W721</f>
        <v>6622.2355933590607</v>
      </c>
    </row>
    <row r="752" spans="12:15" x14ac:dyDescent="0.3">
      <c r="L752" s="4">
        <f>Trades!P786</f>
        <v>0</v>
      </c>
      <c r="M752" s="5">
        <f>M751+Trades!T786</f>
        <v>17904.819999999996</v>
      </c>
      <c r="N752" s="5">
        <f>N751+Trades!U786</f>
        <v>5.7244737531544461</v>
      </c>
      <c r="O752" s="5">
        <f>O751+Trades!W786</f>
        <v>6622.2355933590607</v>
      </c>
    </row>
    <row r="753" spans="12:15" x14ac:dyDescent="0.3">
      <c r="L753" s="4">
        <f>Trades!P706</f>
        <v>0</v>
      </c>
      <c r="M753" s="5">
        <f>M752+Trades!T706</f>
        <v>17904.819999999996</v>
      </c>
      <c r="N753" s="5">
        <f>N752+Trades!U706</f>
        <v>5.7244737531544461</v>
      </c>
      <c r="O753" s="5">
        <f>O752+Trades!W706</f>
        <v>6622.2355933590607</v>
      </c>
    </row>
    <row r="754" spans="12:15" x14ac:dyDescent="0.3">
      <c r="L754" s="4">
        <f>Trades!P772</f>
        <v>0</v>
      </c>
      <c r="M754" s="5">
        <f>M753+Trades!T772</f>
        <v>17904.819999999996</v>
      </c>
      <c r="N754" s="5">
        <f>N753+Trades!U772</f>
        <v>5.7244737531544461</v>
      </c>
      <c r="O754" s="5">
        <f>O753+Trades!W772</f>
        <v>6622.2355933590607</v>
      </c>
    </row>
    <row r="755" spans="12:15" x14ac:dyDescent="0.3">
      <c r="L755" s="4">
        <f>Trades!P722</f>
        <v>0</v>
      </c>
      <c r="M755" s="5">
        <f>M754+Trades!T722</f>
        <v>17904.819999999996</v>
      </c>
      <c r="N755" s="5">
        <f>N754+Trades!U722</f>
        <v>5.7244737531544461</v>
      </c>
      <c r="O755" s="5">
        <f>O754+Trades!W722</f>
        <v>6622.2355933590607</v>
      </c>
    </row>
    <row r="756" spans="12:15" x14ac:dyDescent="0.3">
      <c r="L756" s="4">
        <f>Trades!P773</f>
        <v>0</v>
      </c>
      <c r="M756" s="5">
        <f>M755+Trades!T773</f>
        <v>17904.819999999996</v>
      </c>
      <c r="N756" s="5">
        <f>N755+Trades!U773</f>
        <v>5.7244737531544461</v>
      </c>
      <c r="O756" s="5">
        <f>O755+Trades!W773</f>
        <v>6622.2355933590607</v>
      </c>
    </row>
    <row r="757" spans="12:15" x14ac:dyDescent="0.3">
      <c r="L757" s="4">
        <f>Trades!P707</f>
        <v>0</v>
      </c>
      <c r="M757" s="5">
        <f>M756+Trades!T707</f>
        <v>17904.819999999996</v>
      </c>
      <c r="N757" s="5">
        <f>N756+Trades!U707</f>
        <v>5.7244737531544461</v>
      </c>
      <c r="O757" s="5">
        <f>O756+Trades!W707</f>
        <v>6622.2355933590607</v>
      </c>
    </row>
    <row r="758" spans="12:15" x14ac:dyDescent="0.3">
      <c r="L758" s="4">
        <f>Trades!P752</f>
        <v>0</v>
      </c>
      <c r="M758" s="5">
        <f>M757+Trades!T752</f>
        <v>17904.819999999996</v>
      </c>
      <c r="N758" s="5">
        <f>N757+Trades!U752</f>
        <v>5.7244737531544461</v>
      </c>
      <c r="O758" s="5">
        <f>O757+Trades!W752</f>
        <v>6622.2355933590607</v>
      </c>
    </row>
    <row r="759" spans="12:15" x14ac:dyDescent="0.3">
      <c r="L759" s="4">
        <f>Trades!P787</f>
        <v>0</v>
      </c>
      <c r="M759" s="5">
        <f>M758+Trades!T787</f>
        <v>17904.819999999996</v>
      </c>
      <c r="N759" s="5">
        <f>N758+Trades!U787</f>
        <v>5.7244737531544461</v>
      </c>
      <c r="O759" s="5">
        <f>O758+Trades!W787</f>
        <v>6622.2355933590607</v>
      </c>
    </row>
    <row r="760" spans="12:15" x14ac:dyDescent="0.3">
      <c r="L760" s="4">
        <f>Trades!P708</f>
        <v>0</v>
      </c>
      <c r="M760" s="5">
        <f>M759+Trades!T708</f>
        <v>17904.819999999996</v>
      </c>
      <c r="N760" s="5">
        <f>N759+Trades!U708</f>
        <v>5.7244737531544461</v>
      </c>
      <c r="O760" s="5">
        <f>O759+Trades!W708</f>
        <v>6622.2355933590607</v>
      </c>
    </row>
    <row r="761" spans="12:15" x14ac:dyDescent="0.3">
      <c r="L761" s="4">
        <f>Trades!P723</f>
        <v>0</v>
      </c>
      <c r="M761" s="5">
        <f>M760+Trades!T723</f>
        <v>17904.819999999996</v>
      </c>
      <c r="N761" s="5">
        <f>N760+Trades!U723</f>
        <v>5.7244737531544461</v>
      </c>
      <c r="O761" s="5">
        <f>O760+Trades!W723</f>
        <v>6622.2355933590607</v>
      </c>
    </row>
    <row r="762" spans="12:15" x14ac:dyDescent="0.3">
      <c r="L762" s="4">
        <f>Trades!P788</f>
        <v>0</v>
      </c>
      <c r="M762" s="5">
        <f>M761+Trades!T788</f>
        <v>17904.819999999996</v>
      </c>
      <c r="N762" s="5">
        <f>N761+Trades!U788</f>
        <v>5.7244737531544461</v>
      </c>
      <c r="O762" s="5">
        <f>O761+Trades!W788</f>
        <v>6622.2355933590607</v>
      </c>
    </row>
    <row r="763" spans="12:15" x14ac:dyDescent="0.3">
      <c r="L763" s="4">
        <f>Trades!P736</f>
        <v>0</v>
      </c>
      <c r="M763" s="5">
        <f>M762+Trades!T736</f>
        <v>17904.819999999996</v>
      </c>
      <c r="N763" s="5">
        <f>N762+Trades!U736</f>
        <v>5.7244737531544461</v>
      </c>
      <c r="O763" s="5">
        <f>O762+Trades!W736</f>
        <v>6622.2355933590607</v>
      </c>
    </row>
    <row r="764" spans="12:15" x14ac:dyDescent="0.3">
      <c r="L764" s="4">
        <f>Trades!P724</f>
        <v>0</v>
      </c>
      <c r="M764" s="5">
        <f>M763+Trades!T724</f>
        <v>17904.819999999996</v>
      </c>
      <c r="N764" s="5">
        <f>N763+Trades!U724</f>
        <v>5.7244737531544461</v>
      </c>
      <c r="O764" s="5">
        <f>O763+Trades!W724</f>
        <v>6622.2355933590607</v>
      </c>
    </row>
    <row r="765" spans="12:15" x14ac:dyDescent="0.3">
      <c r="L765" s="4">
        <f>Trades!P789</f>
        <v>0</v>
      </c>
      <c r="M765" s="5">
        <f>M764+Trades!T789</f>
        <v>17904.819999999996</v>
      </c>
      <c r="N765" s="5">
        <f>N764+Trades!U789</f>
        <v>5.7244737531544461</v>
      </c>
      <c r="O765" s="5">
        <f>O764+Trades!W789</f>
        <v>6622.2355933590607</v>
      </c>
    </row>
    <row r="766" spans="12:15" x14ac:dyDescent="0.3">
      <c r="L766" s="4">
        <f>Trades!P762</f>
        <v>0</v>
      </c>
      <c r="M766" s="5">
        <f>M765+Trades!T762</f>
        <v>17904.819999999996</v>
      </c>
      <c r="N766" s="5">
        <f>N765+Trades!U762</f>
        <v>5.7244737531544461</v>
      </c>
      <c r="O766" s="5">
        <f>O765+Trades!W762</f>
        <v>6622.2355933590607</v>
      </c>
    </row>
    <row r="767" spans="12:15" x14ac:dyDescent="0.3">
      <c r="L767" s="4">
        <f>Trades!P737</f>
        <v>0</v>
      </c>
      <c r="M767" s="5">
        <f>M766+Trades!T737</f>
        <v>17904.819999999996</v>
      </c>
      <c r="N767" s="5">
        <f>N766+Trades!U737</f>
        <v>5.7244737531544461</v>
      </c>
      <c r="O767" s="5">
        <f>O766+Trades!W737</f>
        <v>6622.2355933590607</v>
      </c>
    </row>
    <row r="768" spans="12:15" x14ac:dyDescent="0.3">
      <c r="L768" s="4">
        <f>Trades!P763</f>
        <v>0</v>
      </c>
      <c r="M768" s="5">
        <f>M767+Trades!T763</f>
        <v>17904.819999999996</v>
      </c>
      <c r="N768" s="5">
        <f>N767+Trades!U763</f>
        <v>5.7244737531544461</v>
      </c>
      <c r="O768" s="5">
        <f>O767+Trades!W763</f>
        <v>6622.2355933590607</v>
      </c>
    </row>
    <row r="769" spans="12:15" x14ac:dyDescent="0.3">
      <c r="L769" s="4">
        <f>Trades!P709</f>
        <v>0</v>
      </c>
      <c r="M769" s="5">
        <f>M768+Trades!T709</f>
        <v>17904.819999999996</v>
      </c>
      <c r="N769" s="5">
        <f>N768+Trades!U709</f>
        <v>5.7244737531544461</v>
      </c>
      <c r="O769" s="5">
        <f>O768+Trades!W709</f>
        <v>6622.2355933590607</v>
      </c>
    </row>
    <row r="770" spans="12:15" x14ac:dyDescent="0.3">
      <c r="L770" s="4">
        <f>Trades!P790</f>
        <v>0</v>
      </c>
      <c r="M770" s="5">
        <f>M769+Trades!T790</f>
        <v>17904.819999999996</v>
      </c>
      <c r="N770" s="5">
        <f>N769+Trades!U790</f>
        <v>5.7244737531544461</v>
      </c>
      <c r="O770" s="5">
        <f>O769+Trades!W790</f>
        <v>6622.2355933590607</v>
      </c>
    </row>
    <row r="771" spans="12:15" x14ac:dyDescent="0.3">
      <c r="L771" s="4">
        <f>Trades!P725</f>
        <v>0</v>
      </c>
      <c r="M771" s="5">
        <f>M770+Trades!T725</f>
        <v>17904.819999999996</v>
      </c>
      <c r="N771" s="5">
        <f>N770+Trades!U725</f>
        <v>5.7244737531544461</v>
      </c>
      <c r="O771" s="5">
        <f>O770+Trades!W725</f>
        <v>6622.2355933590607</v>
      </c>
    </row>
    <row r="772" spans="12:15" x14ac:dyDescent="0.3">
      <c r="L772" s="4">
        <f>Trades!P764</f>
        <v>0</v>
      </c>
      <c r="M772" s="5">
        <f>M771+Trades!T764</f>
        <v>17904.819999999996</v>
      </c>
      <c r="N772" s="5">
        <f>N771+Trades!U764</f>
        <v>5.7244737531544461</v>
      </c>
      <c r="O772" s="5">
        <f>O771+Trades!W764</f>
        <v>6622.2355933590607</v>
      </c>
    </row>
    <row r="773" spans="12:15" x14ac:dyDescent="0.3">
      <c r="L773" s="4">
        <f>Trades!P738</f>
        <v>0</v>
      </c>
      <c r="M773" s="5">
        <f>M772+Trades!T738</f>
        <v>17904.819999999996</v>
      </c>
      <c r="N773" s="5">
        <f>N772+Trades!U738</f>
        <v>5.7244737531544461</v>
      </c>
      <c r="O773" s="5">
        <f>O772+Trades!W738</f>
        <v>6622.2355933590607</v>
      </c>
    </row>
    <row r="774" spans="12:15" x14ac:dyDescent="0.3">
      <c r="L774" s="4">
        <f>Trades!P753</f>
        <v>0</v>
      </c>
      <c r="M774" s="5">
        <f>M773+Trades!T753</f>
        <v>17904.819999999996</v>
      </c>
      <c r="N774" s="5">
        <f>N773+Trades!U753</f>
        <v>5.7244737531544461</v>
      </c>
      <c r="O774" s="5">
        <f>O773+Trades!W753</f>
        <v>6622.2355933590607</v>
      </c>
    </row>
    <row r="775" spans="12:15" x14ac:dyDescent="0.3">
      <c r="L775" s="4">
        <f>Trades!P710</f>
        <v>0</v>
      </c>
      <c r="M775" s="5">
        <f>M774+Trades!T710</f>
        <v>17904.819999999996</v>
      </c>
      <c r="N775" s="5">
        <f>N774+Trades!U710</f>
        <v>5.7244737531544461</v>
      </c>
      <c r="O775" s="5">
        <f>O774+Trades!W710</f>
        <v>6622.2355933590607</v>
      </c>
    </row>
    <row r="776" spans="12:15" x14ac:dyDescent="0.3">
      <c r="L776" s="4">
        <f>Trades!P726</f>
        <v>0</v>
      </c>
      <c r="M776" s="5">
        <f>M775+Trades!T726</f>
        <v>17904.819999999996</v>
      </c>
      <c r="N776" s="5">
        <f>N775+Trades!U726</f>
        <v>5.7244737531544461</v>
      </c>
      <c r="O776" s="5">
        <f>O775+Trades!W726</f>
        <v>6622.2355933590607</v>
      </c>
    </row>
    <row r="777" spans="12:15" x14ac:dyDescent="0.3">
      <c r="L777" s="4">
        <f>Trades!P711</f>
        <v>0</v>
      </c>
      <c r="M777" s="5">
        <f>M776+Trades!T711</f>
        <v>17904.819999999996</v>
      </c>
      <c r="N777" s="5">
        <f>N776+Trades!U711</f>
        <v>5.7244737531544461</v>
      </c>
      <c r="O777" s="5">
        <f>O776+Trades!W711</f>
        <v>6622.2355933590607</v>
      </c>
    </row>
    <row r="778" spans="12:15" x14ac:dyDescent="0.3">
      <c r="L778" s="4">
        <f>Trades!P774</f>
        <v>0</v>
      </c>
      <c r="M778" s="5">
        <f>M777+Trades!T774</f>
        <v>17904.819999999996</v>
      </c>
      <c r="N778" s="5">
        <f>N777+Trades!U774</f>
        <v>5.7244737531544461</v>
      </c>
      <c r="O778" s="5">
        <f>O777+Trades!W774</f>
        <v>6622.2355933590607</v>
      </c>
    </row>
    <row r="779" spans="12:15" x14ac:dyDescent="0.3">
      <c r="L779" s="4">
        <f>Trades!P791</f>
        <v>0</v>
      </c>
      <c r="M779" s="5">
        <f>M778+Trades!T791</f>
        <v>17904.819999999996</v>
      </c>
      <c r="N779" s="5">
        <f>N778+Trades!U791</f>
        <v>5.7244737531544461</v>
      </c>
      <c r="O779" s="5">
        <f>O778+Trades!W791</f>
        <v>6622.2355933590607</v>
      </c>
    </row>
    <row r="780" spans="12:15" x14ac:dyDescent="0.3">
      <c r="L780" s="4">
        <f>Trades!P739</f>
        <v>0</v>
      </c>
      <c r="M780" s="5">
        <f>M779+Trades!T739</f>
        <v>17904.819999999996</v>
      </c>
      <c r="N780" s="5">
        <f>N779+Trades!U739</f>
        <v>5.7244737531544461</v>
      </c>
      <c r="O780" s="5">
        <f>O779+Trades!W739</f>
        <v>6622.2355933590607</v>
      </c>
    </row>
    <row r="781" spans="12:15" x14ac:dyDescent="0.3">
      <c r="L781" s="4">
        <f>Trades!P792</f>
        <v>0</v>
      </c>
      <c r="M781" s="5">
        <f>M780+Trades!T792</f>
        <v>17904.819999999996</v>
      </c>
      <c r="N781" s="5">
        <f>N780+Trades!U792</f>
        <v>5.7244737531544461</v>
      </c>
      <c r="O781" s="5">
        <f>O780+Trades!W792</f>
        <v>6622.2355933590607</v>
      </c>
    </row>
    <row r="782" spans="12:15" x14ac:dyDescent="0.3">
      <c r="L782" s="4">
        <f>Trades!P727</f>
        <v>0</v>
      </c>
      <c r="M782" s="5">
        <f>M781+Trades!T727</f>
        <v>17904.819999999996</v>
      </c>
      <c r="N782" s="5">
        <f>N781+Trades!U727</f>
        <v>5.7244737531544461</v>
      </c>
      <c r="O782" s="5">
        <f>O781+Trades!W727</f>
        <v>6622.2355933590607</v>
      </c>
    </row>
    <row r="783" spans="12:15" x14ac:dyDescent="0.3">
      <c r="L783" s="4">
        <f>Trades!P754</f>
        <v>0</v>
      </c>
      <c r="M783" s="5">
        <f>M782+Trades!T754</f>
        <v>17904.819999999996</v>
      </c>
      <c r="N783" s="5">
        <f>N782+Trades!U754</f>
        <v>5.7244737531544461</v>
      </c>
      <c r="O783" s="5">
        <f>O782+Trades!W754</f>
        <v>6622.2355933590607</v>
      </c>
    </row>
    <row r="784" spans="12:15" x14ac:dyDescent="0.3">
      <c r="L784" s="4">
        <f>Trades!P712</f>
        <v>0</v>
      </c>
      <c r="M784" s="5">
        <f>M783+Trades!T712</f>
        <v>17904.819999999996</v>
      </c>
      <c r="N784" s="5">
        <f>N783+Trades!U712</f>
        <v>5.7244737531544461</v>
      </c>
      <c r="O784" s="5">
        <f>O783+Trades!W712</f>
        <v>6622.2355933590607</v>
      </c>
    </row>
    <row r="785" spans="12:15" x14ac:dyDescent="0.3">
      <c r="L785" s="4">
        <f>Trades!P775</f>
        <v>0</v>
      </c>
      <c r="M785" s="5">
        <f>M784+Trades!T775</f>
        <v>17904.819999999996</v>
      </c>
      <c r="N785" s="5">
        <f>N784+Trades!U775</f>
        <v>5.7244737531544461</v>
      </c>
      <c r="O785" s="5">
        <f>O784+Trades!W775</f>
        <v>6622.2355933590607</v>
      </c>
    </row>
    <row r="786" spans="12:15" x14ac:dyDescent="0.3">
      <c r="L786" s="4">
        <f>Trades!P728</f>
        <v>0</v>
      </c>
      <c r="M786" s="5">
        <f>M785+Trades!T728</f>
        <v>17904.819999999996</v>
      </c>
      <c r="N786" s="5">
        <f>N785+Trades!U728</f>
        <v>5.7244737531544461</v>
      </c>
      <c r="O786" s="5">
        <f>O785+Trades!W728</f>
        <v>6622.2355933590607</v>
      </c>
    </row>
    <row r="787" spans="12:15" x14ac:dyDescent="0.3">
      <c r="L787" s="4">
        <f>Trades!P776</f>
        <v>0</v>
      </c>
      <c r="M787" s="5">
        <f>M786+Trades!T776</f>
        <v>17904.819999999996</v>
      </c>
      <c r="N787" s="5">
        <f>N786+Trades!U776</f>
        <v>5.7244737531544461</v>
      </c>
      <c r="O787" s="5">
        <f>O786+Trades!W776</f>
        <v>6622.2355933590607</v>
      </c>
    </row>
    <row r="788" spans="12:15" x14ac:dyDescent="0.3">
      <c r="L788" s="4">
        <f>Trades!P793</f>
        <v>0</v>
      </c>
      <c r="M788" s="5">
        <f>M787+Trades!T793</f>
        <v>17904.819999999996</v>
      </c>
      <c r="N788" s="5">
        <f>N787+Trades!U793</f>
        <v>5.7244737531544461</v>
      </c>
      <c r="O788" s="5">
        <f>O787+Trades!W793</f>
        <v>6622.2355933590607</v>
      </c>
    </row>
    <row r="789" spans="12:15" x14ac:dyDescent="0.3">
      <c r="L789" s="4">
        <f>Trades!P755</f>
        <v>0</v>
      </c>
      <c r="M789" s="5">
        <f>M788+Trades!T755</f>
        <v>17904.819999999996</v>
      </c>
      <c r="N789" s="5">
        <f>N788+Trades!U755</f>
        <v>5.7244737531544461</v>
      </c>
      <c r="O789" s="5">
        <f>O788+Trades!W755</f>
        <v>6622.2355933590607</v>
      </c>
    </row>
    <row r="790" spans="12:15" x14ac:dyDescent="0.3">
      <c r="L790" s="4">
        <f>Trades!P729</f>
        <v>0</v>
      </c>
      <c r="M790" s="5">
        <f>M789+Trades!T729</f>
        <v>17904.819999999996</v>
      </c>
      <c r="N790" s="5">
        <f>N789+Trades!U729</f>
        <v>5.7244737531544461</v>
      </c>
      <c r="O790" s="5">
        <f>O789+Trades!W729</f>
        <v>6622.2355933590607</v>
      </c>
    </row>
    <row r="791" spans="12:15" x14ac:dyDescent="0.3">
      <c r="L791" s="4">
        <f>Trades!P765</f>
        <v>0</v>
      </c>
      <c r="M791" s="5">
        <f>M790+Trades!T765</f>
        <v>17904.819999999996</v>
      </c>
      <c r="N791" s="5">
        <f>N790+Trades!U765</f>
        <v>5.7244737531544461</v>
      </c>
      <c r="O791" s="5">
        <f>O790+Trades!W765</f>
        <v>6622.2355933590607</v>
      </c>
    </row>
    <row r="792" spans="12:15" x14ac:dyDescent="0.3">
      <c r="L792" s="4">
        <f>Trades!P713</f>
        <v>0</v>
      </c>
      <c r="M792" s="5">
        <f>M791+Trades!T713</f>
        <v>17904.819999999996</v>
      </c>
      <c r="N792" s="5">
        <f>N791+Trades!U713</f>
        <v>5.7244737531544461</v>
      </c>
      <c r="O792" s="5">
        <f>O791+Trades!W713</f>
        <v>6622.2355933590607</v>
      </c>
    </row>
    <row r="793" spans="12:15" x14ac:dyDescent="0.3">
      <c r="L793" s="4">
        <f>Trades!P740</f>
        <v>0</v>
      </c>
      <c r="M793" s="5">
        <f>M792+Trades!T740</f>
        <v>17904.819999999996</v>
      </c>
      <c r="N793" s="5">
        <f>N792+Trades!U740</f>
        <v>5.7244737531544461</v>
      </c>
      <c r="O793" s="5">
        <f>O792+Trades!W740</f>
        <v>6622.2355933590607</v>
      </c>
    </row>
    <row r="794" spans="12:15" x14ac:dyDescent="0.3">
      <c r="L794" s="4">
        <f>Trades!P794</f>
        <v>0</v>
      </c>
      <c r="M794" s="5">
        <f>M793+Trades!T794</f>
        <v>17904.819999999996</v>
      </c>
      <c r="N794" s="5">
        <f>N793+Trades!U794</f>
        <v>5.7244737531544461</v>
      </c>
      <c r="O794" s="5">
        <f>O793+Trades!W794</f>
        <v>6622.2355933590607</v>
      </c>
    </row>
    <row r="795" spans="12:15" x14ac:dyDescent="0.3">
      <c r="L795" s="4">
        <f>Trades!P805</f>
        <v>0</v>
      </c>
      <c r="M795" s="5">
        <f>M794+Trades!T805</f>
        <v>17904.819999999996</v>
      </c>
      <c r="N795" s="5">
        <f>N794+Trades!U805</f>
        <v>5.7244737531544461</v>
      </c>
      <c r="O795" s="5">
        <f>O794+Trades!W805</f>
        <v>6622.2355933590607</v>
      </c>
    </row>
    <row r="796" spans="12:15" x14ac:dyDescent="0.3">
      <c r="L796" s="4">
        <f>Trades!P815</f>
        <v>0</v>
      </c>
      <c r="M796" s="5">
        <f>M795+Trades!T815</f>
        <v>17904.819999999996</v>
      </c>
      <c r="N796" s="5">
        <f>N795+Trades!U815</f>
        <v>5.7244737531544461</v>
      </c>
      <c r="O796" s="5">
        <f>O795+Trades!W815</f>
        <v>6622.2355933590607</v>
      </c>
    </row>
    <row r="797" spans="12:15" x14ac:dyDescent="0.3">
      <c r="L797" s="4">
        <f>Trades!P827</f>
        <v>0</v>
      </c>
      <c r="M797" s="5">
        <f>M796+Trades!T827</f>
        <v>17904.819999999996</v>
      </c>
      <c r="N797" s="5">
        <f>N796+Trades!U827</f>
        <v>5.7244737531544461</v>
      </c>
      <c r="O797" s="5">
        <f>O796+Trades!W827</f>
        <v>6622.2355933590607</v>
      </c>
    </row>
    <row r="798" spans="12:15" x14ac:dyDescent="0.3">
      <c r="L798" s="4">
        <f>Trades!P838</f>
        <v>0</v>
      </c>
      <c r="M798" s="5">
        <f>M797+Trades!T838</f>
        <v>17904.819999999996</v>
      </c>
      <c r="N798" s="5">
        <f>N797+Trades!U838</f>
        <v>5.7244737531544461</v>
      </c>
      <c r="O798" s="5">
        <f>O797+Trades!W838</f>
        <v>6622.2355933590607</v>
      </c>
    </row>
    <row r="799" spans="12:15" x14ac:dyDescent="0.3">
      <c r="L799" s="4">
        <f>Trades!P851</f>
        <v>0</v>
      </c>
      <c r="M799" s="5">
        <f>M798+Trades!T851</f>
        <v>17904.819999999996</v>
      </c>
      <c r="N799" s="5">
        <f>N798+Trades!U851</f>
        <v>5.7244737531544461</v>
      </c>
      <c r="O799" s="5">
        <f>O798+Trades!W851</f>
        <v>6622.2355933590607</v>
      </c>
    </row>
    <row r="800" spans="12:15" x14ac:dyDescent="0.3">
      <c r="L800" s="4">
        <f>Trades!P795</f>
        <v>0</v>
      </c>
      <c r="M800" s="5">
        <f>M799+Trades!T795</f>
        <v>17904.819999999996</v>
      </c>
      <c r="N800" s="5">
        <f>N799+Trades!U795</f>
        <v>5.7244737531544461</v>
      </c>
      <c r="O800" s="5">
        <f>O799+Trades!W795</f>
        <v>6622.2355933590607</v>
      </c>
    </row>
    <row r="801" spans="12:15" x14ac:dyDescent="0.3">
      <c r="L801" s="4">
        <f>Trades!P796</f>
        <v>0</v>
      </c>
      <c r="M801" s="5">
        <f>M800+Trades!T796</f>
        <v>17904.819999999996</v>
      </c>
      <c r="N801" s="5">
        <f>N800+Trades!U796</f>
        <v>5.7244737531544461</v>
      </c>
      <c r="O801" s="5">
        <f>O800+Trades!W796</f>
        <v>6622.2355933590607</v>
      </c>
    </row>
    <row r="802" spans="12:15" x14ac:dyDescent="0.3">
      <c r="L802" s="4">
        <f>Trades!P806</f>
        <v>0</v>
      </c>
      <c r="M802" s="5">
        <f>M801+Trades!T806</f>
        <v>17904.819999999996</v>
      </c>
      <c r="N802" s="5">
        <f>N801+Trades!U806</f>
        <v>5.7244737531544461</v>
      </c>
      <c r="O802" s="5">
        <f>O801+Trades!W806</f>
        <v>6622.2355933590607</v>
      </c>
    </row>
    <row r="803" spans="12:15" x14ac:dyDescent="0.3">
      <c r="L803" s="4">
        <f>Trades!P839</f>
        <v>0</v>
      </c>
      <c r="M803" s="5">
        <f>M802+Trades!T839</f>
        <v>17904.819999999996</v>
      </c>
      <c r="N803" s="5">
        <f>N802+Trades!U839</f>
        <v>5.7244737531544461</v>
      </c>
      <c r="O803" s="5">
        <f>O802+Trades!W839</f>
        <v>6622.2355933590607</v>
      </c>
    </row>
    <row r="804" spans="12:15" x14ac:dyDescent="0.3">
      <c r="L804" s="4">
        <f>Trades!P816</f>
        <v>0</v>
      </c>
      <c r="M804" s="5">
        <f>M803+Trades!T816</f>
        <v>17904.819999999996</v>
      </c>
      <c r="N804" s="5">
        <f>N803+Trades!U816</f>
        <v>5.7244737531544461</v>
      </c>
      <c r="O804" s="5">
        <f>O803+Trades!W816</f>
        <v>6622.2355933590607</v>
      </c>
    </row>
    <row r="805" spans="12:15" x14ac:dyDescent="0.3">
      <c r="L805" s="4">
        <f>Trades!P852</f>
        <v>0</v>
      </c>
      <c r="M805" s="5">
        <f>M804+Trades!T852</f>
        <v>17904.819999999996</v>
      </c>
      <c r="N805" s="5">
        <f>N804+Trades!U852</f>
        <v>5.7244737531544461</v>
      </c>
      <c r="O805" s="5">
        <f>O804+Trades!W852</f>
        <v>6622.2355933590607</v>
      </c>
    </row>
    <row r="806" spans="12:15" x14ac:dyDescent="0.3">
      <c r="L806" s="4">
        <f>Trades!P797</f>
        <v>0</v>
      </c>
      <c r="M806" s="5">
        <f>M805+Trades!T797</f>
        <v>17904.819999999996</v>
      </c>
      <c r="N806" s="5">
        <f>N805+Trades!U797</f>
        <v>5.7244737531544461</v>
      </c>
      <c r="O806" s="5">
        <f>O805+Trades!W797</f>
        <v>6622.2355933590607</v>
      </c>
    </row>
    <row r="807" spans="12:15" x14ac:dyDescent="0.3">
      <c r="L807" s="4">
        <f>Trades!P828</f>
        <v>0</v>
      </c>
      <c r="M807" s="5">
        <f>M806+Trades!T828</f>
        <v>17904.819999999996</v>
      </c>
      <c r="N807" s="5">
        <f>N806+Trades!U828</f>
        <v>5.7244737531544461</v>
      </c>
      <c r="O807" s="5">
        <f>O806+Trades!W828</f>
        <v>6622.2355933590607</v>
      </c>
    </row>
    <row r="808" spans="12:15" x14ac:dyDescent="0.3">
      <c r="L808" s="4">
        <f>Trades!P817</f>
        <v>0</v>
      </c>
      <c r="M808" s="5">
        <f>M807+Trades!T817</f>
        <v>17904.819999999996</v>
      </c>
      <c r="N808" s="5">
        <f>N807+Trades!U817</f>
        <v>5.7244737531544461</v>
      </c>
      <c r="O808" s="5">
        <f>O807+Trades!W817</f>
        <v>6622.2355933590607</v>
      </c>
    </row>
    <row r="809" spans="12:15" x14ac:dyDescent="0.3">
      <c r="L809" s="4">
        <f>Trades!P840</f>
        <v>0</v>
      </c>
      <c r="M809" s="5">
        <f>M808+Trades!T840</f>
        <v>17904.819999999996</v>
      </c>
      <c r="N809" s="5">
        <f>N808+Trades!U840</f>
        <v>5.7244737531544461</v>
      </c>
      <c r="O809" s="5">
        <f>O808+Trades!W840</f>
        <v>6622.2355933590607</v>
      </c>
    </row>
    <row r="810" spans="12:15" x14ac:dyDescent="0.3">
      <c r="L810" s="4">
        <f>Trades!P807</f>
        <v>0</v>
      </c>
      <c r="M810" s="5">
        <f>M809+Trades!T807</f>
        <v>17904.819999999996</v>
      </c>
      <c r="N810" s="5">
        <f>N809+Trades!U807</f>
        <v>5.7244737531544461</v>
      </c>
      <c r="O810" s="5">
        <f>O809+Trades!W807</f>
        <v>6622.2355933590607</v>
      </c>
    </row>
    <row r="811" spans="12:15" x14ac:dyDescent="0.3">
      <c r="L811" s="4">
        <f>Trades!P829</f>
        <v>0</v>
      </c>
      <c r="M811" s="5">
        <f>M810+Trades!T829</f>
        <v>17904.819999999996</v>
      </c>
      <c r="N811" s="5">
        <f>N810+Trades!U829</f>
        <v>5.7244737531544461</v>
      </c>
      <c r="O811" s="5">
        <f>O810+Trades!W829</f>
        <v>6622.2355933590607</v>
      </c>
    </row>
    <row r="812" spans="12:15" x14ac:dyDescent="0.3">
      <c r="L812" s="4">
        <f>Trades!P830</f>
        <v>0</v>
      </c>
      <c r="M812" s="5">
        <f>M811+Trades!T830</f>
        <v>17904.819999999996</v>
      </c>
      <c r="N812" s="5">
        <f>N811+Trades!U830</f>
        <v>5.7244737531544461</v>
      </c>
      <c r="O812" s="5">
        <f>O811+Trades!W830</f>
        <v>6622.2355933590607</v>
      </c>
    </row>
    <row r="813" spans="12:15" x14ac:dyDescent="0.3">
      <c r="L813" s="4">
        <f>Trades!P818</f>
        <v>0</v>
      </c>
      <c r="M813" s="5">
        <f>M812+Trades!T818</f>
        <v>17904.819999999996</v>
      </c>
      <c r="N813" s="5">
        <f>N812+Trades!U818</f>
        <v>5.7244737531544461</v>
      </c>
      <c r="O813" s="5">
        <f>O812+Trades!W818</f>
        <v>6622.2355933590607</v>
      </c>
    </row>
    <row r="814" spans="12:15" x14ac:dyDescent="0.3">
      <c r="L814" s="4">
        <f>Trades!P798</f>
        <v>0</v>
      </c>
      <c r="M814" s="5">
        <f>M813+Trades!T798</f>
        <v>17904.819999999996</v>
      </c>
      <c r="N814" s="5">
        <f>N813+Trades!U798</f>
        <v>5.7244737531544461</v>
      </c>
      <c r="O814" s="5">
        <f>O813+Trades!W798</f>
        <v>6622.2355933590607</v>
      </c>
    </row>
    <row r="815" spans="12:15" x14ac:dyDescent="0.3">
      <c r="L815" s="4">
        <f>Trades!P853</f>
        <v>0</v>
      </c>
      <c r="M815" s="5">
        <f>M814+Trades!T853</f>
        <v>17904.819999999996</v>
      </c>
      <c r="N815" s="5">
        <f>N814+Trades!U853</f>
        <v>5.7244737531544461</v>
      </c>
      <c r="O815" s="5">
        <f>O814+Trades!W853</f>
        <v>6622.2355933590607</v>
      </c>
    </row>
    <row r="816" spans="12:15" x14ac:dyDescent="0.3">
      <c r="L816" s="4">
        <f>Trades!P841</f>
        <v>0</v>
      </c>
      <c r="M816" s="5">
        <f>M815+Trades!T841</f>
        <v>17904.819999999996</v>
      </c>
      <c r="N816" s="5">
        <f>N815+Trades!U841</f>
        <v>5.7244737531544461</v>
      </c>
      <c r="O816" s="5">
        <f>O815+Trades!W841</f>
        <v>6622.2355933590607</v>
      </c>
    </row>
    <row r="817" spans="12:15" x14ac:dyDescent="0.3">
      <c r="L817" s="4">
        <f>Trades!P819</f>
        <v>0</v>
      </c>
      <c r="M817" s="5">
        <f>M816+Trades!T819</f>
        <v>17904.819999999996</v>
      </c>
      <c r="N817" s="5">
        <f>N816+Trades!U819</f>
        <v>5.7244737531544461</v>
      </c>
      <c r="O817" s="5">
        <f>O816+Trades!W819</f>
        <v>6622.2355933590607</v>
      </c>
    </row>
    <row r="818" spans="12:15" x14ac:dyDescent="0.3">
      <c r="L818" s="4">
        <f>Trades!P808</f>
        <v>0</v>
      </c>
      <c r="M818" s="5">
        <f>M817+Trades!T808</f>
        <v>17904.819999999996</v>
      </c>
      <c r="N818" s="5">
        <f>N817+Trades!U808</f>
        <v>5.7244737531544461</v>
      </c>
      <c r="O818" s="5">
        <f>O817+Trades!W808</f>
        <v>6622.2355933590607</v>
      </c>
    </row>
    <row r="819" spans="12:15" x14ac:dyDescent="0.3">
      <c r="L819" s="4">
        <f>Trades!P842</f>
        <v>0</v>
      </c>
      <c r="M819" s="5">
        <f>M818+Trades!T842</f>
        <v>17904.819999999996</v>
      </c>
      <c r="N819" s="5">
        <f>N818+Trades!U842</f>
        <v>5.7244737531544461</v>
      </c>
      <c r="O819" s="5">
        <f>O818+Trades!W842</f>
        <v>6622.2355933590607</v>
      </c>
    </row>
    <row r="820" spans="12:15" x14ac:dyDescent="0.3">
      <c r="L820" s="4">
        <f>Trades!P799</f>
        <v>0</v>
      </c>
      <c r="M820" s="5">
        <f>M819+Trades!T799</f>
        <v>17904.819999999996</v>
      </c>
      <c r="N820" s="5">
        <f>N819+Trades!U799</f>
        <v>5.7244737531544461</v>
      </c>
      <c r="O820" s="5">
        <f>O819+Trades!W799</f>
        <v>6622.2355933590607</v>
      </c>
    </row>
    <row r="821" spans="12:15" x14ac:dyDescent="0.3">
      <c r="L821" s="4">
        <f>Trades!P800</f>
        <v>0</v>
      </c>
      <c r="M821" s="5">
        <f>M820+Trades!T800</f>
        <v>17904.819999999996</v>
      </c>
      <c r="N821" s="5">
        <f>N820+Trades!U800</f>
        <v>5.7244737531544461</v>
      </c>
      <c r="O821" s="5">
        <f>O820+Trades!W800</f>
        <v>6622.2355933590607</v>
      </c>
    </row>
    <row r="822" spans="12:15" x14ac:dyDescent="0.3">
      <c r="L822" s="4">
        <f>Trades!P809</f>
        <v>0</v>
      </c>
      <c r="M822" s="5">
        <f>M821+Trades!T809</f>
        <v>17904.819999999996</v>
      </c>
      <c r="N822" s="5">
        <f>N821+Trades!U809</f>
        <v>5.7244737531544461</v>
      </c>
      <c r="O822" s="5">
        <f>O821+Trades!W809</f>
        <v>6622.2355933590607</v>
      </c>
    </row>
    <row r="823" spans="12:15" x14ac:dyDescent="0.3">
      <c r="L823" s="4">
        <f>Trades!P854</f>
        <v>0</v>
      </c>
      <c r="M823" s="5">
        <f>M822+Trades!T854</f>
        <v>17904.819999999996</v>
      </c>
      <c r="N823" s="5">
        <f>N822+Trades!U854</f>
        <v>5.7244737531544461</v>
      </c>
      <c r="O823" s="5">
        <f>O822+Trades!W854</f>
        <v>6622.2355933590607</v>
      </c>
    </row>
    <row r="824" spans="12:15" x14ac:dyDescent="0.3">
      <c r="L824" s="4">
        <f>Trades!P820</f>
        <v>0</v>
      </c>
      <c r="M824" s="5">
        <f>M823+Trades!T820</f>
        <v>17904.819999999996</v>
      </c>
      <c r="N824" s="5">
        <f>N823+Trades!U820</f>
        <v>5.7244737531544461</v>
      </c>
      <c r="O824" s="5">
        <f>O823+Trades!W820</f>
        <v>6622.2355933590607</v>
      </c>
    </row>
    <row r="825" spans="12:15" x14ac:dyDescent="0.3">
      <c r="L825" s="4">
        <f>Trades!P810</f>
        <v>0</v>
      </c>
      <c r="M825" s="5">
        <f>M824+Trades!T810</f>
        <v>17904.819999999996</v>
      </c>
      <c r="N825" s="5">
        <f>N824+Trades!U810</f>
        <v>5.7244737531544461</v>
      </c>
      <c r="O825" s="5">
        <f>O824+Trades!W810</f>
        <v>6622.2355933590607</v>
      </c>
    </row>
    <row r="826" spans="12:15" x14ac:dyDescent="0.3">
      <c r="L826" s="4">
        <f>Trades!P831</f>
        <v>0</v>
      </c>
      <c r="M826" s="5">
        <f>M825+Trades!T831</f>
        <v>17904.819999999996</v>
      </c>
      <c r="N826" s="5">
        <f>N825+Trades!U831</f>
        <v>5.7244737531544461</v>
      </c>
      <c r="O826" s="5">
        <f>O825+Trades!W831</f>
        <v>6622.2355933590607</v>
      </c>
    </row>
    <row r="827" spans="12:15" x14ac:dyDescent="0.3">
      <c r="L827" s="4">
        <f>Trades!P843</f>
        <v>0</v>
      </c>
      <c r="M827" s="5">
        <f>M826+Trades!T843</f>
        <v>17904.819999999996</v>
      </c>
      <c r="N827" s="5">
        <f>N826+Trades!U843</f>
        <v>5.7244737531544461</v>
      </c>
      <c r="O827" s="5">
        <f>O826+Trades!W843</f>
        <v>6622.2355933590607</v>
      </c>
    </row>
    <row r="828" spans="12:15" x14ac:dyDescent="0.3">
      <c r="L828" s="4">
        <f>Trades!P855</f>
        <v>0</v>
      </c>
      <c r="M828" s="5">
        <f>M827+Trades!T855</f>
        <v>17904.819999999996</v>
      </c>
      <c r="N828" s="5">
        <f>N827+Trades!U855</f>
        <v>5.7244737531544461</v>
      </c>
      <c r="O828" s="5">
        <f>O827+Trades!W855</f>
        <v>6622.2355933590607</v>
      </c>
    </row>
    <row r="829" spans="12:15" x14ac:dyDescent="0.3">
      <c r="L829" s="4">
        <f>Trades!P821</f>
        <v>0</v>
      </c>
      <c r="M829" s="5">
        <f>M828+Trades!T821</f>
        <v>17904.819999999996</v>
      </c>
      <c r="N829" s="5">
        <f>N828+Trades!U821</f>
        <v>5.7244737531544461</v>
      </c>
      <c r="O829" s="5">
        <f>O828+Trades!W821</f>
        <v>6622.2355933590607</v>
      </c>
    </row>
    <row r="830" spans="12:15" x14ac:dyDescent="0.3">
      <c r="L830" s="4">
        <f>Trades!P832</f>
        <v>0</v>
      </c>
      <c r="M830" s="5">
        <f>M829+Trades!T832</f>
        <v>17904.819999999996</v>
      </c>
      <c r="N830" s="5">
        <f>N829+Trades!U832</f>
        <v>5.7244737531544461</v>
      </c>
      <c r="O830" s="5">
        <f>O829+Trades!W832</f>
        <v>6622.2355933590607</v>
      </c>
    </row>
    <row r="831" spans="12:15" x14ac:dyDescent="0.3">
      <c r="L831" s="4">
        <f>Trades!P801</f>
        <v>0</v>
      </c>
      <c r="M831" s="5">
        <f>M830+Trades!T801</f>
        <v>17904.819999999996</v>
      </c>
      <c r="N831" s="5">
        <f>N830+Trades!U801</f>
        <v>5.7244737531544461</v>
      </c>
      <c r="O831" s="5">
        <f>O830+Trades!W801</f>
        <v>6622.2355933590607</v>
      </c>
    </row>
    <row r="832" spans="12:15" x14ac:dyDescent="0.3">
      <c r="L832" s="4">
        <f>Trades!P822</f>
        <v>0</v>
      </c>
      <c r="M832" s="5">
        <f>M831+Trades!T822</f>
        <v>17904.819999999996</v>
      </c>
      <c r="N832" s="5">
        <f>N831+Trades!U822</f>
        <v>5.7244737531544461</v>
      </c>
      <c r="O832" s="5">
        <f>O831+Trades!W822</f>
        <v>6622.2355933590607</v>
      </c>
    </row>
    <row r="833" spans="12:15" x14ac:dyDescent="0.3">
      <c r="L833" s="4">
        <f>Trades!P856</f>
        <v>0</v>
      </c>
      <c r="M833" s="5">
        <f>M832+Trades!T856</f>
        <v>17904.819999999996</v>
      </c>
      <c r="N833" s="5">
        <f>N832+Trades!U856</f>
        <v>5.7244737531544461</v>
      </c>
      <c r="O833" s="5">
        <f>O832+Trades!W856</f>
        <v>6622.2355933590607</v>
      </c>
    </row>
    <row r="834" spans="12:15" x14ac:dyDescent="0.3">
      <c r="L834" s="4">
        <f>Trades!P811</f>
        <v>0</v>
      </c>
      <c r="M834" s="5">
        <f>M833+Trades!T811</f>
        <v>17904.819999999996</v>
      </c>
      <c r="N834" s="5">
        <f>N833+Trades!U811</f>
        <v>5.7244737531544461</v>
      </c>
      <c r="O834" s="5">
        <f>O833+Trades!W811</f>
        <v>6622.2355933590607</v>
      </c>
    </row>
    <row r="835" spans="12:15" x14ac:dyDescent="0.3">
      <c r="L835" s="4">
        <f>Trades!P844</f>
        <v>0</v>
      </c>
      <c r="M835" s="5">
        <f>M834+Trades!T844</f>
        <v>17904.819999999996</v>
      </c>
      <c r="N835" s="5">
        <f>N834+Trades!U844</f>
        <v>5.7244737531544461</v>
      </c>
      <c r="O835" s="5">
        <f>O834+Trades!W844</f>
        <v>6622.2355933590607</v>
      </c>
    </row>
    <row r="836" spans="12:15" x14ac:dyDescent="0.3">
      <c r="L836" s="4">
        <f>Trades!P833</f>
        <v>0</v>
      </c>
      <c r="M836" s="5">
        <f>M835+Trades!T833</f>
        <v>17904.819999999996</v>
      </c>
      <c r="N836" s="5">
        <f>N835+Trades!U833</f>
        <v>5.7244737531544461</v>
      </c>
      <c r="O836" s="5">
        <f>O835+Trades!W833</f>
        <v>6622.2355933590607</v>
      </c>
    </row>
    <row r="837" spans="12:15" x14ac:dyDescent="0.3">
      <c r="L837" s="4">
        <f>Trades!P845</f>
        <v>0</v>
      </c>
      <c r="M837" s="5">
        <f>M836+Trades!T845</f>
        <v>17904.819999999996</v>
      </c>
      <c r="N837" s="5">
        <f>N836+Trades!U845</f>
        <v>5.7244737531544461</v>
      </c>
      <c r="O837" s="5">
        <f>O836+Trades!W845</f>
        <v>6622.2355933590607</v>
      </c>
    </row>
    <row r="838" spans="12:15" x14ac:dyDescent="0.3">
      <c r="L838" s="4">
        <f>Trades!P846</f>
        <v>0</v>
      </c>
      <c r="M838" s="5">
        <f>M837+Trades!T846</f>
        <v>17904.819999999996</v>
      </c>
      <c r="N838" s="5">
        <f>N837+Trades!U846</f>
        <v>5.7244737531544461</v>
      </c>
      <c r="O838" s="5">
        <f>O837+Trades!W846</f>
        <v>6622.2355933590607</v>
      </c>
    </row>
    <row r="839" spans="12:15" x14ac:dyDescent="0.3">
      <c r="L839" s="4">
        <f>Trades!P857</f>
        <v>0</v>
      </c>
      <c r="M839" s="5">
        <f>M838+Trades!T857</f>
        <v>17904.819999999996</v>
      </c>
      <c r="N839" s="5">
        <f>N838+Trades!U857</f>
        <v>5.7244737531544461</v>
      </c>
      <c r="O839" s="5">
        <f>O838+Trades!W857</f>
        <v>6622.2355933590607</v>
      </c>
    </row>
    <row r="840" spans="12:15" x14ac:dyDescent="0.3">
      <c r="L840" s="4">
        <f>Trades!P802</f>
        <v>0</v>
      </c>
      <c r="M840" s="5">
        <f>M839+Trades!T802</f>
        <v>17904.819999999996</v>
      </c>
      <c r="N840" s="5">
        <f>N839+Trades!U802</f>
        <v>5.7244737531544461</v>
      </c>
      <c r="O840" s="5">
        <f>O839+Trades!W802</f>
        <v>6622.2355933590607</v>
      </c>
    </row>
    <row r="841" spans="12:15" x14ac:dyDescent="0.3">
      <c r="L841" s="4">
        <f>Trades!P812</f>
        <v>0</v>
      </c>
      <c r="M841" s="5">
        <f>M840+Trades!T812</f>
        <v>17904.819999999996</v>
      </c>
      <c r="N841" s="5">
        <f>N840+Trades!U812</f>
        <v>5.7244737531544461</v>
      </c>
      <c r="O841" s="5">
        <f>O840+Trades!W812</f>
        <v>6622.2355933590607</v>
      </c>
    </row>
    <row r="842" spans="12:15" x14ac:dyDescent="0.3">
      <c r="L842" s="4">
        <f>Trades!P823</f>
        <v>0</v>
      </c>
      <c r="M842" s="5">
        <f>M841+Trades!T823</f>
        <v>17904.819999999996</v>
      </c>
      <c r="N842" s="5">
        <f>N841+Trades!U823</f>
        <v>5.7244737531544461</v>
      </c>
      <c r="O842" s="5">
        <f>O841+Trades!W823</f>
        <v>6622.2355933590607</v>
      </c>
    </row>
    <row r="843" spans="12:15" x14ac:dyDescent="0.3">
      <c r="L843" s="4">
        <f>Trades!P834</f>
        <v>0</v>
      </c>
      <c r="M843" s="5">
        <f>M842+Trades!T834</f>
        <v>17904.819999999996</v>
      </c>
      <c r="N843" s="5">
        <f>N842+Trades!U834</f>
        <v>5.7244737531544461</v>
      </c>
      <c r="O843" s="5">
        <f>O842+Trades!W834</f>
        <v>6622.2355933590607</v>
      </c>
    </row>
    <row r="844" spans="12:15" x14ac:dyDescent="0.3">
      <c r="L844" s="4">
        <f>Trades!P813</f>
        <v>0</v>
      </c>
      <c r="M844" s="5">
        <f>M843+Trades!T813</f>
        <v>17904.819999999996</v>
      </c>
      <c r="N844" s="5">
        <f>N843+Trades!U813</f>
        <v>5.7244737531544461</v>
      </c>
      <c r="O844" s="5">
        <f>O843+Trades!W813</f>
        <v>6622.2355933590607</v>
      </c>
    </row>
    <row r="845" spans="12:15" x14ac:dyDescent="0.3">
      <c r="L845" s="4">
        <f>Trades!P858</f>
        <v>0</v>
      </c>
      <c r="M845" s="5">
        <f>M844+Trades!T858</f>
        <v>17904.819999999996</v>
      </c>
      <c r="N845" s="5">
        <f>N844+Trades!U858</f>
        <v>5.7244737531544461</v>
      </c>
      <c r="O845" s="5">
        <f>O844+Trades!W858</f>
        <v>6622.2355933590607</v>
      </c>
    </row>
    <row r="846" spans="12:15" x14ac:dyDescent="0.3">
      <c r="L846" s="4">
        <f>Trades!P835</f>
        <v>0</v>
      </c>
      <c r="M846" s="5">
        <f>M845+Trades!T835</f>
        <v>17904.819999999996</v>
      </c>
      <c r="N846" s="5">
        <f>N845+Trades!U835</f>
        <v>5.7244737531544461</v>
      </c>
      <c r="O846" s="5">
        <f>O845+Trades!W835</f>
        <v>6622.2355933590607</v>
      </c>
    </row>
    <row r="847" spans="12:15" x14ac:dyDescent="0.3">
      <c r="L847" s="4">
        <f>Trades!P824</f>
        <v>0</v>
      </c>
      <c r="M847" s="5">
        <f>M846+Trades!T824</f>
        <v>17904.819999999996</v>
      </c>
      <c r="N847" s="5">
        <f>N846+Trades!U824</f>
        <v>5.7244737531544461</v>
      </c>
      <c r="O847" s="5">
        <f>O846+Trades!W824</f>
        <v>6622.2355933590607</v>
      </c>
    </row>
    <row r="848" spans="12:15" x14ac:dyDescent="0.3">
      <c r="L848" s="4">
        <f>Trades!P847</f>
        <v>0</v>
      </c>
      <c r="M848" s="5">
        <f>M847+Trades!T847</f>
        <v>17904.819999999996</v>
      </c>
      <c r="N848" s="5">
        <f>N847+Trades!U847</f>
        <v>5.7244737531544461</v>
      </c>
      <c r="O848" s="5">
        <f>O847+Trades!W847</f>
        <v>6622.2355933590607</v>
      </c>
    </row>
    <row r="849" spans="12:15" x14ac:dyDescent="0.3">
      <c r="L849" s="4">
        <f>Trades!P836</f>
        <v>0</v>
      </c>
      <c r="M849" s="5">
        <f>M848+Trades!T836</f>
        <v>17904.819999999996</v>
      </c>
      <c r="N849" s="5">
        <f>N848+Trades!U836</f>
        <v>5.7244737531544461</v>
      </c>
      <c r="O849" s="5">
        <f>O848+Trades!W836</f>
        <v>6622.2355933590607</v>
      </c>
    </row>
    <row r="850" spans="12:15" x14ac:dyDescent="0.3">
      <c r="L850" s="4">
        <f>Trades!P848</f>
        <v>0</v>
      </c>
      <c r="M850" s="5">
        <f>M849+Trades!T848</f>
        <v>17904.819999999996</v>
      </c>
      <c r="N850" s="5">
        <f>N849+Trades!U848</f>
        <v>5.7244737531544461</v>
      </c>
      <c r="O850" s="5">
        <f>O849+Trades!W848</f>
        <v>6622.2355933590607</v>
      </c>
    </row>
    <row r="851" spans="12:15" x14ac:dyDescent="0.3">
      <c r="L851" s="4">
        <f>Trades!P849</f>
        <v>0</v>
      </c>
      <c r="M851" s="5">
        <f>M850+Trades!T849</f>
        <v>17904.819999999996</v>
      </c>
      <c r="N851" s="5">
        <f>N850+Trades!U849</f>
        <v>5.7244737531544461</v>
      </c>
      <c r="O851" s="5">
        <f>O850+Trades!W849</f>
        <v>6622.2355933590607</v>
      </c>
    </row>
    <row r="852" spans="12:15" x14ac:dyDescent="0.3">
      <c r="L852" s="4">
        <f>Trades!P803</f>
        <v>0</v>
      </c>
      <c r="M852" s="5">
        <f>M851+Trades!T803</f>
        <v>17904.819999999996</v>
      </c>
      <c r="N852" s="5">
        <f>N851+Trades!U803</f>
        <v>5.7244737531544461</v>
      </c>
      <c r="O852" s="5">
        <f>O851+Trades!W803</f>
        <v>6622.2355933590607</v>
      </c>
    </row>
    <row r="853" spans="12:15" x14ac:dyDescent="0.3">
      <c r="L853" s="4">
        <f>Trades!P859</f>
        <v>0</v>
      </c>
      <c r="M853" s="5">
        <f>M852+Trades!T859</f>
        <v>17904.819999999996</v>
      </c>
      <c r="N853" s="5">
        <f>N852+Trades!U859</f>
        <v>5.7244737531544461</v>
      </c>
      <c r="O853" s="5">
        <f>O852+Trades!W859</f>
        <v>6622.2355933590607</v>
      </c>
    </row>
    <row r="854" spans="12:15" x14ac:dyDescent="0.3">
      <c r="L854" s="4">
        <f>Trades!P825</f>
        <v>0</v>
      </c>
      <c r="M854" s="5">
        <f>M853+Trades!T825</f>
        <v>17904.819999999996</v>
      </c>
      <c r="N854" s="5">
        <f>N853+Trades!U825</f>
        <v>5.7244737531544461</v>
      </c>
      <c r="O854" s="5">
        <f>O853+Trades!W825</f>
        <v>6622.2355933590607</v>
      </c>
    </row>
    <row r="855" spans="12:15" x14ac:dyDescent="0.3">
      <c r="L855" s="4">
        <f>Trades!P804</f>
        <v>0</v>
      </c>
      <c r="M855" s="5">
        <f>M854+Trades!T804</f>
        <v>17904.819999999996</v>
      </c>
      <c r="N855" s="5">
        <f>N854+Trades!U804</f>
        <v>5.7244737531544461</v>
      </c>
      <c r="O855" s="5">
        <f>O854+Trades!W804</f>
        <v>6622.2355933590607</v>
      </c>
    </row>
    <row r="856" spans="12:15" x14ac:dyDescent="0.3">
      <c r="L856" s="4">
        <f>Trades!P826</f>
        <v>0</v>
      </c>
      <c r="M856" s="5">
        <f>M855+Trades!T826</f>
        <v>17904.819999999996</v>
      </c>
      <c r="N856" s="5">
        <f>N855+Trades!U826</f>
        <v>5.7244737531544461</v>
      </c>
      <c r="O856" s="5">
        <f>O855+Trades!W826</f>
        <v>6622.2355933590607</v>
      </c>
    </row>
    <row r="857" spans="12:15" x14ac:dyDescent="0.3">
      <c r="L857" s="4">
        <f>Trades!P814</f>
        <v>0</v>
      </c>
      <c r="M857" s="5">
        <f>M856+Trades!T814</f>
        <v>17904.819999999996</v>
      </c>
      <c r="N857" s="5">
        <f>N856+Trades!U814</f>
        <v>5.7244737531544461</v>
      </c>
      <c r="O857" s="5">
        <f>O856+Trades!W814</f>
        <v>6622.2355933590607</v>
      </c>
    </row>
    <row r="858" spans="12:15" x14ac:dyDescent="0.3">
      <c r="L858" s="4">
        <f>Trades!P850</f>
        <v>0</v>
      </c>
      <c r="M858" s="5">
        <f>M857+Trades!T850</f>
        <v>17904.819999999996</v>
      </c>
      <c r="N858" s="5">
        <f>N857+Trades!U850</f>
        <v>5.7244737531544461</v>
      </c>
      <c r="O858" s="5">
        <f>O857+Trades!W850</f>
        <v>6622.2355933590607</v>
      </c>
    </row>
    <row r="859" spans="12:15" x14ac:dyDescent="0.3">
      <c r="L859" s="4">
        <f>Trades!P860</f>
        <v>0</v>
      </c>
      <c r="M859" s="5">
        <f>M858+Trades!T860</f>
        <v>17904.819999999996</v>
      </c>
      <c r="N859" s="5">
        <f>N858+Trades!U860</f>
        <v>5.7244737531544461</v>
      </c>
      <c r="O859" s="5">
        <f>O858+Trades!W860</f>
        <v>6622.2355933590607</v>
      </c>
    </row>
    <row r="860" spans="12:15" x14ac:dyDescent="0.3">
      <c r="L860" s="4">
        <f>Trades!P837</f>
        <v>0</v>
      </c>
      <c r="M860" s="5">
        <f>M859+Trades!T837</f>
        <v>17904.819999999996</v>
      </c>
      <c r="N860" s="5">
        <f>N859+Trades!U837</f>
        <v>5.7244737531544461</v>
      </c>
      <c r="O860" s="5">
        <f>O859+Trades!W837</f>
        <v>6622.2355933590607</v>
      </c>
    </row>
    <row r="861" spans="12:15" x14ac:dyDescent="0.3">
      <c r="L861" s="4">
        <f>Trades!P861</f>
        <v>0</v>
      </c>
      <c r="M861" s="5">
        <f>M860+Trades!T861</f>
        <v>17904.819999999996</v>
      </c>
      <c r="N861" s="5">
        <f>N860+Trades!U861</f>
        <v>5.7244737531544461</v>
      </c>
      <c r="O861" s="5">
        <f>O860+Trades!W861</f>
        <v>6622.2355933590607</v>
      </c>
    </row>
    <row r="862" spans="12:15" x14ac:dyDescent="0.3">
      <c r="L862" s="4">
        <f>Trades!P871</f>
        <v>0</v>
      </c>
      <c r="M862" s="5">
        <f>M861+Trades!T871</f>
        <v>17904.819999999996</v>
      </c>
      <c r="N862" s="5">
        <f>N861+Trades!U871</f>
        <v>5.7244737531544461</v>
      </c>
      <c r="O862" s="5">
        <f>O861+Trades!W871</f>
        <v>6622.2355933590607</v>
      </c>
    </row>
    <row r="863" spans="12:15" x14ac:dyDescent="0.3">
      <c r="L863" s="4">
        <f>Trades!P882</f>
        <v>0</v>
      </c>
      <c r="M863" s="5">
        <f>M862+Trades!T882</f>
        <v>17904.819999999996</v>
      </c>
      <c r="N863" s="5">
        <f>N862+Trades!U882</f>
        <v>5.7244737531544461</v>
      </c>
      <c r="O863" s="5">
        <f>O862+Trades!W882</f>
        <v>6622.2355933590607</v>
      </c>
    </row>
    <row r="864" spans="12:15" x14ac:dyDescent="0.3">
      <c r="L864" s="4">
        <f>Trades!P891</f>
        <v>0</v>
      </c>
      <c r="M864" s="5">
        <f>M863+Trades!T891</f>
        <v>17904.819999999996</v>
      </c>
      <c r="N864" s="5">
        <f>N863+Trades!U891</f>
        <v>5.7244737531544461</v>
      </c>
      <c r="O864" s="5">
        <f>O863+Trades!W891</f>
        <v>6622.2355933590607</v>
      </c>
    </row>
    <row r="865" spans="12:15" x14ac:dyDescent="0.3">
      <c r="L865" s="4">
        <f>Trades!P892</f>
        <v>0</v>
      </c>
      <c r="M865" s="5">
        <f>M864+Trades!T892</f>
        <v>17904.819999999996</v>
      </c>
      <c r="N865" s="5">
        <f>N864+Trades!U892</f>
        <v>5.7244737531544461</v>
      </c>
      <c r="O865" s="5">
        <f>O864+Trades!W892</f>
        <v>6622.2355933590607</v>
      </c>
    </row>
    <row r="866" spans="12:15" x14ac:dyDescent="0.3">
      <c r="L866" s="4">
        <f>Trades!P862</f>
        <v>0</v>
      </c>
      <c r="M866" s="5">
        <f>M865+Trades!T862</f>
        <v>17904.819999999996</v>
      </c>
      <c r="N866" s="5">
        <f>N865+Trades!U862</f>
        <v>5.7244737531544461</v>
      </c>
      <c r="O866" s="5">
        <f>O865+Trades!W862</f>
        <v>6622.2355933590607</v>
      </c>
    </row>
    <row r="867" spans="12:15" x14ac:dyDescent="0.3">
      <c r="L867" s="4">
        <f>Trades!P893</f>
        <v>0</v>
      </c>
      <c r="M867" s="5">
        <f>M866+Trades!T893</f>
        <v>17904.819999999996</v>
      </c>
      <c r="N867" s="5">
        <f>N866+Trades!U893</f>
        <v>5.7244737531544461</v>
      </c>
      <c r="O867" s="5">
        <f>O866+Trades!W893</f>
        <v>6622.2355933590607</v>
      </c>
    </row>
    <row r="868" spans="12:15" x14ac:dyDescent="0.3">
      <c r="L868" s="4">
        <f>Trades!P894</f>
        <v>0</v>
      </c>
      <c r="M868" s="5">
        <f>M867+Trades!T894</f>
        <v>17904.819999999996</v>
      </c>
      <c r="N868" s="5">
        <f>N867+Trades!U894</f>
        <v>5.7244737531544461</v>
      </c>
      <c r="O868" s="5">
        <f>O867+Trades!W894</f>
        <v>6622.2355933590607</v>
      </c>
    </row>
    <row r="869" spans="12:15" x14ac:dyDescent="0.3">
      <c r="L869" s="4">
        <f>Trades!P872</f>
        <v>0</v>
      </c>
      <c r="M869" s="5">
        <f>M868+Trades!T872</f>
        <v>17904.819999999996</v>
      </c>
      <c r="N869" s="5">
        <f>N868+Trades!U872</f>
        <v>5.7244737531544461</v>
      </c>
      <c r="O869" s="5">
        <f>O868+Trades!W872</f>
        <v>6622.2355933590607</v>
      </c>
    </row>
    <row r="870" spans="12:15" x14ac:dyDescent="0.3">
      <c r="L870" s="4">
        <f>Trades!P883</f>
        <v>0</v>
      </c>
      <c r="M870" s="5">
        <f>M869+Trades!T883</f>
        <v>17904.819999999996</v>
      </c>
      <c r="N870" s="5">
        <f>N869+Trades!U883</f>
        <v>5.7244737531544461</v>
      </c>
      <c r="O870" s="5">
        <f>O869+Trades!W883</f>
        <v>6622.2355933590607</v>
      </c>
    </row>
    <row r="871" spans="12:15" x14ac:dyDescent="0.3">
      <c r="L871" s="4">
        <f>Trades!P863</f>
        <v>0</v>
      </c>
      <c r="M871" s="5">
        <f>M870+Trades!T863</f>
        <v>17904.819999999996</v>
      </c>
      <c r="N871" s="5">
        <f>N870+Trades!U863</f>
        <v>5.7244737531544461</v>
      </c>
      <c r="O871" s="5">
        <f>O870+Trades!W863</f>
        <v>6622.2355933590607</v>
      </c>
    </row>
    <row r="872" spans="12:15" x14ac:dyDescent="0.3">
      <c r="L872" s="4">
        <f>Trades!P873</f>
        <v>0</v>
      </c>
      <c r="M872" s="5">
        <f>M871+Trades!T873</f>
        <v>17904.819999999996</v>
      </c>
      <c r="N872" s="5">
        <f>N871+Trades!U873</f>
        <v>5.7244737531544461</v>
      </c>
      <c r="O872" s="5">
        <f>O871+Trades!W873</f>
        <v>6622.2355933590607</v>
      </c>
    </row>
    <row r="873" spans="12:15" x14ac:dyDescent="0.3">
      <c r="L873" s="4">
        <f>Trades!P895</f>
        <v>0</v>
      </c>
      <c r="M873" s="5">
        <f>M872+Trades!T895</f>
        <v>17904.819999999996</v>
      </c>
      <c r="N873" s="5">
        <f>N872+Trades!U895</f>
        <v>5.7244737531544461</v>
      </c>
      <c r="O873" s="5">
        <f>O872+Trades!W895</f>
        <v>6622.2355933590607</v>
      </c>
    </row>
    <row r="874" spans="12:15" x14ac:dyDescent="0.3">
      <c r="L874" s="4">
        <f>Trades!P864</f>
        <v>0</v>
      </c>
      <c r="M874" s="5">
        <f>M873+Trades!T864</f>
        <v>17904.819999999996</v>
      </c>
      <c r="N874" s="5">
        <f>N873+Trades!U864</f>
        <v>5.7244737531544461</v>
      </c>
      <c r="O874" s="5">
        <f>O873+Trades!W864</f>
        <v>6622.2355933590607</v>
      </c>
    </row>
    <row r="875" spans="12:15" x14ac:dyDescent="0.3">
      <c r="L875" s="4">
        <f>Trades!P896</f>
        <v>0</v>
      </c>
      <c r="M875" s="5">
        <f>M874+Trades!T896</f>
        <v>17904.819999999996</v>
      </c>
      <c r="N875" s="5">
        <f>N874+Trades!U896</f>
        <v>5.7244737531544461</v>
      </c>
      <c r="O875" s="5">
        <f>O874+Trades!W896</f>
        <v>6622.2355933590607</v>
      </c>
    </row>
    <row r="876" spans="12:15" x14ac:dyDescent="0.3">
      <c r="L876" s="4">
        <f>Trades!P865</f>
        <v>0</v>
      </c>
      <c r="M876" s="5">
        <f>M875+Trades!T865</f>
        <v>17904.819999999996</v>
      </c>
      <c r="N876" s="5">
        <f>N875+Trades!U865</f>
        <v>5.7244737531544461</v>
      </c>
      <c r="O876" s="5">
        <f>O875+Trades!W865</f>
        <v>6622.2355933590607</v>
      </c>
    </row>
    <row r="877" spans="12:15" x14ac:dyDescent="0.3">
      <c r="L877" s="4">
        <f>Trades!P884</f>
        <v>0</v>
      </c>
      <c r="M877" s="5">
        <f>M876+Trades!T884</f>
        <v>17904.819999999996</v>
      </c>
      <c r="N877" s="5">
        <f>N876+Trades!U884</f>
        <v>5.7244737531544461</v>
      </c>
      <c r="O877" s="5">
        <f>O876+Trades!W884</f>
        <v>6622.2355933590607</v>
      </c>
    </row>
    <row r="878" spans="12:15" x14ac:dyDescent="0.3">
      <c r="L878" s="4">
        <f>Trades!P897</f>
        <v>0</v>
      </c>
      <c r="M878" s="5">
        <f>M877+Trades!T897</f>
        <v>17904.819999999996</v>
      </c>
      <c r="N878" s="5">
        <f>N877+Trades!U897</f>
        <v>5.7244737531544461</v>
      </c>
      <c r="O878" s="5">
        <f>O877+Trades!W897</f>
        <v>6622.2355933590607</v>
      </c>
    </row>
    <row r="879" spans="12:15" x14ac:dyDescent="0.3">
      <c r="L879" s="4">
        <f>Trades!P898</f>
        <v>0</v>
      </c>
      <c r="M879" s="5">
        <f>M878+Trades!T898</f>
        <v>17904.819999999996</v>
      </c>
      <c r="N879" s="5">
        <f>N878+Trades!U898</f>
        <v>5.7244737531544461</v>
      </c>
      <c r="O879" s="5">
        <f>O878+Trades!W898</f>
        <v>6622.2355933590607</v>
      </c>
    </row>
    <row r="880" spans="12:15" x14ac:dyDescent="0.3">
      <c r="L880" s="4">
        <f>Trades!P866</f>
        <v>0</v>
      </c>
      <c r="M880" s="5">
        <f>M879+Trades!T866</f>
        <v>17904.819999999996</v>
      </c>
      <c r="N880" s="5">
        <f>N879+Trades!U866</f>
        <v>5.7244737531544461</v>
      </c>
      <c r="O880" s="5">
        <f>O879+Trades!W866</f>
        <v>6622.2355933590607</v>
      </c>
    </row>
    <row r="881" spans="12:15" x14ac:dyDescent="0.3">
      <c r="L881" s="4">
        <f>Trades!P874</f>
        <v>0</v>
      </c>
      <c r="M881" s="5">
        <f>M880+Trades!T874</f>
        <v>17904.819999999996</v>
      </c>
      <c r="N881" s="5">
        <f>N880+Trades!U874</f>
        <v>5.7244737531544461</v>
      </c>
      <c r="O881" s="5">
        <f>O880+Trades!W874</f>
        <v>6622.2355933590607</v>
      </c>
    </row>
    <row r="882" spans="12:15" x14ac:dyDescent="0.3">
      <c r="L882" s="4">
        <f>Trades!P885</f>
        <v>0</v>
      </c>
      <c r="M882" s="5">
        <f>M881+Trades!T885</f>
        <v>17904.819999999996</v>
      </c>
      <c r="N882" s="5">
        <f>N881+Trades!U885</f>
        <v>5.7244737531544461</v>
      </c>
      <c r="O882" s="5">
        <f>O881+Trades!W885</f>
        <v>6622.2355933590607</v>
      </c>
    </row>
    <row r="883" spans="12:15" x14ac:dyDescent="0.3">
      <c r="L883" s="4">
        <f>Trades!P899</f>
        <v>0</v>
      </c>
      <c r="M883" s="5">
        <f>M882+Trades!T899</f>
        <v>17904.819999999996</v>
      </c>
      <c r="N883" s="5">
        <f>N882+Trades!U899</f>
        <v>5.7244737531544461</v>
      </c>
      <c r="O883" s="5">
        <f>O882+Trades!W899</f>
        <v>6622.2355933590607</v>
      </c>
    </row>
    <row r="884" spans="12:15" x14ac:dyDescent="0.3">
      <c r="L884" s="4">
        <f>Trades!P886</f>
        <v>0</v>
      </c>
      <c r="M884" s="5">
        <f>M883+Trades!T886</f>
        <v>17904.819999999996</v>
      </c>
      <c r="N884" s="5">
        <f>N883+Trades!U886</f>
        <v>5.7244737531544461</v>
      </c>
      <c r="O884" s="5">
        <f>O883+Trades!W886</f>
        <v>6622.2355933590607</v>
      </c>
    </row>
    <row r="885" spans="12:15" x14ac:dyDescent="0.3">
      <c r="L885" s="4">
        <f>Trades!P867</f>
        <v>0</v>
      </c>
      <c r="M885" s="5">
        <f>M884+Trades!T867</f>
        <v>17904.819999999996</v>
      </c>
      <c r="N885" s="5">
        <f>N884+Trades!U867</f>
        <v>5.7244737531544461</v>
      </c>
      <c r="O885" s="5">
        <f>O884+Trades!W867</f>
        <v>6622.2355933590607</v>
      </c>
    </row>
    <row r="886" spans="12:15" x14ac:dyDescent="0.3">
      <c r="L886" s="4">
        <f>Trades!P875</f>
        <v>0</v>
      </c>
      <c r="M886" s="5">
        <f>M885+Trades!T875</f>
        <v>17904.819999999996</v>
      </c>
      <c r="N886" s="5">
        <f>N885+Trades!U875</f>
        <v>5.7244737531544461</v>
      </c>
      <c r="O886" s="5">
        <f>O885+Trades!W875</f>
        <v>6622.2355933590607</v>
      </c>
    </row>
    <row r="887" spans="12:15" x14ac:dyDescent="0.3">
      <c r="L887" s="4">
        <f>Trades!P876</f>
        <v>0</v>
      </c>
      <c r="M887" s="5">
        <f>M886+Trades!T876</f>
        <v>17904.819999999996</v>
      </c>
      <c r="N887" s="5">
        <f>N886+Trades!U876</f>
        <v>5.7244737531544461</v>
      </c>
      <c r="O887" s="5">
        <f>O886+Trades!W876</f>
        <v>6622.2355933590607</v>
      </c>
    </row>
    <row r="888" spans="12:15" x14ac:dyDescent="0.3">
      <c r="L888" s="4">
        <f>Trades!P877</f>
        <v>0</v>
      </c>
      <c r="M888" s="5">
        <f>M887+Trades!T877</f>
        <v>17904.819999999996</v>
      </c>
      <c r="N888" s="5">
        <f>N887+Trades!U877</f>
        <v>5.7244737531544461</v>
      </c>
      <c r="O888" s="5">
        <f>O887+Trades!W877</f>
        <v>6622.2355933590607</v>
      </c>
    </row>
    <row r="889" spans="12:15" x14ac:dyDescent="0.3">
      <c r="L889" s="4">
        <f>Trades!P900</f>
        <v>0</v>
      </c>
      <c r="M889" s="5">
        <f>M888+Trades!T900</f>
        <v>17904.819999999996</v>
      </c>
      <c r="N889" s="5">
        <f>N888+Trades!U900</f>
        <v>5.7244737531544461</v>
      </c>
      <c r="O889" s="5">
        <f>O888+Trades!W900</f>
        <v>6622.2355933590607</v>
      </c>
    </row>
    <row r="890" spans="12:15" x14ac:dyDescent="0.3">
      <c r="L890" s="4">
        <f>Trades!P887</f>
        <v>0</v>
      </c>
      <c r="M890" s="5">
        <f>M889+Trades!T887</f>
        <v>17904.819999999996</v>
      </c>
      <c r="N890" s="5">
        <f>N889+Trades!U887</f>
        <v>5.7244737531544461</v>
      </c>
      <c r="O890" s="5">
        <f>O889+Trades!W887</f>
        <v>6622.2355933590607</v>
      </c>
    </row>
    <row r="891" spans="12:15" x14ac:dyDescent="0.3">
      <c r="L891" s="4">
        <f>Trades!P868</f>
        <v>0</v>
      </c>
      <c r="M891" s="5">
        <f>M890+Trades!T868</f>
        <v>17904.819999999996</v>
      </c>
      <c r="N891" s="5">
        <f>N890+Trades!U868</f>
        <v>5.7244737531544461</v>
      </c>
      <c r="O891" s="5">
        <f>O890+Trades!W868</f>
        <v>6622.2355933590607</v>
      </c>
    </row>
    <row r="892" spans="12:15" x14ac:dyDescent="0.3">
      <c r="L892" s="4">
        <f>Trades!P878</f>
        <v>0</v>
      </c>
      <c r="M892" s="5">
        <f>M891+Trades!T878</f>
        <v>17904.819999999996</v>
      </c>
      <c r="N892" s="5">
        <f>N891+Trades!U878</f>
        <v>5.7244737531544461</v>
      </c>
      <c r="O892" s="5">
        <f>O891+Trades!W878</f>
        <v>6622.2355933590607</v>
      </c>
    </row>
    <row r="893" spans="12:15" x14ac:dyDescent="0.3">
      <c r="L893" s="4">
        <f>Trades!P879</f>
        <v>0</v>
      </c>
      <c r="M893" s="5">
        <f>M892+Trades!T879</f>
        <v>17904.819999999996</v>
      </c>
      <c r="N893" s="5">
        <f>N892+Trades!U879</f>
        <v>5.7244737531544461</v>
      </c>
      <c r="O893" s="5">
        <f>O892+Trades!W879</f>
        <v>6622.2355933590607</v>
      </c>
    </row>
    <row r="894" spans="12:15" x14ac:dyDescent="0.3">
      <c r="L894" s="4">
        <f>Trades!P888</f>
        <v>0</v>
      </c>
      <c r="M894" s="5">
        <f>M893+Trades!T888</f>
        <v>17904.819999999996</v>
      </c>
      <c r="N894" s="5">
        <f>N893+Trades!U888</f>
        <v>5.7244737531544461</v>
      </c>
      <c r="O894" s="5">
        <f>O893+Trades!W888</f>
        <v>6622.2355933590607</v>
      </c>
    </row>
    <row r="895" spans="12:15" x14ac:dyDescent="0.3">
      <c r="L895" s="4">
        <f>Trades!P901</f>
        <v>0</v>
      </c>
      <c r="M895" s="5">
        <f>M894+Trades!T901</f>
        <v>17904.819999999996</v>
      </c>
      <c r="N895" s="5">
        <f>N894+Trades!U901</f>
        <v>5.7244737531544461</v>
      </c>
      <c r="O895" s="5">
        <f>O894+Trades!W901</f>
        <v>6622.2355933590607</v>
      </c>
    </row>
    <row r="896" spans="12:15" x14ac:dyDescent="0.3">
      <c r="L896" s="4">
        <f>Trades!P869</f>
        <v>0</v>
      </c>
      <c r="M896" s="5">
        <f>M895+Trades!T869</f>
        <v>17904.819999999996</v>
      </c>
      <c r="N896" s="5">
        <f>N895+Trades!U869</f>
        <v>5.7244737531544461</v>
      </c>
      <c r="O896" s="5">
        <f>O895+Trades!W869</f>
        <v>6622.2355933590607</v>
      </c>
    </row>
    <row r="897" spans="12:15" x14ac:dyDescent="0.3">
      <c r="L897" s="4">
        <f>Trades!P889</f>
        <v>0</v>
      </c>
      <c r="M897" s="5">
        <f>M896+Trades!T889</f>
        <v>17904.819999999996</v>
      </c>
      <c r="N897" s="5">
        <f>N896+Trades!U889</f>
        <v>5.7244737531544461</v>
      </c>
      <c r="O897" s="5">
        <f>O896+Trades!W889</f>
        <v>6622.2355933590607</v>
      </c>
    </row>
    <row r="898" spans="12:15" x14ac:dyDescent="0.3">
      <c r="L898" s="4">
        <f>Trades!P880</f>
        <v>0</v>
      </c>
      <c r="M898" s="5">
        <f>M897+Trades!T880</f>
        <v>17904.819999999996</v>
      </c>
      <c r="N898" s="5">
        <f>N897+Trades!U880</f>
        <v>5.7244737531544461</v>
      </c>
      <c r="O898" s="5">
        <f>O897+Trades!W880</f>
        <v>6622.2355933590607</v>
      </c>
    </row>
    <row r="899" spans="12:15" x14ac:dyDescent="0.3">
      <c r="L899" s="4">
        <f>Trades!P890</f>
        <v>0</v>
      </c>
      <c r="M899" s="5">
        <f>M898+Trades!T890</f>
        <v>17904.819999999996</v>
      </c>
      <c r="N899" s="5">
        <f>N898+Trades!U890</f>
        <v>5.7244737531544461</v>
      </c>
      <c r="O899" s="5">
        <f>O898+Trades!W890</f>
        <v>6622.2355933590607</v>
      </c>
    </row>
    <row r="900" spans="12:15" x14ac:dyDescent="0.3">
      <c r="L900" s="4">
        <f>Trades!P881</f>
        <v>0</v>
      </c>
      <c r="M900" s="5">
        <f>M899+Trades!T881</f>
        <v>17904.819999999996</v>
      </c>
      <c r="N900" s="5">
        <f>N899+Trades!U881</f>
        <v>5.7244737531544461</v>
      </c>
      <c r="O900" s="5">
        <f>O899+Trades!W881</f>
        <v>6622.2355933590607</v>
      </c>
    </row>
    <row r="901" spans="12:15" x14ac:dyDescent="0.3">
      <c r="L901" s="4">
        <f>Trades!P902</f>
        <v>0</v>
      </c>
      <c r="M901" s="5">
        <f>M900+Trades!T902</f>
        <v>17904.819999999996</v>
      </c>
      <c r="N901" s="5">
        <f>N900+Trades!U902</f>
        <v>5.7244737531544461</v>
      </c>
      <c r="O901" s="5">
        <f>O900+Trades!W902</f>
        <v>6622.2355933590607</v>
      </c>
    </row>
    <row r="902" spans="12:15" x14ac:dyDescent="0.3">
      <c r="L902" s="4">
        <f>Trades!P870</f>
        <v>0</v>
      </c>
      <c r="M902" s="5">
        <f>M901+Trades!T870</f>
        <v>17904.819999999996</v>
      </c>
      <c r="N902" s="5">
        <f>N901+Trades!U870</f>
        <v>5.7244737531544461</v>
      </c>
      <c r="O902" s="5">
        <f>O901+Trades!W870</f>
        <v>6622.2355933590607</v>
      </c>
    </row>
    <row r="903" spans="12:15" x14ac:dyDescent="0.3">
      <c r="L903" s="4"/>
      <c r="M903" s="5"/>
      <c r="N903" s="5"/>
      <c r="O903" s="5"/>
    </row>
  </sheetData>
  <mergeCells count="3">
    <mergeCell ref="B2:E2"/>
    <mergeCell ref="C39:E39"/>
    <mergeCell ref="B40:E44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263"/>
  <sheetViews>
    <sheetView workbookViewId="0">
      <selection activeCell="G21" sqref="G21"/>
    </sheetView>
  </sheetViews>
  <sheetFormatPr defaultRowHeight="14.4" x14ac:dyDescent="0.3"/>
  <cols>
    <col min="2" max="2" width="24" bestFit="1" customWidth="1"/>
    <col min="3" max="3" width="24.88671875" bestFit="1" customWidth="1"/>
  </cols>
  <sheetData>
    <row r="2" spans="2:11" x14ac:dyDescent="0.3">
      <c r="B2" s="16" t="s">
        <v>53</v>
      </c>
      <c r="C2" s="16" t="s">
        <v>269</v>
      </c>
      <c r="J2" t="s">
        <v>270</v>
      </c>
    </row>
    <row r="3" spans="2:11" x14ac:dyDescent="0.3">
      <c r="B3" s="21" t="s">
        <v>60</v>
      </c>
      <c r="C3" s="21">
        <f>SUM(Trades!W2:W9652)</f>
        <v>6829.00158318992</v>
      </c>
    </row>
    <row r="4" spans="2:11" x14ac:dyDescent="0.3">
      <c r="B4" s="21" t="s">
        <v>230</v>
      </c>
      <c r="C4" s="21">
        <f>COUNTA(Trades!A:A)-1</f>
        <v>128</v>
      </c>
      <c r="J4">
        <f t="array" ref="J4:J263">_xlfn.LET(
_xlpm.dates,_xlfn.SEQUENCE(DATE(2026,8,2)-DATE(2025,8,2)+1,,DATE(2025,8,2)),
_xlfn._xlws.FILTER(_xlpm.dates,WEEKDAY(_xlpm.dates,2)&lt;=5)
)</f>
        <v>45873</v>
      </c>
      <c r="K4">
        <f t="array" ref="K4:K263">SUMIFS('trades edited'!$W$2:$W$100000,'trades edited'!$Y$2:$Y$100000,_xlfn.ANCHORARRAY(J4))</f>
        <v>0</v>
      </c>
    </row>
    <row r="5" spans="2:11" x14ac:dyDescent="0.3">
      <c r="B5" s="21" t="s">
        <v>271</v>
      </c>
      <c r="C5" s="21">
        <f>AVERAGE(Trades!W:W)</f>
        <v>53.35157486867125</v>
      </c>
      <c r="J5">
        <v>45874</v>
      </c>
      <c r="K5">
        <v>0</v>
      </c>
    </row>
    <row r="6" spans="2:11" x14ac:dyDescent="0.3">
      <c r="B6" s="21" t="s">
        <v>272</v>
      </c>
      <c r="C6" s="21">
        <f>_xlfn.STDEV.S(_xlfn.ANCHORARRAY(K4))</f>
        <v>4.5625652633725061E-2</v>
      </c>
      <c r="J6">
        <v>45875</v>
      </c>
      <c r="K6">
        <v>0</v>
      </c>
    </row>
    <row r="7" spans="2:11" x14ac:dyDescent="0.3">
      <c r="B7" s="21" t="s">
        <v>273</v>
      </c>
      <c r="C7" s="21">
        <f>AVERAGE(_xlfn.ANCHORARRAY(K4))/_xlfn.STDEV.S(_xlfn.ANCHORARRAY(K4))*SQRT(252)</f>
        <v>0.65108974388470431</v>
      </c>
      <c r="J7">
        <v>45876</v>
      </c>
      <c r="K7">
        <v>0</v>
      </c>
    </row>
    <row r="8" spans="2:11" x14ac:dyDescent="0.3">
      <c r="B8" s="21" t="s">
        <v>240</v>
      </c>
      <c r="C8" s="21">
        <f>MIN(Trades!W:W)</f>
        <v>-2229.86427232288</v>
      </c>
      <c r="J8">
        <v>45877</v>
      </c>
      <c r="K8">
        <v>0</v>
      </c>
    </row>
    <row r="9" spans="2:11" x14ac:dyDescent="0.3">
      <c r="B9" s="21" t="s">
        <v>274</v>
      </c>
      <c r="C9" s="21">
        <f>C8/C3</f>
        <v>-0.326528592087583</v>
      </c>
      <c r="J9">
        <v>45880</v>
      </c>
      <c r="K9">
        <v>0</v>
      </c>
    </row>
    <row r="10" spans="2:11" x14ac:dyDescent="0.3">
      <c r="B10" s="21" t="s">
        <v>275</v>
      </c>
      <c r="C10" s="21"/>
      <c r="J10">
        <v>45881</v>
      </c>
      <c r="K10">
        <v>0</v>
      </c>
    </row>
    <row r="11" spans="2:11" x14ac:dyDescent="0.3">
      <c r="B11" s="21" t="s">
        <v>276</v>
      </c>
      <c r="C11" s="21"/>
      <c r="J11">
        <v>45882</v>
      </c>
      <c r="K11">
        <v>0</v>
      </c>
    </row>
    <row r="12" spans="2:11" x14ac:dyDescent="0.3">
      <c r="B12" s="21" t="s">
        <v>277</v>
      </c>
      <c r="C12" s="21"/>
      <c r="J12">
        <v>45883</v>
      </c>
      <c r="K12">
        <v>0</v>
      </c>
    </row>
    <row r="13" spans="2:11" x14ac:dyDescent="0.3">
      <c r="J13">
        <v>45884</v>
      </c>
      <c r="K13">
        <v>0</v>
      </c>
    </row>
    <row r="14" spans="2:11" x14ac:dyDescent="0.3">
      <c r="J14">
        <v>45887</v>
      </c>
      <c r="K14">
        <v>0</v>
      </c>
    </row>
    <row r="15" spans="2:11" x14ac:dyDescent="0.3">
      <c r="J15">
        <v>45888</v>
      </c>
      <c r="K15">
        <v>0</v>
      </c>
    </row>
    <row r="16" spans="2:11" ht="14.4" customHeight="1" x14ac:dyDescent="0.3">
      <c r="B16" s="41" t="s">
        <v>278</v>
      </c>
      <c r="C16" s="33"/>
      <c r="D16" s="33"/>
      <c r="E16" s="34"/>
      <c r="J16">
        <v>45889</v>
      </c>
      <c r="K16">
        <v>0</v>
      </c>
    </row>
    <row r="17" spans="2:11" x14ac:dyDescent="0.3">
      <c r="B17" s="35"/>
      <c r="C17" s="42"/>
      <c r="D17" s="42"/>
      <c r="E17" s="37"/>
      <c r="J17">
        <v>45890</v>
      </c>
      <c r="K17">
        <v>0</v>
      </c>
    </row>
    <row r="18" spans="2:11" x14ac:dyDescent="0.3">
      <c r="B18" s="35"/>
      <c r="C18" s="42"/>
      <c r="D18" s="42"/>
      <c r="E18" s="37"/>
      <c r="J18">
        <v>45891</v>
      </c>
      <c r="K18">
        <v>0</v>
      </c>
    </row>
    <row r="19" spans="2:11" x14ac:dyDescent="0.3">
      <c r="B19" s="35"/>
      <c r="C19" s="42"/>
      <c r="D19" s="42"/>
      <c r="E19" s="37"/>
      <c r="J19">
        <v>45894</v>
      </c>
      <c r="K19">
        <v>0</v>
      </c>
    </row>
    <row r="20" spans="2:11" x14ac:dyDescent="0.3">
      <c r="B20" s="35"/>
      <c r="C20" s="42"/>
      <c r="D20" s="42"/>
      <c r="E20" s="37"/>
      <c r="J20">
        <v>45895</v>
      </c>
      <c r="K20">
        <v>0</v>
      </c>
    </row>
    <row r="21" spans="2:11" x14ac:dyDescent="0.3">
      <c r="B21" s="35"/>
      <c r="C21" s="42"/>
      <c r="D21" s="42"/>
      <c r="E21" s="37"/>
      <c r="J21">
        <v>45896</v>
      </c>
      <c r="K21">
        <v>0</v>
      </c>
    </row>
    <row r="22" spans="2:11" x14ac:dyDescent="0.3">
      <c r="B22" s="35"/>
      <c r="C22" s="42"/>
      <c r="D22" s="42"/>
      <c r="E22" s="37"/>
      <c r="J22">
        <v>45897</v>
      </c>
      <c r="K22">
        <v>0</v>
      </c>
    </row>
    <row r="23" spans="2:11" x14ac:dyDescent="0.3">
      <c r="B23" s="38"/>
      <c r="C23" s="39"/>
      <c r="D23" s="39"/>
      <c r="E23" s="40"/>
      <c r="J23">
        <v>45898</v>
      </c>
      <c r="K23">
        <v>0</v>
      </c>
    </row>
    <row r="24" spans="2:11" x14ac:dyDescent="0.3">
      <c r="J24">
        <v>45901</v>
      </c>
      <c r="K24">
        <v>0</v>
      </c>
    </row>
    <row r="25" spans="2:11" x14ac:dyDescent="0.3">
      <c r="J25">
        <v>45902</v>
      </c>
      <c r="K25">
        <v>0</v>
      </c>
    </row>
    <row r="26" spans="2:11" x14ac:dyDescent="0.3">
      <c r="J26">
        <v>45903</v>
      </c>
      <c r="K26">
        <v>0</v>
      </c>
    </row>
    <row r="27" spans="2:11" x14ac:dyDescent="0.3">
      <c r="J27">
        <v>45904</v>
      </c>
      <c r="K27">
        <v>0</v>
      </c>
    </row>
    <row r="28" spans="2:11" x14ac:dyDescent="0.3">
      <c r="J28">
        <v>45905</v>
      </c>
      <c r="K28">
        <v>0</v>
      </c>
    </row>
    <row r="29" spans="2:11" x14ac:dyDescent="0.3">
      <c r="J29">
        <v>45908</v>
      </c>
      <c r="K29">
        <v>0</v>
      </c>
    </row>
    <row r="30" spans="2:11" x14ac:dyDescent="0.3">
      <c r="J30">
        <v>45909</v>
      </c>
      <c r="K30">
        <v>0</v>
      </c>
    </row>
    <row r="31" spans="2:11" x14ac:dyDescent="0.3">
      <c r="J31">
        <v>45910</v>
      </c>
      <c r="K31">
        <v>0</v>
      </c>
    </row>
    <row r="32" spans="2:11" x14ac:dyDescent="0.3">
      <c r="J32">
        <v>45911</v>
      </c>
      <c r="K32">
        <v>0</v>
      </c>
    </row>
    <row r="33" spans="10:11" x14ac:dyDescent="0.3">
      <c r="J33">
        <v>45912</v>
      </c>
      <c r="K33">
        <v>0</v>
      </c>
    </row>
    <row r="34" spans="10:11" x14ac:dyDescent="0.3">
      <c r="J34">
        <v>45915</v>
      </c>
      <c r="K34">
        <v>0</v>
      </c>
    </row>
    <row r="35" spans="10:11" x14ac:dyDescent="0.3">
      <c r="J35">
        <v>45916</v>
      </c>
      <c r="K35">
        <v>0</v>
      </c>
    </row>
    <row r="36" spans="10:11" x14ac:dyDescent="0.3">
      <c r="J36">
        <v>45917</v>
      </c>
      <c r="K36">
        <v>0</v>
      </c>
    </row>
    <row r="37" spans="10:11" x14ac:dyDescent="0.3">
      <c r="J37">
        <v>45918</v>
      </c>
      <c r="K37">
        <v>0</v>
      </c>
    </row>
    <row r="38" spans="10:11" x14ac:dyDescent="0.3">
      <c r="J38">
        <v>45919</v>
      </c>
      <c r="K38">
        <v>0</v>
      </c>
    </row>
    <row r="39" spans="10:11" x14ac:dyDescent="0.3">
      <c r="J39">
        <v>45922</v>
      </c>
      <c r="K39">
        <v>0</v>
      </c>
    </row>
    <row r="40" spans="10:11" x14ac:dyDescent="0.3">
      <c r="J40">
        <v>45923</v>
      </c>
      <c r="K40">
        <v>0</v>
      </c>
    </row>
    <row r="41" spans="10:11" x14ac:dyDescent="0.3">
      <c r="J41">
        <v>45924</v>
      </c>
      <c r="K41">
        <v>0</v>
      </c>
    </row>
    <row r="42" spans="10:11" x14ac:dyDescent="0.3">
      <c r="J42">
        <v>45925</v>
      </c>
      <c r="K42">
        <v>0</v>
      </c>
    </row>
    <row r="43" spans="10:11" x14ac:dyDescent="0.3">
      <c r="J43">
        <v>45926</v>
      </c>
      <c r="K43">
        <v>0</v>
      </c>
    </row>
    <row r="44" spans="10:11" x14ac:dyDescent="0.3">
      <c r="J44">
        <v>45929</v>
      </c>
      <c r="K44">
        <v>0</v>
      </c>
    </row>
    <row r="45" spans="10:11" x14ac:dyDescent="0.3">
      <c r="J45">
        <v>45930</v>
      </c>
      <c r="K45">
        <v>0</v>
      </c>
    </row>
    <row r="46" spans="10:11" x14ac:dyDescent="0.3">
      <c r="J46">
        <v>45931</v>
      </c>
      <c r="K46">
        <v>0</v>
      </c>
    </row>
    <row r="47" spans="10:11" x14ac:dyDescent="0.3">
      <c r="J47">
        <v>45932</v>
      </c>
      <c r="K47">
        <v>0</v>
      </c>
    </row>
    <row r="48" spans="10:11" x14ac:dyDescent="0.3">
      <c r="J48">
        <v>45933</v>
      </c>
      <c r="K48">
        <v>0</v>
      </c>
    </row>
    <row r="49" spans="10:11" x14ac:dyDescent="0.3">
      <c r="J49">
        <v>45936</v>
      </c>
      <c r="K49">
        <v>0</v>
      </c>
    </row>
    <row r="50" spans="10:11" x14ac:dyDescent="0.3">
      <c r="J50">
        <v>45937</v>
      </c>
      <c r="K50">
        <v>0</v>
      </c>
    </row>
    <row r="51" spans="10:11" x14ac:dyDescent="0.3">
      <c r="J51">
        <v>45938</v>
      </c>
      <c r="K51">
        <v>0</v>
      </c>
    </row>
    <row r="52" spans="10:11" x14ac:dyDescent="0.3">
      <c r="J52">
        <v>45939</v>
      </c>
      <c r="K52">
        <v>0</v>
      </c>
    </row>
    <row r="53" spans="10:11" x14ac:dyDescent="0.3">
      <c r="J53">
        <v>45940</v>
      </c>
      <c r="K53">
        <v>0</v>
      </c>
    </row>
    <row r="54" spans="10:11" x14ac:dyDescent="0.3">
      <c r="J54">
        <v>45943</v>
      </c>
      <c r="K54">
        <v>0</v>
      </c>
    </row>
    <row r="55" spans="10:11" x14ac:dyDescent="0.3">
      <c r="J55">
        <v>45944</v>
      </c>
      <c r="K55">
        <v>0</v>
      </c>
    </row>
    <row r="56" spans="10:11" x14ac:dyDescent="0.3">
      <c r="J56">
        <v>45945</v>
      </c>
      <c r="K56">
        <v>0</v>
      </c>
    </row>
    <row r="57" spans="10:11" x14ac:dyDescent="0.3">
      <c r="J57">
        <v>45946</v>
      </c>
      <c r="K57">
        <v>0</v>
      </c>
    </row>
    <row r="58" spans="10:11" x14ac:dyDescent="0.3">
      <c r="J58">
        <v>45947</v>
      </c>
      <c r="K58">
        <v>0</v>
      </c>
    </row>
    <row r="59" spans="10:11" x14ac:dyDescent="0.3">
      <c r="J59">
        <v>45950</v>
      </c>
      <c r="K59">
        <v>0</v>
      </c>
    </row>
    <row r="60" spans="10:11" x14ac:dyDescent="0.3">
      <c r="J60">
        <v>45951</v>
      </c>
      <c r="K60">
        <v>0</v>
      </c>
    </row>
    <row r="61" spans="10:11" x14ac:dyDescent="0.3">
      <c r="J61">
        <v>45952</v>
      </c>
      <c r="K61">
        <v>0</v>
      </c>
    </row>
    <row r="62" spans="10:11" x14ac:dyDescent="0.3">
      <c r="J62">
        <v>45953</v>
      </c>
      <c r="K62">
        <v>0</v>
      </c>
    </row>
    <row r="63" spans="10:11" x14ac:dyDescent="0.3">
      <c r="J63">
        <v>45954</v>
      </c>
      <c r="K63">
        <v>0</v>
      </c>
    </row>
    <row r="64" spans="10:11" x14ac:dyDescent="0.3">
      <c r="J64">
        <v>45957</v>
      </c>
      <c r="K64">
        <v>0</v>
      </c>
    </row>
    <row r="65" spans="10:11" x14ac:dyDescent="0.3">
      <c r="J65">
        <v>45958</v>
      </c>
      <c r="K65">
        <v>1.7487745017332121E-2</v>
      </c>
    </row>
    <row r="66" spans="10:11" x14ac:dyDescent="0.3">
      <c r="J66">
        <v>45959</v>
      </c>
      <c r="K66">
        <v>3.4563840867913115E-2</v>
      </c>
    </row>
    <row r="67" spans="10:11" x14ac:dyDescent="0.3">
      <c r="J67">
        <v>45960</v>
      </c>
      <c r="K67">
        <v>3.117348464182491E-2</v>
      </c>
    </row>
    <row r="68" spans="10:11" x14ac:dyDescent="0.3">
      <c r="J68">
        <v>45961</v>
      </c>
      <c r="K68">
        <v>1.7511830328742518E-3</v>
      </c>
    </row>
    <row r="69" spans="10:11" x14ac:dyDescent="0.3">
      <c r="J69">
        <v>45964</v>
      </c>
      <c r="K69">
        <v>4.144658222056289E-3</v>
      </c>
    </row>
    <row r="70" spans="10:11" x14ac:dyDescent="0.3">
      <c r="J70">
        <v>45965</v>
      </c>
      <c r="K70">
        <v>0</v>
      </c>
    </row>
    <row r="71" spans="10:11" x14ac:dyDescent="0.3">
      <c r="J71">
        <v>45966</v>
      </c>
      <c r="K71">
        <v>0</v>
      </c>
    </row>
    <row r="72" spans="10:11" x14ac:dyDescent="0.3">
      <c r="J72">
        <v>45967</v>
      </c>
      <c r="K72">
        <v>2.364704444380341E-2</v>
      </c>
    </row>
    <row r="73" spans="10:11" x14ac:dyDescent="0.3">
      <c r="J73">
        <v>45968</v>
      </c>
      <c r="K73">
        <v>1.7341805200826631E-2</v>
      </c>
    </row>
    <row r="74" spans="10:11" x14ac:dyDescent="0.3">
      <c r="J74">
        <v>45971</v>
      </c>
      <c r="K74">
        <v>1.1102927873178301E-2</v>
      </c>
    </row>
    <row r="75" spans="10:11" x14ac:dyDescent="0.3">
      <c r="J75">
        <v>45972</v>
      </c>
      <c r="K75">
        <v>9.7797584869012237E-4</v>
      </c>
    </row>
    <row r="76" spans="10:11" x14ac:dyDescent="0.3">
      <c r="J76">
        <v>45973</v>
      </c>
      <c r="K76">
        <v>4.2186115684549851E-2</v>
      </c>
    </row>
    <row r="77" spans="10:11" x14ac:dyDescent="0.3">
      <c r="J77">
        <v>45974</v>
      </c>
      <c r="K77">
        <v>-1.853784388103391E-3</v>
      </c>
    </row>
    <row r="78" spans="10:11" x14ac:dyDescent="0.3">
      <c r="J78">
        <v>45975</v>
      </c>
      <c r="K78">
        <v>2.0104685623115921E-2</v>
      </c>
    </row>
    <row r="79" spans="10:11" x14ac:dyDescent="0.3">
      <c r="J79">
        <v>45978</v>
      </c>
      <c r="K79">
        <v>-3.2581239282611058E-2</v>
      </c>
    </row>
    <row r="80" spans="10:11" x14ac:dyDescent="0.3">
      <c r="J80">
        <v>45979</v>
      </c>
      <c r="K80">
        <v>2.5547931618319839E-2</v>
      </c>
    </row>
    <row r="81" spans="10:11" x14ac:dyDescent="0.3">
      <c r="J81">
        <v>45980</v>
      </c>
      <c r="K81">
        <v>0</v>
      </c>
    </row>
    <row r="82" spans="10:11" x14ac:dyDescent="0.3">
      <c r="J82">
        <v>45981</v>
      </c>
      <c r="K82">
        <v>0</v>
      </c>
    </row>
    <row r="83" spans="10:11" x14ac:dyDescent="0.3">
      <c r="J83">
        <v>45982</v>
      </c>
      <c r="K83">
        <v>5.6162717752473564E-2</v>
      </c>
    </row>
    <row r="84" spans="10:11" x14ac:dyDescent="0.3">
      <c r="J84">
        <v>45985</v>
      </c>
      <c r="K84">
        <v>5.032114027238477E-3</v>
      </c>
    </row>
    <row r="85" spans="10:11" x14ac:dyDescent="0.3">
      <c r="J85">
        <v>45986</v>
      </c>
      <c r="K85">
        <v>-6.7560156610610114E-2</v>
      </c>
    </row>
    <row r="86" spans="10:11" x14ac:dyDescent="0.3">
      <c r="J86">
        <v>45987</v>
      </c>
      <c r="K86">
        <v>-9.9593791774688634E-3</v>
      </c>
    </row>
    <row r="87" spans="10:11" x14ac:dyDescent="0.3">
      <c r="J87">
        <v>45988</v>
      </c>
      <c r="K87">
        <v>-4.6787799468486707E-3</v>
      </c>
    </row>
    <row r="88" spans="10:11" x14ac:dyDescent="0.3">
      <c r="J88">
        <v>45989</v>
      </c>
      <c r="K88">
        <v>-1.7289920419366039E-2</v>
      </c>
    </row>
    <row r="89" spans="10:11" x14ac:dyDescent="0.3">
      <c r="J89">
        <v>45992</v>
      </c>
      <c r="K89">
        <v>0</v>
      </c>
    </row>
    <row r="90" spans="10:11" x14ac:dyDescent="0.3">
      <c r="J90">
        <v>45993</v>
      </c>
      <c r="K90">
        <v>-1.7709799625487809E-3</v>
      </c>
    </row>
    <row r="91" spans="10:11" x14ac:dyDescent="0.3">
      <c r="J91">
        <v>45994</v>
      </c>
      <c r="K91">
        <v>1.0461577801988101E-2</v>
      </c>
    </row>
    <row r="92" spans="10:11" x14ac:dyDescent="0.3">
      <c r="J92">
        <v>45995</v>
      </c>
      <c r="K92">
        <v>-9.0909518036925707E-2</v>
      </c>
    </row>
    <row r="93" spans="10:11" x14ac:dyDescent="0.3">
      <c r="J93">
        <v>45996</v>
      </c>
      <c r="K93">
        <v>4.9448380767980825E-2</v>
      </c>
    </row>
    <row r="94" spans="10:11" x14ac:dyDescent="0.3">
      <c r="J94">
        <v>45999</v>
      </c>
      <c r="K94">
        <v>-9.5690944336644865E-3</v>
      </c>
    </row>
    <row r="95" spans="10:11" x14ac:dyDescent="0.3">
      <c r="J95">
        <v>46000</v>
      </c>
      <c r="K95">
        <v>0</v>
      </c>
    </row>
    <row r="96" spans="10:11" x14ac:dyDescent="0.3">
      <c r="J96">
        <v>46001</v>
      </c>
      <c r="K96">
        <v>6.8777270480385663E-2</v>
      </c>
    </row>
    <row r="97" spans="10:11" x14ac:dyDescent="0.3">
      <c r="J97">
        <v>46002</v>
      </c>
      <c r="K97">
        <v>4.3177369781132527E-2</v>
      </c>
    </row>
    <row r="98" spans="10:11" x14ac:dyDescent="0.3">
      <c r="J98">
        <v>46003</v>
      </c>
      <c r="K98">
        <v>-3.2846496595352499E-2</v>
      </c>
    </row>
    <row r="99" spans="10:11" x14ac:dyDescent="0.3">
      <c r="J99">
        <v>46006</v>
      </c>
      <c r="K99">
        <v>-7.0554776682814457E-2</v>
      </c>
    </row>
    <row r="100" spans="10:11" x14ac:dyDescent="0.3">
      <c r="J100">
        <v>46007</v>
      </c>
      <c r="K100">
        <v>1.5289334066887636E-2</v>
      </c>
    </row>
    <row r="101" spans="10:11" x14ac:dyDescent="0.3">
      <c r="J101">
        <v>46008</v>
      </c>
      <c r="K101">
        <v>-2.7540545570990723E-3</v>
      </c>
    </row>
    <row r="102" spans="10:11" x14ac:dyDescent="0.3">
      <c r="J102">
        <v>46009</v>
      </c>
      <c r="K102">
        <v>1.682951360184025E-3</v>
      </c>
    </row>
    <row r="103" spans="10:11" x14ac:dyDescent="0.3">
      <c r="J103">
        <v>46010</v>
      </c>
      <c r="K103">
        <v>1.6612891146991896E-2</v>
      </c>
    </row>
    <row r="104" spans="10:11" x14ac:dyDescent="0.3">
      <c r="J104">
        <v>46013</v>
      </c>
      <c r="K104">
        <v>-3.2082885833369136E-3</v>
      </c>
    </row>
    <row r="105" spans="10:11" x14ac:dyDescent="0.3">
      <c r="J105">
        <v>46014</v>
      </c>
      <c r="K105">
        <v>1.0184195934822463E-2</v>
      </c>
    </row>
    <row r="106" spans="10:11" x14ac:dyDescent="0.3">
      <c r="J106">
        <v>46015</v>
      </c>
      <c r="K106">
        <v>0</v>
      </c>
    </row>
    <row r="107" spans="10:11" x14ac:dyDescent="0.3">
      <c r="J107">
        <v>46016</v>
      </c>
      <c r="K107">
        <v>-6.018274359524748E-2</v>
      </c>
    </row>
    <row r="108" spans="10:11" x14ac:dyDescent="0.3">
      <c r="J108">
        <v>46017</v>
      </c>
      <c r="K108">
        <v>-0.21786118301294727</v>
      </c>
    </row>
    <row r="109" spans="10:11" x14ac:dyDescent="0.3">
      <c r="J109">
        <v>46020</v>
      </c>
      <c r="K109">
        <v>1.8283609639901291E-2</v>
      </c>
    </row>
    <row r="110" spans="10:11" x14ac:dyDescent="0.3">
      <c r="J110">
        <v>46021</v>
      </c>
      <c r="K110">
        <v>-2.9089741177876709E-2</v>
      </c>
    </row>
    <row r="111" spans="10:11" x14ac:dyDescent="0.3">
      <c r="J111">
        <v>46022</v>
      </c>
      <c r="K111">
        <v>2.6886578946365019E-2</v>
      </c>
    </row>
    <row r="112" spans="10:11" x14ac:dyDescent="0.3">
      <c r="J112">
        <v>46023</v>
      </c>
      <c r="K112">
        <v>1.884220408560431E-2</v>
      </c>
    </row>
    <row r="113" spans="10:11" x14ac:dyDescent="0.3">
      <c r="J113">
        <v>46024</v>
      </c>
      <c r="K113">
        <v>-3.4320975004294603E-2</v>
      </c>
    </row>
    <row r="114" spans="10:11" x14ac:dyDescent="0.3">
      <c r="J114">
        <v>46027</v>
      </c>
      <c r="K114">
        <v>-4.1066477721979674E-2</v>
      </c>
    </row>
    <row r="115" spans="10:11" x14ac:dyDescent="0.3">
      <c r="J115">
        <v>46028</v>
      </c>
      <c r="K115">
        <v>-1.5382280209319948E-2</v>
      </c>
    </row>
    <row r="116" spans="10:11" x14ac:dyDescent="0.3">
      <c r="J116">
        <v>46029</v>
      </c>
      <c r="K116">
        <v>-0.20511835437640349</v>
      </c>
    </row>
    <row r="117" spans="10:11" x14ac:dyDescent="0.3">
      <c r="J117">
        <v>46030</v>
      </c>
      <c r="K117">
        <v>5.0047700303351116E-2</v>
      </c>
    </row>
    <row r="118" spans="10:11" x14ac:dyDescent="0.3">
      <c r="J118">
        <v>46031</v>
      </c>
      <c r="K118">
        <v>-2.4229731523619184E-3</v>
      </c>
    </row>
    <row r="119" spans="10:11" x14ac:dyDescent="0.3">
      <c r="J119">
        <v>46034</v>
      </c>
      <c r="K119">
        <v>-1.8013162126070719E-2</v>
      </c>
    </row>
    <row r="120" spans="10:11" x14ac:dyDescent="0.3">
      <c r="J120">
        <v>46035</v>
      </c>
      <c r="K120">
        <v>0.14156337629057936</v>
      </c>
    </row>
    <row r="121" spans="10:11" x14ac:dyDescent="0.3">
      <c r="J121">
        <v>46036</v>
      </c>
      <c r="K121">
        <v>-0.15565941476057413</v>
      </c>
    </row>
    <row r="122" spans="10:11" x14ac:dyDescent="0.3">
      <c r="J122">
        <v>46037</v>
      </c>
      <c r="K122">
        <v>-2.6253554916365798E-2</v>
      </c>
    </row>
    <row r="123" spans="10:11" x14ac:dyDescent="0.3">
      <c r="J123">
        <v>46038</v>
      </c>
      <c r="K123">
        <v>2.034798668491224E-2</v>
      </c>
    </row>
    <row r="124" spans="10:11" x14ac:dyDescent="0.3">
      <c r="J124">
        <v>46041</v>
      </c>
      <c r="K124">
        <v>7.0123306673588917E-2</v>
      </c>
    </row>
    <row r="125" spans="10:11" x14ac:dyDescent="0.3">
      <c r="J125">
        <v>46042</v>
      </c>
      <c r="K125">
        <v>-2.4268504132286609E-2</v>
      </c>
    </row>
    <row r="126" spans="10:11" x14ac:dyDescent="0.3">
      <c r="J126">
        <v>46043</v>
      </c>
      <c r="K126">
        <v>-2.2556980244714229E-2</v>
      </c>
    </row>
    <row r="127" spans="10:11" x14ac:dyDescent="0.3">
      <c r="J127">
        <v>46044</v>
      </c>
      <c r="K127">
        <v>2.7600769833575657E-2</v>
      </c>
    </row>
    <row r="128" spans="10:11" x14ac:dyDescent="0.3">
      <c r="J128">
        <v>46045</v>
      </c>
      <c r="K128">
        <v>1.0619488710580841E-2</v>
      </c>
    </row>
    <row r="129" spans="10:11" x14ac:dyDescent="0.3">
      <c r="J129">
        <v>46048</v>
      </c>
      <c r="K129">
        <v>-5.7262112287053531E-2</v>
      </c>
    </row>
    <row r="130" spans="10:11" x14ac:dyDescent="0.3">
      <c r="J130">
        <v>46049</v>
      </c>
      <c r="K130">
        <v>0.10416889104491989</v>
      </c>
    </row>
    <row r="131" spans="10:11" x14ac:dyDescent="0.3">
      <c r="J131">
        <v>46050</v>
      </c>
      <c r="K131">
        <v>-1.174683957653402E-2</v>
      </c>
    </row>
    <row r="132" spans="10:11" x14ac:dyDescent="0.3">
      <c r="J132">
        <v>46051</v>
      </c>
      <c r="K132">
        <v>-1.3583182570053413E-3</v>
      </c>
    </row>
    <row r="133" spans="10:11" x14ac:dyDescent="0.3">
      <c r="J133">
        <v>46052</v>
      </c>
      <c r="K133">
        <v>1.523742917355652E-2</v>
      </c>
    </row>
    <row r="134" spans="10:11" x14ac:dyDescent="0.3">
      <c r="J134">
        <v>46055</v>
      </c>
      <c r="K134">
        <v>-4.4812161978524251E-2</v>
      </c>
    </row>
    <row r="135" spans="10:11" x14ac:dyDescent="0.3">
      <c r="J135">
        <v>46056</v>
      </c>
      <c r="K135">
        <v>9.543054751065946E-3</v>
      </c>
    </row>
    <row r="136" spans="10:11" x14ac:dyDescent="0.3">
      <c r="J136">
        <v>46057</v>
      </c>
      <c r="K136">
        <v>0</v>
      </c>
    </row>
    <row r="137" spans="10:11" x14ac:dyDescent="0.3">
      <c r="J137">
        <v>46058</v>
      </c>
      <c r="K137">
        <v>5.1465926531275727E-2</v>
      </c>
    </row>
    <row r="138" spans="10:11" x14ac:dyDescent="0.3">
      <c r="J138">
        <v>46059</v>
      </c>
      <c r="K138">
        <v>0</v>
      </c>
    </row>
    <row r="139" spans="10:11" x14ac:dyDescent="0.3">
      <c r="J139">
        <v>46062</v>
      </c>
      <c r="K139">
        <v>3.2022275716974281E-2</v>
      </c>
    </row>
    <row r="140" spans="10:11" x14ac:dyDescent="0.3">
      <c r="J140">
        <v>46063</v>
      </c>
      <c r="K140">
        <v>5.2396094784323312E-3</v>
      </c>
    </row>
    <row r="141" spans="10:11" x14ac:dyDescent="0.3">
      <c r="J141">
        <v>46064</v>
      </c>
      <c r="K141">
        <v>-2.84351477362512E-2</v>
      </c>
    </row>
    <row r="142" spans="10:11" x14ac:dyDescent="0.3">
      <c r="J142">
        <v>46065</v>
      </c>
      <c r="K142">
        <v>-7.0452697774348788E-2</v>
      </c>
    </row>
    <row r="143" spans="10:11" x14ac:dyDescent="0.3">
      <c r="J143">
        <v>46066</v>
      </c>
      <c r="K143">
        <v>0</v>
      </c>
    </row>
    <row r="144" spans="10:11" x14ac:dyDescent="0.3">
      <c r="J144">
        <v>46069</v>
      </c>
      <c r="K144">
        <v>0</v>
      </c>
    </row>
    <row r="145" spans="10:11" x14ac:dyDescent="0.3">
      <c r="J145">
        <v>46070</v>
      </c>
      <c r="K145">
        <v>-4.4207667557218527E-2</v>
      </c>
    </row>
    <row r="146" spans="10:11" x14ac:dyDescent="0.3">
      <c r="J146">
        <v>46071</v>
      </c>
      <c r="K146">
        <v>2.060032140132902E-2</v>
      </c>
    </row>
    <row r="147" spans="10:11" x14ac:dyDescent="0.3">
      <c r="J147">
        <v>46072</v>
      </c>
      <c r="K147">
        <v>-2.9877384815125332E-2</v>
      </c>
    </row>
    <row r="148" spans="10:11" x14ac:dyDescent="0.3">
      <c r="J148">
        <v>46073</v>
      </c>
      <c r="K148">
        <v>7.0443525287080255E-2</v>
      </c>
    </row>
    <row r="149" spans="10:11" x14ac:dyDescent="0.3">
      <c r="J149">
        <v>46076</v>
      </c>
      <c r="K149">
        <v>-4.5614140716762619E-3</v>
      </c>
    </row>
    <row r="150" spans="10:11" x14ac:dyDescent="0.3">
      <c r="J150">
        <v>46077</v>
      </c>
      <c r="K150">
        <v>3.674574568880077E-2</v>
      </c>
    </row>
    <row r="151" spans="10:11" x14ac:dyDescent="0.3">
      <c r="J151">
        <v>46078</v>
      </c>
      <c r="K151">
        <v>1.3074756463046939E-2</v>
      </c>
    </row>
    <row r="152" spans="10:11" x14ac:dyDescent="0.3">
      <c r="J152">
        <v>46079</v>
      </c>
      <c r="K152">
        <v>3.2510648495566889E-2</v>
      </c>
    </row>
    <row r="153" spans="10:11" x14ac:dyDescent="0.3">
      <c r="J153">
        <v>46080</v>
      </c>
      <c r="K153">
        <v>2.932429062375902E-2</v>
      </c>
    </row>
    <row r="154" spans="10:11" x14ac:dyDescent="0.3">
      <c r="J154">
        <v>46083</v>
      </c>
      <c r="K154">
        <v>9.126408715333597E-3</v>
      </c>
    </row>
    <row r="155" spans="10:11" x14ac:dyDescent="0.3">
      <c r="J155">
        <v>46084</v>
      </c>
      <c r="K155">
        <v>0</v>
      </c>
    </row>
    <row r="156" spans="10:11" x14ac:dyDescent="0.3">
      <c r="J156">
        <v>46085</v>
      </c>
      <c r="K156">
        <v>1.197049079531395E-2</v>
      </c>
    </row>
    <row r="157" spans="10:11" x14ac:dyDescent="0.3">
      <c r="J157">
        <v>46086</v>
      </c>
      <c r="K157">
        <v>8.4974226925782874E-3</v>
      </c>
    </row>
    <row r="158" spans="10:11" x14ac:dyDescent="0.3">
      <c r="J158">
        <v>46087</v>
      </c>
      <c r="K158">
        <v>2.8105324928359234E-2</v>
      </c>
    </row>
    <row r="159" spans="10:11" x14ac:dyDescent="0.3">
      <c r="J159">
        <v>46090</v>
      </c>
      <c r="K159">
        <v>3.0876639133361361E-2</v>
      </c>
    </row>
    <row r="160" spans="10:11" x14ac:dyDescent="0.3">
      <c r="J160">
        <v>46091</v>
      </c>
      <c r="K160">
        <v>1.0181280670910977E-2</v>
      </c>
    </row>
    <row r="161" spans="10:11" x14ac:dyDescent="0.3">
      <c r="J161">
        <v>46092</v>
      </c>
      <c r="K161">
        <v>4.829321670544906E-2</v>
      </c>
    </row>
    <row r="162" spans="10:11" x14ac:dyDescent="0.3">
      <c r="J162">
        <v>46093</v>
      </c>
      <c r="K162">
        <v>3.13244805825487E-3</v>
      </c>
    </row>
    <row r="163" spans="10:11" x14ac:dyDescent="0.3">
      <c r="J163">
        <v>46094</v>
      </c>
      <c r="K163">
        <v>5.1954764293217007E-2</v>
      </c>
    </row>
    <row r="164" spans="10:11" x14ac:dyDescent="0.3">
      <c r="J164">
        <v>46097</v>
      </c>
      <c r="K164">
        <v>1.9380975907640759E-2</v>
      </c>
    </row>
    <row r="165" spans="10:11" x14ac:dyDescent="0.3">
      <c r="J165">
        <v>46098</v>
      </c>
      <c r="K165">
        <v>-0.13413231458588215</v>
      </c>
    </row>
    <row r="166" spans="10:11" x14ac:dyDescent="0.3">
      <c r="J166">
        <v>46099</v>
      </c>
      <c r="K166">
        <v>1.0879934326342681E-2</v>
      </c>
    </row>
    <row r="167" spans="10:11" x14ac:dyDescent="0.3">
      <c r="J167">
        <v>46100</v>
      </c>
      <c r="K167">
        <v>-8.8444363933900344E-2</v>
      </c>
    </row>
    <row r="168" spans="10:11" x14ac:dyDescent="0.3">
      <c r="J168">
        <v>46101</v>
      </c>
      <c r="K168">
        <v>9.41043610533496E-2</v>
      </c>
    </row>
    <row r="169" spans="10:11" x14ac:dyDescent="0.3">
      <c r="J169">
        <v>46104</v>
      </c>
      <c r="K169">
        <v>4.0996840978776379E-2</v>
      </c>
    </row>
    <row r="170" spans="10:11" x14ac:dyDescent="0.3">
      <c r="J170">
        <v>46105</v>
      </c>
      <c r="K170">
        <v>-0.1056439841409967</v>
      </c>
    </row>
    <row r="171" spans="10:11" x14ac:dyDescent="0.3">
      <c r="J171">
        <v>46106</v>
      </c>
      <c r="K171">
        <v>2.9126200302984698E-2</v>
      </c>
    </row>
    <row r="172" spans="10:11" x14ac:dyDescent="0.3">
      <c r="J172">
        <v>46107</v>
      </c>
      <c r="K172">
        <v>0.10245689831017873</v>
      </c>
    </row>
    <row r="173" spans="10:11" x14ac:dyDescent="0.3">
      <c r="J173">
        <v>46108</v>
      </c>
      <c r="K173">
        <v>3.277948342304976E-2</v>
      </c>
    </row>
    <row r="174" spans="10:11" x14ac:dyDescent="0.3">
      <c r="J174">
        <v>46111</v>
      </c>
      <c r="K174">
        <v>-4.1970126032529878E-4</v>
      </c>
    </row>
    <row r="175" spans="10:11" x14ac:dyDescent="0.3">
      <c r="J175">
        <v>46112</v>
      </c>
      <c r="K175">
        <v>5.1976181872991509E-2</v>
      </c>
    </row>
    <row r="176" spans="10:11" x14ac:dyDescent="0.3">
      <c r="J176">
        <v>46113</v>
      </c>
      <c r="K176">
        <v>0.24354343938583384</v>
      </c>
    </row>
    <row r="177" spans="10:11" x14ac:dyDescent="0.3">
      <c r="J177">
        <v>46114</v>
      </c>
      <c r="K177">
        <v>9.4269973031633522E-2</v>
      </c>
    </row>
    <row r="178" spans="10:11" x14ac:dyDescent="0.3">
      <c r="J178">
        <v>46115</v>
      </c>
      <c r="K178">
        <v>-0.11806066796587292</v>
      </c>
    </row>
    <row r="179" spans="10:11" x14ac:dyDescent="0.3">
      <c r="J179">
        <v>46118</v>
      </c>
      <c r="K179">
        <v>1.1023029827927751E-2</v>
      </c>
    </row>
    <row r="180" spans="10:11" x14ac:dyDescent="0.3">
      <c r="J180">
        <v>46119</v>
      </c>
      <c r="K180">
        <v>9.4704733399097477E-2</v>
      </c>
    </row>
    <row r="181" spans="10:11" x14ac:dyDescent="0.3">
      <c r="J181">
        <v>46120</v>
      </c>
      <c r="K181">
        <v>-9.7008405855419245E-3</v>
      </c>
    </row>
    <row r="182" spans="10:11" x14ac:dyDescent="0.3">
      <c r="J182">
        <v>46121</v>
      </c>
      <c r="K182">
        <v>6.4390555477436009E-2</v>
      </c>
    </row>
    <row r="183" spans="10:11" x14ac:dyDescent="0.3">
      <c r="J183">
        <v>46122</v>
      </c>
      <c r="K183">
        <v>2.0367908085896207E-2</v>
      </c>
    </row>
    <row r="184" spans="10:11" x14ac:dyDescent="0.3">
      <c r="J184">
        <v>46125</v>
      </c>
      <c r="K184">
        <v>2.5241966096955764E-3</v>
      </c>
    </row>
    <row r="185" spans="10:11" x14ac:dyDescent="0.3">
      <c r="J185">
        <v>46126</v>
      </c>
      <c r="K185">
        <v>3.9157387946100394E-2</v>
      </c>
    </row>
    <row r="186" spans="10:11" x14ac:dyDescent="0.3">
      <c r="J186">
        <v>46127</v>
      </c>
      <c r="K186">
        <v>2.4979695004967011E-4</v>
      </c>
    </row>
    <row r="187" spans="10:11" x14ac:dyDescent="0.3">
      <c r="J187">
        <v>46128</v>
      </c>
      <c r="K187">
        <v>2.9975303193582346E-2</v>
      </c>
    </row>
    <row r="188" spans="10:11" x14ac:dyDescent="0.3">
      <c r="J188">
        <v>46129</v>
      </c>
      <c r="K188">
        <v>-1.2335314196008879E-2</v>
      </c>
    </row>
    <row r="189" spans="10:11" x14ac:dyDescent="0.3">
      <c r="J189">
        <v>46132</v>
      </c>
      <c r="K189">
        <v>3.4596902570542196E-2</v>
      </c>
    </row>
    <row r="190" spans="10:11" x14ac:dyDescent="0.3">
      <c r="J190">
        <v>46133</v>
      </c>
      <c r="K190">
        <v>9.9378193684065584E-4</v>
      </c>
    </row>
    <row r="191" spans="10:11" x14ac:dyDescent="0.3">
      <c r="J191">
        <v>46134</v>
      </c>
      <c r="K191">
        <v>-1.1209691959589076E-2</v>
      </c>
    </row>
    <row r="192" spans="10:11" x14ac:dyDescent="0.3">
      <c r="J192">
        <v>46135</v>
      </c>
      <c r="K192">
        <v>-1.347985108377695E-2</v>
      </c>
    </row>
    <row r="193" spans="10:11" x14ac:dyDescent="0.3">
      <c r="J193">
        <v>46136</v>
      </c>
      <c r="K193">
        <v>-5.4295497265431758E-2</v>
      </c>
    </row>
    <row r="194" spans="10:11" x14ac:dyDescent="0.3">
      <c r="J194">
        <v>46139</v>
      </c>
      <c r="K194">
        <v>5.7889153389177328E-2</v>
      </c>
    </row>
    <row r="195" spans="10:11" x14ac:dyDescent="0.3">
      <c r="J195">
        <v>46140</v>
      </c>
      <c r="K195">
        <v>-1.3332870137799669E-2</v>
      </c>
    </row>
    <row r="196" spans="10:11" x14ac:dyDescent="0.3">
      <c r="J196">
        <v>46141</v>
      </c>
      <c r="K196">
        <v>-2.1871095995866008E-2</v>
      </c>
    </row>
    <row r="197" spans="10:11" x14ac:dyDescent="0.3">
      <c r="J197">
        <v>46142</v>
      </c>
      <c r="K197">
        <v>5.5706239534213872E-2</v>
      </c>
    </row>
    <row r="198" spans="10:11" x14ac:dyDescent="0.3">
      <c r="J198">
        <v>46143</v>
      </c>
      <c r="K198">
        <v>3.1752320730100606E-2</v>
      </c>
    </row>
    <row r="199" spans="10:11" x14ac:dyDescent="0.3">
      <c r="J199">
        <v>46146</v>
      </c>
      <c r="K199">
        <v>-6.4938676858820071E-2</v>
      </c>
    </row>
    <row r="200" spans="10:11" x14ac:dyDescent="0.3">
      <c r="J200">
        <v>46147</v>
      </c>
      <c r="K200">
        <v>-2.9193447208510748E-2</v>
      </c>
    </row>
    <row r="201" spans="10:11" x14ac:dyDescent="0.3">
      <c r="J201">
        <v>46148</v>
      </c>
      <c r="K201">
        <v>2.6217206551962434E-2</v>
      </c>
    </row>
    <row r="202" spans="10:11" x14ac:dyDescent="0.3">
      <c r="J202">
        <v>46149</v>
      </c>
      <c r="K202">
        <v>1.7754612431290711E-2</v>
      </c>
    </row>
    <row r="203" spans="10:11" x14ac:dyDescent="0.3">
      <c r="J203">
        <v>46150</v>
      </c>
      <c r="K203">
        <v>6.6280138128944222E-3</v>
      </c>
    </row>
    <row r="204" spans="10:11" x14ac:dyDescent="0.3">
      <c r="J204">
        <v>46153</v>
      </c>
      <c r="K204">
        <v>-8.3235051212604463E-3</v>
      </c>
    </row>
    <row r="205" spans="10:11" x14ac:dyDescent="0.3">
      <c r="J205">
        <v>46154</v>
      </c>
      <c r="K205">
        <v>4.960743623790221E-2</v>
      </c>
    </row>
    <row r="206" spans="10:11" x14ac:dyDescent="0.3">
      <c r="J206">
        <v>46155</v>
      </c>
      <c r="K206">
        <v>-0.22280700626719913</v>
      </c>
    </row>
    <row r="207" spans="10:11" x14ac:dyDescent="0.3">
      <c r="J207">
        <v>46156</v>
      </c>
      <c r="K207">
        <v>2.2562734152412289E-2</v>
      </c>
    </row>
    <row r="208" spans="10:11" x14ac:dyDescent="0.3">
      <c r="J208">
        <v>46157</v>
      </c>
      <c r="K208">
        <v>3.26193985623104E-2</v>
      </c>
    </row>
    <row r="209" spans="10:11" x14ac:dyDescent="0.3">
      <c r="J209">
        <v>46160</v>
      </c>
      <c r="K209">
        <v>-9.8574313090433754E-2</v>
      </c>
    </row>
    <row r="210" spans="10:11" x14ac:dyDescent="0.3">
      <c r="J210">
        <v>46161</v>
      </c>
      <c r="K210">
        <v>4.2198211795781522E-3</v>
      </c>
    </row>
    <row r="211" spans="10:11" x14ac:dyDescent="0.3">
      <c r="J211">
        <v>46162</v>
      </c>
      <c r="K211">
        <v>3.6836240664995079E-2</v>
      </c>
    </row>
    <row r="212" spans="10:11" x14ac:dyDescent="0.3">
      <c r="J212">
        <v>46163</v>
      </c>
      <c r="K212">
        <v>1.6223416805366504E-2</v>
      </c>
    </row>
    <row r="213" spans="10:11" x14ac:dyDescent="0.3">
      <c r="J213">
        <v>46164</v>
      </c>
      <c r="K213">
        <v>4.0257254520518919E-2</v>
      </c>
    </row>
    <row r="214" spans="10:11" x14ac:dyDescent="0.3">
      <c r="J214">
        <v>46167</v>
      </c>
      <c r="K214">
        <v>4.4048364333620055E-2</v>
      </c>
    </row>
    <row r="215" spans="10:11" x14ac:dyDescent="0.3">
      <c r="J215">
        <v>46168</v>
      </c>
      <c r="K215">
        <v>1.9134867589938542E-2</v>
      </c>
    </row>
    <row r="216" spans="10:11" x14ac:dyDescent="0.3">
      <c r="J216">
        <v>46169</v>
      </c>
      <c r="K216">
        <v>1.7201399141414837E-2</v>
      </c>
    </row>
    <row r="217" spans="10:11" x14ac:dyDescent="0.3">
      <c r="J217">
        <v>46170</v>
      </c>
      <c r="K217">
        <v>-6.6092297407730774E-2</v>
      </c>
    </row>
    <row r="218" spans="10:11" x14ac:dyDescent="0.3">
      <c r="J218">
        <v>46171</v>
      </c>
      <c r="K218">
        <v>-3.4922477621967457E-2</v>
      </c>
    </row>
    <row r="219" spans="10:11" x14ac:dyDescent="0.3">
      <c r="J219">
        <v>46174</v>
      </c>
      <c r="K219">
        <v>3.6290566139583917E-2</v>
      </c>
    </row>
    <row r="220" spans="10:11" x14ac:dyDescent="0.3">
      <c r="J220">
        <v>46175</v>
      </c>
      <c r="K220">
        <v>-2.7510394118800061E-3</v>
      </c>
    </row>
    <row r="221" spans="10:11" x14ac:dyDescent="0.3">
      <c r="J221">
        <v>46176</v>
      </c>
      <c r="K221">
        <v>-5.5053980120825137E-2</v>
      </c>
    </row>
    <row r="222" spans="10:11" x14ac:dyDescent="0.3">
      <c r="J222">
        <v>46177</v>
      </c>
      <c r="K222">
        <v>7.1249614488936408E-2</v>
      </c>
    </row>
    <row r="223" spans="10:11" x14ac:dyDescent="0.3">
      <c r="J223">
        <v>46178</v>
      </c>
      <c r="K223">
        <v>-5.8920207427897914E-2</v>
      </c>
    </row>
    <row r="224" spans="10:11" x14ac:dyDescent="0.3">
      <c r="J224">
        <v>46181</v>
      </c>
      <c r="K224">
        <v>3.343219274110526E-2</v>
      </c>
    </row>
    <row r="225" spans="10:11" x14ac:dyDescent="0.3">
      <c r="J225">
        <v>46182</v>
      </c>
      <c r="K225">
        <v>5.014541835533478E-2</v>
      </c>
    </row>
    <row r="226" spans="10:11" x14ac:dyDescent="0.3">
      <c r="J226">
        <v>46183</v>
      </c>
      <c r="K226">
        <v>-0.11220529623758746</v>
      </c>
    </row>
    <row r="227" spans="10:11" x14ac:dyDescent="0.3">
      <c r="J227">
        <v>46184</v>
      </c>
      <c r="K227">
        <v>-4.8817424123686927E-2</v>
      </c>
    </row>
    <row r="228" spans="10:11" x14ac:dyDescent="0.3">
      <c r="J228">
        <v>46185</v>
      </c>
      <c r="K228">
        <v>-5.0106103327416072E-2</v>
      </c>
    </row>
    <row r="229" spans="10:11" x14ac:dyDescent="0.3">
      <c r="J229">
        <v>46188</v>
      </c>
      <c r="K229">
        <v>5.3925462007243068E-2</v>
      </c>
    </row>
    <row r="230" spans="10:11" x14ac:dyDescent="0.3">
      <c r="J230">
        <v>46189</v>
      </c>
      <c r="K230">
        <v>5.6369651852211768E-3</v>
      </c>
    </row>
    <row r="231" spans="10:11" x14ac:dyDescent="0.3">
      <c r="J231">
        <v>46190</v>
      </c>
      <c r="K231">
        <v>0</v>
      </c>
    </row>
    <row r="232" spans="10:11" x14ac:dyDescent="0.3">
      <c r="J232">
        <v>46191</v>
      </c>
      <c r="K232">
        <v>8.5911438343747565E-2</v>
      </c>
    </row>
    <row r="233" spans="10:11" x14ac:dyDescent="0.3">
      <c r="J233">
        <v>46192</v>
      </c>
      <c r="K233">
        <v>2.945269646172732E-2</v>
      </c>
    </row>
    <row r="234" spans="10:11" x14ac:dyDescent="0.3">
      <c r="J234">
        <v>46195</v>
      </c>
      <c r="K234">
        <v>3.6735122164740883E-2</v>
      </c>
    </row>
    <row r="235" spans="10:11" x14ac:dyDescent="0.3">
      <c r="J235">
        <v>46196</v>
      </c>
      <c r="K235">
        <v>0</v>
      </c>
    </row>
    <row r="236" spans="10:11" x14ac:dyDescent="0.3">
      <c r="J236">
        <v>46197</v>
      </c>
      <c r="K236">
        <v>0</v>
      </c>
    </row>
    <row r="237" spans="10:11" x14ac:dyDescent="0.3">
      <c r="J237">
        <v>46198</v>
      </c>
      <c r="K237">
        <v>0</v>
      </c>
    </row>
    <row r="238" spans="10:11" x14ac:dyDescent="0.3">
      <c r="J238">
        <v>46199</v>
      </c>
      <c r="K238">
        <v>0</v>
      </c>
    </row>
    <row r="239" spans="10:11" x14ac:dyDescent="0.3">
      <c r="J239">
        <v>46202</v>
      </c>
      <c r="K239">
        <v>0</v>
      </c>
    </row>
    <row r="240" spans="10:11" x14ac:dyDescent="0.3">
      <c r="J240">
        <v>46203</v>
      </c>
      <c r="K240">
        <v>0</v>
      </c>
    </row>
    <row r="241" spans="10:11" x14ac:dyDescent="0.3">
      <c r="J241">
        <v>46204</v>
      </c>
      <c r="K241">
        <v>0</v>
      </c>
    </row>
    <row r="242" spans="10:11" x14ac:dyDescent="0.3">
      <c r="J242">
        <v>46205</v>
      </c>
      <c r="K242">
        <v>0</v>
      </c>
    </row>
    <row r="243" spans="10:11" x14ac:dyDescent="0.3">
      <c r="J243">
        <v>46206</v>
      </c>
      <c r="K243">
        <v>0</v>
      </c>
    </row>
    <row r="244" spans="10:11" x14ac:dyDescent="0.3">
      <c r="J244">
        <v>46209</v>
      </c>
      <c r="K244">
        <v>0</v>
      </c>
    </row>
    <row r="245" spans="10:11" x14ac:dyDescent="0.3">
      <c r="J245">
        <v>46210</v>
      </c>
      <c r="K245">
        <v>0</v>
      </c>
    </row>
    <row r="246" spans="10:11" x14ac:dyDescent="0.3">
      <c r="J246">
        <v>46211</v>
      </c>
      <c r="K246">
        <v>0</v>
      </c>
    </row>
    <row r="247" spans="10:11" x14ac:dyDescent="0.3">
      <c r="J247">
        <v>46212</v>
      </c>
      <c r="K247">
        <v>0</v>
      </c>
    </row>
    <row r="248" spans="10:11" x14ac:dyDescent="0.3">
      <c r="J248">
        <v>46213</v>
      </c>
      <c r="K248">
        <v>0</v>
      </c>
    </row>
    <row r="249" spans="10:11" x14ac:dyDescent="0.3">
      <c r="J249">
        <v>46216</v>
      </c>
      <c r="K249">
        <v>0</v>
      </c>
    </row>
    <row r="250" spans="10:11" x14ac:dyDescent="0.3">
      <c r="J250">
        <v>46217</v>
      </c>
      <c r="K250">
        <v>0</v>
      </c>
    </row>
    <row r="251" spans="10:11" x14ac:dyDescent="0.3">
      <c r="J251">
        <v>46218</v>
      </c>
      <c r="K251">
        <v>0</v>
      </c>
    </row>
    <row r="252" spans="10:11" x14ac:dyDescent="0.3">
      <c r="J252">
        <v>46219</v>
      </c>
      <c r="K252">
        <v>0</v>
      </c>
    </row>
    <row r="253" spans="10:11" x14ac:dyDescent="0.3">
      <c r="J253">
        <v>46220</v>
      </c>
      <c r="K253">
        <v>0</v>
      </c>
    </row>
    <row r="254" spans="10:11" x14ac:dyDescent="0.3">
      <c r="J254">
        <v>46223</v>
      </c>
      <c r="K254">
        <v>0</v>
      </c>
    </row>
    <row r="255" spans="10:11" x14ac:dyDescent="0.3">
      <c r="J255">
        <v>46224</v>
      </c>
      <c r="K255">
        <v>0</v>
      </c>
    </row>
    <row r="256" spans="10:11" x14ac:dyDescent="0.3">
      <c r="J256">
        <v>46225</v>
      </c>
      <c r="K256">
        <v>0</v>
      </c>
    </row>
    <row r="257" spans="10:11" x14ac:dyDescent="0.3">
      <c r="J257">
        <v>46226</v>
      </c>
      <c r="K257">
        <v>0</v>
      </c>
    </row>
    <row r="258" spans="10:11" x14ac:dyDescent="0.3">
      <c r="J258">
        <v>46227</v>
      </c>
      <c r="K258">
        <v>0</v>
      </c>
    </row>
    <row r="259" spans="10:11" x14ac:dyDescent="0.3">
      <c r="J259">
        <v>46230</v>
      </c>
      <c r="K259">
        <v>0</v>
      </c>
    </row>
    <row r="260" spans="10:11" x14ac:dyDescent="0.3">
      <c r="J260">
        <v>46231</v>
      </c>
      <c r="K260">
        <v>0</v>
      </c>
    </row>
    <row r="261" spans="10:11" x14ac:dyDescent="0.3">
      <c r="J261">
        <v>46232</v>
      </c>
      <c r="K261">
        <v>0</v>
      </c>
    </row>
    <row r="262" spans="10:11" x14ac:dyDescent="0.3">
      <c r="J262">
        <v>46233</v>
      </c>
      <c r="K262">
        <v>0</v>
      </c>
    </row>
    <row r="263" spans="10:11" x14ac:dyDescent="0.3">
      <c r="J263">
        <v>46234</v>
      </c>
      <c r="K263">
        <v>0</v>
      </c>
    </row>
  </sheetData>
  <mergeCells count="1">
    <mergeCell ref="B16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trades edited</vt:lpstr>
      <vt:lpstr>Analysis</vt:lpstr>
      <vt:lpstr>comparison with single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Bibby</cp:lastModifiedBy>
  <dcterms:created xsi:type="dcterms:W3CDTF">2026-08-14T19:11:45Z</dcterms:created>
  <dcterms:modified xsi:type="dcterms:W3CDTF">2026-08-31T09:25:18Z</dcterms:modified>
</cp:coreProperties>
</file>