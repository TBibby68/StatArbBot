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StatArbBot\src\Experiments\5 - CFDs\"/>
    </mc:Choice>
  </mc:AlternateContent>
  <xr:revisionPtr revIDLastSave="0" documentId="13_ncr:1_{6268F8F3-EA2A-4B29-A82A-16BA78726BDF}" xr6:coauthVersionLast="47" xr6:coauthVersionMax="47" xr10:uidLastSave="{00000000-0000-0000-0000-000000000000}"/>
  <bookViews>
    <workbookView xWindow="-135" yWindow="-16335" windowWidth="29070" windowHeight="15750" xr2:uid="{00000000-000D-0000-FFFF-FFFF00000000}"/>
  </bookViews>
  <sheets>
    <sheet name="Trades" sheetId="1" r:id="rId1"/>
    <sheet name="trade study" sheetId="5" r:id="rId2"/>
    <sheet name="trades edited" sheetId="2" r:id="rId3"/>
    <sheet name="Analysis" sheetId="3" r:id="rId4"/>
    <sheet name="comparison with single pair" sheetId="4" r:id="rId5"/>
  </sheets>
  <externalReferences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1" i="1" l="1"/>
  <c r="AH8" i="1"/>
  <c r="U95" i="1"/>
  <c r="AC98" i="1"/>
  <c r="U94" i="1"/>
  <c r="AD9" i="1"/>
  <c r="AE9" i="1" s="1"/>
  <c r="AD82" i="1"/>
  <c r="AE82" i="1" s="1"/>
  <c r="AD62" i="1"/>
  <c r="AE62" i="1" s="1"/>
  <c r="AD65" i="1"/>
  <c r="AE65" i="1" s="1"/>
  <c r="AD66" i="1"/>
  <c r="AE66" i="1" s="1"/>
  <c r="AD46" i="1"/>
  <c r="AE46" i="1" s="1"/>
  <c r="AD22" i="1"/>
  <c r="AE22" i="1" s="1"/>
  <c r="AD73" i="1"/>
  <c r="AE73" i="1" s="1"/>
  <c r="AD50" i="1"/>
  <c r="AE50" i="1" s="1"/>
  <c r="AD12" i="1"/>
  <c r="AE12" i="1" s="1"/>
  <c r="AD23" i="1"/>
  <c r="AE23" i="1" s="1"/>
  <c r="AD8" i="1"/>
  <c r="AE8" i="1" s="1"/>
  <c r="AD77" i="1"/>
  <c r="AE77" i="1" s="1"/>
  <c r="AD72" i="1"/>
  <c r="AE72" i="1" s="1"/>
  <c r="AD35" i="1"/>
  <c r="AE35" i="1" s="1"/>
  <c r="AD10" i="1"/>
  <c r="AE10" i="1" s="1"/>
  <c r="AD86" i="1"/>
  <c r="AE86" i="1" s="1"/>
  <c r="AD26" i="1"/>
  <c r="AE26" i="1" s="1"/>
  <c r="AD78" i="1"/>
  <c r="AE78" i="1" s="1"/>
  <c r="AD63" i="1"/>
  <c r="AE63" i="1" s="1"/>
  <c r="AD69" i="1"/>
  <c r="AE69" i="1" s="1"/>
  <c r="AD84" i="1"/>
  <c r="AE84" i="1" s="1"/>
  <c r="AD60" i="1"/>
  <c r="AE60" i="1" s="1"/>
  <c r="AD43" i="1"/>
  <c r="AE43" i="1" s="1"/>
  <c r="AD31" i="1"/>
  <c r="AE31" i="1" s="1"/>
  <c r="AD83" i="1"/>
  <c r="AE83" i="1" s="1"/>
  <c r="AD76" i="1"/>
  <c r="AE76" i="1" s="1"/>
  <c r="AD14" i="1"/>
  <c r="AE14" i="1" s="1"/>
  <c r="AD44" i="1"/>
  <c r="AE44" i="1" s="1"/>
  <c r="AD67" i="1"/>
  <c r="AE67" i="1" s="1"/>
  <c r="AD6" i="1"/>
  <c r="AE6" i="1" s="1"/>
  <c r="AD75" i="1"/>
  <c r="AE75" i="1" s="1"/>
  <c r="AD24" i="1"/>
  <c r="AE24" i="1" s="1"/>
  <c r="AD15" i="1"/>
  <c r="AE15" i="1" s="1"/>
  <c r="AD61" i="1"/>
  <c r="AE61" i="1" s="1"/>
  <c r="AD13" i="1"/>
  <c r="AE13" i="1" s="1"/>
  <c r="AD56" i="1"/>
  <c r="AE56" i="1" s="1"/>
  <c r="AD34" i="1"/>
  <c r="AE34" i="1" s="1"/>
  <c r="AD74" i="1"/>
  <c r="AE74" i="1" s="1"/>
  <c r="AD54" i="1"/>
  <c r="AE54" i="1" s="1"/>
  <c r="AD70" i="1"/>
  <c r="AE70" i="1" s="1"/>
  <c r="AD29" i="1"/>
  <c r="AE29" i="1" s="1"/>
  <c r="AD36" i="1"/>
  <c r="AE36" i="1" s="1"/>
  <c r="AD85" i="1"/>
  <c r="AE85" i="1" s="1"/>
  <c r="AD53" i="1"/>
  <c r="AE53" i="1" s="1"/>
  <c r="AD5" i="1"/>
  <c r="AE5" i="1" s="1"/>
  <c r="AD11" i="1"/>
  <c r="AE11" i="1" s="1"/>
  <c r="AD40" i="1"/>
  <c r="AE40" i="1" s="1"/>
  <c r="AD25" i="1"/>
  <c r="AE25" i="1" s="1"/>
  <c r="AD41" i="1"/>
  <c r="AE41" i="1" s="1"/>
  <c r="AD32" i="1"/>
  <c r="AE32" i="1" s="1"/>
  <c r="AD80" i="1"/>
  <c r="AE80" i="1" s="1"/>
  <c r="AD38" i="1"/>
  <c r="AE38" i="1" s="1"/>
  <c r="AD58" i="1"/>
  <c r="AE58" i="1" s="1"/>
  <c r="AD45" i="1"/>
  <c r="AE45" i="1" s="1"/>
  <c r="AD42" i="1"/>
  <c r="AE42" i="1" s="1"/>
  <c r="AD7" i="1"/>
  <c r="AE7" i="1" s="1"/>
  <c r="AD55" i="1"/>
  <c r="AE55" i="1" s="1"/>
  <c r="AD47" i="1"/>
  <c r="AE47" i="1" s="1"/>
  <c r="AD57" i="1"/>
  <c r="AE57" i="1" s="1"/>
  <c r="AD2" i="1"/>
  <c r="AE2" i="1" s="1"/>
  <c r="AD52" i="1"/>
  <c r="AE52" i="1" s="1"/>
  <c r="AD21" i="1"/>
  <c r="AE21" i="1" s="1"/>
  <c r="AD39" i="1"/>
  <c r="AE39" i="1" s="1"/>
  <c r="AD48" i="1"/>
  <c r="AE48" i="1" s="1"/>
  <c r="AD3" i="1"/>
  <c r="AE3" i="1" s="1"/>
  <c r="AD27" i="1"/>
  <c r="AE27" i="1" s="1"/>
  <c r="AD4" i="1"/>
  <c r="AE4" i="1" s="1"/>
  <c r="AD64" i="1"/>
  <c r="AE64" i="1" s="1"/>
  <c r="AD28" i="1"/>
  <c r="AE28" i="1" s="1"/>
  <c r="AD51" i="1"/>
  <c r="AE51" i="1" s="1"/>
  <c r="AD17" i="1"/>
  <c r="AE17" i="1" s="1"/>
  <c r="AD18" i="1"/>
  <c r="AE18" i="1" s="1"/>
  <c r="AD71" i="1"/>
  <c r="AE71" i="1" s="1"/>
  <c r="AD79" i="1"/>
  <c r="AE79" i="1" s="1"/>
  <c r="AD19" i="1"/>
  <c r="AE19" i="1" s="1"/>
  <c r="AD59" i="1"/>
  <c r="AE59" i="1" s="1"/>
  <c r="AD88" i="1"/>
  <c r="AE88" i="1" s="1"/>
  <c r="AD68" i="1"/>
  <c r="AE68" i="1" s="1"/>
  <c r="AD81" i="1"/>
  <c r="AE81" i="1" s="1"/>
  <c r="AD87" i="1"/>
  <c r="AE87" i="1" s="1"/>
  <c r="AD49" i="1"/>
  <c r="AE49" i="1" s="1"/>
  <c r="AD16" i="1"/>
  <c r="AE16" i="1" s="1"/>
  <c r="AD20" i="1"/>
  <c r="AE20" i="1" s="1"/>
  <c r="AD37" i="1"/>
  <c r="AE37" i="1" s="1"/>
  <c r="AD30" i="1"/>
  <c r="AE30" i="1" s="1"/>
  <c r="AD33" i="1"/>
  <c r="AE33" i="1" s="1"/>
  <c r="AC92" i="1"/>
  <c r="AC93" i="1"/>
  <c r="O35" i="1"/>
  <c r="O44" i="1"/>
  <c r="O66" i="1"/>
  <c r="O77" i="1"/>
  <c r="O65" i="1"/>
  <c r="O63" i="1"/>
  <c r="O12" i="1"/>
  <c r="O23" i="1"/>
  <c r="O10" i="1"/>
  <c r="O73" i="1"/>
  <c r="O43" i="1"/>
  <c r="O86" i="1"/>
  <c r="O72" i="1"/>
  <c r="O56" i="1"/>
  <c r="O46" i="1"/>
  <c r="O31" i="1"/>
  <c r="O79" i="1"/>
  <c r="O8" i="1"/>
  <c r="O83" i="1"/>
  <c r="O15" i="1"/>
  <c r="O60" i="1"/>
  <c r="O34" i="1"/>
  <c r="O26" i="1"/>
  <c r="O75" i="1"/>
  <c r="O76" i="1"/>
  <c r="O74" i="1"/>
  <c r="O50" i="1"/>
  <c r="O69" i="1"/>
  <c r="O78" i="1"/>
  <c r="O24" i="1"/>
  <c r="O14" i="1"/>
  <c r="O38" i="1"/>
  <c r="O55" i="1"/>
  <c r="O84" i="1"/>
  <c r="O87" i="1"/>
  <c r="O85" i="1"/>
  <c r="O61" i="1"/>
  <c r="O25" i="1"/>
  <c r="O41" i="1"/>
  <c r="O53" i="1"/>
  <c r="O5" i="1"/>
  <c r="O81" i="1"/>
  <c r="O13" i="1"/>
  <c r="O11" i="1"/>
  <c r="O2" i="1"/>
  <c r="O9" i="1"/>
  <c r="O67" i="1"/>
  <c r="O19" i="1"/>
  <c r="O82" i="1"/>
  <c r="O62" i="1"/>
  <c r="O80" i="1"/>
  <c r="O54" i="1"/>
  <c r="O36" i="1"/>
  <c r="O47" i="1"/>
  <c r="O21" i="1"/>
  <c r="O39" i="1"/>
  <c r="O49" i="1"/>
  <c r="O7" i="1"/>
  <c r="O20" i="1"/>
  <c r="O45" i="1"/>
  <c r="O6" i="1"/>
  <c r="O16" i="1"/>
  <c r="O59" i="1"/>
  <c r="O57" i="1"/>
  <c r="O4" i="1"/>
  <c r="O71" i="1"/>
  <c r="O17" i="1"/>
  <c r="O40" i="1"/>
  <c r="O28" i="1"/>
  <c r="O64" i="1"/>
  <c r="O37" i="1"/>
  <c r="O58" i="1"/>
  <c r="O88" i="1"/>
  <c r="O18" i="1"/>
  <c r="O70" i="1"/>
  <c r="O42" i="1"/>
  <c r="O48" i="1"/>
  <c r="O30" i="1"/>
  <c r="O27" i="1"/>
  <c r="O33" i="1"/>
  <c r="O3" i="1"/>
  <c r="O29" i="1"/>
  <c r="O52" i="1"/>
  <c r="O32" i="1"/>
  <c r="O68" i="1"/>
  <c r="O51" i="1"/>
  <c r="O22" i="1"/>
  <c r="AC22" i="1"/>
  <c r="AC35" i="1"/>
  <c r="AC44" i="1"/>
  <c r="AC66" i="1"/>
  <c r="AC77" i="1"/>
  <c r="AC65" i="1"/>
  <c r="AC63" i="1"/>
  <c r="AC12" i="1"/>
  <c r="AC23" i="1"/>
  <c r="AC10" i="1"/>
  <c r="AC73" i="1"/>
  <c r="AC43" i="1"/>
  <c r="AC86" i="1"/>
  <c r="AC72" i="1"/>
  <c r="AC56" i="1"/>
  <c r="AC46" i="1"/>
  <c r="AC31" i="1"/>
  <c r="AC79" i="1"/>
  <c r="AC8" i="1"/>
  <c r="AC83" i="1"/>
  <c r="AC15" i="1"/>
  <c r="AC60" i="1"/>
  <c r="AC34" i="1"/>
  <c r="AC26" i="1"/>
  <c r="AC75" i="1"/>
  <c r="AC76" i="1"/>
  <c r="AC74" i="1"/>
  <c r="AC50" i="1"/>
  <c r="AC69" i="1"/>
  <c r="AC78" i="1"/>
  <c r="AC24" i="1"/>
  <c r="AC14" i="1"/>
  <c r="AC38" i="1"/>
  <c r="AC55" i="1"/>
  <c r="AC84" i="1"/>
  <c r="AC87" i="1"/>
  <c r="AC85" i="1"/>
  <c r="AC61" i="1"/>
  <c r="AC25" i="1"/>
  <c r="AC41" i="1"/>
  <c r="AC53" i="1"/>
  <c r="AC5" i="1"/>
  <c r="AC81" i="1"/>
  <c r="AC13" i="1"/>
  <c r="AC11" i="1"/>
  <c r="AC2" i="1"/>
  <c r="AC9" i="1"/>
  <c r="AC67" i="1"/>
  <c r="AC19" i="1"/>
  <c r="AC82" i="1"/>
  <c r="AC62" i="1"/>
  <c r="AC80" i="1"/>
  <c r="AC54" i="1"/>
  <c r="AC36" i="1"/>
  <c r="AC47" i="1"/>
  <c r="AC21" i="1"/>
  <c r="AC39" i="1"/>
  <c r="AC49" i="1"/>
  <c r="AC7" i="1"/>
  <c r="AC20" i="1"/>
  <c r="AC45" i="1"/>
  <c r="AC6" i="1"/>
  <c r="AC16" i="1"/>
  <c r="AC59" i="1"/>
  <c r="AC57" i="1"/>
  <c r="AC4" i="1"/>
  <c r="AC71" i="1"/>
  <c r="AC17" i="1"/>
  <c r="AC40" i="1"/>
  <c r="AC28" i="1"/>
  <c r="AC64" i="1"/>
  <c r="AC37" i="1"/>
  <c r="AC58" i="1"/>
  <c r="AC88" i="1"/>
  <c r="AC18" i="1"/>
  <c r="AC70" i="1"/>
  <c r="AC42" i="1"/>
  <c r="AC48" i="1"/>
  <c r="AC30" i="1"/>
  <c r="AC27" i="1"/>
  <c r="AC33" i="1"/>
  <c r="AC3" i="1"/>
  <c r="AC29" i="1"/>
  <c r="AC52" i="1"/>
  <c r="AC32" i="1"/>
  <c r="AC68" i="1"/>
  <c r="AC51" i="1"/>
  <c r="AC99" i="1"/>
  <c r="AC94" i="1"/>
  <c r="C3" i="4"/>
  <c r="C6" i="4"/>
  <c r="C7" i="4"/>
  <c r="K4" i="4" a="1"/>
  <c r="K4" i="4" s="1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2" i="2"/>
  <c r="C8" i="4"/>
  <c r="C5" i="4"/>
  <c r="J260" i="4"/>
  <c r="J253" i="4"/>
  <c r="J248" i="4"/>
  <c r="J236" i="4"/>
  <c r="J229" i="4"/>
  <c r="J224" i="4"/>
  <c r="J212" i="4"/>
  <c r="J205" i="4"/>
  <c r="J200" i="4"/>
  <c r="J188" i="4"/>
  <c r="J181" i="4"/>
  <c r="J176" i="4"/>
  <c r="J164" i="4"/>
  <c r="J157" i="4"/>
  <c r="J152" i="4"/>
  <c r="J140" i="4"/>
  <c r="J133" i="4"/>
  <c r="J128" i="4"/>
  <c r="J116" i="4"/>
  <c r="J109" i="4"/>
  <c r="J104" i="4"/>
  <c r="J92" i="4"/>
  <c r="J85" i="4"/>
  <c r="J80" i="4"/>
  <c r="J68" i="4"/>
  <c r="J61" i="4"/>
  <c r="J56" i="4"/>
  <c r="J44" i="4"/>
  <c r="J37" i="4"/>
  <c r="J32" i="4"/>
  <c r="J20" i="4"/>
  <c r="J13" i="4"/>
  <c r="J8" i="4"/>
  <c r="J4" i="4" a="1"/>
  <c r="J259" i="4" s="1"/>
  <c r="C4" i="4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D36" i="3"/>
  <c r="L35" i="3"/>
  <c r="D35" i="3"/>
  <c r="L34" i="3"/>
  <c r="D34" i="3"/>
  <c r="L33" i="3"/>
  <c r="D33" i="3"/>
  <c r="L32" i="3"/>
  <c r="D32" i="3"/>
  <c r="L31" i="3"/>
  <c r="L30" i="3"/>
  <c r="L29" i="3"/>
  <c r="D29" i="3"/>
  <c r="C29" i="3"/>
  <c r="L28" i="3"/>
  <c r="D28" i="3"/>
  <c r="C28" i="3"/>
  <c r="L27" i="3"/>
  <c r="L26" i="3"/>
  <c r="L25" i="3"/>
  <c r="D25" i="3"/>
  <c r="C25" i="3"/>
  <c r="L24" i="3"/>
  <c r="D24" i="3" a="1"/>
  <c r="D24" i="3" s="1"/>
  <c r="C24" i="3" a="1"/>
  <c r="C24" i="3" s="1"/>
  <c r="L23" i="3"/>
  <c r="D23" i="3"/>
  <c r="C23" i="3"/>
  <c r="L22" i="3"/>
  <c r="D22" i="3"/>
  <c r="C22" i="3"/>
  <c r="L21" i="3"/>
  <c r="D21" i="3" a="1"/>
  <c r="D21" i="3" s="1"/>
  <c r="C21" i="3" a="1"/>
  <c r="C21" i="3" s="1"/>
  <c r="L20" i="3"/>
  <c r="D20" i="3"/>
  <c r="C20" i="3"/>
  <c r="L19" i="3"/>
  <c r="L18" i="3"/>
  <c r="L17" i="3"/>
  <c r="C17" i="3"/>
  <c r="L16" i="3"/>
  <c r="C16" i="3"/>
  <c r="L15" i="3"/>
  <c r="C15" i="3"/>
  <c r="L14" i="3"/>
  <c r="C14" i="3"/>
  <c r="L13" i="3"/>
  <c r="T12" i="3"/>
  <c r="S12" i="3"/>
  <c r="L12" i="3"/>
  <c r="L11" i="3"/>
  <c r="E11" i="3"/>
  <c r="D11" i="3"/>
  <c r="C11" i="3"/>
  <c r="T10" i="3"/>
  <c r="S10" i="3"/>
  <c r="L10" i="3"/>
  <c r="E10" i="3"/>
  <c r="D10" i="3"/>
  <c r="C10" i="3"/>
  <c r="T9" i="3"/>
  <c r="S9" i="3"/>
  <c r="L9" i="3"/>
  <c r="E9" i="3"/>
  <c r="D9" i="3"/>
  <c r="C9" i="3"/>
  <c r="T8" i="3"/>
  <c r="S8" i="3"/>
  <c r="L8" i="3"/>
  <c r="E8" i="3"/>
  <c r="D8" i="3"/>
  <c r="C8" i="3"/>
  <c r="T7" i="3"/>
  <c r="S7" i="3"/>
  <c r="L7" i="3"/>
  <c r="E7" i="3"/>
  <c r="D7" i="3"/>
  <c r="C7" i="3"/>
  <c r="T6" i="3"/>
  <c r="S6" i="3"/>
  <c r="L6" i="3"/>
  <c r="E6" i="3"/>
  <c r="D6" i="3"/>
  <c r="C6" i="3"/>
  <c r="T5" i="3"/>
  <c r="S5" i="3"/>
  <c r="L5" i="3"/>
  <c r="E5" i="3"/>
  <c r="D5" i="3"/>
  <c r="C5" i="3"/>
  <c r="T4" i="3"/>
  <c r="S4" i="3"/>
  <c r="L4" i="3"/>
  <c r="T3" i="3"/>
  <c r="S3" i="3"/>
  <c r="L3" i="3"/>
  <c r="T2" i="3"/>
  <c r="S2" i="3"/>
  <c r="O2" i="3"/>
  <c r="O3" i="3" s="1"/>
  <c r="O4" i="3" s="1"/>
  <c r="O5" i="3" s="1"/>
  <c r="O6" i="3" s="1"/>
  <c r="O7" i="3" s="1"/>
  <c r="O8" i="3" s="1"/>
  <c r="O9" i="3" s="1"/>
  <c r="N2" i="3"/>
  <c r="N3" i="3" s="1"/>
  <c r="N4" i="3" s="1"/>
  <c r="N5" i="3" s="1"/>
  <c r="N6" i="3" s="1"/>
  <c r="N7" i="3" s="1"/>
  <c r="N8" i="3" s="1"/>
  <c r="N9" i="3" s="1"/>
  <c r="M2" i="3"/>
  <c r="M3" i="3" s="1"/>
  <c r="M4" i="3" s="1"/>
  <c r="M5" i="3" s="1"/>
  <c r="M6" i="3" s="1"/>
  <c r="M7" i="3" s="1"/>
  <c r="M8" i="3" s="1"/>
  <c r="M9" i="3" s="1"/>
  <c r="L2" i="3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AE776" i="2"/>
  <c r="Y776" i="2"/>
  <c r="AE775" i="2"/>
  <c r="Y775" i="2"/>
  <c r="AE774" i="2"/>
  <c r="Y774" i="2"/>
  <c r="AE773" i="2"/>
  <c r="Y773" i="2"/>
  <c r="AE772" i="2"/>
  <c r="Y772" i="2"/>
  <c r="AE771" i="2"/>
  <c r="Y771" i="2"/>
  <c r="AE770" i="2"/>
  <c r="Y770" i="2"/>
  <c r="AE769" i="2"/>
  <c r="Y769" i="2"/>
  <c r="AE768" i="2"/>
  <c r="Y768" i="2"/>
  <c r="AE767" i="2"/>
  <c r="Y767" i="2"/>
  <c r="AE766" i="2"/>
  <c r="Y766" i="2"/>
  <c r="AE765" i="2"/>
  <c r="Y765" i="2"/>
  <c r="AE764" i="2"/>
  <c r="Y764" i="2"/>
  <c r="AE763" i="2"/>
  <c r="Y763" i="2"/>
  <c r="AE762" i="2"/>
  <c r="Y762" i="2"/>
  <c r="AE761" i="2"/>
  <c r="Y761" i="2"/>
  <c r="AE760" i="2"/>
  <c r="Y760" i="2"/>
  <c r="AE759" i="2"/>
  <c r="Y759" i="2"/>
  <c r="AE758" i="2"/>
  <c r="Y758" i="2"/>
  <c r="AE757" i="2"/>
  <c r="Y757" i="2"/>
  <c r="AE756" i="2"/>
  <c r="Y756" i="2"/>
  <c r="AE755" i="2"/>
  <c r="Y755" i="2"/>
  <c r="AE754" i="2"/>
  <c r="Y754" i="2"/>
  <c r="AE753" i="2"/>
  <c r="Y753" i="2"/>
  <c r="AE752" i="2"/>
  <c r="Y752" i="2"/>
  <c r="AE751" i="2"/>
  <c r="Y751" i="2"/>
  <c r="AE750" i="2"/>
  <c r="Y750" i="2"/>
  <c r="AE749" i="2"/>
  <c r="Y749" i="2"/>
  <c r="AE748" i="2"/>
  <c r="Y748" i="2"/>
  <c r="AE747" i="2"/>
  <c r="Y747" i="2"/>
  <c r="AE746" i="2"/>
  <c r="Y746" i="2"/>
  <c r="AE745" i="2"/>
  <c r="Y745" i="2"/>
  <c r="AE744" i="2"/>
  <c r="Y744" i="2"/>
  <c r="AE743" i="2"/>
  <c r="Y743" i="2"/>
  <c r="AE742" i="2"/>
  <c r="Y742" i="2"/>
  <c r="AE741" i="2"/>
  <c r="Y741" i="2"/>
  <c r="AE740" i="2"/>
  <c r="Y740" i="2"/>
  <c r="AE739" i="2"/>
  <c r="Y739" i="2"/>
  <c r="AE738" i="2"/>
  <c r="Y738" i="2"/>
  <c r="AE737" i="2"/>
  <c r="Y737" i="2"/>
  <c r="AE736" i="2"/>
  <c r="Y736" i="2"/>
  <c r="AE735" i="2"/>
  <c r="Y735" i="2"/>
  <c r="AE734" i="2"/>
  <c r="Y734" i="2"/>
  <c r="AE733" i="2"/>
  <c r="Y733" i="2"/>
  <c r="AE732" i="2"/>
  <c r="Y732" i="2"/>
  <c r="AE731" i="2"/>
  <c r="Y731" i="2"/>
  <c r="AE730" i="2"/>
  <c r="Y730" i="2"/>
  <c r="AE729" i="2"/>
  <c r="Y729" i="2"/>
  <c r="AE728" i="2"/>
  <c r="Y728" i="2"/>
  <c r="AE727" i="2"/>
  <c r="Y727" i="2"/>
  <c r="AE726" i="2"/>
  <c r="Y726" i="2"/>
  <c r="AE725" i="2"/>
  <c r="Y725" i="2"/>
  <c r="AE724" i="2"/>
  <c r="Y724" i="2"/>
  <c r="AE723" i="2"/>
  <c r="Y723" i="2"/>
  <c r="AE722" i="2"/>
  <c r="Y722" i="2"/>
  <c r="AE721" i="2"/>
  <c r="Y721" i="2"/>
  <c r="AE720" i="2"/>
  <c r="Y720" i="2"/>
  <c r="AE719" i="2"/>
  <c r="Y719" i="2"/>
  <c r="AE718" i="2"/>
  <c r="Y718" i="2"/>
  <c r="AE717" i="2"/>
  <c r="Y717" i="2"/>
  <c r="AE716" i="2"/>
  <c r="Y716" i="2"/>
  <c r="AE715" i="2"/>
  <c r="Y715" i="2"/>
  <c r="AE714" i="2"/>
  <c r="Y714" i="2"/>
  <c r="AE713" i="2"/>
  <c r="Y713" i="2"/>
  <c r="AE712" i="2"/>
  <c r="Y712" i="2"/>
  <c r="AE711" i="2"/>
  <c r="Y711" i="2"/>
  <c r="AE710" i="2"/>
  <c r="Y710" i="2"/>
  <c r="AE709" i="2"/>
  <c r="Y709" i="2"/>
  <c r="AE708" i="2"/>
  <c r="Y708" i="2"/>
  <c r="AE707" i="2"/>
  <c r="Y707" i="2"/>
  <c r="AE706" i="2"/>
  <c r="Y706" i="2"/>
  <c r="AE705" i="2"/>
  <c r="Y705" i="2"/>
  <c r="AE704" i="2"/>
  <c r="Y704" i="2"/>
  <c r="AE703" i="2"/>
  <c r="Y703" i="2"/>
  <c r="AE702" i="2"/>
  <c r="Y702" i="2"/>
  <c r="AE701" i="2"/>
  <c r="Y701" i="2"/>
  <c r="AE700" i="2"/>
  <c r="Y700" i="2"/>
  <c r="AE699" i="2"/>
  <c r="Y699" i="2"/>
  <c r="AE698" i="2"/>
  <c r="Y698" i="2"/>
  <c r="AE697" i="2"/>
  <c r="Y697" i="2"/>
  <c r="AE696" i="2"/>
  <c r="Y696" i="2"/>
  <c r="AE695" i="2"/>
  <c r="Y695" i="2"/>
  <c r="AE694" i="2"/>
  <c r="Y694" i="2"/>
  <c r="AE693" i="2"/>
  <c r="Y693" i="2"/>
  <c r="AE692" i="2"/>
  <c r="Y692" i="2"/>
  <c r="AE691" i="2"/>
  <c r="Y691" i="2"/>
  <c r="AE690" i="2"/>
  <c r="Y690" i="2"/>
  <c r="AE689" i="2"/>
  <c r="Y689" i="2"/>
  <c r="AE688" i="2"/>
  <c r="Y688" i="2"/>
  <c r="AE687" i="2"/>
  <c r="Y687" i="2"/>
  <c r="AE686" i="2"/>
  <c r="Y686" i="2"/>
  <c r="AE685" i="2"/>
  <c r="Y685" i="2"/>
  <c r="AE684" i="2"/>
  <c r="Y684" i="2"/>
  <c r="AE683" i="2"/>
  <c r="Y683" i="2"/>
  <c r="AE682" i="2"/>
  <c r="Y682" i="2"/>
  <c r="AE681" i="2"/>
  <c r="Y681" i="2"/>
  <c r="AE680" i="2"/>
  <c r="Y680" i="2"/>
  <c r="AE679" i="2"/>
  <c r="Y679" i="2"/>
  <c r="AE678" i="2"/>
  <c r="Y678" i="2"/>
  <c r="AE677" i="2"/>
  <c r="Y677" i="2"/>
  <c r="AE676" i="2"/>
  <c r="Y676" i="2"/>
  <c r="AE675" i="2"/>
  <c r="Y675" i="2"/>
  <c r="AE674" i="2"/>
  <c r="Y674" i="2"/>
  <c r="AE673" i="2"/>
  <c r="Y673" i="2"/>
  <c r="AE672" i="2"/>
  <c r="Y672" i="2"/>
  <c r="AE671" i="2"/>
  <c r="Y671" i="2"/>
  <c r="AE670" i="2"/>
  <c r="Y670" i="2"/>
  <c r="AE669" i="2"/>
  <c r="Y669" i="2"/>
  <c r="AE668" i="2"/>
  <c r="Y668" i="2"/>
  <c r="AE667" i="2"/>
  <c r="Y667" i="2"/>
  <c r="AE666" i="2"/>
  <c r="Y666" i="2"/>
  <c r="AE665" i="2"/>
  <c r="Y665" i="2"/>
  <c r="AE664" i="2"/>
  <c r="Y664" i="2"/>
  <c r="AE663" i="2"/>
  <c r="Y663" i="2"/>
  <c r="AE662" i="2"/>
  <c r="Y662" i="2"/>
  <c r="AE661" i="2"/>
  <c r="Y661" i="2"/>
  <c r="AE660" i="2"/>
  <c r="Y660" i="2"/>
  <c r="AE659" i="2"/>
  <c r="Y659" i="2"/>
  <c r="AE658" i="2"/>
  <c r="Y658" i="2"/>
  <c r="AE657" i="2"/>
  <c r="Y657" i="2"/>
  <c r="AE656" i="2"/>
  <c r="Y656" i="2"/>
  <c r="AE655" i="2"/>
  <c r="Y655" i="2"/>
  <c r="AE654" i="2"/>
  <c r="Y654" i="2"/>
  <c r="AE653" i="2"/>
  <c r="Y653" i="2"/>
  <c r="AE652" i="2"/>
  <c r="Y652" i="2"/>
  <c r="AE651" i="2"/>
  <c r="Y651" i="2"/>
  <c r="AE650" i="2"/>
  <c r="Y650" i="2"/>
  <c r="AE649" i="2"/>
  <c r="Y649" i="2"/>
  <c r="AE648" i="2"/>
  <c r="Y648" i="2"/>
  <c r="AE647" i="2"/>
  <c r="Y647" i="2"/>
  <c r="AE646" i="2"/>
  <c r="Y646" i="2"/>
  <c r="AE645" i="2"/>
  <c r="Y645" i="2"/>
  <c r="AE644" i="2"/>
  <c r="Y644" i="2"/>
  <c r="AE643" i="2"/>
  <c r="Y643" i="2"/>
  <c r="AE642" i="2"/>
  <c r="Y642" i="2"/>
  <c r="AE641" i="2"/>
  <c r="Y641" i="2"/>
  <c r="AE640" i="2"/>
  <c r="Y640" i="2"/>
  <c r="AE639" i="2"/>
  <c r="Y639" i="2"/>
  <c r="AE638" i="2"/>
  <c r="Y638" i="2"/>
  <c r="AE637" i="2"/>
  <c r="Y637" i="2"/>
  <c r="AE636" i="2"/>
  <c r="Y636" i="2"/>
  <c r="AE635" i="2"/>
  <c r="Y635" i="2"/>
  <c r="AE634" i="2"/>
  <c r="Y634" i="2"/>
  <c r="AE633" i="2"/>
  <c r="Y633" i="2"/>
  <c r="AE632" i="2"/>
  <c r="Y632" i="2"/>
  <c r="AE631" i="2"/>
  <c r="Y631" i="2"/>
  <c r="AE630" i="2"/>
  <c r="Y630" i="2"/>
  <c r="AE629" i="2"/>
  <c r="Y629" i="2"/>
  <c r="AE628" i="2"/>
  <c r="Y628" i="2"/>
  <c r="AE627" i="2"/>
  <c r="Y627" i="2"/>
  <c r="AE626" i="2"/>
  <c r="Y626" i="2"/>
  <c r="AE625" i="2"/>
  <c r="Y625" i="2"/>
  <c r="AE624" i="2"/>
  <c r="Y624" i="2"/>
  <c r="AE623" i="2"/>
  <c r="Y623" i="2"/>
  <c r="AE622" i="2"/>
  <c r="Y622" i="2"/>
  <c r="AE621" i="2"/>
  <c r="Y621" i="2"/>
  <c r="AE620" i="2"/>
  <c r="Y620" i="2"/>
  <c r="AE619" i="2"/>
  <c r="Y619" i="2"/>
  <c r="AE618" i="2"/>
  <c r="Y618" i="2"/>
  <c r="AE617" i="2"/>
  <c r="Y617" i="2"/>
  <c r="AE616" i="2"/>
  <c r="Y616" i="2"/>
  <c r="AE615" i="2"/>
  <c r="Y615" i="2"/>
  <c r="AE614" i="2"/>
  <c r="Y614" i="2"/>
  <c r="AE613" i="2"/>
  <c r="Y613" i="2"/>
  <c r="AE612" i="2"/>
  <c r="Y612" i="2"/>
  <c r="AE611" i="2"/>
  <c r="Y611" i="2"/>
  <c r="AE610" i="2"/>
  <c r="Y610" i="2"/>
  <c r="AE609" i="2"/>
  <c r="Y609" i="2"/>
  <c r="AE608" i="2"/>
  <c r="Y608" i="2"/>
  <c r="AE607" i="2"/>
  <c r="Y607" i="2"/>
  <c r="AE606" i="2"/>
  <c r="Y606" i="2"/>
  <c r="AE605" i="2"/>
  <c r="Y605" i="2"/>
  <c r="AE604" i="2"/>
  <c r="Y604" i="2"/>
  <c r="AE603" i="2"/>
  <c r="Y603" i="2"/>
  <c r="AE602" i="2"/>
  <c r="Y602" i="2"/>
  <c r="AE601" i="2"/>
  <c r="Y601" i="2"/>
  <c r="AE600" i="2"/>
  <c r="Y600" i="2"/>
  <c r="AE599" i="2"/>
  <c r="Y599" i="2"/>
  <c r="AE598" i="2"/>
  <c r="Y598" i="2"/>
  <c r="AE597" i="2"/>
  <c r="Y597" i="2"/>
  <c r="AE596" i="2"/>
  <c r="Y596" i="2"/>
  <c r="AE595" i="2"/>
  <c r="Y595" i="2"/>
  <c r="AE594" i="2"/>
  <c r="Y594" i="2"/>
  <c r="AE593" i="2"/>
  <c r="Y593" i="2"/>
  <c r="AE592" i="2"/>
  <c r="Y592" i="2"/>
  <c r="AE591" i="2"/>
  <c r="Y591" i="2"/>
  <c r="AE590" i="2"/>
  <c r="Y590" i="2"/>
  <c r="AE589" i="2"/>
  <c r="Y589" i="2"/>
  <c r="AE588" i="2"/>
  <c r="Y588" i="2"/>
  <c r="AE587" i="2"/>
  <c r="Y587" i="2"/>
  <c r="AE586" i="2"/>
  <c r="Y586" i="2"/>
  <c r="AE585" i="2"/>
  <c r="Y585" i="2"/>
  <c r="AE584" i="2"/>
  <c r="Y584" i="2"/>
  <c r="AE583" i="2"/>
  <c r="Y583" i="2"/>
  <c r="AE582" i="2"/>
  <c r="Y582" i="2"/>
  <c r="AE581" i="2"/>
  <c r="Y581" i="2"/>
  <c r="AE580" i="2"/>
  <c r="Y580" i="2"/>
  <c r="AE579" i="2"/>
  <c r="Y579" i="2"/>
  <c r="AE578" i="2"/>
  <c r="Y578" i="2"/>
  <c r="AE577" i="2"/>
  <c r="Y577" i="2"/>
  <c r="AE576" i="2"/>
  <c r="Y576" i="2"/>
  <c r="X576" i="2"/>
  <c r="AE575" i="2"/>
  <c r="Y575" i="2"/>
  <c r="X575" i="2"/>
  <c r="AE574" i="2"/>
  <c r="Y574" i="2"/>
  <c r="X574" i="2"/>
  <c r="AE573" i="2"/>
  <c r="Y573" i="2"/>
  <c r="X573" i="2"/>
  <c r="AE572" i="2"/>
  <c r="Y572" i="2"/>
  <c r="X572" i="2"/>
  <c r="AE571" i="2"/>
  <c r="Y571" i="2"/>
  <c r="X571" i="2"/>
  <c r="AE570" i="2"/>
  <c r="Y570" i="2"/>
  <c r="X570" i="2"/>
  <c r="AE569" i="2"/>
  <c r="Y569" i="2"/>
  <c r="X569" i="2"/>
  <c r="AE568" i="2"/>
  <c r="Y568" i="2"/>
  <c r="X568" i="2"/>
  <c r="AE567" i="2"/>
  <c r="Y567" i="2"/>
  <c r="X567" i="2"/>
  <c r="AE566" i="2"/>
  <c r="Y566" i="2"/>
  <c r="X566" i="2"/>
  <c r="AE565" i="2"/>
  <c r="Y565" i="2"/>
  <c r="X565" i="2"/>
  <c r="AE564" i="2"/>
  <c r="Y564" i="2"/>
  <c r="X564" i="2"/>
  <c r="AE563" i="2"/>
  <c r="Y563" i="2"/>
  <c r="X563" i="2"/>
  <c r="Z563" i="2" s="1" a="1"/>
  <c r="Z563" i="2" s="1"/>
  <c r="AE562" i="2"/>
  <c r="Y562" i="2"/>
  <c r="X562" i="2"/>
  <c r="AE561" i="2"/>
  <c r="Y561" i="2"/>
  <c r="X561" i="2"/>
  <c r="AE560" i="2"/>
  <c r="Y560" i="2"/>
  <c r="X560" i="2"/>
  <c r="AE559" i="2"/>
  <c r="Y559" i="2"/>
  <c r="X559" i="2"/>
  <c r="AE558" i="2"/>
  <c r="Y558" i="2"/>
  <c r="X558" i="2"/>
  <c r="AE557" i="2"/>
  <c r="Y557" i="2"/>
  <c r="X557" i="2"/>
  <c r="Z557" i="2" s="1" a="1"/>
  <c r="Z557" i="2" s="1"/>
  <c r="AE556" i="2"/>
  <c r="Y556" i="2"/>
  <c r="X556" i="2"/>
  <c r="AE555" i="2"/>
  <c r="Y555" i="2"/>
  <c r="X555" i="2"/>
  <c r="AE554" i="2"/>
  <c r="Y554" i="2"/>
  <c r="X554" i="2"/>
  <c r="Z554" i="2" s="1" a="1"/>
  <c r="Z554" i="2" s="1"/>
  <c r="AE553" i="2"/>
  <c r="Y553" i="2"/>
  <c r="X553" i="2"/>
  <c r="AE552" i="2"/>
  <c r="Y552" i="2"/>
  <c r="X552" i="2"/>
  <c r="AE551" i="2"/>
  <c r="Y551" i="2"/>
  <c r="X551" i="2"/>
  <c r="Z551" i="2" s="1" a="1"/>
  <c r="Z551" i="2" s="1"/>
  <c r="AE550" i="2"/>
  <c r="Y550" i="2"/>
  <c r="X550" i="2"/>
  <c r="AE549" i="2"/>
  <c r="Y549" i="2"/>
  <c r="X549" i="2"/>
  <c r="AE548" i="2"/>
  <c r="Y548" i="2"/>
  <c r="X548" i="2"/>
  <c r="AE547" i="2"/>
  <c r="Y547" i="2"/>
  <c r="X547" i="2"/>
  <c r="AE546" i="2"/>
  <c r="Y546" i="2"/>
  <c r="X546" i="2"/>
  <c r="AE545" i="2"/>
  <c r="Y545" i="2"/>
  <c r="X545" i="2"/>
  <c r="Z545" i="2" s="1" a="1"/>
  <c r="Z545" i="2" s="1"/>
  <c r="AE544" i="2"/>
  <c r="Y544" i="2"/>
  <c r="X544" i="2"/>
  <c r="AE543" i="2"/>
  <c r="Y543" i="2"/>
  <c r="X543" i="2"/>
  <c r="AE542" i="2"/>
  <c r="Y542" i="2"/>
  <c r="X542" i="2"/>
  <c r="Z542" i="2" s="1" a="1"/>
  <c r="Z542" i="2" s="1"/>
  <c r="AE541" i="2"/>
  <c r="Y541" i="2"/>
  <c r="X541" i="2"/>
  <c r="AE540" i="2"/>
  <c r="Y540" i="2"/>
  <c r="X540" i="2"/>
  <c r="AE539" i="2"/>
  <c r="Y539" i="2"/>
  <c r="X539" i="2"/>
  <c r="Z539" i="2" s="1" a="1"/>
  <c r="Z539" i="2" s="1"/>
  <c r="AE538" i="2"/>
  <c r="Y538" i="2"/>
  <c r="X538" i="2"/>
  <c r="AE537" i="2"/>
  <c r="Y537" i="2"/>
  <c r="X537" i="2"/>
  <c r="AE536" i="2"/>
  <c r="Y536" i="2"/>
  <c r="X536" i="2"/>
  <c r="Z536" i="2" s="1" a="1"/>
  <c r="Z536" i="2" s="1"/>
  <c r="AE535" i="2"/>
  <c r="Y535" i="2"/>
  <c r="X535" i="2"/>
  <c r="AE534" i="2"/>
  <c r="Y534" i="2"/>
  <c r="X534" i="2"/>
  <c r="AE533" i="2"/>
  <c r="Y533" i="2"/>
  <c r="X533" i="2"/>
  <c r="Z533" i="2" s="1" a="1"/>
  <c r="Z533" i="2" s="1"/>
  <c r="AE532" i="2"/>
  <c r="Y532" i="2"/>
  <c r="X532" i="2"/>
  <c r="AE531" i="2"/>
  <c r="Y531" i="2"/>
  <c r="X531" i="2"/>
  <c r="AE530" i="2"/>
  <c r="Y530" i="2"/>
  <c r="X530" i="2"/>
  <c r="AE529" i="2"/>
  <c r="Y529" i="2"/>
  <c r="X529" i="2"/>
  <c r="AE528" i="2"/>
  <c r="Y528" i="2"/>
  <c r="X528" i="2"/>
  <c r="AE527" i="2"/>
  <c r="Y527" i="2"/>
  <c r="X527" i="2"/>
  <c r="AE526" i="2"/>
  <c r="Y526" i="2"/>
  <c r="X526" i="2"/>
  <c r="AE525" i="2"/>
  <c r="Y525" i="2"/>
  <c r="X525" i="2"/>
  <c r="AE524" i="2"/>
  <c r="Y524" i="2"/>
  <c r="X524" i="2"/>
  <c r="Z524" i="2" s="1" a="1"/>
  <c r="Z524" i="2" s="1"/>
  <c r="AE523" i="2"/>
  <c r="Y523" i="2"/>
  <c r="X523" i="2"/>
  <c r="AE522" i="2"/>
  <c r="Y522" i="2"/>
  <c r="X522" i="2"/>
  <c r="AE521" i="2"/>
  <c r="Y521" i="2"/>
  <c r="X521" i="2"/>
  <c r="Z521" i="2" s="1" a="1"/>
  <c r="Z521" i="2" s="1"/>
  <c r="AE520" i="2"/>
  <c r="Y520" i="2"/>
  <c r="X520" i="2"/>
  <c r="AE519" i="2"/>
  <c r="Y519" i="2"/>
  <c r="X519" i="2"/>
  <c r="AE518" i="2"/>
  <c r="Y518" i="2"/>
  <c r="X518" i="2"/>
  <c r="AE517" i="2"/>
  <c r="Y517" i="2"/>
  <c r="X517" i="2"/>
  <c r="AE516" i="2"/>
  <c r="Y516" i="2"/>
  <c r="X516" i="2"/>
  <c r="AE515" i="2"/>
  <c r="Y515" i="2"/>
  <c r="X515" i="2"/>
  <c r="Z515" i="2" s="1" a="1"/>
  <c r="Z515" i="2" s="1"/>
  <c r="AE514" i="2"/>
  <c r="Y514" i="2"/>
  <c r="X514" i="2"/>
  <c r="AE513" i="2"/>
  <c r="Y513" i="2"/>
  <c r="X513" i="2"/>
  <c r="AE512" i="2"/>
  <c r="Y512" i="2"/>
  <c r="X512" i="2"/>
  <c r="AE511" i="2"/>
  <c r="Y511" i="2"/>
  <c r="X511" i="2"/>
  <c r="AE510" i="2"/>
  <c r="Y510" i="2"/>
  <c r="X510" i="2"/>
  <c r="AE509" i="2"/>
  <c r="Y509" i="2"/>
  <c r="X509" i="2"/>
  <c r="Z509" i="2" s="1" a="1"/>
  <c r="Z509" i="2" s="1"/>
  <c r="AE508" i="2"/>
  <c r="Y508" i="2"/>
  <c r="X508" i="2"/>
  <c r="AE507" i="2"/>
  <c r="Y507" i="2"/>
  <c r="X507" i="2"/>
  <c r="AE506" i="2"/>
  <c r="Y506" i="2"/>
  <c r="X506" i="2"/>
  <c r="Z506" i="2" s="1" a="1"/>
  <c r="Z506" i="2" s="1"/>
  <c r="AE505" i="2"/>
  <c r="Y505" i="2"/>
  <c r="X505" i="2"/>
  <c r="AE504" i="2"/>
  <c r="Y504" i="2"/>
  <c r="X504" i="2"/>
  <c r="AE503" i="2"/>
  <c r="Y503" i="2"/>
  <c r="X503" i="2"/>
  <c r="AE502" i="2"/>
  <c r="Y502" i="2"/>
  <c r="X502" i="2"/>
  <c r="AE501" i="2"/>
  <c r="Y501" i="2"/>
  <c r="X501" i="2"/>
  <c r="AE500" i="2"/>
  <c r="Y500" i="2"/>
  <c r="X500" i="2"/>
  <c r="Z500" i="2" s="1" a="1"/>
  <c r="Z500" i="2" s="1"/>
  <c r="AE499" i="2"/>
  <c r="Y499" i="2"/>
  <c r="X499" i="2"/>
  <c r="AE498" i="2"/>
  <c r="Y498" i="2"/>
  <c r="X498" i="2"/>
  <c r="AE497" i="2"/>
  <c r="Y497" i="2"/>
  <c r="X497" i="2"/>
  <c r="AE496" i="2"/>
  <c r="Y496" i="2"/>
  <c r="X496" i="2"/>
  <c r="AE495" i="2"/>
  <c r="Y495" i="2"/>
  <c r="X495" i="2"/>
  <c r="AE494" i="2"/>
  <c r="Y494" i="2"/>
  <c r="X494" i="2"/>
  <c r="AE493" i="2"/>
  <c r="Y493" i="2"/>
  <c r="X493" i="2"/>
  <c r="AE492" i="2"/>
  <c r="Y492" i="2"/>
  <c r="X492" i="2"/>
  <c r="AE491" i="2"/>
  <c r="Y491" i="2"/>
  <c r="X491" i="2"/>
  <c r="AE490" i="2"/>
  <c r="Y490" i="2"/>
  <c r="X490" i="2"/>
  <c r="AE489" i="2"/>
  <c r="Y489" i="2"/>
  <c r="X489" i="2"/>
  <c r="AE488" i="2"/>
  <c r="Y488" i="2"/>
  <c r="X488" i="2"/>
  <c r="AE487" i="2"/>
  <c r="Y487" i="2"/>
  <c r="X487" i="2"/>
  <c r="AE486" i="2"/>
  <c r="Y486" i="2"/>
  <c r="X486" i="2"/>
  <c r="AE485" i="2"/>
  <c r="Y485" i="2"/>
  <c r="X485" i="2"/>
  <c r="AE484" i="2"/>
  <c r="Y484" i="2"/>
  <c r="X484" i="2"/>
  <c r="AE483" i="2"/>
  <c r="Y483" i="2"/>
  <c r="X483" i="2"/>
  <c r="AE482" i="2"/>
  <c r="Y482" i="2"/>
  <c r="X482" i="2"/>
  <c r="AE481" i="2"/>
  <c r="Y481" i="2"/>
  <c r="X481" i="2"/>
  <c r="AE480" i="2"/>
  <c r="Y480" i="2"/>
  <c r="X480" i="2"/>
  <c r="AE479" i="2"/>
  <c r="Y479" i="2"/>
  <c r="X479" i="2"/>
  <c r="AE478" i="2"/>
  <c r="Y478" i="2"/>
  <c r="X478" i="2"/>
  <c r="AE477" i="2"/>
  <c r="Y477" i="2"/>
  <c r="X477" i="2"/>
  <c r="AE476" i="2"/>
  <c r="Y476" i="2"/>
  <c r="X476" i="2"/>
  <c r="AE475" i="2"/>
  <c r="Y475" i="2"/>
  <c r="X475" i="2"/>
  <c r="AE474" i="2"/>
  <c r="Y474" i="2"/>
  <c r="X474" i="2"/>
  <c r="AE473" i="2"/>
  <c r="Y473" i="2"/>
  <c r="X473" i="2"/>
  <c r="AE472" i="2"/>
  <c r="Y472" i="2"/>
  <c r="X472" i="2"/>
  <c r="AE471" i="2"/>
  <c r="Y471" i="2"/>
  <c r="X471" i="2"/>
  <c r="AE470" i="2"/>
  <c r="Y470" i="2"/>
  <c r="X470" i="2"/>
  <c r="AE469" i="2"/>
  <c r="Y469" i="2"/>
  <c r="X469" i="2"/>
  <c r="AE468" i="2"/>
  <c r="AE467" i="2"/>
  <c r="AE466" i="2"/>
  <c r="AE465" i="2"/>
  <c r="AE464" i="2"/>
  <c r="AE463" i="2"/>
  <c r="AE462" i="2"/>
  <c r="AE461" i="2"/>
  <c r="AE460" i="2"/>
  <c r="AE459" i="2"/>
  <c r="AE458" i="2"/>
  <c r="AE457" i="2"/>
  <c r="AE456" i="2"/>
  <c r="AE455" i="2"/>
  <c r="AE454" i="2"/>
  <c r="AE453" i="2"/>
  <c r="AE452" i="2"/>
  <c r="AE451" i="2"/>
  <c r="AE450" i="2"/>
  <c r="AE449" i="2"/>
  <c r="AE448" i="2"/>
  <c r="AE447" i="2"/>
  <c r="AE446" i="2"/>
  <c r="AE445" i="2"/>
  <c r="AE444" i="2"/>
  <c r="AE443" i="2"/>
  <c r="AE442" i="2"/>
  <c r="AE441" i="2"/>
  <c r="AE440" i="2"/>
  <c r="AE439" i="2"/>
  <c r="AE438" i="2"/>
  <c r="AE437" i="2"/>
  <c r="AE436" i="2"/>
  <c r="AE435" i="2"/>
  <c r="AE434" i="2"/>
  <c r="AE433" i="2"/>
  <c r="AE432" i="2"/>
  <c r="AE431" i="2"/>
  <c r="AE430" i="2"/>
  <c r="AE429" i="2"/>
  <c r="AE428" i="2"/>
  <c r="AE427" i="2"/>
  <c r="AE426" i="2"/>
  <c r="AE425" i="2"/>
  <c r="AE424" i="2"/>
  <c r="AE423" i="2"/>
  <c r="AE422" i="2"/>
  <c r="AE421" i="2"/>
  <c r="AE420" i="2"/>
  <c r="AE419" i="2"/>
  <c r="AE418" i="2"/>
  <c r="AE417" i="2"/>
  <c r="AE416" i="2"/>
  <c r="AE415" i="2"/>
  <c r="AE414" i="2"/>
  <c r="AE413" i="2"/>
  <c r="AE412" i="2"/>
  <c r="AE411" i="2"/>
  <c r="AE410" i="2"/>
  <c r="AE409" i="2"/>
  <c r="AE408" i="2"/>
  <c r="AE407" i="2"/>
  <c r="AE406" i="2"/>
  <c r="AE405" i="2"/>
  <c r="AE404" i="2"/>
  <c r="AE403" i="2"/>
  <c r="AE402" i="2"/>
  <c r="AE401" i="2"/>
  <c r="AE400" i="2"/>
  <c r="AE399" i="2"/>
  <c r="AE398" i="2"/>
  <c r="AE397" i="2"/>
  <c r="AE396" i="2"/>
  <c r="AE395" i="2"/>
  <c r="AE394" i="2"/>
  <c r="AE393" i="2"/>
  <c r="AE392" i="2"/>
  <c r="AE391" i="2"/>
  <c r="AE390" i="2"/>
  <c r="AE389" i="2"/>
  <c r="AE388" i="2"/>
  <c r="AE387" i="2"/>
  <c r="AE386" i="2"/>
  <c r="AE385" i="2"/>
  <c r="AE384" i="2"/>
  <c r="AE383" i="2"/>
  <c r="AE382" i="2"/>
  <c r="AE381" i="2"/>
  <c r="AE380" i="2"/>
  <c r="AE379" i="2"/>
  <c r="AE378" i="2"/>
  <c r="AE377" i="2"/>
  <c r="AE376" i="2"/>
  <c r="AE375" i="2"/>
  <c r="AE374" i="2"/>
  <c r="AE373" i="2"/>
  <c r="AE372" i="2"/>
  <c r="AE371" i="2"/>
  <c r="AE370" i="2"/>
  <c r="AE369" i="2"/>
  <c r="AE368" i="2"/>
  <c r="AE367" i="2"/>
  <c r="AE366" i="2"/>
  <c r="AE365" i="2"/>
  <c r="AE364" i="2"/>
  <c r="AE363" i="2"/>
  <c r="AE362" i="2"/>
  <c r="AE361" i="2"/>
  <c r="AE360" i="2"/>
  <c r="AE359" i="2"/>
  <c r="AE358" i="2"/>
  <c r="AE357" i="2"/>
  <c r="AE356" i="2"/>
  <c r="AE355" i="2"/>
  <c r="AE354" i="2"/>
  <c r="AE353" i="2"/>
  <c r="AE352" i="2"/>
  <c r="AE351" i="2"/>
  <c r="AE350" i="2"/>
  <c r="AE349" i="2"/>
  <c r="AE348" i="2"/>
  <c r="AE347" i="2"/>
  <c r="AE346" i="2"/>
  <c r="AE345" i="2"/>
  <c r="AE344" i="2"/>
  <c r="AE343" i="2"/>
  <c r="AE342" i="2"/>
  <c r="AE341" i="2"/>
  <c r="AE340" i="2"/>
  <c r="AE339" i="2"/>
  <c r="AE338" i="2"/>
  <c r="AE337" i="2"/>
  <c r="AE336" i="2"/>
  <c r="AE335" i="2"/>
  <c r="AE334" i="2"/>
  <c r="AE333" i="2"/>
  <c r="AE332" i="2"/>
  <c r="AE331" i="2"/>
  <c r="AE330" i="2"/>
  <c r="AE329" i="2"/>
  <c r="AE328" i="2"/>
  <c r="AE327" i="2"/>
  <c r="AE326" i="2"/>
  <c r="AE325" i="2"/>
  <c r="AE324" i="2"/>
  <c r="AE323" i="2"/>
  <c r="AE322" i="2"/>
  <c r="AE321" i="2"/>
  <c r="AE320" i="2"/>
  <c r="AE319" i="2"/>
  <c r="AE318" i="2"/>
  <c r="AE317" i="2"/>
  <c r="AE316" i="2"/>
  <c r="AE315" i="2"/>
  <c r="AE314" i="2"/>
  <c r="AE313" i="2"/>
  <c r="AE312" i="2"/>
  <c r="AE311" i="2"/>
  <c r="AE310" i="2"/>
  <c r="AE309" i="2"/>
  <c r="AE308" i="2"/>
  <c r="AE307" i="2"/>
  <c r="AE306" i="2"/>
  <c r="AE305" i="2"/>
  <c r="AE304" i="2"/>
  <c r="AE303" i="2"/>
  <c r="AE302" i="2"/>
  <c r="AE301" i="2"/>
  <c r="AE300" i="2"/>
  <c r="AE299" i="2"/>
  <c r="AE298" i="2"/>
  <c r="AE297" i="2"/>
  <c r="AE296" i="2"/>
  <c r="AE295" i="2"/>
  <c r="AE294" i="2"/>
  <c r="AE293" i="2"/>
  <c r="AE292" i="2"/>
  <c r="AE291" i="2"/>
  <c r="AE290" i="2"/>
  <c r="AE289" i="2"/>
  <c r="AE288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6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E3" i="2"/>
  <c r="AE2" i="2"/>
  <c r="Z576" i="2" s="1" a="1"/>
  <c r="Z576" i="2" s="1"/>
  <c r="AH12" i="1" l="1"/>
  <c r="AH6" i="1"/>
  <c r="AH5" i="1"/>
  <c r="AH3" i="1"/>
  <c r="AH2" i="1"/>
  <c r="AH9" i="1"/>
  <c r="AH10" i="1"/>
  <c r="E28" i="3"/>
  <c r="E29" i="3"/>
  <c r="F28" i="3"/>
  <c r="F29" i="3"/>
  <c r="J9" i="4"/>
  <c r="J33" i="4"/>
  <c r="J57" i="4"/>
  <c r="J81" i="4"/>
  <c r="J105" i="4"/>
  <c r="J129" i="4"/>
  <c r="J153" i="4"/>
  <c r="J177" i="4"/>
  <c r="J201" i="4"/>
  <c r="J225" i="4"/>
  <c r="J249" i="4"/>
  <c r="J10" i="4"/>
  <c r="J34" i="4"/>
  <c r="J58" i="4"/>
  <c r="J82" i="4"/>
  <c r="J106" i="4"/>
  <c r="J130" i="4"/>
  <c r="J154" i="4"/>
  <c r="J178" i="4"/>
  <c r="J202" i="4"/>
  <c r="J226" i="4"/>
  <c r="J250" i="4"/>
  <c r="J11" i="4"/>
  <c r="J35" i="4"/>
  <c r="J59" i="4"/>
  <c r="J83" i="4"/>
  <c r="J107" i="4"/>
  <c r="J131" i="4"/>
  <c r="J155" i="4"/>
  <c r="J179" i="4"/>
  <c r="J203" i="4"/>
  <c r="J227" i="4"/>
  <c r="J251" i="4"/>
  <c r="J12" i="4"/>
  <c r="J36" i="4"/>
  <c r="J60" i="4"/>
  <c r="J84" i="4"/>
  <c r="J108" i="4"/>
  <c r="J132" i="4"/>
  <c r="J156" i="4"/>
  <c r="J180" i="4"/>
  <c r="J204" i="4"/>
  <c r="J228" i="4"/>
  <c r="J252" i="4"/>
  <c r="J21" i="4"/>
  <c r="J45" i="4"/>
  <c r="J69" i="4"/>
  <c r="J93" i="4"/>
  <c r="J117" i="4"/>
  <c r="J141" i="4"/>
  <c r="J165" i="4"/>
  <c r="J189" i="4"/>
  <c r="J213" i="4"/>
  <c r="J237" i="4"/>
  <c r="J261" i="4"/>
  <c r="J22" i="4"/>
  <c r="J46" i="4"/>
  <c r="J70" i="4"/>
  <c r="J94" i="4"/>
  <c r="J118" i="4"/>
  <c r="J142" i="4"/>
  <c r="J166" i="4"/>
  <c r="J190" i="4"/>
  <c r="J214" i="4"/>
  <c r="J238" i="4"/>
  <c r="J262" i="4"/>
  <c r="J23" i="4"/>
  <c r="J47" i="4"/>
  <c r="J71" i="4"/>
  <c r="J95" i="4"/>
  <c r="J119" i="4"/>
  <c r="J143" i="4"/>
  <c r="J167" i="4"/>
  <c r="J191" i="4"/>
  <c r="J215" i="4"/>
  <c r="J239" i="4"/>
  <c r="J263" i="4"/>
  <c r="J24" i="4"/>
  <c r="J48" i="4"/>
  <c r="J72" i="4"/>
  <c r="J96" i="4"/>
  <c r="J120" i="4"/>
  <c r="J144" i="4"/>
  <c r="J168" i="4"/>
  <c r="J192" i="4"/>
  <c r="J216" i="4"/>
  <c r="J240" i="4"/>
  <c r="J25" i="4"/>
  <c r="J49" i="4"/>
  <c r="J73" i="4"/>
  <c r="J97" i="4"/>
  <c r="J121" i="4"/>
  <c r="J145" i="4"/>
  <c r="J169" i="4"/>
  <c r="J193" i="4"/>
  <c r="J217" i="4"/>
  <c r="J241" i="4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N10" i="3"/>
  <c r="O10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O738" i="3" s="1"/>
  <c r="O739" i="3" s="1"/>
  <c r="O740" i="3" s="1"/>
  <c r="O741" i="3" s="1"/>
  <c r="O742" i="3" s="1"/>
  <c r="O743" i="3" s="1"/>
  <c r="O744" i="3" s="1"/>
  <c r="O745" i="3" s="1"/>
  <c r="O746" i="3" s="1"/>
  <c r="O747" i="3" s="1"/>
  <c r="O748" i="3" s="1"/>
  <c r="O749" i="3" s="1"/>
  <c r="O750" i="3" s="1"/>
  <c r="O751" i="3" s="1"/>
  <c r="O752" i="3" s="1"/>
  <c r="O753" i="3" s="1"/>
  <c r="O754" i="3" s="1"/>
  <c r="O755" i="3" s="1"/>
  <c r="O756" i="3" s="1"/>
  <c r="O757" i="3" s="1"/>
  <c r="O758" i="3" s="1"/>
  <c r="O759" i="3" s="1"/>
  <c r="O760" i="3" s="1"/>
  <c r="O761" i="3" s="1"/>
  <c r="O762" i="3" s="1"/>
  <c r="O763" i="3" s="1"/>
  <c r="O764" i="3" s="1"/>
  <c r="O765" i="3" s="1"/>
  <c r="O766" i="3" s="1"/>
  <c r="O767" i="3" s="1"/>
  <c r="O768" i="3" s="1"/>
  <c r="O769" i="3" s="1"/>
  <c r="O770" i="3" s="1"/>
  <c r="O771" i="3" s="1"/>
  <c r="O772" i="3" s="1"/>
  <c r="O773" i="3" s="1"/>
  <c r="O774" i="3" s="1"/>
  <c r="O775" i="3" s="1"/>
  <c r="O776" i="3" s="1"/>
  <c r="O777" i="3" s="1"/>
  <c r="O778" i="3" s="1"/>
  <c r="O779" i="3" s="1"/>
  <c r="O780" i="3" s="1"/>
  <c r="O781" i="3" s="1"/>
  <c r="O782" i="3" s="1"/>
  <c r="O783" i="3" s="1"/>
  <c r="O784" i="3" s="1"/>
  <c r="O785" i="3" s="1"/>
  <c r="O786" i="3" s="1"/>
  <c r="O787" i="3" s="1"/>
  <c r="O788" i="3" s="1"/>
  <c r="O789" i="3" s="1"/>
  <c r="O790" i="3" s="1"/>
  <c r="O791" i="3" s="1"/>
  <c r="O792" i="3" s="1"/>
  <c r="O793" i="3" s="1"/>
  <c r="O794" i="3" s="1"/>
  <c r="O795" i="3" s="1"/>
  <c r="O796" i="3" s="1"/>
  <c r="O797" i="3" s="1"/>
  <c r="O798" i="3" s="1"/>
  <c r="O799" i="3" s="1"/>
  <c r="O800" i="3" s="1"/>
  <c r="O801" i="3" s="1"/>
  <c r="O802" i="3" s="1"/>
  <c r="O803" i="3" s="1"/>
  <c r="O804" i="3" s="1"/>
  <c r="O805" i="3" s="1"/>
  <c r="O806" i="3" s="1"/>
  <c r="O807" i="3" s="1"/>
  <c r="O808" i="3" s="1"/>
  <c r="O809" i="3" s="1"/>
  <c r="O810" i="3" s="1"/>
  <c r="O811" i="3" s="1"/>
  <c r="O812" i="3" s="1"/>
  <c r="O813" i="3" s="1"/>
  <c r="O814" i="3" s="1"/>
  <c r="O815" i="3" s="1"/>
  <c r="O816" i="3" s="1"/>
  <c r="O817" i="3" s="1"/>
  <c r="O818" i="3" s="1"/>
  <c r="O819" i="3" s="1"/>
  <c r="O820" i="3" s="1"/>
  <c r="O821" i="3" s="1"/>
  <c r="O822" i="3" s="1"/>
  <c r="O823" i="3" s="1"/>
  <c r="O824" i="3" s="1"/>
  <c r="O825" i="3" s="1"/>
  <c r="O826" i="3" s="1"/>
  <c r="O827" i="3" s="1"/>
  <c r="O828" i="3" s="1"/>
  <c r="O829" i="3" s="1"/>
  <c r="O830" i="3" s="1"/>
  <c r="O831" i="3" s="1"/>
  <c r="O832" i="3" s="1"/>
  <c r="O833" i="3" s="1"/>
  <c r="O834" i="3" s="1"/>
  <c r="O835" i="3" s="1"/>
  <c r="O836" i="3" s="1"/>
  <c r="O837" i="3" s="1"/>
  <c r="O838" i="3" s="1"/>
  <c r="O839" i="3" s="1"/>
  <c r="O840" i="3" s="1"/>
  <c r="O841" i="3" s="1"/>
  <c r="O842" i="3" s="1"/>
  <c r="O843" i="3" s="1"/>
  <c r="O844" i="3" s="1"/>
  <c r="O845" i="3" s="1"/>
  <c r="O846" i="3" s="1"/>
  <c r="O847" i="3" s="1"/>
  <c r="O848" i="3" s="1"/>
  <c r="O849" i="3" s="1"/>
  <c r="O850" i="3" s="1"/>
  <c r="O851" i="3" s="1"/>
  <c r="O852" i="3" s="1"/>
  <c r="O853" i="3" s="1"/>
  <c r="O854" i="3" s="1"/>
  <c r="O855" i="3" s="1"/>
  <c r="O856" i="3" s="1"/>
  <c r="O857" i="3" s="1"/>
  <c r="O858" i="3" s="1"/>
  <c r="O859" i="3" s="1"/>
  <c r="O860" i="3" s="1"/>
  <c r="O861" i="3" s="1"/>
  <c r="O862" i="3" s="1"/>
  <c r="O863" i="3" s="1"/>
  <c r="O864" i="3" s="1"/>
  <c r="O865" i="3" s="1"/>
  <c r="O866" i="3" s="1"/>
  <c r="O867" i="3" s="1"/>
  <c r="O868" i="3" s="1"/>
  <c r="O869" i="3" s="1"/>
  <c r="O870" i="3" s="1"/>
  <c r="O871" i="3" s="1"/>
  <c r="O872" i="3" s="1"/>
  <c r="O873" i="3" s="1"/>
  <c r="O874" i="3" s="1"/>
  <c r="O875" i="3" s="1"/>
  <c r="O876" i="3" s="1"/>
  <c r="O877" i="3" s="1"/>
  <c r="O878" i="3" s="1"/>
  <c r="O879" i="3" s="1"/>
  <c r="O880" i="3" s="1"/>
  <c r="O881" i="3" s="1"/>
  <c r="O882" i="3" s="1"/>
  <c r="O883" i="3" s="1"/>
  <c r="O884" i="3" s="1"/>
  <c r="O885" i="3" s="1"/>
  <c r="O886" i="3" s="1"/>
  <c r="O887" i="3" s="1"/>
  <c r="O888" i="3" s="1"/>
  <c r="O889" i="3" s="1"/>
  <c r="O890" i="3" s="1"/>
  <c r="O891" i="3" s="1"/>
  <c r="O892" i="3" s="1"/>
  <c r="O893" i="3" s="1"/>
  <c r="O894" i="3" s="1"/>
  <c r="O895" i="3" s="1"/>
  <c r="O896" i="3" s="1"/>
  <c r="O897" i="3" s="1"/>
  <c r="O898" i="3" s="1"/>
  <c r="O899" i="3" s="1"/>
  <c r="O900" i="3" s="1"/>
  <c r="O901" i="3" s="1"/>
  <c r="O902" i="3" s="1"/>
  <c r="Z470" i="2" a="1"/>
  <c r="Z470" i="2" s="1"/>
  <c r="Z479" i="2" a="1"/>
  <c r="Z479" i="2" s="1"/>
  <c r="Z485" i="2" a="1"/>
  <c r="Z485" i="2" s="1"/>
  <c r="Z505" i="2" a="1"/>
  <c r="Z505" i="2" s="1"/>
  <c r="Z532" i="2" a="1"/>
  <c r="Z532" i="2" s="1"/>
  <c r="Z546" i="2" a="1"/>
  <c r="Z546" i="2" s="1"/>
  <c r="Z561" i="2" a="1"/>
  <c r="Z561" i="2" s="1"/>
  <c r="Z567" i="2" a="1"/>
  <c r="Z567" i="2" s="1"/>
  <c r="Z482" i="2" a="1"/>
  <c r="Z482" i="2" s="1"/>
  <c r="Z491" i="2" a="1"/>
  <c r="Z491" i="2" s="1"/>
  <c r="Z494" i="2" a="1"/>
  <c r="Z494" i="2" s="1"/>
  <c r="Z511" i="2" a="1"/>
  <c r="Z511" i="2" s="1"/>
  <c r="Z538" i="2" a="1"/>
  <c r="Z538" i="2" s="1"/>
  <c r="Z544" i="2" a="1"/>
  <c r="Z544" i="2" s="1"/>
  <c r="Z552" i="2" a="1"/>
  <c r="Z552" i="2" s="1"/>
  <c r="Z558" i="2" a="1"/>
  <c r="Z558" i="2" s="1"/>
  <c r="Z573" i="2" a="1"/>
  <c r="Z573" i="2" s="1"/>
  <c r="Z471" i="2" a="1"/>
  <c r="Z471" i="2" s="1"/>
  <c r="Z488" i="2" a="1"/>
  <c r="Z488" i="2" s="1"/>
  <c r="Z523" i="2" a="1"/>
  <c r="Z523" i="2" s="1"/>
  <c r="Z564" i="2" a="1"/>
  <c r="Z564" i="2" s="1"/>
  <c r="Z483" i="2" a="1"/>
  <c r="Z483" i="2" s="1"/>
  <c r="Z512" i="2" a="1"/>
  <c r="Z512" i="2" s="1"/>
  <c r="Z529" i="2" a="1"/>
  <c r="Z529" i="2" s="1"/>
  <c r="Z556" i="2" a="1"/>
  <c r="Z556" i="2" s="1"/>
  <c r="Z562" i="2" a="1"/>
  <c r="Z562" i="2" s="1"/>
  <c r="Z570" i="2" a="1"/>
  <c r="Z570" i="2" s="1"/>
  <c r="Z477" i="2" a="1"/>
  <c r="Z477" i="2" s="1"/>
  <c r="Z497" i="2" a="1"/>
  <c r="Z497" i="2" s="1"/>
  <c r="Z503" i="2" a="1"/>
  <c r="Z503" i="2" s="1"/>
  <c r="Z550" i="2" a="1"/>
  <c r="Z550" i="2" s="1"/>
  <c r="Z571" i="2" a="1"/>
  <c r="Z571" i="2" s="1"/>
  <c r="Z553" i="2" a="1"/>
  <c r="Z553" i="2" s="1"/>
  <c r="Z535" i="2" a="1"/>
  <c r="Z535" i="2" s="1"/>
  <c r="Z517" i="2" a="1"/>
  <c r="Z517" i="2" s="1"/>
  <c r="Z499" i="2" a="1"/>
  <c r="Z499" i="2" s="1"/>
  <c r="Z481" i="2" a="1"/>
  <c r="Z481" i="2" s="1"/>
  <c r="Z474" i="2" a="1"/>
  <c r="Z474" i="2" s="1"/>
  <c r="Z489" i="2" a="1"/>
  <c r="Z489" i="2" s="1"/>
  <c r="Z495" i="2" a="1"/>
  <c r="Z495" i="2" s="1"/>
  <c r="Z541" i="2" a="1"/>
  <c r="Z541" i="2" s="1"/>
  <c r="Z568" i="2" a="1"/>
  <c r="Z568" i="2" s="1"/>
  <c r="Z486" i="2" a="1"/>
  <c r="Z486" i="2" s="1"/>
  <c r="Z478" i="2" a="1"/>
  <c r="Z478" i="2" s="1"/>
  <c r="Z492" i="2" a="1"/>
  <c r="Z492" i="2" s="1"/>
  <c r="Z507" i="2" a="1"/>
  <c r="Z507" i="2" s="1"/>
  <c r="Z513" i="2" a="1"/>
  <c r="Z513" i="2" s="1"/>
  <c r="Z559" i="2" a="1"/>
  <c r="Z559" i="2" s="1"/>
  <c r="Z501" i="2" a="1"/>
  <c r="Z501" i="2" s="1"/>
  <c r="Z484" i="2" a="1"/>
  <c r="Z484" i="2" s="1"/>
  <c r="Z490" i="2" a="1"/>
  <c r="Z490" i="2" s="1"/>
  <c r="Z498" i="2" a="1"/>
  <c r="Z498" i="2" s="1"/>
  <c r="Z504" i="2" a="1"/>
  <c r="Z504" i="2" s="1"/>
  <c r="Z519" i="2" a="1"/>
  <c r="Z519" i="2" s="1"/>
  <c r="Z548" i="2" a="1"/>
  <c r="Z548" i="2" s="1"/>
  <c r="Z565" i="2" a="1"/>
  <c r="Z565" i="2" s="1"/>
  <c r="Z480" i="2" a="1"/>
  <c r="Z480" i="2" s="1"/>
  <c r="Z530" i="2" a="1"/>
  <c r="Z530" i="2" s="1"/>
  <c r="Z574" i="2" a="1"/>
  <c r="Z574" i="2" s="1"/>
  <c r="AL5" i="2"/>
  <c r="Z469" i="2" a="1"/>
  <c r="Z469" i="2" s="1"/>
  <c r="Z496" i="2" a="1"/>
  <c r="Z496" i="2" s="1"/>
  <c r="Z510" i="2" a="1"/>
  <c r="Z510" i="2" s="1"/>
  <c r="Z525" i="2" a="1"/>
  <c r="Z525" i="2" s="1"/>
  <c r="Z531" i="2" a="1"/>
  <c r="Z531" i="2" s="1"/>
  <c r="Z518" i="2" a="1"/>
  <c r="Z518" i="2" s="1"/>
  <c r="Z475" i="2" a="1"/>
  <c r="Z475" i="2" s="1"/>
  <c r="Z502" i="2" a="1"/>
  <c r="Z502" i="2" s="1"/>
  <c r="Z508" i="2" a="1"/>
  <c r="Z508" i="2" s="1"/>
  <c r="Z516" i="2" a="1"/>
  <c r="Z516" i="2" s="1"/>
  <c r="Z522" i="2" a="1"/>
  <c r="Z522" i="2" s="1"/>
  <c r="Z537" i="2" a="1"/>
  <c r="Z537" i="2" s="1"/>
  <c r="Z566" i="2" a="1"/>
  <c r="Z566" i="2" s="1"/>
  <c r="Z472" i="2" a="1"/>
  <c r="Z472" i="2" s="1"/>
  <c r="Z527" i="2" a="1"/>
  <c r="Z527" i="2" s="1"/>
  <c r="Z547" i="2" a="1"/>
  <c r="Z547" i="2" s="1"/>
  <c r="Z487" i="2" a="1"/>
  <c r="Z487" i="2" s="1"/>
  <c r="Z514" i="2" a="1"/>
  <c r="Z514" i="2" s="1"/>
  <c r="Z528" i="2" a="1"/>
  <c r="Z528" i="2" s="1"/>
  <c r="Z543" i="2" a="1"/>
  <c r="Z543" i="2" s="1"/>
  <c r="Z549" i="2" a="1"/>
  <c r="Z549" i="2" s="1"/>
  <c r="Z560" i="2" a="1"/>
  <c r="Z560" i="2" s="1"/>
  <c r="Z569" i="2" a="1"/>
  <c r="Z569" i="2" s="1"/>
  <c r="Z575" i="2" a="1"/>
  <c r="Z575" i="2" s="1"/>
  <c r="M10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Z473" i="2" a="1"/>
  <c r="Z473" i="2" s="1"/>
  <c r="Z476" i="2" a="1"/>
  <c r="Z476" i="2" s="1"/>
  <c r="Z493" i="2" a="1"/>
  <c r="Z493" i="2" s="1"/>
  <c r="Z520" i="2" a="1"/>
  <c r="Z520" i="2" s="1"/>
  <c r="Z526" i="2" a="1"/>
  <c r="Z526" i="2" s="1"/>
  <c r="Z534" i="2" a="1"/>
  <c r="Z534" i="2" s="1"/>
  <c r="Z540" i="2" a="1"/>
  <c r="Z540" i="2" s="1"/>
  <c r="Z555" i="2" a="1"/>
  <c r="Z555" i="2" s="1"/>
  <c r="Z572" i="2" a="1"/>
  <c r="Z572" i="2" s="1"/>
  <c r="C9" i="4"/>
  <c r="J14" i="4"/>
  <c r="J26" i="4"/>
  <c r="J38" i="4"/>
  <c r="J50" i="4"/>
  <c r="J62" i="4"/>
  <c r="J74" i="4"/>
  <c r="J86" i="4"/>
  <c r="J98" i="4"/>
  <c r="J110" i="4"/>
  <c r="J122" i="4"/>
  <c r="J134" i="4"/>
  <c r="J146" i="4"/>
  <c r="J158" i="4"/>
  <c r="J170" i="4"/>
  <c r="J182" i="4"/>
  <c r="J194" i="4"/>
  <c r="J206" i="4"/>
  <c r="J218" i="4"/>
  <c r="J230" i="4"/>
  <c r="J242" i="4"/>
  <c r="J254" i="4"/>
  <c r="J4" i="4"/>
  <c r="J15" i="4"/>
  <c r="J27" i="4"/>
  <c r="J39" i="4"/>
  <c r="J51" i="4"/>
  <c r="J63" i="4"/>
  <c r="J75" i="4"/>
  <c r="J87" i="4"/>
  <c r="J99" i="4"/>
  <c r="J111" i="4"/>
  <c r="J123" i="4"/>
  <c r="J135" i="4"/>
  <c r="J147" i="4"/>
  <c r="J159" i="4"/>
  <c r="J171" i="4"/>
  <c r="J183" i="4"/>
  <c r="J195" i="4"/>
  <c r="J207" i="4"/>
  <c r="J219" i="4"/>
  <c r="J231" i="4"/>
  <c r="J243" i="4"/>
  <c r="J255" i="4"/>
  <c r="J16" i="4"/>
  <c r="J28" i="4"/>
  <c r="J40" i="4"/>
  <c r="J52" i="4"/>
  <c r="J64" i="4"/>
  <c r="J76" i="4"/>
  <c r="J88" i="4"/>
  <c r="J100" i="4"/>
  <c r="J112" i="4"/>
  <c r="J124" i="4"/>
  <c r="J136" i="4"/>
  <c r="J148" i="4"/>
  <c r="J160" i="4"/>
  <c r="J172" i="4"/>
  <c r="J184" i="4"/>
  <c r="J196" i="4"/>
  <c r="J208" i="4"/>
  <c r="J220" i="4"/>
  <c r="J232" i="4"/>
  <c r="J244" i="4"/>
  <c r="J256" i="4"/>
  <c r="J5" i="4"/>
  <c r="J17" i="4"/>
  <c r="J29" i="4"/>
  <c r="J41" i="4"/>
  <c r="J53" i="4"/>
  <c r="J65" i="4"/>
  <c r="J77" i="4"/>
  <c r="J89" i="4"/>
  <c r="J101" i="4"/>
  <c r="J113" i="4"/>
  <c r="J125" i="4"/>
  <c r="J137" i="4"/>
  <c r="J149" i="4"/>
  <c r="J161" i="4"/>
  <c r="J173" i="4"/>
  <c r="J185" i="4"/>
  <c r="J197" i="4"/>
  <c r="J209" i="4"/>
  <c r="J221" i="4"/>
  <c r="J233" i="4"/>
  <c r="J245" i="4"/>
  <c r="J257" i="4"/>
  <c r="J6" i="4"/>
  <c r="J18" i="4"/>
  <c r="J30" i="4"/>
  <c r="J42" i="4"/>
  <c r="J54" i="4"/>
  <c r="J66" i="4"/>
  <c r="J78" i="4"/>
  <c r="J90" i="4"/>
  <c r="J102" i="4"/>
  <c r="J114" i="4"/>
  <c r="J126" i="4"/>
  <c r="J138" i="4"/>
  <c r="J150" i="4"/>
  <c r="J162" i="4"/>
  <c r="J174" i="4"/>
  <c r="J186" i="4"/>
  <c r="J198" i="4"/>
  <c r="J210" i="4"/>
  <c r="J222" i="4"/>
  <c r="J234" i="4"/>
  <c r="J246" i="4"/>
  <c r="J258" i="4"/>
  <c r="J7" i="4"/>
  <c r="J19" i="4"/>
  <c r="J31" i="4"/>
  <c r="J43" i="4"/>
  <c r="J55" i="4"/>
  <c r="J67" i="4"/>
  <c r="J79" i="4"/>
  <c r="J91" i="4"/>
  <c r="J103" i="4"/>
  <c r="J115" i="4"/>
  <c r="J127" i="4"/>
  <c r="J139" i="4"/>
  <c r="J151" i="4"/>
  <c r="J163" i="4"/>
  <c r="J175" i="4"/>
  <c r="J187" i="4"/>
  <c r="J199" i="4"/>
  <c r="J211" i="4"/>
  <c r="J223" i="4"/>
  <c r="J235" i="4"/>
  <c r="J247" i="4"/>
  <c r="AL3" i="2" l="1"/>
  <c r="AM5" i="2"/>
  <c r="AK5" i="2" s="1"/>
  <c r="AN5" i="2"/>
  <c r="AL4" i="2"/>
  <c r="AN4" i="2"/>
  <c r="AM3" i="2"/>
  <c r="AM4" i="2"/>
  <c r="AN3" i="2"/>
  <c r="AK3" i="2" l="1"/>
  <c r="AK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<sst xmlns="http://schemas.openxmlformats.org/spreadsheetml/2006/main" count="1059" uniqueCount="335">
  <si>
    <t>window_id</t>
  </si>
  <si>
    <t>stock1</t>
  </si>
  <si>
    <t>stock2</t>
  </si>
  <si>
    <t>entry_minute</t>
  </si>
  <si>
    <t>entry_timestamp</t>
  </si>
  <si>
    <t>entry_price_1</t>
  </si>
  <si>
    <t>entry_price_2</t>
  </si>
  <si>
    <t>entry_price_1_slipped</t>
  </si>
  <si>
    <t>entry_price_2_slipped</t>
  </si>
  <si>
    <t>entry_zscore</t>
  </si>
  <si>
    <t>hedge_ratio_entry</t>
  </si>
  <si>
    <t>position_size_1</t>
  </si>
  <si>
    <t>position_size_2</t>
  </si>
  <si>
    <t>direction</t>
  </si>
  <si>
    <t>holding_minutes</t>
  </si>
  <si>
    <t>exit_reason</t>
  </si>
  <si>
    <t>exit_minute</t>
  </si>
  <si>
    <t>exit_timestamp</t>
  </si>
  <si>
    <t>exit_price_1</t>
  </si>
  <si>
    <t>exit_price_2</t>
  </si>
  <si>
    <t>exit_zscore</t>
  </si>
  <si>
    <t>gross_pnl</t>
  </si>
  <si>
    <t>gross_pnl_slipped</t>
  </si>
  <si>
    <t>transaction_costs</t>
  </si>
  <si>
    <t>cfd_financing</t>
  </si>
  <si>
    <t>net_pnl</t>
  </si>
  <si>
    <t>exit_price_age_1</t>
  </si>
  <si>
    <t>exit_price_age_2</t>
  </si>
  <si>
    <t>XOM</t>
  </si>
  <si>
    <t>PSX</t>
  </si>
  <si>
    <t>SHORT</t>
  </si>
  <si>
    <t>signal</t>
  </si>
  <si>
    <t>LONG</t>
  </si>
  <si>
    <t>MPC</t>
  </si>
  <si>
    <t>VLO</t>
  </si>
  <si>
    <t>OXY</t>
  </si>
  <si>
    <t>CVX</t>
  </si>
  <si>
    <t>COP</t>
  </si>
  <si>
    <t>forced</t>
  </si>
  <si>
    <t>UK Date</t>
  </si>
  <si>
    <t>US DATE</t>
  </si>
  <si>
    <t>VIX ON ENTRY</t>
  </si>
  <si>
    <t>VIX at entry</t>
  </si>
  <si>
    <t>Net PnL</t>
  </si>
  <si>
    <t>Trades</t>
  </si>
  <si>
    <t>Avg Net P&amp;L</t>
  </si>
  <si>
    <t>Win rate</t>
  </si>
  <si>
    <t>&lt;15</t>
  </si>
  <si>
    <t>15–20</t>
  </si>
  <si>
    <t>&gt;=20</t>
  </si>
  <si>
    <t>08/13/2025</t>
  </si>
  <si>
    <t>Metric</t>
  </si>
  <si>
    <t>OOS H1</t>
  </si>
  <si>
    <t>OOS H2</t>
  </si>
  <si>
    <t>08/14/2025</t>
  </si>
  <si>
    <t>08/15/2025</t>
  </si>
  <si>
    <t>Gross P&amp;L</t>
  </si>
  <si>
    <t>08/18/2025</t>
  </si>
  <si>
    <t>Net P&amp;L</t>
  </si>
  <si>
    <t>08/19/2025</t>
  </si>
  <si>
    <t>Avg gross P&amp;L/trade</t>
  </si>
  <si>
    <t>08/20/2025</t>
  </si>
  <si>
    <t>Avg net P&amp;L/trade</t>
  </si>
  <si>
    <t>08/21/2025</t>
  </si>
  <si>
    <t>Net PF</t>
  </si>
  <si>
    <t>08/22/2025</t>
  </si>
  <si>
    <t>08/25/2025</t>
  </si>
  <si>
    <t>Avg winner</t>
  </si>
  <si>
    <t>08/26/2025</t>
  </si>
  <si>
    <t>Avg loser</t>
  </si>
  <si>
    <t>08/27/2025</t>
  </si>
  <si>
    <t>Avg holding time</t>
  </si>
  <si>
    <t>08/28/2025</t>
  </si>
  <si>
    <t>Avg |entry Z|</t>
  </si>
  <si>
    <t>08/29/2025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</si>
  <si>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</si>
  <si>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</si>
  <si>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</si>
  <si>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</si>
  <si>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</si>
  <si>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</si>
  <si>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</si>
  <si>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</si>
  <si>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</si>
  <si>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</si>
  <si>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</si>
  <si>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</si>
  <si>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</si>
  <si>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</si>
  <si>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</si>
  <si>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</si>
  <si>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</si>
  <si>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</si>
  <si>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</si>
  <si>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</si>
  <si>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</si>
  <si>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</si>
  <si>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</si>
  <si>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</si>
  <si>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</si>
  <si>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</si>
  <si>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</si>
  <si>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</si>
  <si>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</si>
  <si>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</si>
  <si>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</si>
  <si>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</si>
  <si>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</si>
  <si>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</si>
  <si>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</si>
  <si>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</si>
  <si>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</si>
  <si>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</si>
  <si>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</si>
  <si>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</si>
  <si>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</si>
  <si>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</si>
  <si>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</si>
  <si>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</si>
  <si>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</si>
  <si>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</si>
  <si>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</si>
  <si>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</si>
  <si>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</si>
  <si>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</si>
  <si>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</si>
  <si>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</si>
  <si>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</si>
  <si>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</si>
  <si>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</si>
  <si>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</si>
  <si>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</si>
  <si>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</si>
  <si>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</si>
  <si>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</si>
  <si>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</si>
  <si>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</si>
  <si>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</si>
  <si>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</si>
  <si>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</si>
  <si>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</si>
  <si>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</si>
  <si>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</si>
  <si>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</si>
  <si>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</si>
  <si>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</si>
  <si>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</si>
  <si>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</si>
  <si>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</si>
  <si>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</si>
  <si>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</si>
  <si>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</si>
  <si>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</si>
  <si>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</si>
  <si>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</si>
  <si>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</si>
  <si>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</si>
  <si>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</si>
  <si>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</si>
  <si>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</si>
  <si>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</si>
  <si>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</si>
  <si>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</si>
  <si>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</si>
  <si>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</si>
  <si>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</si>
  <si>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</si>
  <si>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</si>
  <si>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</si>
  <si>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</si>
  <si>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</si>
  <si>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</si>
  <si>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</si>
  <si>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</si>
  <si>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</si>
  <si>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</si>
  <si>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</si>
  <si>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</si>
  <si>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</si>
  <si>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</si>
  <si>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</si>
  <si>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</si>
  <si>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</si>
  <si>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</si>
  <si>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</si>
  <si>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</si>
  <si>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05/25/2026</t>
  </si>
  <si>
    <t>05/26/2026</t>
  </si>
  <si>
    <t>05/27/2026</t>
  </si>
  <si>
    <t>05/28/2026</t>
  </si>
  <si>
    <t>05/29/2026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</si>
  <si>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</si>
  <si>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</si>
  <si>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</si>
  <si>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</si>
  <si>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</si>
  <si>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</si>
  <si>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</si>
  <si>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06/24/2026</t>
  </si>
  <si>
    <t>06/25/2026</t>
  </si>
  <si>
    <t>06/26/2026</t>
  </si>
  <si>
    <t>06/29/2026</t>
  </si>
  <si>
    <t>06/30/2026</t>
  </si>
  <si>
    <t>07/13/2026</t>
  </si>
  <si>
    <t>07/14/2026</t>
  </si>
  <si>
    <t>07/15/2026</t>
  </si>
  <si>
    <t>07/16/2026</t>
  </si>
  <si>
    <t>07/17/2026</t>
  </si>
  <si>
    <t>07/20/2026</t>
  </si>
  <si>
    <t>07/21/2026</t>
  </si>
  <si>
    <t>07/22/2026</t>
  </si>
  <si>
    <t>07/23/2026</t>
  </si>
  <si>
    <t>07/24/2026</t>
  </si>
  <si>
    <t>07/27/2026</t>
  </si>
  <si>
    <t>07/28/2026</t>
  </si>
  <si>
    <t>07/29/2026</t>
  </si>
  <si>
    <t>07/30/2026</t>
  </si>
  <si>
    <t>07/31/2026</t>
  </si>
  <si>
    <t>Exit timestamp</t>
  </si>
  <si>
    <t>Cumulative Gross PnL</t>
  </si>
  <si>
    <t>Cumulative Slipped PnL</t>
  </si>
  <si>
    <t>Cumulative Net PnL</t>
  </si>
  <si>
    <t>min holding minutes</t>
  </si>
  <si>
    <t>max holding minutes</t>
  </si>
  <si>
    <t>Mean Net PnL</t>
  </si>
  <si>
    <t>Number of trades</t>
  </si>
  <si>
    <t>Rough Analysis of the baseline strategy</t>
  </si>
  <si>
    <t>Figures</t>
  </si>
  <si>
    <t>Column1</t>
  </si>
  <si>
    <t>Gross</t>
  </si>
  <si>
    <t>Slipped</t>
  </si>
  <si>
    <t>Net (Transaction costs)</t>
  </si>
  <si>
    <t>Overall PnL</t>
  </si>
  <si>
    <t>Mean PnL</t>
  </si>
  <si>
    <t>Median PnL</t>
  </si>
  <si>
    <t>Max drawdown</t>
  </si>
  <si>
    <t>Biggest Winner</t>
  </si>
  <si>
    <t>Profit Factor</t>
  </si>
  <si>
    <t>Column2</t>
  </si>
  <si>
    <t>Number of Trades</t>
  </si>
  <si>
    <t>Mean holding time</t>
  </si>
  <si>
    <t>Median holding time</t>
  </si>
  <si>
    <t>Max holding time</t>
  </si>
  <si>
    <t>Positive</t>
  </si>
  <si>
    <t>Negative</t>
  </si>
  <si>
    <t>Mean entry z score</t>
  </si>
  <si>
    <t>Median entry z score</t>
  </si>
  <si>
    <t>max entry z score</t>
  </si>
  <si>
    <t>Mean exit z score</t>
  </si>
  <si>
    <t>Median exit z score</t>
  </si>
  <si>
    <t>max exit z score</t>
  </si>
  <si>
    <t>Edge is there, but wiped out by costs</t>
  </si>
  <si>
    <t>Long</t>
  </si>
  <si>
    <t>Short</t>
  </si>
  <si>
    <t>Signal</t>
  </si>
  <si>
    <t>Forced</t>
  </si>
  <si>
    <t>PnL (gross)</t>
  </si>
  <si>
    <t>Number</t>
  </si>
  <si>
    <t>min Holding time</t>
  </si>
  <si>
    <t>Max Holding time</t>
  </si>
  <si>
    <t>Conclusion:</t>
  </si>
  <si>
    <t>does the multiple pairs strategy improve diversification and risk adjusted returns instead of just gross exposure?</t>
  </si>
  <si>
    <t>shorter trades are significantly more profitiable</t>
  </si>
  <si>
    <t>most trades are short, but with a long tail</t>
  </si>
  <si>
    <t>Value</t>
  </si>
  <si>
    <t>Daily PnL table</t>
  </si>
  <si>
    <t>P&amp;L/trade</t>
  </si>
  <si>
    <t>Daily P&amp;L volatility</t>
  </si>
  <si>
    <t>Sharpe-like measure</t>
  </si>
  <si>
    <t>Max drawdown / total P&amp;L</t>
  </si>
  <si>
    <t>Worst day</t>
  </si>
  <si>
    <t>Max concurrent positions</t>
  </si>
  <si>
    <t>Max gross exposure</t>
  </si>
  <si>
    <t>it seems like this strat might actually be WORSE for risk *potentially* than the single pair version. The main question now is how much capital we need to keep in reserves to avoid margin calling and liquidation. 
portfolio total P&amp;L
=
cumulative realised P&amp;L up to minute
+
total unrealised P&amp;L at minute</t>
  </si>
  <si>
    <t>int R</t>
  </si>
  <si>
    <t>mean PnL of these trades</t>
  </si>
  <si>
    <t>mean PnL of other trades</t>
  </si>
  <si>
    <t>percentage of total PnL of early trades</t>
  </si>
  <si>
    <t>percentage of total PnL of non-early trades</t>
  </si>
  <si>
    <t>exit_price_age_3</t>
  </si>
  <si>
    <t>within 10 mins of 2.30 (market open)</t>
  </si>
  <si>
    <t>win rate of later trades</t>
  </si>
  <si>
    <t>was 1.30 but changed as DST in this trade!</t>
  </si>
  <si>
    <t>PnL within 1 hr of closing</t>
  </si>
  <si>
    <t>number</t>
  </si>
  <si>
    <t>average</t>
  </si>
  <si>
    <t>perc PnL</t>
  </si>
  <si>
    <t>market open</t>
  </si>
  <si>
    <t>time since market open</t>
  </si>
  <si>
    <t>Average early winner</t>
  </si>
  <si>
    <t>Average early loser</t>
  </si>
  <si>
    <t>Average later winner</t>
  </si>
  <si>
    <t>Average later loser</t>
  </si>
  <si>
    <t>Overall PF</t>
  </si>
  <si>
    <t>early PF</t>
  </si>
  <si>
    <t>later PF</t>
  </si>
  <si>
    <t>overall PF no 2k loss</t>
  </si>
  <si>
    <t>early PF no 2k loss</t>
  </si>
  <si>
    <t>win rate of early trades</t>
  </si>
  <si>
    <t>Field</t>
  </si>
  <si>
    <t>What you're looking for</t>
  </si>
  <si>
    <t>Date</t>
  </si>
  <si>
    <t>Event/news lookup</t>
  </si>
  <si>
    <t>Pair</t>
  </si>
  <si>
    <t>Whether certain pairs dominate tails</t>
  </si>
  <si>
    <t>P&amp;L</t>
  </si>
  <si>
    <t>Winner/loser magnitude</t>
  </si>
  <si>
    <t>Entry time</t>
  </si>
  <si>
    <t>How close to open</t>
  </si>
  <si>
    <t>Entry (</t>
  </si>
  <si>
    <t>z</t>
  </si>
  <si>
    <t>Holding time</t>
  </si>
  <si>
    <t>Rapid convergence vs prolonged divergence</t>
  </si>
  <si>
    <t>Hedge ratio</t>
  </si>
  <si>
    <t>Any extreme sizing/beta effects</t>
  </si>
  <si>
    <t>Overnight spread change</t>
  </si>
  <si>
    <t>Very important</t>
  </si>
  <si>
    <t>Spread change after entry</t>
  </si>
  <si>
    <t>Genuine convergence/divergence</t>
  </si>
  <si>
    <t>Pair-specific news?</t>
  </si>
  <si>
    <t>Fundamental repricing</t>
  </si>
  <si>
    <t>Sector/macro event?</t>
  </si>
  <si>
    <t>Common shock</t>
  </si>
  <si>
    <t>Earnings nearby?</t>
  </si>
  <si>
    <t>Elevated event risk</t>
  </si>
  <si>
    <t>Interpretation</t>
  </si>
  <si>
    <t>Temporary dislocation / fundamental repricing / unclear</t>
  </si>
  <si>
    <t>A — Genuine temporary dislocation</t>
  </si>
  <si>
    <t>Large overnight divergence followed by actual convergence.</t>
  </si>
  <si>
    <t>B — Fundamental divergence</t>
  </si>
  <si>
    <t>Large divergence followed by continued divergence, with evidence that one leg was genuinely being repriced.</t>
  </si>
  <si>
    <t>C — Statistical artefact</t>
  </si>
  <si>
    <t>Z-score reverted primarily because the rolling mean/std caught up rather than because the spread converged.</t>
  </si>
  <si>
    <t>D — Unclear/normal statistical loss.</t>
  </si>
  <si>
    <t>Then compare winners versus losers.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</si>
</sst>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;[Red]\(0.00000\);\-"/>
    <numFmt numFmtId="165" formatCode="0.00000"/>
    <numFmt numFmtId="166" formatCode="yyyy\-mm\-dd\ 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5">
    <xf numFmtId="0" fontId="0" fillId="0" borderId="0"/>
    <xf numFmtId="0" fontId="2" fillId="0" borderId="0"/>
    <xf numFmtId="9" fontId="2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1"/>
    <xf numFmtId="0" fontId="3" fillId="2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1" fontId="2" fillId="0" borderId="0" xfId="1" applyNumberFormat="1"/>
    <xf numFmtId="164" fontId="2" fillId="0" borderId="0" xfId="1" applyNumberFormat="1"/>
    <xf numFmtId="165" fontId="2" fillId="0" borderId="0" xfId="1" applyNumberFormat="1"/>
    <xf numFmtId="9" fontId="4" fillId="0" borderId="0" xfId="2" applyFont="1"/>
    <xf numFmtId="9" fontId="0" fillId="0" borderId="0" xfId="2" applyFont="1"/>
    <xf numFmtId="0" fontId="1" fillId="0" borderId="0" xfId="1" applyFont="1"/>
    <xf numFmtId="165" fontId="0" fillId="0" borderId="0" xfId="2" applyNumberFormat="1" applyFont="1"/>
    <xf numFmtId="9" fontId="4" fillId="0" borderId="0" xfId="1" applyNumberFormat="1" applyFont="1"/>
    <xf numFmtId="0" fontId="4" fillId="0" borderId="0" xfId="1" applyFont="1"/>
    <xf numFmtId="0" fontId="1" fillId="0" borderId="1" xfId="1" applyFon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4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2" borderId="13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166" fontId="0" fillId="0" borderId="0" xfId="0" applyNumberFormat="1"/>
    <xf numFmtId="0" fontId="7" fillId="0" borderId="18" xfId="0" applyFont="1" applyBorder="1" applyAlignment="1">
      <alignment horizontal="center" vertical="top"/>
    </xf>
    <xf numFmtId="0" fontId="0" fillId="3" borderId="0" xfId="0" applyFill="1"/>
    <xf numFmtId="0" fontId="0" fillId="3" borderId="19" xfId="0" applyFill="1" applyBorder="1"/>
    <xf numFmtId="166" fontId="0" fillId="3" borderId="0" xfId="0" applyNumberFormat="1" applyFill="1"/>
    <xf numFmtId="166" fontId="0" fillId="3" borderId="19" xfId="0" applyNumberFormat="1" applyFill="1" applyBorder="1"/>
    <xf numFmtId="0" fontId="6" fillId="0" borderId="17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43" fontId="0" fillId="0" borderId="0" xfId="3" applyFont="1" applyAlignment="1">
      <alignment vertical="center"/>
    </xf>
    <xf numFmtId="0" fontId="2" fillId="0" borderId="16" xfId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6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6" xfId="0" applyBorder="1" applyAlignment="1">
      <alignment horizontal="center" vertical="top" wrapText="1"/>
    </xf>
    <xf numFmtId="0" fontId="0" fillId="0" borderId="0" xfId="0"/>
    <xf numFmtId="9" fontId="0" fillId="0" borderId="0" xfId="4" applyFont="1"/>
    <xf numFmtId="166" fontId="0" fillId="4" borderId="0" xfId="0" applyNumberFormat="1" applyFill="1"/>
    <xf numFmtId="0" fontId="6" fillId="0" borderId="18" xfId="0" applyFont="1" applyBorder="1" applyAlignment="1">
      <alignment horizontal="center" vertical="top"/>
    </xf>
    <xf numFmtId="166" fontId="0" fillId="5" borderId="0" xfId="0" applyNumberFormat="1" applyFill="1"/>
    <xf numFmtId="166" fontId="0" fillId="0" borderId="0" xfId="0" applyNumberFormat="1" applyFill="1"/>
    <xf numFmtId="166" fontId="10" fillId="0" borderId="0" xfId="0" applyNumberFormat="1" applyFont="1" applyFill="1"/>
    <xf numFmtId="1" fontId="0" fillId="0" borderId="0" xfId="0" applyNumberFormat="1"/>
    <xf numFmtId="1" fontId="6" fillId="0" borderId="18" xfId="0" applyNumberFormat="1" applyFont="1" applyBorder="1" applyAlignment="1">
      <alignment horizontal="center" vertical="top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</cellXfs>
  <cellStyles count="5">
    <cellStyle name="Comma" xfId="3" builtinId="3"/>
    <cellStyle name="Normal" xfId="0" builtinId="0"/>
    <cellStyle name="Normal 2" xfId="1" xr:uid="{00000000-0005-0000-0000-000001000000}"/>
    <cellStyle name="Per cent" xfId="4" builtinId="5"/>
    <cellStyle name="Per cent 2" xfId="2" xr:uid="{00000000-0005-0000-0000-000002000000}"/>
  </cellStyles>
  <dxfs count="19">
    <dxf>
      <numFmt numFmtId="1" formatCode="0"/>
    </dxf>
    <dxf>
      <numFmt numFmtId="166" formatCode="yyyy\-mm\-dd\ hh:mm:ss"/>
    </dxf>
    <dxf>
      <numFmt numFmtId="1" formatCode="0"/>
    </dxf>
    <dxf>
      <numFmt numFmtId="0" formatCode="General"/>
    </dxf>
    <dxf>
      <numFmt numFmtId="164" formatCode="0.00000;[Red]\(0.00000\);\-"/>
    </dxf>
    <dxf>
      <numFmt numFmtId="164" formatCode="0.00000;[Red]\(0.00000\);\-"/>
    </dxf>
    <dxf>
      <numFmt numFmtId="164" formatCode="0.00000;[Red]\(0.00000\);\-"/>
    </dxf>
    <dxf>
      <numFmt numFmtId="1" formatCode="0"/>
    </dxf>
    <dxf>
      <border outline="0">
        <top style="thin">
          <color rgb="FFA6A6A6"/>
        </top>
      </border>
    </dxf>
    <dxf>
      <border outline="0">
        <bottom style="thin">
          <color rgb="FFA6A6A6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bottom"/>
    </dxf>
    <dxf>
      <numFmt numFmtId="165" formatCode="0.00000"/>
    </dxf>
    <dxf>
      <numFmt numFmtId="165" formatCode="0.00000"/>
    </dxf>
    <dxf>
      <numFmt numFmtId="165" formatCode="0.00000"/>
    </dxf>
    <dxf>
      <numFmt numFmtId="166" formatCode="yyyy\-mm\-dd\ hh:mm:ss"/>
    </dxf>
    <dxf>
      <numFmt numFmtId="166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Trades!$AE$1</c:f>
              <c:strCache>
                <c:ptCount val="1"/>
                <c:pt idx="0">
                  <c:v>time since market open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Trades!$Z$2:$Z$99</c:f>
              <c:numCache>
                <c:formatCode>General</c:formatCode>
                <c:ptCount val="98"/>
                <c:pt idx="0">
                  <c:v>153.463346200008</c:v>
                </c:pt>
                <c:pt idx="1">
                  <c:v>804.44570306154787</c:v>
                </c:pt>
                <c:pt idx="2">
                  <c:v>458.72763275348012</c:v>
                </c:pt>
                <c:pt idx="3">
                  <c:v>85.699610790732152</c:v>
                </c:pt>
                <c:pt idx="4">
                  <c:v>308.9055684263916</c:v>
                </c:pt>
                <c:pt idx="5">
                  <c:v>281.22830785091941</c:v>
                </c:pt>
                <c:pt idx="6">
                  <c:v>-221.1814260419643</c:v>
                </c:pt>
                <c:pt idx="7">
                  <c:v>169.52502207331281</c:v>
                </c:pt>
                <c:pt idx="8">
                  <c:v>-453.9708777580617</c:v>
                </c:pt>
                <c:pt idx="9">
                  <c:v>150.33795889073431</c:v>
                </c:pt>
                <c:pt idx="10">
                  <c:v>-489.02467551887759</c:v>
                </c:pt>
                <c:pt idx="11">
                  <c:v>105.1066003050213</c:v>
                </c:pt>
                <c:pt idx="12">
                  <c:v>3.2129676681267072</c:v>
                </c:pt>
                <c:pt idx="13">
                  <c:v>-173.62030651471409</c:v>
                </c:pt>
                <c:pt idx="14">
                  <c:v>346.14038786702241</c:v>
                </c:pt>
                <c:pt idx="15">
                  <c:v>485.94097120298483</c:v>
                </c:pt>
                <c:pt idx="16">
                  <c:v>612.70112551249497</c:v>
                </c:pt>
                <c:pt idx="17">
                  <c:v>183.80111719705701</c:v>
                </c:pt>
                <c:pt idx="18">
                  <c:v>282.91152936454631</c:v>
                </c:pt>
                <c:pt idx="19">
                  <c:v>246.65293095903851</c:v>
                </c:pt>
                <c:pt idx="20">
                  <c:v>-2028.0678917453649</c:v>
                </c:pt>
                <c:pt idx="21">
                  <c:v>-456.61134567970163</c:v>
                </c:pt>
                <c:pt idx="22">
                  <c:v>-24.892568747361391</c:v>
                </c:pt>
                <c:pt idx="23">
                  <c:v>74.425889843222677</c:v>
                </c:pt>
                <c:pt idx="24">
                  <c:v>-121.71361365032151</c:v>
                </c:pt>
                <c:pt idx="25">
                  <c:v>720.59422395409069</c:v>
                </c:pt>
                <c:pt idx="26">
                  <c:v>522.87550940506503</c:v>
                </c:pt>
                <c:pt idx="27">
                  <c:v>1063.428251640586</c:v>
                </c:pt>
                <c:pt idx="28">
                  <c:v>694.79827332408126</c:v>
                </c:pt>
                <c:pt idx="29">
                  <c:v>-259.03604633190707</c:v>
                </c:pt>
                <c:pt idx="30">
                  <c:v>1255.147909099458</c:v>
                </c:pt>
                <c:pt idx="31">
                  <c:v>748.78562076827961</c:v>
                </c:pt>
                <c:pt idx="32">
                  <c:v>-134.14166262424169</c:v>
                </c:pt>
                <c:pt idx="33">
                  <c:v>-730.71631692488484</c:v>
                </c:pt>
                <c:pt idx="34">
                  <c:v>228.8512426713169</c:v>
                </c:pt>
                <c:pt idx="35">
                  <c:v>577.60542077799516</c:v>
                </c:pt>
                <c:pt idx="36">
                  <c:v>26.320889736950839</c:v>
                </c:pt>
                <c:pt idx="37">
                  <c:v>247.94762236024829</c:v>
                </c:pt>
                <c:pt idx="38">
                  <c:v>502.01162293800792</c:v>
                </c:pt>
                <c:pt idx="39">
                  <c:v>75.987504468163209</c:v>
                </c:pt>
                <c:pt idx="40">
                  <c:v>646.75203435736694</c:v>
                </c:pt>
                <c:pt idx="41">
                  <c:v>-440.68495900434488</c:v>
                </c:pt>
                <c:pt idx="42">
                  <c:v>-716.98076257616367</c:v>
                </c:pt>
                <c:pt idx="43">
                  <c:v>285.90312248410652</c:v>
                </c:pt>
                <c:pt idx="44">
                  <c:v>-278.24189903813618</c:v>
                </c:pt>
                <c:pt idx="45">
                  <c:v>236.4300852762303</c:v>
                </c:pt>
                <c:pt idx="46">
                  <c:v>672.22701987429116</c:v>
                </c:pt>
                <c:pt idx="47">
                  <c:v>254.03061100909619</c:v>
                </c:pt>
                <c:pt idx="48">
                  <c:v>-59.46041189245831</c:v>
                </c:pt>
                <c:pt idx="49">
                  <c:v>1909.3002602345241</c:v>
                </c:pt>
                <c:pt idx="50">
                  <c:v>1150.5565612703761</c:v>
                </c:pt>
                <c:pt idx="51">
                  <c:v>84.214243231166478</c:v>
                </c:pt>
                <c:pt idx="52">
                  <c:v>197.49567287121531</c:v>
                </c:pt>
                <c:pt idx="53">
                  <c:v>43.180573138895241</c:v>
                </c:pt>
                <c:pt idx="54">
                  <c:v>-281.67092294155952</c:v>
                </c:pt>
                <c:pt idx="55">
                  <c:v>422.32371384194289</c:v>
                </c:pt>
                <c:pt idx="56">
                  <c:v>583.18490404570036</c:v>
                </c:pt>
                <c:pt idx="57">
                  <c:v>421.83687285064542</c:v>
                </c:pt>
                <c:pt idx="58">
                  <c:v>-137.87345797144289</c:v>
                </c:pt>
                <c:pt idx="59">
                  <c:v>73.240365035516618</c:v>
                </c:pt>
                <c:pt idx="60">
                  <c:v>193.1163851140885</c:v>
                </c:pt>
                <c:pt idx="61">
                  <c:v>-506.06488985166192</c:v>
                </c:pt>
                <c:pt idx="62">
                  <c:v>528.08816739045949</c:v>
                </c:pt>
                <c:pt idx="63">
                  <c:v>-564.23526664313704</c:v>
                </c:pt>
                <c:pt idx="64">
                  <c:v>-679.27237433094285</c:v>
                </c:pt>
                <c:pt idx="65">
                  <c:v>173.3854730832422</c:v>
                </c:pt>
                <c:pt idx="66">
                  <c:v>1357.366014888654</c:v>
                </c:pt>
                <c:pt idx="67">
                  <c:v>-38.610233834384672</c:v>
                </c:pt>
                <c:pt idx="68">
                  <c:v>631.04314866488915</c:v>
                </c:pt>
                <c:pt idx="69">
                  <c:v>477.01767881483738</c:v>
                </c:pt>
                <c:pt idx="70">
                  <c:v>-316.50401581545282</c:v>
                </c:pt>
                <c:pt idx="71">
                  <c:v>-446.99773915934537</c:v>
                </c:pt>
                <c:pt idx="72">
                  <c:v>-61.494975436288563</c:v>
                </c:pt>
                <c:pt idx="73">
                  <c:v>-86.769969851712929</c:v>
                </c:pt>
                <c:pt idx="74">
                  <c:v>-77.41684246584704</c:v>
                </c:pt>
                <c:pt idx="75">
                  <c:v>-678.09838685923091</c:v>
                </c:pt>
                <c:pt idx="76">
                  <c:v>-33.323139948761813</c:v>
                </c:pt>
                <c:pt idx="77">
                  <c:v>-232.91981990803939</c:v>
                </c:pt>
                <c:pt idx="78">
                  <c:v>194.59004509043001</c:v>
                </c:pt>
                <c:pt idx="79">
                  <c:v>92.688993565029762</c:v>
                </c:pt>
                <c:pt idx="80">
                  <c:v>188.16772419545941</c:v>
                </c:pt>
                <c:pt idx="81">
                  <c:v>-195.25086391994299</c:v>
                </c:pt>
                <c:pt idx="82">
                  <c:v>43.774558938271348</c:v>
                </c:pt>
                <c:pt idx="83">
                  <c:v>60.030731735338478</c:v>
                </c:pt>
                <c:pt idx="84">
                  <c:v>-402.5572082385699</c:v>
                </c:pt>
                <c:pt idx="85">
                  <c:v>53.417723858961047</c:v>
                </c:pt>
                <c:pt idx="86">
                  <c:v>590.68408211959354</c:v>
                </c:pt>
              </c:numCache>
            </c:numRef>
          </c:xVal>
          <c:yVal>
            <c:numRef>
              <c:f>Trades!$AE$2:$AE$99</c:f>
              <c:numCache>
                <c:formatCode>0</c:formatCode>
                <c:ptCount val="98"/>
                <c:pt idx="0">
                  <c:v>223.99999999674037</c:v>
                </c:pt>
                <c:pt idx="1">
                  <c:v>0</c:v>
                </c:pt>
                <c:pt idx="2">
                  <c:v>-1.0477378964424133E-8</c:v>
                </c:pt>
                <c:pt idx="3">
                  <c:v>150.0000000174623</c:v>
                </c:pt>
                <c:pt idx="4">
                  <c:v>-1.0477378964424133E-8</c:v>
                </c:pt>
                <c:pt idx="5">
                  <c:v>299.00000000023283</c:v>
                </c:pt>
                <c:pt idx="6">
                  <c:v>1.000000003259629</c:v>
                </c:pt>
                <c:pt idx="7">
                  <c:v>387.9999999969732</c:v>
                </c:pt>
                <c:pt idx="8">
                  <c:v>8.0000000051222742</c:v>
                </c:pt>
                <c:pt idx="9">
                  <c:v>210.00000000349246</c:v>
                </c:pt>
                <c:pt idx="10">
                  <c:v>1.000000003259629</c:v>
                </c:pt>
                <c:pt idx="11">
                  <c:v>150.0000000174623</c:v>
                </c:pt>
                <c:pt idx="12">
                  <c:v>192.00000000768341</c:v>
                </c:pt>
                <c:pt idx="13">
                  <c:v>-1.0477378964424133E-8</c:v>
                </c:pt>
                <c:pt idx="14">
                  <c:v>2.000000006519258</c:v>
                </c:pt>
                <c:pt idx="15">
                  <c:v>1.000000003259629</c:v>
                </c:pt>
                <c:pt idx="16">
                  <c:v>-1.0477378964424133E-8</c:v>
                </c:pt>
                <c:pt idx="17">
                  <c:v>356.00000000791624</c:v>
                </c:pt>
                <c:pt idx="18">
                  <c:v>1.000000003259629</c:v>
                </c:pt>
                <c:pt idx="19">
                  <c:v>-1.0477378964424133E-8</c:v>
                </c:pt>
                <c:pt idx="20">
                  <c:v>-1.0477378964424133E-8</c:v>
                </c:pt>
                <c:pt idx="21">
                  <c:v>-1.0477378964424133E-8</c:v>
                </c:pt>
                <c:pt idx="22">
                  <c:v>195.0000000174623</c:v>
                </c:pt>
                <c:pt idx="23">
                  <c:v>246.99999999837019</c:v>
                </c:pt>
                <c:pt idx="24">
                  <c:v>-1.0477378964424133E-8</c:v>
                </c:pt>
                <c:pt idx="25">
                  <c:v>209.00000000023283</c:v>
                </c:pt>
                <c:pt idx="26">
                  <c:v>299.00000000023283</c:v>
                </c:pt>
                <c:pt idx="27">
                  <c:v>-1.0477378964424133E-8</c:v>
                </c:pt>
                <c:pt idx="28">
                  <c:v>178.99999999674037</c:v>
                </c:pt>
                <c:pt idx="29">
                  <c:v>-1.0477378964424133E-8</c:v>
                </c:pt>
                <c:pt idx="30">
                  <c:v>1.000000003259629</c:v>
                </c:pt>
                <c:pt idx="31">
                  <c:v>2.000000006519258</c:v>
                </c:pt>
                <c:pt idx="32">
                  <c:v>214.99999999883585</c:v>
                </c:pt>
                <c:pt idx="33">
                  <c:v>1.000000003259629</c:v>
                </c:pt>
                <c:pt idx="34">
                  <c:v>288.99999999906868</c:v>
                </c:pt>
                <c:pt idx="35">
                  <c:v>2.000000006519258</c:v>
                </c:pt>
                <c:pt idx="36">
                  <c:v>2.9999999993015081</c:v>
                </c:pt>
                <c:pt idx="37">
                  <c:v>359.99999998952262</c:v>
                </c:pt>
                <c:pt idx="38">
                  <c:v>-1.0477378964424133E-8</c:v>
                </c:pt>
                <c:pt idx="39">
                  <c:v>341.00000000093132</c:v>
                </c:pt>
                <c:pt idx="40">
                  <c:v>5.9999999986030161</c:v>
                </c:pt>
                <c:pt idx="41">
                  <c:v>1.000000003259629</c:v>
                </c:pt>
                <c:pt idx="42">
                  <c:v>-1.0477378964424133E-8</c:v>
                </c:pt>
                <c:pt idx="43">
                  <c:v>256.00000000675209</c:v>
                </c:pt>
                <c:pt idx="44">
                  <c:v>77.000000010011718</c:v>
                </c:pt>
                <c:pt idx="45">
                  <c:v>103.00000000046566</c:v>
                </c:pt>
                <c:pt idx="46">
                  <c:v>190.00000000116415</c:v>
                </c:pt>
                <c:pt idx="47">
                  <c:v>288.00000000628643</c:v>
                </c:pt>
                <c:pt idx="48">
                  <c:v>300.00000000349246</c:v>
                </c:pt>
                <c:pt idx="49">
                  <c:v>1.000000003259629</c:v>
                </c:pt>
                <c:pt idx="50">
                  <c:v>1.000000003259629</c:v>
                </c:pt>
                <c:pt idx="51">
                  <c:v>365.00000000582077</c:v>
                </c:pt>
                <c:pt idx="52">
                  <c:v>-1.0477378964424133E-8</c:v>
                </c:pt>
                <c:pt idx="53">
                  <c:v>349.99999999883585</c:v>
                </c:pt>
                <c:pt idx="54">
                  <c:v>3.9999999920837581</c:v>
                </c:pt>
                <c:pt idx="55">
                  <c:v>5.0000000058207661</c:v>
                </c:pt>
                <c:pt idx="56">
                  <c:v>1.000000003259629</c:v>
                </c:pt>
                <c:pt idx="57">
                  <c:v>1.000000003259629</c:v>
                </c:pt>
                <c:pt idx="58">
                  <c:v>100.00000000116415</c:v>
                </c:pt>
                <c:pt idx="59">
                  <c:v>-1.0477378964424133E-8</c:v>
                </c:pt>
                <c:pt idx="60">
                  <c:v>385.00000000814907</c:v>
                </c:pt>
                <c:pt idx="61">
                  <c:v>1.000000003259629</c:v>
                </c:pt>
                <c:pt idx="62">
                  <c:v>-1.0477378964424133E-8</c:v>
                </c:pt>
                <c:pt idx="63">
                  <c:v>269.99999998952262</c:v>
                </c:pt>
                <c:pt idx="64">
                  <c:v>275.00000000582077</c:v>
                </c:pt>
                <c:pt idx="65">
                  <c:v>-1.0477378964424133E-8</c:v>
                </c:pt>
                <c:pt idx="66">
                  <c:v>-1.0477378964424133E-8</c:v>
                </c:pt>
                <c:pt idx="67">
                  <c:v>1.000000003259629</c:v>
                </c:pt>
                <c:pt idx="68">
                  <c:v>-1.0477378964424133E-8</c:v>
                </c:pt>
                <c:pt idx="69">
                  <c:v>2.000000006519258</c:v>
                </c:pt>
                <c:pt idx="70">
                  <c:v>-1.0477378964424133E-8</c:v>
                </c:pt>
                <c:pt idx="71">
                  <c:v>-1.0477378964424133E-8</c:v>
                </c:pt>
                <c:pt idx="72">
                  <c:v>236.00000001490116</c:v>
                </c:pt>
                <c:pt idx="73">
                  <c:v>1.000000003259629</c:v>
                </c:pt>
                <c:pt idx="74">
                  <c:v>177.00000000069849</c:v>
                </c:pt>
                <c:pt idx="75">
                  <c:v>-1.0477378964424133E-8</c:v>
                </c:pt>
                <c:pt idx="76">
                  <c:v>262.0000000053551</c:v>
                </c:pt>
                <c:pt idx="77">
                  <c:v>1.000000003259629</c:v>
                </c:pt>
                <c:pt idx="78">
                  <c:v>-1.0477378964424133E-8</c:v>
                </c:pt>
                <c:pt idx="79">
                  <c:v>164.00000000023283</c:v>
                </c:pt>
                <c:pt idx="80">
                  <c:v>381.00000000558794</c:v>
                </c:pt>
                <c:pt idx="81">
                  <c:v>1.000000003259629</c:v>
                </c:pt>
                <c:pt idx="82">
                  <c:v>-1.0477378964424133E-8</c:v>
                </c:pt>
                <c:pt idx="83">
                  <c:v>281.00000001490116</c:v>
                </c:pt>
                <c:pt idx="84">
                  <c:v>-1.0477378964424133E-8</c:v>
                </c:pt>
                <c:pt idx="85">
                  <c:v>340.00000000814907</c:v>
                </c:pt>
                <c:pt idx="86">
                  <c:v>-1.0477378964424133E-8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9-496D-BD30-B0917933F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803615"/>
        <c:axId val="1043797855"/>
      </c:scatterChart>
      <c:valAx>
        <c:axId val="104380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797855"/>
        <c:crosses val="autoZero"/>
        <c:crossBetween val="midCat"/>
      </c:valAx>
      <c:valAx>
        <c:axId val="10437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80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Analysis!$S$1</c:f>
              <c:strCache>
                <c:ptCount val="1"/>
                <c:pt idx="0">
                  <c:v>Mean Net PnL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Analysis!$R$2:$R$9653</c:f>
              <c:numCache>
                <c:formatCode>General</c:formatCode>
                <c:ptCount val="9652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34</c:v>
                </c:pt>
                <c:pt idx="8">
                  <c:v>40</c:v>
                </c:pt>
                <c:pt idx="10">
                  <c:v>47</c:v>
                </c:pt>
              </c:numCache>
            </c:numRef>
          </c:xVal>
          <c:yVal>
            <c:numRef>
              <c:f>Analysis!$S$2:$S$9653</c:f>
              <c:numCache>
                <c:formatCode>General</c:formatCode>
                <c:ptCount val="9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B-4E8B-8873-6ECA19451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42816"/>
        <c:axId val="677145216"/>
      </c:scatterChart>
      <c:valAx>
        <c:axId val="6771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Position Holding</a:t>
                </a:r>
                <a:r>
                  <a:rPr lang="en-GB" baseline="0"/>
                  <a:t> Time</a:t>
                </a:r>
                <a:endParaRPr lang="en-GB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5216"/>
        <c:crosses val="autoZero"/>
        <c:crossBetween val="midCat"/>
      </c:valAx>
      <c:valAx>
        <c:axId val="677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PnL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281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Cumulative Gross PnL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strRef>
              <c:f>Analysis!$L$2:$L$903</c:f>
              <c:strCache>
                <c:ptCount val="901"/>
                <c:pt idx="0">
                  <c:v>signal</c:v>
                </c:pt>
                <c:pt idx="1">
                  <c:v>signal</c:v>
                </c:pt>
                <c:pt idx="2">
                  <c:v>signal</c:v>
                </c:pt>
                <c:pt idx="3">
                  <c:v>signal</c:v>
                </c:pt>
                <c:pt idx="4">
                  <c:v>signal</c:v>
                </c:pt>
                <c:pt idx="5">
                  <c:v>signal</c:v>
                </c:pt>
                <c:pt idx="6">
                  <c:v>signal</c:v>
                </c:pt>
                <c:pt idx="7">
                  <c:v>signal</c:v>
                </c:pt>
                <c:pt idx="8">
                  <c:v>signal</c:v>
                </c:pt>
                <c:pt idx="9">
                  <c:v>signal</c:v>
                </c:pt>
                <c:pt idx="10">
                  <c:v>signal</c:v>
                </c:pt>
                <c:pt idx="11">
                  <c:v>signal</c:v>
                </c:pt>
                <c:pt idx="12">
                  <c:v>signal</c:v>
                </c:pt>
                <c:pt idx="13">
                  <c:v>signal</c:v>
                </c:pt>
                <c:pt idx="14">
                  <c:v>signal</c:v>
                </c:pt>
                <c:pt idx="15">
                  <c:v>signal</c:v>
                </c:pt>
                <c:pt idx="16">
                  <c:v>signal</c:v>
                </c:pt>
                <c:pt idx="17">
                  <c:v>signal</c:v>
                </c:pt>
                <c:pt idx="18">
                  <c:v>signal</c:v>
                </c:pt>
                <c:pt idx="19">
                  <c:v>signal</c:v>
                </c:pt>
                <c:pt idx="20">
                  <c:v>signal</c:v>
                </c:pt>
                <c:pt idx="21">
                  <c:v>signal</c:v>
                </c:pt>
                <c:pt idx="22">
                  <c:v>signal</c:v>
                </c:pt>
                <c:pt idx="23">
                  <c:v>signal</c:v>
                </c:pt>
                <c:pt idx="24">
                  <c:v>signal</c:v>
                </c:pt>
                <c:pt idx="25">
                  <c:v>signal</c:v>
                </c:pt>
                <c:pt idx="26">
                  <c:v>signal</c:v>
                </c:pt>
                <c:pt idx="27">
                  <c:v>signal</c:v>
                </c:pt>
                <c:pt idx="28">
                  <c:v>signal</c:v>
                </c:pt>
                <c:pt idx="29">
                  <c:v>signal</c:v>
                </c:pt>
                <c:pt idx="30">
                  <c:v>signal</c:v>
                </c:pt>
                <c:pt idx="31">
                  <c:v>signal</c:v>
                </c:pt>
                <c:pt idx="32">
                  <c:v>signal</c:v>
                </c:pt>
                <c:pt idx="33">
                  <c:v>signal</c:v>
                </c:pt>
                <c:pt idx="34">
                  <c:v>signal</c:v>
                </c:pt>
                <c:pt idx="35">
                  <c:v>signal</c:v>
                </c:pt>
                <c:pt idx="36">
                  <c:v>signal</c:v>
                </c:pt>
                <c:pt idx="37">
                  <c:v>signal</c:v>
                </c:pt>
                <c:pt idx="38">
                  <c:v>signal</c:v>
                </c:pt>
                <c:pt idx="39">
                  <c:v>signal</c:v>
                </c:pt>
                <c:pt idx="40">
                  <c:v>signal</c:v>
                </c:pt>
                <c:pt idx="41">
                  <c:v>signal</c:v>
                </c:pt>
                <c:pt idx="42">
                  <c:v>signal</c:v>
                </c:pt>
                <c:pt idx="43">
                  <c:v>signal</c:v>
                </c:pt>
                <c:pt idx="44">
                  <c:v>signal</c:v>
                </c:pt>
                <c:pt idx="45">
                  <c:v>signal</c:v>
                </c:pt>
                <c:pt idx="46">
                  <c:v>signal</c:v>
                </c:pt>
                <c:pt idx="47">
                  <c:v>signal</c:v>
                </c:pt>
                <c:pt idx="48">
                  <c:v>signal</c:v>
                </c:pt>
                <c:pt idx="49">
                  <c:v>signal</c:v>
                </c:pt>
                <c:pt idx="50">
                  <c:v>signal</c:v>
                </c:pt>
                <c:pt idx="51">
                  <c:v>signal</c:v>
                </c:pt>
                <c:pt idx="52">
                  <c:v>signal</c:v>
                </c:pt>
                <c:pt idx="53">
                  <c:v>signal</c:v>
                </c:pt>
                <c:pt idx="54">
                  <c:v>signal</c:v>
                </c:pt>
                <c:pt idx="55">
                  <c:v>signal</c:v>
                </c:pt>
                <c:pt idx="56">
                  <c:v>signal</c:v>
                </c:pt>
                <c:pt idx="57">
                  <c:v>signal</c:v>
                </c:pt>
                <c:pt idx="58">
                  <c:v>signal</c:v>
                </c:pt>
                <c:pt idx="59">
                  <c:v>signal</c:v>
                </c:pt>
                <c:pt idx="60">
                  <c:v>signal</c:v>
                </c:pt>
                <c:pt idx="61">
                  <c:v>signal</c:v>
                </c:pt>
                <c:pt idx="62">
                  <c:v>signal</c:v>
                </c:pt>
                <c:pt idx="63">
                  <c:v>signal</c:v>
                </c:pt>
                <c:pt idx="64">
                  <c:v>signal</c:v>
                </c:pt>
                <c:pt idx="65">
                  <c:v>signal</c:v>
                </c:pt>
                <c:pt idx="66">
                  <c:v>signal</c:v>
                </c:pt>
                <c:pt idx="67">
                  <c:v>signal</c:v>
                </c:pt>
                <c:pt idx="68">
                  <c:v>signal</c:v>
                </c:pt>
                <c:pt idx="69">
                  <c:v>signal</c:v>
                </c:pt>
                <c:pt idx="70">
                  <c:v>signal</c:v>
                </c:pt>
                <c:pt idx="71">
                  <c:v>signal</c:v>
                </c:pt>
                <c:pt idx="72">
                  <c:v>signal</c:v>
                </c:pt>
                <c:pt idx="73">
                  <c:v>signal</c:v>
                </c:pt>
                <c:pt idx="74">
                  <c:v>signal</c:v>
                </c:pt>
                <c:pt idx="75">
                  <c:v>forced</c:v>
                </c:pt>
                <c:pt idx="76">
                  <c:v>signal</c:v>
                </c:pt>
                <c:pt idx="77">
                  <c:v>signal</c:v>
                </c:pt>
                <c:pt idx="78">
                  <c:v>signal</c:v>
                </c:pt>
                <c:pt idx="79">
                  <c:v>0</c:v>
                </c:pt>
                <c:pt idx="80">
                  <c:v>0</c:v>
                </c:pt>
                <c:pt idx="81">
                  <c:v>signal</c:v>
                </c:pt>
                <c:pt idx="82">
                  <c:v>signal</c:v>
                </c:pt>
                <c:pt idx="83">
                  <c:v>0</c:v>
                </c:pt>
                <c:pt idx="84">
                  <c:v>signal</c:v>
                </c:pt>
                <c:pt idx="85">
                  <c:v>signal</c:v>
                </c:pt>
                <c:pt idx="86">
                  <c:v>0</c:v>
                </c:pt>
                <c:pt idx="87">
                  <c:v>signal</c:v>
                </c:pt>
                <c:pt idx="88">
                  <c:v>signal</c:v>
                </c:pt>
                <c:pt idx="89">
                  <c:v>signal</c:v>
                </c:pt>
                <c:pt idx="90">
                  <c:v>signal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strCache>
            </c:strRef>
          </c:xVal>
          <c:yVal>
            <c:numRef>
              <c:f>Analysis!$M$2:$M$903</c:f>
              <c:numCache>
                <c:formatCode>0.00000;[Red]\(0.00000\);\-</c:formatCode>
                <c:ptCount val="902"/>
                <c:pt idx="0">
                  <c:v>138.93</c:v>
                </c:pt>
                <c:pt idx="1">
                  <c:v>274.64999999999998</c:v>
                </c:pt>
                <c:pt idx="2">
                  <c:v>410.03999999999996</c:v>
                </c:pt>
                <c:pt idx="3">
                  <c:v>546.07999999999993</c:v>
                </c:pt>
                <c:pt idx="4">
                  <c:v>680.53</c:v>
                </c:pt>
                <c:pt idx="5">
                  <c:v>816.59500000000003</c:v>
                </c:pt>
                <c:pt idx="6">
                  <c:v>956.20500000000004</c:v>
                </c:pt>
                <c:pt idx="7">
                  <c:v>1093.6500000000001</c:v>
                </c:pt>
                <c:pt idx="8">
                  <c:v>1230.3200000000002</c:v>
                </c:pt>
                <c:pt idx="9">
                  <c:v>1235.98</c:v>
                </c:pt>
                <c:pt idx="10">
                  <c:v>1376.39</c:v>
                </c:pt>
                <c:pt idx="11">
                  <c:v>1554.8000000000002</c:v>
                </c:pt>
                <c:pt idx="12">
                  <c:v>1732.5100000000002</c:v>
                </c:pt>
                <c:pt idx="13">
                  <c:v>1905.13</c:v>
                </c:pt>
                <c:pt idx="14">
                  <c:v>2078.71</c:v>
                </c:pt>
                <c:pt idx="15">
                  <c:v>2252.7649999999999</c:v>
                </c:pt>
                <c:pt idx="16">
                  <c:v>2430.1949999999997</c:v>
                </c:pt>
                <c:pt idx="17">
                  <c:v>2611.8449999999998</c:v>
                </c:pt>
                <c:pt idx="18">
                  <c:v>2788.3649999999998</c:v>
                </c:pt>
                <c:pt idx="19">
                  <c:v>2964.395</c:v>
                </c:pt>
                <c:pt idx="20">
                  <c:v>3144.5299999999997</c:v>
                </c:pt>
                <c:pt idx="21">
                  <c:v>3317.54</c:v>
                </c:pt>
                <c:pt idx="22">
                  <c:v>3362.42</c:v>
                </c:pt>
                <c:pt idx="23">
                  <c:v>3539.89</c:v>
                </c:pt>
                <c:pt idx="24">
                  <c:v>3718.46</c:v>
                </c:pt>
                <c:pt idx="25">
                  <c:v>3890.7</c:v>
                </c:pt>
                <c:pt idx="26">
                  <c:v>3935.39</c:v>
                </c:pt>
                <c:pt idx="27">
                  <c:v>3982.15</c:v>
                </c:pt>
                <c:pt idx="28">
                  <c:v>4032.25</c:v>
                </c:pt>
                <c:pt idx="29">
                  <c:v>4197.3100000000004</c:v>
                </c:pt>
                <c:pt idx="30">
                  <c:v>4242.7650000000003</c:v>
                </c:pt>
                <c:pt idx="31">
                  <c:v>4428.3150000000005</c:v>
                </c:pt>
                <c:pt idx="32">
                  <c:v>4473.3950000000004</c:v>
                </c:pt>
                <c:pt idx="33">
                  <c:v>4518.13</c:v>
                </c:pt>
                <c:pt idx="34">
                  <c:v>4563.7300000000005</c:v>
                </c:pt>
                <c:pt idx="35">
                  <c:v>4724.1450000000004</c:v>
                </c:pt>
                <c:pt idx="36">
                  <c:v>4884.7650000000003</c:v>
                </c:pt>
                <c:pt idx="37">
                  <c:v>4928.9500000000007</c:v>
                </c:pt>
                <c:pt idx="38">
                  <c:v>4972.7800000000007</c:v>
                </c:pt>
                <c:pt idx="39">
                  <c:v>5160.2800000000007</c:v>
                </c:pt>
                <c:pt idx="40">
                  <c:v>5318.880000000001</c:v>
                </c:pt>
                <c:pt idx="41">
                  <c:v>5504.0100000000011</c:v>
                </c:pt>
                <c:pt idx="42">
                  <c:v>5549.9400000000014</c:v>
                </c:pt>
                <c:pt idx="43">
                  <c:v>5733.7700000000013</c:v>
                </c:pt>
                <c:pt idx="44">
                  <c:v>5779.5600000000013</c:v>
                </c:pt>
                <c:pt idx="45">
                  <c:v>5825.8300000000017</c:v>
                </c:pt>
                <c:pt idx="46">
                  <c:v>5986.1000000000022</c:v>
                </c:pt>
                <c:pt idx="47">
                  <c:v>6159.9100000000026</c:v>
                </c:pt>
                <c:pt idx="48">
                  <c:v>6317.6000000000022</c:v>
                </c:pt>
                <c:pt idx="49">
                  <c:v>6494.0300000000025</c:v>
                </c:pt>
                <c:pt idx="50">
                  <c:v>6650.7800000000025</c:v>
                </c:pt>
                <c:pt idx="51">
                  <c:v>6696.3900000000021</c:v>
                </c:pt>
                <c:pt idx="52">
                  <c:v>6743.6150000000025</c:v>
                </c:pt>
                <c:pt idx="53">
                  <c:v>6899.6750000000029</c:v>
                </c:pt>
                <c:pt idx="54">
                  <c:v>7076.0850000000028</c:v>
                </c:pt>
                <c:pt idx="55">
                  <c:v>7232.3600000000024</c:v>
                </c:pt>
                <c:pt idx="56">
                  <c:v>7283.7400000000025</c:v>
                </c:pt>
                <c:pt idx="57">
                  <c:v>7444.6050000000023</c:v>
                </c:pt>
                <c:pt idx="58">
                  <c:v>7490.8750000000027</c:v>
                </c:pt>
                <c:pt idx="59">
                  <c:v>7541.9150000000027</c:v>
                </c:pt>
                <c:pt idx="60">
                  <c:v>7703.9650000000029</c:v>
                </c:pt>
                <c:pt idx="61">
                  <c:v>7865.3300000000027</c:v>
                </c:pt>
                <c:pt idx="62">
                  <c:v>7924.220000000003</c:v>
                </c:pt>
                <c:pt idx="63">
                  <c:v>7972.7900000000027</c:v>
                </c:pt>
                <c:pt idx="64">
                  <c:v>8031.805000000003</c:v>
                </c:pt>
                <c:pt idx="65">
                  <c:v>8197.0400000000027</c:v>
                </c:pt>
                <c:pt idx="66">
                  <c:v>8246.2750000000033</c:v>
                </c:pt>
                <c:pt idx="67">
                  <c:v>8411.3550000000032</c:v>
                </c:pt>
                <c:pt idx="68">
                  <c:v>8471.6500000000033</c:v>
                </c:pt>
                <c:pt idx="69">
                  <c:v>8530.0900000000038</c:v>
                </c:pt>
                <c:pt idx="70">
                  <c:v>8588.600000000004</c:v>
                </c:pt>
                <c:pt idx="71">
                  <c:v>8637.350000000004</c:v>
                </c:pt>
                <c:pt idx="72">
                  <c:v>8809.4700000000048</c:v>
                </c:pt>
                <c:pt idx="73">
                  <c:v>8985.2000000000044</c:v>
                </c:pt>
                <c:pt idx="74">
                  <c:v>9035.3900000000049</c:v>
                </c:pt>
                <c:pt idx="75">
                  <c:v>9092.725000000004</c:v>
                </c:pt>
                <c:pt idx="76">
                  <c:v>9271.0450000000037</c:v>
                </c:pt>
                <c:pt idx="77">
                  <c:v>9321.5900000000038</c:v>
                </c:pt>
                <c:pt idx="78">
                  <c:v>9501.0100000000039</c:v>
                </c:pt>
                <c:pt idx="79">
                  <c:v>9501.0100000000039</c:v>
                </c:pt>
                <c:pt idx="80">
                  <c:v>9501.0100000000039</c:v>
                </c:pt>
                <c:pt idx="81">
                  <c:v>9550.9250000000047</c:v>
                </c:pt>
                <c:pt idx="82">
                  <c:v>9719.5400000000045</c:v>
                </c:pt>
                <c:pt idx="83">
                  <c:v>9719.5400000000045</c:v>
                </c:pt>
                <c:pt idx="84">
                  <c:v>9886.7400000000052</c:v>
                </c:pt>
                <c:pt idx="85">
                  <c:v>9945.7200000000048</c:v>
                </c:pt>
                <c:pt idx="86">
                  <c:v>9945.7200000000048</c:v>
                </c:pt>
                <c:pt idx="87">
                  <c:v>9995.2200000000048</c:v>
                </c:pt>
                <c:pt idx="88">
                  <c:v>10043.665000000005</c:v>
                </c:pt>
                <c:pt idx="89">
                  <c:v>10099.890000000005</c:v>
                </c:pt>
                <c:pt idx="90">
                  <c:v>10148.820000000005</c:v>
                </c:pt>
                <c:pt idx="91">
                  <c:v>10148.820000000005</c:v>
                </c:pt>
                <c:pt idx="92">
                  <c:v>10148.820000000005</c:v>
                </c:pt>
                <c:pt idx="93">
                  <c:v>10148.820000000005</c:v>
                </c:pt>
                <c:pt idx="94">
                  <c:v>10148.820000000005</c:v>
                </c:pt>
                <c:pt idx="95">
                  <c:v>10148.820000000005</c:v>
                </c:pt>
                <c:pt idx="96">
                  <c:v>10148.820000000005</c:v>
                </c:pt>
                <c:pt idx="97">
                  <c:v>10148.820000000005</c:v>
                </c:pt>
                <c:pt idx="98">
                  <c:v>10148.820000000005</c:v>
                </c:pt>
                <c:pt idx="99">
                  <c:v>10148.820000000005</c:v>
                </c:pt>
                <c:pt idx="100">
                  <c:v>10148.820000000005</c:v>
                </c:pt>
                <c:pt idx="101">
                  <c:v>10148.820000000005</c:v>
                </c:pt>
                <c:pt idx="102">
                  <c:v>10148.820000000005</c:v>
                </c:pt>
                <c:pt idx="103">
                  <c:v>10148.820000000005</c:v>
                </c:pt>
                <c:pt idx="104">
                  <c:v>10148.820000000005</c:v>
                </c:pt>
                <c:pt idx="105">
                  <c:v>10148.820000000005</c:v>
                </c:pt>
                <c:pt idx="106">
                  <c:v>10148.820000000005</c:v>
                </c:pt>
                <c:pt idx="107">
                  <c:v>10148.820000000005</c:v>
                </c:pt>
                <c:pt idx="108">
                  <c:v>10148.820000000005</c:v>
                </c:pt>
                <c:pt idx="109">
                  <c:v>10148.820000000005</c:v>
                </c:pt>
                <c:pt idx="110">
                  <c:v>10148.820000000005</c:v>
                </c:pt>
                <c:pt idx="111">
                  <c:v>10148.820000000005</c:v>
                </c:pt>
                <c:pt idx="112">
                  <c:v>10148.820000000005</c:v>
                </c:pt>
                <c:pt idx="113">
                  <c:v>10148.820000000005</c:v>
                </c:pt>
                <c:pt idx="114">
                  <c:v>10148.820000000005</c:v>
                </c:pt>
                <c:pt idx="115">
                  <c:v>10148.820000000005</c:v>
                </c:pt>
                <c:pt idx="116">
                  <c:v>10148.820000000005</c:v>
                </c:pt>
                <c:pt idx="117">
                  <c:v>10148.820000000005</c:v>
                </c:pt>
                <c:pt idx="118">
                  <c:v>10148.820000000005</c:v>
                </c:pt>
                <c:pt idx="119">
                  <c:v>10148.820000000005</c:v>
                </c:pt>
                <c:pt idx="120">
                  <c:v>10148.820000000005</c:v>
                </c:pt>
                <c:pt idx="121">
                  <c:v>10148.820000000005</c:v>
                </c:pt>
                <c:pt idx="122">
                  <c:v>10148.820000000005</c:v>
                </c:pt>
                <c:pt idx="123">
                  <c:v>10148.820000000005</c:v>
                </c:pt>
                <c:pt idx="124">
                  <c:v>10148.820000000005</c:v>
                </c:pt>
                <c:pt idx="125">
                  <c:v>10148.820000000005</c:v>
                </c:pt>
                <c:pt idx="126">
                  <c:v>10148.820000000005</c:v>
                </c:pt>
                <c:pt idx="127">
                  <c:v>10148.820000000005</c:v>
                </c:pt>
                <c:pt idx="128">
                  <c:v>10148.820000000005</c:v>
                </c:pt>
                <c:pt idx="129">
                  <c:v>10148.820000000005</c:v>
                </c:pt>
                <c:pt idx="130">
                  <c:v>10148.820000000005</c:v>
                </c:pt>
                <c:pt idx="131">
                  <c:v>10148.820000000005</c:v>
                </c:pt>
                <c:pt idx="132">
                  <c:v>10148.820000000005</c:v>
                </c:pt>
                <c:pt idx="133">
                  <c:v>10148.820000000005</c:v>
                </c:pt>
                <c:pt idx="134">
                  <c:v>10148.820000000005</c:v>
                </c:pt>
                <c:pt idx="135">
                  <c:v>10148.820000000005</c:v>
                </c:pt>
                <c:pt idx="136">
                  <c:v>10148.820000000005</c:v>
                </c:pt>
                <c:pt idx="137">
                  <c:v>10148.820000000005</c:v>
                </c:pt>
                <c:pt idx="138">
                  <c:v>10148.820000000005</c:v>
                </c:pt>
                <c:pt idx="139">
                  <c:v>10148.820000000005</c:v>
                </c:pt>
                <c:pt idx="140">
                  <c:v>10148.820000000005</c:v>
                </c:pt>
                <c:pt idx="141">
                  <c:v>10148.820000000005</c:v>
                </c:pt>
                <c:pt idx="142">
                  <c:v>10148.820000000005</c:v>
                </c:pt>
                <c:pt idx="143">
                  <c:v>10148.820000000005</c:v>
                </c:pt>
                <c:pt idx="144">
                  <c:v>10148.820000000005</c:v>
                </c:pt>
                <c:pt idx="145">
                  <c:v>10148.820000000005</c:v>
                </c:pt>
                <c:pt idx="146">
                  <c:v>10148.820000000005</c:v>
                </c:pt>
                <c:pt idx="147">
                  <c:v>10148.820000000005</c:v>
                </c:pt>
                <c:pt idx="148">
                  <c:v>10148.820000000005</c:v>
                </c:pt>
                <c:pt idx="149">
                  <c:v>10148.820000000005</c:v>
                </c:pt>
                <c:pt idx="150">
                  <c:v>10148.820000000005</c:v>
                </c:pt>
                <c:pt idx="151">
                  <c:v>10148.820000000005</c:v>
                </c:pt>
                <c:pt idx="152">
                  <c:v>10148.820000000005</c:v>
                </c:pt>
                <c:pt idx="153">
                  <c:v>10148.820000000005</c:v>
                </c:pt>
                <c:pt idx="154">
                  <c:v>10148.820000000005</c:v>
                </c:pt>
                <c:pt idx="155">
                  <c:v>10148.820000000005</c:v>
                </c:pt>
                <c:pt idx="156">
                  <c:v>10148.820000000005</c:v>
                </c:pt>
                <c:pt idx="157">
                  <c:v>10148.820000000005</c:v>
                </c:pt>
                <c:pt idx="158">
                  <c:v>10148.820000000005</c:v>
                </c:pt>
                <c:pt idx="159">
                  <c:v>10148.820000000005</c:v>
                </c:pt>
                <c:pt idx="160">
                  <c:v>10148.820000000005</c:v>
                </c:pt>
                <c:pt idx="161">
                  <c:v>10148.820000000005</c:v>
                </c:pt>
                <c:pt idx="162">
                  <c:v>10148.820000000005</c:v>
                </c:pt>
                <c:pt idx="163">
                  <c:v>10148.820000000005</c:v>
                </c:pt>
                <c:pt idx="164">
                  <c:v>10148.820000000005</c:v>
                </c:pt>
                <c:pt idx="165">
                  <c:v>10148.820000000005</c:v>
                </c:pt>
                <c:pt idx="166">
                  <c:v>10148.820000000005</c:v>
                </c:pt>
                <c:pt idx="167">
                  <c:v>10148.820000000005</c:v>
                </c:pt>
                <c:pt idx="168">
                  <c:v>10148.820000000005</c:v>
                </c:pt>
                <c:pt idx="169">
                  <c:v>10148.820000000005</c:v>
                </c:pt>
                <c:pt idx="170">
                  <c:v>10148.820000000005</c:v>
                </c:pt>
                <c:pt idx="171">
                  <c:v>10148.820000000005</c:v>
                </c:pt>
                <c:pt idx="172">
                  <c:v>10148.820000000005</c:v>
                </c:pt>
                <c:pt idx="173">
                  <c:v>10148.820000000005</c:v>
                </c:pt>
                <c:pt idx="174">
                  <c:v>10148.820000000005</c:v>
                </c:pt>
                <c:pt idx="175">
                  <c:v>10148.820000000005</c:v>
                </c:pt>
                <c:pt idx="176">
                  <c:v>10148.820000000005</c:v>
                </c:pt>
                <c:pt idx="177">
                  <c:v>10148.820000000005</c:v>
                </c:pt>
                <c:pt idx="178">
                  <c:v>10148.820000000005</c:v>
                </c:pt>
                <c:pt idx="179">
                  <c:v>10148.820000000005</c:v>
                </c:pt>
                <c:pt idx="180">
                  <c:v>10148.820000000005</c:v>
                </c:pt>
                <c:pt idx="181">
                  <c:v>10148.820000000005</c:v>
                </c:pt>
                <c:pt idx="182">
                  <c:v>10148.820000000005</c:v>
                </c:pt>
                <c:pt idx="183">
                  <c:v>10148.820000000005</c:v>
                </c:pt>
                <c:pt idx="184">
                  <c:v>10148.820000000005</c:v>
                </c:pt>
                <c:pt idx="185">
                  <c:v>10148.820000000005</c:v>
                </c:pt>
                <c:pt idx="186">
                  <c:v>10148.820000000005</c:v>
                </c:pt>
                <c:pt idx="187">
                  <c:v>10148.820000000005</c:v>
                </c:pt>
                <c:pt idx="188">
                  <c:v>10148.820000000005</c:v>
                </c:pt>
                <c:pt idx="189">
                  <c:v>10148.820000000005</c:v>
                </c:pt>
                <c:pt idx="190">
                  <c:v>10148.820000000005</c:v>
                </c:pt>
                <c:pt idx="191">
                  <c:v>10148.820000000005</c:v>
                </c:pt>
                <c:pt idx="192">
                  <c:v>10148.820000000005</c:v>
                </c:pt>
                <c:pt idx="193">
                  <c:v>10148.820000000005</c:v>
                </c:pt>
                <c:pt idx="194">
                  <c:v>10148.820000000005</c:v>
                </c:pt>
                <c:pt idx="195">
                  <c:v>10148.820000000005</c:v>
                </c:pt>
                <c:pt idx="196">
                  <c:v>10148.820000000005</c:v>
                </c:pt>
                <c:pt idx="197">
                  <c:v>10148.820000000005</c:v>
                </c:pt>
                <c:pt idx="198">
                  <c:v>10148.820000000005</c:v>
                </c:pt>
                <c:pt idx="199">
                  <c:v>10148.820000000005</c:v>
                </c:pt>
                <c:pt idx="200">
                  <c:v>10148.820000000005</c:v>
                </c:pt>
                <c:pt idx="201">
                  <c:v>10148.820000000005</c:v>
                </c:pt>
                <c:pt idx="202">
                  <c:v>10148.820000000005</c:v>
                </c:pt>
                <c:pt idx="203">
                  <c:v>10148.820000000005</c:v>
                </c:pt>
                <c:pt idx="204">
                  <c:v>10148.820000000005</c:v>
                </c:pt>
                <c:pt idx="205">
                  <c:v>10148.820000000005</c:v>
                </c:pt>
                <c:pt idx="206">
                  <c:v>10148.820000000005</c:v>
                </c:pt>
                <c:pt idx="207">
                  <c:v>10148.820000000005</c:v>
                </c:pt>
                <c:pt idx="208">
                  <c:v>10148.820000000005</c:v>
                </c:pt>
                <c:pt idx="209">
                  <c:v>10148.820000000005</c:v>
                </c:pt>
                <c:pt idx="210">
                  <c:v>10148.820000000005</c:v>
                </c:pt>
                <c:pt idx="211">
                  <c:v>10148.820000000005</c:v>
                </c:pt>
                <c:pt idx="212">
                  <c:v>10148.820000000005</c:v>
                </c:pt>
                <c:pt idx="213">
                  <c:v>10148.820000000005</c:v>
                </c:pt>
                <c:pt idx="214">
                  <c:v>10148.820000000005</c:v>
                </c:pt>
                <c:pt idx="215">
                  <c:v>10148.820000000005</c:v>
                </c:pt>
                <c:pt idx="216">
                  <c:v>10148.820000000005</c:v>
                </c:pt>
                <c:pt idx="217">
                  <c:v>10148.820000000005</c:v>
                </c:pt>
                <c:pt idx="218">
                  <c:v>10148.820000000005</c:v>
                </c:pt>
                <c:pt idx="219">
                  <c:v>10148.820000000005</c:v>
                </c:pt>
                <c:pt idx="220">
                  <c:v>10148.820000000005</c:v>
                </c:pt>
                <c:pt idx="221">
                  <c:v>10148.820000000005</c:v>
                </c:pt>
                <c:pt idx="222">
                  <c:v>10148.820000000005</c:v>
                </c:pt>
                <c:pt idx="223">
                  <c:v>10148.820000000005</c:v>
                </c:pt>
                <c:pt idx="224">
                  <c:v>10148.820000000005</c:v>
                </c:pt>
                <c:pt idx="225">
                  <c:v>10148.820000000005</c:v>
                </c:pt>
                <c:pt idx="226">
                  <c:v>10148.820000000005</c:v>
                </c:pt>
                <c:pt idx="227">
                  <c:v>10148.820000000005</c:v>
                </c:pt>
                <c:pt idx="228">
                  <c:v>10148.820000000005</c:v>
                </c:pt>
                <c:pt idx="229">
                  <c:v>10148.820000000005</c:v>
                </c:pt>
                <c:pt idx="230">
                  <c:v>10148.820000000005</c:v>
                </c:pt>
                <c:pt idx="231">
                  <c:v>10148.820000000005</c:v>
                </c:pt>
                <c:pt idx="232">
                  <c:v>10148.820000000005</c:v>
                </c:pt>
                <c:pt idx="233">
                  <c:v>10148.820000000005</c:v>
                </c:pt>
                <c:pt idx="234">
                  <c:v>10148.820000000005</c:v>
                </c:pt>
                <c:pt idx="235">
                  <c:v>10148.820000000005</c:v>
                </c:pt>
                <c:pt idx="236">
                  <c:v>10148.820000000005</c:v>
                </c:pt>
                <c:pt idx="237">
                  <c:v>10148.820000000005</c:v>
                </c:pt>
                <c:pt idx="238">
                  <c:v>10148.820000000005</c:v>
                </c:pt>
                <c:pt idx="239">
                  <c:v>10148.820000000005</c:v>
                </c:pt>
                <c:pt idx="240">
                  <c:v>10148.820000000005</c:v>
                </c:pt>
                <c:pt idx="241">
                  <c:v>10148.820000000005</c:v>
                </c:pt>
                <c:pt idx="242">
                  <c:v>10148.820000000005</c:v>
                </c:pt>
                <c:pt idx="243">
                  <c:v>10148.820000000005</c:v>
                </c:pt>
                <c:pt idx="244">
                  <c:v>10148.820000000005</c:v>
                </c:pt>
                <c:pt idx="245">
                  <c:v>10148.820000000005</c:v>
                </c:pt>
                <c:pt idx="246">
                  <c:v>10148.820000000005</c:v>
                </c:pt>
                <c:pt idx="247">
                  <c:v>10148.820000000005</c:v>
                </c:pt>
                <c:pt idx="248">
                  <c:v>10148.820000000005</c:v>
                </c:pt>
                <c:pt idx="249">
                  <c:v>10148.820000000005</c:v>
                </c:pt>
                <c:pt idx="250">
                  <c:v>10148.820000000005</c:v>
                </c:pt>
                <c:pt idx="251">
                  <c:v>10148.820000000005</c:v>
                </c:pt>
                <c:pt idx="252">
                  <c:v>10148.820000000005</c:v>
                </c:pt>
                <c:pt idx="253">
                  <c:v>10148.820000000005</c:v>
                </c:pt>
                <c:pt idx="254">
                  <c:v>10148.820000000005</c:v>
                </c:pt>
                <c:pt idx="255">
                  <c:v>10148.820000000005</c:v>
                </c:pt>
                <c:pt idx="256">
                  <c:v>10148.820000000005</c:v>
                </c:pt>
                <c:pt idx="257">
                  <c:v>10148.820000000005</c:v>
                </c:pt>
                <c:pt idx="258">
                  <c:v>10148.820000000005</c:v>
                </c:pt>
                <c:pt idx="259">
                  <c:v>10148.820000000005</c:v>
                </c:pt>
                <c:pt idx="260">
                  <c:v>10148.820000000005</c:v>
                </c:pt>
                <c:pt idx="261">
                  <c:v>10148.820000000005</c:v>
                </c:pt>
                <c:pt idx="262">
                  <c:v>10148.820000000005</c:v>
                </c:pt>
                <c:pt idx="263">
                  <c:v>10148.820000000005</c:v>
                </c:pt>
                <c:pt idx="264">
                  <c:v>10148.820000000005</c:v>
                </c:pt>
                <c:pt idx="265">
                  <c:v>10148.820000000005</c:v>
                </c:pt>
                <c:pt idx="266">
                  <c:v>10148.820000000005</c:v>
                </c:pt>
                <c:pt idx="267">
                  <c:v>10148.820000000005</c:v>
                </c:pt>
                <c:pt idx="268">
                  <c:v>10148.820000000005</c:v>
                </c:pt>
                <c:pt idx="269">
                  <c:v>10148.820000000005</c:v>
                </c:pt>
                <c:pt idx="270">
                  <c:v>10148.820000000005</c:v>
                </c:pt>
                <c:pt idx="271">
                  <c:v>10148.820000000005</c:v>
                </c:pt>
                <c:pt idx="272">
                  <c:v>10148.820000000005</c:v>
                </c:pt>
                <c:pt idx="273">
                  <c:v>10148.820000000005</c:v>
                </c:pt>
                <c:pt idx="274">
                  <c:v>10148.820000000005</c:v>
                </c:pt>
                <c:pt idx="275">
                  <c:v>10148.820000000005</c:v>
                </c:pt>
                <c:pt idx="276">
                  <c:v>10148.820000000005</c:v>
                </c:pt>
                <c:pt idx="277">
                  <c:v>10148.820000000005</c:v>
                </c:pt>
                <c:pt idx="278">
                  <c:v>10148.820000000005</c:v>
                </c:pt>
                <c:pt idx="279">
                  <c:v>10148.820000000005</c:v>
                </c:pt>
                <c:pt idx="280">
                  <c:v>10148.820000000005</c:v>
                </c:pt>
                <c:pt idx="281">
                  <c:v>10148.820000000005</c:v>
                </c:pt>
                <c:pt idx="282">
                  <c:v>10148.820000000005</c:v>
                </c:pt>
                <c:pt idx="283">
                  <c:v>10148.820000000005</c:v>
                </c:pt>
                <c:pt idx="284">
                  <c:v>10148.820000000005</c:v>
                </c:pt>
                <c:pt idx="285">
                  <c:v>10148.820000000005</c:v>
                </c:pt>
                <c:pt idx="286">
                  <c:v>10148.820000000005</c:v>
                </c:pt>
                <c:pt idx="287">
                  <c:v>10148.820000000005</c:v>
                </c:pt>
                <c:pt idx="288">
                  <c:v>10148.820000000005</c:v>
                </c:pt>
                <c:pt idx="289">
                  <c:v>10148.820000000005</c:v>
                </c:pt>
                <c:pt idx="290">
                  <c:v>10148.820000000005</c:v>
                </c:pt>
                <c:pt idx="291">
                  <c:v>10148.820000000005</c:v>
                </c:pt>
                <c:pt idx="292">
                  <c:v>10148.820000000005</c:v>
                </c:pt>
                <c:pt idx="293">
                  <c:v>10148.820000000005</c:v>
                </c:pt>
                <c:pt idx="294">
                  <c:v>10148.820000000005</c:v>
                </c:pt>
                <c:pt idx="295">
                  <c:v>10148.820000000005</c:v>
                </c:pt>
                <c:pt idx="296">
                  <c:v>10148.820000000005</c:v>
                </c:pt>
                <c:pt idx="297">
                  <c:v>10148.820000000005</c:v>
                </c:pt>
                <c:pt idx="298">
                  <c:v>10148.820000000005</c:v>
                </c:pt>
                <c:pt idx="299">
                  <c:v>10148.820000000005</c:v>
                </c:pt>
                <c:pt idx="300">
                  <c:v>10148.820000000005</c:v>
                </c:pt>
                <c:pt idx="301">
                  <c:v>10148.820000000005</c:v>
                </c:pt>
                <c:pt idx="302">
                  <c:v>10148.820000000005</c:v>
                </c:pt>
                <c:pt idx="303">
                  <c:v>10148.820000000005</c:v>
                </c:pt>
                <c:pt idx="304">
                  <c:v>10148.820000000005</c:v>
                </c:pt>
                <c:pt idx="305">
                  <c:v>10148.820000000005</c:v>
                </c:pt>
                <c:pt idx="306">
                  <c:v>10148.820000000005</c:v>
                </c:pt>
                <c:pt idx="307">
                  <c:v>10148.820000000005</c:v>
                </c:pt>
                <c:pt idx="308">
                  <c:v>10148.820000000005</c:v>
                </c:pt>
                <c:pt idx="309">
                  <c:v>10148.820000000005</c:v>
                </c:pt>
                <c:pt idx="310">
                  <c:v>10148.820000000005</c:v>
                </c:pt>
                <c:pt idx="311">
                  <c:v>10148.820000000005</c:v>
                </c:pt>
                <c:pt idx="312">
                  <c:v>10148.820000000005</c:v>
                </c:pt>
                <c:pt idx="313">
                  <c:v>10148.820000000005</c:v>
                </c:pt>
                <c:pt idx="314">
                  <c:v>10148.820000000005</c:v>
                </c:pt>
                <c:pt idx="315">
                  <c:v>10148.820000000005</c:v>
                </c:pt>
                <c:pt idx="316">
                  <c:v>10148.820000000005</c:v>
                </c:pt>
                <c:pt idx="317">
                  <c:v>10148.820000000005</c:v>
                </c:pt>
                <c:pt idx="318">
                  <c:v>10148.820000000005</c:v>
                </c:pt>
                <c:pt idx="319">
                  <c:v>10148.820000000005</c:v>
                </c:pt>
                <c:pt idx="320">
                  <c:v>10148.820000000005</c:v>
                </c:pt>
                <c:pt idx="321">
                  <c:v>10148.820000000005</c:v>
                </c:pt>
                <c:pt idx="322">
                  <c:v>10148.820000000005</c:v>
                </c:pt>
                <c:pt idx="323">
                  <c:v>10148.820000000005</c:v>
                </c:pt>
                <c:pt idx="324">
                  <c:v>10148.820000000005</c:v>
                </c:pt>
                <c:pt idx="325">
                  <c:v>10148.820000000005</c:v>
                </c:pt>
                <c:pt idx="326">
                  <c:v>10148.820000000005</c:v>
                </c:pt>
                <c:pt idx="327">
                  <c:v>10148.820000000005</c:v>
                </c:pt>
                <c:pt idx="328">
                  <c:v>10148.820000000005</c:v>
                </c:pt>
                <c:pt idx="329">
                  <c:v>10148.820000000005</c:v>
                </c:pt>
                <c:pt idx="330">
                  <c:v>10148.820000000005</c:v>
                </c:pt>
                <c:pt idx="331">
                  <c:v>10148.820000000005</c:v>
                </c:pt>
                <c:pt idx="332">
                  <c:v>10148.820000000005</c:v>
                </c:pt>
                <c:pt idx="333">
                  <c:v>10148.820000000005</c:v>
                </c:pt>
                <c:pt idx="334">
                  <c:v>10148.820000000005</c:v>
                </c:pt>
                <c:pt idx="335">
                  <c:v>10148.820000000005</c:v>
                </c:pt>
                <c:pt idx="336">
                  <c:v>10148.820000000005</c:v>
                </c:pt>
                <c:pt idx="337">
                  <c:v>10148.820000000005</c:v>
                </c:pt>
                <c:pt idx="338">
                  <c:v>10148.820000000005</c:v>
                </c:pt>
                <c:pt idx="339">
                  <c:v>10148.820000000005</c:v>
                </c:pt>
                <c:pt idx="340">
                  <c:v>10148.820000000005</c:v>
                </c:pt>
                <c:pt idx="341">
                  <c:v>10148.820000000005</c:v>
                </c:pt>
                <c:pt idx="342">
                  <c:v>10148.820000000005</c:v>
                </c:pt>
                <c:pt idx="343">
                  <c:v>10148.820000000005</c:v>
                </c:pt>
                <c:pt idx="344">
                  <c:v>10148.820000000005</c:v>
                </c:pt>
                <c:pt idx="345">
                  <c:v>10148.820000000005</c:v>
                </c:pt>
                <c:pt idx="346">
                  <c:v>10148.820000000005</c:v>
                </c:pt>
                <c:pt idx="347">
                  <c:v>10148.820000000005</c:v>
                </c:pt>
                <c:pt idx="348">
                  <c:v>10148.820000000005</c:v>
                </c:pt>
                <c:pt idx="349">
                  <c:v>10148.820000000005</c:v>
                </c:pt>
                <c:pt idx="350">
                  <c:v>10148.820000000005</c:v>
                </c:pt>
                <c:pt idx="351">
                  <c:v>10148.820000000005</c:v>
                </c:pt>
                <c:pt idx="352">
                  <c:v>10148.820000000005</c:v>
                </c:pt>
                <c:pt idx="353">
                  <c:v>10148.820000000005</c:v>
                </c:pt>
                <c:pt idx="354">
                  <c:v>10148.820000000005</c:v>
                </c:pt>
                <c:pt idx="355">
                  <c:v>10148.820000000005</c:v>
                </c:pt>
                <c:pt idx="356">
                  <c:v>10148.820000000005</c:v>
                </c:pt>
                <c:pt idx="357">
                  <c:v>10148.820000000005</c:v>
                </c:pt>
                <c:pt idx="358">
                  <c:v>10148.820000000005</c:v>
                </c:pt>
                <c:pt idx="359">
                  <c:v>10148.820000000005</c:v>
                </c:pt>
                <c:pt idx="360">
                  <c:v>10148.820000000005</c:v>
                </c:pt>
                <c:pt idx="361">
                  <c:v>10148.820000000005</c:v>
                </c:pt>
                <c:pt idx="362">
                  <c:v>10148.820000000005</c:v>
                </c:pt>
                <c:pt idx="363">
                  <c:v>10148.820000000005</c:v>
                </c:pt>
                <c:pt idx="364">
                  <c:v>10148.820000000005</c:v>
                </c:pt>
                <c:pt idx="365">
                  <c:v>10148.820000000005</c:v>
                </c:pt>
                <c:pt idx="366">
                  <c:v>10148.820000000005</c:v>
                </c:pt>
                <c:pt idx="367">
                  <c:v>10148.820000000005</c:v>
                </c:pt>
                <c:pt idx="368">
                  <c:v>10148.820000000005</c:v>
                </c:pt>
                <c:pt idx="369">
                  <c:v>10148.820000000005</c:v>
                </c:pt>
                <c:pt idx="370">
                  <c:v>10148.820000000005</c:v>
                </c:pt>
                <c:pt idx="371">
                  <c:v>10148.820000000005</c:v>
                </c:pt>
                <c:pt idx="372">
                  <c:v>10148.820000000005</c:v>
                </c:pt>
                <c:pt idx="373">
                  <c:v>10148.820000000005</c:v>
                </c:pt>
                <c:pt idx="374">
                  <c:v>10148.820000000005</c:v>
                </c:pt>
                <c:pt idx="375">
                  <c:v>10148.820000000005</c:v>
                </c:pt>
                <c:pt idx="376">
                  <c:v>10148.820000000005</c:v>
                </c:pt>
                <c:pt idx="377">
                  <c:v>10148.820000000005</c:v>
                </c:pt>
                <c:pt idx="378">
                  <c:v>10148.820000000005</c:v>
                </c:pt>
                <c:pt idx="379">
                  <c:v>10148.820000000005</c:v>
                </c:pt>
                <c:pt idx="380">
                  <c:v>10148.820000000005</c:v>
                </c:pt>
                <c:pt idx="381">
                  <c:v>10148.820000000005</c:v>
                </c:pt>
                <c:pt idx="382">
                  <c:v>10148.820000000005</c:v>
                </c:pt>
                <c:pt idx="383">
                  <c:v>10148.820000000005</c:v>
                </c:pt>
                <c:pt idx="384">
                  <c:v>10148.820000000005</c:v>
                </c:pt>
                <c:pt idx="385">
                  <c:v>10148.820000000005</c:v>
                </c:pt>
                <c:pt idx="386">
                  <c:v>10148.820000000005</c:v>
                </c:pt>
                <c:pt idx="387">
                  <c:v>10148.820000000005</c:v>
                </c:pt>
                <c:pt idx="388">
                  <c:v>10148.820000000005</c:v>
                </c:pt>
                <c:pt idx="389">
                  <c:v>10148.820000000005</c:v>
                </c:pt>
                <c:pt idx="390">
                  <c:v>10148.820000000005</c:v>
                </c:pt>
                <c:pt idx="391">
                  <c:v>10148.820000000005</c:v>
                </c:pt>
                <c:pt idx="392">
                  <c:v>10148.820000000005</c:v>
                </c:pt>
                <c:pt idx="393">
                  <c:v>10148.820000000005</c:v>
                </c:pt>
                <c:pt idx="394">
                  <c:v>10148.820000000005</c:v>
                </c:pt>
                <c:pt idx="395">
                  <c:v>10148.820000000005</c:v>
                </c:pt>
                <c:pt idx="396">
                  <c:v>10148.820000000005</c:v>
                </c:pt>
                <c:pt idx="397">
                  <c:v>10148.820000000005</c:v>
                </c:pt>
                <c:pt idx="398">
                  <c:v>10148.820000000005</c:v>
                </c:pt>
                <c:pt idx="399">
                  <c:v>10148.820000000005</c:v>
                </c:pt>
                <c:pt idx="400">
                  <c:v>10148.820000000005</c:v>
                </c:pt>
                <c:pt idx="401">
                  <c:v>10148.820000000005</c:v>
                </c:pt>
                <c:pt idx="402">
                  <c:v>10148.820000000005</c:v>
                </c:pt>
                <c:pt idx="403">
                  <c:v>10148.820000000005</c:v>
                </c:pt>
                <c:pt idx="404">
                  <c:v>10148.820000000005</c:v>
                </c:pt>
                <c:pt idx="405">
                  <c:v>10148.820000000005</c:v>
                </c:pt>
                <c:pt idx="406">
                  <c:v>10148.820000000005</c:v>
                </c:pt>
                <c:pt idx="407">
                  <c:v>10148.820000000005</c:v>
                </c:pt>
                <c:pt idx="408">
                  <c:v>10148.820000000005</c:v>
                </c:pt>
                <c:pt idx="409">
                  <c:v>10148.820000000005</c:v>
                </c:pt>
                <c:pt idx="410">
                  <c:v>10148.820000000005</c:v>
                </c:pt>
                <c:pt idx="411">
                  <c:v>10148.820000000005</c:v>
                </c:pt>
                <c:pt idx="412">
                  <c:v>10148.820000000005</c:v>
                </c:pt>
                <c:pt idx="413">
                  <c:v>10148.820000000005</c:v>
                </c:pt>
                <c:pt idx="414">
                  <c:v>10148.820000000005</c:v>
                </c:pt>
                <c:pt idx="415">
                  <c:v>10148.820000000005</c:v>
                </c:pt>
                <c:pt idx="416">
                  <c:v>10148.820000000005</c:v>
                </c:pt>
                <c:pt idx="417">
                  <c:v>10148.820000000005</c:v>
                </c:pt>
                <c:pt idx="418">
                  <c:v>10148.820000000005</c:v>
                </c:pt>
                <c:pt idx="419">
                  <c:v>10148.820000000005</c:v>
                </c:pt>
                <c:pt idx="420">
                  <c:v>10148.820000000005</c:v>
                </c:pt>
                <c:pt idx="421">
                  <c:v>10148.820000000005</c:v>
                </c:pt>
                <c:pt idx="422">
                  <c:v>10148.820000000005</c:v>
                </c:pt>
                <c:pt idx="423">
                  <c:v>10148.820000000005</c:v>
                </c:pt>
                <c:pt idx="424">
                  <c:v>10148.820000000005</c:v>
                </c:pt>
                <c:pt idx="425">
                  <c:v>10148.820000000005</c:v>
                </c:pt>
                <c:pt idx="426">
                  <c:v>10148.820000000005</c:v>
                </c:pt>
                <c:pt idx="427">
                  <c:v>10148.820000000005</c:v>
                </c:pt>
                <c:pt idx="428">
                  <c:v>10148.820000000005</c:v>
                </c:pt>
                <c:pt idx="429">
                  <c:v>10148.820000000005</c:v>
                </c:pt>
                <c:pt idx="430">
                  <c:v>10148.820000000005</c:v>
                </c:pt>
                <c:pt idx="431">
                  <c:v>10148.820000000005</c:v>
                </c:pt>
                <c:pt idx="432">
                  <c:v>10148.820000000005</c:v>
                </c:pt>
                <c:pt idx="433">
                  <c:v>10148.820000000005</c:v>
                </c:pt>
                <c:pt idx="434">
                  <c:v>10148.820000000005</c:v>
                </c:pt>
                <c:pt idx="435">
                  <c:v>10148.820000000005</c:v>
                </c:pt>
                <c:pt idx="436">
                  <c:v>10148.820000000005</c:v>
                </c:pt>
                <c:pt idx="437">
                  <c:v>10148.820000000005</c:v>
                </c:pt>
                <c:pt idx="438">
                  <c:v>10148.820000000005</c:v>
                </c:pt>
                <c:pt idx="439">
                  <c:v>10148.820000000005</c:v>
                </c:pt>
                <c:pt idx="440">
                  <c:v>10148.820000000005</c:v>
                </c:pt>
                <c:pt idx="441">
                  <c:v>10148.820000000005</c:v>
                </c:pt>
                <c:pt idx="442">
                  <c:v>10148.820000000005</c:v>
                </c:pt>
                <c:pt idx="443">
                  <c:v>10148.820000000005</c:v>
                </c:pt>
                <c:pt idx="444">
                  <c:v>10148.820000000005</c:v>
                </c:pt>
                <c:pt idx="445">
                  <c:v>10148.820000000005</c:v>
                </c:pt>
                <c:pt idx="446">
                  <c:v>10148.820000000005</c:v>
                </c:pt>
                <c:pt idx="447">
                  <c:v>10148.820000000005</c:v>
                </c:pt>
                <c:pt idx="448">
                  <c:v>10148.820000000005</c:v>
                </c:pt>
                <c:pt idx="449">
                  <c:v>10148.820000000005</c:v>
                </c:pt>
                <c:pt idx="450">
                  <c:v>10148.820000000005</c:v>
                </c:pt>
                <c:pt idx="451">
                  <c:v>10148.820000000005</c:v>
                </c:pt>
                <c:pt idx="452">
                  <c:v>10148.820000000005</c:v>
                </c:pt>
                <c:pt idx="453">
                  <c:v>10148.820000000005</c:v>
                </c:pt>
                <c:pt idx="454">
                  <c:v>10148.820000000005</c:v>
                </c:pt>
                <c:pt idx="455">
                  <c:v>10148.820000000005</c:v>
                </c:pt>
                <c:pt idx="456">
                  <c:v>10148.820000000005</c:v>
                </c:pt>
                <c:pt idx="457">
                  <c:v>10148.820000000005</c:v>
                </c:pt>
                <c:pt idx="458">
                  <c:v>10148.820000000005</c:v>
                </c:pt>
                <c:pt idx="459">
                  <c:v>10148.820000000005</c:v>
                </c:pt>
                <c:pt idx="460">
                  <c:v>10148.820000000005</c:v>
                </c:pt>
                <c:pt idx="461">
                  <c:v>10148.820000000005</c:v>
                </c:pt>
                <c:pt idx="462">
                  <c:v>10148.820000000005</c:v>
                </c:pt>
                <c:pt idx="463">
                  <c:v>10148.820000000005</c:v>
                </c:pt>
                <c:pt idx="464">
                  <c:v>10148.820000000005</c:v>
                </c:pt>
                <c:pt idx="465">
                  <c:v>10148.820000000005</c:v>
                </c:pt>
                <c:pt idx="466">
                  <c:v>10148.820000000005</c:v>
                </c:pt>
                <c:pt idx="467">
                  <c:v>10148.820000000005</c:v>
                </c:pt>
                <c:pt idx="468">
                  <c:v>10148.820000000005</c:v>
                </c:pt>
                <c:pt idx="469">
                  <c:v>10148.820000000005</c:v>
                </c:pt>
                <c:pt idx="470">
                  <c:v>10148.820000000005</c:v>
                </c:pt>
                <c:pt idx="471">
                  <c:v>10148.820000000005</c:v>
                </c:pt>
                <c:pt idx="472">
                  <c:v>10148.820000000005</c:v>
                </c:pt>
                <c:pt idx="473">
                  <c:v>10148.820000000005</c:v>
                </c:pt>
                <c:pt idx="474">
                  <c:v>10148.820000000005</c:v>
                </c:pt>
                <c:pt idx="475">
                  <c:v>10148.820000000005</c:v>
                </c:pt>
                <c:pt idx="476">
                  <c:v>10148.820000000005</c:v>
                </c:pt>
                <c:pt idx="477">
                  <c:v>10148.820000000005</c:v>
                </c:pt>
                <c:pt idx="478">
                  <c:v>10148.820000000005</c:v>
                </c:pt>
                <c:pt idx="479">
                  <c:v>10148.820000000005</c:v>
                </c:pt>
                <c:pt idx="480">
                  <c:v>10148.820000000005</c:v>
                </c:pt>
                <c:pt idx="481">
                  <c:v>10148.820000000005</c:v>
                </c:pt>
                <c:pt idx="482">
                  <c:v>10148.820000000005</c:v>
                </c:pt>
                <c:pt idx="483">
                  <c:v>10148.820000000005</c:v>
                </c:pt>
                <c:pt idx="484">
                  <c:v>10148.820000000005</c:v>
                </c:pt>
                <c:pt idx="485">
                  <c:v>10148.820000000005</c:v>
                </c:pt>
                <c:pt idx="486">
                  <c:v>10148.820000000005</c:v>
                </c:pt>
                <c:pt idx="487">
                  <c:v>10148.820000000005</c:v>
                </c:pt>
                <c:pt idx="488">
                  <c:v>10148.820000000005</c:v>
                </c:pt>
                <c:pt idx="489">
                  <c:v>10148.820000000005</c:v>
                </c:pt>
                <c:pt idx="490">
                  <c:v>10148.820000000005</c:v>
                </c:pt>
                <c:pt idx="491">
                  <c:v>10148.820000000005</c:v>
                </c:pt>
                <c:pt idx="492">
                  <c:v>10148.820000000005</c:v>
                </c:pt>
                <c:pt idx="493">
                  <c:v>10148.820000000005</c:v>
                </c:pt>
                <c:pt idx="494">
                  <c:v>10148.820000000005</c:v>
                </c:pt>
                <c:pt idx="495">
                  <c:v>10148.820000000005</c:v>
                </c:pt>
                <c:pt idx="496">
                  <c:v>10148.820000000005</c:v>
                </c:pt>
                <c:pt idx="497">
                  <c:v>10148.820000000005</c:v>
                </c:pt>
                <c:pt idx="498">
                  <c:v>10148.820000000005</c:v>
                </c:pt>
                <c:pt idx="499">
                  <c:v>10148.820000000005</c:v>
                </c:pt>
                <c:pt idx="500">
                  <c:v>10148.820000000005</c:v>
                </c:pt>
                <c:pt idx="501">
                  <c:v>10148.820000000005</c:v>
                </c:pt>
                <c:pt idx="502">
                  <c:v>10148.820000000005</c:v>
                </c:pt>
                <c:pt idx="503">
                  <c:v>10148.820000000005</c:v>
                </c:pt>
                <c:pt idx="504">
                  <c:v>10148.820000000005</c:v>
                </c:pt>
                <c:pt idx="505">
                  <c:v>10148.820000000005</c:v>
                </c:pt>
                <c:pt idx="506">
                  <c:v>10148.820000000005</c:v>
                </c:pt>
                <c:pt idx="507">
                  <c:v>10148.820000000005</c:v>
                </c:pt>
                <c:pt idx="508">
                  <c:v>10148.820000000005</c:v>
                </c:pt>
                <c:pt idx="509">
                  <c:v>10148.820000000005</c:v>
                </c:pt>
                <c:pt idx="510">
                  <c:v>10148.820000000005</c:v>
                </c:pt>
                <c:pt idx="511">
                  <c:v>10148.820000000005</c:v>
                </c:pt>
                <c:pt idx="512">
                  <c:v>10148.820000000005</c:v>
                </c:pt>
                <c:pt idx="513">
                  <c:v>10148.820000000005</c:v>
                </c:pt>
                <c:pt idx="514">
                  <c:v>10148.820000000005</c:v>
                </c:pt>
                <c:pt idx="515">
                  <c:v>10148.820000000005</c:v>
                </c:pt>
                <c:pt idx="516">
                  <c:v>10148.820000000005</c:v>
                </c:pt>
                <c:pt idx="517">
                  <c:v>10148.820000000005</c:v>
                </c:pt>
                <c:pt idx="518">
                  <c:v>10148.820000000005</c:v>
                </c:pt>
                <c:pt idx="519">
                  <c:v>10148.820000000005</c:v>
                </c:pt>
                <c:pt idx="520">
                  <c:v>10148.820000000005</c:v>
                </c:pt>
                <c:pt idx="521">
                  <c:v>10148.820000000005</c:v>
                </c:pt>
                <c:pt idx="522">
                  <c:v>10148.820000000005</c:v>
                </c:pt>
                <c:pt idx="523">
                  <c:v>10148.820000000005</c:v>
                </c:pt>
                <c:pt idx="524">
                  <c:v>10148.820000000005</c:v>
                </c:pt>
                <c:pt idx="525">
                  <c:v>10148.820000000005</c:v>
                </c:pt>
                <c:pt idx="526">
                  <c:v>10148.820000000005</c:v>
                </c:pt>
                <c:pt idx="527">
                  <c:v>10148.820000000005</c:v>
                </c:pt>
                <c:pt idx="528">
                  <c:v>10148.820000000005</c:v>
                </c:pt>
                <c:pt idx="529">
                  <c:v>10148.820000000005</c:v>
                </c:pt>
                <c:pt idx="530">
                  <c:v>10148.820000000005</c:v>
                </c:pt>
                <c:pt idx="531">
                  <c:v>10148.820000000005</c:v>
                </c:pt>
                <c:pt idx="532">
                  <c:v>10148.820000000005</c:v>
                </c:pt>
                <c:pt idx="533">
                  <c:v>10148.820000000005</c:v>
                </c:pt>
                <c:pt idx="534">
                  <c:v>10148.820000000005</c:v>
                </c:pt>
                <c:pt idx="535">
                  <c:v>10148.820000000005</c:v>
                </c:pt>
                <c:pt idx="536">
                  <c:v>10148.820000000005</c:v>
                </c:pt>
                <c:pt idx="537">
                  <c:v>10148.820000000005</c:v>
                </c:pt>
                <c:pt idx="538">
                  <c:v>10148.820000000005</c:v>
                </c:pt>
                <c:pt idx="539">
                  <c:v>10148.820000000005</c:v>
                </c:pt>
                <c:pt idx="540">
                  <c:v>10148.820000000005</c:v>
                </c:pt>
                <c:pt idx="541">
                  <c:v>10148.820000000005</c:v>
                </c:pt>
                <c:pt idx="542">
                  <c:v>10148.820000000005</c:v>
                </c:pt>
                <c:pt idx="543">
                  <c:v>10148.820000000005</c:v>
                </c:pt>
                <c:pt idx="544">
                  <c:v>10148.820000000005</c:v>
                </c:pt>
                <c:pt idx="545">
                  <c:v>10148.820000000005</c:v>
                </c:pt>
                <c:pt idx="546">
                  <c:v>10148.820000000005</c:v>
                </c:pt>
                <c:pt idx="547">
                  <c:v>10148.820000000005</c:v>
                </c:pt>
                <c:pt idx="548">
                  <c:v>10148.820000000005</c:v>
                </c:pt>
                <c:pt idx="549">
                  <c:v>10148.820000000005</c:v>
                </c:pt>
                <c:pt idx="550">
                  <c:v>10148.820000000005</c:v>
                </c:pt>
                <c:pt idx="551">
                  <c:v>10148.820000000005</c:v>
                </c:pt>
                <c:pt idx="552">
                  <c:v>10148.820000000005</c:v>
                </c:pt>
                <c:pt idx="553">
                  <c:v>10148.820000000005</c:v>
                </c:pt>
                <c:pt idx="554">
                  <c:v>10148.820000000005</c:v>
                </c:pt>
                <c:pt idx="555">
                  <c:v>10148.820000000005</c:v>
                </c:pt>
                <c:pt idx="556">
                  <c:v>10148.820000000005</c:v>
                </c:pt>
                <c:pt idx="557">
                  <c:v>10148.820000000005</c:v>
                </c:pt>
                <c:pt idx="558">
                  <c:v>10148.820000000005</c:v>
                </c:pt>
                <c:pt idx="559">
                  <c:v>10148.820000000005</c:v>
                </c:pt>
                <c:pt idx="560">
                  <c:v>10148.820000000005</c:v>
                </c:pt>
                <c:pt idx="561">
                  <c:v>10148.820000000005</c:v>
                </c:pt>
                <c:pt idx="562">
                  <c:v>10148.820000000005</c:v>
                </c:pt>
                <c:pt idx="563">
                  <c:v>10148.820000000005</c:v>
                </c:pt>
                <c:pt idx="564">
                  <c:v>10148.820000000005</c:v>
                </c:pt>
                <c:pt idx="565">
                  <c:v>10148.820000000005</c:v>
                </c:pt>
                <c:pt idx="566">
                  <c:v>10148.820000000005</c:v>
                </c:pt>
                <c:pt idx="567">
                  <c:v>10148.820000000005</c:v>
                </c:pt>
                <c:pt idx="568">
                  <c:v>10148.820000000005</c:v>
                </c:pt>
                <c:pt idx="569">
                  <c:v>10148.820000000005</c:v>
                </c:pt>
                <c:pt idx="570">
                  <c:v>10148.820000000005</c:v>
                </c:pt>
                <c:pt idx="571">
                  <c:v>10148.820000000005</c:v>
                </c:pt>
                <c:pt idx="572">
                  <c:v>10148.820000000005</c:v>
                </c:pt>
                <c:pt idx="573">
                  <c:v>10148.820000000005</c:v>
                </c:pt>
                <c:pt idx="574">
                  <c:v>10148.820000000005</c:v>
                </c:pt>
                <c:pt idx="575">
                  <c:v>10148.820000000005</c:v>
                </c:pt>
                <c:pt idx="576">
                  <c:v>10148.820000000005</c:v>
                </c:pt>
                <c:pt idx="577">
                  <c:v>10148.820000000005</c:v>
                </c:pt>
                <c:pt idx="578">
                  <c:v>10148.820000000005</c:v>
                </c:pt>
                <c:pt idx="579">
                  <c:v>10148.820000000005</c:v>
                </c:pt>
                <c:pt idx="580">
                  <c:v>10148.820000000005</c:v>
                </c:pt>
                <c:pt idx="581">
                  <c:v>10148.820000000005</c:v>
                </c:pt>
                <c:pt idx="582">
                  <c:v>10148.820000000005</c:v>
                </c:pt>
                <c:pt idx="583">
                  <c:v>10148.820000000005</c:v>
                </c:pt>
                <c:pt idx="584">
                  <c:v>10148.820000000005</c:v>
                </c:pt>
                <c:pt idx="585">
                  <c:v>10148.820000000005</c:v>
                </c:pt>
                <c:pt idx="586">
                  <c:v>10148.820000000005</c:v>
                </c:pt>
                <c:pt idx="587">
                  <c:v>10148.820000000005</c:v>
                </c:pt>
                <c:pt idx="588">
                  <c:v>10148.820000000005</c:v>
                </c:pt>
                <c:pt idx="589">
                  <c:v>10148.820000000005</c:v>
                </c:pt>
                <c:pt idx="590">
                  <c:v>10148.820000000005</c:v>
                </c:pt>
                <c:pt idx="591">
                  <c:v>10148.820000000005</c:v>
                </c:pt>
                <c:pt idx="592">
                  <c:v>10148.820000000005</c:v>
                </c:pt>
                <c:pt idx="593">
                  <c:v>10148.820000000005</c:v>
                </c:pt>
                <c:pt idx="594">
                  <c:v>10148.820000000005</c:v>
                </c:pt>
                <c:pt idx="595">
                  <c:v>10148.820000000005</c:v>
                </c:pt>
                <c:pt idx="596">
                  <c:v>10148.820000000005</c:v>
                </c:pt>
                <c:pt idx="597">
                  <c:v>10148.820000000005</c:v>
                </c:pt>
                <c:pt idx="598">
                  <c:v>10148.820000000005</c:v>
                </c:pt>
                <c:pt idx="599">
                  <c:v>10148.820000000005</c:v>
                </c:pt>
                <c:pt idx="600">
                  <c:v>10148.820000000005</c:v>
                </c:pt>
                <c:pt idx="601">
                  <c:v>10148.820000000005</c:v>
                </c:pt>
                <c:pt idx="602">
                  <c:v>10148.820000000005</c:v>
                </c:pt>
                <c:pt idx="603">
                  <c:v>10148.820000000005</c:v>
                </c:pt>
                <c:pt idx="604">
                  <c:v>10148.820000000005</c:v>
                </c:pt>
                <c:pt idx="605">
                  <c:v>10148.820000000005</c:v>
                </c:pt>
                <c:pt idx="606">
                  <c:v>10148.820000000005</c:v>
                </c:pt>
                <c:pt idx="607">
                  <c:v>10148.820000000005</c:v>
                </c:pt>
                <c:pt idx="608">
                  <c:v>10148.820000000005</c:v>
                </c:pt>
                <c:pt idx="609">
                  <c:v>10148.820000000005</c:v>
                </c:pt>
                <c:pt idx="610">
                  <c:v>10148.820000000005</c:v>
                </c:pt>
                <c:pt idx="611">
                  <c:v>10148.820000000005</c:v>
                </c:pt>
                <c:pt idx="612">
                  <c:v>10148.820000000005</c:v>
                </c:pt>
                <c:pt idx="613">
                  <c:v>10148.820000000005</c:v>
                </c:pt>
                <c:pt idx="614">
                  <c:v>10148.820000000005</c:v>
                </c:pt>
                <c:pt idx="615">
                  <c:v>10148.820000000005</c:v>
                </c:pt>
                <c:pt idx="616">
                  <c:v>10148.820000000005</c:v>
                </c:pt>
                <c:pt idx="617">
                  <c:v>10148.820000000005</c:v>
                </c:pt>
                <c:pt idx="618">
                  <c:v>10148.820000000005</c:v>
                </c:pt>
                <c:pt idx="619">
                  <c:v>10148.820000000005</c:v>
                </c:pt>
                <c:pt idx="620">
                  <c:v>10148.820000000005</c:v>
                </c:pt>
                <c:pt idx="621">
                  <c:v>10148.820000000005</c:v>
                </c:pt>
                <c:pt idx="622">
                  <c:v>10148.820000000005</c:v>
                </c:pt>
                <c:pt idx="623">
                  <c:v>10148.820000000005</c:v>
                </c:pt>
                <c:pt idx="624">
                  <c:v>10148.820000000005</c:v>
                </c:pt>
                <c:pt idx="625">
                  <c:v>10148.820000000005</c:v>
                </c:pt>
                <c:pt idx="626">
                  <c:v>10148.820000000005</c:v>
                </c:pt>
                <c:pt idx="627">
                  <c:v>10148.820000000005</c:v>
                </c:pt>
                <c:pt idx="628">
                  <c:v>10148.820000000005</c:v>
                </c:pt>
                <c:pt idx="629">
                  <c:v>10148.820000000005</c:v>
                </c:pt>
                <c:pt idx="630">
                  <c:v>10148.820000000005</c:v>
                </c:pt>
                <c:pt idx="631">
                  <c:v>10148.820000000005</c:v>
                </c:pt>
                <c:pt idx="632">
                  <c:v>10148.820000000005</c:v>
                </c:pt>
                <c:pt idx="633">
                  <c:v>10148.820000000005</c:v>
                </c:pt>
                <c:pt idx="634">
                  <c:v>10148.820000000005</c:v>
                </c:pt>
                <c:pt idx="635">
                  <c:v>10148.820000000005</c:v>
                </c:pt>
                <c:pt idx="636">
                  <c:v>10148.820000000005</c:v>
                </c:pt>
                <c:pt idx="637">
                  <c:v>10148.820000000005</c:v>
                </c:pt>
                <c:pt idx="638">
                  <c:v>10148.820000000005</c:v>
                </c:pt>
                <c:pt idx="639">
                  <c:v>10148.820000000005</c:v>
                </c:pt>
                <c:pt idx="640">
                  <c:v>10148.820000000005</c:v>
                </c:pt>
                <c:pt idx="641">
                  <c:v>10148.820000000005</c:v>
                </c:pt>
                <c:pt idx="642">
                  <c:v>10148.820000000005</c:v>
                </c:pt>
                <c:pt idx="643">
                  <c:v>10148.820000000005</c:v>
                </c:pt>
                <c:pt idx="644">
                  <c:v>10148.820000000005</c:v>
                </c:pt>
                <c:pt idx="645">
                  <c:v>10148.820000000005</c:v>
                </c:pt>
                <c:pt idx="646">
                  <c:v>10148.820000000005</c:v>
                </c:pt>
                <c:pt idx="647">
                  <c:v>10148.820000000005</c:v>
                </c:pt>
                <c:pt idx="648">
                  <c:v>10148.820000000005</c:v>
                </c:pt>
                <c:pt idx="649">
                  <c:v>10148.820000000005</c:v>
                </c:pt>
                <c:pt idx="650">
                  <c:v>10148.820000000005</c:v>
                </c:pt>
                <c:pt idx="651">
                  <c:v>10148.820000000005</c:v>
                </c:pt>
                <c:pt idx="652">
                  <c:v>10148.820000000005</c:v>
                </c:pt>
                <c:pt idx="653">
                  <c:v>10148.820000000005</c:v>
                </c:pt>
                <c:pt idx="654">
                  <c:v>10148.820000000005</c:v>
                </c:pt>
                <c:pt idx="655">
                  <c:v>10148.820000000005</c:v>
                </c:pt>
                <c:pt idx="656">
                  <c:v>10148.820000000005</c:v>
                </c:pt>
                <c:pt idx="657">
                  <c:v>10148.820000000005</c:v>
                </c:pt>
                <c:pt idx="658">
                  <c:v>10148.820000000005</c:v>
                </c:pt>
                <c:pt idx="659">
                  <c:v>10148.820000000005</c:v>
                </c:pt>
                <c:pt idx="660">
                  <c:v>10148.820000000005</c:v>
                </c:pt>
                <c:pt idx="661">
                  <c:v>10148.820000000005</c:v>
                </c:pt>
                <c:pt idx="662">
                  <c:v>10148.820000000005</c:v>
                </c:pt>
                <c:pt idx="663">
                  <c:v>10148.820000000005</c:v>
                </c:pt>
                <c:pt idx="664">
                  <c:v>10148.820000000005</c:v>
                </c:pt>
                <c:pt idx="665">
                  <c:v>10148.820000000005</c:v>
                </c:pt>
                <c:pt idx="666">
                  <c:v>10148.820000000005</c:v>
                </c:pt>
                <c:pt idx="667">
                  <c:v>10148.820000000005</c:v>
                </c:pt>
                <c:pt idx="668">
                  <c:v>10148.820000000005</c:v>
                </c:pt>
                <c:pt idx="669">
                  <c:v>10148.820000000005</c:v>
                </c:pt>
                <c:pt idx="670">
                  <c:v>10148.820000000005</c:v>
                </c:pt>
                <c:pt idx="671">
                  <c:v>10148.820000000005</c:v>
                </c:pt>
                <c:pt idx="672">
                  <c:v>10148.820000000005</c:v>
                </c:pt>
                <c:pt idx="673">
                  <c:v>10148.820000000005</c:v>
                </c:pt>
                <c:pt idx="674">
                  <c:v>10148.820000000005</c:v>
                </c:pt>
                <c:pt idx="675">
                  <c:v>10148.820000000005</c:v>
                </c:pt>
                <c:pt idx="676">
                  <c:v>10148.820000000005</c:v>
                </c:pt>
                <c:pt idx="677">
                  <c:v>10148.820000000005</c:v>
                </c:pt>
                <c:pt idx="678">
                  <c:v>10148.820000000005</c:v>
                </c:pt>
                <c:pt idx="679">
                  <c:v>10148.820000000005</c:v>
                </c:pt>
                <c:pt idx="680">
                  <c:v>10148.820000000005</c:v>
                </c:pt>
                <c:pt idx="681">
                  <c:v>10148.820000000005</c:v>
                </c:pt>
                <c:pt idx="682">
                  <c:v>10148.820000000005</c:v>
                </c:pt>
                <c:pt idx="683">
                  <c:v>10148.820000000005</c:v>
                </c:pt>
                <c:pt idx="684">
                  <c:v>10148.820000000005</c:v>
                </c:pt>
                <c:pt idx="685">
                  <c:v>10148.820000000005</c:v>
                </c:pt>
                <c:pt idx="686">
                  <c:v>10148.820000000005</c:v>
                </c:pt>
                <c:pt idx="687">
                  <c:v>10148.820000000005</c:v>
                </c:pt>
                <c:pt idx="688">
                  <c:v>10148.820000000005</c:v>
                </c:pt>
                <c:pt idx="689">
                  <c:v>10148.820000000005</c:v>
                </c:pt>
                <c:pt idx="690">
                  <c:v>10148.820000000005</c:v>
                </c:pt>
                <c:pt idx="691">
                  <c:v>10148.820000000005</c:v>
                </c:pt>
                <c:pt idx="692">
                  <c:v>10148.820000000005</c:v>
                </c:pt>
                <c:pt idx="693">
                  <c:v>10148.820000000005</c:v>
                </c:pt>
                <c:pt idx="694">
                  <c:v>10148.820000000005</c:v>
                </c:pt>
                <c:pt idx="695">
                  <c:v>10148.820000000005</c:v>
                </c:pt>
                <c:pt idx="696">
                  <c:v>10148.820000000005</c:v>
                </c:pt>
                <c:pt idx="697">
                  <c:v>10148.820000000005</c:v>
                </c:pt>
                <c:pt idx="698">
                  <c:v>10148.820000000005</c:v>
                </c:pt>
                <c:pt idx="699">
                  <c:v>10148.820000000005</c:v>
                </c:pt>
                <c:pt idx="700">
                  <c:v>10148.820000000005</c:v>
                </c:pt>
                <c:pt idx="701">
                  <c:v>10148.820000000005</c:v>
                </c:pt>
                <c:pt idx="702">
                  <c:v>10148.820000000005</c:v>
                </c:pt>
                <c:pt idx="703">
                  <c:v>10148.820000000005</c:v>
                </c:pt>
                <c:pt idx="704">
                  <c:v>10148.820000000005</c:v>
                </c:pt>
                <c:pt idx="705">
                  <c:v>10148.820000000005</c:v>
                </c:pt>
                <c:pt idx="706">
                  <c:v>10148.820000000005</c:v>
                </c:pt>
                <c:pt idx="707">
                  <c:v>10148.820000000005</c:v>
                </c:pt>
                <c:pt idx="708">
                  <c:v>10148.820000000005</c:v>
                </c:pt>
                <c:pt idx="709">
                  <c:v>10148.820000000005</c:v>
                </c:pt>
                <c:pt idx="710">
                  <c:v>10148.820000000005</c:v>
                </c:pt>
                <c:pt idx="711">
                  <c:v>10148.820000000005</c:v>
                </c:pt>
                <c:pt idx="712">
                  <c:v>10148.820000000005</c:v>
                </c:pt>
                <c:pt idx="713">
                  <c:v>10148.820000000005</c:v>
                </c:pt>
                <c:pt idx="714">
                  <c:v>10148.820000000005</c:v>
                </c:pt>
                <c:pt idx="715">
                  <c:v>10148.820000000005</c:v>
                </c:pt>
                <c:pt idx="716">
                  <c:v>10148.820000000005</c:v>
                </c:pt>
                <c:pt idx="717">
                  <c:v>10148.820000000005</c:v>
                </c:pt>
                <c:pt idx="718">
                  <c:v>10148.820000000005</c:v>
                </c:pt>
                <c:pt idx="719">
                  <c:v>10148.820000000005</c:v>
                </c:pt>
                <c:pt idx="720">
                  <c:v>10148.820000000005</c:v>
                </c:pt>
                <c:pt idx="721">
                  <c:v>10148.820000000005</c:v>
                </c:pt>
                <c:pt idx="722">
                  <c:v>10148.820000000005</c:v>
                </c:pt>
                <c:pt idx="723">
                  <c:v>10148.820000000005</c:v>
                </c:pt>
                <c:pt idx="724">
                  <c:v>10148.820000000005</c:v>
                </c:pt>
                <c:pt idx="725">
                  <c:v>10148.820000000005</c:v>
                </c:pt>
                <c:pt idx="726">
                  <c:v>10148.820000000005</c:v>
                </c:pt>
                <c:pt idx="727">
                  <c:v>10148.820000000005</c:v>
                </c:pt>
                <c:pt idx="728">
                  <c:v>10148.820000000005</c:v>
                </c:pt>
                <c:pt idx="729">
                  <c:v>10148.820000000005</c:v>
                </c:pt>
                <c:pt idx="730">
                  <c:v>10148.820000000005</c:v>
                </c:pt>
                <c:pt idx="731">
                  <c:v>10148.820000000005</c:v>
                </c:pt>
                <c:pt idx="732">
                  <c:v>10148.820000000005</c:v>
                </c:pt>
                <c:pt idx="733">
                  <c:v>10148.820000000005</c:v>
                </c:pt>
                <c:pt idx="734">
                  <c:v>10148.820000000005</c:v>
                </c:pt>
                <c:pt idx="735">
                  <c:v>10148.820000000005</c:v>
                </c:pt>
                <c:pt idx="736">
                  <c:v>10148.820000000005</c:v>
                </c:pt>
                <c:pt idx="737">
                  <c:v>10148.820000000005</c:v>
                </c:pt>
                <c:pt idx="738">
                  <c:v>10148.820000000005</c:v>
                </c:pt>
                <c:pt idx="739">
                  <c:v>10148.820000000005</c:v>
                </c:pt>
                <c:pt idx="740">
                  <c:v>10148.820000000005</c:v>
                </c:pt>
                <c:pt idx="741">
                  <c:v>10148.820000000005</c:v>
                </c:pt>
                <c:pt idx="742">
                  <c:v>10148.820000000005</c:v>
                </c:pt>
                <c:pt idx="743">
                  <c:v>10148.820000000005</c:v>
                </c:pt>
                <c:pt idx="744">
                  <c:v>10148.820000000005</c:v>
                </c:pt>
                <c:pt idx="745">
                  <c:v>10148.820000000005</c:v>
                </c:pt>
                <c:pt idx="746">
                  <c:v>10148.820000000005</c:v>
                </c:pt>
                <c:pt idx="747">
                  <c:v>10148.820000000005</c:v>
                </c:pt>
                <c:pt idx="748">
                  <c:v>10148.820000000005</c:v>
                </c:pt>
                <c:pt idx="749">
                  <c:v>10148.820000000005</c:v>
                </c:pt>
                <c:pt idx="750">
                  <c:v>10148.820000000005</c:v>
                </c:pt>
                <c:pt idx="751">
                  <c:v>10148.820000000005</c:v>
                </c:pt>
                <c:pt idx="752">
                  <c:v>10148.820000000005</c:v>
                </c:pt>
                <c:pt idx="753">
                  <c:v>10148.820000000005</c:v>
                </c:pt>
                <c:pt idx="754">
                  <c:v>10148.820000000005</c:v>
                </c:pt>
                <c:pt idx="755">
                  <c:v>10148.820000000005</c:v>
                </c:pt>
                <c:pt idx="756">
                  <c:v>10148.820000000005</c:v>
                </c:pt>
                <c:pt idx="757">
                  <c:v>10148.820000000005</c:v>
                </c:pt>
                <c:pt idx="758">
                  <c:v>10148.820000000005</c:v>
                </c:pt>
                <c:pt idx="759">
                  <c:v>10148.820000000005</c:v>
                </c:pt>
                <c:pt idx="760">
                  <c:v>10148.820000000005</c:v>
                </c:pt>
                <c:pt idx="761">
                  <c:v>10148.820000000005</c:v>
                </c:pt>
                <c:pt idx="762">
                  <c:v>10148.820000000005</c:v>
                </c:pt>
                <c:pt idx="763">
                  <c:v>10148.820000000005</c:v>
                </c:pt>
                <c:pt idx="764">
                  <c:v>10148.820000000005</c:v>
                </c:pt>
                <c:pt idx="765">
                  <c:v>10148.820000000005</c:v>
                </c:pt>
                <c:pt idx="766">
                  <c:v>10148.820000000005</c:v>
                </c:pt>
                <c:pt idx="767">
                  <c:v>10148.820000000005</c:v>
                </c:pt>
                <c:pt idx="768">
                  <c:v>10148.820000000005</c:v>
                </c:pt>
                <c:pt idx="769">
                  <c:v>10148.820000000005</c:v>
                </c:pt>
                <c:pt idx="770">
                  <c:v>10148.820000000005</c:v>
                </c:pt>
                <c:pt idx="771">
                  <c:v>10148.820000000005</c:v>
                </c:pt>
                <c:pt idx="772">
                  <c:v>10148.820000000005</c:v>
                </c:pt>
                <c:pt idx="773">
                  <c:v>10148.820000000005</c:v>
                </c:pt>
                <c:pt idx="774">
                  <c:v>10148.820000000005</c:v>
                </c:pt>
                <c:pt idx="775">
                  <c:v>10148.820000000005</c:v>
                </c:pt>
                <c:pt idx="776">
                  <c:v>10148.820000000005</c:v>
                </c:pt>
                <c:pt idx="777">
                  <c:v>10148.820000000005</c:v>
                </c:pt>
                <c:pt idx="778">
                  <c:v>10148.820000000005</c:v>
                </c:pt>
                <c:pt idx="779">
                  <c:v>10148.820000000005</c:v>
                </c:pt>
                <c:pt idx="780">
                  <c:v>10148.820000000005</c:v>
                </c:pt>
                <c:pt idx="781">
                  <c:v>10148.820000000005</c:v>
                </c:pt>
                <c:pt idx="782">
                  <c:v>10148.820000000005</c:v>
                </c:pt>
                <c:pt idx="783">
                  <c:v>10148.820000000005</c:v>
                </c:pt>
                <c:pt idx="784">
                  <c:v>10148.820000000005</c:v>
                </c:pt>
                <c:pt idx="785">
                  <c:v>10148.820000000005</c:v>
                </c:pt>
                <c:pt idx="786">
                  <c:v>10148.820000000005</c:v>
                </c:pt>
                <c:pt idx="787">
                  <c:v>10148.820000000005</c:v>
                </c:pt>
                <c:pt idx="788">
                  <c:v>10148.820000000005</c:v>
                </c:pt>
                <c:pt idx="789">
                  <c:v>10148.820000000005</c:v>
                </c:pt>
                <c:pt idx="790">
                  <c:v>10148.820000000005</c:v>
                </c:pt>
                <c:pt idx="791">
                  <c:v>10148.820000000005</c:v>
                </c:pt>
                <c:pt idx="792">
                  <c:v>10148.820000000005</c:v>
                </c:pt>
                <c:pt idx="793">
                  <c:v>10148.820000000005</c:v>
                </c:pt>
                <c:pt idx="794">
                  <c:v>10148.820000000005</c:v>
                </c:pt>
                <c:pt idx="795">
                  <c:v>10148.820000000005</c:v>
                </c:pt>
                <c:pt idx="796">
                  <c:v>10148.820000000005</c:v>
                </c:pt>
                <c:pt idx="797">
                  <c:v>10148.820000000005</c:v>
                </c:pt>
                <c:pt idx="798">
                  <c:v>10148.820000000005</c:v>
                </c:pt>
                <c:pt idx="799">
                  <c:v>10148.820000000005</c:v>
                </c:pt>
                <c:pt idx="800">
                  <c:v>10148.820000000005</c:v>
                </c:pt>
                <c:pt idx="801">
                  <c:v>10148.820000000005</c:v>
                </c:pt>
                <c:pt idx="802">
                  <c:v>10148.820000000005</c:v>
                </c:pt>
                <c:pt idx="803">
                  <c:v>10148.820000000005</c:v>
                </c:pt>
                <c:pt idx="804">
                  <c:v>10148.820000000005</c:v>
                </c:pt>
                <c:pt idx="805">
                  <c:v>10148.820000000005</c:v>
                </c:pt>
                <c:pt idx="806">
                  <c:v>10148.820000000005</c:v>
                </c:pt>
                <c:pt idx="807">
                  <c:v>10148.820000000005</c:v>
                </c:pt>
                <c:pt idx="808">
                  <c:v>10148.820000000005</c:v>
                </c:pt>
                <c:pt idx="809">
                  <c:v>10148.820000000005</c:v>
                </c:pt>
                <c:pt idx="810">
                  <c:v>10148.820000000005</c:v>
                </c:pt>
                <c:pt idx="811">
                  <c:v>10148.820000000005</c:v>
                </c:pt>
                <c:pt idx="812">
                  <c:v>10148.820000000005</c:v>
                </c:pt>
                <c:pt idx="813">
                  <c:v>10148.820000000005</c:v>
                </c:pt>
                <c:pt idx="814">
                  <c:v>10148.820000000005</c:v>
                </c:pt>
                <c:pt idx="815">
                  <c:v>10148.820000000005</c:v>
                </c:pt>
                <c:pt idx="816">
                  <c:v>10148.820000000005</c:v>
                </c:pt>
                <c:pt idx="817">
                  <c:v>10148.820000000005</c:v>
                </c:pt>
                <c:pt idx="818">
                  <c:v>10148.820000000005</c:v>
                </c:pt>
                <c:pt idx="819">
                  <c:v>10148.820000000005</c:v>
                </c:pt>
                <c:pt idx="820">
                  <c:v>10148.820000000005</c:v>
                </c:pt>
                <c:pt idx="821">
                  <c:v>10148.820000000005</c:v>
                </c:pt>
                <c:pt idx="822">
                  <c:v>10148.820000000005</c:v>
                </c:pt>
                <c:pt idx="823">
                  <c:v>10148.820000000005</c:v>
                </c:pt>
                <c:pt idx="824">
                  <c:v>10148.820000000005</c:v>
                </c:pt>
                <c:pt idx="825">
                  <c:v>10148.820000000005</c:v>
                </c:pt>
                <c:pt idx="826">
                  <c:v>10148.820000000005</c:v>
                </c:pt>
                <c:pt idx="827">
                  <c:v>10148.820000000005</c:v>
                </c:pt>
                <c:pt idx="828">
                  <c:v>10148.820000000005</c:v>
                </c:pt>
                <c:pt idx="829">
                  <c:v>10148.820000000005</c:v>
                </c:pt>
                <c:pt idx="830">
                  <c:v>10148.820000000005</c:v>
                </c:pt>
                <c:pt idx="831">
                  <c:v>10148.820000000005</c:v>
                </c:pt>
                <c:pt idx="832">
                  <c:v>10148.820000000005</c:v>
                </c:pt>
                <c:pt idx="833">
                  <c:v>10148.820000000005</c:v>
                </c:pt>
                <c:pt idx="834">
                  <c:v>10148.820000000005</c:v>
                </c:pt>
                <c:pt idx="835">
                  <c:v>10148.820000000005</c:v>
                </c:pt>
                <c:pt idx="836">
                  <c:v>10148.820000000005</c:v>
                </c:pt>
                <c:pt idx="837">
                  <c:v>10148.820000000005</c:v>
                </c:pt>
                <c:pt idx="838">
                  <c:v>10148.820000000005</c:v>
                </c:pt>
                <c:pt idx="839">
                  <c:v>10148.820000000005</c:v>
                </c:pt>
                <c:pt idx="840">
                  <c:v>10148.820000000005</c:v>
                </c:pt>
                <c:pt idx="841">
                  <c:v>10148.820000000005</c:v>
                </c:pt>
                <c:pt idx="842">
                  <c:v>10148.820000000005</c:v>
                </c:pt>
                <c:pt idx="843">
                  <c:v>10148.820000000005</c:v>
                </c:pt>
                <c:pt idx="844">
                  <c:v>10148.820000000005</c:v>
                </c:pt>
                <c:pt idx="845">
                  <c:v>10148.820000000005</c:v>
                </c:pt>
                <c:pt idx="846">
                  <c:v>10148.820000000005</c:v>
                </c:pt>
                <c:pt idx="847">
                  <c:v>10148.820000000005</c:v>
                </c:pt>
                <c:pt idx="848">
                  <c:v>10148.820000000005</c:v>
                </c:pt>
                <c:pt idx="849">
                  <c:v>10148.820000000005</c:v>
                </c:pt>
                <c:pt idx="850">
                  <c:v>10148.820000000005</c:v>
                </c:pt>
                <c:pt idx="851">
                  <c:v>10148.820000000005</c:v>
                </c:pt>
                <c:pt idx="852">
                  <c:v>10148.820000000005</c:v>
                </c:pt>
                <c:pt idx="853">
                  <c:v>10148.820000000005</c:v>
                </c:pt>
                <c:pt idx="854">
                  <c:v>10148.820000000005</c:v>
                </c:pt>
                <c:pt idx="855">
                  <c:v>10148.820000000005</c:v>
                </c:pt>
                <c:pt idx="856">
                  <c:v>10148.820000000005</c:v>
                </c:pt>
                <c:pt idx="857">
                  <c:v>10148.820000000005</c:v>
                </c:pt>
                <c:pt idx="858">
                  <c:v>10148.820000000005</c:v>
                </c:pt>
                <c:pt idx="859">
                  <c:v>10148.820000000005</c:v>
                </c:pt>
                <c:pt idx="860">
                  <c:v>10148.820000000005</c:v>
                </c:pt>
                <c:pt idx="861">
                  <c:v>10148.820000000005</c:v>
                </c:pt>
                <c:pt idx="862">
                  <c:v>10148.820000000005</c:v>
                </c:pt>
                <c:pt idx="863">
                  <c:v>10148.820000000005</c:v>
                </c:pt>
                <c:pt idx="864">
                  <c:v>10148.820000000005</c:v>
                </c:pt>
                <c:pt idx="865">
                  <c:v>10148.820000000005</c:v>
                </c:pt>
                <c:pt idx="866">
                  <c:v>10148.820000000005</c:v>
                </c:pt>
                <c:pt idx="867">
                  <c:v>10148.820000000005</c:v>
                </c:pt>
                <c:pt idx="868">
                  <c:v>10148.820000000005</c:v>
                </c:pt>
                <c:pt idx="869">
                  <c:v>10148.820000000005</c:v>
                </c:pt>
                <c:pt idx="870">
                  <c:v>10148.820000000005</c:v>
                </c:pt>
                <c:pt idx="871">
                  <c:v>10148.820000000005</c:v>
                </c:pt>
                <c:pt idx="872">
                  <c:v>10148.820000000005</c:v>
                </c:pt>
                <c:pt idx="873">
                  <c:v>10148.820000000005</c:v>
                </c:pt>
                <c:pt idx="874">
                  <c:v>10148.820000000005</c:v>
                </c:pt>
                <c:pt idx="875">
                  <c:v>10148.820000000005</c:v>
                </c:pt>
                <c:pt idx="876">
                  <c:v>10148.820000000005</c:v>
                </c:pt>
                <c:pt idx="877">
                  <c:v>10148.820000000005</c:v>
                </c:pt>
                <c:pt idx="878">
                  <c:v>10148.820000000005</c:v>
                </c:pt>
                <c:pt idx="879">
                  <c:v>10148.820000000005</c:v>
                </c:pt>
                <c:pt idx="880">
                  <c:v>10148.820000000005</c:v>
                </c:pt>
                <c:pt idx="881">
                  <c:v>10148.820000000005</c:v>
                </c:pt>
                <c:pt idx="882">
                  <c:v>10148.820000000005</c:v>
                </c:pt>
                <c:pt idx="883">
                  <c:v>10148.820000000005</c:v>
                </c:pt>
                <c:pt idx="884">
                  <c:v>10148.820000000005</c:v>
                </c:pt>
                <c:pt idx="885">
                  <c:v>10148.820000000005</c:v>
                </c:pt>
                <c:pt idx="886">
                  <c:v>10148.820000000005</c:v>
                </c:pt>
                <c:pt idx="887">
                  <c:v>10148.820000000005</c:v>
                </c:pt>
                <c:pt idx="888">
                  <c:v>10148.820000000005</c:v>
                </c:pt>
                <c:pt idx="889">
                  <c:v>10148.820000000005</c:v>
                </c:pt>
                <c:pt idx="890">
                  <c:v>10148.820000000005</c:v>
                </c:pt>
                <c:pt idx="891">
                  <c:v>10148.820000000005</c:v>
                </c:pt>
                <c:pt idx="892">
                  <c:v>10148.820000000005</c:v>
                </c:pt>
                <c:pt idx="893">
                  <c:v>10148.820000000005</c:v>
                </c:pt>
                <c:pt idx="894">
                  <c:v>10148.820000000005</c:v>
                </c:pt>
                <c:pt idx="895">
                  <c:v>10148.820000000005</c:v>
                </c:pt>
                <c:pt idx="896">
                  <c:v>10148.820000000005</c:v>
                </c:pt>
                <c:pt idx="897">
                  <c:v>10148.820000000005</c:v>
                </c:pt>
                <c:pt idx="898">
                  <c:v>10148.820000000005</c:v>
                </c:pt>
                <c:pt idx="899">
                  <c:v>10148.820000000005</c:v>
                </c:pt>
                <c:pt idx="900">
                  <c:v>10148.820000000005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B-4E71-9EE8-AA1C0DDA2E38}"/>
            </c:ext>
          </c:extLst>
        </c:ser>
        <c:ser>
          <c:idx val="1"/>
          <c:order val="1"/>
          <c:tx>
            <c:strRef>
              <c:f>Analysis!$N$1</c:f>
              <c:strCache>
                <c:ptCount val="1"/>
                <c:pt idx="0">
                  <c:v>Cumulative Slipped PnL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strRef>
              <c:f>Analysis!$L$2:$L$903</c:f>
              <c:strCache>
                <c:ptCount val="901"/>
                <c:pt idx="0">
                  <c:v>signal</c:v>
                </c:pt>
                <c:pt idx="1">
                  <c:v>signal</c:v>
                </c:pt>
                <c:pt idx="2">
                  <c:v>signal</c:v>
                </c:pt>
                <c:pt idx="3">
                  <c:v>signal</c:v>
                </c:pt>
                <c:pt idx="4">
                  <c:v>signal</c:v>
                </c:pt>
                <c:pt idx="5">
                  <c:v>signal</c:v>
                </c:pt>
                <c:pt idx="6">
                  <c:v>signal</c:v>
                </c:pt>
                <c:pt idx="7">
                  <c:v>signal</c:v>
                </c:pt>
                <c:pt idx="8">
                  <c:v>signal</c:v>
                </c:pt>
                <c:pt idx="9">
                  <c:v>signal</c:v>
                </c:pt>
                <c:pt idx="10">
                  <c:v>signal</c:v>
                </c:pt>
                <c:pt idx="11">
                  <c:v>signal</c:v>
                </c:pt>
                <c:pt idx="12">
                  <c:v>signal</c:v>
                </c:pt>
                <c:pt idx="13">
                  <c:v>signal</c:v>
                </c:pt>
                <c:pt idx="14">
                  <c:v>signal</c:v>
                </c:pt>
                <c:pt idx="15">
                  <c:v>signal</c:v>
                </c:pt>
                <c:pt idx="16">
                  <c:v>signal</c:v>
                </c:pt>
                <c:pt idx="17">
                  <c:v>signal</c:v>
                </c:pt>
                <c:pt idx="18">
                  <c:v>signal</c:v>
                </c:pt>
                <c:pt idx="19">
                  <c:v>signal</c:v>
                </c:pt>
                <c:pt idx="20">
                  <c:v>signal</c:v>
                </c:pt>
                <c:pt idx="21">
                  <c:v>signal</c:v>
                </c:pt>
                <c:pt idx="22">
                  <c:v>signal</c:v>
                </c:pt>
                <c:pt idx="23">
                  <c:v>signal</c:v>
                </c:pt>
                <c:pt idx="24">
                  <c:v>signal</c:v>
                </c:pt>
                <c:pt idx="25">
                  <c:v>signal</c:v>
                </c:pt>
                <c:pt idx="26">
                  <c:v>signal</c:v>
                </c:pt>
                <c:pt idx="27">
                  <c:v>signal</c:v>
                </c:pt>
                <c:pt idx="28">
                  <c:v>signal</c:v>
                </c:pt>
                <c:pt idx="29">
                  <c:v>signal</c:v>
                </c:pt>
                <c:pt idx="30">
                  <c:v>signal</c:v>
                </c:pt>
                <c:pt idx="31">
                  <c:v>signal</c:v>
                </c:pt>
                <c:pt idx="32">
                  <c:v>signal</c:v>
                </c:pt>
                <c:pt idx="33">
                  <c:v>signal</c:v>
                </c:pt>
                <c:pt idx="34">
                  <c:v>signal</c:v>
                </c:pt>
                <c:pt idx="35">
                  <c:v>signal</c:v>
                </c:pt>
                <c:pt idx="36">
                  <c:v>signal</c:v>
                </c:pt>
                <c:pt idx="37">
                  <c:v>signal</c:v>
                </c:pt>
                <c:pt idx="38">
                  <c:v>signal</c:v>
                </c:pt>
                <c:pt idx="39">
                  <c:v>signal</c:v>
                </c:pt>
                <c:pt idx="40">
                  <c:v>signal</c:v>
                </c:pt>
                <c:pt idx="41">
                  <c:v>signal</c:v>
                </c:pt>
                <c:pt idx="42">
                  <c:v>signal</c:v>
                </c:pt>
                <c:pt idx="43">
                  <c:v>signal</c:v>
                </c:pt>
                <c:pt idx="44">
                  <c:v>signal</c:v>
                </c:pt>
                <c:pt idx="45">
                  <c:v>signal</c:v>
                </c:pt>
                <c:pt idx="46">
                  <c:v>signal</c:v>
                </c:pt>
                <c:pt idx="47">
                  <c:v>signal</c:v>
                </c:pt>
                <c:pt idx="48">
                  <c:v>signal</c:v>
                </c:pt>
                <c:pt idx="49">
                  <c:v>signal</c:v>
                </c:pt>
                <c:pt idx="50">
                  <c:v>signal</c:v>
                </c:pt>
                <c:pt idx="51">
                  <c:v>signal</c:v>
                </c:pt>
                <c:pt idx="52">
                  <c:v>signal</c:v>
                </c:pt>
                <c:pt idx="53">
                  <c:v>signal</c:v>
                </c:pt>
                <c:pt idx="54">
                  <c:v>signal</c:v>
                </c:pt>
                <c:pt idx="55">
                  <c:v>signal</c:v>
                </c:pt>
                <c:pt idx="56">
                  <c:v>signal</c:v>
                </c:pt>
                <c:pt idx="57">
                  <c:v>signal</c:v>
                </c:pt>
                <c:pt idx="58">
                  <c:v>signal</c:v>
                </c:pt>
                <c:pt idx="59">
                  <c:v>signal</c:v>
                </c:pt>
                <c:pt idx="60">
                  <c:v>signal</c:v>
                </c:pt>
                <c:pt idx="61">
                  <c:v>signal</c:v>
                </c:pt>
                <c:pt idx="62">
                  <c:v>signal</c:v>
                </c:pt>
                <c:pt idx="63">
                  <c:v>signal</c:v>
                </c:pt>
                <c:pt idx="64">
                  <c:v>signal</c:v>
                </c:pt>
                <c:pt idx="65">
                  <c:v>signal</c:v>
                </c:pt>
                <c:pt idx="66">
                  <c:v>signal</c:v>
                </c:pt>
                <c:pt idx="67">
                  <c:v>signal</c:v>
                </c:pt>
                <c:pt idx="68">
                  <c:v>signal</c:v>
                </c:pt>
                <c:pt idx="69">
                  <c:v>signal</c:v>
                </c:pt>
                <c:pt idx="70">
                  <c:v>signal</c:v>
                </c:pt>
                <c:pt idx="71">
                  <c:v>signal</c:v>
                </c:pt>
                <c:pt idx="72">
                  <c:v>signal</c:v>
                </c:pt>
                <c:pt idx="73">
                  <c:v>signal</c:v>
                </c:pt>
                <c:pt idx="74">
                  <c:v>signal</c:v>
                </c:pt>
                <c:pt idx="75">
                  <c:v>forced</c:v>
                </c:pt>
                <c:pt idx="76">
                  <c:v>signal</c:v>
                </c:pt>
                <c:pt idx="77">
                  <c:v>signal</c:v>
                </c:pt>
                <c:pt idx="78">
                  <c:v>signal</c:v>
                </c:pt>
                <c:pt idx="79">
                  <c:v>0</c:v>
                </c:pt>
                <c:pt idx="80">
                  <c:v>0</c:v>
                </c:pt>
                <c:pt idx="81">
                  <c:v>signal</c:v>
                </c:pt>
                <c:pt idx="82">
                  <c:v>signal</c:v>
                </c:pt>
                <c:pt idx="83">
                  <c:v>0</c:v>
                </c:pt>
                <c:pt idx="84">
                  <c:v>signal</c:v>
                </c:pt>
                <c:pt idx="85">
                  <c:v>signal</c:v>
                </c:pt>
                <c:pt idx="86">
                  <c:v>0</c:v>
                </c:pt>
                <c:pt idx="87">
                  <c:v>signal</c:v>
                </c:pt>
                <c:pt idx="88">
                  <c:v>signal</c:v>
                </c:pt>
                <c:pt idx="89">
                  <c:v>signal</c:v>
                </c:pt>
                <c:pt idx="90">
                  <c:v>signal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strCache>
            </c:strRef>
          </c:xVal>
          <c:yVal>
            <c:numRef>
              <c:f>Analysis!$N$2:$N$903</c:f>
              <c:numCache>
                <c:formatCode>0.00000;[Red]\(0.00000\);\-</c:formatCode>
                <c:ptCount val="902"/>
                <c:pt idx="0">
                  <c:v>0.32285625941740792</c:v>
                </c:pt>
                <c:pt idx="1">
                  <c:v>0.59790224992176821</c:v>
                </c:pt>
                <c:pt idx="2">
                  <c:v>0.50394977438569699</c:v>
                </c:pt>
                <c:pt idx="3">
                  <c:v>0.18880803704292698</c:v>
                </c:pt>
                <c:pt idx="4">
                  <c:v>0.48700867879096477</c:v>
                </c:pt>
                <c:pt idx="5">
                  <c:v>0.49237588534910609</c:v>
                </c:pt>
                <c:pt idx="6">
                  <c:v>0.17411608031346698</c:v>
                </c:pt>
                <c:pt idx="7">
                  <c:v>0.49821397474970819</c:v>
                </c:pt>
                <c:pt idx="8">
                  <c:v>0.12006464490556257</c:v>
                </c:pt>
                <c:pt idx="9">
                  <c:v>0.62656581735118466</c:v>
                </c:pt>
                <c:pt idx="10">
                  <c:v>0.35596762893101896</c:v>
                </c:pt>
                <c:pt idx="11">
                  <c:v>0.48279195070568504</c:v>
                </c:pt>
                <c:pt idx="12">
                  <c:v>0.13270712080587466</c:v>
                </c:pt>
                <c:pt idx="13">
                  <c:v>-8.8578729809542733E-2</c:v>
                </c:pt>
                <c:pt idx="14">
                  <c:v>0.40243136022950288</c:v>
                </c:pt>
                <c:pt idx="15">
                  <c:v>0.54593177491916067</c:v>
                </c:pt>
                <c:pt idx="16">
                  <c:v>5.9731094322283351E-2</c:v>
                </c:pt>
                <c:pt idx="17">
                  <c:v>-0.20790767018993883</c:v>
                </c:pt>
                <c:pt idx="18">
                  <c:v>-0.64870004115791224</c:v>
                </c:pt>
                <c:pt idx="19">
                  <c:v>-0.96170554778091843</c:v>
                </c:pt>
                <c:pt idx="20">
                  <c:v>-0.58933354032702934</c:v>
                </c:pt>
                <c:pt idx="21">
                  <c:v>-9.1670784581330544E-2</c:v>
                </c:pt>
                <c:pt idx="22">
                  <c:v>-0.12266820975211624</c:v>
                </c:pt>
                <c:pt idx="23">
                  <c:v>-0.25282199380085102</c:v>
                </c:pt>
                <c:pt idx="24">
                  <c:v>0.10783598823791191</c:v>
                </c:pt>
                <c:pt idx="25">
                  <c:v>-0.16607106324501841</c:v>
                </c:pt>
                <c:pt idx="26">
                  <c:v>0.21899699623792268</c:v>
                </c:pt>
                <c:pt idx="27">
                  <c:v>0.4910238293550907</c:v>
                </c:pt>
                <c:pt idx="28">
                  <c:v>0.87027992664398734</c:v>
                </c:pt>
                <c:pt idx="29">
                  <c:v>0.42909392147133135</c:v>
                </c:pt>
                <c:pt idx="30">
                  <c:v>0.63654799032150544</c:v>
                </c:pt>
                <c:pt idx="31">
                  <c:v>1.1212994773277236</c:v>
                </c:pt>
                <c:pt idx="32">
                  <c:v>0.74932506081823813</c:v>
                </c:pt>
                <c:pt idx="33">
                  <c:v>1.1148411330471419</c:v>
                </c:pt>
                <c:pt idx="34">
                  <c:v>0.6162795245395154</c:v>
                </c:pt>
                <c:pt idx="35">
                  <c:v>1.0585862132503083</c:v>
                </c:pt>
                <c:pt idx="36">
                  <c:v>0.57031584089375675</c:v>
                </c:pt>
                <c:pt idx="37">
                  <c:v>0.91235225055200153</c:v>
                </c:pt>
                <c:pt idx="38">
                  <c:v>1.3289206022929476</c:v>
                </c:pt>
                <c:pt idx="39">
                  <c:v>1.1940242971836039</c:v>
                </c:pt>
                <c:pt idx="40">
                  <c:v>1.6416909183174777</c:v>
                </c:pt>
                <c:pt idx="41">
                  <c:v>2.132438892327174</c:v>
                </c:pt>
                <c:pt idx="42">
                  <c:v>2.3246524149289032</c:v>
                </c:pt>
                <c:pt idx="43">
                  <c:v>2.0313786660412925</c:v>
                </c:pt>
                <c:pt idx="44">
                  <c:v>1.9809282476590486</c:v>
                </c:pt>
                <c:pt idx="45">
                  <c:v>1.5104066134914813</c:v>
                </c:pt>
                <c:pt idx="46">
                  <c:v>1.888787995938076</c:v>
                </c:pt>
                <c:pt idx="47">
                  <c:v>2.0075447844553636</c:v>
                </c:pt>
                <c:pt idx="48">
                  <c:v>1.9702127148100572</c:v>
                </c:pt>
                <c:pt idx="49">
                  <c:v>1.9501826932221009</c:v>
                </c:pt>
                <c:pt idx="50">
                  <c:v>1.5355145348885459</c:v>
                </c:pt>
                <c:pt idx="51">
                  <c:v>1.4505233125289516</c:v>
                </c:pt>
                <c:pt idx="52">
                  <c:v>1.4246953133460023</c:v>
                </c:pt>
                <c:pt idx="53">
                  <c:v>1.3556587602255381</c:v>
                </c:pt>
                <c:pt idx="54">
                  <c:v>1.7905198015025967</c:v>
                </c:pt>
                <c:pt idx="55">
                  <c:v>1.3514761618959552</c:v>
                </c:pt>
                <c:pt idx="56">
                  <c:v>1.6997354475976136</c:v>
                </c:pt>
                <c:pt idx="57">
                  <c:v>2.1503858974431433</c:v>
                </c:pt>
                <c:pt idx="58">
                  <c:v>2.5207142295808089</c:v>
                </c:pt>
                <c:pt idx="59">
                  <c:v>2.9197573053671855</c:v>
                </c:pt>
                <c:pt idx="60">
                  <c:v>2.724947819956749</c:v>
                </c:pt>
                <c:pt idx="61">
                  <c:v>2.3173493759369839</c:v>
                </c:pt>
                <c:pt idx="62">
                  <c:v>2.1539525756903002</c:v>
                </c:pt>
                <c:pt idx="63">
                  <c:v>1.6979657727827542</c:v>
                </c:pt>
                <c:pt idx="64">
                  <c:v>2.0719277256366908</c:v>
                </c:pt>
                <c:pt idx="65">
                  <c:v>2.3631198486591365</c:v>
                </c:pt>
                <c:pt idx="66">
                  <c:v>2.2001178378286581</c:v>
                </c:pt>
                <c:pt idx="67">
                  <c:v>2.692746864093464</c:v>
                </c:pt>
                <c:pt idx="68">
                  <c:v>2.8964037799720321</c:v>
                </c:pt>
                <c:pt idx="69">
                  <c:v>3.3922020313273746</c:v>
                </c:pt>
                <c:pt idx="70">
                  <c:v>3.3380449985375722</c:v>
                </c:pt>
                <c:pt idx="71">
                  <c:v>3.5235640267615409</c:v>
                </c:pt>
                <c:pt idx="72">
                  <c:v>3.7106424884114322</c:v>
                </c:pt>
                <c:pt idx="73">
                  <c:v>3.2743727922089163</c:v>
                </c:pt>
                <c:pt idx="74">
                  <c:v>3.3071550841069941</c:v>
                </c:pt>
                <c:pt idx="75">
                  <c:v>3.3071550841069941</c:v>
                </c:pt>
                <c:pt idx="76">
                  <c:v>3.2690625633996735</c:v>
                </c:pt>
                <c:pt idx="77">
                  <c:v>3.6454932272192906</c:v>
                </c:pt>
                <c:pt idx="78">
                  <c:v>3.7005003907199603</c:v>
                </c:pt>
                <c:pt idx="79">
                  <c:v>3.7005003907199603</c:v>
                </c:pt>
                <c:pt idx="80">
                  <c:v>3.7005003907199603</c:v>
                </c:pt>
                <c:pt idx="81">
                  <c:v>3.9909451905045921</c:v>
                </c:pt>
                <c:pt idx="82">
                  <c:v>3.6136604987237404</c:v>
                </c:pt>
                <c:pt idx="83">
                  <c:v>3.6136604987237404</c:v>
                </c:pt>
                <c:pt idx="84">
                  <c:v>3.7286428706886676</c:v>
                </c:pt>
                <c:pt idx="85">
                  <c:v>3.4149467743804864</c:v>
                </c:pt>
                <c:pt idx="86">
                  <c:v>1242.7728627743804</c:v>
                </c:pt>
                <c:pt idx="87">
                  <c:v>1242.2795459265333</c:v>
                </c:pt>
                <c:pt idx="88">
                  <c:v>1242.6447062957291</c:v>
                </c:pt>
                <c:pt idx="89">
                  <c:v>1242.8299612181329</c:v>
                </c:pt>
                <c:pt idx="90">
                  <c:v>1243.267081716187</c:v>
                </c:pt>
                <c:pt idx="91">
                  <c:v>1252.267081716187</c:v>
                </c:pt>
                <c:pt idx="92">
                  <c:v>1389.9735168272982</c:v>
                </c:pt>
                <c:pt idx="93">
                  <c:v>1389.9735168272982</c:v>
                </c:pt>
                <c:pt idx="94">
                  <c:v>1390.0798609355375</c:v>
                </c:pt>
                <c:pt idx="95">
                  <c:v>1390.0798609355375</c:v>
                </c:pt>
                <c:pt idx="96">
                  <c:v>1390.0798609355375</c:v>
                </c:pt>
                <c:pt idx="97">
                  <c:v>1390.0798609355375</c:v>
                </c:pt>
                <c:pt idx="98">
                  <c:v>1390.0798609355375</c:v>
                </c:pt>
                <c:pt idx="99">
                  <c:v>1390.0798609355375</c:v>
                </c:pt>
                <c:pt idx="100">
                  <c:v>1390.0798609355375</c:v>
                </c:pt>
                <c:pt idx="101">
                  <c:v>1390.0798609355375</c:v>
                </c:pt>
                <c:pt idx="102">
                  <c:v>1390.0798609355375</c:v>
                </c:pt>
                <c:pt idx="103">
                  <c:v>1390.0798609355375</c:v>
                </c:pt>
                <c:pt idx="104">
                  <c:v>1390.0798609355375</c:v>
                </c:pt>
                <c:pt idx="105">
                  <c:v>1390.0798609355375</c:v>
                </c:pt>
                <c:pt idx="106">
                  <c:v>1390.0798609355375</c:v>
                </c:pt>
                <c:pt idx="107">
                  <c:v>1390.0798609355375</c:v>
                </c:pt>
                <c:pt idx="108">
                  <c:v>1390.0798609355375</c:v>
                </c:pt>
                <c:pt idx="109">
                  <c:v>1390.0798609355375</c:v>
                </c:pt>
                <c:pt idx="110">
                  <c:v>1390.0798609355375</c:v>
                </c:pt>
                <c:pt idx="111">
                  <c:v>1390.0798609355375</c:v>
                </c:pt>
                <c:pt idx="112">
                  <c:v>1390.0798609355375</c:v>
                </c:pt>
                <c:pt idx="113">
                  <c:v>1390.0798609355375</c:v>
                </c:pt>
                <c:pt idx="114">
                  <c:v>1390.0798609355375</c:v>
                </c:pt>
                <c:pt idx="115">
                  <c:v>1390.0798609355375</c:v>
                </c:pt>
                <c:pt idx="116">
                  <c:v>1390.0798609355375</c:v>
                </c:pt>
                <c:pt idx="117">
                  <c:v>1390.0798609355375</c:v>
                </c:pt>
                <c:pt idx="118">
                  <c:v>1390.0798609355375</c:v>
                </c:pt>
                <c:pt idx="119">
                  <c:v>1390.0798609355375</c:v>
                </c:pt>
                <c:pt idx="120">
                  <c:v>1390.0798609355375</c:v>
                </c:pt>
                <c:pt idx="121">
                  <c:v>1390.0798609355375</c:v>
                </c:pt>
                <c:pt idx="122">
                  <c:v>1390.0798609355375</c:v>
                </c:pt>
                <c:pt idx="123">
                  <c:v>1390.0798609355375</c:v>
                </c:pt>
                <c:pt idx="124">
                  <c:v>1390.0798609355375</c:v>
                </c:pt>
                <c:pt idx="125">
                  <c:v>1390.0798609355375</c:v>
                </c:pt>
                <c:pt idx="126">
                  <c:v>1390.0798609355375</c:v>
                </c:pt>
                <c:pt idx="127">
                  <c:v>1390.0798609355375</c:v>
                </c:pt>
                <c:pt idx="128">
                  <c:v>1390.0798609355375</c:v>
                </c:pt>
                <c:pt idx="129">
                  <c:v>1390.0798609355375</c:v>
                </c:pt>
                <c:pt idx="130">
                  <c:v>1390.0798609355375</c:v>
                </c:pt>
                <c:pt idx="131">
                  <c:v>1390.0798609355375</c:v>
                </c:pt>
                <c:pt idx="132">
                  <c:v>1390.0798609355375</c:v>
                </c:pt>
                <c:pt idx="133">
                  <c:v>1390.0798609355375</c:v>
                </c:pt>
                <c:pt idx="134">
                  <c:v>1390.0798609355375</c:v>
                </c:pt>
                <c:pt idx="135">
                  <c:v>1390.0798609355375</c:v>
                </c:pt>
                <c:pt idx="136">
                  <c:v>1390.0798609355375</c:v>
                </c:pt>
                <c:pt idx="137">
                  <c:v>1390.0798609355375</c:v>
                </c:pt>
                <c:pt idx="138">
                  <c:v>1390.0798609355375</c:v>
                </c:pt>
                <c:pt idx="139">
                  <c:v>1390.0798609355375</c:v>
                </c:pt>
                <c:pt idx="140">
                  <c:v>1390.0798609355375</c:v>
                </c:pt>
                <c:pt idx="141">
                  <c:v>1390.0798609355375</c:v>
                </c:pt>
                <c:pt idx="142">
                  <c:v>1390.0798609355375</c:v>
                </c:pt>
                <c:pt idx="143">
                  <c:v>1390.0798609355375</c:v>
                </c:pt>
                <c:pt idx="144">
                  <c:v>1390.0798609355375</c:v>
                </c:pt>
                <c:pt idx="145">
                  <c:v>1390.0798609355375</c:v>
                </c:pt>
                <c:pt idx="146">
                  <c:v>1390.0798609355375</c:v>
                </c:pt>
                <c:pt idx="147">
                  <c:v>1390.0798609355375</c:v>
                </c:pt>
                <c:pt idx="148">
                  <c:v>1390.0798609355375</c:v>
                </c:pt>
                <c:pt idx="149">
                  <c:v>1390.0798609355375</c:v>
                </c:pt>
                <c:pt idx="150">
                  <c:v>1390.0798609355375</c:v>
                </c:pt>
                <c:pt idx="151">
                  <c:v>1390.0798609355375</c:v>
                </c:pt>
                <c:pt idx="152">
                  <c:v>1390.0798609355375</c:v>
                </c:pt>
                <c:pt idx="153">
                  <c:v>1390.0798609355375</c:v>
                </c:pt>
                <c:pt idx="154">
                  <c:v>1390.0798609355375</c:v>
                </c:pt>
                <c:pt idx="155">
                  <c:v>1390.0798609355375</c:v>
                </c:pt>
                <c:pt idx="156">
                  <c:v>1390.0798609355375</c:v>
                </c:pt>
                <c:pt idx="157">
                  <c:v>1390.0798609355375</c:v>
                </c:pt>
                <c:pt idx="158">
                  <c:v>1390.0798609355375</c:v>
                </c:pt>
                <c:pt idx="159">
                  <c:v>1390.0798609355375</c:v>
                </c:pt>
                <c:pt idx="160">
                  <c:v>1390.0798609355375</c:v>
                </c:pt>
                <c:pt idx="161">
                  <c:v>1390.0798609355375</c:v>
                </c:pt>
                <c:pt idx="162">
                  <c:v>1390.0798609355375</c:v>
                </c:pt>
                <c:pt idx="163">
                  <c:v>1390.0798609355375</c:v>
                </c:pt>
                <c:pt idx="164">
                  <c:v>1390.0798609355375</c:v>
                </c:pt>
                <c:pt idx="165">
                  <c:v>1390.0798609355375</c:v>
                </c:pt>
                <c:pt idx="166">
                  <c:v>1390.0798609355375</c:v>
                </c:pt>
                <c:pt idx="167">
                  <c:v>1390.0798609355375</c:v>
                </c:pt>
                <c:pt idx="168">
                  <c:v>1390.0798609355375</c:v>
                </c:pt>
                <c:pt idx="169">
                  <c:v>1390.0798609355375</c:v>
                </c:pt>
                <c:pt idx="170">
                  <c:v>1390.0798609355375</c:v>
                </c:pt>
                <c:pt idx="171">
                  <c:v>1390.0798609355375</c:v>
                </c:pt>
                <c:pt idx="172">
                  <c:v>1390.0798609355375</c:v>
                </c:pt>
                <c:pt idx="173">
                  <c:v>1390.0798609355375</c:v>
                </c:pt>
                <c:pt idx="174">
                  <c:v>1390.0798609355375</c:v>
                </c:pt>
                <c:pt idx="175">
                  <c:v>1390.0798609355375</c:v>
                </c:pt>
                <c:pt idx="176">
                  <c:v>1390.0798609355375</c:v>
                </c:pt>
                <c:pt idx="177">
                  <c:v>1390.0798609355375</c:v>
                </c:pt>
                <c:pt idx="178">
                  <c:v>1390.0798609355375</c:v>
                </c:pt>
                <c:pt idx="179">
                  <c:v>1390.0798609355375</c:v>
                </c:pt>
                <c:pt idx="180">
                  <c:v>1390.0798609355375</c:v>
                </c:pt>
                <c:pt idx="181">
                  <c:v>1390.0798609355375</c:v>
                </c:pt>
                <c:pt idx="182">
                  <c:v>1390.0798609355375</c:v>
                </c:pt>
                <c:pt idx="183">
                  <c:v>1390.0798609355375</c:v>
                </c:pt>
                <c:pt idx="184">
                  <c:v>1390.0798609355375</c:v>
                </c:pt>
                <c:pt idx="185">
                  <c:v>1390.0798609355375</c:v>
                </c:pt>
                <c:pt idx="186">
                  <c:v>1390.0798609355375</c:v>
                </c:pt>
                <c:pt idx="187">
                  <c:v>1390.0798609355375</c:v>
                </c:pt>
                <c:pt idx="188">
                  <c:v>1390.0798609355375</c:v>
                </c:pt>
                <c:pt idx="189">
                  <c:v>1390.0798609355375</c:v>
                </c:pt>
                <c:pt idx="190">
                  <c:v>1390.0798609355375</c:v>
                </c:pt>
                <c:pt idx="191">
                  <c:v>1390.0798609355375</c:v>
                </c:pt>
                <c:pt idx="192">
                  <c:v>1390.0798609355375</c:v>
                </c:pt>
                <c:pt idx="193">
                  <c:v>1390.0798609355375</c:v>
                </c:pt>
                <c:pt idx="194">
                  <c:v>1390.0798609355375</c:v>
                </c:pt>
                <c:pt idx="195">
                  <c:v>1390.0798609355375</c:v>
                </c:pt>
                <c:pt idx="196">
                  <c:v>1390.0798609355375</c:v>
                </c:pt>
                <c:pt idx="197">
                  <c:v>1390.0798609355375</c:v>
                </c:pt>
                <c:pt idx="198">
                  <c:v>1390.0798609355375</c:v>
                </c:pt>
                <c:pt idx="199">
                  <c:v>1390.0798609355375</c:v>
                </c:pt>
                <c:pt idx="200">
                  <c:v>1390.0798609355375</c:v>
                </c:pt>
                <c:pt idx="201">
                  <c:v>1390.0798609355375</c:v>
                </c:pt>
                <c:pt idx="202">
                  <c:v>1390.0798609355375</c:v>
                </c:pt>
                <c:pt idx="203">
                  <c:v>1390.0798609355375</c:v>
                </c:pt>
                <c:pt idx="204">
                  <c:v>1390.0798609355375</c:v>
                </c:pt>
                <c:pt idx="205">
                  <c:v>1390.0798609355375</c:v>
                </c:pt>
                <c:pt idx="206">
                  <c:v>1390.0798609355375</c:v>
                </c:pt>
                <c:pt idx="207">
                  <c:v>1390.0798609355375</c:v>
                </c:pt>
                <c:pt idx="208">
                  <c:v>1390.0798609355375</c:v>
                </c:pt>
                <c:pt idx="209">
                  <c:v>1390.0798609355375</c:v>
                </c:pt>
                <c:pt idx="210">
                  <c:v>1390.0798609355375</c:v>
                </c:pt>
                <c:pt idx="211">
                  <c:v>1390.0798609355375</c:v>
                </c:pt>
                <c:pt idx="212">
                  <c:v>1390.0798609355375</c:v>
                </c:pt>
                <c:pt idx="213">
                  <c:v>1390.0798609355375</c:v>
                </c:pt>
                <c:pt idx="214">
                  <c:v>1390.0798609355375</c:v>
                </c:pt>
                <c:pt idx="215">
                  <c:v>1390.0798609355375</c:v>
                </c:pt>
                <c:pt idx="216">
                  <c:v>1390.0798609355375</c:v>
                </c:pt>
                <c:pt idx="217">
                  <c:v>1390.0798609355375</c:v>
                </c:pt>
                <c:pt idx="218">
                  <c:v>1390.0798609355375</c:v>
                </c:pt>
                <c:pt idx="219">
                  <c:v>1390.0798609355375</c:v>
                </c:pt>
                <c:pt idx="220">
                  <c:v>1390.0798609355375</c:v>
                </c:pt>
                <c:pt idx="221">
                  <c:v>1390.0798609355375</c:v>
                </c:pt>
                <c:pt idx="222">
                  <c:v>1390.0798609355375</c:v>
                </c:pt>
                <c:pt idx="223">
                  <c:v>1390.0798609355375</c:v>
                </c:pt>
                <c:pt idx="224">
                  <c:v>1390.0798609355375</c:v>
                </c:pt>
                <c:pt idx="225">
                  <c:v>1390.0798609355375</c:v>
                </c:pt>
                <c:pt idx="226">
                  <c:v>1390.0798609355375</c:v>
                </c:pt>
                <c:pt idx="227">
                  <c:v>1390.0798609355375</c:v>
                </c:pt>
                <c:pt idx="228">
                  <c:v>1390.0798609355375</c:v>
                </c:pt>
                <c:pt idx="229">
                  <c:v>1390.0798609355375</c:v>
                </c:pt>
                <c:pt idx="230">
                  <c:v>1390.0798609355375</c:v>
                </c:pt>
                <c:pt idx="231">
                  <c:v>1390.0798609355375</c:v>
                </c:pt>
                <c:pt idx="232">
                  <c:v>1390.0798609355375</c:v>
                </c:pt>
                <c:pt idx="233">
                  <c:v>1390.0798609355375</c:v>
                </c:pt>
                <c:pt idx="234">
                  <c:v>1390.0798609355375</c:v>
                </c:pt>
                <c:pt idx="235">
                  <c:v>1390.0798609355375</c:v>
                </c:pt>
                <c:pt idx="236">
                  <c:v>1390.0798609355375</c:v>
                </c:pt>
                <c:pt idx="237">
                  <c:v>1390.0798609355375</c:v>
                </c:pt>
                <c:pt idx="238">
                  <c:v>1390.0798609355375</c:v>
                </c:pt>
                <c:pt idx="239">
                  <c:v>1390.0798609355375</c:v>
                </c:pt>
                <c:pt idx="240">
                  <c:v>1390.0798609355375</c:v>
                </c:pt>
                <c:pt idx="241">
                  <c:v>1390.0798609355375</c:v>
                </c:pt>
                <c:pt idx="242">
                  <c:v>1390.0798609355375</c:v>
                </c:pt>
                <c:pt idx="243">
                  <c:v>1390.0798609355375</c:v>
                </c:pt>
                <c:pt idx="244">
                  <c:v>1390.0798609355375</c:v>
                </c:pt>
                <c:pt idx="245">
                  <c:v>1390.0798609355375</c:v>
                </c:pt>
                <c:pt idx="246">
                  <c:v>1390.0798609355375</c:v>
                </c:pt>
                <c:pt idx="247">
                  <c:v>1390.0798609355375</c:v>
                </c:pt>
                <c:pt idx="248">
                  <c:v>1390.0798609355375</c:v>
                </c:pt>
                <c:pt idx="249">
                  <c:v>1390.0798609355375</c:v>
                </c:pt>
                <c:pt idx="250">
                  <c:v>1390.0798609355375</c:v>
                </c:pt>
                <c:pt idx="251">
                  <c:v>1390.0798609355375</c:v>
                </c:pt>
                <c:pt idx="252">
                  <c:v>1390.0798609355375</c:v>
                </c:pt>
                <c:pt idx="253">
                  <c:v>1390.0798609355375</c:v>
                </c:pt>
                <c:pt idx="254">
                  <c:v>1390.0798609355375</c:v>
                </c:pt>
                <c:pt idx="255">
                  <c:v>1390.0798609355375</c:v>
                </c:pt>
                <c:pt idx="256">
                  <c:v>1390.0798609355375</c:v>
                </c:pt>
                <c:pt idx="257">
                  <c:v>1390.0798609355375</c:v>
                </c:pt>
                <c:pt idx="258">
                  <c:v>1390.0798609355375</c:v>
                </c:pt>
                <c:pt idx="259">
                  <c:v>1390.0798609355375</c:v>
                </c:pt>
                <c:pt idx="260">
                  <c:v>1390.0798609355375</c:v>
                </c:pt>
                <c:pt idx="261">
                  <c:v>1390.0798609355375</c:v>
                </c:pt>
                <c:pt idx="262">
                  <c:v>1390.0798609355375</c:v>
                </c:pt>
                <c:pt idx="263">
                  <c:v>1390.0798609355375</c:v>
                </c:pt>
                <c:pt idx="264">
                  <c:v>1390.0798609355375</c:v>
                </c:pt>
                <c:pt idx="265">
                  <c:v>1390.0798609355375</c:v>
                </c:pt>
                <c:pt idx="266">
                  <c:v>1390.0798609355375</c:v>
                </c:pt>
                <c:pt idx="267">
                  <c:v>1390.0798609355375</c:v>
                </c:pt>
                <c:pt idx="268">
                  <c:v>1390.0798609355375</c:v>
                </c:pt>
                <c:pt idx="269">
                  <c:v>1390.0798609355375</c:v>
                </c:pt>
                <c:pt idx="270">
                  <c:v>1390.0798609355375</c:v>
                </c:pt>
                <c:pt idx="271">
                  <c:v>1390.0798609355375</c:v>
                </c:pt>
                <c:pt idx="272">
                  <c:v>1390.0798609355375</c:v>
                </c:pt>
                <c:pt idx="273">
                  <c:v>1390.0798609355375</c:v>
                </c:pt>
                <c:pt idx="274">
                  <c:v>1390.0798609355375</c:v>
                </c:pt>
                <c:pt idx="275">
                  <c:v>1390.0798609355375</c:v>
                </c:pt>
                <c:pt idx="276">
                  <c:v>1390.0798609355375</c:v>
                </c:pt>
                <c:pt idx="277">
                  <c:v>1390.0798609355375</c:v>
                </c:pt>
                <c:pt idx="278">
                  <c:v>1390.0798609355375</c:v>
                </c:pt>
                <c:pt idx="279">
                  <c:v>1390.0798609355375</c:v>
                </c:pt>
                <c:pt idx="280">
                  <c:v>1390.0798609355375</c:v>
                </c:pt>
                <c:pt idx="281">
                  <c:v>1390.0798609355375</c:v>
                </c:pt>
                <c:pt idx="282">
                  <c:v>1390.0798609355375</c:v>
                </c:pt>
                <c:pt idx="283">
                  <c:v>1390.0798609355375</c:v>
                </c:pt>
                <c:pt idx="284">
                  <c:v>1390.0798609355375</c:v>
                </c:pt>
                <c:pt idx="285">
                  <c:v>1390.0798609355375</c:v>
                </c:pt>
                <c:pt idx="286">
                  <c:v>1390.0798609355375</c:v>
                </c:pt>
                <c:pt idx="287">
                  <c:v>1390.0798609355375</c:v>
                </c:pt>
                <c:pt idx="288">
                  <c:v>1390.0798609355375</c:v>
                </c:pt>
                <c:pt idx="289">
                  <c:v>1390.0798609355375</c:v>
                </c:pt>
                <c:pt idx="290">
                  <c:v>1390.0798609355375</c:v>
                </c:pt>
                <c:pt idx="291">
                  <c:v>1390.0798609355375</c:v>
                </c:pt>
                <c:pt idx="292">
                  <c:v>1390.0798609355375</c:v>
                </c:pt>
                <c:pt idx="293">
                  <c:v>1390.0798609355375</c:v>
                </c:pt>
                <c:pt idx="294">
                  <c:v>1390.0798609355375</c:v>
                </c:pt>
                <c:pt idx="295">
                  <c:v>1390.0798609355375</c:v>
                </c:pt>
                <c:pt idx="296">
                  <c:v>1390.0798609355375</c:v>
                </c:pt>
                <c:pt idx="297">
                  <c:v>1390.0798609355375</c:v>
                </c:pt>
                <c:pt idx="298">
                  <c:v>1390.0798609355375</c:v>
                </c:pt>
                <c:pt idx="299">
                  <c:v>1390.0798609355375</c:v>
                </c:pt>
                <c:pt idx="300">
                  <c:v>1390.0798609355375</c:v>
                </c:pt>
                <c:pt idx="301">
                  <c:v>1390.0798609355375</c:v>
                </c:pt>
                <c:pt idx="302">
                  <c:v>1390.0798609355375</c:v>
                </c:pt>
                <c:pt idx="303">
                  <c:v>1390.0798609355375</c:v>
                </c:pt>
                <c:pt idx="304">
                  <c:v>1390.0798609355375</c:v>
                </c:pt>
                <c:pt idx="305">
                  <c:v>1390.0798609355375</c:v>
                </c:pt>
                <c:pt idx="306">
                  <c:v>1390.0798609355375</c:v>
                </c:pt>
                <c:pt idx="307">
                  <c:v>1390.0798609355375</c:v>
                </c:pt>
                <c:pt idx="308">
                  <c:v>1390.0798609355375</c:v>
                </c:pt>
                <c:pt idx="309">
                  <c:v>1390.0798609355375</c:v>
                </c:pt>
                <c:pt idx="310">
                  <c:v>1390.0798609355375</c:v>
                </c:pt>
                <c:pt idx="311">
                  <c:v>1390.0798609355375</c:v>
                </c:pt>
                <c:pt idx="312">
                  <c:v>1390.0798609355375</c:v>
                </c:pt>
                <c:pt idx="313">
                  <c:v>1390.0798609355375</c:v>
                </c:pt>
                <c:pt idx="314">
                  <c:v>1390.0798609355375</c:v>
                </c:pt>
                <c:pt idx="315">
                  <c:v>1390.0798609355375</c:v>
                </c:pt>
                <c:pt idx="316">
                  <c:v>1390.0798609355375</c:v>
                </c:pt>
                <c:pt idx="317">
                  <c:v>1390.0798609355375</c:v>
                </c:pt>
                <c:pt idx="318">
                  <c:v>1390.0798609355375</c:v>
                </c:pt>
                <c:pt idx="319">
                  <c:v>1390.0798609355375</c:v>
                </c:pt>
                <c:pt idx="320">
                  <c:v>1390.0798609355375</c:v>
                </c:pt>
                <c:pt idx="321">
                  <c:v>1390.0798609355375</c:v>
                </c:pt>
                <c:pt idx="322">
                  <c:v>1390.0798609355375</c:v>
                </c:pt>
                <c:pt idx="323">
                  <c:v>1390.0798609355375</c:v>
                </c:pt>
                <c:pt idx="324">
                  <c:v>1390.0798609355375</c:v>
                </c:pt>
                <c:pt idx="325">
                  <c:v>1390.0798609355375</c:v>
                </c:pt>
                <c:pt idx="326">
                  <c:v>1390.0798609355375</c:v>
                </c:pt>
                <c:pt idx="327">
                  <c:v>1390.0798609355375</c:v>
                </c:pt>
                <c:pt idx="328">
                  <c:v>1390.0798609355375</c:v>
                </c:pt>
                <c:pt idx="329">
                  <c:v>1390.0798609355375</c:v>
                </c:pt>
                <c:pt idx="330">
                  <c:v>1390.0798609355375</c:v>
                </c:pt>
                <c:pt idx="331">
                  <c:v>1390.0798609355375</c:v>
                </c:pt>
                <c:pt idx="332">
                  <c:v>1390.0798609355375</c:v>
                </c:pt>
                <c:pt idx="333">
                  <c:v>1390.0798609355375</c:v>
                </c:pt>
                <c:pt idx="334">
                  <c:v>1390.0798609355375</c:v>
                </c:pt>
                <c:pt idx="335">
                  <c:v>1390.0798609355375</c:v>
                </c:pt>
                <c:pt idx="336">
                  <c:v>1390.0798609355375</c:v>
                </c:pt>
                <c:pt idx="337">
                  <c:v>1390.0798609355375</c:v>
                </c:pt>
                <c:pt idx="338">
                  <c:v>1390.0798609355375</c:v>
                </c:pt>
                <c:pt idx="339">
                  <c:v>1390.0798609355375</c:v>
                </c:pt>
                <c:pt idx="340">
                  <c:v>1390.0798609355375</c:v>
                </c:pt>
                <c:pt idx="341">
                  <c:v>1390.0798609355375</c:v>
                </c:pt>
                <c:pt idx="342">
                  <c:v>1390.0798609355375</c:v>
                </c:pt>
                <c:pt idx="343">
                  <c:v>1390.0798609355375</c:v>
                </c:pt>
                <c:pt idx="344">
                  <c:v>1390.0798609355375</c:v>
                </c:pt>
                <c:pt idx="345">
                  <c:v>1390.0798609355375</c:v>
                </c:pt>
                <c:pt idx="346">
                  <c:v>1390.0798609355375</c:v>
                </c:pt>
                <c:pt idx="347">
                  <c:v>1390.0798609355375</c:v>
                </c:pt>
                <c:pt idx="348">
                  <c:v>1390.0798609355375</c:v>
                </c:pt>
                <c:pt idx="349">
                  <c:v>1390.0798609355375</c:v>
                </c:pt>
                <c:pt idx="350">
                  <c:v>1390.0798609355375</c:v>
                </c:pt>
                <c:pt idx="351">
                  <c:v>1390.0798609355375</c:v>
                </c:pt>
                <c:pt idx="352">
                  <c:v>1390.0798609355375</c:v>
                </c:pt>
                <c:pt idx="353">
                  <c:v>1390.0798609355375</c:v>
                </c:pt>
                <c:pt idx="354">
                  <c:v>1390.0798609355375</c:v>
                </c:pt>
                <c:pt idx="355">
                  <c:v>1390.0798609355375</c:v>
                </c:pt>
                <c:pt idx="356">
                  <c:v>1390.0798609355375</c:v>
                </c:pt>
                <c:pt idx="357">
                  <c:v>1390.0798609355375</c:v>
                </c:pt>
                <c:pt idx="358">
                  <c:v>1390.0798609355375</c:v>
                </c:pt>
                <c:pt idx="359">
                  <c:v>1390.0798609355375</c:v>
                </c:pt>
                <c:pt idx="360">
                  <c:v>1390.0798609355375</c:v>
                </c:pt>
                <c:pt idx="361">
                  <c:v>1390.0798609355375</c:v>
                </c:pt>
                <c:pt idx="362">
                  <c:v>1390.0798609355375</c:v>
                </c:pt>
                <c:pt idx="363">
                  <c:v>1390.0798609355375</c:v>
                </c:pt>
                <c:pt idx="364">
                  <c:v>1390.0798609355375</c:v>
                </c:pt>
                <c:pt idx="365">
                  <c:v>1390.0798609355375</c:v>
                </c:pt>
                <c:pt idx="366">
                  <c:v>1390.0798609355375</c:v>
                </c:pt>
                <c:pt idx="367">
                  <c:v>1390.0798609355375</c:v>
                </c:pt>
                <c:pt idx="368">
                  <c:v>1390.0798609355375</c:v>
                </c:pt>
                <c:pt idx="369">
                  <c:v>1390.0798609355375</c:v>
                </c:pt>
                <c:pt idx="370">
                  <c:v>1390.0798609355375</c:v>
                </c:pt>
                <c:pt idx="371">
                  <c:v>1390.0798609355375</c:v>
                </c:pt>
                <c:pt idx="372">
                  <c:v>1390.0798609355375</c:v>
                </c:pt>
                <c:pt idx="373">
                  <c:v>1390.0798609355375</c:v>
                </c:pt>
                <c:pt idx="374">
                  <c:v>1390.0798609355375</c:v>
                </c:pt>
                <c:pt idx="375">
                  <c:v>1390.0798609355375</c:v>
                </c:pt>
                <c:pt idx="376">
                  <c:v>1390.0798609355375</c:v>
                </c:pt>
                <c:pt idx="377">
                  <c:v>1390.0798609355375</c:v>
                </c:pt>
                <c:pt idx="378">
                  <c:v>1390.0798609355375</c:v>
                </c:pt>
                <c:pt idx="379">
                  <c:v>1390.0798609355375</c:v>
                </c:pt>
                <c:pt idx="380">
                  <c:v>1390.0798609355375</c:v>
                </c:pt>
                <c:pt idx="381">
                  <c:v>1390.0798609355375</c:v>
                </c:pt>
                <c:pt idx="382">
                  <c:v>1390.0798609355375</c:v>
                </c:pt>
                <c:pt idx="383">
                  <c:v>1390.0798609355375</c:v>
                </c:pt>
                <c:pt idx="384">
                  <c:v>1390.0798609355375</c:v>
                </c:pt>
                <c:pt idx="385">
                  <c:v>1390.0798609355375</c:v>
                </c:pt>
                <c:pt idx="386">
                  <c:v>1390.0798609355375</c:v>
                </c:pt>
                <c:pt idx="387">
                  <c:v>1390.0798609355375</c:v>
                </c:pt>
                <c:pt idx="388">
                  <c:v>1390.0798609355375</c:v>
                </c:pt>
                <c:pt idx="389">
                  <c:v>1390.0798609355375</c:v>
                </c:pt>
                <c:pt idx="390">
                  <c:v>1390.0798609355375</c:v>
                </c:pt>
                <c:pt idx="391">
                  <c:v>1390.0798609355375</c:v>
                </c:pt>
                <c:pt idx="392">
                  <c:v>1390.0798609355375</c:v>
                </c:pt>
                <c:pt idx="393">
                  <c:v>1390.0798609355375</c:v>
                </c:pt>
                <c:pt idx="394">
                  <c:v>1390.0798609355375</c:v>
                </c:pt>
                <c:pt idx="395">
                  <c:v>1390.0798609355375</c:v>
                </c:pt>
                <c:pt idx="396">
                  <c:v>1390.0798609355375</c:v>
                </c:pt>
                <c:pt idx="397">
                  <c:v>1390.0798609355375</c:v>
                </c:pt>
                <c:pt idx="398">
                  <c:v>1390.0798609355375</c:v>
                </c:pt>
                <c:pt idx="399">
                  <c:v>1390.0798609355375</c:v>
                </c:pt>
                <c:pt idx="400">
                  <c:v>1390.0798609355375</c:v>
                </c:pt>
                <c:pt idx="401">
                  <c:v>1390.0798609355375</c:v>
                </c:pt>
                <c:pt idx="402">
                  <c:v>1390.0798609355375</c:v>
                </c:pt>
                <c:pt idx="403">
                  <c:v>1390.0798609355375</c:v>
                </c:pt>
                <c:pt idx="404">
                  <c:v>1390.0798609355375</c:v>
                </c:pt>
                <c:pt idx="405">
                  <c:v>1390.0798609355375</c:v>
                </c:pt>
                <c:pt idx="406">
                  <c:v>1390.0798609355375</c:v>
                </c:pt>
                <c:pt idx="407">
                  <c:v>1390.0798609355375</c:v>
                </c:pt>
                <c:pt idx="408">
                  <c:v>1390.0798609355375</c:v>
                </c:pt>
                <c:pt idx="409">
                  <c:v>1390.0798609355375</c:v>
                </c:pt>
                <c:pt idx="410">
                  <c:v>1390.0798609355375</c:v>
                </c:pt>
                <c:pt idx="411">
                  <c:v>1390.0798609355375</c:v>
                </c:pt>
                <c:pt idx="412">
                  <c:v>1390.0798609355375</c:v>
                </c:pt>
                <c:pt idx="413">
                  <c:v>1390.0798609355375</c:v>
                </c:pt>
                <c:pt idx="414">
                  <c:v>1390.0798609355375</c:v>
                </c:pt>
                <c:pt idx="415">
                  <c:v>1390.0798609355375</c:v>
                </c:pt>
                <c:pt idx="416">
                  <c:v>1390.0798609355375</c:v>
                </c:pt>
                <c:pt idx="417">
                  <c:v>1390.0798609355375</c:v>
                </c:pt>
                <c:pt idx="418">
                  <c:v>1390.0798609355375</c:v>
                </c:pt>
                <c:pt idx="419">
                  <c:v>1390.0798609355375</c:v>
                </c:pt>
                <c:pt idx="420">
                  <c:v>1390.0798609355375</c:v>
                </c:pt>
                <c:pt idx="421">
                  <c:v>1390.0798609355375</c:v>
                </c:pt>
                <c:pt idx="422">
                  <c:v>1390.0798609355375</c:v>
                </c:pt>
                <c:pt idx="423">
                  <c:v>1390.0798609355375</c:v>
                </c:pt>
                <c:pt idx="424">
                  <c:v>1390.0798609355375</c:v>
                </c:pt>
                <c:pt idx="425">
                  <c:v>1390.0798609355375</c:v>
                </c:pt>
                <c:pt idx="426">
                  <c:v>1390.0798609355375</c:v>
                </c:pt>
                <c:pt idx="427">
                  <c:v>1390.0798609355375</c:v>
                </c:pt>
                <c:pt idx="428">
                  <c:v>1390.0798609355375</c:v>
                </c:pt>
                <c:pt idx="429">
                  <c:v>1390.0798609355375</c:v>
                </c:pt>
                <c:pt idx="430">
                  <c:v>1390.0798609355375</c:v>
                </c:pt>
                <c:pt idx="431">
                  <c:v>1390.0798609355375</c:v>
                </c:pt>
                <c:pt idx="432">
                  <c:v>1390.0798609355375</c:v>
                </c:pt>
                <c:pt idx="433">
                  <c:v>1390.0798609355375</c:v>
                </c:pt>
                <c:pt idx="434">
                  <c:v>1390.0798609355375</c:v>
                </c:pt>
                <c:pt idx="435">
                  <c:v>1390.0798609355375</c:v>
                </c:pt>
                <c:pt idx="436">
                  <c:v>1390.0798609355375</c:v>
                </c:pt>
                <c:pt idx="437">
                  <c:v>1390.0798609355375</c:v>
                </c:pt>
                <c:pt idx="438">
                  <c:v>1390.0798609355375</c:v>
                </c:pt>
                <c:pt idx="439">
                  <c:v>1390.0798609355375</c:v>
                </c:pt>
                <c:pt idx="440">
                  <c:v>1390.0798609355375</c:v>
                </c:pt>
                <c:pt idx="441">
                  <c:v>1390.0798609355375</c:v>
                </c:pt>
                <c:pt idx="442">
                  <c:v>1390.0798609355375</c:v>
                </c:pt>
                <c:pt idx="443">
                  <c:v>1390.0798609355375</c:v>
                </c:pt>
                <c:pt idx="444">
                  <c:v>1390.0798609355375</c:v>
                </c:pt>
                <c:pt idx="445">
                  <c:v>1390.0798609355375</c:v>
                </c:pt>
                <c:pt idx="446">
                  <c:v>1390.0798609355375</c:v>
                </c:pt>
                <c:pt idx="447">
                  <c:v>1390.0798609355375</c:v>
                </c:pt>
                <c:pt idx="448">
                  <c:v>1390.0798609355375</c:v>
                </c:pt>
                <c:pt idx="449">
                  <c:v>1390.0798609355375</c:v>
                </c:pt>
                <c:pt idx="450">
                  <c:v>1390.0798609355375</c:v>
                </c:pt>
                <c:pt idx="451">
                  <c:v>1390.0798609355375</c:v>
                </c:pt>
                <c:pt idx="452">
                  <c:v>1390.0798609355375</c:v>
                </c:pt>
                <c:pt idx="453">
                  <c:v>1390.0798609355375</c:v>
                </c:pt>
                <c:pt idx="454">
                  <c:v>1390.0798609355375</c:v>
                </c:pt>
                <c:pt idx="455">
                  <c:v>1390.0798609355375</c:v>
                </c:pt>
                <c:pt idx="456">
                  <c:v>1390.0798609355375</c:v>
                </c:pt>
                <c:pt idx="457">
                  <c:v>1390.0798609355375</c:v>
                </c:pt>
                <c:pt idx="458">
                  <c:v>1390.0798609355375</c:v>
                </c:pt>
                <c:pt idx="459">
                  <c:v>1390.0798609355375</c:v>
                </c:pt>
                <c:pt idx="460">
                  <c:v>1390.0798609355375</c:v>
                </c:pt>
                <c:pt idx="461">
                  <c:v>1390.0798609355375</c:v>
                </c:pt>
                <c:pt idx="462">
                  <c:v>1390.0798609355375</c:v>
                </c:pt>
                <c:pt idx="463">
                  <c:v>1390.0798609355375</c:v>
                </c:pt>
                <c:pt idx="464">
                  <c:v>1390.0798609355375</c:v>
                </c:pt>
                <c:pt idx="465">
                  <c:v>1390.0798609355375</c:v>
                </c:pt>
                <c:pt idx="466">
                  <c:v>1390.0798609355375</c:v>
                </c:pt>
                <c:pt idx="467">
                  <c:v>1390.0798609355375</c:v>
                </c:pt>
                <c:pt idx="468">
                  <c:v>1390.0798609355375</c:v>
                </c:pt>
                <c:pt idx="469">
                  <c:v>1390.0798609355375</c:v>
                </c:pt>
                <c:pt idx="470">
                  <c:v>1390.0798609355375</c:v>
                </c:pt>
                <c:pt idx="471">
                  <c:v>1390.0798609355375</c:v>
                </c:pt>
                <c:pt idx="472">
                  <c:v>1390.0798609355375</c:v>
                </c:pt>
                <c:pt idx="473">
                  <c:v>1390.0798609355375</c:v>
                </c:pt>
                <c:pt idx="474">
                  <c:v>1390.0798609355375</c:v>
                </c:pt>
                <c:pt idx="475">
                  <c:v>1390.0798609355375</c:v>
                </c:pt>
                <c:pt idx="476">
                  <c:v>1390.0798609355375</c:v>
                </c:pt>
                <c:pt idx="477">
                  <c:v>1390.0798609355375</c:v>
                </c:pt>
                <c:pt idx="478">
                  <c:v>1390.0798609355375</c:v>
                </c:pt>
                <c:pt idx="479">
                  <c:v>1390.0798609355375</c:v>
                </c:pt>
                <c:pt idx="480">
                  <c:v>1390.0798609355375</c:v>
                </c:pt>
                <c:pt idx="481">
                  <c:v>1390.0798609355375</c:v>
                </c:pt>
                <c:pt idx="482">
                  <c:v>1390.0798609355375</c:v>
                </c:pt>
                <c:pt idx="483">
                  <c:v>1390.0798609355375</c:v>
                </c:pt>
                <c:pt idx="484">
                  <c:v>1390.0798609355375</c:v>
                </c:pt>
                <c:pt idx="485">
                  <c:v>1390.0798609355375</c:v>
                </c:pt>
                <c:pt idx="486">
                  <c:v>1390.0798609355375</c:v>
                </c:pt>
                <c:pt idx="487">
                  <c:v>1390.0798609355375</c:v>
                </c:pt>
                <c:pt idx="488">
                  <c:v>1390.0798609355375</c:v>
                </c:pt>
                <c:pt idx="489">
                  <c:v>1390.0798609355375</c:v>
                </c:pt>
                <c:pt idx="490">
                  <c:v>1390.0798609355375</c:v>
                </c:pt>
                <c:pt idx="491">
                  <c:v>1390.0798609355375</c:v>
                </c:pt>
                <c:pt idx="492">
                  <c:v>1390.0798609355375</c:v>
                </c:pt>
                <c:pt idx="493">
                  <c:v>1390.0798609355375</c:v>
                </c:pt>
                <c:pt idx="494">
                  <c:v>1390.0798609355375</c:v>
                </c:pt>
                <c:pt idx="495">
                  <c:v>1390.0798609355375</c:v>
                </c:pt>
                <c:pt idx="496">
                  <c:v>1390.0798609355375</c:v>
                </c:pt>
                <c:pt idx="497">
                  <c:v>1390.0798609355375</c:v>
                </c:pt>
                <c:pt idx="498">
                  <c:v>1390.0798609355375</c:v>
                </c:pt>
                <c:pt idx="499">
                  <c:v>1390.0798609355375</c:v>
                </c:pt>
                <c:pt idx="500">
                  <c:v>1390.0798609355375</c:v>
                </c:pt>
                <c:pt idx="501">
                  <c:v>1390.0798609355375</c:v>
                </c:pt>
                <c:pt idx="502">
                  <c:v>1390.0798609355375</c:v>
                </c:pt>
                <c:pt idx="503">
                  <c:v>1390.0798609355375</c:v>
                </c:pt>
                <c:pt idx="504">
                  <c:v>1390.0798609355375</c:v>
                </c:pt>
                <c:pt idx="505">
                  <c:v>1390.0798609355375</c:v>
                </c:pt>
                <c:pt idx="506">
                  <c:v>1390.0798609355375</c:v>
                </c:pt>
                <c:pt idx="507">
                  <c:v>1390.0798609355375</c:v>
                </c:pt>
                <c:pt idx="508">
                  <c:v>1390.0798609355375</c:v>
                </c:pt>
                <c:pt idx="509">
                  <c:v>1390.0798609355375</c:v>
                </c:pt>
                <c:pt idx="510">
                  <c:v>1390.0798609355375</c:v>
                </c:pt>
                <c:pt idx="511">
                  <c:v>1390.0798609355375</c:v>
                </c:pt>
                <c:pt idx="512">
                  <c:v>1390.0798609355375</c:v>
                </c:pt>
                <c:pt idx="513">
                  <c:v>1390.0798609355375</c:v>
                </c:pt>
                <c:pt idx="514">
                  <c:v>1390.0798609355375</c:v>
                </c:pt>
                <c:pt idx="515">
                  <c:v>1390.0798609355375</c:v>
                </c:pt>
                <c:pt idx="516">
                  <c:v>1390.0798609355375</c:v>
                </c:pt>
                <c:pt idx="517">
                  <c:v>1390.0798609355375</c:v>
                </c:pt>
                <c:pt idx="518">
                  <c:v>1390.0798609355375</c:v>
                </c:pt>
                <c:pt idx="519">
                  <c:v>1390.0798609355375</c:v>
                </c:pt>
                <c:pt idx="520">
                  <c:v>1390.0798609355375</c:v>
                </c:pt>
                <c:pt idx="521">
                  <c:v>1390.0798609355375</c:v>
                </c:pt>
                <c:pt idx="522">
                  <c:v>1390.0798609355375</c:v>
                </c:pt>
                <c:pt idx="523">
                  <c:v>1390.0798609355375</c:v>
                </c:pt>
                <c:pt idx="524">
                  <c:v>1390.0798609355375</c:v>
                </c:pt>
                <c:pt idx="525">
                  <c:v>1390.0798609355375</c:v>
                </c:pt>
                <c:pt idx="526">
                  <c:v>1390.0798609355375</c:v>
                </c:pt>
                <c:pt idx="527">
                  <c:v>1390.0798609355375</c:v>
                </c:pt>
                <c:pt idx="528">
                  <c:v>1390.0798609355375</c:v>
                </c:pt>
                <c:pt idx="529">
                  <c:v>1390.0798609355375</c:v>
                </c:pt>
                <c:pt idx="530">
                  <c:v>1390.0798609355375</c:v>
                </c:pt>
                <c:pt idx="531">
                  <c:v>1390.0798609355375</c:v>
                </c:pt>
                <c:pt idx="532">
                  <c:v>1390.0798609355375</c:v>
                </c:pt>
                <c:pt idx="533">
                  <c:v>1390.0798609355375</c:v>
                </c:pt>
                <c:pt idx="534">
                  <c:v>1390.0798609355375</c:v>
                </c:pt>
                <c:pt idx="535">
                  <c:v>1390.0798609355375</c:v>
                </c:pt>
                <c:pt idx="536">
                  <c:v>1390.0798609355375</c:v>
                </c:pt>
                <c:pt idx="537">
                  <c:v>1390.0798609355375</c:v>
                </c:pt>
                <c:pt idx="538">
                  <c:v>1390.0798609355375</c:v>
                </c:pt>
                <c:pt idx="539">
                  <c:v>1390.0798609355375</c:v>
                </c:pt>
                <c:pt idx="540">
                  <c:v>1390.0798609355375</c:v>
                </c:pt>
                <c:pt idx="541">
                  <c:v>1390.0798609355375</c:v>
                </c:pt>
                <c:pt idx="542">
                  <c:v>1390.0798609355375</c:v>
                </c:pt>
                <c:pt idx="543">
                  <c:v>1390.0798609355375</c:v>
                </c:pt>
                <c:pt idx="544">
                  <c:v>1390.0798609355375</c:v>
                </c:pt>
                <c:pt idx="545">
                  <c:v>1390.0798609355375</c:v>
                </c:pt>
                <c:pt idx="546">
                  <c:v>1390.0798609355375</c:v>
                </c:pt>
                <c:pt idx="547">
                  <c:v>1390.0798609355375</c:v>
                </c:pt>
                <c:pt idx="548">
                  <c:v>1390.0798609355375</c:v>
                </c:pt>
                <c:pt idx="549">
                  <c:v>1390.0798609355375</c:v>
                </c:pt>
                <c:pt idx="550">
                  <c:v>1390.0798609355375</c:v>
                </c:pt>
                <c:pt idx="551">
                  <c:v>1390.0798609355375</c:v>
                </c:pt>
                <c:pt idx="552">
                  <c:v>1390.0798609355375</c:v>
                </c:pt>
                <c:pt idx="553">
                  <c:v>1390.0798609355375</c:v>
                </c:pt>
                <c:pt idx="554">
                  <c:v>1390.0798609355375</c:v>
                </c:pt>
                <c:pt idx="555">
                  <c:v>1390.0798609355375</c:v>
                </c:pt>
                <c:pt idx="556">
                  <c:v>1390.0798609355375</c:v>
                </c:pt>
                <c:pt idx="557">
                  <c:v>1390.0798609355375</c:v>
                </c:pt>
                <c:pt idx="558">
                  <c:v>1390.0798609355375</c:v>
                </c:pt>
                <c:pt idx="559">
                  <c:v>1390.0798609355375</c:v>
                </c:pt>
                <c:pt idx="560">
                  <c:v>1390.0798609355375</c:v>
                </c:pt>
                <c:pt idx="561">
                  <c:v>1390.0798609355375</c:v>
                </c:pt>
                <c:pt idx="562">
                  <c:v>1390.0798609355375</c:v>
                </c:pt>
                <c:pt idx="563">
                  <c:v>1390.0798609355375</c:v>
                </c:pt>
                <c:pt idx="564">
                  <c:v>1390.0798609355375</c:v>
                </c:pt>
                <c:pt idx="565">
                  <c:v>1390.0798609355375</c:v>
                </c:pt>
                <c:pt idx="566">
                  <c:v>1390.0798609355375</c:v>
                </c:pt>
                <c:pt idx="567">
                  <c:v>1390.0798609355375</c:v>
                </c:pt>
                <c:pt idx="568">
                  <c:v>1390.0798609355375</c:v>
                </c:pt>
                <c:pt idx="569">
                  <c:v>1390.0798609355375</c:v>
                </c:pt>
                <c:pt idx="570">
                  <c:v>1390.0798609355375</c:v>
                </c:pt>
                <c:pt idx="571">
                  <c:v>1390.0798609355375</c:v>
                </c:pt>
                <c:pt idx="572">
                  <c:v>1390.0798609355375</c:v>
                </c:pt>
                <c:pt idx="573">
                  <c:v>1390.0798609355375</c:v>
                </c:pt>
                <c:pt idx="574">
                  <c:v>1390.0798609355375</c:v>
                </c:pt>
                <c:pt idx="575">
                  <c:v>1390.0798609355375</c:v>
                </c:pt>
                <c:pt idx="576">
                  <c:v>1390.0798609355375</c:v>
                </c:pt>
                <c:pt idx="577">
                  <c:v>1390.0798609355375</c:v>
                </c:pt>
                <c:pt idx="578">
                  <c:v>1390.0798609355375</c:v>
                </c:pt>
                <c:pt idx="579">
                  <c:v>1390.0798609355375</c:v>
                </c:pt>
                <c:pt idx="580">
                  <c:v>1390.0798609355375</c:v>
                </c:pt>
                <c:pt idx="581">
                  <c:v>1390.0798609355375</c:v>
                </c:pt>
                <c:pt idx="582">
                  <c:v>1390.0798609355375</c:v>
                </c:pt>
                <c:pt idx="583">
                  <c:v>1390.0798609355375</c:v>
                </c:pt>
                <c:pt idx="584">
                  <c:v>1390.0798609355375</c:v>
                </c:pt>
                <c:pt idx="585">
                  <c:v>1390.0798609355375</c:v>
                </c:pt>
                <c:pt idx="586">
                  <c:v>1390.0798609355375</c:v>
                </c:pt>
                <c:pt idx="587">
                  <c:v>1390.0798609355375</c:v>
                </c:pt>
                <c:pt idx="588">
                  <c:v>1390.0798609355375</c:v>
                </c:pt>
                <c:pt idx="589">
                  <c:v>1390.0798609355375</c:v>
                </c:pt>
                <c:pt idx="590">
                  <c:v>1390.0798609355375</c:v>
                </c:pt>
                <c:pt idx="591">
                  <c:v>1390.0798609355375</c:v>
                </c:pt>
                <c:pt idx="592">
                  <c:v>1390.0798609355375</c:v>
                </c:pt>
                <c:pt idx="593">
                  <c:v>1390.0798609355375</c:v>
                </c:pt>
                <c:pt idx="594">
                  <c:v>1390.0798609355375</c:v>
                </c:pt>
                <c:pt idx="595">
                  <c:v>1390.0798609355375</c:v>
                </c:pt>
                <c:pt idx="596">
                  <c:v>1390.0798609355375</c:v>
                </c:pt>
                <c:pt idx="597">
                  <c:v>1390.0798609355375</c:v>
                </c:pt>
                <c:pt idx="598">
                  <c:v>1390.0798609355375</c:v>
                </c:pt>
                <c:pt idx="599">
                  <c:v>1390.0798609355375</c:v>
                </c:pt>
                <c:pt idx="600">
                  <c:v>1390.0798609355375</c:v>
                </c:pt>
                <c:pt idx="601">
                  <c:v>1390.0798609355375</c:v>
                </c:pt>
                <c:pt idx="602">
                  <c:v>1390.0798609355375</c:v>
                </c:pt>
                <c:pt idx="603">
                  <c:v>1390.0798609355375</c:v>
                </c:pt>
                <c:pt idx="604">
                  <c:v>1390.0798609355375</c:v>
                </c:pt>
                <c:pt idx="605">
                  <c:v>1390.0798609355375</c:v>
                </c:pt>
                <c:pt idx="606">
                  <c:v>1390.0798609355375</c:v>
                </c:pt>
                <c:pt idx="607">
                  <c:v>1390.0798609355375</c:v>
                </c:pt>
                <c:pt idx="608">
                  <c:v>1390.0798609355375</c:v>
                </c:pt>
                <c:pt idx="609">
                  <c:v>1390.0798609355375</c:v>
                </c:pt>
                <c:pt idx="610">
                  <c:v>1390.0798609355375</c:v>
                </c:pt>
                <c:pt idx="611">
                  <c:v>1390.0798609355375</c:v>
                </c:pt>
                <c:pt idx="612">
                  <c:v>1390.0798609355375</c:v>
                </c:pt>
                <c:pt idx="613">
                  <c:v>1390.0798609355375</c:v>
                </c:pt>
                <c:pt idx="614">
                  <c:v>1390.0798609355375</c:v>
                </c:pt>
                <c:pt idx="615">
                  <c:v>1390.0798609355375</c:v>
                </c:pt>
                <c:pt idx="616">
                  <c:v>1390.0798609355375</c:v>
                </c:pt>
                <c:pt idx="617">
                  <c:v>1390.0798609355375</c:v>
                </c:pt>
                <c:pt idx="618">
                  <c:v>1390.0798609355375</c:v>
                </c:pt>
                <c:pt idx="619">
                  <c:v>1390.0798609355375</c:v>
                </c:pt>
                <c:pt idx="620">
                  <c:v>1390.0798609355375</c:v>
                </c:pt>
                <c:pt idx="621">
                  <c:v>1390.0798609355375</c:v>
                </c:pt>
                <c:pt idx="622">
                  <c:v>1390.0798609355375</c:v>
                </c:pt>
                <c:pt idx="623">
                  <c:v>1390.0798609355375</c:v>
                </c:pt>
                <c:pt idx="624">
                  <c:v>1390.0798609355375</c:v>
                </c:pt>
                <c:pt idx="625">
                  <c:v>1390.0798609355375</c:v>
                </c:pt>
                <c:pt idx="626">
                  <c:v>1390.0798609355375</c:v>
                </c:pt>
                <c:pt idx="627">
                  <c:v>1390.0798609355375</c:v>
                </c:pt>
                <c:pt idx="628">
                  <c:v>1390.0798609355375</c:v>
                </c:pt>
                <c:pt idx="629">
                  <c:v>1390.0798609355375</c:v>
                </c:pt>
                <c:pt idx="630">
                  <c:v>1390.0798609355375</c:v>
                </c:pt>
                <c:pt idx="631">
                  <c:v>1390.0798609355375</c:v>
                </c:pt>
                <c:pt idx="632">
                  <c:v>1390.0798609355375</c:v>
                </c:pt>
                <c:pt idx="633">
                  <c:v>1390.0798609355375</c:v>
                </c:pt>
                <c:pt idx="634">
                  <c:v>1390.0798609355375</c:v>
                </c:pt>
                <c:pt idx="635">
                  <c:v>1390.0798609355375</c:v>
                </c:pt>
                <c:pt idx="636">
                  <c:v>1390.0798609355375</c:v>
                </c:pt>
                <c:pt idx="637">
                  <c:v>1390.0798609355375</c:v>
                </c:pt>
                <c:pt idx="638">
                  <c:v>1390.0798609355375</c:v>
                </c:pt>
                <c:pt idx="639">
                  <c:v>1390.0798609355375</c:v>
                </c:pt>
                <c:pt idx="640">
                  <c:v>1390.0798609355375</c:v>
                </c:pt>
                <c:pt idx="641">
                  <c:v>1390.0798609355375</c:v>
                </c:pt>
                <c:pt idx="642">
                  <c:v>1390.0798609355375</c:v>
                </c:pt>
                <c:pt idx="643">
                  <c:v>1390.0798609355375</c:v>
                </c:pt>
                <c:pt idx="644">
                  <c:v>1390.0798609355375</c:v>
                </c:pt>
                <c:pt idx="645">
                  <c:v>1390.0798609355375</c:v>
                </c:pt>
                <c:pt idx="646">
                  <c:v>1390.0798609355375</c:v>
                </c:pt>
                <c:pt idx="647">
                  <c:v>1390.0798609355375</c:v>
                </c:pt>
                <c:pt idx="648">
                  <c:v>1390.0798609355375</c:v>
                </c:pt>
                <c:pt idx="649">
                  <c:v>1390.0798609355375</c:v>
                </c:pt>
                <c:pt idx="650">
                  <c:v>1390.0798609355375</c:v>
                </c:pt>
                <c:pt idx="651">
                  <c:v>1390.0798609355375</c:v>
                </c:pt>
                <c:pt idx="652">
                  <c:v>1390.0798609355375</c:v>
                </c:pt>
                <c:pt idx="653">
                  <c:v>1390.0798609355375</c:v>
                </c:pt>
                <c:pt idx="654">
                  <c:v>1390.0798609355375</c:v>
                </c:pt>
                <c:pt idx="655">
                  <c:v>1390.0798609355375</c:v>
                </c:pt>
                <c:pt idx="656">
                  <c:v>1390.0798609355375</c:v>
                </c:pt>
                <c:pt idx="657">
                  <c:v>1390.0798609355375</c:v>
                </c:pt>
                <c:pt idx="658">
                  <c:v>1390.0798609355375</c:v>
                </c:pt>
                <c:pt idx="659">
                  <c:v>1390.0798609355375</c:v>
                </c:pt>
                <c:pt idx="660">
                  <c:v>1390.0798609355375</c:v>
                </c:pt>
                <c:pt idx="661">
                  <c:v>1390.0798609355375</c:v>
                </c:pt>
                <c:pt idx="662">
                  <c:v>1390.0798609355375</c:v>
                </c:pt>
                <c:pt idx="663">
                  <c:v>1390.0798609355375</c:v>
                </c:pt>
                <c:pt idx="664">
                  <c:v>1390.0798609355375</c:v>
                </c:pt>
                <c:pt idx="665">
                  <c:v>1390.0798609355375</c:v>
                </c:pt>
                <c:pt idx="666">
                  <c:v>1390.0798609355375</c:v>
                </c:pt>
                <c:pt idx="667">
                  <c:v>1390.0798609355375</c:v>
                </c:pt>
                <c:pt idx="668">
                  <c:v>1390.0798609355375</c:v>
                </c:pt>
                <c:pt idx="669">
                  <c:v>1390.0798609355375</c:v>
                </c:pt>
                <c:pt idx="670">
                  <c:v>1390.0798609355375</c:v>
                </c:pt>
                <c:pt idx="671">
                  <c:v>1390.0798609355375</c:v>
                </c:pt>
                <c:pt idx="672">
                  <c:v>1390.0798609355375</c:v>
                </c:pt>
                <c:pt idx="673">
                  <c:v>1390.0798609355375</c:v>
                </c:pt>
                <c:pt idx="674">
                  <c:v>1390.0798609355375</c:v>
                </c:pt>
                <c:pt idx="675">
                  <c:v>1390.0798609355375</c:v>
                </c:pt>
                <c:pt idx="676">
                  <c:v>1390.0798609355375</c:v>
                </c:pt>
                <c:pt idx="677">
                  <c:v>1390.0798609355375</c:v>
                </c:pt>
                <c:pt idx="678">
                  <c:v>1390.0798609355375</c:v>
                </c:pt>
                <c:pt idx="679">
                  <c:v>1390.0798609355375</c:v>
                </c:pt>
                <c:pt idx="680">
                  <c:v>1390.0798609355375</c:v>
                </c:pt>
                <c:pt idx="681">
                  <c:v>1390.0798609355375</c:v>
                </c:pt>
                <c:pt idx="682">
                  <c:v>1390.0798609355375</c:v>
                </c:pt>
                <c:pt idx="683">
                  <c:v>1390.0798609355375</c:v>
                </c:pt>
                <c:pt idx="684">
                  <c:v>1390.0798609355375</c:v>
                </c:pt>
                <c:pt idx="685">
                  <c:v>1390.0798609355375</c:v>
                </c:pt>
                <c:pt idx="686">
                  <c:v>1390.0798609355375</c:v>
                </c:pt>
                <c:pt idx="687">
                  <c:v>1390.0798609355375</c:v>
                </c:pt>
                <c:pt idx="688">
                  <c:v>1390.0798609355375</c:v>
                </c:pt>
                <c:pt idx="689">
                  <c:v>1390.0798609355375</c:v>
                </c:pt>
                <c:pt idx="690">
                  <c:v>1390.0798609355375</c:v>
                </c:pt>
                <c:pt idx="691">
                  <c:v>1390.0798609355375</c:v>
                </c:pt>
                <c:pt idx="692">
                  <c:v>1390.0798609355375</c:v>
                </c:pt>
                <c:pt idx="693">
                  <c:v>1390.0798609355375</c:v>
                </c:pt>
                <c:pt idx="694">
                  <c:v>1390.0798609355375</c:v>
                </c:pt>
                <c:pt idx="695">
                  <c:v>1390.0798609355375</c:v>
                </c:pt>
                <c:pt idx="696">
                  <c:v>1390.0798609355375</c:v>
                </c:pt>
                <c:pt idx="697">
                  <c:v>1390.0798609355375</c:v>
                </c:pt>
                <c:pt idx="698">
                  <c:v>1390.0798609355375</c:v>
                </c:pt>
                <c:pt idx="699">
                  <c:v>1390.0798609355375</c:v>
                </c:pt>
                <c:pt idx="700">
                  <c:v>1390.0798609355375</c:v>
                </c:pt>
                <c:pt idx="701">
                  <c:v>1390.0798609355375</c:v>
                </c:pt>
                <c:pt idx="702">
                  <c:v>1390.0798609355375</c:v>
                </c:pt>
                <c:pt idx="703">
                  <c:v>1390.0798609355375</c:v>
                </c:pt>
                <c:pt idx="704">
                  <c:v>1390.0798609355375</c:v>
                </c:pt>
                <c:pt idx="705">
                  <c:v>1390.0798609355375</c:v>
                </c:pt>
                <c:pt idx="706">
                  <c:v>1390.0798609355375</c:v>
                </c:pt>
                <c:pt idx="707">
                  <c:v>1390.0798609355375</c:v>
                </c:pt>
                <c:pt idx="708">
                  <c:v>1390.0798609355375</c:v>
                </c:pt>
                <c:pt idx="709">
                  <c:v>1390.0798609355375</c:v>
                </c:pt>
                <c:pt idx="710">
                  <c:v>1390.0798609355375</c:v>
                </c:pt>
                <c:pt idx="711">
                  <c:v>1390.0798609355375</c:v>
                </c:pt>
                <c:pt idx="712">
                  <c:v>1390.0798609355375</c:v>
                </c:pt>
                <c:pt idx="713">
                  <c:v>1390.0798609355375</c:v>
                </c:pt>
                <c:pt idx="714">
                  <c:v>1390.0798609355375</c:v>
                </c:pt>
                <c:pt idx="715">
                  <c:v>1390.0798609355375</c:v>
                </c:pt>
                <c:pt idx="716">
                  <c:v>1390.0798609355375</c:v>
                </c:pt>
                <c:pt idx="717">
                  <c:v>1390.0798609355375</c:v>
                </c:pt>
                <c:pt idx="718">
                  <c:v>1390.0798609355375</c:v>
                </c:pt>
                <c:pt idx="719">
                  <c:v>1390.0798609355375</c:v>
                </c:pt>
                <c:pt idx="720">
                  <c:v>1390.0798609355375</c:v>
                </c:pt>
                <c:pt idx="721">
                  <c:v>1390.0798609355375</c:v>
                </c:pt>
                <c:pt idx="722">
                  <c:v>1390.0798609355375</c:v>
                </c:pt>
                <c:pt idx="723">
                  <c:v>1390.0798609355375</c:v>
                </c:pt>
                <c:pt idx="724">
                  <c:v>1390.0798609355375</c:v>
                </c:pt>
                <c:pt idx="725">
                  <c:v>1390.0798609355375</c:v>
                </c:pt>
                <c:pt idx="726">
                  <c:v>1390.0798609355375</c:v>
                </c:pt>
                <c:pt idx="727">
                  <c:v>1390.0798609355375</c:v>
                </c:pt>
                <c:pt idx="728">
                  <c:v>1390.0798609355375</c:v>
                </c:pt>
                <c:pt idx="729">
                  <c:v>1390.0798609355375</c:v>
                </c:pt>
                <c:pt idx="730">
                  <c:v>1390.0798609355375</c:v>
                </c:pt>
                <c:pt idx="731">
                  <c:v>1390.0798609355375</c:v>
                </c:pt>
                <c:pt idx="732">
                  <c:v>1390.0798609355375</c:v>
                </c:pt>
                <c:pt idx="733">
                  <c:v>1390.0798609355375</c:v>
                </c:pt>
                <c:pt idx="734">
                  <c:v>1390.0798609355375</c:v>
                </c:pt>
                <c:pt idx="735">
                  <c:v>1390.0798609355375</c:v>
                </c:pt>
                <c:pt idx="736">
                  <c:v>1390.0798609355375</c:v>
                </c:pt>
                <c:pt idx="737">
                  <c:v>1390.0798609355375</c:v>
                </c:pt>
                <c:pt idx="738">
                  <c:v>1390.0798609355375</c:v>
                </c:pt>
                <c:pt idx="739">
                  <c:v>1390.0798609355375</c:v>
                </c:pt>
                <c:pt idx="740">
                  <c:v>1390.0798609355375</c:v>
                </c:pt>
                <c:pt idx="741">
                  <c:v>1390.0798609355375</c:v>
                </c:pt>
                <c:pt idx="742">
                  <c:v>1390.0798609355375</c:v>
                </c:pt>
                <c:pt idx="743">
                  <c:v>1390.0798609355375</c:v>
                </c:pt>
                <c:pt idx="744">
                  <c:v>1390.0798609355375</c:v>
                </c:pt>
                <c:pt idx="745">
                  <c:v>1390.0798609355375</c:v>
                </c:pt>
                <c:pt idx="746">
                  <c:v>1390.0798609355375</c:v>
                </c:pt>
                <c:pt idx="747">
                  <c:v>1390.0798609355375</c:v>
                </c:pt>
                <c:pt idx="748">
                  <c:v>1390.0798609355375</c:v>
                </c:pt>
                <c:pt idx="749">
                  <c:v>1390.0798609355375</c:v>
                </c:pt>
                <c:pt idx="750">
                  <c:v>1390.0798609355375</c:v>
                </c:pt>
                <c:pt idx="751">
                  <c:v>1390.0798609355375</c:v>
                </c:pt>
                <c:pt idx="752">
                  <c:v>1390.0798609355375</c:v>
                </c:pt>
                <c:pt idx="753">
                  <c:v>1390.0798609355375</c:v>
                </c:pt>
                <c:pt idx="754">
                  <c:v>1390.0798609355375</c:v>
                </c:pt>
                <c:pt idx="755">
                  <c:v>1390.0798609355375</c:v>
                </c:pt>
                <c:pt idx="756">
                  <c:v>1390.0798609355375</c:v>
                </c:pt>
                <c:pt idx="757">
                  <c:v>1390.0798609355375</c:v>
                </c:pt>
                <c:pt idx="758">
                  <c:v>1390.0798609355375</c:v>
                </c:pt>
                <c:pt idx="759">
                  <c:v>1390.0798609355375</c:v>
                </c:pt>
                <c:pt idx="760">
                  <c:v>1390.0798609355375</c:v>
                </c:pt>
                <c:pt idx="761">
                  <c:v>1390.0798609355375</c:v>
                </c:pt>
                <c:pt idx="762">
                  <c:v>1390.0798609355375</c:v>
                </c:pt>
                <c:pt idx="763">
                  <c:v>1390.0798609355375</c:v>
                </c:pt>
                <c:pt idx="764">
                  <c:v>1390.0798609355375</c:v>
                </c:pt>
                <c:pt idx="765">
                  <c:v>1390.0798609355375</c:v>
                </c:pt>
                <c:pt idx="766">
                  <c:v>1390.0798609355375</c:v>
                </c:pt>
                <c:pt idx="767">
                  <c:v>1390.0798609355375</c:v>
                </c:pt>
                <c:pt idx="768">
                  <c:v>1390.0798609355375</c:v>
                </c:pt>
                <c:pt idx="769">
                  <c:v>1390.0798609355375</c:v>
                </c:pt>
                <c:pt idx="770">
                  <c:v>1390.0798609355375</c:v>
                </c:pt>
                <c:pt idx="771">
                  <c:v>1390.0798609355375</c:v>
                </c:pt>
                <c:pt idx="772">
                  <c:v>1390.0798609355375</c:v>
                </c:pt>
                <c:pt idx="773">
                  <c:v>1390.0798609355375</c:v>
                </c:pt>
                <c:pt idx="774">
                  <c:v>1390.0798609355375</c:v>
                </c:pt>
                <c:pt idx="775">
                  <c:v>1390.0798609355375</c:v>
                </c:pt>
                <c:pt idx="776">
                  <c:v>1390.0798609355375</c:v>
                </c:pt>
                <c:pt idx="777">
                  <c:v>1390.0798609355375</c:v>
                </c:pt>
                <c:pt idx="778">
                  <c:v>1390.0798609355375</c:v>
                </c:pt>
                <c:pt idx="779">
                  <c:v>1390.0798609355375</c:v>
                </c:pt>
                <c:pt idx="780">
                  <c:v>1390.0798609355375</c:v>
                </c:pt>
                <c:pt idx="781">
                  <c:v>1390.0798609355375</c:v>
                </c:pt>
                <c:pt idx="782">
                  <c:v>1390.0798609355375</c:v>
                </c:pt>
                <c:pt idx="783">
                  <c:v>1390.0798609355375</c:v>
                </c:pt>
                <c:pt idx="784">
                  <c:v>1390.0798609355375</c:v>
                </c:pt>
                <c:pt idx="785">
                  <c:v>1390.0798609355375</c:v>
                </c:pt>
                <c:pt idx="786">
                  <c:v>1390.0798609355375</c:v>
                </c:pt>
                <c:pt idx="787">
                  <c:v>1390.0798609355375</c:v>
                </c:pt>
                <c:pt idx="788">
                  <c:v>1390.0798609355375</c:v>
                </c:pt>
                <c:pt idx="789">
                  <c:v>1390.0798609355375</c:v>
                </c:pt>
                <c:pt idx="790">
                  <c:v>1390.0798609355375</c:v>
                </c:pt>
                <c:pt idx="791">
                  <c:v>1390.0798609355375</c:v>
                </c:pt>
                <c:pt idx="792">
                  <c:v>1390.0798609355375</c:v>
                </c:pt>
                <c:pt idx="793">
                  <c:v>1390.0798609355375</c:v>
                </c:pt>
                <c:pt idx="794">
                  <c:v>1390.0798609355375</c:v>
                </c:pt>
                <c:pt idx="795">
                  <c:v>1390.0798609355375</c:v>
                </c:pt>
                <c:pt idx="796">
                  <c:v>1390.0798609355375</c:v>
                </c:pt>
                <c:pt idx="797">
                  <c:v>1390.0798609355375</c:v>
                </c:pt>
                <c:pt idx="798">
                  <c:v>1390.0798609355375</c:v>
                </c:pt>
                <c:pt idx="799">
                  <c:v>1390.0798609355375</c:v>
                </c:pt>
                <c:pt idx="800">
                  <c:v>1390.0798609355375</c:v>
                </c:pt>
                <c:pt idx="801">
                  <c:v>1390.0798609355375</c:v>
                </c:pt>
                <c:pt idx="802">
                  <c:v>1390.0798609355375</c:v>
                </c:pt>
                <c:pt idx="803">
                  <c:v>1390.0798609355375</c:v>
                </c:pt>
                <c:pt idx="804">
                  <c:v>1390.0798609355375</c:v>
                </c:pt>
                <c:pt idx="805">
                  <c:v>1390.0798609355375</c:v>
                </c:pt>
                <c:pt idx="806">
                  <c:v>1390.0798609355375</c:v>
                </c:pt>
                <c:pt idx="807">
                  <c:v>1390.0798609355375</c:v>
                </c:pt>
                <c:pt idx="808">
                  <c:v>1390.0798609355375</c:v>
                </c:pt>
                <c:pt idx="809">
                  <c:v>1390.0798609355375</c:v>
                </c:pt>
                <c:pt idx="810">
                  <c:v>1390.0798609355375</c:v>
                </c:pt>
                <c:pt idx="811">
                  <c:v>1390.0798609355375</c:v>
                </c:pt>
                <c:pt idx="812">
                  <c:v>1390.0798609355375</c:v>
                </c:pt>
                <c:pt idx="813">
                  <c:v>1390.0798609355375</c:v>
                </c:pt>
                <c:pt idx="814">
                  <c:v>1390.0798609355375</c:v>
                </c:pt>
                <c:pt idx="815">
                  <c:v>1390.0798609355375</c:v>
                </c:pt>
                <c:pt idx="816">
                  <c:v>1390.0798609355375</c:v>
                </c:pt>
                <c:pt idx="817">
                  <c:v>1390.0798609355375</c:v>
                </c:pt>
                <c:pt idx="818">
                  <c:v>1390.0798609355375</c:v>
                </c:pt>
                <c:pt idx="819">
                  <c:v>1390.0798609355375</c:v>
                </c:pt>
                <c:pt idx="820">
                  <c:v>1390.0798609355375</c:v>
                </c:pt>
                <c:pt idx="821">
                  <c:v>1390.0798609355375</c:v>
                </c:pt>
                <c:pt idx="822">
                  <c:v>1390.0798609355375</c:v>
                </c:pt>
                <c:pt idx="823">
                  <c:v>1390.0798609355375</c:v>
                </c:pt>
                <c:pt idx="824">
                  <c:v>1390.0798609355375</c:v>
                </c:pt>
                <c:pt idx="825">
                  <c:v>1390.0798609355375</c:v>
                </c:pt>
                <c:pt idx="826">
                  <c:v>1390.0798609355375</c:v>
                </c:pt>
                <c:pt idx="827">
                  <c:v>1390.0798609355375</c:v>
                </c:pt>
                <c:pt idx="828">
                  <c:v>1390.0798609355375</c:v>
                </c:pt>
                <c:pt idx="829">
                  <c:v>1390.0798609355375</c:v>
                </c:pt>
                <c:pt idx="830">
                  <c:v>1390.0798609355375</c:v>
                </c:pt>
                <c:pt idx="831">
                  <c:v>1390.0798609355375</c:v>
                </c:pt>
                <c:pt idx="832">
                  <c:v>1390.0798609355375</c:v>
                </c:pt>
                <c:pt idx="833">
                  <c:v>1390.0798609355375</c:v>
                </c:pt>
                <c:pt idx="834">
                  <c:v>1390.0798609355375</c:v>
                </c:pt>
                <c:pt idx="835">
                  <c:v>1390.0798609355375</c:v>
                </c:pt>
                <c:pt idx="836">
                  <c:v>1390.0798609355375</c:v>
                </c:pt>
                <c:pt idx="837">
                  <c:v>1390.0798609355375</c:v>
                </c:pt>
                <c:pt idx="838">
                  <c:v>1390.0798609355375</c:v>
                </c:pt>
                <c:pt idx="839">
                  <c:v>1390.0798609355375</c:v>
                </c:pt>
                <c:pt idx="840">
                  <c:v>1390.0798609355375</c:v>
                </c:pt>
                <c:pt idx="841">
                  <c:v>1390.0798609355375</c:v>
                </c:pt>
                <c:pt idx="842">
                  <c:v>1390.0798609355375</c:v>
                </c:pt>
                <c:pt idx="843">
                  <c:v>1390.0798609355375</c:v>
                </c:pt>
                <c:pt idx="844">
                  <c:v>1390.0798609355375</c:v>
                </c:pt>
                <c:pt idx="845">
                  <c:v>1390.0798609355375</c:v>
                </c:pt>
                <c:pt idx="846">
                  <c:v>1390.0798609355375</c:v>
                </c:pt>
                <c:pt idx="847">
                  <c:v>1390.0798609355375</c:v>
                </c:pt>
                <c:pt idx="848">
                  <c:v>1390.0798609355375</c:v>
                </c:pt>
                <c:pt idx="849">
                  <c:v>1390.0798609355375</c:v>
                </c:pt>
                <c:pt idx="850">
                  <c:v>1390.0798609355375</c:v>
                </c:pt>
                <c:pt idx="851">
                  <c:v>1390.0798609355375</c:v>
                </c:pt>
                <c:pt idx="852">
                  <c:v>1390.0798609355375</c:v>
                </c:pt>
                <c:pt idx="853">
                  <c:v>1390.0798609355375</c:v>
                </c:pt>
                <c:pt idx="854">
                  <c:v>1390.0798609355375</c:v>
                </c:pt>
                <c:pt idx="855">
                  <c:v>1390.0798609355375</c:v>
                </c:pt>
                <c:pt idx="856">
                  <c:v>1390.0798609355375</c:v>
                </c:pt>
                <c:pt idx="857">
                  <c:v>1390.0798609355375</c:v>
                </c:pt>
                <c:pt idx="858">
                  <c:v>1390.0798609355375</c:v>
                </c:pt>
                <c:pt idx="859">
                  <c:v>1390.0798609355375</c:v>
                </c:pt>
                <c:pt idx="860">
                  <c:v>1390.0798609355375</c:v>
                </c:pt>
                <c:pt idx="861">
                  <c:v>1390.0798609355375</c:v>
                </c:pt>
                <c:pt idx="862">
                  <c:v>1390.0798609355375</c:v>
                </c:pt>
                <c:pt idx="863">
                  <c:v>1390.0798609355375</c:v>
                </c:pt>
                <c:pt idx="864">
                  <c:v>1390.0798609355375</c:v>
                </c:pt>
                <c:pt idx="865">
                  <c:v>1390.0798609355375</c:v>
                </c:pt>
                <c:pt idx="866">
                  <c:v>1390.0798609355375</c:v>
                </c:pt>
                <c:pt idx="867">
                  <c:v>1390.0798609355375</c:v>
                </c:pt>
                <c:pt idx="868">
                  <c:v>1390.0798609355375</c:v>
                </c:pt>
                <c:pt idx="869">
                  <c:v>1390.0798609355375</c:v>
                </c:pt>
                <c:pt idx="870">
                  <c:v>1390.0798609355375</c:v>
                </c:pt>
                <c:pt idx="871">
                  <c:v>1390.0798609355375</c:v>
                </c:pt>
                <c:pt idx="872">
                  <c:v>1390.0798609355375</c:v>
                </c:pt>
                <c:pt idx="873">
                  <c:v>1390.0798609355375</c:v>
                </c:pt>
                <c:pt idx="874">
                  <c:v>1390.0798609355375</c:v>
                </c:pt>
                <c:pt idx="875">
                  <c:v>1390.0798609355375</c:v>
                </c:pt>
                <c:pt idx="876">
                  <c:v>1390.0798609355375</c:v>
                </c:pt>
                <c:pt idx="877">
                  <c:v>1390.0798609355375</c:v>
                </c:pt>
                <c:pt idx="878">
                  <c:v>1390.0798609355375</c:v>
                </c:pt>
                <c:pt idx="879">
                  <c:v>1390.0798609355375</c:v>
                </c:pt>
                <c:pt idx="880">
                  <c:v>1390.0798609355375</c:v>
                </c:pt>
                <c:pt idx="881">
                  <c:v>1390.0798609355375</c:v>
                </c:pt>
                <c:pt idx="882">
                  <c:v>1390.0798609355375</c:v>
                </c:pt>
                <c:pt idx="883">
                  <c:v>1390.0798609355375</c:v>
                </c:pt>
                <c:pt idx="884">
                  <c:v>1390.0798609355375</c:v>
                </c:pt>
                <c:pt idx="885">
                  <c:v>1390.0798609355375</c:v>
                </c:pt>
                <c:pt idx="886">
                  <c:v>1390.0798609355375</c:v>
                </c:pt>
                <c:pt idx="887">
                  <c:v>1390.0798609355375</c:v>
                </c:pt>
                <c:pt idx="888">
                  <c:v>1390.0798609355375</c:v>
                </c:pt>
                <c:pt idx="889">
                  <c:v>1390.0798609355375</c:v>
                </c:pt>
                <c:pt idx="890">
                  <c:v>1390.0798609355375</c:v>
                </c:pt>
                <c:pt idx="891">
                  <c:v>1390.0798609355375</c:v>
                </c:pt>
                <c:pt idx="892">
                  <c:v>1390.0798609355375</c:v>
                </c:pt>
                <c:pt idx="893">
                  <c:v>1390.0798609355375</c:v>
                </c:pt>
                <c:pt idx="894">
                  <c:v>1390.0798609355375</c:v>
                </c:pt>
                <c:pt idx="895">
                  <c:v>1390.0798609355375</c:v>
                </c:pt>
                <c:pt idx="896">
                  <c:v>1390.0798609355375</c:v>
                </c:pt>
                <c:pt idx="897">
                  <c:v>1390.0798609355375</c:v>
                </c:pt>
                <c:pt idx="898">
                  <c:v>1390.0798609355375</c:v>
                </c:pt>
                <c:pt idx="899">
                  <c:v>1390.0798609355375</c:v>
                </c:pt>
                <c:pt idx="900">
                  <c:v>1390.0798609355375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B-4E71-9EE8-AA1C0DDA2E38}"/>
            </c:ext>
          </c:extLst>
        </c:ser>
        <c:ser>
          <c:idx val="2"/>
          <c:order val="2"/>
          <c:tx>
            <c:strRef>
              <c:f>Analysis!$O$1</c:f>
              <c:strCache>
                <c:ptCount val="1"/>
                <c:pt idx="0">
                  <c:v>Cumulative Net PnL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strRef>
              <c:f>Analysis!$L$2:$L$903</c:f>
              <c:strCache>
                <c:ptCount val="901"/>
                <c:pt idx="0">
                  <c:v>signal</c:v>
                </c:pt>
                <c:pt idx="1">
                  <c:v>signal</c:v>
                </c:pt>
                <c:pt idx="2">
                  <c:v>signal</c:v>
                </c:pt>
                <c:pt idx="3">
                  <c:v>signal</c:v>
                </c:pt>
                <c:pt idx="4">
                  <c:v>signal</c:v>
                </c:pt>
                <c:pt idx="5">
                  <c:v>signal</c:v>
                </c:pt>
                <c:pt idx="6">
                  <c:v>signal</c:v>
                </c:pt>
                <c:pt idx="7">
                  <c:v>signal</c:v>
                </c:pt>
                <c:pt idx="8">
                  <c:v>signal</c:v>
                </c:pt>
                <c:pt idx="9">
                  <c:v>signal</c:v>
                </c:pt>
                <c:pt idx="10">
                  <c:v>signal</c:v>
                </c:pt>
                <c:pt idx="11">
                  <c:v>signal</c:v>
                </c:pt>
                <c:pt idx="12">
                  <c:v>signal</c:v>
                </c:pt>
                <c:pt idx="13">
                  <c:v>signal</c:v>
                </c:pt>
                <c:pt idx="14">
                  <c:v>signal</c:v>
                </c:pt>
                <c:pt idx="15">
                  <c:v>signal</c:v>
                </c:pt>
                <c:pt idx="16">
                  <c:v>signal</c:v>
                </c:pt>
                <c:pt idx="17">
                  <c:v>signal</c:v>
                </c:pt>
                <c:pt idx="18">
                  <c:v>signal</c:v>
                </c:pt>
                <c:pt idx="19">
                  <c:v>signal</c:v>
                </c:pt>
                <c:pt idx="20">
                  <c:v>signal</c:v>
                </c:pt>
                <c:pt idx="21">
                  <c:v>signal</c:v>
                </c:pt>
                <c:pt idx="22">
                  <c:v>signal</c:v>
                </c:pt>
                <c:pt idx="23">
                  <c:v>signal</c:v>
                </c:pt>
                <c:pt idx="24">
                  <c:v>signal</c:v>
                </c:pt>
                <c:pt idx="25">
                  <c:v>signal</c:v>
                </c:pt>
                <c:pt idx="26">
                  <c:v>signal</c:v>
                </c:pt>
                <c:pt idx="27">
                  <c:v>signal</c:v>
                </c:pt>
                <c:pt idx="28">
                  <c:v>signal</c:v>
                </c:pt>
                <c:pt idx="29">
                  <c:v>signal</c:v>
                </c:pt>
                <c:pt idx="30">
                  <c:v>signal</c:v>
                </c:pt>
                <c:pt idx="31">
                  <c:v>signal</c:v>
                </c:pt>
                <c:pt idx="32">
                  <c:v>signal</c:v>
                </c:pt>
                <c:pt idx="33">
                  <c:v>signal</c:v>
                </c:pt>
                <c:pt idx="34">
                  <c:v>signal</c:v>
                </c:pt>
                <c:pt idx="35">
                  <c:v>signal</c:v>
                </c:pt>
                <c:pt idx="36">
                  <c:v>signal</c:v>
                </c:pt>
                <c:pt idx="37">
                  <c:v>signal</c:v>
                </c:pt>
                <c:pt idx="38">
                  <c:v>signal</c:v>
                </c:pt>
                <c:pt idx="39">
                  <c:v>signal</c:v>
                </c:pt>
                <c:pt idx="40">
                  <c:v>signal</c:v>
                </c:pt>
                <c:pt idx="41">
                  <c:v>signal</c:v>
                </c:pt>
                <c:pt idx="42">
                  <c:v>signal</c:v>
                </c:pt>
                <c:pt idx="43">
                  <c:v>signal</c:v>
                </c:pt>
                <c:pt idx="44">
                  <c:v>signal</c:v>
                </c:pt>
                <c:pt idx="45">
                  <c:v>signal</c:v>
                </c:pt>
                <c:pt idx="46">
                  <c:v>signal</c:v>
                </c:pt>
                <c:pt idx="47">
                  <c:v>signal</c:v>
                </c:pt>
                <c:pt idx="48">
                  <c:v>signal</c:v>
                </c:pt>
                <c:pt idx="49">
                  <c:v>signal</c:v>
                </c:pt>
                <c:pt idx="50">
                  <c:v>signal</c:v>
                </c:pt>
                <c:pt idx="51">
                  <c:v>signal</c:v>
                </c:pt>
                <c:pt idx="52">
                  <c:v>signal</c:v>
                </c:pt>
                <c:pt idx="53">
                  <c:v>signal</c:v>
                </c:pt>
                <c:pt idx="54">
                  <c:v>signal</c:v>
                </c:pt>
                <c:pt idx="55">
                  <c:v>signal</c:v>
                </c:pt>
                <c:pt idx="56">
                  <c:v>signal</c:v>
                </c:pt>
                <c:pt idx="57">
                  <c:v>signal</c:v>
                </c:pt>
                <c:pt idx="58">
                  <c:v>signal</c:v>
                </c:pt>
                <c:pt idx="59">
                  <c:v>signal</c:v>
                </c:pt>
                <c:pt idx="60">
                  <c:v>signal</c:v>
                </c:pt>
                <c:pt idx="61">
                  <c:v>signal</c:v>
                </c:pt>
                <c:pt idx="62">
                  <c:v>signal</c:v>
                </c:pt>
                <c:pt idx="63">
                  <c:v>signal</c:v>
                </c:pt>
                <c:pt idx="64">
                  <c:v>signal</c:v>
                </c:pt>
                <c:pt idx="65">
                  <c:v>signal</c:v>
                </c:pt>
                <c:pt idx="66">
                  <c:v>signal</c:v>
                </c:pt>
                <c:pt idx="67">
                  <c:v>signal</c:v>
                </c:pt>
                <c:pt idx="68">
                  <c:v>signal</c:v>
                </c:pt>
                <c:pt idx="69">
                  <c:v>signal</c:v>
                </c:pt>
                <c:pt idx="70">
                  <c:v>signal</c:v>
                </c:pt>
                <c:pt idx="71">
                  <c:v>signal</c:v>
                </c:pt>
                <c:pt idx="72">
                  <c:v>signal</c:v>
                </c:pt>
                <c:pt idx="73">
                  <c:v>signal</c:v>
                </c:pt>
                <c:pt idx="74">
                  <c:v>signal</c:v>
                </c:pt>
                <c:pt idx="75">
                  <c:v>forced</c:v>
                </c:pt>
                <c:pt idx="76">
                  <c:v>signal</c:v>
                </c:pt>
                <c:pt idx="77">
                  <c:v>signal</c:v>
                </c:pt>
                <c:pt idx="78">
                  <c:v>signal</c:v>
                </c:pt>
                <c:pt idx="79">
                  <c:v>0</c:v>
                </c:pt>
                <c:pt idx="80">
                  <c:v>0</c:v>
                </c:pt>
                <c:pt idx="81">
                  <c:v>signal</c:v>
                </c:pt>
                <c:pt idx="82">
                  <c:v>signal</c:v>
                </c:pt>
                <c:pt idx="83">
                  <c:v>0</c:v>
                </c:pt>
                <c:pt idx="84">
                  <c:v>signal</c:v>
                </c:pt>
                <c:pt idx="85">
                  <c:v>signal</c:v>
                </c:pt>
                <c:pt idx="86">
                  <c:v>0</c:v>
                </c:pt>
                <c:pt idx="87">
                  <c:v>signal</c:v>
                </c:pt>
                <c:pt idx="88">
                  <c:v>signal</c:v>
                </c:pt>
                <c:pt idx="89">
                  <c:v>signal</c:v>
                </c:pt>
                <c:pt idx="90">
                  <c:v>signal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strCache>
            </c:strRef>
          </c:xVal>
          <c:yVal>
            <c:numRef>
              <c:f>Analysis!$O$2:$O$903</c:f>
              <c:numCache>
                <c:formatCode>0.00000;[Red]\(0.00000\);\-</c:formatCode>
                <c:ptCount val="902"/>
                <c:pt idx="0">
                  <c:v>166.40739060887299</c:v>
                </c:pt>
                <c:pt idx="1">
                  <c:v>984.01730614216319</c:v>
                </c:pt>
                <c:pt idx="2">
                  <c:v>1455.8565473547562</c:v>
                </c:pt>
                <c:pt idx="3">
                  <c:v>1554.7247516909786</c:v>
                </c:pt>
                <c:pt idx="4">
                  <c:v>1876.8777167490261</c:v>
                </c:pt>
                <c:pt idx="5">
                  <c:v>2171.2661393031876</c:v>
                </c:pt>
                <c:pt idx="6">
                  <c:v>1963.2325751816686</c:v>
                </c:pt>
                <c:pt idx="7">
                  <c:v>2145.6452322254568</c:v>
                </c:pt>
                <c:pt idx="8">
                  <c:v>1704.6712354851475</c:v>
                </c:pt>
                <c:pt idx="9">
                  <c:v>2308.5077647194471</c:v>
                </c:pt>
                <c:pt idx="10">
                  <c:v>1832.1564467210674</c:v>
                </c:pt>
                <c:pt idx="11">
                  <c:v>2125.7185754429056</c:v>
                </c:pt>
                <c:pt idx="12">
                  <c:v>2240.0773685458439</c:v>
                </c:pt>
                <c:pt idx="13">
                  <c:v>2497.5250784660498</c:v>
                </c:pt>
                <c:pt idx="14">
                  <c:v>480.09296771096069</c:v>
                </c:pt>
                <c:pt idx="15">
                  <c:v>34.028193333817512</c:v>
                </c:pt>
                <c:pt idx="16">
                  <c:v>46.501551605890882</c:v>
                </c:pt>
                <c:pt idx="17">
                  <c:v>-117.95808678190861</c:v>
                </c:pt>
                <c:pt idx="18">
                  <c:v>-132.36950607041419</c:v>
                </c:pt>
                <c:pt idx="19">
                  <c:v>-47.445823702656753</c:v>
                </c:pt>
                <c:pt idx="20">
                  <c:v>307.91451095254274</c:v>
                </c:pt>
                <c:pt idx="21">
                  <c:v>196.71394907151773</c:v>
                </c:pt>
                <c:pt idx="22">
                  <c:v>949.81715875737245</c:v>
                </c:pt>
                <c:pt idx="23">
                  <c:v>1445.0831206322662</c:v>
                </c:pt>
                <c:pt idx="24">
                  <c:v>2067.129583911722</c:v>
                </c:pt>
                <c:pt idx="25">
                  <c:v>2260.5068258549877</c:v>
                </c:pt>
                <c:pt idx="26">
                  <c:v>2815.8245094006866</c:v>
                </c:pt>
                <c:pt idx="27">
                  <c:v>2114.7341343513381</c:v>
                </c:pt>
                <c:pt idx="28">
                  <c:v>1426.0269755964277</c:v>
                </c:pt>
                <c:pt idx="29">
                  <c:v>2588.3465959907426</c:v>
                </c:pt>
                <c:pt idx="30">
                  <c:v>2847.6983989512887</c:v>
                </c:pt>
                <c:pt idx="31">
                  <c:v>3144.1991281519468</c:v>
                </c:pt>
                <c:pt idx="32">
                  <c:v>4239.8210081259422</c:v>
                </c:pt>
                <c:pt idx="33">
                  <c:v>4967.278885350016</c:v>
                </c:pt>
                <c:pt idx="34">
                  <c:v>5575.5009242770921</c:v>
                </c:pt>
                <c:pt idx="35">
                  <c:v>5671.7691852102398</c:v>
                </c:pt>
                <c:pt idx="36">
                  <c:v>5881.3630440609904</c:v>
                </c:pt>
                <c:pt idx="37">
                  <c:v>5655.4477804966909</c:v>
                </c:pt>
                <c:pt idx="38">
                  <c:v>6943.7943459914968</c:v>
                </c:pt>
                <c:pt idx="39">
                  <c:v>6676.0433114159032</c:v>
                </c:pt>
                <c:pt idx="40">
                  <c:v>6729.4435011157138</c:v>
                </c:pt>
                <c:pt idx="41">
                  <c:v>6976.4519889865569</c:v>
                </c:pt>
                <c:pt idx="42">
                  <c:v>7032.6972022350437</c:v>
                </c:pt>
                <c:pt idx="43">
                  <c:v>7715.585408317269</c:v>
                </c:pt>
                <c:pt idx="44">
                  <c:v>7993.8684684233795</c:v>
                </c:pt>
                <c:pt idx="45">
                  <c:v>8525.7022817825873</c:v>
                </c:pt>
                <c:pt idx="46">
                  <c:v>8254.0815821434917</c:v>
                </c:pt>
                <c:pt idx="47">
                  <c:v>8519.4227899064063</c:v>
                </c:pt>
                <c:pt idx="48">
                  <c:v>8952.0074482153232</c:v>
                </c:pt>
                <c:pt idx="49">
                  <c:v>8903.602426342266</c:v>
                </c:pt>
                <c:pt idx="50">
                  <c:v>9497.2552115338349</c:v>
                </c:pt>
                <c:pt idx="51">
                  <c:v>10277.848770223602</c:v>
                </c:pt>
                <c:pt idx="52">
                  <c:v>10383.409739817014</c:v>
                </c:pt>
                <c:pt idx="53">
                  <c:v>10815.634709113372</c:v>
                </c:pt>
                <c:pt idx="54">
                  <c:v>12736.085227713716</c:v>
                </c:pt>
                <c:pt idx="55">
                  <c:v>12608.56444932205</c:v>
                </c:pt>
                <c:pt idx="56">
                  <c:v>13282.951581290676</c:v>
                </c:pt>
                <c:pt idx="57">
                  <c:v>13366.316814437412</c:v>
                </c:pt>
                <c:pt idx="58">
                  <c:v>13263.258566788094</c:v>
                </c:pt>
                <c:pt idx="59">
                  <c:v>12849.924886038863</c:v>
                </c:pt>
                <c:pt idx="60">
                  <c:v>13053.231976433064</c:v>
                </c:pt>
                <c:pt idx="61">
                  <c:v>12557.370942364078</c:v>
                </c:pt>
                <c:pt idx="62">
                  <c:v>12517.250328746462</c:v>
                </c:pt>
                <c:pt idx="63">
                  <c:v>12598.175172117295</c:v>
                </c:pt>
                <c:pt idx="64">
                  <c:v>12532.903186903799</c:v>
                </c:pt>
                <c:pt idx="65">
                  <c:v>13070.696217376108</c:v>
                </c:pt>
                <c:pt idx="66">
                  <c:v>12688.898701675649</c:v>
                </c:pt>
                <c:pt idx="67">
                  <c:v>12134.43423957465</c:v>
                </c:pt>
                <c:pt idx="68">
                  <c:v>12077.850905572179</c:v>
                </c:pt>
                <c:pt idx="69">
                  <c:v>11421.086448485808</c:v>
                </c:pt>
                <c:pt idx="70">
                  <c:v>11409.086326398819</c:v>
                </c:pt>
                <c:pt idx="71">
                  <c:v>11483.335800867571</c:v>
                </c:pt>
                <c:pt idx="72">
                  <c:v>10813.367145897284</c:v>
                </c:pt>
                <c:pt idx="73">
                  <c:v>10996.184470077262</c:v>
                </c:pt>
                <c:pt idx="74">
                  <c:v>11607.333632548962</c:v>
                </c:pt>
                <c:pt idx="75">
                  <c:v>11395.993238444798</c:v>
                </c:pt>
                <c:pt idx="76">
                  <c:v>12762.587489929161</c:v>
                </c:pt>
                <c:pt idx="77">
                  <c:v>12977.264340384814</c:v>
                </c:pt>
                <c:pt idx="78">
                  <c:v>12947.875314701756</c:v>
                </c:pt>
                <c:pt idx="79">
                  <c:v>12947.875314701756</c:v>
                </c:pt>
                <c:pt idx="80">
                  <c:v>12947.875314701756</c:v>
                </c:pt>
                <c:pt idx="81">
                  <c:v>13061.003456121862</c:v>
                </c:pt>
                <c:pt idx="82">
                  <c:v>13701.82755371241</c:v>
                </c:pt>
                <c:pt idx="83">
                  <c:v>13701.82755371241</c:v>
                </c:pt>
                <c:pt idx="84">
                  <c:v>14188.592230687878</c:v>
                </c:pt>
                <c:pt idx="85">
                  <c:v>13893.528994879251</c:v>
                </c:pt>
                <c:pt idx="86">
                  <c:v>13893.528994879251</c:v>
                </c:pt>
                <c:pt idx="87">
                  <c:v>14102.339558558122</c:v>
                </c:pt>
                <c:pt idx="88">
                  <c:v>13928.055047309952</c:v>
                </c:pt>
                <c:pt idx="89">
                  <c:v>13503.230307315454</c:v>
                </c:pt>
                <c:pt idx="90">
                  <c:v>13567.914051343943</c:v>
                </c:pt>
                <c:pt idx="91">
                  <c:v>13567.914051343943</c:v>
                </c:pt>
                <c:pt idx="92">
                  <c:v>13567.914051343943</c:v>
                </c:pt>
                <c:pt idx="93">
                  <c:v>13567.914051343943</c:v>
                </c:pt>
                <c:pt idx="94">
                  <c:v>13567.914051343943</c:v>
                </c:pt>
                <c:pt idx="95">
                  <c:v>13567.914051343943</c:v>
                </c:pt>
                <c:pt idx="96">
                  <c:v>13567.914051343943</c:v>
                </c:pt>
                <c:pt idx="97">
                  <c:v>13567.914051343943</c:v>
                </c:pt>
                <c:pt idx="98">
                  <c:v>13567.914051343943</c:v>
                </c:pt>
                <c:pt idx="99">
                  <c:v>13567.914051343943</c:v>
                </c:pt>
                <c:pt idx="100">
                  <c:v>13567.914051343943</c:v>
                </c:pt>
                <c:pt idx="101">
                  <c:v>13567.914051343943</c:v>
                </c:pt>
                <c:pt idx="102">
                  <c:v>13567.914051343943</c:v>
                </c:pt>
                <c:pt idx="103">
                  <c:v>13567.914051343943</c:v>
                </c:pt>
                <c:pt idx="104">
                  <c:v>13567.914051343943</c:v>
                </c:pt>
                <c:pt idx="105">
                  <c:v>13567.914051343943</c:v>
                </c:pt>
                <c:pt idx="106">
                  <c:v>13567.914051343943</c:v>
                </c:pt>
                <c:pt idx="107">
                  <c:v>13567.914051343943</c:v>
                </c:pt>
                <c:pt idx="108">
                  <c:v>13567.914051343943</c:v>
                </c:pt>
                <c:pt idx="109">
                  <c:v>13567.914051343943</c:v>
                </c:pt>
                <c:pt idx="110">
                  <c:v>13567.914051343943</c:v>
                </c:pt>
                <c:pt idx="111">
                  <c:v>13567.914051343943</c:v>
                </c:pt>
                <c:pt idx="112">
                  <c:v>13567.914051343943</c:v>
                </c:pt>
                <c:pt idx="113">
                  <c:v>13567.914051343943</c:v>
                </c:pt>
                <c:pt idx="114">
                  <c:v>13567.914051343943</c:v>
                </c:pt>
                <c:pt idx="115">
                  <c:v>13567.914051343943</c:v>
                </c:pt>
                <c:pt idx="116">
                  <c:v>13567.914051343943</c:v>
                </c:pt>
                <c:pt idx="117">
                  <c:v>13567.914051343943</c:v>
                </c:pt>
                <c:pt idx="118">
                  <c:v>13567.914051343943</c:v>
                </c:pt>
                <c:pt idx="119">
                  <c:v>13567.914051343943</c:v>
                </c:pt>
                <c:pt idx="120">
                  <c:v>13567.914051343943</c:v>
                </c:pt>
                <c:pt idx="121">
                  <c:v>13567.914051343943</c:v>
                </c:pt>
                <c:pt idx="122">
                  <c:v>13567.914051343943</c:v>
                </c:pt>
                <c:pt idx="123">
                  <c:v>13567.914051343943</c:v>
                </c:pt>
                <c:pt idx="124">
                  <c:v>13567.914051343943</c:v>
                </c:pt>
                <c:pt idx="125">
                  <c:v>13567.914051343943</c:v>
                </c:pt>
                <c:pt idx="126">
                  <c:v>13567.914051343943</c:v>
                </c:pt>
                <c:pt idx="127">
                  <c:v>13567.914051343943</c:v>
                </c:pt>
                <c:pt idx="128">
                  <c:v>13567.914051343943</c:v>
                </c:pt>
                <c:pt idx="129">
                  <c:v>13567.914051343943</c:v>
                </c:pt>
                <c:pt idx="130">
                  <c:v>13567.914051343943</c:v>
                </c:pt>
                <c:pt idx="131">
                  <c:v>13567.914051343943</c:v>
                </c:pt>
                <c:pt idx="132">
                  <c:v>13567.914051343943</c:v>
                </c:pt>
                <c:pt idx="133">
                  <c:v>13567.914051343943</c:v>
                </c:pt>
                <c:pt idx="134">
                  <c:v>13567.914051343943</c:v>
                </c:pt>
                <c:pt idx="135">
                  <c:v>13567.914051343943</c:v>
                </c:pt>
                <c:pt idx="136">
                  <c:v>13567.914051343943</c:v>
                </c:pt>
                <c:pt idx="137">
                  <c:v>13567.914051343943</c:v>
                </c:pt>
                <c:pt idx="138">
                  <c:v>13567.914051343943</c:v>
                </c:pt>
                <c:pt idx="139">
                  <c:v>13567.914051343943</c:v>
                </c:pt>
                <c:pt idx="140">
                  <c:v>13567.914051343943</c:v>
                </c:pt>
                <c:pt idx="141">
                  <c:v>13567.914051343943</c:v>
                </c:pt>
                <c:pt idx="142">
                  <c:v>13567.914051343943</c:v>
                </c:pt>
                <c:pt idx="143">
                  <c:v>13567.914051343943</c:v>
                </c:pt>
                <c:pt idx="144">
                  <c:v>13567.914051343943</c:v>
                </c:pt>
                <c:pt idx="145">
                  <c:v>13567.914051343943</c:v>
                </c:pt>
                <c:pt idx="146">
                  <c:v>13567.914051343943</c:v>
                </c:pt>
                <c:pt idx="147">
                  <c:v>13567.914051343943</c:v>
                </c:pt>
                <c:pt idx="148">
                  <c:v>13567.914051343943</c:v>
                </c:pt>
                <c:pt idx="149">
                  <c:v>13567.914051343943</c:v>
                </c:pt>
                <c:pt idx="150">
                  <c:v>13567.914051343943</c:v>
                </c:pt>
                <c:pt idx="151">
                  <c:v>13567.914051343943</c:v>
                </c:pt>
                <c:pt idx="152">
                  <c:v>13567.914051343943</c:v>
                </c:pt>
                <c:pt idx="153">
                  <c:v>13567.914051343943</c:v>
                </c:pt>
                <c:pt idx="154">
                  <c:v>13567.914051343943</c:v>
                </c:pt>
                <c:pt idx="155">
                  <c:v>13567.914051343943</c:v>
                </c:pt>
                <c:pt idx="156">
                  <c:v>13567.914051343943</c:v>
                </c:pt>
                <c:pt idx="157">
                  <c:v>13567.914051343943</c:v>
                </c:pt>
                <c:pt idx="158">
                  <c:v>13567.914051343943</c:v>
                </c:pt>
                <c:pt idx="159">
                  <c:v>13567.914051343943</c:v>
                </c:pt>
                <c:pt idx="160">
                  <c:v>13567.914051343943</c:v>
                </c:pt>
                <c:pt idx="161">
                  <c:v>13567.914051343943</c:v>
                </c:pt>
                <c:pt idx="162">
                  <c:v>13567.914051343943</c:v>
                </c:pt>
                <c:pt idx="163">
                  <c:v>13567.914051343943</c:v>
                </c:pt>
                <c:pt idx="164">
                  <c:v>13567.914051343943</c:v>
                </c:pt>
                <c:pt idx="165">
                  <c:v>13567.914051343943</c:v>
                </c:pt>
                <c:pt idx="166">
                  <c:v>13567.914051343943</c:v>
                </c:pt>
                <c:pt idx="167">
                  <c:v>13567.914051343943</c:v>
                </c:pt>
                <c:pt idx="168">
                  <c:v>13567.914051343943</c:v>
                </c:pt>
                <c:pt idx="169">
                  <c:v>13567.914051343943</c:v>
                </c:pt>
                <c:pt idx="170">
                  <c:v>13567.914051343943</c:v>
                </c:pt>
                <c:pt idx="171">
                  <c:v>13567.914051343943</c:v>
                </c:pt>
                <c:pt idx="172">
                  <c:v>13567.914051343943</c:v>
                </c:pt>
                <c:pt idx="173">
                  <c:v>13567.914051343943</c:v>
                </c:pt>
                <c:pt idx="174">
                  <c:v>13567.914051343943</c:v>
                </c:pt>
                <c:pt idx="175">
                  <c:v>13567.914051343943</c:v>
                </c:pt>
                <c:pt idx="176">
                  <c:v>13567.914051343943</c:v>
                </c:pt>
                <c:pt idx="177">
                  <c:v>13567.914051343943</c:v>
                </c:pt>
                <c:pt idx="178">
                  <c:v>13567.914051343943</c:v>
                </c:pt>
                <c:pt idx="179">
                  <c:v>13567.914051343943</c:v>
                </c:pt>
                <c:pt idx="180">
                  <c:v>13567.914051343943</c:v>
                </c:pt>
                <c:pt idx="181">
                  <c:v>13567.914051343943</c:v>
                </c:pt>
                <c:pt idx="182">
                  <c:v>13567.914051343943</c:v>
                </c:pt>
                <c:pt idx="183">
                  <c:v>13567.914051343943</c:v>
                </c:pt>
                <c:pt idx="184">
                  <c:v>13567.914051343943</c:v>
                </c:pt>
                <c:pt idx="185">
                  <c:v>13567.914051343943</c:v>
                </c:pt>
                <c:pt idx="186">
                  <c:v>13567.914051343943</c:v>
                </c:pt>
                <c:pt idx="187">
                  <c:v>13567.914051343943</c:v>
                </c:pt>
                <c:pt idx="188">
                  <c:v>13567.914051343943</c:v>
                </c:pt>
                <c:pt idx="189">
                  <c:v>13567.914051343943</c:v>
                </c:pt>
                <c:pt idx="190">
                  <c:v>13567.914051343943</c:v>
                </c:pt>
                <c:pt idx="191">
                  <c:v>13567.914051343943</c:v>
                </c:pt>
                <c:pt idx="192">
                  <c:v>13567.914051343943</c:v>
                </c:pt>
                <c:pt idx="193">
                  <c:v>13567.914051343943</c:v>
                </c:pt>
                <c:pt idx="194">
                  <c:v>13567.914051343943</c:v>
                </c:pt>
                <c:pt idx="195">
                  <c:v>13567.914051343943</c:v>
                </c:pt>
                <c:pt idx="196">
                  <c:v>13567.914051343943</c:v>
                </c:pt>
                <c:pt idx="197">
                  <c:v>13567.914051343943</c:v>
                </c:pt>
                <c:pt idx="198">
                  <c:v>13567.914051343943</c:v>
                </c:pt>
                <c:pt idx="199">
                  <c:v>13567.914051343943</c:v>
                </c:pt>
                <c:pt idx="200">
                  <c:v>13567.914051343943</c:v>
                </c:pt>
                <c:pt idx="201">
                  <c:v>13567.914051343943</c:v>
                </c:pt>
                <c:pt idx="202">
                  <c:v>13567.914051343943</c:v>
                </c:pt>
                <c:pt idx="203">
                  <c:v>13567.914051343943</c:v>
                </c:pt>
                <c:pt idx="204">
                  <c:v>13567.914051343943</c:v>
                </c:pt>
                <c:pt idx="205">
                  <c:v>13567.914051343943</c:v>
                </c:pt>
                <c:pt idx="206">
                  <c:v>13567.914051343943</c:v>
                </c:pt>
                <c:pt idx="207">
                  <c:v>13567.914051343943</c:v>
                </c:pt>
                <c:pt idx="208">
                  <c:v>13567.914051343943</c:v>
                </c:pt>
                <c:pt idx="209">
                  <c:v>13567.914051343943</c:v>
                </c:pt>
                <c:pt idx="210">
                  <c:v>13567.914051343943</c:v>
                </c:pt>
                <c:pt idx="211">
                  <c:v>13567.914051343943</c:v>
                </c:pt>
                <c:pt idx="212">
                  <c:v>13567.914051343943</c:v>
                </c:pt>
                <c:pt idx="213">
                  <c:v>13567.914051343943</c:v>
                </c:pt>
                <c:pt idx="214">
                  <c:v>13567.914051343943</c:v>
                </c:pt>
                <c:pt idx="215">
                  <c:v>13567.914051343943</c:v>
                </c:pt>
                <c:pt idx="216">
                  <c:v>13567.914051343943</c:v>
                </c:pt>
                <c:pt idx="217">
                  <c:v>13567.914051343943</c:v>
                </c:pt>
                <c:pt idx="218">
                  <c:v>13567.914051343943</c:v>
                </c:pt>
                <c:pt idx="219">
                  <c:v>13567.914051343943</c:v>
                </c:pt>
                <c:pt idx="220">
                  <c:v>13567.914051343943</c:v>
                </c:pt>
                <c:pt idx="221">
                  <c:v>13567.914051343943</c:v>
                </c:pt>
                <c:pt idx="222">
                  <c:v>13567.914051343943</c:v>
                </c:pt>
                <c:pt idx="223">
                  <c:v>13567.914051343943</c:v>
                </c:pt>
                <c:pt idx="224">
                  <c:v>13567.914051343943</c:v>
                </c:pt>
                <c:pt idx="225">
                  <c:v>13567.914051343943</c:v>
                </c:pt>
                <c:pt idx="226">
                  <c:v>13567.914051343943</c:v>
                </c:pt>
                <c:pt idx="227">
                  <c:v>13567.914051343943</c:v>
                </c:pt>
                <c:pt idx="228">
                  <c:v>13567.914051343943</c:v>
                </c:pt>
                <c:pt idx="229">
                  <c:v>13567.914051343943</c:v>
                </c:pt>
                <c:pt idx="230">
                  <c:v>13567.914051343943</c:v>
                </c:pt>
                <c:pt idx="231">
                  <c:v>13567.914051343943</c:v>
                </c:pt>
                <c:pt idx="232">
                  <c:v>13567.914051343943</c:v>
                </c:pt>
                <c:pt idx="233">
                  <c:v>13567.914051343943</c:v>
                </c:pt>
                <c:pt idx="234">
                  <c:v>13567.914051343943</c:v>
                </c:pt>
                <c:pt idx="235">
                  <c:v>13567.914051343943</c:v>
                </c:pt>
                <c:pt idx="236">
                  <c:v>13567.914051343943</c:v>
                </c:pt>
                <c:pt idx="237">
                  <c:v>13567.914051343943</c:v>
                </c:pt>
                <c:pt idx="238">
                  <c:v>13567.914051343943</c:v>
                </c:pt>
                <c:pt idx="239">
                  <c:v>13567.914051343943</c:v>
                </c:pt>
                <c:pt idx="240">
                  <c:v>13567.914051343943</c:v>
                </c:pt>
                <c:pt idx="241">
                  <c:v>13567.914051343943</c:v>
                </c:pt>
                <c:pt idx="242">
                  <c:v>13567.914051343943</c:v>
                </c:pt>
                <c:pt idx="243">
                  <c:v>13567.914051343943</c:v>
                </c:pt>
                <c:pt idx="244">
                  <c:v>13567.914051343943</c:v>
                </c:pt>
                <c:pt idx="245">
                  <c:v>13567.914051343943</c:v>
                </c:pt>
                <c:pt idx="246">
                  <c:v>13567.914051343943</c:v>
                </c:pt>
                <c:pt idx="247">
                  <c:v>13567.914051343943</c:v>
                </c:pt>
                <c:pt idx="248">
                  <c:v>13567.914051343943</c:v>
                </c:pt>
                <c:pt idx="249">
                  <c:v>13567.914051343943</c:v>
                </c:pt>
                <c:pt idx="250">
                  <c:v>13567.914051343943</c:v>
                </c:pt>
                <c:pt idx="251">
                  <c:v>13567.914051343943</c:v>
                </c:pt>
                <c:pt idx="252">
                  <c:v>13567.914051343943</c:v>
                </c:pt>
                <c:pt idx="253">
                  <c:v>13567.914051343943</c:v>
                </c:pt>
                <c:pt idx="254">
                  <c:v>13567.914051343943</c:v>
                </c:pt>
                <c:pt idx="255">
                  <c:v>13567.914051343943</c:v>
                </c:pt>
                <c:pt idx="256">
                  <c:v>13567.914051343943</c:v>
                </c:pt>
                <c:pt idx="257">
                  <c:v>13567.914051343943</c:v>
                </c:pt>
                <c:pt idx="258">
                  <c:v>13567.914051343943</c:v>
                </c:pt>
                <c:pt idx="259">
                  <c:v>13567.914051343943</c:v>
                </c:pt>
                <c:pt idx="260">
                  <c:v>13567.914051343943</c:v>
                </c:pt>
                <c:pt idx="261">
                  <c:v>13567.914051343943</c:v>
                </c:pt>
                <c:pt idx="262">
                  <c:v>13567.914051343943</c:v>
                </c:pt>
                <c:pt idx="263">
                  <c:v>13567.914051343943</c:v>
                </c:pt>
                <c:pt idx="264">
                  <c:v>13567.914051343943</c:v>
                </c:pt>
                <c:pt idx="265">
                  <c:v>13567.914051343943</c:v>
                </c:pt>
                <c:pt idx="266">
                  <c:v>13567.914051343943</c:v>
                </c:pt>
                <c:pt idx="267">
                  <c:v>13567.914051343943</c:v>
                </c:pt>
                <c:pt idx="268">
                  <c:v>13567.914051343943</c:v>
                </c:pt>
                <c:pt idx="269">
                  <c:v>13567.914051343943</c:v>
                </c:pt>
                <c:pt idx="270">
                  <c:v>13567.914051343943</c:v>
                </c:pt>
                <c:pt idx="271">
                  <c:v>13567.914051343943</c:v>
                </c:pt>
                <c:pt idx="272">
                  <c:v>13567.914051343943</c:v>
                </c:pt>
                <c:pt idx="273">
                  <c:v>13567.914051343943</c:v>
                </c:pt>
                <c:pt idx="274">
                  <c:v>13567.914051343943</c:v>
                </c:pt>
                <c:pt idx="275">
                  <c:v>13567.914051343943</c:v>
                </c:pt>
                <c:pt idx="276">
                  <c:v>13567.914051343943</c:v>
                </c:pt>
                <c:pt idx="277">
                  <c:v>13567.914051343943</c:v>
                </c:pt>
                <c:pt idx="278">
                  <c:v>13567.914051343943</c:v>
                </c:pt>
                <c:pt idx="279">
                  <c:v>13567.914051343943</c:v>
                </c:pt>
                <c:pt idx="280">
                  <c:v>13567.914051343943</c:v>
                </c:pt>
                <c:pt idx="281">
                  <c:v>13567.914051343943</c:v>
                </c:pt>
                <c:pt idx="282">
                  <c:v>13567.914051343943</c:v>
                </c:pt>
                <c:pt idx="283">
                  <c:v>13567.914051343943</c:v>
                </c:pt>
                <c:pt idx="284">
                  <c:v>13567.914051343943</c:v>
                </c:pt>
                <c:pt idx="285">
                  <c:v>13567.914051343943</c:v>
                </c:pt>
                <c:pt idx="286">
                  <c:v>13567.914051343943</c:v>
                </c:pt>
                <c:pt idx="287">
                  <c:v>13567.914051343943</c:v>
                </c:pt>
                <c:pt idx="288">
                  <c:v>13567.914051343943</c:v>
                </c:pt>
                <c:pt idx="289">
                  <c:v>13567.914051343943</c:v>
                </c:pt>
                <c:pt idx="290">
                  <c:v>13567.914051343943</c:v>
                </c:pt>
                <c:pt idx="291">
                  <c:v>13567.914051343943</c:v>
                </c:pt>
                <c:pt idx="292">
                  <c:v>13567.914051343943</c:v>
                </c:pt>
                <c:pt idx="293">
                  <c:v>13567.914051343943</c:v>
                </c:pt>
                <c:pt idx="294">
                  <c:v>13567.914051343943</c:v>
                </c:pt>
                <c:pt idx="295">
                  <c:v>13567.914051343943</c:v>
                </c:pt>
                <c:pt idx="296">
                  <c:v>13567.914051343943</c:v>
                </c:pt>
                <c:pt idx="297">
                  <c:v>13567.914051343943</c:v>
                </c:pt>
                <c:pt idx="298">
                  <c:v>13567.914051343943</c:v>
                </c:pt>
                <c:pt idx="299">
                  <c:v>13567.914051343943</c:v>
                </c:pt>
                <c:pt idx="300">
                  <c:v>13567.914051343943</c:v>
                </c:pt>
                <c:pt idx="301">
                  <c:v>13567.914051343943</c:v>
                </c:pt>
                <c:pt idx="302">
                  <c:v>13567.914051343943</c:v>
                </c:pt>
                <c:pt idx="303">
                  <c:v>13567.914051343943</c:v>
                </c:pt>
                <c:pt idx="304">
                  <c:v>13567.914051343943</c:v>
                </c:pt>
                <c:pt idx="305">
                  <c:v>13567.914051343943</c:v>
                </c:pt>
                <c:pt idx="306">
                  <c:v>13567.914051343943</c:v>
                </c:pt>
                <c:pt idx="307">
                  <c:v>13567.914051343943</c:v>
                </c:pt>
                <c:pt idx="308">
                  <c:v>13567.914051343943</c:v>
                </c:pt>
                <c:pt idx="309">
                  <c:v>13567.914051343943</c:v>
                </c:pt>
                <c:pt idx="310">
                  <c:v>13567.914051343943</c:v>
                </c:pt>
                <c:pt idx="311">
                  <c:v>13567.914051343943</c:v>
                </c:pt>
                <c:pt idx="312">
                  <c:v>13567.914051343943</c:v>
                </c:pt>
                <c:pt idx="313">
                  <c:v>13567.914051343943</c:v>
                </c:pt>
                <c:pt idx="314">
                  <c:v>13567.914051343943</c:v>
                </c:pt>
                <c:pt idx="315">
                  <c:v>13567.914051343943</c:v>
                </c:pt>
                <c:pt idx="316">
                  <c:v>13567.914051343943</c:v>
                </c:pt>
                <c:pt idx="317">
                  <c:v>13567.914051343943</c:v>
                </c:pt>
                <c:pt idx="318">
                  <c:v>13567.914051343943</c:v>
                </c:pt>
                <c:pt idx="319">
                  <c:v>13567.914051343943</c:v>
                </c:pt>
                <c:pt idx="320">
                  <c:v>13567.914051343943</c:v>
                </c:pt>
                <c:pt idx="321">
                  <c:v>13567.914051343943</c:v>
                </c:pt>
                <c:pt idx="322">
                  <c:v>13567.914051343943</c:v>
                </c:pt>
                <c:pt idx="323">
                  <c:v>13567.914051343943</c:v>
                </c:pt>
                <c:pt idx="324">
                  <c:v>13567.914051343943</c:v>
                </c:pt>
                <c:pt idx="325">
                  <c:v>13567.914051343943</c:v>
                </c:pt>
                <c:pt idx="326">
                  <c:v>13567.914051343943</c:v>
                </c:pt>
                <c:pt idx="327">
                  <c:v>13567.914051343943</c:v>
                </c:pt>
                <c:pt idx="328">
                  <c:v>13567.914051343943</c:v>
                </c:pt>
                <c:pt idx="329">
                  <c:v>13567.914051343943</c:v>
                </c:pt>
                <c:pt idx="330">
                  <c:v>13567.914051343943</c:v>
                </c:pt>
                <c:pt idx="331">
                  <c:v>13567.914051343943</c:v>
                </c:pt>
                <c:pt idx="332">
                  <c:v>13567.914051343943</c:v>
                </c:pt>
                <c:pt idx="333">
                  <c:v>13567.914051343943</c:v>
                </c:pt>
                <c:pt idx="334">
                  <c:v>13567.914051343943</c:v>
                </c:pt>
                <c:pt idx="335">
                  <c:v>13567.914051343943</c:v>
                </c:pt>
                <c:pt idx="336">
                  <c:v>13567.914051343943</c:v>
                </c:pt>
                <c:pt idx="337">
                  <c:v>13567.914051343943</c:v>
                </c:pt>
                <c:pt idx="338">
                  <c:v>13567.914051343943</c:v>
                </c:pt>
                <c:pt idx="339">
                  <c:v>13567.914051343943</c:v>
                </c:pt>
                <c:pt idx="340">
                  <c:v>13567.914051343943</c:v>
                </c:pt>
                <c:pt idx="341">
                  <c:v>13567.914051343943</c:v>
                </c:pt>
                <c:pt idx="342">
                  <c:v>13567.914051343943</c:v>
                </c:pt>
                <c:pt idx="343">
                  <c:v>13567.914051343943</c:v>
                </c:pt>
                <c:pt idx="344">
                  <c:v>13567.914051343943</c:v>
                </c:pt>
                <c:pt idx="345">
                  <c:v>13567.914051343943</c:v>
                </c:pt>
                <c:pt idx="346">
                  <c:v>13567.914051343943</c:v>
                </c:pt>
                <c:pt idx="347">
                  <c:v>13567.914051343943</c:v>
                </c:pt>
                <c:pt idx="348">
                  <c:v>13567.914051343943</c:v>
                </c:pt>
                <c:pt idx="349">
                  <c:v>13567.914051343943</c:v>
                </c:pt>
                <c:pt idx="350">
                  <c:v>13567.914051343943</c:v>
                </c:pt>
                <c:pt idx="351">
                  <c:v>13567.914051343943</c:v>
                </c:pt>
                <c:pt idx="352">
                  <c:v>13567.914051343943</c:v>
                </c:pt>
                <c:pt idx="353">
                  <c:v>13567.914051343943</c:v>
                </c:pt>
                <c:pt idx="354">
                  <c:v>13567.914051343943</c:v>
                </c:pt>
                <c:pt idx="355">
                  <c:v>13567.914051343943</c:v>
                </c:pt>
                <c:pt idx="356">
                  <c:v>13567.914051343943</c:v>
                </c:pt>
                <c:pt idx="357">
                  <c:v>13567.914051343943</c:v>
                </c:pt>
                <c:pt idx="358">
                  <c:v>13567.914051343943</c:v>
                </c:pt>
                <c:pt idx="359">
                  <c:v>13567.914051343943</c:v>
                </c:pt>
                <c:pt idx="360">
                  <c:v>13567.914051343943</c:v>
                </c:pt>
                <c:pt idx="361">
                  <c:v>13567.914051343943</c:v>
                </c:pt>
                <c:pt idx="362">
                  <c:v>13567.914051343943</c:v>
                </c:pt>
                <c:pt idx="363">
                  <c:v>13567.914051343943</c:v>
                </c:pt>
                <c:pt idx="364">
                  <c:v>13567.914051343943</c:v>
                </c:pt>
                <c:pt idx="365">
                  <c:v>13567.914051343943</c:v>
                </c:pt>
                <c:pt idx="366">
                  <c:v>13567.914051343943</c:v>
                </c:pt>
                <c:pt idx="367">
                  <c:v>13567.914051343943</c:v>
                </c:pt>
                <c:pt idx="368">
                  <c:v>13567.914051343943</c:v>
                </c:pt>
                <c:pt idx="369">
                  <c:v>13567.914051343943</c:v>
                </c:pt>
                <c:pt idx="370">
                  <c:v>13567.914051343943</c:v>
                </c:pt>
                <c:pt idx="371">
                  <c:v>13567.914051343943</c:v>
                </c:pt>
                <c:pt idx="372">
                  <c:v>13567.914051343943</c:v>
                </c:pt>
                <c:pt idx="373">
                  <c:v>13567.914051343943</c:v>
                </c:pt>
                <c:pt idx="374">
                  <c:v>13567.914051343943</c:v>
                </c:pt>
                <c:pt idx="375">
                  <c:v>13567.914051343943</c:v>
                </c:pt>
                <c:pt idx="376">
                  <c:v>13567.914051343943</c:v>
                </c:pt>
                <c:pt idx="377">
                  <c:v>13567.914051343943</c:v>
                </c:pt>
                <c:pt idx="378">
                  <c:v>13567.914051343943</c:v>
                </c:pt>
                <c:pt idx="379">
                  <c:v>13567.914051343943</c:v>
                </c:pt>
                <c:pt idx="380">
                  <c:v>13567.914051343943</c:v>
                </c:pt>
                <c:pt idx="381">
                  <c:v>13567.914051343943</c:v>
                </c:pt>
                <c:pt idx="382">
                  <c:v>13567.914051343943</c:v>
                </c:pt>
                <c:pt idx="383">
                  <c:v>13567.914051343943</c:v>
                </c:pt>
                <c:pt idx="384">
                  <c:v>13567.914051343943</c:v>
                </c:pt>
                <c:pt idx="385">
                  <c:v>13567.914051343943</c:v>
                </c:pt>
                <c:pt idx="386">
                  <c:v>13567.914051343943</c:v>
                </c:pt>
                <c:pt idx="387">
                  <c:v>13567.914051343943</c:v>
                </c:pt>
                <c:pt idx="388">
                  <c:v>13567.914051343943</c:v>
                </c:pt>
                <c:pt idx="389">
                  <c:v>13567.914051343943</c:v>
                </c:pt>
                <c:pt idx="390">
                  <c:v>13567.914051343943</c:v>
                </c:pt>
                <c:pt idx="391">
                  <c:v>13567.914051343943</c:v>
                </c:pt>
                <c:pt idx="392">
                  <c:v>13567.914051343943</c:v>
                </c:pt>
                <c:pt idx="393">
                  <c:v>13567.914051343943</c:v>
                </c:pt>
                <c:pt idx="394">
                  <c:v>13567.914051343943</c:v>
                </c:pt>
                <c:pt idx="395">
                  <c:v>13567.914051343943</c:v>
                </c:pt>
                <c:pt idx="396">
                  <c:v>13567.914051343943</c:v>
                </c:pt>
                <c:pt idx="397">
                  <c:v>13567.914051343943</c:v>
                </c:pt>
                <c:pt idx="398">
                  <c:v>13567.914051343943</c:v>
                </c:pt>
                <c:pt idx="399">
                  <c:v>13567.914051343943</c:v>
                </c:pt>
                <c:pt idx="400">
                  <c:v>13567.914051343943</c:v>
                </c:pt>
                <c:pt idx="401">
                  <c:v>13567.914051343943</c:v>
                </c:pt>
                <c:pt idx="402">
                  <c:v>13567.914051343943</c:v>
                </c:pt>
                <c:pt idx="403">
                  <c:v>13567.914051343943</c:v>
                </c:pt>
                <c:pt idx="404">
                  <c:v>13567.914051343943</c:v>
                </c:pt>
                <c:pt idx="405">
                  <c:v>13567.914051343943</c:v>
                </c:pt>
                <c:pt idx="406">
                  <c:v>13567.914051343943</c:v>
                </c:pt>
                <c:pt idx="407">
                  <c:v>13567.914051343943</c:v>
                </c:pt>
                <c:pt idx="408">
                  <c:v>13567.914051343943</c:v>
                </c:pt>
                <c:pt idx="409">
                  <c:v>13567.914051343943</c:v>
                </c:pt>
                <c:pt idx="410">
                  <c:v>13567.914051343943</c:v>
                </c:pt>
                <c:pt idx="411">
                  <c:v>13567.914051343943</c:v>
                </c:pt>
                <c:pt idx="412">
                  <c:v>13567.914051343943</c:v>
                </c:pt>
                <c:pt idx="413">
                  <c:v>13567.914051343943</c:v>
                </c:pt>
                <c:pt idx="414">
                  <c:v>13567.914051343943</c:v>
                </c:pt>
                <c:pt idx="415">
                  <c:v>13567.914051343943</c:v>
                </c:pt>
                <c:pt idx="416">
                  <c:v>13567.914051343943</c:v>
                </c:pt>
                <c:pt idx="417">
                  <c:v>13567.914051343943</c:v>
                </c:pt>
                <c:pt idx="418">
                  <c:v>13567.914051343943</c:v>
                </c:pt>
                <c:pt idx="419">
                  <c:v>13567.914051343943</c:v>
                </c:pt>
                <c:pt idx="420">
                  <c:v>13567.914051343943</c:v>
                </c:pt>
                <c:pt idx="421">
                  <c:v>13567.914051343943</c:v>
                </c:pt>
                <c:pt idx="422">
                  <c:v>13567.914051343943</c:v>
                </c:pt>
                <c:pt idx="423">
                  <c:v>13567.914051343943</c:v>
                </c:pt>
                <c:pt idx="424">
                  <c:v>13567.914051343943</c:v>
                </c:pt>
                <c:pt idx="425">
                  <c:v>13567.914051343943</c:v>
                </c:pt>
                <c:pt idx="426">
                  <c:v>13567.914051343943</c:v>
                </c:pt>
                <c:pt idx="427">
                  <c:v>13567.914051343943</c:v>
                </c:pt>
                <c:pt idx="428">
                  <c:v>13567.914051343943</c:v>
                </c:pt>
                <c:pt idx="429">
                  <c:v>13567.914051343943</c:v>
                </c:pt>
                <c:pt idx="430">
                  <c:v>13567.914051343943</c:v>
                </c:pt>
                <c:pt idx="431">
                  <c:v>13567.914051343943</c:v>
                </c:pt>
                <c:pt idx="432">
                  <c:v>13567.914051343943</c:v>
                </c:pt>
                <c:pt idx="433">
                  <c:v>13567.914051343943</c:v>
                </c:pt>
                <c:pt idx="434">
                  <c:v>13567.914051343943</c:v>
                </c:pt>
                <c:pt idx="435">
                  <c:v>13567.914051343943</c:v>
                </c:pt>
                <c:pt idx="436">
                  <c:v>13567.914051343943</c:v>
                </c:pt>
                <c:pt idx="437">
                  <c:v>13567.914051343943</c:v>
                </c:pt>
                <c:pt idx="438">
                  <c:v>13567.914051343943</c:v>
                </c:pt>
                <c:pt idx="439">
                  <c:v>13567.914051343943</c:v>
                </c:pt>
                <c:pt idx="440">
                  <c:v>13567.914051343943</c:v>
                </c:pt>
                <c:pt idx="441">
                  <c:v>13567.914051343943</c:v>
                </c:pt>
                <c:pt idx="442">
                  <c:v>13567.914051343943</c:v>
                </c:pt>
                <c:pt idx="443">
                  <c:v>13567.914051343943</c:v>
                </c:pt>
                <c:pt idx="444">
                  <c:v>13567.914051343943</c:v>
                </c:pt>
                <c:pt idx="445">
                  <c:v>13567.914051343943</c:v>
                </c:pt>
                <c:pt idx="446">
                  <c:v>13567.914051343943</c:v>
                </c:pt>
                <c:pt idx="447">
                  <c:v>13567.914051343943</c:v>
                </c:pt>
                <c:pt idx="448">
                  <c:v>13567.914051343943</c:v>
                </c:pt>
                <c:pt idx="449">
                  <c:v>13567.914051343943</c:v>
                </c:pt>
                <c:pt idx="450">
                  <c:v>13567.914051343943</c:v>
                </c:pt>
                <c:pt idx="451">
                  <c:v>13567.914051343943</c:v>
                </c:pt>
                <c:pt idx="452">
                  <c:v>13567.914051343943</c:v>
                </c:pt>
                <c:pt idx="453">
                  <c:v>13567.914051343943</c:v>
                </c:pt>
                <c:pt idx="454">
                  <c:v>13567.914051343943</c:v>
                </c:pt>
                <c:pt idx="455">
                  <c:v>13567.914051343943</c:v>
                </c:pt>
                <c:pt idx="456">
                  <c:v>13567.914051343943</c:v>
                </c:pt>
                <c:pt idx="457">
                  <c:v>13567.914051343943</c:v>
                </c:pt>
                <c:pt idx="458">
                  <c:v>13567.914051343943</c:v>
                </c:pt>
                <c:pt idx="459">
                  <c:v>13567.914051343943</c:v>
                </c:pt>
                <c:pt idx="460">
                  <c:v>13567.914051343943</c:v>
                </c:pt>
                <c:pt idx="461">
                  <c:v>13567.914051343943</c:v>
                </c:pt>
                <c:pt idx="462">
                  <c:v>13567.914051343943</c:v>
                </c:pt>
                <c:pt idx="463">
                  <c:v>13567.914051343943</c:v>
                </c:pt>
                <c:pt idx="464">
                  <c:v>13567.914051343943</c:v>
                </c:pt>
                <c:pt idx="465">
                  <c:v>13567.914051343943</c:v>
                </c:pt>
                <c:pt idx="466">
                  <c:v>13567.914051343943</c:v>
                </c:pt>
                <c:pt idx="467">
                  <c:v>13567.914051343943</c:v>
                </c:pt>
                <c:pt idx="468">
                  <c:v>13567.914051343943</c:v>
                </c:pt>
                <c:pt idx="469">
                  <c:v>13567.914051343943</c:v>
                </c:pt>
                <c:pt idx="470">
                  <c:v>13567.914051343943</c:v>
                </c:pt>
                <c:pt idx="471">
                  <c:v>13567.914051343943</c:v>
                </c:pt>
                <c:pt idx="472">
                  <c:v>13567.914051343943</c:v>
                </c:pt>
                <c:pt idx="473">
                  <c:v>13567.914051343943</c:v>
                </c:pt>
                <c:pt idx="474">
                  <c:v>13567.914051343943</c:v>
                </c:pt>
                <c:pt idx="475">
                  <c:v>13567.914051343943</c:v>
                </c:pt>
                <c:pt idx="476">
                  <c:v>13567.914051343943</c:v>
                </c:pt>
                <c:pt idx="477">
                  <c:v>13567.914051343943</c:v>
                </c:pt>
                <c:pt idx="478">
                  <c:v>13567.914051343943</c:v>
                </c:pt>
                <c:pt idx="479">
                  <c:v>13567.914051343943</c:v>
                </c:pt>
                <c:pt idx="480">
                  <c:v>13567.914051343943</c:v>
                </c:pt>
                <c:pt idx="481">
                  <c:v>13567.914051343943</c:v>
                </c:pt>
                <c:pt idx="482">
                  <c:v>13567.914051343943</c:v>
                </c:pt>
                <c:pt idx="483">
                  <c:v>13567.914051343943</c:v>
                </c:pt>
                <c:pt idx="484">
                  <c:v>13567.914051343943</c:v>
                </c:pt>
                <c:pt idx="485">
                  <c:v>13567.914051343943</c:v>
                </c:pt>
                <c:pt idx="486">
                  <c:v>13567.914051343943</c:v>
                </c:pt>
                <c:pt idx="487">
                  <c:v>13567.914051343943</c:v>
                </c:pt>
                <c:pt idx="488">
                  <c:v>13567.914051343943</c:v>
                </c:pt>
                <c:pt idx="489">
                  <c:v>13567.914051343943</c:v>
                </c:pt>
                <c:pt idx="490">
                  <c:v>13567.914051343943</c:v>
                </c:pt>
                <c:pt idx="491">
                  <c:v>13567.914051343943</c:v>
                </c:pt>
                <c:pt idx="492">
                  <c:v>13567.914051343943</c:v>
                </c:pt>
                <c:pt idx="493">
                  <c:v>13567.914051343943</c:v>
                </c:pt>
                <c:pt idx="494">
                  <c:v>13567.914051343943</c:v>
                </c:pt>
                <c:pt idx="495">
                  <c:v>13567.914051343943</c:v>
                </c:pt>
                <c:pt idx="496">
                  <c:v>13567.914051343943</c:v>
                </c:pt>
                <c:pt idx="497">
                  <c:v>13567.914051343943</c:v>
                </c:pt>
                <c:pt idx="498">
                  <c:v>13567.914051343943</c:v>
                </c:pt>
                <c:pt idx="499">
                  <c:v>13567.914051343943</c:v>
                </c:pt>
                <c:pt idx="500">
                  <c:v>13567.914051343943</c:v>
                </c:pt>
                <c:pt idx="501">
                  <c:v>13567.914051343943</c:v>
                </c:pt>
                <c:pt idx="502">
                  <c:v>13567.914051343943</c:v>
                </c:pt>
                <c:pt idx="503">
                  <c:v>13567.914051343943</c:v>
                </c:pt>
                <c:pt idx="504">
                  <c:v>13567.914051343943</c:v>
                </c:pt>
                <c:pt idx="505">
                  <c:v>13567.914051343943</c:v>
                </c:pt>
                <c:pt idx="506">
                  <c:v>13567.914051343943</c:v>
                </c:pt>
                <c:pt idx="507">
                  <c:v>13567.914051343943</c:v>
                </c:pt>
                <c:pt idx="508">
                  <c:v>13567.914051343943</c:v>
                </c:pt>
                <c:pt idx="509">
                  <c:v>13567.914051343943</c:v>
                </c:pt>
                <c:pt idx="510">
                  <c:v>13567.914051343943</c:v>
                </c:pt>
                <c:pt idx="511">
                  <c:v>13567.914051343943</c:v>
                </c:pt>
                <c:pt idx="512">
                  <c:v>13567.914051343943</c:v>
                </c:pt>
                <c:pt idx="513">
                  <c:v>13567.914051343943</c:v>
                </c:pt>
                <c:pt idx="514">
                  <c:v>13567.914051343943</c:v>
                </c:pt>
                <c:pt idx="515">
                  <c:v>13567.914051343943</c:v>
                </c:pt>
                <c:pt idx="516">
                  <c:v>13567.914051343943</c:v>
                </c:pt>
                <c:pt idx="517">
                  <c:v>13567.914051343943</c:v>
                </c:pt>
                <c:pt idx="518">
                  <c:v>13567.914051343943</c:v>
                </c:pt>
                <c:pt idx="519">
                  <c:v>13567.914051343943</c:v>
                </c:pt>
                <c:pt idx="520">
                  <c:v>13567.914051343943</c:v>
                </c:pt>
                <c:pt idx="521">
                  <c:v>13567.914051343943</c:v>
                </c:pt>
                <c:pt idx="522">
                  <c:v>13567.914051343943</c:v>
                </c:pt>
                <c:pt idx="523">
                  <c:v>13567.914051343943</c:v>
                </c:pt>
                <c:pt idx="524">
                  <c:v>13567.914051343943</c:v>
                </c:pt>
                <c:pt idx="525">
                  <c:v>13567.914051343943</c:v>
                </c:pt>
                <c:pt idx="526">
                  <c:v>13567.914051343943</c:v>
                </c:pt>
                <c:pt idx="527">
                  <c:v>13567.914051343943</c:v>
                </c:pt>
                <c:pt idx="528">
                  <c:v>13567.914051343943</c:v>
                </c:pt>
                <c:pt idx="529">
                  <c:v>13567.914051343943</c:v>
                </c:pt>
                <c:pt idx="530">
                  <c:v>13567.914051343943</c:v>
                </c:pt>
                <c:pt idx="531">
                  <c:v>13567.914051343943</c:v>
                </c:pt>
                <c:pt idx="532">
                  <c:v>13567.914051343943</c:v>
                </c:pt>
                <c:pt idx="533">
                  <c:v>13567.914051343943</c:v>
                </c:pt>
                <c:pt idx="534">
                  <c:v>13567.914051343943</c:v>
                </c:pt>
                <c:pt idx="535">
                  <c:v>13567.914051343943</c:v>
                </c:pt>
                <c:pt idx="536">
                  <c:v>13567.914051343943</c:v>
                </c:pt>
                <c:pt idx="537">
                  <c:v>13567.914051343943</c:v>
                </c:pt>
                <c:pt idx="538">
                  <c:v>13567.914051343943</c:v>
                </c:pt>
                <c:pt idx="539">
                  <c:v>13567.914051343943</c:v>
                </c:pt>
                <c:pt idx="540">
                  <c:v>13567.914051343943</c:v>
                </c:pt>
                <c:pt idx="541">
                  <c:v>13567.914051343943</c:v>
                </c:pt>
                <c:pt idx="542">
                  <c:v>13567.914051343943</c:v>
                </c:pt>
                <c:pt idx="543">
                  <c:v>13567.914051343943</c:v>
                </c:pt>
                <c:pt idx="544">
                  <c:v>13567.914051343943</c:v>
                </c:pt>
                <c:pt idx="545">
                  <c:v>13567.914051343943</c:v>
                </c:pt>
                <c:pt idx="546">
                  <c:v>13567.914051343943</c:v>
                </c:pt>
                <c:pt idx="547">
                  <c:v>13567.914051343943</c:v>
                </c:pt>
                <c:pt idx="548">
                  <c:v>13567.914051343943</c:v>
                </c:pt>
                <c:pt idx="549">
                  <c:v>13567.914051343943</c:v>
                </c:pt>
                <c:pt idx="550">
                  <c:v>13567.914051343943</c:v>
                </c:pt>
                <c:pt idx="551">
                  <c:v>13567.914051343943</c:v>
                </c:pt>
                <c:pt idx="552">
                  <c:v>13567.914051343943</c:v>
                </c:pt>
                <c:pt idx="553">
                  <c:v>13567.914051343943</c:v>
                </c:pt>
                <c:pt idx="554">
                  <c:v>13567.914051343943</c:v>
                </c:pt>
                <c:pt idx="555">
                  <c:v>13567.914051343943</c:v>
                </c:pt>
                <c:pt idx="556">
                  <c:v>13567.914051343943</c:v>
                </c:pt>
                <c:pt idx="557">
                  <c:v>13567.914051343943</c:v>
                </c:pt>
                <c:pt idx="558">
                  <c:v>13567.914051343943</c:v>
                </c:pt>
                <c:pt idx="559">
                  <c:v>13567.914051343943</c:v>
                </c:pt>
                <c:pt idx="560">
                  <c:v>13567.914051343943</c:v>
                </c:pt>
                <c:pt idx="561">
                  <c:v>13567.914051343943</c:v>
                </c:pt>
                <c:pt idx="562">
                  <c:v>13567.914051343943</c:v>
                </c:pt>
                <c:pt idx="563">
                  <c:v>13567.914051343943</c:v>
                </c:pt>
                <c:pt idx="564">
                  <c:v>13567.914051343943</c:v>
                </c:pt>
                <c:pt idx="565">
                  <c:v>13567.914051343943</c:v>
                </c:pt>
                <c:pt idx="566">
                  <c:v>13567.914051343943</c:v>
                </c:pt>
                <c:pt idx="567">
                  <c:v>13567.914051343943</c:v>
                </c:pt>
                <c:pt idx="568">
                  <c:v>13567.914051343943</c:v>
                </c:pt>
                <c:pt idx="569">
                  <c:v>13567.914051343943</c:v>
                </c:pt>
                <c:pt idx="570">
                  <c:v>13567.914051343943</c:v>
                </c:pt>
                <c:pt idx="571">
                  <c:v>13567.914051343943</c:v>
                </c:pt>
                <c:pt idx="572">
                  <c:v>13567.914051343943</c:v>
                </c:pt>
                <c:pt idx="573">
                  <c:v>13567.914051343943</c:v>
                </c:pt>
                <c:pt idx="574">
                  <c:v>13567.914051343943</c:v>
                </c:pt>
                <c:pt idx="575">
                  <c:v>13567.914051343943</c:v>
                </c:pt>
                <c:pt idx="576">
                  <c:v>13567.914051343943</c:v>
                </c:pt>
                <c:pt idx="577">
                  <c:v>13567.914051343943</c:v>
                </c:pt>
                <c:pt idx="578">
                  <c:v>13567.914051343943</c:v>
                </c:pt>
                <c:pt idx="579">
                  <c:v>13567.914051343943</c:v>
                </c:pt>
                <c:pt idx="580">
                  <c:v>13567.914051343943</c:v>
                </c:pt>
                <c:pt idx="581">
                  <c:v>13567.914051343943</c:v>
                </c:pt>
                <c:pt idx="582">
                  <c:v>13567.914051343943</c:v>
                </c:pt>
                <c:pt idx="583">
                  <c:v>13567.914051343943</c:v>
                </c:pt>
                <c:pt idx="584">
                  <c:v>13567.914051343943</c:v>
                </c:pt>
                <c:pt idx="585">
                  <c:v>13567.914051343943</c:v>
                </c:pt>
                <c:pt idx="586">
                  <c:v>13567.914051343943</c:v>
                </c:pt>
                <c:pt idx="587">
                  <c:v>13567.914051343943</c:v>
                </c:pt>
                <c:pt idx="588">
                  <c:v>13567.914051343943</c:v>
                </c:pt>
                <c:pt idx="589">
                  <c:v>13567.914051343943</c:v>
                </c:pt>
                <c:pt idx="590">
                  <c:v>13567.914051343943</c:v>
                </c:pt>
                <c:pt idx="591">
                  <c:v>13567.914051343943</c:v>
                </c:pt>
                <c:pt idx="592">
                  <c:v>13567.914051343943</c:v>
                </c:pt>
                <c:pt idx="593">
                  <c:v>13567.914051343943</c:v>
                </c:pt>
                <c:pt idx="594">
                  <c:v>13567.914051343943</c:v>
                </c:pt>
                <c:pt idx="595">
                  <c:v>13567.914051343943</c:v>
                </c:pt>
                <c:pt idx="596">
                  <c:v>13567.914051343943</c:v>
                </c:pt>
                <c:pt idx="597">
                  <c:v>13567.914051343943</c:v>
                </c:pt>
                <c:pt idx="598">
                  <c:v>13567.914051343943</c:v>
                </c:pt>
                <c:pt idx="599">
                  <c:v>13567.914051343943</c:v>
                </c:pt>
                <c:pt idx="600">
                  <c:v>13567.914051343943</c:v>
                </c:pt>
                <c:pt idx="601">
                  <c:v>13567.914051343943</c:v>
                </c:pt>
                <c:pt idx="602">
                  <c:v>13567.914051343943</c:v>
                </c:pt>
                <c:pt idx="603">
                  <c:v>13567.914051343943</c:v>
                </c:pt>
                <c:pt idx="604">
                  <c:v>13567.914051343943</c:v>
                </c:pt>
                <c:pt idx="605">
                  <c:v>13567.914051343943</c:v>
                </c:pt>
                <c:pt idx="606">
                  <c:v>13567.914051343943</c:v>
                </c:pt>
                <c:pt idx="607">
                  <c:v>13567.914051343943</c:v>
                </c:pt>
                <c:pt idx="608">
                  <c:v>13567.914051343943</c:v>
                </c:pt>
                <c:pt idx="609">
                  <c:v>13567.914051343943</c:v>
                </c:pt>
                <c:pt idx="610">
                  <c:v>13567.914051343943</c:v>
                </c:pt>
                <c:pt idx="611">
                  <c:v>13567.914051343943</c:v>
                </c:pt>
                <c:pt idx="612">
                  <c:v>13567.914051343943</c:v>
                </c:pt>
                <c:pt idx="613">
                  <c:v>13567.914051343943</c:v>
                </c:pt>
                <c:pt idx="614">
                  <c:v>13567.914051343943</c:v>
                </c:pt>
                <c:pt idx="615">
                  <c:v>13567.914051343943</c:v>
                </c:pt>
                <c:pt idx="616">
                  <c:v>13567.914051343943</c:v>
                </c:pt>
                <c:pt idx="617">
                  <c:v>13567.914051343943</c:v>
                </c:pt>
                <c:pt idx="618">
                  <c:v>13567.914051343943</c:v>
                </c:pt>
                <c:pt idx="619">
                  <c:v>13567.914051343943</c:v>
                </c:pt>
                <c:pt idx="620">
                  <c:v>13567.914051343943</c:v>
                </c:pt>
                <c:pt idx="621">
                  <c:v>13567.914051343943</c:v>
                </c:pt>
                <c:pt idx="622">
                  <c:v>13567.914051343943</c:v>
                </c:pt>
                <c:pt idx="623">
                  <c:v>13567.914051343943</c:v>
                </c:pt>
                <c:pt idx="624">
                  <c:v>13567.914051343943</c:v>
                </c:pt>
                <c:pt idx="625">
                  <c:v>13567.914051343943</c:v>
                </c:pt>
                <c:pt idx="626">
                  <c:v>13567.914051343943</c:v>
                </c:pt>
                <c:pt idx="627">
                  <c:v>13567.914051343943</c:v>
                </c:pt>
                <c:pt idx="628">
                  <c:v>13567.914051343943</c:v>
                </c:pt>
                <c:pt idx="629">
                  <c:v>13567.914051343943</c:v>
                </c:pt>
                <c:pt idx="630">
                  <c:v>13567.914051343943</c:v>
                </c:pt>
                <c:pt idx="631">
                  <c:v>13567.914051343943</c:v>
                </c:pt>
                <c:pt idx="632">
                  <c:v>13567.914051343943</c:v>
                </c:pt>
                <c:pt idx="633">
                  <c:v>13567.914051343943</c:v>
                </c:pt>
                <c:pt idx="634">
                  <c:v>13567.914051343943</c:v>
                </c:pt>
                <c:pt idx="635">
                  <c:v>13567.914051343943</c:v>
                </c:pt>
                <c:pt idx="636">
                  <c:v>13567.914051343943</c:v>
                </c:pt>
                <c:pt idx="637">
                  <c:v>13567.914051343943</c:v>
                </c:pt>
                <c:pt idx="638">
                  <c:v>13567.914051343943</c:v>
                </c:pt>
                <c:pt idx="639">
                  <c:v>13567.914051343943</c:v>
                </c:pt>
                <c:pt idx="640">
                  <c:v>13567.914051343943</c:v>
                </c:pt>
                <c:pt idx="641">
                  <c:v>13567.914051343943</c:v>
                </c:pt>
                <c:pt idx="642">
                  <c:v>13567.914051343943</c:v>
                </c:pt>
                <c:pt idx="643">
                  <c:v>13567.914051343943</c:v>
                </c:pt>
                <c:pt idx="644">
                  <c:v>13567.914051343943</c:v>
                </c:pt>
                <c:pt idx="645">
                  <c:v>13567.914051343943</c:v>
                </c:pt>
                <c:pt idx="646">
                  <c:v>13567.914051343943</c:v>
                </c:pt>
                <c:pt idx="647">
                  <c:v>13567.914051343943</c:v>
                </c:pt>
                <c:pt idx="648">
                  <c:v>13567.914051343943</c:v>
                </c:pt>
                <c:pt idx="649">
                  <c:v>13567.914051343943</c:v>
                </c:pt>
                <c:pt idx="650">
                  <c:v>13567.914051343943</c:v>
                </c:pt>
                <c:pt idx="651">
                  <c:v>13567.914051343943</c:v>
                </c:pt>
                <c:pt idx="652">
                  <c:v>13567.914051343943</c:v>
                </c:pt>
                <c:pt idx="653">
                  <c:v>13567.914051343943</c:v>
                </c:pt>
                <c:pt idx="654">
                  <c:v>13567.914051343943</c:v>
                </c:pt>
                <c:pt idx="655">
                  <c:v>13567.914051343943</c:v>
                </c:pt>
                <c:pt idx="656">
                  <c:v>13567.914051343943</c:v>
                </c:pt>
                <c:pt idx="657">
                  <c:v>13567.914051343943</c:v>
                </c:pt>
                <c:pt idx="658">
                  <c:v>13567.914051343943</c:v>
                </c:pt>
                <c:pt idx="659">
                  <c:v>13567.914051343943</c:v>
                </c:pt>
                <c:pt idx="660">
                  <c:v>13567.914051343943</c:v>
                </c:pt>
                <c:pt idx="661">
                  <c:v>13567.914051343943</c:v>
                </c:pt>
                <c:pt idx="662">
                  <c:v>13567.914051343943</c:v>
                </c:pt>
                <c:pt idx="663">
                  <c:v>13567.914051343943</c:v>
                </c:pt>
                <c:pt idx="664">
                  <c:v>13567.914051343943</c:v>
                </c:pt>
                <c:pt idx="665">
                  <c:v>13567.914051343943</c:v>
                </c:pt>
                <c:pt idx="666">
                  <c:v>13567.914051343943</c:v>
                </c:pt>
                <c:pt idx="667">
                  <c:v>13567.914051343943</c:v>
                </c:pt>
                <c:pt idx="668">
                  <c:v>13567.914051343943</c:v>
                </c:pt>
                <c:pt idx="669">
                  <c:v>13567.914051343943</c:v>
                </c:pt>
                <c:pt idx="670">
                  <c:v>13567.914051343943</c:v>
                </c:pt>
                <c:pt idx="671">
                  <c:v>13567.914051343943</c:v>
                </c:pt>
                <c:pt idx="672">
                  <c:v>13567.914051343943</c:v>
                </c:pt>
                <c:pt idx="673">
                  <c:v>13567.914051343943</c:v>
                </c:pt>
                <c:pt idx="674">
                  <c:v>13567.914051343943</c:v>
                </c:pt>
                <c:pt idx="675">
                  <c:v>13567.914051343943</c:v>
                </c:pt>
                <c:pt idx="676">
                  <c:v>13567.914051343943</c:v>
                </c:pt>
                <c:pt idx="677">
                  <c:v>13567.914051343943</c:v>
                </c:pt>
                <c:pt idx="678">
                  <c:v>13567.914051343943</c:v>
                </c:pt>
                <c:pt idx="679">
                  <c:v>13567.914051343943</c:v>
                </c:pt>
                <c:pt idx="680">
                  <c:v>13567.914051343943</c:v>
                </c:pt>
                <c:pt idx="681">
                  <c:v>13567.914051343943</c:v>
                </c:pt>
                <c:pt idx="682">
                  <c:v>13567.914051343943</c:v>
                </c:pt>
                <c:pt idx="683">
                  <c:v>13567.914051343943</c:v>
                </c:pt>
                <c:pt idx="684">
                  <c:v>13567.914051343943</c:v>
                </c:pt>
                <c:pt idx="685">
                  <c:v>13567.914051343943</c:v>
                </c:pt>
                <c:pt idx="686">
                  <c:v>13567.914051343943</c:v>
                </c:pt>
                <c:pt idx="687">
                  <c:v>13567.914051343943</c:v>
                </c:pt>
                <c:pt idx="688">
                  <c:v>13567.914051343943</c:v>
                </c:pt>
                <c:pt idx="689">
                  <c:v>13567.914051343943</c:v>
                </c:pt>
                <c:pt idx="690">
                  <c:v>13567.914051343943</c:v>
                </c:pt>
                <c:pt idx="691">
                  <c:v>13567.914051343943</c:v>
                </c:pt>
                <c:pt idx="692">
                  <c:v>13567.914051343943</c:v>
                </c:pt>
                <c:pt idx="693">
                  <c:v>13567.914051343943</c:v>
                </c:pt>
                <c:pt idx="694">
                  <c:v>13567.914051343943</c:v>
                </c:pt>
                <c:pt idx="695">
                  <c:v>13567.914051343943</c:v>
                </c:pt>
                <c:pt idx="696">
                  <c:v>13567.914051343943</c:v>
                </c:pt>
                <c:pt idx="697">
                  <c:v>13567.914051343943</c:v>
                </c:pt>
                <c:pt idx="698">
                  <c:v>13567.914051343943</c:v>
                </c:pt>
                <c:pt idx="699">
                  <c:v>13567.914051343943</c:v>
                </c:pt>
                <c:pt idx="700">
                  <c:v>13567.914051343943</c:v>
                </c:pt>
                <c:pt idx="701">
                  <c:v>13567.914051343943</c:v>
                </c:pt>
                <c:pt idx="702">
                  <c:v>13567.914051343943</c:v>
                </c:pt>
                <c:pt idx="703">
                  <c:v>13567.914051343943</c:v>
                </c:pt>
                <c:pt idx="704">
                  <c:v>13567.914051343943</c:v>
                </c:pt>
                <c:pt idx="705">
                  <c:v>13567.914051343943</c:v>
                </c:pt>
                <c:pt idx="706">
                  <c:v>13567.914051343943</c:v>
                </c:pt>
                <c:pt idx="707">
                  <c:v>13567.914051343943</c:v>
                </c:pt>
                <c:pt idx="708">
                  <c:v>13567.914051343943</c:v>
                </c:pt>
                <c:pt idx="709">
                  <c:v>13567.914051343943</c:v>
                </c:pt>
                <c:pt idx="710">
                  <c:v>13567.914051343943</c:v>
                </c:pt>
                <c:pt idx="711">
                  <c:v>13567.914051343943</c:v>
                </c:pt>
                <c:pt idx="712">
                  <c:v>13567.914051343943</c:v>
                </c:pt>
                <c:pt idx="713">
                  <c:v>13567.914051343943</c:v>
                </c:pt>
                <c:pt idx="714">
                  <c:v>13567.914051343943</c:v>
                </c:pt>
                <c:pt idx="715">
                  <c:v>13567.914051343943</c:v>
                </c:pt>
                <c:pt idx="716">
                  <c:v>13567.914051343943</c:v>
                </c:pt>
                <c:pt idx="717">
                  <c:v>13567.914051343943</c:v>
                </c:pt>
                <c:pt idx="718">
                  <c:v>13567.914051343943</c:v>
                </c:pt>
                <c:pt idx="719">
                  <c:v>13567.914051343943</c:v>
                </c:pt>
                <c:pt idx="720">
                  <c:v>13567.914051343943</c:v>
                </c:pt>
                <c:pt idx="721">
                  <c:v>13567.914051343943</c:v>
                </c:pt>
                <c:pt idx="722">
                  <c:v>13567.914051343943</c:v>
                </c:pt>
                <c:pt idx="723">
                  <c:v>13567.914051343943</c:v>
                </c:pt>
                <c:pt idx="724">
                  <c:v>13567.914051343943</c:v>
                </c:pt>
                <c:pt idx="725">
                  <c:v>13567.914051343943</c:v>
                </c:pt>
                <c:pt idx="726">
                  <c:v>13567.914051343943</c:v>
                </c:pt>
                <c:pt idx="727">
                  <c:v>13567.914051343943</c:v>
                </c:pt>
                <c:pt idx="728">
                  <c:v>13567.914051343943</c:v>
                </c:pt>
                <c:pt idx="729">
                  <c:v>13567.914051343943</c:v>
                </c:pt>
                <c:pt idx="730">
                  <c:v>13567.914051343943</c:v>
                </c:pt>
                <c:pt idx="731">
                  <c:v>13567.914051343943</c:v>
                </c:pt>
                <c:pt idx="732">
                  <c:v>13567.914051343943</c:v>
                </c:pt>
                <c:pt idx="733">
                  <c:v>13567.914051343943</c:v>
                </c:pt>
                <c:pt idx="734">
                  <c:v>13567.914051343943</c:v>
                </c:pt>
                <c:pt idx="735">
                  <c:v>13567.914051343943</c:v>
                </c:pt>
                <c:pt idx="736">
                  <c:v>13567.914051343943</c:v>
                </c:pt>
                <c:pt idx="737">
                  <c:v>13567.914051343943</c:v>
                </c:pt>
                <c:pt idx="738">
                  <c:v>13567.914051343943</c:v>
                </c:pt>
                <c:pt idx="739">
                  <c:v>13567.914051343943</c:v>
                </c:pt>
                <c:pt idx="740">
                  <c:v>13567.914051343943</c:v>
                </c:pt>
                <c:pt idx="741">
                  <c:v>13567.914051343943</c:v>
                </c:pt>
                <c:pt idx="742">
                  <c:v>13567.914051343943</c:v>
                </c:pt>
                <c:pt idx="743">
                  <c:v>13567.914051343943</c:v>
                </c:pt>
                <c:pt idx="744">
                  <c:v>13567.914051343943</c:v>
                </c:pt>
                <c:pt idx="745">
                  <c:v>13567.914051343943</c:v>
                </c:pt>
                <c:pt idx="746">
                  <c:v>13567.914051343943</c:v>
                </c:pt>
                <c:pt idx="747">
                  <c:v>13567.914051343943</c:v>
                </c:pt>
                <c:pt idx="748">
                  <c:v>13567.914051343943</c:v>
                </c:pt>
                <c:pt idx="749">
                  <c:v>13567.914051343943</c:v>
                </c:pt>
                <c:pt idx="750">
                  <c:v>13567.914051343943</c:v>
                </c:pt>
                <c:pt idx="751">
                  <c:v>13567.914051343943</c:v>
                </c:pt>
                <c:pt idx="752">
                  <c:v>13567.914051343943</c:v>
                </c:pt>
                <c:pt idx="753">
                  <c:v>13567.914051343943</c:v>
                </c:pt>
                <c:pt idx="754">
                  <c:v>13567.914051343943</c:v>
                </c:pt>
                <c:pt idx="755">
                  <c:v>13567.914051343943</c:v>
                </c:pt>
                <c:pt idx="756">
                  <c:v>13567.914051343943</c:v>
                </c:pt>
                <c:pt idx="757">
                  <c:v>13567.914051343943</c:v>
                </c:pt>
                <c:pt idx="758">
                  <c:v>13567.914051343943</c:v>
                </c:pt>
                <c:pt idx="759">
                  <c:v>13567.914051343943</c:v>
                </c:pt>
                <c:pt idx="760">
                  <c:v>13567.914051343943</c:v>
                </c:pt>
                <c:pt idx="761">
                  <c:v>13567.914051343943</c:v>
                </c:pt>
                <c:pt idx="762">
                  <c:v>13567.914051343943</c:v>
                </c:pt>
                <c:pt idx="763">
                  <c:v>13567.914051343943</c:v>
                </c:pt>
                <c:pt idx="764">
                  <c:v>13567.914051343943</c:v>
                </c:pt>
                <c:pt idx="765">
                  <c:v>13567.914051343943</c:v>
                </c:pt>
                <c:pt idx="766">
                  <c:v>13567.914051343943</c:v>
                </c:pt>
                <c:pt idx="767">
                  <c:v>13567.914051343943</c:v>
                </c:pt>
                <c:pt idx="768">
                  <c:v>13567.914051343943</c:v>
                </c:pt>
                <c:pt idx="769">
                  <c:v>13567.914051343943</c:v>
                </c:pt>
                <c:pt idx="770">
                  <c:v>13567.914051343943</c:v>
                </c:pt>
                <c:pt idx="771">
                  <c:v>13567.914051343943</c:v>
                </c:pt>
                <c:pt idx="772">
                  <c:v>13567.914051343943</c:v>
                </c:pt>
                <c:pt idx="773">
                  <c:v>13567.914051343943</c:v>
                </c:pt>
                <c:pt idx="774">
                  <c:v>13567.914051343943</c:v>
                </c:pt>
                <c:pt idx="775">
                  <c:v>13567.914051343943</c:v>
                </c:pt>
                <c:pt idx="776">
                  <c:v>13567.914051343943</c:v>
                </c:pt>
                <c:pt idx="777">
                  <c:v>13567.914051343943</c:v>
                </c:pt>
                <c:pt idx="778">
                  <c:v>13567.914051343943</c:v>
                </c:pt>
                <c:pt idx="779">
                  <c:v>13567.914051343943</c:v>
                </c:pt>
                <c:pt idx="780">
                  <c:v>13567.914051343943</c:v>
                </c:pt>
                <c:pt idx="781">
                  <c:v>13567.914051343943</c:v>
                </c:pt>
                <c:pt idx="782">
                  <c:v>13567.914051343943</c:v>
                </c:pt>
                <c:pt idx="783">
                  <c:v>13567.914051343943</c:v>
                </c:pt>
                <c:pt idx="784">
                  <c:v>13567.914051343943</c:v>
                </c:pt>
                <c:pt idx="785">
                  <c:v>13567.914051343943</c:v>
                </c:pt>
                <c:pt idx="786">
                  <c:v>13567.914051343943</c:v>
                </c:pt>
                <c:pt idx="787">
                  <c:v>13567.914051343943</c:v>
                </c:pt>
                <c:pt idx="788">
                  <c:v>13567.914051343943</c:v>
                </c:pt>
                <c:pt idx="789">
                  <c:v>13567.914051343943</c:v>
                </c:pt>
                <c:pt idx="790">
                  <c:v>13567.914051343943</c:v>
                </c:pt>
                <c:pt idx="791">
                  <c:v>13567.914051343943</c:v>
                </c:pt>
                <c:pt idx="792">
                  <c:v>13567.914051343943</c:v>
                </c:pt>
                <c:pt idx="793">
                  <c:v>13567.914051343943</c:v>
                </c:pt>
                <c:pt idx="794">
                  <c:v>13567.914051343943</c:v>
                </c:pt>
                <c:pt idx="795">
                  <c:v>13567.914051343943</c:v>
                </c:pt>
                <c:pt idx="796">
                  <c:v>13567.914051343943</c:v>
                </c:pt>
                <c:pt idx="797">
                  <c:v>13567.914051343943</c:v>
                </c:pt>
                <c:pt idx="798">
                  <c:v>13567.914051343943</c:v>
                </c:pt>
                <c:pt idx="799">
                  <c:v>13567.914051343943</c:v>
                </c:pt>
                <c:pt idx="800">
                  <c:v>13567.914051343943</c:v>
                </c:pt>
                <c:pt idx="801">
                  <c:v>13567.914051343943</c:v>
                </c:pt>
                <c:pt idx="802">
                  <c:v>13567.914051343943</c:v>
                </c:pt>
                <c:pt idx="803">
                  <c:v>13567.914051343943</c:v>
                </c:pt>
                <c:pt idx="804">
                  <c:v>13567.914051343943</c:v>
                </c:pt>
                <c:pt idx="805">
                  <c:v>13567.914051343943</c:v>
                </c:pt>
                <c:pt idx="806">
                  <c:v>13567.914051343943</c:v>
                </c:pt>
                <c:pt idx="807">
                  <c:v>13567.914051343943</c:v>
                </c:pt>
                <c:pt idx="808">
                  <c:v>13567.914051343943</c:v>
                </c:pt>
                <c:pt idx="809">
                  <c:v>13567.914051343943</c:v>
                </c:pt>
                <c:pt idx="810">
                  <c:v>13567.914051343943</c:v>
                </c:pt>
                <c:pt idx="811">
                  <c:v>13567.914051343943</c:v>
                </c:pt>
                <c:pt idx="812">
                  <c:v>13567.914051343943</c:v>
                </c:pt>
                <c:pt idx="813">
                  <c:v>13567.914051343943</c:v>
                </c:pt>
                <c:pt idx="814">
                  <c:v>13567.914051343943</c:v>
                </c:pt>
                <c:pt idx="815">
                  <c:v>13567.914051343943</c:v>
                </c:pt>
                <c:pt idx="816">
                  <c:v>13567.914051343943</c:v>
                </c:pt>
                <c:pt idx="817">
                  <c:v>13567.914051343943</c:v>
                </c:pt>
                <c:pt idx="818">
                  <c:v>13567.914051343943</c:v>
                </c:pt>
                <c:pt idx="819">
                  <c:v>13567.914051343943</c:v>
                </c:pt>
                <c:pt idx="820">
                  <c:v>13567.914051343943</c:v>
                </c:pt>
                <c:pt idx="821">
                  <c:v>13567.914051343943</c:v>
                </c:pt>
                <c:pt idx="822">
                  <c:v>13567.914051343943</c:v>
                </c:pt>
                <c:pt idx="823">
                  <c:v>13567.914051343943</c:v>
                </c:pt>
                <c:pt idx="824">
                  <c:v>13567.914051343943</c:v>
                </c:pt>
                <c:pt idx="825">
                  <c:v>13567.914051343943</c:v>
                </c:pt>
                <c:pt idx="826">
                  <c:v>13567.914051343943</c:v>
                </c:pt>
                <c:pt idx="827">
                  <c:v>13567.914051343943</c:v>
                </c:pt>
                <c:pt idx="828">
                  <c:v>13567.914051343943</c:v>
                </c:pt>
                <c:pt idx="829">
                  <c:v>13567.914051343943</c:v>
                </c:pt>
                <c:pt idx="830">
                  <c:v>13567.914051343943</c:v>
                </c:pt>
                <c:pt idx="831">
                  <c:v>13567.914051343943</c:v>
                </c:pt>
                <c:pt idx="832">
                  <c:v>13567.914051343943</c:v>
                </c:pt>
                <c:pt idx="833">
                  <c:v>13567.914051343943</c:v>
                </c:pt>
                <c:pt idx="834">
                  <c:v>13567.914051343943</c:v>
                </c:pt>
                <c:pt idx="835">
                  <c:v>13567.914051343943</c:v>
                </c:pt>
                <c:pt idx="836">
                  <c:v>13567.914051343943</c:v>
                </c:pt>
                <c:pt idx="837">
                  <c:v>13567.914051343943</c:v>
                </c:pt>
                <c:pt idx="838">
                  <c:v>13567.914051343943</c:v>
                </c:pt>
                <c:pt idx="839">
                  <c:v>13567.914051343943</c:v>
                </c:pt>
                <c:pt idx="840">
                  <c:v>13567.914051343943</c:v>
                </c:pt>
                <c:pt idx="841">
                  <c:v>13567.914051343943</c:v>
                </c:pt>
                <c:pt idx="842">
                  <c:v>13567.914051343943</c:v>
                </c:pt>
                <c:pt idx="843">
                  <c:v>13567.914051343943</c:v>
                </c:pt>
                <c:pt idx="844">
                  <c:v>13567.914051343943</c:v>
                </c:pt>
                <c:pt idx="845">
                  <c:v>13567.914051343943</c:v>
                </c:pt>
                <c:pt idx="846">
                  <c:v>13567.914051343943</c:v>
                </c:pt>
                <c:pt idx="847">
                  <c:v>13567.914051343943</c:v>
                </c:pt>
                <c:pt idx="848">
                  <c:v>13567.914051343943</c:v>
                </c:pt>
                <c:pt idx="849">
                  <c:v>13567.914051343943</c:v>
                </c:pt>
                <c:pt idx="850">
                  <c:v>13567.914051343943</c:v>
                </c:pt>
                <c:pt idx="851">
                  <c:v>13567.914051343943</c:v>
                </c:pt>
                <c:pt idx="852">
                  <c:v>13567.914051343943</c:v>
                </c:pt>
                <c:pt idx="853">
                  <c:v>13567.914051343943</c:v>
                </c:pt>
                <c:pt idx="854">
                  <c:v>13567.914051343943</c:v>
                </c:pt>
                <c:pt idx="855">
                  <c:v>13567.914051343943</c:v>
                </c:pt>
                <c:pt idx="856">
                  <c:v>13567.914051343943</c:v>
                </c:pt>
                <c:pt idx="857">
                  <c:v>13567.914051343943</c:v>
                </c:pt>
                <c:pt idx="858">
                  <c:v>13567.914051343943</c:v>
                </c:pt>
                <c:pt idx="859">
                  <c:v>13567.914051343943</c:v>
                </c:pt>
                <c:pt idx="860">
                  <c:v>13567.914051343943</c:v>
                </c:pt>
                <c:pt idx="861">
                  <c:v>13567.914051343943</c:v>
                </c:pt>
                <c:pt idx="862">
                  <c:v>13567.914051343943</c:v>
                </c:pt>
                <c:pt idx="863">
                  <c:v>13567.914051343943</c:v>
                </c:pt>
                <c:pt idx="864">
                  <c:v>13567.914051343943</c:v>
                </c:pt>
                <c:pt idx="865">
                  <c:v>13567.914051343943</c:v>
                </c:pt>
                <c:pt idx="866">
                  <c:v>13567.914051343943</c:v>
                </c:pt>
                <c:pt idx="867">
                  <c:v>13567.914051343943</c:v>
                </c:pt>
                <c:pt idx="868">
                  <c:v>13567.914051343943</c:v>
                </c:pt>
                <c:pt idx="869">
                  <c:v>13567.914051343943</c:v>
                </c:pt>
                <c:pt idx="870">
                  <c:v>13567.914051343943</c:v>
                </c:pt>
                <c:pt idx="871">
                  <c:v>13567.914051343943</c:v>
                </c:pt>
                <c:pt idx="872">
                  <c:v>13567.914051343943</c:v>
                </c:pt>
                <c:pt idx="873">
                  <c:v>13567.914051343943</c:v>
                </c:pt>
                <c:pt idx="874">
                  <c:v>13567.914051343943</c:v>
                </c:pt>
                <c:pt idx="875">
                  <c:v>13567.914051343943</c:v>
                </c:pt>
                <c:pt idx="876">
                  <c:v>13567.914051343943</c:v>
                </c:pt>
                <c:pt idx="877">
                  <c:v>13567.914051343943</c:v>
                </c:pt>
                <c:pt idx="878">
                  <c:v>13567.914051343943</c:v>
                </c:pt>
                <c:pt idx="879">
                  <c:v>13567.914051343943</c:v>
                </c:pt>
                <c:pt idx="880">
                  <c:v>13567.914051343943</c:v>
                </c:pt>
                <c:pt idx="881">
                  <c:v>13567.914051343943</c:v>
                </c:pt>
                <c:pt idx="882">
                  <c:v>13567.914051343943</c:v>
                </c:pt>
                <c:pt idx="883">
                  <c:v>13567.914051343943</c:v>
                </c:pt>
                <c:pt idx="884">
                  <c:v>13567.914051343943</c:v>
                </c:pt>
                <c:pt idx="885">
                  <c:v>13567.914051343943</c:v>
                </c:pt>
                <c:pt idx="886">
                  <c:v>13567.914051343943</c:v>
                </c:pt>
                <c:pt idx="887">
                  <c:v>13567.914051343943</c:v>
                </c:pt>
                <c:pt idx="888">
                  <c:v>13567.914051343943</c:v>
                </c:pt>
                <c:pt idx="889">
                  <c:v>13567.914051343943</c:v>
                </c:pt>
                <c:pt idx="890">
                  <c:v>13567.914051343943</c:v>
                </c:pt>
                <c:pt idx="891">
                  <c:v>13567.914051343943</c:v>
                </c:pt>
                <c:pt idx="892">
                  <c:v>13567.914051343943</c:v>
                </c:pt>
                <c:pt idx="893">
                  <c:v>13567.914051343943</c:v>
                </c:pt>
                <c:pt idx="894">
                  <c:v>13567.914051343943</c:v>
                </c:pt>
                <c:pt idx="895">
                  <c:v>13567.914051343943</c:v>
                </c:pt>
                <c:pt idx="896">
                  <c:v>13567.914051343943</c:v>
                </c:pt>
                <c:pt idx="897">
                  <c:v>13567.914051343943</c:v>
                </c:pt>
                <c:pt idx="898">
                  <c:v>13567.914051343943</c:v>
                </c:pt>
                <c:pt idx="899">
                  <c:v>13567.914051343943</c:v>
                </c:pt>
                <c:pt idx="900">
                  <c:v>13567.914051343943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4B-4E71-9EE8-AA1C0DDA2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17167"/>
        <c:axId val="93732047"/>
      </c:scatterChart>
      <c:valAx>
        <c:axId val="93717167"/>
        <c:scaling>
          <c:orientation val="minMax"/>
          <c:min val="2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2047"/>
        <c:crosses val="autoZero"/>
        <c:crossBetween val="midCat"/>
      </c:valAx>
      <c:valAx>
        <c:axId val="937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;[Red]\(0.0000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7167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209550</xdr:colOff>
      <xdr:row>6</xdr:row>
      <xdr:rowOff>56196</xdr:rowOff>
    </xdr:from>
    <xdr:to>
      <xdr:col>42</xdr:col>
      <xdr:colOff>516255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5DC51-A2C7-78CE-142B-CF9E77E95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28</xdr:row>
      <xdr:rowOff>9525</xdr:rowOff>
    </xdr:from>
    <xdr:to>
      <xdr:col>24</xdr:col>
      <xdr:colOff>161924</xdr:colOff>
      <xdr:row>44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376518</xdr:colOff>
      <xdr:row>6</xdr:row>
      <xdr:rowOff>107575</xdr:rowOff>
    </xdr:from>
    <xdr:to>
      <xdr:col>26</xdr:col>
      <xdr:colOff>412376</xdr:colOff>
      <xdr:row>26</xdr:row>
      <xdr:rowOff>107577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  <sheetName val="Baseline 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99BF02-324B-4ECF-865D-2937C5F3F9B6}" name="Table8" displayName="Table8" ref="A1:AE88" totalsRowShown="0" headerRowDxfId="18" headerRowBorderDxfId="17" tableBorderDxfId="16">
  <autoFilter ref="A1:AE88" xr:uid="{1199BF02-324B-4ECF-865D-2937C5F3F9B6}"/>
  <sortState xmlns:xlrd2="http://schemas.microsoft.com/office/spreadsheetml/2017/richdata2" ref="A2:AE88">
    <sortCondition ref="E1:E88"/>
  </sortState>
  <tableColumns count="31">
    <tableColumn id="1" xr3:uid="{6B4087E3-0985-400F-A424-59E765DC4744}" name="window_id"/>
    <tableColumn id="2" xr3:uid="{66317940-BFFB-4B40-A378-652E9C772D24}" name="stock1"/>
    <tableColumn id="3" xr3:uid="{5ED67E00-E8C5-4343-85CF-ACF0B2523160}" name="stock2"/>
    <tableColumn id="4" xr3:uid="{1B63696F-D61C-468B-9CEA-EE137EC3B870}" name="entry_minute"/>
    <tableColumn id="5" xr3:uid="{A0BB0CDE-47B7-407B-9A0E-7825C60C48E8}" name="entry_timestamp" dataDxfId="15"/>
    <tableColumn id="6" xr3:uid="{E971E66E-54A0-4BE8-AA2A-D40EA9B822C9}" name="entry_price_1"/>
    <tableColumn id="7" xr3:uid="{57FD13CC-D049-4F42-A9F5-292CE556B611}" name="entry_price_2"/>
    <tableColumn id="8" xr3:uid="{6D426420-58FD-4C23-A49C-34423B45CAB4}" name="entry_price_1_slipped"/>
    <tableColumn id="9" xr3:uid="{6D915C1D-66F0-4AF6-8991-6C1363A64918}" name="entry_price_2_slipped"/>
    <tableColumn id="10" xr3:uid="{6F1ABD9A-8A6C-45AC-88A8-F290B7DF8D22}" name="entry_zscore"/>
    <tableColumn id="11" xr3:uid="{995D4E46-B367-4AE5-BEEB-8FA5F44DAF09}" name="hedge_ratio_entry"/>
    <tableColumn id="12" xr3:uid="{2E845B8E-361F-4054-B2E1-E353DDBEB889}" name="position_size_1"/>
    <tableColumn id="13" xr3:uid="{5360649A-D428-4EFB-871E-8064AADDEA62}" name="position_size_2"/>
    <tableColumn id="14" xr3:uid="{484AC501-BBA8-4FD7-A0AC-42DA1B8F5F75}" name="direction"/>
    <tableColumn id="15" xr3:uid="{0E148642-4102-4C03-905D-FE90B1AEF43B}" name="holding_minutes" dataDxfId="2">
      <calculatedColumnFormula>(Table8[[#This Row],[exit_timestamp]]-Table8[[#This Row],[entry_timestamp]])*1440</calculatedColumnFormula>
    </tableColumn>
    <tableColumn id="16" xr3:uid="{3218C6C1-CE4E-434E-8A8E-82C8A79FC67B}" name="exit_reason"/>
    <tableColumn id="17" xr3:uid="{EC31B186-A668-4F3D-8672-365DC5413737}" name="exit_minute"/>
    <tableColumn id="18" xr3:uid="{BF34A556-2525-4518-AD19-109343273807}" name="exit_timestamp" dataDxfId="14"/>
    <tableColumn id="19" xr3:uid="{EE2F75F0-AEB9-4FC6-8E0A-5C0C0CF67DD6}" name="exit_price_1"/>
    <tableColumn id="20" xr3:uid="{0AB5B740-2254-4E15-A346-618B97972C63}" name="exit_price_2"/>
    <tableColumn id="21" xr3:uid="{3DD62D7C-AAEE-45A7-A3FD-C67BE745E37C}" name="exit_zscore"/>
    <tableColumn id="22" xr3:uid="{825FDDA4-742E-4B71-891B-30022AEC3E95}" name="gross_pnl"/>
    <tableColumn id="23" xr3:uid="{250E9EED-1AAA-4CFF-928A-1A6A1B8584C2}" name="gross_pnl_slipped"/>
    <tableColumn id="24" xr3:uid="{5DE01B1C-1100-42D8-8C3D-005AC9782A2A}" name="transaction_costs"/>
    <tableColumn id="25" xr3:uid="{FF56A504-935E-42DE-92EB-E13C110ED304}" name="cfd_financing"/>
    <tableColumn id="26" xr3:uid="{01906427-85E3-4641-8A24-735669E83EDA}" name="net_pnl"/>
    <tableColumn id="27" xr3:uid="{998CD084-D162-48E0-A48B-FC6E8E4E0DB5}" name="exit_price_age_1"/>
    <tableColumn id="28" xr3:uid="{E83C2DAD-61AA-4C70-AB66-33F155F343D9}" name="exit_price_age_2"/>
    <tableColumn id="29" xr3:uid="{A813574B-5EAF-43B1-8E29-D714381C4FF9}" name="exit_price_age_3" dataDxfId="3">
      <calculatedColumnFormula>TEXT(E2,"dddd")</calculatedColumnFormula>
    </tableColumn>
    <tableColumn id="30" xr3:uid="{B012D0D9-E32B-407C-8767-A428704946B1}" name="market open" dataDxfId="1">
      <calculatedColumnFormula>INT(E2)+TIME(14,30,0)</calculatedColumnFormula>
    </tableColumn>
    <tableColumn id="31" xr3:uid="{3759EABA-368A-47B8-96AC-BE0DD1EA1FC2}" name="time since market open" dataDxfId="0">
      <calculatedColumnFormula>(E2-AD2)*1440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4:E11" totalsRowShown="0">
  <autoFilter ref="B4:E11" xr:uid="{00000000-0009-0000-0100-000001000000}"/>
  <tableColumns count="4">
    <tableColumn id="1" xr3:uid="{00000000-0010-0000-0000-000001000000}" name="Column1"/>
    <tableColumn id="2" xr3:uid="{00000000-0010-0000-0000-000002000000}" name="Gross" dataDxfId="13"/>
    <tableColumn id="3" xr3:uid="{00000000-0010-0000-0000-000003000000}" name="Slipped" dataDxfId="12"/>
    <tableColumn id="4" xr3:uid="{00000000-0010-0000-0000-000004000000}" name="Net (Transaction costs)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13:C17" totalsRowShown="0">
  <autoFilter ref="B13:C17" xr:uid="{00000000-0009-0000-0100-000002000000}"/>
  <tableColumns count="2">
    <tableColumn id="1" xr3:uid="{00000000-0010-0000-0100-000001000000}" name="Column1"/>
    <tableColumn id="2" xr3:uid="{00000000-0010-0000-0100-000002000000}" name="Column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B19:D25" totalsRowShown="0">
  <autoFilter ref="B19:D25" xr:uid="{00000000-0009-0000-0100-000003000000}"/>
  <tableColumns count="3">
    <tableColumn id="1" xr3:uid="{00000000-0010-0000-0200-000001000000}" name="Column1"/>
    <tableColumn id="2" xr3:uid="{00000000-0010-0000-0200-000002000000}" name="Positive"/>
    <tableColumn id="3" xr3:uid="{00000000-0010-0000-0200-000003000000}" name="Negativ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B27:F29" totalsRowShown="0">
  <autoFilter ref="B27:F29" xr:uid="{00000000-0009-0000-0100-000004000000}"/>
  <tableColumns count="5">
    <tableColumn id="1" xr3:uid="{00000000-0010-0000-0300-000001000000}" name="Column1"/>
    <tableColumn id="2" xr3:uid="{00000000-0010-0000-0300-000002000000}" name="Long">
      <calculatedColumnFormula>COUNTIF([1]Trades!M:M,"LONG")</calculatedColumnFormula>
    </tableColumn>
    <tableColumn id="3" xr3:uid="{00000000-0010-0000-0300-000003000000}" name="Short">
      <calculatedColumnFormula>COUNTIF([1]Trades!M:M,"SHORT")</calculatedColumnFormula>
    </tableColumn>
    <tableColumn id="4" xr3:uid="{00000000-0010-0000-0300-000004000000}" name="Signal">
      <calculatedColumnFormula>COUNTIF([1]Trades!O:O,"Signal")</calculatedColumnFormula>
    </tableColumn>
    <tableColumn id="5" xr3:uid="{00000000-0010-0000-0300-000005000000}" name="Forced">
      <calculatedColumnFormula>COUNTIF([1]Trades!O:O,"Forced")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B31:D36" totalsRowShown="0">
  <autoFilter ref="B31:D36" xr:uid="{00000000-0009-0000-0100-000005000000}"/>
  <tableColumns count="3">
    <tableColumn id="1" xr3:uid="{00000000-0010-0000-0400-000001000000}" name="min Holding time"/>
    <tableColumn id="2" xr3:uid="{00000000-0010-0000-0400-000002000000}" name="Max Holding time"/>
    <tableColumn id="3" xr3:uid="{00000000-0010-0000-0400-000003000000}" name="Win rate">
      <calculatedColumnFormula>COUNTIFS([2]Trades!N:N,"&gt;="&amp;B32,[2]Trades!N:N,"&lt;="&amp;C32,[2]Trades!T:T,"&gt;0")/(COUNTIFS([2]Trades!N:N,"&gt;="&amp;B32,[2]Trades!N:N,"&lt;="&amp;C32,[2]Trades!T:T,"&gt;0")+COUNTIFS([2]Trades!N:N,"&gt;="&amp;B32,[2]Trades!N:N,"&lt;="&amp;C32,[2]Trades!T:T,"&lt;0"))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L1:O903" totalsRowShown="0" headerRowDxfId="10" headerRowBorderDxfId="9" tableBorderDxfId="8" headerRowCellStyle="Normal 2" dataCellStyle="Normal 2">
  <autoFilter ref="L1:O903" xr:uid="{00000000-0009-0000-0100-000006000000}"/>
  <sortState xmlns:xlrd2="http://schemas.microsoft.com/office/spreadsheetml/2017/richdata2" ref="L2:O903">
    <sortCondition ref="L1:L903"/>
  </sortState>
  <tableColumns count="4">
    <tableColumn id="1" xr3:uid="{00000000-0010-0000-0500-000001000000}" name="Exit timestamp" dataDxfId="7" dataCellStyle="Normal 2">
      <calculatedColumnFormula>Trades!P1</calculatedColumnFormula>
    </tableColumn>
    <tableColumn id="2" xr3:uid="{00000000-0010-0000-0500-000002000000}" name="Cumulative Gross PnL" dataDxfId="6" dataCellStyle="Normal 2">
      <calculatedColumnFormula>M1+Trades!T1</calculatedColumnFormula>
    </tableColumn>
    <tableColumn id="3" xr3:uid="{00000000-0010-0000-0500-000003000000}" name="Cumulative Slipped PnL" dataDxfId="5" dataCellStyle="Normal 2">
      <calculatedColumnFormula>N1+Trades!U1</calculatedColumnFormula>
    </tableColumn>
    <tableColumn id="4" xr3:uid="{00000000-0010-0000-0500-000004000000}" name="Cumulative Net PnL" dataDxfId="4" dataCellStyle="Normal 2">
      <calculatedColumnFormula>O1+Trades!W1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9"/>
  <sheetViews>
    <sheetView tabSelected="1" zoomScaleNormal="100" workbookViewId="0">
      <selection activeCell="O18" sqref="O18"/>
    </sheetView>
  </sheetViews>
  <sheetFormatPr defaultRowHeight="14.4"/>
  <cols>
    <col min="1" max="1" width="12.5546875" customWidth="1"/>
    <col min="2" max="3" width="8.33203125" customWidth="1"/>
    <col min="4" max="4" width="14.77734375" customWidth="1"/>
    <col min="5" max="5" width="18.109375" bestFit="1" customWidth="1"/>
    <col min="6" max="7" width="14.77734375" hidden="1" customWidth="1"/>
    <col min="8" max="9" width="22.109375" hidden="1" customWidth="1"/>
    <col min="10" max="10" width="13.88671875" customWidth="1"/>
    <col min="11" max="11" width="18.88671875" customWidth="1"/>
    <col min="12" max="13" width="16.21875" customWidth="1"/>
    <col min="14" max="14" width="10.6640625" customWidth="1"/>
    <col min="15" max="15" width="17.5546875" customWidth="1"/>
    <col min="16" max="16" width="13.109375" customWidth="1"/>
    <col min="17" max="17" width="13.44140625" customWidth="1"/>
    <col min="18" max="18" width="22.6640625" bestFit="1" customWidth="1"/>
    <col min="19" max="20" width="13.44140625" customWidth="1"/>
    <col min="21" max="22" width="12.6640625" customWidth="1"/>
    <col min="23" max="23" width="18.44140625" customWidth="1"/>
    <col min="24" max="24" width="17.77734375" customWidth="1"/>
    <col min="25" max="25" width="14.44140625" customWidth="1"/>
    <col min="26" max="26" width="12.6640625" bestFit="1" customWidth="1"/>
    <col min="27" max="28" width="17.5546875" customWidth="1"/>
    <col min="29" max="29" width="20.109375" bestFit="1" customWidth="1"/>
    <col min="30" max="30" width="18.109375" bestFit="1" customWidth="1"/>
    <col min="31" max="31" width="22.88671875" customWidth="1"/>
    <col min="33" max="33" width="19.5546875" bestFit="1" customWidth="1"/>
  </cols>
  <sheetData>
    <row r="1" spans="1:37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50" t="s">
        <v>279</v>
      </c>
      <c r="AD1" s="50" t="s">
        <v>287</v>
      </c>
      <c r="AE1" s="55" t="s">
        <v>288</v>
      </c>
    </row>
    <row r="2" spans="1:37">
      <c r="A2">
        <v>0</v>
      </c>
      <c r="B2" t="s">
        <v>28</v>
      </c>
      <c r="C2" t="s">
        <v>29</v>
      </c>
      <c r="D2">
        <v>24473</v>
      </c>
      <c r="E2" s="25">
        <v>45960.759722222218</v>
      </c>
      <c r="F2">
        <v>115.98</v>
      </c>
      <c r="G2">
        <v>138.85</v>
      </c>
      <c r="H2">
        <v>115.968402</v>
      </c>
      <c r="I2">
        <v>138.86388500000001</v>
      </c>
      <c r="J2">
        <v>3.5370999850944722</v>
      </c>
      <c r="K2">
        <v>0.6000913956242625</v>
      </c>
      <c r="L2">
        <v>-862.217623728229</v>
      </c>
      <c r="M2">
        <v>432.18681715827341</v>
      </c>
      <c r="N2" t="s">
        <v>30</v>
      </c>
      <c r="O2" s="54">
        <f>(Table8[[#This Row],[exit_timestamp]]-Table8[[#This Row],[entry_timestamp]])*1440</f>
        <v>8.0000000051222742</v>
      </c>
      <c r="P2" t="s">
        <v>31</v>
      </c>
      <c r="Q2">
        <v>24481</v>
      </c>
      <c r="R2" s="25">
        <v>45960.765277777777</v>
      </c>
      <c r="S2">
        <v>115.79</v>
      </c>
      <c r="T2">
        <v>138.93</v>
      </c>
      <c r="U2">
        <v>0.32285625941740792</v>
      </c>
      <c r="V2">
        <v>198.39629388102881</v>
      </c>
      <c r="W2">
        <v>166.40739060887299</v>
      </c>
      <c r="X2">
        <v>0</v>
      </c>
      <c r="Y2">
        <v>12.94404440886502</v>
      </c>
      <c r="Z2">
        <v>153.463346200008</v>
      </c>
      <c r="AA2">
        <v>0</v>
      </c>
      <c r="AB2">
        <v>0</v>
      </c>
      <c r="AC2" t="str">
        <f>TEXT(E2,"dddd")</f>
        <v>Thursday</v>
      </c>
      <c r="AD2" s="25">
        <f>INT(E2)+TIME(14,30,0)</f>
        <v>45960.604166666664</v>
      </c>
      <c r="AE2" s="54">
        <f>(E2-AD2)*1440</f>
        <v>223.99999999674037</v>
      </c>
      <c r="AG2" t="s">
        <v>289</v>
      </c>
      <c r="AH2">
        <f>AVERAGEIFS(Z:Z,AE:AE,"&lt;=10",Z:Z,"&gt;0")</f>
        <v>570.67883725354829</v>
      </c>
    </row>
    <row r="3" spans="1:37">
      <c r="A3">
        <v>0</v>
      </c>
      <c r="B3" t="s">
        <v>28</v>
      </c>
      <c r="C3" t="s">
        <v>29</v>
      </c>
      <c r="D3">
        <v>24579</v>
      </c>
      <c r="E3" s="49">
        <v>45961.604166666664</v>
      </c>
      <c r="F3">
        <v>113.765</v>
      </c>
      <c r="G3">
        <v>137.19</v>
      </c>
      <c r="H3">
        <v>113.7763765</v>
      </c>
      <c r="I3">
        <v>137.17628099999999</v>
      </c>
      <c r="J3">
        <v>-4.2501110110807918</v>
      </c>
      <c r="K3">
        <v>0.6000913956242625</v>
      </c>
      <c r="L3">
        <v>879.00496637805998</v>
      </c>
      <c r="M3">
        <v>-437.41628079616783</v>
      </c>
      <c r="N3" t="s">
        <v>32</v>
      </c>
      <c r="O3" s="54">
        <f>(Table8[[#This Row],[exit_timestamp]]-Table8[[#This Row],[entry_timestamp]])*1440</f>
        <v>-53.999999987427145</v>
      </c>
      <c r="P3" t="s">
        <v>31</v>
      </c>
      <c r="Q3">
        <v>24585</v>
      </c>
      <c r="R3" s="25">
        <v>45961.566666666673</v>
      </c>
      <c r="S3">
        <v>114</v>
      </c>
      <c r="T3">
        <v>135.72</v>
      </c>
      <c r="U3">
        <v>0.27504599050436029</v>
      </c>
      <c r="V3">
        <v>849.56809986920973</v>
      </c>
      <c r="W3">
        <v>817.60991553329018</v>
      </c>
      <c r="X3">
        <v>0</v>
      </c>
      <c r="Y3">
        <v>13.16421247174228</v>
      </c>
      <c r="Z3">
        <v>804.44570306154787</v>
      </c>
      <c r="AA3">
        <v>0</v>
      </c>
      <c r="AB3">
        <v>2</v>
      </c>
      <c r="AC3" t="str">
        <f>TEXT(E3,"dddd")</f>
        <v>Friday</v>
      </c>
      <c r="AD3" s="25">
        <f>INT(E3)+TIME(14,30,0)</f>
        <v>45961.604166666664</v>
      </c>
      <c r="AE3" s="54">
        <f>(E3-AD3)*1440</f>
        <v>0</v>
      </c>
      <c r="AG3" t="s">
        <v>290</v>
      </c>
      <c r="AH3">
        <f>AVERAGEIFS(Z:Z,AE:AE,"&lt;=10",Z:Z,"&lt;0")</f>
        <v>-441.76439391077173</v>
      </c>
    </row>
    <row r="4" spans="1:37">
      <c r="A4">
        <v>0</v>
      </c>
      <c r="B4" t="s">
        <v>28</v>
      </c>
      <c r="C4" t="s">
        <v>29</v>
      </c>
      <c r="D4">
        <v>24969</v>
      </c>
      <c r="E4" s="49">
        <v>45964.604166666657</v>
      </c>
      <c r="F4">
        <v>114.47499999999999</v>
      </c>
      <c r="G4">
        <v>137.13</v>
      </c>
      <c r="H4">
        <v>114.4864475</v>
      </c>
      <c r="I4">
        <v>137.116287</v>
      </c>
      <c r="J4">
        <v>-3.7221899758402501</v>
      </c>
      <c r="K4">
        <v>0.6000913956242625</v>
      </c>
      <c r="L4">
        <v>873.55317754968337</v>
      </c>
      <c r="M4">
        <v>-437.6076683616003</v>
      </c>
      <c r="N4" t="s">
        <v>32</v>
      </c>
      <c r="O4" s="54">
        <f>(Table8[[#This Row],[exit_timestamp]]-Table8[[#This Row],[entry_timestamp]])*1440</f>
        <v>5.0000000162981451</v>
      </c>
      <c r="P4" t="s">
        <v>31</v>
      </c>
      <c r="Q4">
        <v>24974</v>
      </c>
      <c r="R4" s="25">
        <v>45964.607638888891</v>
      </c>
      <c r="S4">
        <v>114.18</v>
      </c>
      <c r="T4">
        <v>135.38999999999999</v>
      </c>
      <c r="U4">
        <v>-9.395247553607125E-2</v>
      </c>
      <c r="V4">
        <v>503.73915557204288</v>
      </c>
      <c r="W4">
        <v>471.83924121259298</v>
      </c>
      <c r="X4">
        <v>0</v>
      </c>
      <c r="Y4">
        <v>13.111608459112841</v>
      </c>
      <c r="Z4">
        <v>458.72763275348012</v>
      </c>
      <c r="AA4">
        <v>0</v>
      </c>
      <c r="AB4">
        <v>0</v>
      </c>
      <c r="AC4" t="str">
        <f>TEXT(E4,"dddd")</f>
        <v>Monday</v>
      </c>
      <c r="AD4" s="25">
        <f>INT(E4)+TIME(14,30,0)</f>
        <v>45964.604166666664</v>
      </c>
      <c r="AE4" s="54">
        <f>(E4-AD4)*1440</f>
        <v>-1.0477378964424133E-8</v>
      </c>
    </row>
    <row r="5" spans="1:37">
      <c r="A5">
        <v>0</v>
      </c>
      <c r="B5" t="s">
        <v>28</v>
      </c>
      <c r="C5" t="s">
        <v>29</v>
      </c>
      <c r="D5">
        <v>25119</v>
      </c>
      <c r="E5" s="52">
        <v>45964.708333333343</v>
      </c>
      <c r="F5">
        <v>114.235</v>
      </c>
      <c r="G5">
        <v>135.93</v>
      </c>
      <c r="H5">
        <v>114.24642350000001</v>
      </c>
      <c r="I5">
        <v>135.91640699999999</v>
      </c>
      <c r="J5">
        <v>-3.5526751686934732</v>
      </c>
      <c r="K5">
        <v>0.6000913956242625</v>
      </c>
      <c r="L5">
        <v>875.38845362629672</v>
      </c>
      <c r="M5">
        <v>-441.47090092272668</v>
      </c>
      <c r="N5" t="s">
        <v>32</v>
      </c>
      <c r="O5" s="54">
        <f>(Table8[[#This Row],[exit_timestamp]]-Table8[[#This Row],[entry_timestamp]])*1440</f>
        <v>13.999999982770532</v>
      </c>
      <c r="P5" t="s">
        <v>31</v>
      </c>
      <c r="Q5">
        <v>25133</v>
      </c>
      <c r="R5" s="25">
        <v>45964.718055555553</v>
      </c>
      <c r="S5">
        <v>114.44</v>
      </c>
      <c r="T5">
        <v>136.04</v>
      </c>
      <c r="U5">
        <v>-0.31514173734277001</v>
      </c>
      <c r="V5">
        <v>130.89283389189589</v>
      </c>
      <c r="W5">
        <v>98.868204336222391</v>
      </c>
      <c r="X5">
        <v>0</v>
      </c>
      <c r="Y5">
        <v>13.168593545490239</v>
      </c>
      <c r="Z5">
        <v>85.699610790732152</v>
      </c>
      <c r="AA5">
        <v>0</v>
      </c>
      <c r="AB5">
        <v>1</v>
      </c>
      <c r="AC5" t="str">
        <f>TEXT(E5,"dddd")</f>
        <v>Monday</v>
      </c>
      <c r="AD5" s="25">
        <f>INT(E5)+TIME(14,30,0)</f>
        <v>45964.604166666664</v>
      </c>
      <c r="AE5" s="54">
        <f>(E5-AD5)*1440</f>
        <v>150.0000000174623</v>
      </c>
      <c r="AG5" t="s">
        <v>291</v>
      </c>
      <c r="AH5">
        <f>AVERAGEIFS(Z:Z,AE:AE,"&gt;10",Z:Z,"&gt;0")</f>
        <v>225.43316963402927</v>
      </c>
    </row>
    <row r="6" spans="1:37">
      <c r="A6">
        <v>0</v>
      </c>
      <c r="B6" t="s">
        <v>28</v>
      </c>
      <c r="C6" t="s">
        <v>29</v>
      </c>
      <c r="D6">
        <v>25359</v>
      </c>
      <c r="E6" s="49">
        <v>45965.604166666657</v>
      </c>
      <c r="F6">
        <v>113.59</v>
      </c>
      <c r="G6">
        <v>135.04</v>
      </c>
      <c r="H6">
        <v>113.578641</v>
      </c>
      <c r="I6">
        <v>135.053504</v>
      </c>
      <c r="J6">
        <v>4.7787487194139926</v>
      </c>
      <c r="K6">
        <v>0.6000913956242625</v>
      </c>
      <c r="L6">
        <v>-880.35918654811155</v>
      </c>
      <c r="M6">
        <v>444.380476617493</v>
      </c>
      <c r="N6" t="s">
        <v>30</v>
      </c>
      <c r="O6" s="54">
        <f>(Table8[[#This Row],[exit_timestamp]]-Table8[[#This Row],[entry_timestamp]])*1440</f>
        <v>19.000000009546056</v>
      </c>
      <c r="P6" t="s">
        <v>31</v>
      </c>
      <c r="Q6">
        <v>25378</v>
      </c>
      <c r="R6" s="25">
        <v>45965.617361111108</v>
      </c>
      <c r="S6">
        <v>112.89</v>
      </c>
      <c r="T6">
        <v>134.44999999999999</v>
      </c>
      <c r="U6">
        <v>0.29820064174803779</v>
      </c>
      <c r="V6">
        <v>354.06694937935828</v>
      </c>
      <c r="W6">
        <v>322.15296505804758</v>
      </c>
      <c r="X6">
        <v>0</v>
      </c>
      <c r="Y6">
        <v>13.24739663165604</v>
      </c>
      <c r="Z6">
        <v>308.9055684263916</v>
      </c>
      <c r="AA6">
        <v>0</v>
      </c>
      <c r="AB6">
        <v>0</v>
      </c>
      <c r="AC6" t="str">
        <f>TEXT(E6,"dddd")</f>
        <v>Tuesday</v>
      </c>
      <c r="AD6" s="25">
        <f>INT(E6)+TIME(14,30,0)</f>
        <v>45965.604166666664</v>
      </c>
      <c r="AE6" s="54">
        <f>(E6-AD6)*1440</f>
        <v>-1.0477378964424133E-8</v>
      </c>
      <c r="AG6" t="s">
        <v>292</v>
      </c>
      <c r="AH6">
        <f>AVERAGEIFS(Z:Z,AE:AE,"&gt;10",Z:Z,"&lt;0")</f>
        <v>-205.03525990986176</v>
      </c>
      <c r="AK6" s="48"/>
    </row>
    <row r="7" spans="1:37">
      <c r="A7">
        <v>0</v>
      </c>
      <c r="B7" t="s">
        <v>28</v>
      </c>
      <c r="C7" t="s">
        <v>29</v>
      </c>
      <c r="D7">
        <v>26048</v>
      </c>
      <c r="E7" s="25">
        <v>45966.811805555553</v>
      </c>
      <c r="F7">
        <v>114.35</v>
      </c>
      <c r="G7">
        <v>135.91999999999999</v>
      </c>
      <c r="H7">
        <v>114.338565</v>
      </c>
      <c r="I7">
        <v>135.933592</v>
      </c>
      <c r="J7">
        <v>3.9356145671616032</v>
      </c>
      <c r="K7">
        <v>0.6000913956242625</v>
      </c>
      <c r="L7">
        <v>-874.50808919982512</v>
      </c>
      <c r="M7">
        <v>441.50338112438391</v>
      </c>
      <c r="N7" t="s">
        <v>30</v>
      </c>
      <c r="O7" s="54">
        <f>(Table8[[#This Row],[exit_timestamp]]-Table8[[#This Row],[entry_timestamp]])*1440</f>
        <v>10.000000001164153</v>
      </c>
      <c r="P7" t="s">
        <v>31</v>
      </c>
      <c r="Q7">
        <v>26058</v>
      </c>
      <c r="R7" s="25">
        <v>45966.818749999999</v>
      </c>
      <c r="S7">
        <v>114.05</v>
      </c>
      <c r="T7">
        <v>136.065</v>
      </c>
      <c r="U7">
        <v>5.3672065581413051E-3</v>
      </c>
      <c r="V7">
        <v>326.37041702298518</v>
      </c>
      <c r="W7">
        <v>294.38842255416142</v>
      </c>
      <c r="X7">
        <v>0</v>
      </c>
      <c r="Y7">
        <v>13.16011470324209</v>
      </c>
      <c r="Z7">
        <v>281.22830785091941</v>
      </c>
      <c r="AA7">
        <v>0</v>
      </c>
      <c r="AB7">
        <v>0</v>
      </c>
      <c r="AC7" t="str">
        <f>TEXT(E7,"dddd")</f>
        <v>Wednesday</v>
      </c>
      <c r="AD7" s="25">
        <f>INT(E7)+TIME(14,30,0)</f>
        <v>45966.604166666664</v>
      </c>
      <c r="AE7" s="54">
        <f>(E7-AD7)*1440</f>
        <v>299.00000000023283</v>
      </c>
    </row>
    <row r="8" spans="1:37">
      <c r="A8">
        <v>0</v>
      </c>
      <c r="B8" t="s">
        <v>28</v>
      </c>
      <c r="C8" t="s">
        <v>29</v>
      </c>
      <c r="D8">
        <v>26142</v>
      </c>
      <c r="E8" s="49">
        <v>45967.604861111111</v>
      </c>
      <c r="F8">
        <v>113.81</v>
      </c>
      <c r="G8">
        <v>137.595</v>
      </c>
      <c r="H8">
        <v>113.821381</v>
      </c>
      <c r="I8">
        <v>137.58124050000001</v>
      </c>
      <c r="J8">
        <v>-3.9977947836479908</v>
      </c>
      <c r="K8">
        <v>0.6000913956242625</v>
      </c>
      <c r="L8">
        <v>878.6574114752658</v>
      </c>
      <c r="M8">
        <v>-436.12878056925223</v>
      </c>
      <c r="N8" t="s">
        <v>32</v>
      </c>
      <c r="O8" s="54">
        <f>(Table8[[#This Row],[exit_timestamp]]-Table8[[#This Row],[entry_timestamp]])*1440</f>
        <v>26.000000000931323</v>
      </c>
      <c r="P8" t="s">
        <v>31</v>
      </c>
      <c r="Q8">
        <v>26168</v>
      </c>
      <c r="R8" s="25">
        <v>45967.622916666667</v>
      </c>
      <c r="S8">
        <v>114.61</v>
      </c>
      <c r="T8">
        <v>139.61000000000001</v>
      </c>
      <c r="U8">
        <v>-0.31825980503563911</v>
      </c>
      <c r="V8">
        <v>-175.87356366683949</v>
      </c>
      <c r="W8">
        <v>-208.03356412151911</v>
      </c>
      <c r="X8">
        <v>0</v>
      </c>
      <c r="Y8">
        <v>13.14786192044518</v>
      </c>
      <c r="Z8">
        <v>-221.1814260419643</v>
      </c>
      <c r="AA8">
        <v>0</v>
      </c>
      <c r="AB8">
        <v>0</v>
      </c>
      <c r="AC8" t="str">
        <f>TEXT(E8,"dddd")</f>
        <v>Thursday</v>
      </c>
      <c r="AD8" s="25">
        <f>INT(E8)+TIME(14,30,0)</f>
        <v>45967.604166666664</v>
      </c>
      <c r="AE8" s="54">
        <f>(E8-AD8)*1440</f>
        <v>1.000000003259629</v>
      </c>
      <c r="AG8" t="s">
        <v>293</v>
      </c>
      <c r="AH8">
        <f>SUMIF(Z:Z,"&gt;0",Z:Z)/ABS(SUMIF(Z:Z,"&lt;0",Z:Z))</f>
        <v>2.0288519558854823</v>
      </c>
    </row>
    <row r="9" spans="1:37">
      <c r="A9">
        <v>0</v>
      </c>
      <c r="B9" t="s">
        <v>28</v>
      </c>
      <c r="C9" t="s">
        <v>29</v>
      </c>
      <c r="D9">
        <v>26919</v>
      </c>
      <c r="E9" s="51">
        <v>45968.873611111107</v>
      </c>
      <c r="F9">
        <v>117.19</v>
      </c>
      <c r="G9">
        <v>137.81</v>
      </c>
      <c r="H9">
        <v>117.201719</v>
      </c>
      <c r="I9">
        <v>137.79621900000001</v>
      </c>
      <c r="J9">
        <v>-3.5891554388884108</v>
      </c>
      <c r="K9">
        <v>0.6000913956242625</v>
      </c>
      <c r="L9">
        <v>853.31512927724214</v>
      </c>
      <c r="M9">
        <v>-435.44836777030878</v>
      </c>
      <c r="N9" t="s">
        <v>32</v>
      </c>
      <c r="O9" s="54">
        <f>(Table8[[#This Row],[exit_timestamp]]-Table8[[#This Row],[entry_timestamp]])*1440</f>
        <v>3931.9999999925494</v>
      </c>
      <c r="P9" t="s">
        <v>31</v>
      </c>
      <c r="Q9">
        <v>26921</v>
      </c>
      <c r="R9" s="25">
        <v>45971.604166666657</v>
      </c>
      <c r="S9">
        <v>117.255</v>
      </c>
      <c r="T9">
        <v>137.44499999999999</v>
      </c>
      <c r="U9">
        <v>0.32409789443624121</v>
      </c>
      <c r="V9">
        <v>214.40413763918539</v>
      </c>
      <c r="W9">
        <v>182.4126570437883</v>
      </c>
      <c r="X9">
        <v>0</v>
      </c>
      <c r="Y9">
        <v>12.88763497047551</v>
      </c>
      <c r="Z9">
        <v>169.52502207331281</v>
      </c>
      <c r="AA9">
        <v>3931</v>
      </c>
      <c r="AB9">
        <v>0</v>
      </c>
      <c r="AC9" t="str">
        <f>TEXT(E9,"dddd")</f>
        <v>Friday</v>
      </c>
      <c r="AD9" s="25">
        <f>INT(E9)+TIME(14,30,0)</f>
        <v>45968.604166666664</v>
      </c>
      <c r="AE9" s="54">
        <f>(E9-AD9)*1440</f>
        <v>387.9999999969732</v>
      </c>
      <c r="AG9" t="s">
        <v>294</v>
      </c>
      <c r="AH9" s="56">
        <f>SUMIFS(Z:Z,Z:Z,"&gt;0",AE:AE,"&lt;=10")/ABS(SUMIFS(Z:Z,Z:Z,"&lt;0",AE:AE,"&lt;=10"))</f>
        <v>1.8454531262097369</v>
      </c>
    </row>
    <row r="10" spans="1:37">
      <c r="A10">
        <v>0</v>
      </c>
      <c r="B10" t="s">
        <v>28</v>
      </c>
      <c r="C10" t="s">
        <v>29</v>
      </c>
      <c r="D10">
        <v>26929</v>
      </c>
      <c r="E10" s="49">
        <v>45971.609722222223</v>
      </c>
      <c r="F10">
        <v>116.21</v>
      </c>
      <c r="G10">
        <v>136.63999999999999</v>
      </c>
      <c r="H10">
        <v>116.221621</v>
      </c>
      <c r="I10">
        <v>136.62633600000001</v>
      </c>
      <c r="J10">
        <v>-3.5199100819976978</v>
      </c>
      <c r="K10">
        <v>0.6000913956242625</v>
      </c>
      <c r="L10">
        <v>860.51114361930991</v>
      </c>
      <c r="M10">
        <v>-439.17695815592992</v>
      </c>
      <c r="N10" t="s">
        <v>32</v>
      </c>
      <c r="O10" s="54">
        <f>(Table8[[#This Row],[exit_timestamp]]-Table8[[#This Row],[entry_timestamp]])*1440</f>
        <v>24.999999997671694</v>
      </c>
      <c r="P10" t="s">
        <v>31</v>
      </c>
      <c r="Q10">
        <v>26954</v>
      </c>
      <c r="R10" s="25">
        <v>45971.627083333333</v>
      </c>
      <c r="S10">
        <v>115.75</v>
      </c>
      <c r="T10">
        <v>136.66999999999999</v>
      </c>
      <c r="U10">
        <v>-0.37814932984414562</v>
      </c>
      <c r="V10">
        <v>-409.01043480955548</v>
      </c>
      <c r="W10">
        <v>-440.9739967403093</v>
      </c>
      <c r="X10">
        <v>0</v>
      </c>
      <c r="Y10">
        <v>12.996881017752401</v>
      </c>
      <c r="Z10">
        <v>-453.9708777580617</v>
      </c>
      <c r="AA10">
        <v>0</v>
      </c>
      <c r="AB10">
        <v>0</v>
      </c>
      <c r="AC10" t="str">
        <f>TEXT(E10,"dddd")</f>
        <v>Monday</v>
      </c>
      <c r="AD10" s="25">
        <f>INT(E10)+TIME(14,30,0)</f>
        <v>45971.604166666664</v>
      </c>
      <c r="AE10" s="54">
        <f>(E10-AD10)*1440</f>
        <v>8.0000000051222742</v>
      </c>
      <c r="AG10" t="s">
        <v>295</v>
      </c>
      <c r="AH10">
        <f>SUMIFS(Z:Z,Z:Z,"&gt;0",AE:AE,"&gt;10")/ABS(SUMIFS(Z:Z,Z:Z,"&lt;0",AE:AE,"&gt;10"))</f>
        <v>2.8586607069737697</v>
      </c>
    </row>
    <row r="11" spans="1:37">
      <c r="A11">
        <v>0</v>
      </c>
      <c r="B11" t="s">
        <v>28</v>
      </c>
      <c r="C11" t="s">
        <v>29</v>
      </c>
      <c r="D11">
        <v>27521</v>
      </c>
      <c r="E11" s="25">
        <v>45972.75</v>
      </c>
      <c r="F11">
        <v>120.23</v>
      </c>
      <c r="G11">
        <v>142.63499999999999</v>
      </c>
      <c r="H11">
        <v>120.242023</v>
      </c>
      <c r="I11">
        <v>142.62073649999999</v>
      </c>
      <c r="J11">
        <v>-3.7233016587809429</v>
      </c>
      <c r="K11">
        <v>0.6000913956242625</v>
      </c>
      <c r="L11">
        <v>831.73916659735505</v>
      </c>
      <c r="M11">
        <v>-420.7181937282312</v>
      </c>
      <c r="N11" t="s">
        <v>32</v>
      </c>
      <c r="O11" s="54">
        <f>(Table8[[#This Row],[exit_timestamp]]-Table8[[#This Row],[entry_timestamp]])*1440</f>
        <v>13.000000000465661</v>
      </c>
      <c r="P11" t="s">
        <v>31</v>
      </c>
      <c r="Q11">
        <v>27534</v>
      </c>
      <c r="R11" s="25">
        <v>45972.759027777778</v>
      </c>
      <c r="S11">
        <v>120.31</v>
      </c>
      <c r="T11">
        <v>142.33000000000001</v>
      </c>
      <c r="U11">
        <v>0.1283518426014765</v>
      </c>
      <c r="V11">
        <v>194.8581824148884</v>
      </c>
      <c r="W11">
        <v>162.86253249399019</v>
      </c>
      <c r="X11">
        <v>0</v>
      </c>
      <c r="Y11">
        <v>12.52457360325586</v>
      </c>
      <c r="Z11">
        <v>150.33795889073431</v>
      </c>
      <c r="AA11">
        <v>0</v>
      </c>
      <c r="AB11">
        <v>0</v>
      </c>
      <c r="AC11" t="str">
        <f>TEXT(E11,"dddd")</f>
        <v>Tuesday</v>
      </c>
      <c r="AD11" s="25">
        <f>INT(E11)+TIME(14,30,0)</f>
        <v>45972.604166666664</v>
      </c>
      <c r="AE11" s="54">
        <f>(E11-AD11)*1440</f>
        <v>210.00000000349246</v>
      </c>
      <c r="AG11" t="s">
        <v>296</v>
      </c>
      <c r="AH11">
        <f>SUMIF(Z:Z,"&gt;0",Z:Z)/ABS(SUMIF(Z:Z,"&lt;0",Z:Z)-MIN(Z:Z))</f>
        <v>2.4713189315328634</v>
      </c>
    </row>
    <row r="12" spans="1:37">
      <c r="A12">
        <v>0</v>
      </c>
      <c r="B12" t="s">
        <v>28</v>
      </c>
      <c r="C12" t="s">
        <v>29</v>
      </c>
      <c r="D12">
        <v>27703</v>
      </c>
      <c r="E12" s="49">
        <v>45973.604861111111</v>
      </c>
      <c r="F12">
        <v>118.99</v>
      </c>
      <c r="G12">
        <v>140.56</v>
      </c>
      <c r="H12">
        <v>119.00189899999999</v>
      </c>
      <c r="I12">
        <v>140.54594399999999</v>
      </c>
      <c r="J12">
        <v>-4.666631975703325</v>
      </c>
      <c r="K12">
        <v>0.6000913956242625</v>
      </c>
      <c r="L12">
        <v>840.40675687032524</v>
      </c>
      <c r="M12">
        <v>-426.92899517946961</v>
      </c>
      <c r="N12" t="s">
        <v>32</v>
      </c>
      <c r="O12" s="54">
        <f>(Table8[[#This Row],[exit_timestamp]]-Table8[[#This Row],[entry_timestamp]])*1440</f>
        <v>29.000000000232831</v>
      </c>
      <c r="P12" t="s">
        <v>31</v>
      </c>
      <c r="Q12">
        <v>27732</v>
      </c>
      <c r="R12" s="25">
        <v>45973.625</v>
      </c>
      <c r="S12">
        <v>118.38500000000001</v>
      </c>
      <c r="T12">
        <v>140.41</v>
      </c>
      <c r="U12">
        <v>-0.2705981884201657</v>
      </c>
      <c r="V12">
        <v>-444.40673862961529</v>
      </c>
      <c r="W12">
        <v>-476.35131799837973</v>
      </c>
      <c r="X12">
        <v>0</v>
      </c>
      <c r="Y12">
        <v>12.67335752049795</v>
      </c>
      <c r="Z12">
        <v>-489.02467551887759</v>
      </c>
      <c r="AA12">
        <v>0</v>
      </c>
      <c r="AB12">
        <v>0</v>
      </c>
      <c r="AC12" t="str">
        <f>TEXT(E12,"dddd")</f>
        <v>Wednesday</v>
      </c>
      <c r="AD12" s="25">
        <f>INT(E12)+TIME(14,30,0)</f>
        <v>45973.604166666664</v>
      </c>
      <c r="AE12" s="54">
        <f>(E12-AD12)*1440</f>
        <v>1.000000003259629</v>
      </c>
      <c r="AG12" t="s">
        <v>297</v>
      </c>
      <c r="AH12">
        <f>SUMIFS(Z:Z,Z:Z,"&gt;0",AE:AE,"&lt;=10")/ABS(SUMIFS(Z:Z,Z:Z,"&lt;0",AE:AE,"&lt;=10")-_xlfn.MINIFS(Z:Z,AE:AE,"&lt;=10"))</f>
        <v>2.3617605197139344</v>
      </c>
    </row>
    <row r="13" spans="1:37">
      <c r="A13">
        <v>1</v>
      </c>
      <c r="B13" t="s">
        <v>33</v>
      </c>
      <c r="C13" t="s">
        <v>34</v>
      </c>
      <c r="D13">
        <v>28242</v>
      </c>
      <c r="E13" s="25">
        <v>45974.708333333343</v>
      </c>
      <c r="F13">
        <v>197.25</v>
      </c>
      <c r="G13">
        <v>177.88499999999999</v>
      </c>
      <c r="H13">
        <v>197.26972499999999</v>
      </c>
      <c r="I13">
        <v>177.8672115</v>
      </c>
      <c r="J13">
        <v>-3.822282782738283</v>
      </c>
      <c r="K13">
        <v>0.74400122080044639</v>
      </c>
      <c r="L13">
        <v>506.97084917617241</v>
      </c>
      <c r="M13">
        <v>-418.24843061553622</v>
      </c>
      <c r="N13" t="s">
        <v>32</v>
      </c>
      <c r="O13" s="54">
        <f>(Table8[[#This Row],[exit_timestamp]]-Table8[[#This Row],[entry_timestamp]])*1440</f>
        <v>17.999999985331669</v>
      </c>
      <c r="P13" t="s">
        <v>31</v>
      </c>
      <c r="Q13">
        <v>28260</v>
      </c>
      <c r="R13" s="25">
        <v>45974.720833333333</v>
      </c>
      <c r="S13">
        <v>197.4</v>
      </c>
      <c r="T13">
        <v>177.71</v>
      </c>
      <c r="U13">
        <v>-0.35008482989981038</v>
      </c>
      <c r="V13">
        <v>149.2391027341404</v>
      </c>
      <c r="W13">
        <v>114.35879310293841</v>
      </c>
      <c r="X13">
        <v>0</v>
      </c>
      <c r="Y13">
        <v>9.2521927979170862</v>
      </c>
      <c r="Z13">
        <v>105.1066003050213</v>
      </c>
      <c r="AA13">
        <v>8</v>
      </c>
      <c r="AB13">
        <v>0</v>
      </c>
      <c r="AC13" t="str">
        <f>TEXT(E13,"dddd")</f>
        <v>Thursday</v>
      </c>
      <c r="AD13" s="25">
        <f>INT(E13)+TIME(14,30,0)</f>
        <v>45974.604166666664</v>
      </c>
      <c r="AE13" s="54">
        <f>(E13-AD13)*1440</f>
        <v>150.0000000174623</v>
      </c>
    </row>
    <row r="14" spans="1:37">
      <c r="A14">
        <v>1</v>
      </c>
      <c r="B14" t="s">
        <v>33</v>
      </c>
      <c r="C14" t="s">
        <v>34</v>
      </c>
      <c r="D14">
        <v>28284</v>
      </c>
      <c r="E14" s="25">
        <v>45974.737500000003</v>
      </c>
      <c r="F14">
        <v>197</v>
      </c>
      <c r="G14">
        <v>177.81</v>
      </c>
      <c r="H14">
        <v>197.0197</v>
      </c>
      <c r="I14">
        <v>177.79221899999999</v>
      </c>
      <c r="J14">
        <v>-3.514843566972917</v>
      </c>
      <c r="K14">
        <v>0.74400122080044639</v>
      </c>
      <c r="L14">
        <v>507.61421319796949</v>
      </c>
      <c r="M14">
        <v>-418.4248471966967</v>
      </c>
      <c r="N14" t="s">
        <v>32</v>
      </c>
      <c r="O14" s="54">
        <f>(Table8[[#This Row],[exit_timestamp]]-Table8[[#This Row],[entry_timestamp]])*1440</f>
        <v>20.000000002328306</v>
      </c>
      <c r="P14" t="s">
        <v>31</v>
      </c>
      <c r="Q14">
        <v>28304</v>
      </c>
      <c r="R14" s="25">
        <v>45974.751388888893</v>
      </c>
      <c r="S14">
        <v>196.78</v>
      </c>
      <c r="T14">
        <v>177.43</v>
      </c>
      <c r="U14">
        <v>-0.48620068059687732</v>
      </c>
      <c r="V14">
        <v>47.32631503119012</v>
      </c>
      <c r="W14">
        <v>12.473358272073369</v>
      </c>
      <c r="X14">
        <v>0</v>
      </c>
      <c r="Y14">
        <v>9.2603906039466626</v>
      </c>
      <c r="Z14">
        <v>3.2129676681267072</v>
      </c>
      <c r="AA14">
        <v>3</v>
      </c>
      <c r="AB14">
        <v>3</v>
      </c>
      <c r="AC14" t="str">
        <f>TEXT(E14,"dddd")</f>
        <v>Thursday</v>
      </c>
      <c r="AD14" s="25">
        <f>INT(E14)+TIME(14,30,0)</f>
        <v>45974.604166666664</v>
      </c>
      <c r="AE14" s="54">
        <f>(E14-AD14)*1440</f>
        <v>192.00000000768341</v>
      </c>
    </row>
    <row r="15" spans="1:37">
      <c r="A15">
        <v>1</v>
      </c>
      <c r="B15" t="s">
        <v>33</v>
      </c>
      <c r="C15" t="s">
        <v>34</v>
      </c>
      <c r="D15">
        <v>28872</v>
      </c>
      <c r="E15" s="49">
        <v>45978.604166666657</v>
      </c>
      <c r="F15">
        <v>197.88</v>
      </c>
      <c r="G15">
        <v>181.15</v>
      </c>
      <c r="H15">
        <v>197.899788</v>
      </c>
      <c r="I15">
        <v>181.13188500000001</v>
      </c>
      <c r="J15">
        <v>-4.8288593823309984</v>
      </c>
      <c r="K15">
        <v>0.74400122080044639</v>
      </c>
      <c r="L15">
        <v>505.35678188801302</v>
      </c>
      <c r="M15">
        <v>-410.71003080344821</v>
      </c>
      <c r="N15" t="s">
        <v>32</v>
      </c>
      <c r="O15" s="54">
        <f>(Table8[[#This Row],[exit_timestamp]]-Table8[[#This Row],[entry_timestamp]])*1440</f>
        <v>18.000000016763806</v>
      </c>
      <c r="P15" t="s">
        <v>31</v>
      </c>
      <c r="Q15">
        <v>28890</v>
      </c>
      <c r="R15" s="25">
        <v>45978.616666666669</v>
      </c>
      <c r="S15">
        <v>198.03</v>
      </c>
      <c r="T15">
        <v>181.65</v>
      </c>
      <c r="U15">
        <v>-0.26763876451222218</v>
      </c>
      <c r="V15">
        <v>-129.55149811851931</v>
      </c>
      <c r="W15">
        <v>-164.45963838779949</v>
      </c>
      <c r="X15">
        <v>0</v>
      </c>
      <c r="Y15">
        <v>9.1606681269146115</v>
      </c>
      <c r="Z15">
        <v>-173.62030651471409</v>
      </c>
      <c r="AA15">
        <v>0</v>
      </c>
      <c r="AB15">
        <v>0</v>
      </c>
      <c r="AC15" t="str">
        <f>TEXT(E15,"dddd")</f>
        <v>Monday</v>
      </c>
      <c r="AD15" s="25">
        <f>INT(E15)+TIME(14,30,0)</f>
        <v>45978.604166666664</v>
      </c>
      <c r="AE15" s="54">
        <f>(E15-AD15)*1440</f>
        <v>-1.0477378964424133E-8</v>
      </c>
    </row>
    <row r="16" spans="1:37">
      <c r="A16">
        <v>1</v>
      </c>
      <c r="B16" t="s">
        <v>33</v>
      </c>
      <c r="C16" t="s">
        <v>34</v>
      </c>
      <c r="D16">
        <v>29264</v>
      </c>
      <c r="E16" s="49">
        <v>45979.605555555558</v>
      </c>
      <c r="F16">
        <v>197.315</v>
      </c>
      <c r="G16">
        <v>179.19499999999999</v>
      </c>
      <c r="H16">
        <v>197.29526849999999</v>
      </c>
      <c r="I16">
        <v>179.2129195</v>
      </c>
      <c r="J16">
        <v>3.7196131256620051</v>
      </c>
      <c r="K16">
        <v>0.74400122080044639</v>
      </c>
      <c r="L16">
        <v>-506.80384157311909</v>
      </c>
      <c r="M16">
        <v>415.19083724459188</v>
      </c>
      <c r="N16" t="s">
        <v>30</v>
      </c>
      <c r="O16" s="54">
        <f>(Table8[[#This Row],[exit_timestamp]]-Table8[[#This Row],[entry_timestamp]])*1440</f>
        <v>1.9999999855645001</v>
      </c>
      <c r="P16" t="s">
        <v>31</v>
      </c>
      <c r="Q16">
        <v>29266</v>
      </c>
      <c r="R16" s="25">
        <v>45979.606944444437</v>
      </c>
      <c r="S16">
        <v>197.315</v>
      </c>
      <c r="T16">
        <v>180.13499999999999</v>
      </c>
      <c r="U16">
        <v>0.3723720074538891</v>
      </c>
      <c r="V16">
        <v>390.27938700991552</v>
      </c>
      <c r="W16">
        <v>355.36033465519949</v>
      </c>
      <c r="X16">
        <v>0</v>
      </c>
      <c r="Y16">
        <v>9.2199467881771113</v>
      </c>
      <c r="Z16">
        <v>346.14038786702241</v>
      </c>
      <c r="AA16">
        <v>0</v>
      </c>
      <c r="AB16">
        <v>0</v>
      </c>
      <c r="AC16" t="str">
        <f>TEXT(E16,"dddd")</f>
        <v>Tuesday</v>
      </c>
      <c r="AD16" s="25">
        <f>INT(E16)+TIME(14,30,0)</f>
        <v>45979.604166666664</v>
      </c>
      <c r="AE16" s="54">
        <f>(E16-AD16)*1440</f>
        <v>2.000000006519258</v>
      </c>
    </row>
    <row r="17" spans="1:31">
      <c r="A17">
        <v>1</v>
      </c>
      <c r="B17" t="s">
        <v>33</v>
      </c>
      <c r="C17" t="s">
        <v>34</v>
      </c>
      <c r="D17">
        <v>29654</v>
      </c>
      <c r="E17" s="49">
        <v>45980.604861111111</v>
      </c>
      <c r="F17">
        <v>193.33</v>
      </c>
      <c r="G17">
        <v>179.17</v>
      </c>
      <c r="H17">
        <v>193.349333</v>
      </c>
      <c r="I17">
        <v>179.152083</v>
      </c>
      <c r="J17">
        <v>-4.2799968406497682</v>
      </c>
      <c r="K17">
        <v>0.74400122080044639</v>
      </c>
      <c r="L17">
        <v>517.25029741892104</v>
      </c>
      <c r="M17">
        <v>-415.24876977197442</v>
      </c>
      <c r="N17" t="s">
        <v>32</v>
      </c>
      <c r="O17" s="54">
        <f>(Table8[[#This Row],[exit_timestamp]]-Table8[[#This Row],[entry_timestamp]])*1440</f>
        <v>4.0000000025611371</v>
      </c>
      <c r="P17" t="s">
        <v>31</v>
      </c>
      <c r="Q17">
        <v>29658</v>
      </c>
      <c r="R17" s="25">
        <v>45980.607638888891</v>
      </c>
      <c r="S17">
        <v>192.99</v>
      </c>
      <c r="T17">
        <v>177.47</v>
      </c>
      <c r="U17">
        <v>-0.13015378404873479</v>
      </c>
      <c r="V17">
        <v>530.05780748991674</v>
      </c>
      <c r="W17">
        <v>495.26596187489372</v>
      </c>
      <c r="X17">
        <v>0</v>
      </c>
      <c r="Y17">
        <v>9.3249906719089548</v>
      </c>
      <c r="Z17">
        <v>485.94097120298483</v>
      </c>
      <c r="AA17">
        <v>0</v>
      </c>
      <c r="AB17">
        <v>0</v>
      </c>
      <c r="AC17" t="str">
        <f>TEXT(E17,"dddd")</f>
        <v>Wednesday</v>
      </c>
      <c r="AD17" s="25">
        <f>INT(E17)+TIME(14,30,0)</f>
        <v>45980.604166666664</v>
      </c>
      <c r="AE17" s="54">
        <f>(E17-AD17)*1440</f>
        <v>1.000000003259629</v>
      </c>
    </row>
    <row r="18" spans="1:31">
      <c r="A18">
        <v>1</v>
      </c>
      <c r="B18" t="s">
        <v>33</v>
      </c>
      <c r="C18" t="s">
        <v>34</v>
      </c>
      <c r="D18">
        <v>30043</v>
      </c>
      <c r="E18" s="49">
        <v>45981.604166666657</v>
      </c>
      <c r="F18">
        <v>194.56</v>
      </c>
      <c r="G18">
        <v>176.91</v>
      </c>
      <c r="H18">
        <v>194.54054400000001</v>
      </c>
      <c r="I18">
        <v>176.92769100000001</v>
      </c>
      <c r="J18">
        <v>4.5088765240398612</v>
      </c>
      <c r="K18">
        <v>0.74400122080044639</v>
      </c>
      <c r="L18">
        <v>-513.98026315789468</v>
      </c>
      <c r="M18">
        <v>420.55351353820947</v>
      </c>
      <c r="N18" t="s">
        <v>30</v>
      </c>
      <c r="O18" s="54">
        <f>(Table8[[#This Row],[exit_timestamp]]-Table8[[#This Row],[entry_timestamp]])*1440</f>
        <v>4.0000000025611371</v>
      </c>
      <c r="P18" t="s">
        <v>31</v>
      </c>
      <c r="Q18">
        <v>30047</v>
      </c>
      <c r="R18" s="25">
        <v>45981.606944444437</v>
      </c>
      <c r="S18">
        <v>194.64</v>
      </c>
      <c r="T18">
        <v>178.57</v>
      </c>
      <c r="U18">
        <v>0.36065798203876293</v>
      </c>
      <c r="V18">
        <v>657.00041142080306</v>
      </c>
      <c r="W18">
        <v>622.04646327945602</v>
      </c>
      <c r="X18">
        <v>0</v>
      </c>
      <c r="Y18">
        <v>9.3453377669610411</v>
      </c>
      <c r="Z18">
        <v>612.70112551249497</v>
      </c>
      <c r="AA18">
        <v>0</v>
      </c>
      <c r="AB18">
        <v>0</v>
      </c>
      <c r="AC18" t="str">
        <f>TEXT(E18,"dddd")</f>
        <v>Thursday</v>
      </c>
      <c r="AD18" s="25">
        <f>INT(E18)+TIME(14,30,0)</f>
        <v>45981.604166666664</v>
      </c>
      <c r="AE18" s="54">
        <f>(E18-AD18)*1440</f>
        <v>-1.0477378964424133E-8</v>
      </c>
    </row>
    <row r="19" spans="1:31">
      <c r="A19">
        <v>1</v>
      </c>
      <c r="B19" t="s">
        <v>33</v>
      </c>
      <c r="C19" t="s">
        <v>34</v>
      </c>
      <c r="D19">
        <v>30399</v>
      </c>
      <c r="E19" s="51">
        <v>45981.851388888892</v>
      </c>
      <c r="F19">
        <v>189.76</v>
      </c>
      <c r="G19">
        <v>172.77</v>
      </c>
      <c r="H19">
        <v>189.778976</v>
      </c>
      <c r="I19">
        <v>172.752723</v>
      </c>
      <c r="J19">
        <v>-3.7339460108798939</v>
      </c>
      <c r="K19">
        <v>0.74400122080044639</v>
      </c>
      <c r="L19">
        <v>526.98145025295116</v>
      </c>
      <c r="M19">
        <v>-430.63102436791479</v>
      </c>
      <c r="N19" t="s">
        <v>32</v>
      </c>
      <c r="O19" s="54">
        <f>(Table8[[#This Row],[exit_timestamp]]-Table8[[#This Row],[entry_timestamp]])*1440</f>
        <v>2.9999999888241291</v>
      </c>
      <c r="P19" t="s">
        <v>31</v>
      </c>
      <c r="Q19">
        <v>30402</v>
      </c>
      <c r="R19" s="25">
        <v>45981.853472222218</v>
      </c>
      <c r="S19">
        <v>189.76</v>
      </c>
      <c r="T19">
        <v>172.24</v>
      </c>
      <c r="U19">
        <v>-0.27390705148293032</v>
      </c>
      <c r="V19">
        <v>228.2344429149953</v>
      </c>
      <c r="W19">
        <v>193.3772419432656</v>
      </c>
      <c r="X19">
        <v>0</v>
      </c>
      <c r="Y19">
        <v>9.5761247462086594</v>
      </c>
      <c r="Z19">
        <v>183.80111719705701</v>
      </c>
      <c r="AA19">
        <v>0</v>
      </c>
      <c r="AB19">
        <v>0</v>
      </c>
      <c r="AC19" t="str">
        <f>TEXT(E19,"dddd")</f>
        <v>Thursday</v>
      </c>
      <c r="AD19" s="25">
        <f>INT(E19)+TIME(14,30,0)</f>
        <v>45981.604166666664</v>
      </c>
      <c r="AE19" s="54">
        <f>(E19-AD19)*1440</f>
        <v>356.00000000791624</v>
      </c>
    </row>
    <row r="20" spans="1:31">
      <c r="A20">
        <v>2</v>
      </c>
      <c r="B20" t="s">
        <v>28</v>
      </c>
      <c r="C20" t="s">
        <v>34</v>
      </c>
      <c r="D20">
        <v>32204</v>
      </c>
      <c r="E20" s="49">
        <v>45992.604861111111</v>
      </c>
      <c r="F20">
        <v>116.59</v>
      </c>
      <c r="G20">
        <v>177.4</v>
      </c>
      <c r="H20">
        <v>116.57834099999999</v>
      </c>
      <c r="I20">
        <v>177.41774000000001</v>
      </c>
      <c r="J20">
        <v>3.88726814110955</v>
      </c>
      <c r="K20">
        <v>0.36784500768873618</v>
      </c>
      <c r="L20">
        <v>-857.70649283815078</v>
      </c>
      <c r="M20">
        <v>207.3534428910576</v>
      </c>
      <c r="N20" t="s">
        <v>30</v>
      </c>
      <c r="O20" s="54">
        <f>(Table8[[#This Row],[exit_timestamp]]-Table8[[#This Row],[entry_timestamp]])*1440</f>
        <v>1.000000003259629</v>
      </c>
      <c r="P20" t="s">
        <v>31</v>
      </c>
      <c r="Q20">
        <v>32205</v>
      </c>
      <c r="R20" s="25">
        <v>45992.605555555558</v>
      </c>
      <c r="S20">
        <v>116.46</v>
      </c>
      <c r="T20">
        <v>178.41</v>
      </c>
      <c r="U20">
        <v>0.1268243217746661</v>
      </c>
      <c r="V20">
        <v>320.92882138893418</v>
      </c>
      <c r="W20">
        <v>293.56212872183841</v>
      </c>
      <c r="X20">
        <v>0</v>
      </c>
      <c r="Y20">
        <v>10.650599357292091</v>
      </c>
      <c r="Z20">
        <v>282.91152936454631</v>
      </c>
      <c r="AA20">
        <v>0</v>
      </c>
      <c r="AB20">
        <v>0</v>
      </c>
      <c r="AC20" t="str">
        <f>TEXT(E20,"dddd")</f>
        <v>Monday</v>
      </c>
      <c r="AD20" s="25">
        <f>INT(E20)+TIME(14,30,0)</f>
        <v>45992.604166666664</v>
      </c>
      <c r="AE20" s="54">
        <f>(E20-AD20)*1440</f>
        <v>1.000000003259629</v>
      </c>
    </row>
    <row r="21" spans="1:31">
      <c r="A21">
        <v>2</v>
      </c>
      <c r="B21" t="s">
        <v>28</v>
      </c>
      <c r="C21" t="s">
        <v>34</v>
      </c>
      <c r="D21">
        <v>34155</v>
      </c>
      <c r="E21" s="49">
        <v>45999.604166666657</v>
      </c>
      <c r="F21">
        <v>115.5</v>
      </c>
      <c r="G21">
        <v>172.15</v>
      </c>
      <c r="H21">
        <v>115.51155</v>
      </c>
      <c r="I21">
        <v>172.13278500000001</v>
      </c>
      <c r="J21">
        <v>-4.0354990217210336</v>
      </c>
      <c r="K21">
        <v>0.36784500768873618</v>
      </c>
      <c r="L21">
        <v>865.80086580086584</v>
      </c>
      <c r="M21">
        <v>-213.67703031585029</v>
      </c>
      <c r="N21" t="s">
        <v>32</v>
      </c>
      <c r="O21" s="54">
        <f>(Table8[[#This Row],[exit_timestamp]]-Table8[[#This Row],[entry_timestamp]])*1440</f>
        <v>6.0000000090803951</v>
      </c>
      <c r="P21" t="s">
        <v>31</v>
      </c>
      <c r="Q21">
        <v>34161</v>
      </c>
      <c r="R21" s="25">
        <v>45999.60833333333</v>
      </c>
      <c r="S21">
        <v>115.94499999999999</v>
      </c>
      <c r="T21">
        <v>172.62</v>
      </c>
      <c r="U21">
        <v>-0.22128585061541739</v>
      </c>
      <c r="V21">
        <v>284.85318103293002</v>
      </c>
      <c r="W21">
        <v>257.44770992020568</v>
      </c>
      <c r="X21">
        <v>0</v>
      </c>
      <c r="Y21">
        <v>10.794778961167159</v>
      </c>
      <c r="Z21">
        <v>246.65293095903851</v>
      </c>
      <c r="AA21">
        <v>0</v>
      </c>
      <c r="AB21">
        <v>1</v>
      </c>
      <c r="AC21" t="str">
        <f>TEXT(E21,"dddd")</f>
        <v>Monday</v>
      </c>
      <c r="AD21" s="25">
        <f>INT(E21)+TIME(14,30,0)</f>
        <v>45999.604166666664</v>
      </c>
      <c r="AE21" s="54">
        <f>(E21-AD21)*1440</f>
        <v>-1.0477378964424133E-8</v>
      </c>
    </row>
    <row r="22" spans="1:31">
      <c r="A22">
        <v>2</v>
      </c>
      <c r="B22" t="s">
        <v>28</v>
      </c>
      <c r="C22" t="s">
        <v>34</v>
      </c>
      <c r="D22">
        <v>34545</v>
      </c>
      <c r="E22" s="49">
        <v>46000.604166666657</v>
      </c>
      <c r="F22">
        <v>117.48</v>
      </c>
      <c r="G22">
        <v>173.21</v>
      </c>
      <c r="H22">
        <v>117.46825200000001</v>
      </c>
      <c r="I22">
        <v>173.22732099999999</v>
      </c>
      <c r="J22">
        <v>4.9944443927664954</v>
      </c>
      <c r="K22">
        <v>0.36784500768873601</v>
      </c>
      <c r="L22">
        <v>-851.20871637725566</v>
      </c>
      <c r="M22">
        <v>212.36938265038751</v>
      </c>
      <c r="N22" t="s">
        <v>30</v>
      </c>
      <c r="O22" s="54">
        <f>(Table8[[#This Row],[exit_timestamp]]-Table8[[#This Row],[entry_timestamp]])*1440</f>
        <v>32.000000020489097</v>
      </c>
      <c r="P22" t="s">
        <v>31</v>
      </c>
      <c r="Q22">
        <v>34577</v>
      </c>
      <c r="R22" s="25">
        <v>46000.626388888893</v>
      </c>
      <c r="S22">
        <v>119.91</v>
      </c>
      <c r="T22">
        <v>173.58</v>
      </c>
      <c r="U22">
        <v>0.49101009003904561</v>
      </c>
      <c r="V22">
        <v>-1989.860509216081</v>
      </c>
      <c r="W22">
        <v>-2017.4321107550891</v>
      </c>
      <c r="X22">
        <v>0</v>
      </c>
      <c r="Y22">
        <v>10.63578099027643</v>
      </c>
      <c r="Z22">
        <v>-2028.0678917453649</v>
      </c>
      <c r="AA22">
        <v>0</v>
      </c>
      <c r="AB22">
        <v>2</v>
      </c>
      <c r="AC22" t="str">
        <f>TEXT(E22,"dddd")</f>
        <v>Tuesday</v>
      </c>
      <c r="AD22" s="25">
        <f>INT(E22)+TIME(14,30,0)</f>
        <v>46000.604166666664</v>
      </c>
      <c r="AE22" s="54">
        <f>(E22-AD22)*1440</f>
        <v>-1.0477378964424133E-8</v>
      </c>
    </row>
    <row r="23" spans="1:31">
      <c r="A23">
        <v>2</v>
      </c>
      <c r="B23" t="s">
        <v>28</v>
      </c>
      <c r="C23" t="s">
        <v>34</v>
      </c>
      <c r="D23">
        <v>34935</v>
      </c>
      <c r="E23" s="49">
        <v>46001.604166666657</v>
      </c>
      <c r="F23">
        <v>118.5</v>
      </c>
      <c r="G23">
        <v>174.52</v>
      </c>
      <c r="H23">
        <v>118.48815</v>
      </c>
      <c r="I23">
        <v>174.537452</v>
      </c>
      <c r="J23">
        <v>4.7268624054765143</v>
      </c>
      <c r="K23">
        <v>0.36784500768873618</v>
      </c>
      <c r="L23">
        <v>-843.88185654008441</v>
      </c>
      <c r="M23">
        <v>210.7752737157553</v>
      </c>
      <c r="N23" t="s">
        <v>30</v>
      </c>
      <c r="O23" s="54">
        <f>(Table8[[#This Row],[exit_timestamp]]-Table8[[#This Row],[entry_timestamp]])*1440</f>
        <v>26.000000011408702</v>
      </c>
      <c r="P23" t="s">
        <v>31</v>
      </c>
      <c r="Q23">
        <v>34961</v>
      </c>
      <c r="R23" s="25">
        <v>46001.62222222222</v>
      </c>
      <c r="S23">
        <v>118.88</v>
      </c>
      <c r="T23">
        <v>174.05500000000001</v>
      </c>
      <c r="U23">
        <v>0.1435004146896578</v>
      </c>
      <c r="V23">
        <v>-418.6856077630552</v>
      </c>
      <c r="W23">
        <v>-446.06477437714318</v>
      </c>
      <c r="X23">
        <v>0</v>
      </c>
      <c r="Y23">
        <v>10.5465713025584</v>
      </c>
      <c r="Z23">
        <v>-456.61134567970163</v>
      </c>
      <c r="AA23">
        <v>0</v>
      </c>
      <c r="AB23">
        <v>0</v>
      </c>
      <c r="AC23" t="str">
        <f>TEXT(E23,"dddd")</f>
        <v>Wednesday</v>
      </c>
      <c r="AD23" s="25">
        <f>INT(E23)+TIME(14,30,0)</f>
        <v>46001.604166666664</v>
      </c>
      <c r="AE23" s="54">
        <f>(E23-AD23)*1440</f>
        <v>-1.0477378964424133E-8</v>
      </c>
    </row>
    <row r="24" spans="1:31">
      <c r="A24">
        <v>2</v>
      </c>
      <c r="B24" t="s">
        <v>28</v>
      </c>
      <c r="C24" t="s">
        <v>34</v>
      </c>
      <c r="D24">
        <v>35130</v>
      </c>
      <c r="E24" s="25">
        <v>46001.739583333343</v>
      </c>
      <c r="F24">
        <v>119.15</v>
      </c>
      <c r="G24">
        <v>176.14</v>
      </c>
      <c r="H24">
        <v>119.16191499999999</v>
      </c>
      <c r="I24">
        <v>176.12238600000001</v>
      </c>
      <c r="J24">
        <v>-3.7745395952705811</v>
      </c>
      <c r="K24">
        <v>0.36784500768873618</v>
      </c>
      <c r="L24">
        <v>839.27822073017205</v>
      </c>
      <c r="M24">
        <v>-208.83672515540829</v>
      </c>
      <c r="N24" t="s">
        <v>32</v>
      </c>
      <c r="O24" s="54">
        <f>(Table8[[#This Row],[exit_timestamp]]-Table8[[#This Row],[entry_timestamp]])*1440</f>
        <v>18.999999988591298</v>
      </c>
      <c r="P24" t="s">
        <v>31</v>
      </c>
      <c r="Q24">
        <v>35149</v>
      </c>
      <c r="R24" s="25">
        <v>46001.75277777778</v>
      </c>
      <c r="S24">
        <v>119.26</v>
      </c>
      <c r="T24">
        <v>176.52</v>
      </c>
      <c r="U24">
        <v>-0.44079237096797341</v>
      </c>
      <c r="V24">
        <v>12.96264872125829</v>
      </c>
      <c r="W24">
        <v>-14.411419288505581</v>
      </c>
      <c r="X24">
        <v>0</v>
      </c>
      <c r="Y24">
        <v>10.481149458855811</v>
      </c>
      <c r="Z24">
        <v>-24.892568747361391</v>
      </c>
      <c r="AA24">
        <v>0</v>
      </c>
      <c r="AB24">
        <v>0</v>
      </c>
      <c r="AC24" t="str">
        <f>TEXT(E24,"dddd")</f>
        <v>Wednesday</v>
      </c>
      <c r="AD24" s="25">
        <f>INT(E24)+TIME(14,30,0)</f>
        <v>46001.604166666664</v>
      </c>
      <c r="AE24" s="54">
        <f>(E24-AD24)*1440</f>
        <v>195.0000000174623</v>
      </c>
    </row>
    <row r="25" spans="1:31">
      <c r="A25">
        <v>2</v>
      </c>
      <c r="B25" t="s">
        <v>28</v>
      </c>
      <c r="C25" t="s">
        <v>34</v>
      </c>
      <c r="D25">
        <v>35182</v>
      </c>
      <c r="E25" s="25">
        <v>46001.775694444441</v>
      </c>
      <c r="F25">
        <v>118.91</v>
      </c>
      <c r="G25">
        <v>176.16499999999999</v>
      </c>
      <c r="H25">
        <v>118.921891</v>
      </c>
      <c r="I25">
        <v>176.14738349999999</v>
      </c>
      <c r="J25">
        <v>-3.584730130217944</v>
      </c>
      <c r="K25">
        <v>0.36784500768873618</v>
      </c>
      <c r="L25">
        <v>840.97216382137753</v>
      </c>
      <c r="M25">
        <v>-208.80708863209841</v>
      </c>
      <c r="N25" t="s">
        <v>32</v>
      </c>
      <c r="O25" s="54">
        <f>(Table8[[#This Row],[exit_timestamp]]-Table8[[#This Row],[entry_timestamp]])*1440</f>
        <v>12.000000007683411</v>
      </c>
      <c r="P25" t="s">
        <v>31</v>
      </c>
      <c r="Q25">
        <v>35194</v>
      </c>
      <c r="R25" s="25">
        <v>46001.78402777778</v>
      </c>
      <c r="S25">
        <v>119.01</v>
      </c>
      <c r="T25">
        <v>176.03</v>
      </c>
      <c r="U25">
        <v>-0.31300550662300619</v>
      </c>
      <c r="V25">
        <v>112.28617334747631</v>
      </c>
      <c r="W25">
        <v>84.923682367757436</v>
      </c>
      <c r="X25">
        <v>0</v>
      </c>
      <c r="Y25">
        <v>10.497792524534759</v>
      </c>
      <c r="Z25">
        <v>74.425889843222677</v>
      </c>
      <c r="AA25">
        <v>0</v>
      </c>
      <c r="AB25">
        <v>3</v>
      </c>
      <c r="AC25" t="str">
        <f>TEXT(E25,"dddd")</f>
        <v>Wednesday</v>
      </c>
      <c r="AD25" s="25">
        <f>INT(E25)+TIME(14,30,0)</f>
        <v>46001.604166666664</v>
      </c>
      <c r="AE25" s="54">
        <f>(E25-AD25)*1440</f>
        <v>246.99999999837019</v>
      </c>
    </row>
    <row r="26" spans="1:31">
      <c r="A26">
        <v>2</v>
      </c>
      <c r="B26" t="s">
        <v>28</v>
      </c>
      <c r="C26" t="s">
        <v>34</v>
      </c>
      <c r="D26">
        <v>35325</v>
      </c>
      <c r="E26" s="49">
        <v>46002.604166666657</v>
      </c>
      <c r="F26">
        <v>119.33</v>
      </c>
      <c r="G26">
        <v>172.46</v>
      </c>
      <c r="H26">
        <v>119.318067</v>
      </c>
      <c r="I26">
        <v>172.47724600000001</v>
      </c>
      <c r="J26">
        <v>3.7928468237600081</v>
      </c>
      <c r="K26">
        <v>0.36784500768873618</v>
      </c>
      <c r="L26">
        <v>-838.01223497863066</v>
      </c>
      <c r="M26">
        <v>213.29294195102409</v>
      </c>
      <c r="N26" t="s">
        <v>30</v>
      </c>
      <c r="O26" s="54">
        <f>(Table8[[#This Row],[exit_timestamp]]-Table8[[#This Row],[entry_timestamp]])*1440</f>
        <v>23.000000012107193</v>
      </c>
      <c r="P26" t="s">
        <v>31</v>
      </c>
      <c r="Q26">
        <v>35348</v>
      </c>
      <c r="R26" s="25">
        <v>46002.620138888888</v>
      </c>
      <c r="S26">
        <v>119.57</v>
      </c>
      <c r="T26">
        <v>173.01</v>
      </c>
      <c r="U26">
        <v>0.49766275574569879</v>
      </c>
      <c r="V26">
        <v>-83.811818321807451</v>
      </c>
      <c r="W26">
        <v>-111.200561881025</v>
      </c>
      <c r="X26">
        <v>0</v>
      </c>
      <c r="Y26">
        <v>10.513051769296551</v>
      </c>
      <c r="Z26">
        <v>-121.71361365032151</v>
      </c>
      <c r="AA26">
        <v>0</v>
      </c>
      <c r="AB26">
        <v>1</v>
      </c>
      <c r="AC26" t="str">
        <f>TEXT(E26,"dddd")</f>
        <v>Thursday</v>
      </c>
      <c r="AD26" s="25">
        <f>INT(E26)+TIME(14,30,0)</f>
        <v>46002.604166666664</v>
      </c>
      <c r="AE26" s="54">
        <f>(E26-AD26)*1440</f>
        <v>-1.0477378964424133E-8</v>
      </c>
    </row>
    <row r="27" spans="1:31">
      <c r="A27">
        <v>6</v>
      </c>
      <c r="B27" t="s">
        <v>34</v>
      </c>
      <c r="C27" t="s">
        <v>35</v>
      </c>
      <c r="D27">
        <v>47473</v>
      </c>
      <c r="E27" s="25">
        <v>46050.749305555553</v>
      </c>
      <c r="F27">
        <v>183.31</v>
      </c>
      <c r="G27">
        <v>44.55</v>
      </c>
      <c r="H27">
        <v>183.29166900000001</v>
      </c>
      <c r="I27">
        <v>44.554454999999997</v>
      </c>
      <c r="J27">
        <v>4.5653092387565719</v>
      </c>
      <c r="K27">
        <v>1.2052443831406601</v>
      </c>
      <c r="L27">
        <v>-545.52397577873546</v>
      </c>
      <c r="M27">
        <v>2705.3745973976652</v>
      </c>
      <c r="N27" t="s">
        <v>30</v>
      </c>
      <c r="O27" s="54">
        <f>(Table8[[#This Row],[exit_timestamp]]-Table8[[#This Row],[entry_timestamp]])*1440</f>
        <v>5.9999999986030161</v>
      </c>
      <c r="P27" t="s">
        <v>31</v>
      </c>
      <c r="Q27">
        <v>47479</v>
      </c>
      <c r="R27" s="25">
        <v>46050.753472222219</v>
      </c>
      <c r="S27">
        <v>183.48500000000001</v>
      </c>
      <c r="T27">
        <v>44.88</v>
      </c>
      <c r="U27">
        <v>-3.09974251707857E-2</v>
      </c>
      <c r="V27">
        <v>797.30692137995914</v>
      </c>
      <c r="W27">
        <v>753.10320968585472</v>
      </c>
      <c r="X27">
        <v>0</v>
      </c>
      <c r="Y27">
        <v>32.508985731764</v>
      </c>
      <c r="Z27">
        <v>720.59422395409069</v>
      </c>
      <c r="AA27">
        <v>0</v>
      </c>
      <c r="AB27">
        <v>0</v>
      </c>
      <c r="AC27" t="str">
        <f>TEXT(E27,"dddd")</f>
        <v>Wednesday</v>
      </c>
      <c r="AD27" s="25">
        <f>INT(E27)+TIME(14,30,0)</f>
        <v>46050.604166666664</v>
      </c>
      <c r="AE27" s="54">
        <f>(E27-AD27)*1440</f>
        <v>209.00000000023283</v>
      </c>
    </row>
    <row r="28" spans="1:31">
      <c r="A28">
        <v>6</v>
      </c>
      <c r="B28" t="s">
        <v>34</v>
      </c>
      <c r="C28" t="s">
        <v>35</v>
      </c>
      <c r="D28">
        <v>47563</v>
      </c>
      <c r="E28" s="25">
        <v>46050.811805555553</v>
      </c>
      <c r="F28">
        <v>184.03</v>
      </c>
      <c r="G28">
        <v>44.625</v>
      </c>
      <c r="H28">
        <v>184.01159699999999</v>
      </c>
      <c r="I28">
        <v>44.629462500000002</v>
      </c>
      <c r="J28">
        <v>4.6243818819264249</v>
      </c>
      <c r="K28">
        <v>1.2052443831406601</v>
      </c>
      <c r="L28">
        <v>-543.3896647285768</v>
      </c>
      <c r="M28">
        <v>2700.827749334811</v>
      </c>
      <c r="N28" t="s">
        <v>30</v>
      </c>
      <c r="O28" s="54">
        <f>(Table8[[#This Row],[exit_timestamp]]-Table8[[#This Row],[entry_timestamp]])*1440</f>
        <v>5.0000000058207661</v>
      </c>
      <c r="P28" t="s">
        <v>31</v>
      </c>
      <c r="Q28">
        <v>47568</v>
      </c>
      <c r="R28" s="25">
        <v>46050.81527777778</v>
      </c>
      <c r="S28">
        <v>183.25</v>
      </c>
      <c r="T28">
        <v>44.69</v>
      </c>
      <c r="U28">
        <v>0.38506805948294109</v>
      </c>
      <c r="V28">
        <v>599.39774219504716</v>
      </c>
      <c r="W28">
        <v>555.31768354569886</v>
      </c>
      <c r="X28">
        <v>0</v>
      </c>
      <c r="Y28">
        <v>32.442174140633881</v>
      </c>
      <c r="Z28">
        <v>522.87550940506503</v>
      </c>
      <c r="AA28">
        <v>0</v>
      </c>
      <c r="AB28">
        <v>0</v>
      </c>
      <c r="AC28" t="str">
        <f>TEXT(E28,"dddd")</f>
        <v>Wednesday</v>
      </c>
      <c r="AD28" s="25">
        <f>INT(E28)+TIME(14,30,0)</f>
        <v>46050.604166666664</v>
      </c>
      <c r="AE28" s="54">
        <f>(E28-AD28)*1440</f>
        <v>299.00000000023283</v>
      </c>
    </row>
    <row r="29" spans="1:31">
      <c r="A29">
        <v>6</v>
      </c>
      <c r="B29" t="s">
        <v>34</v>
      </c>
      <c r="C29" t="s">
        <v>35</v>
      </c>
      <c r="D29">
        <v>48053</v>
      </c>
      <c r="E29" s="49">
        <v>46052.604166666657</v>
      </c>
      <c r="F29">
        <v>182.23</v>
      </c>
      <c r="G29">
        <v>45.13</v>
      </c>
      <c r="H29">
        <v>182.21177700000001</v>
      </c>
      <c r="I29">
        <v>45.134513000000013</v>
      </c>
      <c r="J29">
        <v>3.5331525366804879</v>
      </c>
      <c r="K29">
        <v>1.2052443831406601</v>
      </c>
      <c r="L29">
        <v>-548.75706524721511</v>
      </c>
      <c r="M29">
        <v>2670.6057680936401</v>
      </c>
      <c r="N29" t="s">
        <v>30</v>
      </c>
      <c r="O29" s="54">
        <f>(Table8[[#This Row],[exit_timestamp]]-Table8[[#This Row],[entry_timestamp]])*1440</f>
        <v>15.000000027939677</v>
      </c>
      <c r="P29" t="s">
        <v>31</v>
      </c>
      <c r="Q29">
        <v>48068</v>
      </c>
      <c r="R29" s="25">
        <v>46052.614583333343</v>
      </c>
      <c r="S29">
        <v>179.91</v>
      </c>
      <c r="T29">
        <v>45.08</v>
      </c>
      <c r="U29">
        <v>-0.37197441650948548</v>
      </c>
      <c r="V29">
        <v>1139.5861029688419</v>
      </c>
      <c r="W29">
        <v>1095.621879973995</v>
      </c>
      <c r="X29">
        <v>0</v>
      </c>
      <c r="Y29">
        <v>32.193628333408547</v>
      </c>
      <c r="Z29">
        <v>1063.428251640586</v>
      </c>
      <c r="AA29">
        <v>0</v>
      </c>
      <c r="AB29">
        <v>0</v>
      </c>
      <c r="AC29" t="str">
        <f>TEXT(E29,"dddd")</f>
        <v>Friday</v>
      </c>
      <c r="AD29" s="25">
        <f>INT(E29)+TIME(14,30,0)</f>
        <v>46052.604166666664</v>
      </c>
      <c r="AE29" s="54">
        <f>(E29-AD29)*1440</f>
        <v>-1.0477378964424133E-8</v>
      </c>
    </row>
    <row r="30" spans="1:31">
      <c r="A30">
        <v>6</v>
      </c>
      <c r="B30" t="s">
        <v>34</v>
      </c>
      <c r="C30" t="s">
        <v>35</v>
      </c>
      <c r="D30">
        <v>48232</v>
      </c>
      <c r="E30" s="25">
        <v>46052.728472222218</v>
      </c>
      <c r="F30">
        <v>179.75</v>
      </c>
      <c r="G30">
        <v>44.48</v>
      </c>
      <c r="H30">
        <v>179.73202499999999</v>
      </c>
      <c r="I30">
        <v>44.484447999999993</v>
      </c>
      <c r="J30">
        <v>3.8548011254083878</v>
      </c>
      <c r="K30">
        <v>1.2052443831406601</v>
      </c>
      <c r="L30">
        <v>-556.32823365785816</v>
      </c>
      <c r="M30">
        <v>2709.6321563414108</v>
      </c>
      <c r="N30" t="s">
        <v>30</v>
      </c>
      <c r="O30" s="54">
        <f>(Table8[[#This Row],[exit_timestamp]]-Table8[[#This Row],[entry_timestamp]])*1440</f>
        <v>0.99999999278225005</v>
      </c>
      <c r="P30" t="s">
        <v>31</v>
      </c>
      <c r="Q30">
        <v>48233</v>
      </c>
      <c r="R30" s="25">
        <v>46052.729166666657</v>
      </c>
      <c r="S30">
        <v>179.60499999999999</v>
      </c>
      <c r="T30">
        <v>44.734999999999999</v>
      </c>
      <c r="U30">
        <v>0.36551607222890381</v>
      </c>
      <c r="V30">
        <v>771.62379374746183</v>
      </c>
      <c r="W30">
        <v>727.45787722407397</v>
      </c>
      <c r="X30">
        <v>0</v>
      </c>
      <c r="Y30">
        <v>32.659603899992703</v>
      </c>
      <c r="Z30">
        <v>694.79827332408126</v>
      </c>
      <c r="AA30">
        <v>0</v>
      </c>
      <c r="AB30">
        <v>0</v>
      </c>
      <c r="AC30" t="str">
        <f>TEXT(E30,"dddd")</f>
        <v>Friday</v>
      </c>
      <c r="AD30" s="25">
        <f>INT(E30)+TIME(14,30,0)</f>
        <v>46052.604166666664</v>
      </c>
      <c r="AE30" s="54">
        <f>(E30-AD30)*1440</f>
        <v>178.99999999674037</v>
      </c>
    </row>
    <row r="31" spans="1:31">
      <c r="A31">
        <v>6</v>
      </c>
      <c r="B31" t="s">
        <v>34</v>
      </c>
      <c r="C31" t="s">
        <v>35</v>
      </c>
      <c r="D31">
        <v>48443</v>
      </c>
      <c r="E31" s="49">
        <v>46055.604166666657</v>
      </c>
      <c r="F31">
        <v>177.26</v>
      </c>
      <c r="G31">
        <v>43.86</v>
      </c>
      <c r="H31">
        <v>177.24227400000001</v>
      </c>
      <c r="I31">
        <v>43.864386000000003</v>
      </c>
      <c r="J31">
        <v>5.0309056744257994</v>
      </c>
      <c r="K31">
        <v>1.2052443831406601</v>
      </c>
      <c r="L31">
        <v>-564.14306668171048</v>
      </c>
      <c r="M31">
        <v>2747.9352100790229</v>
      </c>
      <c r="N31" t="s">
        <v>30</v>
      </c>
      <c r="O31" s="54">
        <f>(Table8[[#This Row],[exit_timestamp]]-Table8[[#This Row],[entry_timestamp]])*1440</f>
        <v>20.000000002328306</v>
      </c>
      <c r="P31" t="s">
        <v>31</v>
      </c>
      <c r="Q31">
        <v>48463</v>
      </c>
      <c r="R31" s="25">
        <v>46055.618055555547</v>
      </c>
      <c r="S31">
        <v>179.16499999999999</v>
      </c>
      <c r="T31">
        <v>44.185000000000002</v>
      </c>
      <c r="U31">
        <v>0.34203640965824478</v>
      </c>
      <c r="V31">
        <v>-181.61359875296861</v>
      </c>
      <c r="W31">
        <v>-225.91526356429969</v>
      </c>
      <c r="X31">
        <v>0</v>
      </c>
      <c r="Y31">
        <v>33.120782767607338</v>
      </c>
      <c r="Z31">
        <v>-259.03604633190707</v>
      </c>
      <c r="AA31">
        <v>0</v>
      </c>
      <c r="AB31">
        <v>0</v>
      </c>
      <c r="AC31" t="str">
        <f>TEXT(E31,"dddd")</f>
        <v>Monday</v>
      </c>
      <c r="AD31" s="25">
        <f>INT(E31)+TIME(14,30,0)</f>
        <v>46055.604166666664</v>
      </c>
      <c r="AE31" s="54">
        <f>(E31-AD31)*1440</f>
        <v>-1.0477378964424133E-8</v>
      </c>
    </row>
    <row r="32" spans="1:31">
      <c r="A32">
        <v>6</v>
      </c>
      <c r="B32" t="s">
        <v>34</v>
      </c>
      <c r="C32" t="s">
        <v>35</v>
      </c>
      <c r="D32">
        <v>48834</v>
      </c>
      <c r="E32" s="49">
        <v>46056.604861111111</v>
      </c>
      <c r="F32">
        <v>183.15</v>
      </c>
      <c r="G32">
        <v>43.45</v>
      </c>
      <c r="H32">
        <v>183.131685</v>
      </c>
      <c r="I32">
        <v>43.454345000000004</v>
      </c>
      <c r="J32">
        <v>4.9565440562827456</v>
      </c>
      <c r="K32">
        <v>1.2052443831406601</v>
      </c>
      <c r="L32">
        <v>-546.00054600054602</v>
      </c>
      <c r="M32">
        <v>2773.8650935343139</v>
      </c>
      <c r="N32" t="s">
        <v>30</v>
      </c>
      <c r="O32" s="54">
        <f>(Table8[[#This Row],[exit_timestamp]]-Table8[[#This Row],[entry_timestamp]])*1440</f>
        <v>11.999999997206032</v>
      </c>
      <c r="P32" t="s">
        <v>31</v>
      </c>
      <c r="Q32">
        <v>48846</v>
      </c>
      <c r="R32" s="25">
        <v>46056.613194444442</v>
      </c>
      <c r="S32">
        <v>182.64</v>
      </c>
      <c r="T32">
        <v>43.83</v>
      </c>
      <c r="U32">
        <v>0.4165683517409462</v>
      </c>
      <c r="V32">
        <v>1332.529014003316</v>
      </c>
      <c r="W32">
        <v>1288.3465654948061</v>
      </c>
      <c r="X32">
        <v>0</v>
      </c>
      <c r="Y32">
        <v>33.198656395348607</v>
      </c>
      <c r="Z32">
        <v>1255.147909099458</v>
      </c>
      <c r="AA32">
        <v>0</v>
      </c>
      <c r="AB32">
        <v>0</v>
      </c>
      <c r="AC32" t="str">
        <f>TEXT(E32,"dddd")</f>
        <v>Tuesday</v>
      </c>
      <c r="AD32" s="25">
        <f>INT(E32)+TIME(14,30,0)</f>
        <v>46056.604166666664</v>
      </c>
      <c r="AE32" s="54">
        <f>(E32-AD32)*1440</f>
        <v>1.000000003259629</v>
      </c>
    </row>
    <row r="33" spans="1:31">
      <c r="A33">
        <v>6</v>
      </c>
      <c r="B33" t="s">
        <v>34</v>
      </c>
      <c r="C33" t="s">
        <v>35</v>
      </c>
      <c r="D33">
        <v>49615</v>
      </c>
      <c r="E33" s="49">
        <v>46058.605555555558</v>
      </c>
      <c r="F33">
        <v>192.23</v>
      </c>
      <c r="G33">
        <v>45.3</v>
      </c>
      <c r="H33">
        <v>192.21077700000001</v>
      </c>
      <c r="I33">
        <v>45.30453</v>
      </c>
      <c r="J33">
        <v>3.918871441712322</v>
      </c>
      <c r="K33">
        <v>1.2052443831406601</v>
      </c>
      <c r="L33">
        <v>-520.21016490662225</v>
      </c>
      <c r="M33">
        <v>2660.5836272420738</v>
      </c>
      <c r="N33" t="s">
        <v>30</v>
      </c>
      <c r="O33" s="54">
        <f>(Table8[[#This Row],[exit_timestamp]]-Table8[[#This Row],[entry_timestamp]])*1440</f>
        <v>0.99999999278225005</v>
      </c>
      <c r="P33" t="s">
        <v>31</v>
      </c>
      <c r="Q33">
        <v>49616</v>
      </c>
      <c r="R33" s="25">
        <v>46058.606249999997</v>
      </c>
      <c r="S33">
        <v>192.23</v>
      </c>
      <c r="T33">
        <v>45.61</v>
      </c>
      <c r="U33">
        <v>-8.4991222359594401E-2</v>
      </c>
      <c r="V33">
        <v>824.7809244450491</v>
      </c>
      <c r="W33">
        <v>780.59355868976661</v>
      </c>
      <c r="X33">
        <v>0</v>
      </c>
      <c r="Y33">
        <v>31.80793792148696</v>
      </c>
      <c r="Z33">
        <v>748.78562076827961</v>
      </c>
      <c r="AA33">
        <v>1</v>
      </c>
      <c r="AB33">
        <v>0</v>
      </c>
      <c r="AC33" t="str">
        <f>TEXT(E33,"dddd")</f>
        <v>Thursday</v>
      </c>
      <c r="AD33" s="25">
        <f>INT(E33)+TIME(14,30,0)</f>
        <v>46058.604166666664</v>
      </c>
      <c r="AE33" s="54">
        <f>(E33-AD33)*1440</f>
        <v>2.000000006519258</v>
      </c>
    </row>
    <row r="34" spans="1:31">
      <c r="A34">
        <v>6</v>
      </c>
      <c r="B34" t="s">
        <v>34</v>
      </c>
      <c r="C34" t="s">
        <v>35</v>
      </c>
      <c r="D34">
        <v>50999</v>
      </c>
      <c r="E34" s="25">
        <v>46063.753472222219</v>
      </c>
      <c r="F34">
        <v>198.93</v>
      </c>
      <c r="G34">
        <v>46.255000000000003</v>
      </c>
      <c r="H34">
        <v>198.91010700000001</v>
      </c>
      <c r="I34">
        <v>46.259625499999999</v>
      </c>
      <c r="J34">
        <v>3.9715540167866159</v>
      </c>
      <c r="K34">
        <v>1.2052443831406601</v>
      </c>
      <c r="L34">
        <v>-502.68938822701449</v>
      </c>
      <c r="M34">
        <v>2605.6521092652888</v>
      </c>
      <c r="N34" t="s">
        <v>30</v>
      </c>
      <c r="O34" s="54">
        <f>(Table8[[#This Row],[exit_timestamp]]-Table8[[#This Row],[entry_timestamp]])*1440</f>
        <v>17.000000003026798</v>
      </c>
      <c r="P34" t="s">
        <v>31</v>
      </c>
      <c r="Q34">
        <v>51016</v>
      </c>
      <c r="R34" s="25">
        <v>46063.765277777777</v>
      </c>
      <c r="S34">
        <v>199.125</v>
      </c>
      <c r="T34">
        <v>46.27</v>
      </c>
      <c r="U34">
        <v>0.37032833213766569</v>
      </c>
      <c r="V34">
        <v>-58.939649065283568</v>
      </c>
      <c r="W34">
        <v>-103.0582476493186</v>
      </c>
      <c r="X34">
        <v>0</v>
      </c>
      <c r="Y34">
        <v>31.083414974923041</v>
      </c>
      <c r="Z34">
        <v>-134.14166262424169</v>
      </c>
      <c r="AA34">
        <v>0</v>
      </c>
      <c r="AB34">
        <v>0</v>
      </c>
      <c r="AC34" t="str">
        <f>TEXT(E34,"dddd")</f>
        <v>Tuesday</v>
      </c>
      <c r="AD34" s="25">
        <f>INT(E34)+TIME(14,30,0)</f>
        <v>46063.604166666664</v>
      </c>
      <c r="AE34" s="54">
        <f>(E34-AD34)*1440</f>
        <v>214.99999999883585</v>
      </c>
    </row>
    <row r="35" spans="1:31">
      <c r="A35">
        <v>7</v>
      </c>
      <c r="B35" t="s">
        <v>34</v>
      </c>
      <c r="C35" t="s">
        <v>35</v>
      </c>
      <c r="D35">
        <v>51565</v>
      </c>
      <c r="E35" s="49">
        <v>46065.604861111111</v>
      </c>
      <c r="F35">
        <v>204.33</v>
      </c>
      <c r="G35">
        <v>46.84</v>
      </c>
      <c r="H35">
        <v>204.30956699999999</v>
      </c>
      <c r="I35">
        <v>46.844684000000001</v>
      </c>
      <c r="J35">
        <v>3.9757050377123528</v>
      </c>
      <c r="K35">
        <v>1.158442098901695</v>
      </c>
      <c r="L35">
        <v>-489.40439485146572</v>
      </c>
      <c r="M35">
        <v>2473.189792702166</v>
      </c>
      <c r="N35" t="s">
        <v>30</v>
      </c>
      <c r="O35" s="54">
        <f>(Table8[[#This Row],[exit_timestamp]]-Table8[[#This Row],[entry_timestamp]])*1440</f>
        <v>24.999999997671694</v>
      </c>
      <c r="P35" t="s">
        <v>31</v>
      </c>
      <c r="Q35">
        <v>51590</v>
      </c>
      <c r="R35" s="25">
        <v>46065.62222222222</v>
      </c>
      <c r="S35">
        <v>205.27</v>
      </c>
      <c r="T35">
        <v>46.76</v>
      </c>
      <c r="U35">
        <v>0.27202683311716802</v>
      </c>
      <c r="V35">
        <v>-657.89531457656335</v>
      </c>
      <c r="W35">
        <v>-701.09037504934849</v>
      </c>
      <c r="X35">
        <v>0</v>
      </c>
      <c r="Y35">
        <v>29.62594187553632</v>
      </c>
      <c r="Z35">
        <v>-730.71631692488484</v>
      </c>
      <c r="AA35">
        <v>0</v>
      </c>
      <c r="AB35">
        <v>0</v>
      </c>
      <c r="AC35" t="str">
        <f>TEXT(E35,"dddd")</f>
        <v>Thursday</v>
      </c>
      <c r="AD35" s="25">
        <f>INT(E35)+TIME(14,30,0)</f>
        <v>46065.604166666664</v>
      </c>
      <c r="AE35" s="54">
        <f>(E35-AD35)*1440</f>
        <v>1.000000003259629</v>
      </c>
    </row>
    <row r="36" spans="1:31">
      <c r="A36">
        <v>7</v>
      </c>
      <c r="B36" t="s">
        <v>34</v>
      </c>
      <c r="C36" t="s">
        <v>35</v>
      </c>
      <c r="D36">
        <v>51853</v>
      </c>
      <c r="E36" s="25">
        <v>46065.804861111108</v>
      </c>
      <c r="F36">
        <v>197.09</v>
      </c>
      <c r="G36">
        <v>45.56</v>
      </c>
      <c r="H36">
        <v>197.10970900000001</v>
      </c>
      <c r="I36">
        <v>45.555444000000001</v>
      </c>
      <c r="J36">
        <v>-3.557016458145537</v>
      </c>
      <c r="K36">
        <v>1.158442098901695</v>
      </c>
      <c r="L36">
        <v>507.3824141255264</v>
      </c>
      <c r="M36">
        <v>-2542.6736147973979</v>
      </c>
      <c r="N36" t="s">
        <v>32</v>
      </c>
      <c r="O36" s="54">
        <f>(Table8[[#This Row],[exit_timestamp]]-Table8[[#This Row],[entry_timestamp]])*1440</f>
        <v>15.000000006984919</v>
      </c>
      <c r="P36" t="s">
        <v>31</v>
      </c>
      <c r="Q36">
        <v>51868</v>
      </c>
      <c r="R36" s="25">
        <v>46065.81527777778</v>
      </c>
      <c r="S36">
        <v>197.16</v>
      </c>
      <c r="T36">
        <v>45.454999999999998</v>
      </c>
      <c r="U36">
        <v>0.20745406885017409</v>
      </c>
      <c r="V36">
        <v>302.4974985425203</v>
      </c>
      <c r="W36">
        <v>259.35180296054608</v>
      </c>
      <c r="X36">
        <v>0</v>
      </c>
      <c r="Y36">
        <v>30.500560289229249</v>
      </c>
      <c r="Z36">
        <v>228.8512426713169</v>
      </c>
      <c r="AA36">
        <v>0</v>
      </c>
      <c r="AB36">
        <v>0</v>
      </c>
      <c r="AC36" t="str">
        <f>TEXT(E36,"dddd")</f>
        <v>Thursday</v>
      </c>
      <c r="AD36" s="25">
        <f>INT(E36)+TIME(14,30,0)</f>
        <v>46065.604166666664</v>
      </c>
      <c r="AE36" s="54">
        <f>(E36-AD36)*1440</f>
        <v>288.99999999906868</v>
      </c>
    </row>
    <row r="37" spans="1:31">
      <c r="A37">
        <v>7</v>
      </c>
      <c r="B37" t="s">
        <v>34</v>
      </c>
      <c r="C37" t="s">
        <v>35</v>
      </c>
      <c r="D37">
        <v>51957</v>
      </c>
      <c r="E37" s="49">
        <v>46066.605555555558</v>
      </c>
      <c r="F37">
        <v>197.26499999999999</v>
      </c>
      <c r="G37">
        <v>45.344999999999999</v>
      </c>
      <c r="H37">
        <v>197.2452735</v>
      </c>
      <c r="I37">
        <v>45.349534499999997</v>
      </c>
      <c r="J37">
        <v>3.548163455321856</v>
      </c>
      <c r="K37">
        <v>1.158442098901695</v>
      </c>
      <c r="L37">
        <v>-506.93229919144301</v>
      </c>
      <c r="M37">
        <v>2554.729515716605</v>
      </c>
      <c r="N37" t="s">
        <v>30</v>
      </c>
      <c r="O37" s="54">
        <f>(Table8[[#This Row],[exit_timestamp]]-Table8[[#This Row],[entry_timestamp]])*1440</f>
        <v>0.99999999278225005</v>
      </c>
      <c r="P37" t="s">
        <v>31</v>
      </c>
      <c r="Q37">
        <v>51958</v>
      </c>
      <c r="R37" s="25">
        <v>46066.606249999997</v>
      </c>
      <c r="S37">
        <v>197.26499999999999</v>
      </c>
      <c r="T37">
        <v>45.6</v>
      </c>
      <c r="U37">
        <v>-0.49856160850762649</v>
      </c>
      <c r="V37">
        <v>651.45602650774083</v>
      </c>
      <c r="W37">
        <v>608.22203892707569</v>
      </c>
      <c r="X37">
        <v>0</v>
      </c>
      <c r="Y37">
        <v>30.61661814908048</v>
      </c>
      <c r="Z37">
        <v>577.60542077799516</v>
      </c>
      <c r="AA37">
        <v>1</v>
      </c>
      <c r="AB37">
        <v>0</v>
      </c>
      <c r="AC37" t="str">
        <f>TEXT(E37,"dddd")</f>
        <v>Friday</v>
      </c>
      <c r="AD37" s="25">
        <f>INT(E37)+TIME(14,30,0)</f>
        <v>46066.604166666664</v>
      </c>
      <c r="AE37" s="54">
        <f>(E37-AD37)*1440</f>
        <v>2.000000006519258</v>
      </c>
    </row>
    <row r="38" spans="1:31">
      <c r="A38">
        <v>7</v>
      </c>
      <c r="B38" t="s">
        <v>34</v>
      </c>
      <c r="C38" t="s">
        <v>35</v>
      </c>
      <c r="D38">
        <v>52349</v>
      </c>
      <c r="E38" s="49">
        <v>46070.606249999997</v>
      </c>
      <c r="F38">
        <v>202.8</v>
      </c>
      <c r="G38">
        <v>46.35</v>
      </c>
      <c r="H38">
        <v>202.77972</v>
      </c>
      <c r="I38">
        <v>46.354635000000002</v>
      </c>
      <c r="J38">
        <v>3.7187851220961412</v>
      </c>
      <c r="K38">
        <v>1.158442098901695</v>
      </c>
      <c r="L38">
        <v>-493.09664694280082</v>
      </c>
      <c r="M38">
        <v>2499.335704210775</v>
      </c>
      <c r="N38" t="s">
        <v>30</v>
      </c>
      <c r="O38" s="54">
        <f>(Table8[[#This Row],[exit_timestamp]]-Table8[[#This Row],[entry_timestamp]])*1440</f>
        <v>11.000000004423782</v>
      </c>
      <c r="P38" t="s">
        <v>31</v>
      </c>
      <c r="Q38">
        <v>52360</v>
      </c>
      <c r="R38" s="25">
        <v>46070.613888888889</v>
      </c>
      <c r="S38">
        <v>200.47</v>
      </c>
      <c r="T38">
        <v>45.93</v>
      </c>
      <c r="U38">
        <v>0.19221352260172911</v>
      </c>
      <c r="V38">
        <v>99.194191608201891</v>
      </c>
      <c r="W38">
        <v>56.245213248486607</v>
      </c>
      <c r="X38">
        <v>0</v>
      </c>
      <c r="Y38">
        <v>29.924323511535761</v>
      </c>
      <c r="Z38">
        <v>26.320889736950839</v>
      </c>
      <c r="AA38">
        <v>0</v>
      </c>
      <c r="AB38">
        <v>0</v>
      </c>
      <c r="AC38" t="str">
        <f>TEXT(E38,"dddd")</f>
        <v>Tuesday</v>
      </c>
      <c r="AD38" s="25">
        <f>INT(E38)+TIME(14,30,0)</f>
        <v>46070.604166666664</v>
      </c>
      <c r="AE38" s="54">
        <f>(E38-AD38)*1440</f>
        <v>2.9999999993015081</v>
      </c>
    </row>
    <row r="39" spans="1:31">
      <c r="A39">
        <v>7</v>
      </c>
      <c r="B39" t="s">
        <v>34</v>
      </c>
      <c r="C39" t="s">
        <v>35</v>
      </c>
      <c r="D39">
        <v>52706</v>
      </c>
      <c r="E39" s="51">
        <v>46070.854166666657</v>
      </c>
      <c r="F39">
        <v>197.15</v>
      </c>
      <c r="G39">
        <v>45.854999999999997</v>
      </c>
      <c r="H39">
        <v>197.169715</v>
      </c>
      <c r="I39">
        <v>45.850414499999999</v>
      </c>
      <c r="J39">
        <v>-3.5601937053673578</v>
      </c>
      <c r="K39">
        <v>1.158442098901695</v>
      </c>
      <c r="L39">
        <v>507.22799898554399</v>
      </c>
      <c r="M39">
        <v>-2526.3157756006858</v>
      </c>
      <c r="N39" t="s">
        <v>32</v>
      </c>
      <c r="O39" s="54">
        <f>(Table8[[#This Row],[exit_timestamp]]-Table8[[#This Row],[entry_timestamp]])*1440</f>
        <v>6.0000000090803951</v>
      </c>
      <c r="P39" t="s">
        <v>31</v>
      </c>
      <c r="Q39">
        <v>52712</v>
      </c>
      <c r="R39" s="25">
        <v>46070.85833333333</v>
      </c>
      <c r="S39">
        <v>197.46</v>
      </c>
      <c r="T39">
        <v>45.79</v>
      </c>
      <c r="U39">
        <v>-5.04504183822439E-2</v>
      </c>
      <c r="V39">
        <v>321.45120509955859</v>
      </c>
      <c r="W39">
        <v>278.28306010611061</v>
      </c>
      <c r="X39">
        <v>0</v>
      </c>
      <c r="Y39">
        <v>30.335437745862301</v>
      </c>
      <c r="Z39">
        <v>247.94762236024829</v>
      </c>
      <c r="AA39">
        <v>0</v>
      </c>
      <c r="AB39">
        <v>0</v>
      </c>
      <c r="AC39" t="str">
        <f>TEXT(E39,"dddd")</f>
        <v>Tuesday</v>
      </c>
      <c r="AD39" s="25">
        <f>INT(E39)+TIME(14,30,0)</f>
        <v>46070.604166666664</v>
      </c>
      <c r="AE39" s="54">
        <f>(E39-AD39)*1440</f>
        <v>359.99999998952262</v>
      </c>
    </row>
    <row r="40" spans="1:31">
      <c r="A40">
        <v>7</v>
      </c>
      <c r="B40" t="s">
        <v>34</v>
      </c>
      <c r="C40" t="s">
        <v>35</v>
      </c>
      <c r="D40">
        <v>52737</v>
      </c>
      <c r="E40" s="49">
        <v>46071.604166666657</v>
      </c>
      <c r="F40">
        <v>198.83</v>
      </c>
      <c r="G40">
        <v>46.725000000000001</v>
      </c>
      <c r="H40">
        <v>198.84988300000001</v>
      </c>
      <c r="I40">
        <v>46.720327500000003</v>
      </c>
      <c r="J40">
        <v>-4.6988719088785844</v>
      </c>
      <c r="K40">
        <v>1.158442098901695</v>
      </c>
      <c r="L40">
        <v>502.94221193984811</v>
      </c>
      <c r="M40">
        <v>-2479.2768301801921</v>
      </c>
      <c r="N40" t="s">
        <v>32</v>
      </c>
      <c r="O40" s="54">
        <f>(Table8[[#This Row],[exit_timestamp]]-Table8[[#This Row],[entry_timestamp]])*1440</f>
        <v>12.00000001816079</v>
      </c>
      <c r="P40" t="s">
        <v>31</v>
      </c>
      <c r="Q40">
        <v>52749</v>
      </c>
      <c r="R40" s="25">
        <v>46071.612500000003</v>
      </c>
      <c r="S40">
        <v>197.73</v>
      </c>
      <c r="T40">
        <v>46.27</v>
      </c>
      <c r="U40">
        <v>-0.47052163416756732</v>
      </c>
      <c r="V40">
        <v>574.8345245981385</v>
      </c>
      <c r="W40">
        <v>531.83381335920831</v>
      </c>
      <c r="X40">
        <v>0</v>
      </c>
      <c r="Y40">
        <v>29.8221904212004</v>
      </c>
      <c r="Z40">
        <v>502.01162293800792</v>
      </c>
      <c r="AA40">
        <v>9</v>
      </c>
      <c r="AB40">
        <v>0</v>
      </c>
      <c r="AC40" t="str">
        <f>TEXT(E40,"dddd")</f>
        <v>Wednesday</v>
      </c>
      <c r="AD40" s="25">
        <f>INT(E40)+TIME(14,30,0)</f>
        <v>46071.604166666664</v>
      </c>
      <c r="AE40" s="54">
        <f>(E40-AD40)*1440</f>
        <v>-1.0477378964424133E-8</v>
      </c>
    </row>
    <row r="41" spans="1:31">
      <c r="A41">
        <v>7</v>
      </c>
      <c r="B41" t="s">
        <v>34</v>
      </c>
      <c r="C41" t="s">
        <v>35</v>
      </c>
      <c r="D41">
        <v>53078</v>
      </c>
      <c r="E41" s="51">
        <v>46071.84097222222</v>
      </c>
      <c r="F41">
        <v>199.005</v>
      </c>
      <c r="G41">
        <v>47.19</v>
      </c>
      <c r="H41">
        <v>198.98509949999999</v>
      </c>
      <c r="I41">
        <v>47.194718999999999</v>
      </c>
      <c r="J41">
        <v>3.5675000193783259</v>
      </c>
      <c r="K41">
        <v>1.158442098901695</v>
      </c>
      <c r="L41">
        <v>-502.49993718750778</v>
      </c>
      <c r="M41">
        <v>2454.846575337348</v>
      </c>
      <c r="N41" t="s">
        <v>30</v>
      </c>
      <c r="O41" s="54">
        <f>(Table8[[#This Row],[exit_timestamp]]-Table8[[#This Row],[entry_timestamp]])*1440</f>
        <v>12.000000007683411</v>
      </c>
      <c r="P41" t="s">
        <v>31</v>
      </c>
      <c r="Q41">
        <v>53090</v>
      </c>
      <c r="R41" s="25">
        <v>46071.849305555559</v>
      </c>
      <c r="S41">
        <v>198.88</v>
      </c>
      <c r="T41">
        <v>47.225000000000001</v>
      </c>
      <c r="U41">
        <v>-2.5827999182949261E-2</v>
      </c>
      <c r="V41">
        <v>148.73212228525469</v>
      </c>
      <c r="W41">
        <v>105.5609695934118</v>
      </c>
      <c r="X41">
        <v>0</v>
      </c>
      <c r="Y41">
        <v>29.573465125248561</v>
      </c>
      <c r="Z41">
        <v>75.987504468163209</v>
      </c>
      <c r="AA41">
        <v>0</v>
      </c>
      <c r="AB41">
        <v>0</v>
      </c>
      <c r="AC41" t="str">
        <f>TEXT(E41,"dddd")</f>
        <v>Wednesday</v>
      </c>
      <c r="AD41" s="25">
        <f>INT(E41)+TIME(14,30,0)</f>
        <v>46071.604166666664</v>
      </c>
      <c r="AE41" s="54">
        <f>(E41-AD41)*1440</f>
        <v>341.00000000093132</v>
      </c>
    </row>
    <row r="42" spans="1:31">
      <c r="A42">
        <v>7</v>
      </c>
      <c r="B42" t="s">
        <v>34</v>
      </c>
      <c r="C42" t="s">
        <v>35</v>
      </c>
      <c r="D42">
        <v>54305</v>
      </c>
      <c r="E42" s="49">
        <v>46077.60833333333</v>
      </c>
      <c r="F42">
        <v>196.52</v>
      </c>
      <c r="G42">
        <v>51.38</v>
      </c>
      <c r="H42">
        <v>196.500348</v>
      </c>
      <c r="I42">
        <v>51.385137999999998</v>
      </c>
      <c r="J42">
        <v>3.7348129324007542</v>
      </c>
      <c r="K42">
        <v>1.158442098901695</v>
      </c>
      <c r="L42">
        <v>-508.854060655404</v>
      </c>
      <c r="M42">
        <v>2254.6557004704059</v>
      </c>
      <c r="N42" t="s">
        <v>30</v>
      </c>
      <c r="O42" s="54">
        <f>(Table8[[#This Row],[exit_timestamp]]-Table8[[#This Row],[entry_timestamp]])*1440</f>
        <v>10.000000011641532</v>
      </c>
      <c r="P42" t="s">
        <v>31</v>
      </c>
      <c r="Q42">
        <v>54315</v>
      </c>
      <c r="R42" s="25">
        <v>46077.615277777782</v>
      </c>
      <c r="S42">
        <v>195.11</v>
      </c>
      <c r="T42">
        <v>51.38</v>
      </c>
      <c r="U42">
        <v>0.34825928570165832</v>
      </c>
      <c r="V42">
        <v>717.48422552411785</v>
      </c>
      <c r="W42">
        <v>674.387131968625</v>
      </c>
      <c r="X42">
        <v>0</v>
      </c>
      <c r="Y42">
        <v>27.6350976112581</v>
      </c>
      <c r="Z42">
        <v>646.75203435736694</v>
      </c>
      <c r="AA42">
        <v>1</v>
      </c>
      <c r="AB42">
        <v>0</v>
      </c>
      <c r="AC42" t="str">
        <f>TEXT(E42,"dddd")</f>
        <v>Tuesday</v>
      </c>
      <c r="AD42" s="25">
        <f>INT(E42)+TIME(14,30,0)</f>
        <v>46077.604166666664</v>
      </c>
      <c r="AE42" s="54">
        <f>(E42-AD42)*1440</f>
        <v>5.9999999986030161</v>
      </c>
    </row>
    <row r="43" spans="1:31">
      <c r="A43">
        <v>7</v>
      </c>
      <c r="B43" t="s">
        <v>34</v>
      </c>
      <c r="C43" t="s">
        <v>35</v>
      </c>
      <c r="D43">
        <v>54691</v>
      </c>
      <c r="E43" s="49">
        <v>46078.604861111111</v>
      </c>
      <c r="F43">
        <v>200.5</v>
      </c>
      <c r="G43">
        <v>51.8</v>
      </c>
      <c r="H43">
        <v>200.47995</v>
      </c>
      <c r="I43">
        <v>51.80518</v>
      </c>
      <c r="J43">
        <v>3.580507586927324</v>
      </c>
      <c r="K43">
        <v>1.158442098901695</v>
      </c>
      <c r="L43">
        <v>-498.75311720698261</v>
      </c>
      <c r="M43">
        <v>2236.37470830443</v>
      </c>
      <c r="N43" t="s">
        <v>30</v>
      </c>
      <c r="O43" s="54">
        <f>(Table8[[#This Row],[exit_timestamp]]-Table8[[#This Row],[entry_timestamp]])*1440</f>
        <v>20.000000002328306</v>
      </c>
      <c r="P43" t="s">
        <v>31</v>
      </c>
      <c r="Q43">
        <v>54711</v>
      </c>
      <c r="R43" s="25">
        <v>46078.618750000001</v>
      </c>
      <c r="S43">
        <v>197.83500000000001</v>
      </c>
      <c r="T43">
        <v>51.04</v>
      </c>
      <c r="U43">
        <v>0.39904307578637649</v>
      </c>
      <c r="V43">
        <v>-370.46772095475791</v>
      </c>
      <c r="W43">
        <v>-413.33368074923078</v>
      </c>
      <c r="X43">
        <v>0</v>
      </c>
      <c r="Y43">
        <v>27.351278255114121</v>
      </c>
      <c r="Z43">
        <v>-440.68495900434488</v>
      </c>
      <c r="AA43">
        <v>0</v>
      </c>
      <c r="AB43">
        <v>0</v>
      </c>
      <c r="AC43" t="str">
        <f>TEXT(E43,"dddd")</f>
        <v>Wednesday</v>
      </c>
      <c r="AD43" s="25">
        <f>INT(E43)+TIME(14,30,0)</f>
        <v>46078.604166666664</v>
      </c>
      <c r="AE43" s="54">
        <f>(E43-AD43)*1440</f>
        <v>1.000000003259629</v>
      </c>
    </row>
    <row r="44" spans="1:31">
      <c r="A44">
        <v>7</v>
      </c>
      <c r="B44" t="s">
        <v>34</v>
      </c>
      <c r="C44" t="s">
        <v>35</v>
      </c>
      <c r="D44">
        <v>55080</v>
      </c>
      <c r="E44" s="49">
        <v>46079.604166666657</v>
      </c>
      <c r="F44">
        <v>197.15</v>
      </c>
      <c r="G44">
        <v>49.93</v>
      </c>
      <c r="H44">
        <v>197.13028499999999</v>
      </c>
      <c r="I44">
        <v>49.934992999999999</v>
      </c>
      <c r="J44">
        <v>4.3926995327658496</v>
      </c>
      <c r="K44">
        <v>1.158442098901695</v>
      </c>
      <c r="L44">
        <v>-507.22799898554399</v>
      </c>
      <c r="M44">
        <v>2320.1323831397849</v>
      </c>
      <c r="N44" t="s">
        <v>30</v>
      </c>
      <c r="O44" s="54">
        <f>(Table8[[#This Row],[exit_timestamp]]-Table8[[#This Row],[entry_timestamp]])*1440</f>
        <v>19.000000009546056</v>
      </c>
      <c r="P44" t="s">
        <v>31</v>
      </c>
      <c r="Q44">
        <v>55099</v>
      </c>
      <c r="R44" s="25">
        <v>46079.617361111108</v>
      </c>
      <c r="S44">
        <v>199.2</v>
      </c>
      <c r="T44">
        <v>50.1</v>
      </c>
      <c r="U44">
        <v>0.37925609728889659</v>
      </c>
      <c r="V44">
        <v>-645.39489278658925</v>
      </c>
      <c r="W44">
        <v>-688.70715875491032</v>
      </c>
      <c r="X44">
        <v>0</v>
      </c>
      <c r="Y44">
        <v>28.273603821253289</v>
      </c>
      <c r="Z44">
        <v>-716.98076257616367</v>
      </c>
      <c r="AA44">
        <v>4</v>
      </c>
      <c r="AB44">
        <v>0</v>
      </c>
      <c r="AC44" t="str">
        <f>TEXT(E44,"dddd")</f>
        <v>Thursday</v>
      </c>
      <c r="AD44" s="25">
        <f>INT(E44)+TIME(14,30,0)</f>
        <v>46079.604166666664</v>
      </c>
      <c r="AE44" s="54">
        <f>(E44-AD44)*1440</f>
        <v>-1.0477378964424133E-8</v>
      </c>
    </row>
    <row r="45" spans="1:31">
      <c r="A45">
        <v>10</v>
      </c>
      <c r="B45" t="s">
        <v>33</v>
      </c>
      <c r="C45" t="s">
        <v>29</v>
      </c>
      <c r="D45">
        <v>63235</v>
      </c>
      <c r="E45" s="25">
        <v>46107.781944444447</v>
      </c>
      <c r="F45">
        <v>249.02500000000001</v>
      </c>
      <c r="G45">
        <v>185.45</v>
      </c>
      <c r="H45">
        <v>249.00009750000001</v>
      </c>
      <c r="I45">
        <v>185.46854500000001</v>
      </c>
      <c r="J45">
        <v>4.9104080648364574</v>
      </c>
      <c r="K45">
        <v>1.22062181863135</v>
      </c>
      <c r="L45">
        <v>-401.56610782050001</v>
      </c>
      <c r="M45">
        <v>658.19456383464524</v>
      </c>
      <c r="N45" t="s">
        <v>30</v>
      </c>
      <c r="O45" s="54">
        <f>(Table8[[#This Row],[exit_timestamp]]-Table8[[#This Row],[entry_timestamp]])*1440</f>
        <v>10.999999993946403</v>
      </c>
      <c r="P45" t="s">
        <v>31</v>
      </c>
      <c r="Q45">
        <v>63246</v>
      </c>
      <c r="R45" s="25">
        <v>46107.789583333331</v>
      </c>
      <c r="S45">
        <v>248.34</v>
      </c>
      <c r="T45">
        <v>185.55</v>
      </c>
      <c r="U45">
        <v>0.48475148700621812</v>
      </c>
      <c r="V45">
        <v>340.89224024052282</v>
      </c>
      <c r="W45">
        <v>296.50072920065787</v>
      </c>
      <c r="X45">
        <v>0</v>
      </c>
      <c r="Y45">
        <v>10.59760671655145</v>
      </c>
      <c r="Z45">
        <v>285.90312248410652</v>
      </c>
      <c r="AA45">
        <v>7</v>
      </c>
      <c r="AB45">
        <v>1</v>
      </c>
      <c r="AC45" t="str">
        <f>TEXT(E45,"dddd")</f>
        <v>Thursday</v>
      </c>
      <c r="AD45" s="25">
        <f>INT(E45)+TIME(14,30,0)</f>
        <v>46107.604166666664</v>
      </c>
      <c r="AE45" s="54">
        <f>(E45-AD45)*1440</f>
        <v>256.00000000675209</v>
      </c>
    </row>
    <row r="46" spans="1:31">
      <c r="A46">
        <v>10</v>
      </c>
      <c r="B46" t="s">
        <v>33</v>
      </c>
      <c r="C46" t="s">
        <v>29</v>
      </c>
      <c r="D46">
        <v>63449</v>
      </c>
      <c r="E46" s="53">
        <v>46108.657638888893</v>
      </c>
      <c r="F46">
        <v>251.58500000000001</v>
      </c>
      <c r="G46">
        <v>187.32499999999999</v>
      </c>
      <c r="H46">
        <v>251.61015850000001</v>
      </c>
      <c r="I46">
        <v>187.30626749999999</v>
      </c>
      <c r="J46">
        <v>-3.573731701722922</v>
      </c>
      <c r="K46">
        <v>1.22062181863135</v>
      </c>
      <c r="L46">
        <v>397.47997694616129</v>
      </c>
      <c r="M46">
        <v>-651.606469308074</v>
      </c>
      <c r="N46" t="s">
        <v>32</v>
      </c>
      <c r="O46" s="54">
        <f>(Table8[[#This Row],[exit_timestamp]]-Table8[[#This Row],[entry_timestamp]])*1440</f>
        <v>32.99999998183921</v>
      </c>
      <c r="P46" t="s">
        <v>31</v>
      </c>
      <c r="Q46">
        <v>63482</v>
      </c>
      <c r="R46" s="25">
        <v>46108.680555555547</v>
      </c>
      <c r="S46">
        <v>251.31</v>
      </c>
      <c r="T46">
        <v>187.5</v>
      </c>
      <c r="U46">
        <v>-0.13489630510934361</v>
      </c>
      <c r="V46">
        <v>-223.33812578911699</v>
      </c>
      <c r="W46">
        <v>-267.75103457559379</v>
      </c>
      <c r="X46">
        <v>0</v>
      </c>
      <c r="Y46">
        <v>10.49086446254235</v>
      </c>
      <c r="Z46">
        <v>-278.24189903813618</v>
      </c>
      <c r="AA46">
        <v>3</v>
      </c>
      <c r="AB46">
        <v>0</v>
      </c>
      <c r="AC46" t="str">
        <f>TEXT(E46,"dddd")</f>
        <v>Friday</v>
      </c>
      <c r="AD46" s="25">
        <f>INT(E46)+TIME(14,30,0)</f>
        <v>46108.604166666664</v>
      </c>
      <c r="AE46" s="54">
        <f>(E46-AD46)*1440</f>
        <v>77.000000010011718</v>
      </c>
    </row>
    <row r="47" spans="1:31">
      <c r="A47">
        <v>10</v>
      </c>
      <c r="B47" t="s">
        <v>33</v>
      </c>
      <c r="C47" t="s">
        <v>29</v>
      </c>
      <c r="D47">
        <v>64198</v>
      </c>
      <c r="E47" s="25">
        <v>46112.675694444442</v>
      </c>
      <c r="F47">
        <v>250.155</v>
      </c>
      <c r="G47">
        <v>185.48</v>
      </c>
      <c r="H47">
        <v>250.12998450000001</v>
      </c>
      <c r="I47">
        <v>185.498548</v>
      </c>
      <c r="J47">
        <v>3.6542911180848119</v>
      </c>
      <c r="K47">
        <v>1.22062181863135</v>
      </c>
      <c r="L47">
        <v>-399.75215366472793</v>
      </c>
      <c r="M47">
        <v>658.08810579650083</v>
      </c>
      <c r="N47" t="s">
        <v>30</v>
      </c>
      <c r="O47" s="54">
        <f>(Table8[[#This Row],[exit_timestamp]]-Table8[[#This Row],[entry_timestamp]])*1440</f>
        <v>8.9999999979045242</v>
      </c>
      <c r="P47" t="s">
        <v>31</v>
      </c>
      <c r="Q47">
        <v>64207</v>
      </c>
      <c r="R47" s="25">
        <v>46112.681944444441</v>
      </c>
      <c r="S47">
        <v>248.85</v>
      </c>
      <c r="T47">
        <v>185.13</v>
      </c>
      <c r="U47">
        <v>0.49074797400969639</v>
      </c>
      <c r="V47">
        <v>291.34572350370109</v>
      </c>
      <c r="W47">
        <v>247.0084878708426</v>
      </c>
      <c r="X47">
        <v>0</v>
      </c>
      <c r="Y47">
        <v>10.578402594612291</v>
      </c>
      <c r="Z47">
        <v>236.4300852762303</v>
      </c>
      <c r="AA47">
        <v>1</v>
      </c>
      <c r="AB47">
        <v>0</v>
      </c>
      <c r="AC47" t="str">
        <f>TEXT(E47,"dddd")</f>
        <v>Tuesday</v>
      </c>
      <c r="AD47" s="25">
        <f>INT(E47)+TIME(14,30,0)</f>
        <v>46112.604166666664</v>
      </c>
      <c r="AE47" s="54">
        <f>(E47-AD47)*1440</f>
        <v>103.00000000046566</v>
      </c>
    </row>
    <row r="48" spans="1:31">
      <c r="A48">
        <v>10</v>
      </c>
      <c r="B48" t="s">
        <v>33</v>
      </c>
      <c r="C48" t="s">
        <v>29</v>
      </c>
      <c r="D48">
        <v>64285</v>
      </c>
      <c r="E48" s="25">
        <v>46112.736111111109</v>
      </c>
      <c r="F48">
        <v>248.09</v>
      </c>
      <c r="G48">
        <v>184.095</v>
      </c>
      <c r="H48">
        <v>248.065191</v>
      </c>
      <c r="I48">
        <v>184.11340949999999</v>
      </c>
      <c r="J48">
        <v>3.6647744679837588</v>
      </c>
      <c r="K48">
        <v>1.22062181863135</v>
      </c>
      <c r="L48">
        <v>-403.07952759079359</v>
      </c>
      <c r="M48">
        <v>663.03909320261255</v>
      </c>
      <c r="N48" t="s">
        <v>30</v>
      </c>
      <c r="O48" s="54">
        <f>(Table8[[#This Row],[exit_timestamp]]-Table8[[#This Row],[entry_timestamp]])*1440</f>
        <v>6.0000000090803951</v>
      </c>
      <c r="P48" t="s">
        <v>31</v>
      </c>
      <c r="Q48">
        <v>64291</v>
      </c>
      <c r="R48" s="25">
        <v>46112.740277777782</v>
      </c>
      <c r="S48">
        <v>245.85</v>
      </c>
      <c r="T48">
        <v>183.83</v>
      </c>
      <c r="U48">
        <v>-0.29327374888761082</v>
      </c>
      <c r="V48">
        <v>727.19278210469815</v>
      </c>
      <c r="W48">
        <v>682.88820608222522</v>
      </c>
      <c r="X48">
        <v>0</v>
      </c>
      <c r="Y48">
        <v>10.66118620793406</v>
      </c>
      <c r="Z48">
        <v>672.22701987429116</v>
      </c>
      <c r="AA48">
        <v>0</v>
      </c>
      <c r="AB48">
        <v>0</v>
      </c>
      <c r="AC48" t="str">
        <f>TEXT(E48,"dddd")</f>
        <v>Tuesday</v>
      </c>
      <c r="AD48" s="25">
        <f>INT(E48)+TIME(14,30,0)</f>
        <v>46112.604166666664</v>
      </c>
      <c r="AE48" s="54">
        <f>(E48-AD48)*1440</f>
        <v>190.00000000116415</v>
      </c>
    </row>
    <row r="49" spans="1:31">
      <c r="A49">
        <v>10</v>
      </c>
      <c r="B49" t="s">
        <v>33</v>
      </c>
      <c r="C49" t="s">
        <v>29</v>
      </c>
      <c r="D49">
        <v>64782</v>
      </c>
      <c r="E49" s="25">
        <v>46113.804166666669</v>
      </c>
      <c r="F49">
        <v>234.19</v>
      </c>
      <c r="G49">
        <v>173.37</v>
      </c>
      <c r="H49">
        <v>234.16658100000001</v>
      </c>
      <c r="I49">
        <v>173.387337</v>
      </c>
      <c r="J49">
        <v>3.5816792372259179</v>
      </c>
      <c r="K49">
        <v>1.22062181863135</v>
      </c>
      <c r="L49">
        <v>-427.00371493231989</v>
      </c>
      <c r="M49">
        <v>704.05596044952961</v>
      </c>
      <c r="N49" t="s">
        <v>30</v>
      </c>
      <c r="O49" s="54">
        <f>(Table8[[#This Row],[exit_timestamp]]-Table8[[#This Row],[entry_timestamp]])*1440</f>
        <v>1.9999999855645001</v>
      </c>
      <c r="P49" t="s">
        <v>31</v>
      </c>
      <c r="Q49">
        <v>64784</v>
      </c>
      <c r="R49" s="25">
        <v>46113.805555555547</v>
      </c>
      <c r="S49">
        <v>234.19</v>
      </c>
      <c r="T49">
        <v>173.81</v>
      </c>
      <c r="U49">
        <v>0.11875678851728751</v>
      </c>
      <c r="V49">
        <v>309.78462259779138</v>
      </c>
      <c r="W49">
        <v>265.34120776291468</v>
      </c>
      <c r="X49">
        <v>0</v>
      </c>
      <c r="Y49">
        <v>11.310596753818499</v>
      </c>
      <c r="Z49">
        <v>254.03061100909619</v>
      </c>
      <c r="AA49">
        <v>6</v>
      </c>
      <c r="AB49">
        <v>0</v>
      </c>
      <c r="AC49" t="str">
        <f>TEXT(E49,"dddd")</f>
        <v>Wednesday</v>
      </c>
      <c r="AD49" s="25">
        <f>INT(E49)+TIME(14,30,0)</f>
        <v>46113.604166666664</v>
      </c>
      <c r="AE49" s="54">
        <f>(E49-AD49)*1440</f>
        <v>288.00000000628643</v>
      </c>
    </row>
    <row r="50" spans="1:31">
      <c r="A50">
        <v>10</v>
      </c>
      <c r="B50" t="s">
        <v>33</v>
      </c>
      <c r="C50" t="s">
        <v>29</v>
      </c>
      <c r="D50">
        <v>65579</v>
      </c>
      <c r="E50" s="52">
        <v>46118.8125</v>
      </c>
      <c r="F50">
        <v>241.45</v>
      </c>
      <c r="G50">
        <v>176.55</v>
      </c>
      <c r="H50">
        <v>241.47414499999999</v>
      </c>
      <c r="I50">
        <v>176.53234499999999</v>
      </c>
      <c r="J50">
        <v>-3.7413072562041538</v>
      </c>
      <c r="K50">
        <v>1.22062181863135</v>
      </c>
      <c r="L50">
        <v>414.16442327604062</v>
      </c>
      <c r="M50">
        <v>-691.37457866403258</v>
      </c>
      <c r="N50" t="s">
        <v>32</v>
      </c>
      <c r="O50" s="54">
        <f>(Table8[[#This Row],[exit_timestamp]]-Table8[[#This Row],[entry_timestamp]])*1440</f>
        <v>31.000000006752089</v>
      </c>
      <c r="P50" t="s">
        <v>31</v>
      </c>
      <c r="Q50">
        <v>65610</v>
      </c>
      <c r="R50" s="25">
        <v>46118.834027777782</v>
      </c>
      <c r="S50">
        <v>241.24</v>
      </c>
      <c r="T50">
        <v>176.43</v>
      </c>
      <c r="U50">
        <v>-2.00300215879562E-2</v>
      </c>
      <c r="V50">
        <v>-4.0095794482730014</v>
      </c>
      <c r="W50">
        <v>-48.405021873057578</v>
      </c>
      <c r="X50">
        <v>0</v>
      </c>
      <c r="Y50">
        <v>11.055390019400731</v>
      </c>
      <c r="Z50">
        <v>-59.46041189245831</v>
      </c>
      <c r="AA50">
        <v>0</v>
      </c>
      <c r="AB50">
        <v>1</v>
      </c>
      <c r="AC50" t="str">
        <f>TEXT(E50,"dddd")</f>
        <v>Monday</v>
      </c>
      <c r="AD50" s="25">
        <f>INT(E50)+TIME(14,30,0)</f>
        <v>46118.604166666664</v>
      </c>
      <c r="AE50" s="54">
        <f>(E50-AD50)*1440</f>
        <v>300.00000000349246</v>
      </c>
    </row>
    <row r="51" spans="1:31">
      <c r="A51">
        <v>10</v>
      </c>
      <c r="B51" t="s">
        <v>33</v>
      </c>
      <c r="C51" t="s">
        <v>29</v>
      </c>
      <c r="D51">
        <v>65670</v>
      </c>
      <c r="E51" s="49">
        <v>46119.604861111111</v>
      </c>
      <c r="F51">
        <v>242.74</v>
      </c>
      <c r="G51">
        <v>173.61500000000001</v>
      </c>
      <c r="H51">
        <v>242.71572599999999</v>
      </c>
      <c r="I51">
        <v>173.6323615</v>
      </c>
      <c r="J51">
        <v>3.5116198824709142</v>
      </c>
      <c r="K51">
        <v>1.22062181863135</v>
      </c>
      <c r="L51">
        <v>-411.9634176485128</v>
      </c>
      <c r="M51">
        <v>703.06241893347317</v>
      </c>
      <c r="N51" t="s">
        <v>30</v>
      </c>
      <c r="O51" s="54">
        <f>(Table8[[#This Row],[exit_timestamp]]-Table8[[#This Row],[entry_timestamp]])*1440</f>
        <v>4.9999999953433871</v>
      </c>
      <c r="P51" t="s">
        <v>31</v>
      </c>
      <c r="Q51">
        <v>65675</v>
      </c>
      <c r="R51" s="25">
        <v>46119.60833333333</v>
      </c>
      <c r="S51">
        <v>242.74</v>
      </c>
      <c r="T51">
        <v>176.41</v>
      </c>
      <c r="U51">
        <v>0.4348610412770586</v>
      </c>
      <c r="V51">
        <v>1965.0594609190489</v>
      </c>
      <c r="W51">
        <v>1920.4505186003439</v>
      </c>
      <c r="X51">
        <v>0</v>
      </c>
      <c r="Y51">
        <v>11.150258365819861</v>
      </c>
      <c r="Z51">
        <v>1909.3002602345241</v>
      </c>
      <c r="AA51">
        <v>5</v>
      </c>
      <c r="AB51">
        <v>0</v>
      </c>
      <c r="AC51" t="str">
        <f>TEXT(E51,"dddd")</f>
        <v>Tuesday</v>
      </c>
      <c r="AD51" s="25">
        <f>INT(E51)+TIME(14,30,0)</f>
        <v>46119.604166666664</v>
      </c>
      <c r="AE51" s="54">
        <f>(E51-AD51)*1440</f>
        <v>1.000000003259629</v>
      </c>
    </row>
    <row r="52" spans="1:31">
      <c r="A52">
        <v>10</v>
      </c>
      <c r="B52" t="s">
        <v>33</v>
      </c>
      <c r="C52" t="s">
        <v>29</v>
      </c>
      <c r="D52">
        <v>66064</v>
      </c>
      <c r="E52" s="49">
        <v>46120.604861111111</v>
      </c>
      <c r="F52">
        <v>231.02</v>
      </c>
      <c r="G52">
        <v>164.185</v>
      </c>
      <c r="H52">
        <v>230.99689799999999</v>
      </c>
      <c r="I52">
        <v>164.20141849999999</v>
      </c>
      <c r="J52">
        <v>3.977296543813265</v>
      </c>
      <c r="K52">
        <v>1.22062181863135</v>
      </c>
      <c r="L52">
        <v>-432.86295558826072</v>
      </c>
      <c r="M52">
        <v>743.44295680564585</v>
      </c>
      <c r="N52" t="s">
        <v>30</v>
      </c>
      <c r="O52" s="54">
        <f>(Table8[[#This Row],[exit_timestamp]]-Table8[[#This Row],[entry_timestamp]])*1440</f>
        <v>7.0000000018626451</v>
      </c>
      <c r="P52" t="s">
        <v>31</v>
      </c>
      <c r="Q52">
        <v>66071</v>
      </c>
      <c r="R52" s="25">
        <v>46120.609722222223</v>
      </c>
      <c r="S52">
        <v>229.73500000000001</v>
      </c>
      <c r="T52">
        <v>165.06</v>
      </c>
      <c r="U52">
        <v>-0.44118600517265599</v>
      </c>
      <c r="V52">
        <v>1206.741485135854</v>
      </c>
      <c r="W52">
        <v>1162.3196203943151</v>
      </c>
      <c r="X52">
        <v>0</v>
      </c>
      <c r="Y52">
        <v>11.763059123939071</v>
      </c>
      <c r="Z52">
        <v>1150.5565612703761</v>
      </c>
      <c r="AA52">
        <v>0</v>
      </c>
      <c r="AB52">
        <v>0</v>
      </c>
      <c r="AC52" t="str">
        <f>TEXT(E52,"dddd")</f>
        <v>Wednesday</v>
      </c>
      <c r="AD52" s="25">
        <f>INT(E52)+TIME(14,30,0)</f>
        <v>46120.604166666664</v>
      </c>
      <c r="AE52" s="54">
        <f>(E52-AD52)*1440</f>
        <v>1.000000003259629</v>
      </c>
    </row>
    <row r="53" spans="1:31">
      <c r="A53">
        <v>10</v>
      </c>
      <c r="B53" t="s">
        <v>33</v>
      </c>
      <c r="C53" t="s">
        <v>29</v>
      </c>
      <c r="D53">
        <v>66820</v>
      </c>
      <c r="E53" s="51">
        <v>46121.857638888891</v>
      </c>
      <c r="F53">
        <v>223.8</v>
      </c>
      <c r="G53">
        <v>160.91</v>
      </c>
      <c r="H53">
        <v>223.77762000000001</v>
      </c>
      <c r="I53">
        <v>160.92609100000001</v>
      </c>
      <c r="J53">
        <v>4.0550521074447063</v>
      </c>
      <c r="K53">
        <v>1.22062181863135</v>
      </c>
      <c r="L53">
        <v>-446.82752457551379</v>
      </c>
      <c r="M53">
        <v>758.57424562261485</v>
      </c>
      <c r="N53" t="s">
        <v>30</v>
      </c>
      <c r="O53" s="54">
        <f>(Table8[[#This Row],[exit_timestamp]]-Table8[[#This Row],[entry_timestamp]])*1440</f>
        <v>13.999999993247911</v>
      </c>
      <c r="P53" t="s">
        <v>31</v>
      </c>
      <c r="Q53">
        <v>66834</v>
      </c>
      <c r="R53" s="25">
        <v>46121.867361111108</v>
      </c>
      <c r="S53">
        <v>222.64500000000001</v>
      </c>
      <c r="T53">
        <v>160.41499999999999</v>
      </c>
      <c r="U53">
        <v>0.44230668871079287</v>
      </c>
      <c r="V53">
        <v>140.59153930152121</v>
      </c>
      <c r="W53">
        <v>96.268260933147758</v>
      </c>
      <c r="X53">
        <v>0</v>
      </c>
      <c r="Y53">
        <v>12.054017701981291</v>
      </c>
      <c r="Z53">
        <v>84.214243231166478</v>
      </c>
      <c r="AA53">
        <v>1</v>
      </c>
      <c r="AB53">
        <v>0</v>
      </c>
      <c r="AC53" t="str">
        <f>TEXT(E53,"dddd")</f>
        <v>Thursday</v>
      </c>
      <c r="AD53" s="25">
        <f>INT(E53)+TIME(14,30,0)</f>
        <v>46121.604166666664</v>
      </c>
      <c r="AE53" s="54">
        <f>(E53-AD53)*1440</f>
        <v>365.00000000582077</v>
      </c>
    </row>
    <row r="54" spans="1:31">
      <c r="A54">
        <v>10</v>
      </c>
      <c r="B54" t="s">
        <v>33</v>
      </c>
      <c r="C54" t="s">
        <v>29</v>
      </c>
      <c r="D54">
        <v>66845</v>
      </c>
      <c r="E54" s="49">
        <v>46122.604166666657</v>
      </c>
      <c r="F54">
        <v>221.54</v>
      </c>
      <c r="G54">
        <v>160.94</v>
      </c>
      <c r="H54">
        <v>221.56215399999999</v>
      </c>
      <c r="I54">
        <v>160.92390599999999</v>
      </c>
      <c r="J54">
        <v>-3.8854422184584951</v>
      </c>
      <c r="K54">
        <v>1.22062181863135</v>
      </c>
      <c r="L54">
        <v>451.38575426559538</v>
      </c>
      <c r="M54">
        <v>-758.43284368792695</v>
      </c>
      <c r="N54" t="s">
        <v>32</v>
      </c>
      <c r="O54" s="54">
        <f>(Table8[[#This Row],[exit_timestamp]]-Table8[[#This Row],[entry_timestamp]])*1440</f>
        <v>15.000000027939677</v>
      </c>
      <c r="P54" t="s">
        <v>31</v>
      </c>
      <c r="Q54">
        <v>66860</v>
      </c>
      <c r="R54" s="25">
        <v>46122.614583333343</v>
      </c>
      <c r="S54">
        <v>221.565</v>
      </c>
      <c r="T54">
        <v>160.62</v>
      </c>
      <c r="U54">
        <v>-0.48827037235655152</v>
      </c>
      <c r="V54">
        <v>253.98315383677391</v>
      </c>
      <c r="W54">
        <v>209.59385885075051</v>
      </c>
      <c r="X54">
        <v>0</v>
      </c>
      <c r="Y54">
        <v>12.09818597953522</v>
      </c>
      <c r="Z54">
        <v>197.49567287121531</v>
      </c>
      <c r="AA54">
        <v>2</v>
      </c>
      <c r="AB54">
        <v>0</v>
      </c>
      <c r="AC54" t="str">
        <f>TEXT(E54,"dddd")</f>
        <v>Friday</v>
      </c>
      <c r="AD54" s="25">
        <f>INT(E54)+TIME(14,30,0)</f>
        <v>46122.604166666664</v>
      </c>
      <c r="AE54" s="54">
        <f>(E54-AD54)*1440</f>
        <v>-1.0477378964424133E-8</v>
      </c>
    </row>
    <row r="55" spans="1:31">
      <c r="A55">
        <v>11</v>
      </c>
      <c r="B55" t="s">
        <v>36</v>
      </c>
      <c r="C55" t="s">
        <v>29</v>
      </c>
      <c r="D55">
        <v>67195</v>
      </c>
      <c r="E55" s="51">
        <v>46122.847222222219</v>
      </c>
      <c r="F55">
        <v>187.9</v>
      </c>
      <c r="G55">
        <v>158.25</v>
      </c>
      <c r="H55">
        <v>187.88121000000001</v>
      </c>
      <c r="I55">
        <v>158.26582500000001</v>
      </c>
      <c r="J55">
        <v>3.744955882909248</v>
      </c>
      <c r="K55">
        <v>0.77505102113738866</v>
      </c>
      <c r="L55">
        <v>-532.19797764768498</v>
      </c>
      <c r="M55">
        <v>489.76367844384748</v>
      </c>
      <c r="N55" t="s">
        <v>30</v>
      </c>
      <c r="O55" s="54">
        <f>(Table8[[#This Row],[exit_timestamp]]-Table8[[#This Row],[entry_timestamp]])*1440</f>
        <v>9.9999999906867743</v>
      </c>
      <c r="P55" t="s">
        <v>31</v>
      </c>
      <c r="Q55">
        <v>67205</v>
      </c>
      <c r="R55" s="25">
        <v>46122.854166666657</v>
      </c>
      <c r="S55">
        <v>188.05500000000001</v>
      </c>
      <c r="T55">
        <v>158.6</v>
      </c>
      <c r="U55">
        <v>0.44766662113387379</v>
      </c>
      <c r="V55">
        <v>88.926600919952051</v>
      </c>
      <c r="W55">
        <v>53.400189699810568</v>
      </c>
      <c r="X55">
        <v>0</v>
      </c>
      <c r="Y55">
        <v>10.21961656091532</v>
      </c>
      <c r="Z55">
        <v>43.180573138895241</v>
      </c>
      <c r="AA55">
        <v>0</v>
      </c>
      <c r="AB55">
        <v>0</v>
      </c>
      <c r="AC55" t="str">
        <f>TEXT(E55,"dddd")</f>
        <v>Friday</v>
      </c>
      <c r="AD55" s="25">
        <f>INT(E55)+TIME(14,30,0)</f>
        <v>46122.604166666664</v>
      </c>
      <c r="AE55" s="54">
        <f>(E55-AD55)*1440</f>
        <v>349.99999999883585</v>
      </c>
    </row>
    <row r="56" spans="1:31">
      <c r="A56">
        <v>11</v>
      </c>
      <c r="B56" t="s">
        <v>36</v>
      </c>
      <c r="C56" t="s">
        <v>29</v>
      </c>
      <c r="D56">
        <v>67243</v>
      </c>
      <c r="E56" s="49">
        <v>46125.606944444437</v>
      </c>
      <c r="F56">
        <v>191.30500000000001</v>
      </c>
      <c r="G56">
        <v>160.69999999999999</v>
      </c>
      <c r="H56">
        <v>191.28586949999999</v>
      </c>
      <c r="I56">
        <v>160.71607</v>
      </c>
      <c r="J56">
        <v>3.5145051363200022</v>
      </c>
      <c r="K56">
        <v>0.77505102113738866</v>
      </c>
      <c r="L56">
        <v>-522.72549070855439</v>
      </c>
      <c r="M56">
        <v>482.29683953788958</v>
      </c>
      <c r="N56" t="s">
        <v>30</v>
      </c>
      <c r="O56" s="54">
        <f>(Table8[[#This Row],[exit_timestamp]]-Table8[[#This Row],[entry_timestamp]])*1440</f>
        <v>17.000000013504177</v>
      </c>
      <c r="P56" t="s">
        <v>31</v>
      </c>
      <c r="Q56">
        <v>67260</v>
      </c>
      <c r="R56" s="25">
        <v>46125.618750000001</v>
      </c>
      <c r="S56">
        <v>191.36</v>
      </c>
      <c r="T56">
        <v>160.27000000000001</v>
      </c>
      <c r="U56">
        <v>0.37838138244659469</v>
      </c>
      <c r="V56">
        <v>-236.13754299025621</v>
      </c>
      <c r="W56">
        <v>-271.62069963909511</v>
      </c>
      <c r="X56">
        <v>0</v>
      </c>
      <c r="Y56">
        <v>10.05022330246444</v>
      </c>
      <c r="Z56">
        <v>-281.67092294155952</v>
      </c>
      <c r="AA56">
        <v>0</v>
      </c>
      <c r="AB56">
        <v>5</v>
      </c>
      <c r="AC56" t="str">
        <f>TEXT(E56,"dddd")</f>
        <v>Monday</v>
      </c>
      <c r="AD56" s="25">
        <f>INT(E56)+TIME(14,30,0)</f>
        <v>46125.604166666664</v>
      </c>
      <c r="AE56" s="54">
        <f>(E56-AD56)*1440</f>
        <v>3.9999999920837581</v>
      </c>
    </row>
    <row r="57" spans="1:31">
      <c r="A57">
        <v>11</v>
      </c>
      <c r="B57" t="s">
        <v>36</v>
      </c>
      <c r="C57" t="s">
        <v>29</v>
      </c>
      <c r="D57">
        <v>68026</v>
      </c>
      <c r="E57" s="49">
        <v>46127.607638888891</v>
      </c>
      <c r="F57">
        <v>185.79</v>
      </c>
      <c r="G57">
        <v>158.87</v>
      </c>
      <c r="H57">
        <v>185.80857900000001</v>
      </c>
      <c r="I57">
        <v>158.85411300000001</v>
      </c>
      <c r="J57">
        <v>-3.7693569611492679</v>
      </c>
      <c r="K57">
        <v>0.77505102113738866</v>
      </c>
      <c r="L57">
        <v>538.24210129716346</v>
      </c>
      <c r="M57">
        <v>-487.85234540025709</v>
      </c>
      <c r="N57" t="s">
        <v>32</v>
      </c>
      <c r="O57" s="54">
        <f>(Table8[[#This Row],[exit_timestamp]]-Table8[[#This Row],[entry_timestamp]])*1440</f>
        <v>8.9999999979045242</v>
      </c>
      <c r="P57" t="s">
        <v>31</v>
      </c>
      <c r="Q57">
        <v>68035</v>
      </c>
      <c r="R57" s="25">
        <v>46127.613888888889</v>
      </c>
      <c r="S57">
        <v>185.59</v>
      </c>
      <c r="T57">
        <v>157.69</v>
      </c>
      <c r="U57">
        <v>-3.7332069645306262E-2</v>
      </c>
      <c r="V57">
        <v>468.01734731288019</v>
      </c>
      <c r="W57">
        <v>432.58465830891708</v>
      </c>
      <c r="X57">
        <v>0</v>
      </c>
      <c r="Y57">
        <v>10.260944466974211</v>
      </c>
      <c r="Z57">
        <v>422.32371384194289</v>
      </c>
      <c r="AA57">
        <v>0</v>
      </c>
      <c r="AB57">
        <v>0</v>
      </c>
      <c r="AC57" t="str">
        <f>TEXT(E57,"dddd")</f>
        <v>Wednesday</v>
      </c>
      <c r="AD57" s="25">
        <f>INT(E57)+TIME(14,30,0)</f>
        <v>46127.604166666664</v>
      </c>
      <c r="AE57" s="54">
        <f>(E57-AD57)*1440</f>
        <v>5.0000000058207661</v>
      </c>
    </row>
    <row r="58" spans="1:31">
      <c r="A58">
        <v>11</v>
      </c>
      <c r="B58" t="s">
        <v>36</v>
      </c>
      <c r="C58" t="s">
        <v>29</v>
      </c>
      <c r="D58">
        <v>68807</v>
      </c>
      <c r="E58" s="49">
        <v>46129.604861111111</v>
      </c>
      <c r="F58">
        <v>180.27</v>
      </c>
      <c r="G58">
        <v>157.51</v>
      </c>
      <c r="H58">
        <v>180.288027</v>
      </c>
      <c r="I58">
        <v>157.494249</v>
      </c>
      <c r="J58">
        <v>-4.643654527491635</v>
      </c>
      <c r="K58">
        <v>0.77505102113738866</v>
      </c>
      <c r="L58">
        <v>554.72347035003042</v>
      </c>
      <c r="M58">
        <v>-492.06464423680308</v>
      </c>
      <c r="N58" t="s">
        <v>32</v>
      </c>
      <c r="O58" s="54">
        <f>(Table8[[#This Row],[exit_timestamp]]-Table8[[#This Row],[entry_timestamp]])*1440</f>
        <v>11.000000004423782</v>
      </c>
      <c r="P58" t="s">
        <v>31</v>
      </c>
      <c r="Q58">
        <v>68818</v>
      </c>
      <c r="R58" s="25">
        <v>46129.612500000003</v>
      </c>
      <c r="S58">
        <v>180.73</v>
      </c>
      <c r="T58">
        <v>156.75</v>
      </c>
      <c r="U58">
        <v>-0.41466815833355491</v>
      </c>
      <c r="V58">
        <v>629.14192598096849</v>
      </c>
      <c r="W58">
        <v>593.65278519156868</v>
      </c>
      <c r="X58">
        <v>0</v>
      </c>
      <c r="Y58">
        <v>10.46788114586834</v>
      </c>
      <c r="Z58">
        <v>583.18490404570036</v>
      </c>
      <c r="AA58">
        <v>0</v>
      </c>
      <c r="AB58">
        <v>0</v>
      </c>
      <c r="AC58" t="str">
        <f>TEXT(E58,"dddd")</f>
        <v>Friday</v>
      </c>
      <c r="AD58" s="25">
        <f>INT(E58)+TIME(14,30,0)</f>
        <v>46129.604166666664</v>
      </c>
      <c r="AE58" s="54">
        <f>(E58-AD58)*1440</f>
        <v>1.000000003259629</v>
      </c>
    </row>
    <row r="59" spans="1:31">
      <c r="A59">
        <v>11</v>
      </c>
      <c r="B59" t="s">
        <v>36</v>
      </c>
      <c r="C59" t="s">
        <v>29</v>
      </c>
      <c r="D59">
        <v>69198</v>
      </c>
      <c r="E59" s="49">
        <v>46132.604861111111</v>
      </c>
      <c r="F59">
        <v>184.66</v>
      </c>
      <c r="G59">
        <v>155.86000000000001</v>
      </c>
      <c r="H59">
        <v>184.64153400000001</v>
      </c>
      <c r="I59">
        <v>155.875586</v>
      </c>
      <c r="J59">
        <v>3.5344591920289221</v>
      </c>
      <c r="K59">
        <v>0.77505102113738866</v>
      </c>
      <c r="L59">
        <v>-541.53579551608357</v>
      </c>
      <c r="M59">
        <v>497.27384905517039</v>
      </c>
      <c r="N59" t="s">
        <v>30</v>
      </c>
      <c r="O59" s="54">
        <f>(Table8[[#This Row],[exit_timestamp]]-Table8[[#This Row],[entry_timestamp]])*1440</f>
        <v>2.9999999888241291</v>
      </c>
      <c r="P59" t="s">
        <v>31</v>
      </c>
      <c r="Q59">
        <v>69201</v>
      </c>
      <c r="R59" s="25">
        <v>46132.606944444437</v>
      </c>
      <c r="S59">
        <v>183.98</v>
      </c>
      <c r="T59">
        <v>156.06</v>
      </c>
      <c r="U59">
        <v>-6.9036553120464111E-2</v>
      </c>
      <c r="V59">
        <v>467.69911076196888</v>
      </c>
      <c r="W59">
        <v>432.22496929635798</v>
      </c>
      <c r="X59">
        <v>0</v>
      </c>
      <c r="Y59">
        <v>10.38809644571254</v>
      </c>
      <c r="Z59">
        <v>421.83687285064542</v>
      </c>
      <c r="AA59">
        <v>0</v>
      </c>
      <c r="AB59">
        <v>2</v>
      </c>
      <c r="AC59" t="str">
        <f>TEXT(E59,"dddd")</f>
        <v>Monday</v>
      </c>
      <c r="AD59" s="25">
        <f>INT(E59)+TIME(14,30,0)</f>
        <v>46132.604166666664</v>
      </c>
      <c r="AE59" s="54">
        <f>(E59-AD59)*1440</f>
        <v>1.000000003259629</v>
      </c>
    </row>
    <row r="60" spans="1:31">
      <c r="A60">
        <v>11</v>
      </c>
      <c r="B60" t="s">
        <v>36</v>
      </c>
      <c r="C60" t="s">
        <v>29</v>
      </c>
      <c r="D60">
        <v>69297</v>
      </c>
      <c r="E60" s="52">
        <v>46132.673611111109</v>
      </c>
      <c r="F60">
        <v>184.97</v>
      </c>
      <c r="G60">
        <v>156.69</v>
      </c>
      <c r="H60">
        <v>184.988497</v>
      </c>
      <c r="I60">
        <v>156.674331</v>
      </c>
      <c r="J60">
        <v>-3.614624488690819</v>
      </c>
      <c r="K60">
        <v>0.77505102113738866</v>
      </c>
      <c r="L60">
        <v>540.62820997999677</v>
      </c>
      <c r="M60">
        <v>-494.63974799756761</v>
      </c>
      <c r="N60" t="s">
        <v>32</v>
      </c>
      <c r="O60" s="54">
        <f>(Table8[[#This Row],[exit_timestamp]]-Table8[[#This Row],[entry_timestamp]])*1440</f>
        <v>21.000000005587935</v>
      </c>
      <c r="P60" t="s">
        <v>31</v>
      </c>
      <c r="Q60">
        <v>69318</v>
      </c>
      <c r="R60" s="25">
        <v>46132.688194444447</v>
      </c>
      <c r="S60">
        <v>184.42</v>
      </c>
      <c r="T60">
        <v>156.27500000000001</v>
      </c>
      <c r="U60">
        <v>-0.43904363960664139</v>
      </c>
      <c r="V60">
        <v>-92.070020070017762</v>
      </c>
      <c r="W60">
        <v>-127.52077839166731</v>
      </c>
      <c r="X60">
        <v>0</v>
      </c>
      <c r="Y60">
        <v>10.352679579775639</v>
      </c>
      <c r="Z60">
        <v>-137.87345797144289</v>
      </c>
      <c r="AA60">
        <v>0</v>
      </c>
      <c r="AB60">
        <v>2</v>
      </c>
      <c r="AC60" t="str">
        <f>TEXT(E60,"dddd")</f>
        <v>Monday</v>
      </c>
      <c r="AD60" s="25">
        <f>INT(E60)+TIME(14,30,0)</f>
        <v>46132.604166666664</v>
      </c>
      <c r="AE60" s="54">
        <f>(E60-AD60)*1440</f>
        <v>100.00000000116415</v>
      </c>
    </row>
    <row r="61" spans="1:31">
      <c r="A61">
        <v>11</v>
      </c>
      <c r="B61" t="s">
        <v>36</v>
      </c>
      <c r="C61" t="s">
        <v>29</v>
      </c>
      <c r="D61">
        <v>69977</v>
      </c>
      <c r="E61" s="49">
        <v>46134.604166666657</v>
      </c>
      <c r="F61">
        <v>188.505</v>
      </c>
      <c r="G61">
        <v>160.80000000000001</v>
      </c>
      <c r="H61">
        <v>188.48614950000001</v>
      </c>
      <c r="I61">
        <v>160.81608</v>
      </c>
      <c r="J61">
        <v>3.791539733503182</v>
      </c>
      <c r="K61">
        <v>0.77505102113738866</v>
      </c>
      <c r="L61">
        <v>-530.48990742951116</v>
      </c>
      <c r="M61">
        <v>481.99690369240579</v>
      </c>
      <c r="N61" t="s">
        <v>30</v>
      </c>
      <c r="O61" s="54">
        <f>(Table8[[#This Row],[exit_timestamp]]-Table8[[#This Row],[entry_timestamp]])*1440</f>
        <v>18.000000016763806</v>
      </c>
      <c r="P61" t="s">
        <v>31</v>
      </c>
      <c r="Q61">
        <v>69995</v>
      </c>
      <c r="R61" s="25">
        <v>46134.616666666669</v>
      </c>
      <c r="S61">
        <v>188.34</v>
      </c>
      <c r="T61">
        <v>160.86500000000001</v>
      </c>
      <c r="U61">
        <v>0.45065044984552988</v>
      </c>
      <c r="V61">
        <v>118.86063346587039</v>
      </c>
      <c r="W61">
        <v>83.36523314673579</v>
      </c>
      <c r="X61">
        <v>0</v>
      </c>
      <c r="Y61">
        <v>10.12486811121917</v>
      </c>
      <c r="Z61">
        <v>73.240365035516618</v>
      </c>
      <c r="AA61">
        <v>0</v>
      </c>
      <c r="AB61">
        <v>0</v>
      </c>
      <c r="AC61" t="str">
        <f>TEXT(E61,"dddd")</f>
        <v>Wednesday</v>
      </c>
      <c r="AD61" s="25">
        <f>INT(E61)+TIME(14,30,0)</f>
        <v>46134.604166666664</v>
      </c>
      <c r="AE61" s="54">
        <f>(E61-AD61)*1440</f>
        <v>-1.0477378964424133E-8</v>
      </c>
    </row>
    <row r="62" spans="1:31">
      <c r="A62">
        <v>11</v>
      </c>
      <c r="B62" t="s">
        <v>36</v>
      </c>
      <c r="C62" t="s">
        <v>29</v>
      </c>
      <c r="D62">
        <v>70362</v>
      </c>
      <c r="E62" s="51">
        <v>46134.871527777781</v>
      </c>
      <c r="F62">
        <v>186.215</v>
      </c>
      <c r="G62">
        <v>160.78</v>
      </c>
      <c r="H62">
        <v>186.2336215</v>
      </c>
      <c r="I62">
        <v>160.76392200000001</v>
      </c>
      <c r="J62">
        <v>-3.525270393669647</v>
      </c>
      <c r="K62">
        <v>0.77505102113738866</v>
      </c>
      <c r="L62">
        <v>537.01366699782511</v>
      </c>
      <c r="M62">
        <v>-482.05686101342741</v>
      </c>
      <c r="N62" t="s">
        <v>32</v>
      </c>
      <c r="O62" s="54">
        <f>(Table8[[#This Row],[exit_timestamp]]-Table8[[#This Row],[entry_timestamp]])*1440</f>
        <v>1056.9999999983702</v>
      </c>
      <c r="P62" t="s">
        <v>31</v>
      </c>
      <c r="Q62">
        <v>70370</v>
      </c>
      <c r="R62" s="25">
        <v>46135.605555555558</v>
      </c>
      <c r="S62">
        <v>187.8</v>
      </c>
      <c r="T62">
        <v>162.05000000000001</v>
      </c>
      <c r="U62">
        <v>-0.19480948541043649</v>
      </c>
      <c r="V62">
        <v>238.9544487044993</v>
      </c>
      <c r="W62">
        <v>203.30709039420111</v>
      </c>
      <c r="X62">
        <v>0</v>
      </c>
      <c r="Y62">
        <v>10.190705280112519</v>
      </c>
      <c r="Z62">
        <v>193.1163851140885</v>
      </c>
      <c r="AA62">
        <v>0</v>
      </c>
      <c r="AB62">
        <v>1</v>
      </c>
      <c r="AC62" t="str">
        <f>TEXT(E62,"dddd")</f>
        <v>Wednesday</v>
      </c>
      <c r="AD62" s="25">
        <f>INT(E62)+TIME(14,30,0)</f>
        <v>46134.604166666664</v>
      </c>
      <c r="AE62" s="54">
        <f>(E62-AD62)*1440</f>
        <v>385.00000000814907</v>
      </c>
    </row>
    <row r="63" spans="1:31">
      <c r="A63">
        <v>11</v>
      </c>
      <c r="B63" t="s">
        <v>36</v>
      </c>
      <c r="C63" t="s">
        <v>29</v>
      </c>
      <c r="D63">
        <v>70759</v>
      </c>
      <c r="E63" s="49">
        <v>46136.604861111111</v>
      </c>
      <c r="F63">
        <v>185.9</v>
      </c>
      <c r="G63">
        <v>160.64500000000001</v>
      </c>
      <c r="H63">
        <v>185.91858999999999</v>
      </c>
      <c r="I63">
        <v>160.62893550000001</v>
      </c>
      <c r="J63">
        <v>-4.2259717300797286</v>
      </c>
      <c r="K63">
        <v>0.77505102113738866</v>
      </c>
      <c r="L63">
        <v>537.92361484669175</v>
      </c>
      <c r="M63">
        <v>-482.46196342082771</v>
      </c>
      <c r="N63" t="s">
        <v>32</v>
      </c>
      <c r="O63" s="54">
        <f>(Table8[[#This Row],[exit_timestamp]]-Table8[[#This Row],[entry_timestamp]])*1440</f>
        <v>22.999999991152436</v>
      </c>
      <c r="P63" t="s">
        <v>31</v>
      </c>
      <c r="Q63">
        <v>70782</v>
      </c>
      <c r="R63" s="25">
        <v>46136.620833333327</v>
      </c>
      <c r="S63">
        <v>185.69</v>
      </c>
      <c r="T63">
        <v>161.36500000000001</v>
      </c>
      <c r="U63">
        <v>-0.40759844401976503</v>
      </c>
      <c r="V63">
        <v>-460.33657278080489</v>
      </c>
      <c r="W63">
        <v>-495.86103406898673</v>
      </c>
      <c r="X63">
        <v>0</v>
      </c>
      <c r="Y63">
        <v>10.203855782675189</v>
      </c>
      <c r="Z63">
        <v>-506.06488985166192</v>
      </c>
      <c r="AA63">
        <v>0</v>
      </c>
      <c r="AB63">
        <v>1</v>
      </c>
      <c r="AC63" t="str">
        <f>TEXT(E63,"dddd")</f>
        <v>Friday</v>
      </c>
      <c r="AD63" s="25">
        <f>INT(E63)+TIME(14,30,0)</f>
        <v>46136.604166666664</v>
      </c>
      <c r="AE63" s="54">
        <f>(E63-AD63)*1440</f>
        <v>1.000000003259629</v>
      </c>
    </row>
    <row r="64" spans="1:31">
      <c r="A64">
        <v>12</v>
      </c>
      <c r="B64" t="s">
        <v>36</v>
      </c>
      <c r="C64" t="s">
        <v>29</v>
      </c>
      <c r="D64">
        <v>71148</v>
      </c>
      <c r="E64" s="49">
        <v>46139.604166666657</v>
      </c>
      <c r="F64">
        <v>186.99</v>
      </c>
      <c r="G64">
        <v>163.61500000000001</v>
      </c>
      <c r="H64">
        <v>186.97130100000001</v>
      </c>
      <c r="I64">
        <v>163.6313615</v>
      </c>
      <c r="J64">
        <v>4.5965719261675861</v>
      </c>
      <c r="K64">
        <v>0.71286785798619834</v>
      </c>
      <c r="L64">
        <v>-534.78795657521789</v>
      </c>
      <c r="M64">
        <v>435.69835160969251</v>
      </c>
      <c r="N64" t="s">
        <v>30</v>
      </c>
      <c r="O64" s="54">
        <f>(Table8[[#This Row],[exit_timestamp]]-Table8[[#This Row],[entry_timestamp]])*1440</f>
        <v>5.0000000162981451</v>
      </c>
      <c r="P64" t="s">
        <v>31</v>
      </c>
      <c r="Q64">
        <v>71153</v>
      </c>
      <c r="R64" s="25">
        <v>46139.607638888891</v>
      </c>
      <c r="S64">
        <v>187.24</v>
      </c>
      <c r="T64">
        <v>165.23500000000001</v>
      </c>
      <c r="U64">
        <v>0.29119212302244563</v>
      </c>
      <c r="V64">
        <v>572.13434046389932</v>
      </c>
      <c r="W64">
        <v>537.7930304723086</v>
      </c>
      <c r="X64">
        <v>0</v>
      </c>
      <c r="Y64">
        <v>9.7048630818491048</v>
      </c>
      <c r="Z64">
        <v>528.08816739045949</v>
      </c>
      <c r="AA64">
        <v>0</v>
      </c>
      <c r="AB64">
        <v>1</v>
      </c>
      <c r="AC64" t="str">
        <f>TEXT(E64,"dddd")</f>
        <v>Monday</v>
      </c>
      <c r="AD64" s="25">
        <f>INT(E64)+TIME(14,30,0)</f>
        <v>46139.604166666664</v>
      </c>
      <c r="AE64" s="54">
        <f>(E64-AD64)*1440</f>
        <v>-1.0477378964424133E-8</v>
      </c>
    </row>
    <row r="65" spans="1:34">
      <c r="A65">
        <v>12</v>
      </c>
      <c r="B65" t="s">
        <v>36</v>
      </c>
      <c r="C65" t="s">
        <v>29</v>
      </c>
      <c r="D65">
        <v>71418</v>
      </c>
      <c r="E65" s="52">
        <v>46139.791666666657</v>
      </c>
      <c r="F65">
        <v>184.05</v>
      </c>
      <c r="G65">
        <v>164.35</v>
      </c>
      <c r="H65">
        <v>184.03159500000001</v>
      </c>
      <c r="I65">
        <v>164.366435</v>
      </c>
      <c r="J65">
        <v>4.0839952032515781</v>
      </c>
      <c r="K65">
        <v>0.71286785798619834</v>
      </c>
      <c r="L65">
        <v>-543.33061668024993</v>
      </c>
      <c r="M65">
        <v>433.74983753343378</v>
      </c>
      <c r="N65" t="s">
        <v>30</v>
      </c>
      <c r="O65" s="54">
        <f>(Table8[[#This Row],[exit_timestamp]]-Table8[[#This Row],[entry_timestamp]])*1440</f>
        <v>43.0000000144355</v>
      </c>
      <c r="P65" t="s">
        <v>31</v>
      </c>
      <c r="Q65">
        <v>71461</v>
      </c>
      <c r="R65" s="25">
        <v>46139.821527777778</v>
      </c>
      <c r="S65">
        <v>185.59</v>
      </c>
      <c r="T65">
        <v>165.08</v>
      </c>
      <c r="U65">
        <v>0.49262902626480581</v>
      </c>
      <c r="V65">
        <v>-520.09176828816612</v>
      </c>
      <c r="W65">
        <v>-554.46446210100021</v>
      </c>
      <c r="X65">
        <v>0</v>
      </c>
      <c r="Y65">
        <v>9.7708045421368368</v>
      </c>
      <c r="Z65">
        <v>-564.23526664313704</v>
      </c>
      <c r="AA65">
        <v>0</v>
      </c>
      <c r="AB65">
        <v>2</v>
      </c>
      <c r="AC65" t="str">
        <f>TEXT(E65,"dddd")</f>
        <v>Monday</v>
      </c>
      <c r="AD65" s="25">
        <f>INT(E65)+TIME(14,30,0)</f>
        <v>46139.604166666664</v>
      </c>
      <c r="AE65" s="54">
        <f>(E65-AD65)*1440</f>
        <v>269.99999998952262</v>
      </c>
    </row>
    <row r="66" spans="1:34">
      <c r="A66">
        <v>12</v>
      </c>
      <c r="B66" t="s">
        <v>36</v>
      </c>
      <c r="C66" t="s">
        <v>29</v>
      </c>
      <c r="D66">
        <v>72207</v>
      </c>
      <c r="E66" s="25">
        <v>46141.795138888891</v>
      </c>
      <c r="F66">
        <v>191.72</v>
      </c>
      <c r="G66">
        <v>174.39</v>
      </c>
      <c r="H66">
        <v>191.700828</v>
      </c>
      <c r="I66">
        <v>174.40743900000001</v>
      </c>
      <c r="J66">
        <v>3.80701581720102</v>
      </c>
      <c r="K66">
        <v>0.71286785798619834</v>
      </c>
      <c r="L66">
        <v>-521.59399123722096</v>
      </c>
      <c r="M66">
        <v>408.77794482837231</v>
      </c>
      <c r="N66" t="s">
        <v>30</v>
      </c>
      <c r="O66" s="54">
        <f>(Table8[[#This Row],[exit_timestamp]]-Table8[[#This Row],[entry_timestamp]])*1440</f>
        <v>42.999999993480742</v>
      </c>
      <c r="P66" t="s">
        <v>31</v>
      </c>
      <c r="Q66">
        <v>72250</v>
      </c>
      <c r="R66" s="25">
        <v>46141.824999999997</v>
      </c>
      <c r="S66">
        <v>191.16</v>
      </c>
      <c r="T66">
        <v>172.12</v>
      </c>
      <c r="U66">
        <v>0.18707846164989109</v>
      </c>
      <c r="V66">
        <v>-635.83329966755264</v>
      </c>
      <c r="W66">
        <v>-669.96865497028693</v>
      </c>
      <c r="X66">
        <v>0</v>
      </c>
      <c r="Y66">
        <v>9.3037193606559327</v>
      </c>
      <c r="Z66">
        <v>-679.27237433094285</v>
      </c>
      <c r="AA66">
        <v>1</v>
      </c>
      <c r="AB66">
        <v>0</v>
      </c>
      <c r="AC66" t="str">
        <f>TEXT(E66,"dddd")</f>
        <v>Wednesday</v>
      </c>
      <c r="AD66" s="25">
        <f>INT(E66)+TIME(14,30,0)</f>
        <v>46141.604166666664</v>
      </c>
      <c r="AE66" s="54">
        <f>(E66-AD66)*1440</f>
        <v>275.00000000582077</v>
      </c>
    </row>
    <row r="67" spans="1:34">
      <c r="A67">
        <v>12</v>
      </c>
      <c r="B67" t="s">
        <v>36</v>
      </c>
      <c r="C67" t="s">
        <v>29</v>
      </c>
      <c r="D67">
        <v>72322</v>
      </c>
      <c r="E67" s="49">
        <v>46142.604166666657</v>
      </c>
      <c r="F67">
        <v>188.88</v>
      </c>
      <c r="G67">
        <v>172.29499999999999</v>
      </c>
      <c r="H67">
        <v>188.898888</v>
      </c>
      <c r="I67">
        <v>172.2777705</v>
      </c>
      <c r="J67">
        <v>-4.9768744170854129</v>
      </c>
      <c r="K67">
        <v>0.71286785798619834</v>
      </c>
      <c r="L67">
        <v>529.43667937314694</v>
      </c>
      <c r="M67">
        <v>-413.74843030047208</v>
      </c>
      <c r="N67" t="s">
        <v>32</v>
      </c>
      <c r="O67" s="54">
        <f>(Table8[[#This Row],[exit_timestamp]]-Table8[[#This Row],[entry_timestamp]])*1440</f>
        <v>19.000000009546056</v>
      </c>
      <c r="P67" t="s">
        <v>31</v>
      </c>
      <c r="Q67">
        <v>72341</v>
      </c>
      <c r="R67" s="25">
        <v>46142.617361111108</v>
      </c>
      <c r="S67">
        <v>191.97499999999999</v>
      </c>
      <c r="T67">
        <v>175.73</v>
      </c>
      <c r="U67">
        <v>-0.43626969620251582</v>
      </c>
      <c r="V67">
        <v>217.38066457776651</v>
      </c>
      <c r="W67">
        <v>182.81732417997841</v>
      </c>
      <c r="X67">
        <v>0</v>
      </c>
      <c r="Y67">
        <v>9.4318510967361888</v>
      </c>
      <c r="Z67">
        <v>173.3854730832422</v>
      </c>
      <c r="AA67">
        <v>0</v>
      </c>
      <c r="AB67">
        <v>0</v>
      </c>
      <c r="AC67" t="str">
        <f>TEXT(E67,"dddd")</f>
        <v>Thursday</v>
      </c>
      <c r="AD67" s="25">
        <f>INT(E67)+TIME(14,30,0)</f>
        <v>46142.604166666664</v>
      </c>
      <c r="AE67" s="54">
        <f>(E67-AD67)*1440</f>
        <v>-1.0477378964424133E-8</v>
      </c>
      <c r="AH67" t="s">
        <v>282</v>
      </c>
    </row>
    <row r="68" spans="1:34">
      <c r="A68">
        <v>12</v>
      </c>
      <c r="B68" t="s">
        <v>36</v>
      </c>
      <c r="C68" t="s">
        <v>29</v>
      </c>
      <c r="D68">
        <v>72712</v>
      </c>
      <c r="E68" s="49">
        <v>46143.604166666657</v>
      </c>
      <c r="F68">
        <v>191.07</v>
      </c>
      <c r="G68">
        <v>178.46</v>
      </c>
      <c r="H68">
        <v>191.08910700000001</v>
      </c>
      <c r="I68">
        <v>178.44215399999999</v>
      </c>
      <c r="J68">
        <v>-4.1504487831110444</v>
      </c>
      <c r="K68">
        <v>0.71286785798619834</v>
      </c>
      <c r="L68">
        <v>523.36839901606743</v>
      </c>
      <c r="M68">
        <v>-399.45526055485732</v>
      </c>
      <c r="N68" t="s">
        <v>32</v>
      </c>
      <c r="O68" s="54">
        <f>(Table8[[#This Row],[exit_timestamp]]-Table8[[#This Row],[entry_timestamp]])*1440</f>
        <v>2.000000016996637</v>
      </c>
      <c r="P68" t="s">
        <v>31</v>
      </c>
      <c r="Q68">
        <v>72714</v>
      </c>
      <c r="R68" s="25">
        <v>46143.605555555558</v>
      </c>
      <c r="S68">
        <v>193.64</v>
      </c>
      <c r="T68">
        <v>178.32</v>
      </c>
      <c r="U68">
        <v>-3.8092520707320637E-2</v>
      </c>
      <c r="V68">
        <v>1400.980521948976</v>
      </c>
      <c r="W68">
        <v>1366.594251484363</v>
      </c>
      <c r="X68">
        <v>0</v>
      </c>
      <c r="Y68">
        <v>9.228236595709248</v>
      </c>
      <c r="Z68">
        <v>1357.366014888654</v>
      </c>
      <c r="AA68">
        <v>0</v>
      </c>
      <c r="AB68">
        <v>0</v>
      </c>
      <c r="AC68" t="str">
        <f>TEXT(E68,"dddd")</f>
        <v>Friday</v>
      </c>
      <c r="AD68" s="25">
        <f>INT(E68)+TIME(14,30,0)</f>
        <v>46143.604166666664</v>
      </c>
      <c r="AE68" s="54">
        <f>(E68-AD68)*1440</f>
        <v>-1.0477378964424133E-8</v>
      </c>
    </row>
    <row r="69" spans="1:34">
      <c r="A69">
        <v>12</v>
      </c>
      <c r="B69" t="s">
        <v>36</v>
      </c>
      <c r="C69" t="s">
        <v>29</v>
      </c>
      <c r="D69">
        <v>73493</v>
      </c>
      <c r="E69" s="49">
        <v>46147.604861111111</v>
      </c>
      <c r="F69">
        <v>191.09</v>
      </c>
      <c r="G69">
        <v>178.75</v>
      </c>
      <c r="H69">
        <v>191.10910899999999</v>
      </c>
      <c r="I69">
        <v>178.732125</v>
      </c>
      <c r="J69">
        <v>-4.7311466014301384</v>
      </c>
      <c r="K69">
        <v>0.71286785798619834</v>
      </c>
      <c r="L69">
        <v>523.31362185357682</v>
      </c>
      <c r="M69">
        <v>-398.80719327899209</v>
      </c>
      <c r="N69" t="s">
        <v>32</v>
      </c>
      <c r="O69" s="54">
        <f>(Table8[[#This Row],[exit_timestamp]]-Table8[[#This Row],[entry_timestamp]])*1440</f>
        <v>21.999999998370185</v>
      </c>
      <c r="P69" t="s">
        <v>31</v>
      </c>
      <c r="Q69">
        <v>73515</v>
      </c>
      <c r="R69" s="25">
        <v>46147.620138888888</v>
      </c>
      <c r="S69">
        <v>191.61</v>
      </c>
      <c r="T69">
        <v>179.42</v>
      </c>
      <c r="U69">
        <v>5.500716350066992E-2</v>
      </c>
      <c r="V69">
        <v>4.9222638669455696</v>
      </c>
      <c r="W69">
        <v>-29.389025683058971</v>
      </c>
      <c r="X69">
        <v>0</v>
      </c>
      <c r="Y69">
        <v>9.2212081513256887</v>
      </c>
      <c r="Z69">
        <v>-38.610233834384672</v>
      </c>
      <c r="AA69">
        <v>0</v>
      </c>
      <c r="AB69">
        <v>0</v>
      </c>
      <c r="AC69" t="str">
        <f>TEXT(E69,"dddd")</f>
        <v>Tuesday</v>
      </c>
      <c r="AD69" s="25">
        <f>INT(E69)+TIME(14,30,0)</f>
        <v>46147.604166666664</v>
      </c>
      <c r="AE69" s="54">
        <f>(E69-AD69)*1440</f>
        <v>1.000000003259629</v>
      </c>
    </row>
    <row r="70" spans="1:34">
      <c r="A70">
        <v>12</v>
      </c>
      <c r="B70" t="s">
        <v>36</v>
      </c>
      <c r="C70" t="s">
        <v>29</v>
      </c>
      <c r="D70">
        <v>74276</v>
      </c>
      <c r="E70" s="49">
        <v>46149.604166666657</v>
      </c>
      <c r="F70">
        <v>180.4</v>
      </c>
      <c r="G70">
        <v>168.22</v>
      </c>
      <c r="H70">
        <v>180.41803999999999</v>
      </c>
      <c r="I70">
        <v>168.20317800000001</v>
      </c>
      <c r="J70">
        <v>-5.114614446796022</v>
      </c>
      <c r="K70">
        <v>0.71286785798619834</v>
      </c>
      <c r="L70">
        <v>554.32372505543231</v>
      </c>
      <c r="M70">
        <v>-423.77116751052102</v>
      </c>
      <c r="N70" t="s">
        <v>32</v>
      </c>
      <c r="O70" s="54">
        <f>(Table8[[#This Row],[exit_timestamp]]-Table8[[#This Row],[entry_timestamp]])*1440</f>
        <v>15.000000027939677</v>
      </c>
      <c r="P70" t="s">
        <v>31</v>
      </c>
      <c r="Q70">
        <v>74291</v>
      </c>
      <c r="R70" s="25">
        <v>46149.614583333343</v>
      </c>
      <c r="S70">
        <v>181.92</v>
      </c>
      <c r="T70">
        <v>168.61500000000001</v>
      </c>
      <c r="U70">
        <v>-0.3772846917808515</v>
      </c>
      <c r="V70">
        <v>675.18245091758695</v>
      </c>
      <c r="W70">
        <v>640.82409759054872</v>
      </c>
      <c r="X70">
        <v>0</v>
      </c>
      <c r="Y70">
        <v>9.7809489256595334</v>
      </c>
      <c r="Z70">
        <v>631.04314866488915</v>
      </c>
      <c r="AA70">
        <v>0</v>
      </c>
      <c r="AB70">
        <v>2</v>
      </c>
      <c r="AC70" t="str">
        <f>TEXT(E70,"dddd")</f>
        <v>Thursday</v>
      </c>
      <c r="AD70" s="25">
        <f>INT(E70)+TIME(14,30,0)</f>
        <v>46149.604166666664</v>
      </c>
      <c r="AE70" s="54">
        <f>(E70-AD70)*1440</f>
        <v>-1.0477378964424133E-8</v>
      </c>
    </row>
    <row r="71" spans="1:34">
      <c r="A71">
        <v>12</v>
      </c>
      <c r="B71" t="s">
        <v>36</v>
      </c>
      <c r="C71" t="s">
        <v>29</v>
      </c>
      <c r="D71">
        <v>74669</v>
      </c>
      <c r="E71" s="49">
        <v>46150.605555555558</v>
      </c>
      <c r="F71">
        <v>181.375</v>
      </c>
      <c r="G71">
        <v>168.38499999999999</v>
      </c>
      <c r="H71">
        <v>181.39313749999999</v>
      </c>
      <c r="I71">
        <v>168.36816150000001</v>
      </c>
      <c r="J71">
        <v>-4.400974566676056</v>
      </c>
      <c r="K71">
        <v>0.71286785798619834</v>
      </c>
      <c r="L71">
        <v>551.3439007580979</v>
      </c>
      <c r="M71">
        <v>-423.35591530492519</v>
      </c>
      <c r="N71" t="s">
        <v>32</v>
      </c>
      <c r="O71" s="54">
        <f>(Table8[[#This Row],[exit_timestamp]]-Table8[[#This Row],[entry_timestamp]])*1440</f>
        <v>2.9999999993015081</v>
      </c>
      <c r="P71" t="s">
        <v>31</v>
      </c>
      <c r="Q71">
        <v>74672</v>
      </c>
      <c r="R71" s="25">
        <v>46150.607638888891</v>
      </c>
      <c r="S71">
        <v>181.41</v>
      </c>
      <c r="T71">
        <v>167.2</v>
      </c>
      <c r="U71">
        <v>0.1149823719649273</v>
      </c>
      <c r="V71">
        <v>520.97379616286901</v>
      </c>
      <c r="W71">
        <v>486.76467697546758</v>
      </c>
      <c r="X71">
        <v>0</v>
      </c>
      <c r="Y71">
        <v>9.7469981606302323</v>
      </c>
      <c r="Z71">
        <v>477.01767881483738</v>
      </c>
      <c r="AA71">
        <v>0</v>
      </c>
      <c r="AB71">
        <v>0</v>
      </c>
      <c r="AC71" t="str">
        <f>TEXT(E71,"dddd")</f>
        <v>Friday</v>
      </c>
      <c r="AD71" s="25">
        <f>INT(E71)+TIME(14,30,0)</f>
        <v>46150.604166666664</v>
      </c>
      <c r="AE71" s="54">
        <f>(E71-AD71)*1440</f>
        <v>2.000000006519258</v>
      </c>
    </row>
    <row r="72" spans="1:34">
      <c r="A72">
        <v>14</v>
      </c>
      <c r="B72" t="s">
        <v>37</v>
      </c>
      <c r="C72" t="s">
        <v>35</v>
      </c>
      <c r="D72">
        <v>78971</v>
      </c>
      <c r="E72" s="49">
        <v>46168.604166666657</v>
      </c>
      <c r="F72">
        <v>118.565</v>
      </c>
      <c r="G72">
        <v>57.96</v>
      </c>
      <c r="H72">
        <v>118.57685650000001</v>
      </c>
      <c r="I72">
        <v>57.954203999999997</v>
      </c>
      <c r="J72">
        <v>-4.3587420651717856</v>
      </c>
      <c r="K72">
        <v>0.75386182840021199</v>
      </c>
      <c r="L72">
        <v>843.41922152405857</v>
      </c>
      <c r="M72">
        <v>-1300.6587791584061</v>
      </c>
      <c r="N72" t="s">
        <v>32</v>
      </c>
      <c r="O72" s="54">
        <f>(Table8[[#This Row],[exit_timestamp]]-Table8[[#This Row],[entry_timestamp]])*1440</f>
        <v>25.000000018626451</v>
      </c>
      <c r="P72" t="s">
        <v>31</v>
      </c>
      <c r="Q72">
        <v>78996</v>
      </c>
      <c r="R72" s="25">
        <v>46168.621527777781</v>
      </c>
      <c r="S72">
        <v>119.83</v>
      </c>
      <c r="T72">
        <v>58.98</v>
      </c>
      <c r="U72">
        <v>-0.31369609630818118</v>
      </c>
      <c r="V72">
        <v>-259.74663951363408</v>
      </c>
      <c r="W72">
        <v>-295.06323580862818</v>
      </c>
      <c r="X72">
        <v>0</v>
      </c>
      <c r="Y72">
        <v>21.440780006824639</v>
      </c>
      <c r="Z72">
        <v>-316.50401581545282</v>
      </c>
      <c r="AA72">
        <v>0</v>
      </c>
      <c r="AB72">
        <v>0</v>
      </c>
      <c r="AC72" t="str">
        <f>TEXT(E72,"dddd")</f>
        <v>Tuesday</v>
      </c>
      <c r="AD72" s="25">
        <f>INT(E72)+TIME(14,30,0)</f>
        <v>46168.604166666664</v>
      </c>
      <c r="AE72" s="54">
        <f>(E72-AD72)*1440</f>
        <v>-1.0477378964424133E-8</v>
      </c>
    </row>
    <row r="73" spans="1:34">
      <c r="A73">
        <v>14</v>
      </c>
      <c r="B73" t="s">
        <v>37</v>
      </c>
      <c r="C73" t="s">
        <v>35</v>
      </c>
      <c r="D73">
        <v>79363</v>
      </c>
      <c r="E73" s="49">
        <v>46169.604166666657</v>
      </c>
      <c r="F73">
        <v>114.795</v>
      </c>
      <c r="G73">
        <v>56</v>
      </c>
      <c r="H73">
        <v>114.78352049999999</v>
      </c>
      <c r="I73">
        <v>56.005600000000001</v>
      </c>
      <c r="J73">
        <v>3.507666222725065</v>
      </c>
      <c r="K73">
        <v>0.75386182840021199</v>
      </c>
      <c r="L73">
        <v>-871.11808005575153</v>
      </c>
      <c r="M73">
        <v>1346.18183642895</v>
      </c>
      <c r="N73" t="s">
        <v>30</v>
      </c>
      <c r="O73" s="54">
        <f>(Table8[[#This Row],[exit_timestamp]]-Table8[[#This Row],[entry_timestamp]])*1440</f>
        <v>31.000000017229468</v>
      </c>
      <c r="P73" t="s">
        <v>31</v>
      </c>
      <c r="Q73">
        <v>79394</v>
      </c>
      <c r="R73" s="25">
        <v>46169.625694444447</v>
      </c>
      <c r="S73">
        <v>115.59</v>
      </c>
      <c r="T73">
        <v>56.225000000000001</v>
      </c>
      <c r="U73">
        <v>0.18525492240382829</v>
      </c>
      <c r="V73">
        <v>-389.64796044780832</v>
      </c>
      <c r="W73">
        <v>-424.82473999449837</v>
      </c>
      <c r="X73">
        <v>0</v>
      </c>
      <c r="Y73">
        <v>22.17299916484701</v>
      </c>
      <c r="Z73">
        <v>-446.99773915934537</v>
      </c>
      <c r="AA73">
        <v>0</v>
      </c>
      <c r="AB73">
        <v>0</v>
      </c>
      <c r="AC73" t="str">
        <f>TEXT(E73,"dddd")</f>
        <v>Wednesday</v>
      </c>
      <c r="AD73" s="25">
        <f>INT(E73)+TIME(14,30,0)</f>
        <v>46169.604166666664</v>
      </c>
      <c r="AE73" s="54">
        <f>(E73-AD73)*1440</f>
        <v>-1.0477378964424133E-8</v>
      </c>
    </row>
    <row r="74" spans="1:34">
      <c r="A74">
        <v>14</v>
      </c>
      <c r="B74" t="s">
        <v>37</v>
      </c>
      <c r="C74" t="s">
        <v>35</v>
      </c>
      <c r="D74">
        <v>80775</v>
      </c>
      <c r="E74" s="52">
        <v>46174.768055555563</v>
      </c>
      <c r="F74">
        <v>116.1</v>
      </c>
      <c r="G74">
        <v>59.075000000000003</v>
      </c>
      <c r="H74">
        <v>116.11161</v>
      </c>
      <c r="I74">
        <v>59.069092499999996</v>
      </c>
      <c r="J74">
        <v>-3.5422807641486198</v>
      </c>
      <c r="K74">
        <v>0.75386182840021199</v>
      </c>
      <c r="L74">
        <v>861.32644272179164</v>
      </c>
      <c r="M74">
        <v>-1276.109739145513</v>
      </c>
      <c r="N74" t="s">
        <v>32</v>
      </c>
      <c r="O74" s="54">
        <f>(Table8[[#This Row],[exit_timestamp]]-Table8[[#This Row],[entry_timestamp]])*1440</f>
        <v>16.99999998207204</v>
      </c>
      <c r="P74" t="s">
        <v>31</v>
      </c>
      <c r="Q74">
        <v>80792</v>
      </c>
      <c r="R74" s="25">
        <v>46174.779861111107</v>
      </c>
      <c r="S74">
        <v>115.82</v>
      </c>
      <c r="T74">
        <v>58.89</v>
      </c>
      <c r="U74">
        <v>-0.16339680024668371</v>
      </c>
      <c r="V74">
        <v>-5.0911022201797778</v>
      </c>
      <c r="W74">
        <v>-40.120613617615497</v>
      </c>
      <c r="X74">
        <v>0</v>
      </c>
      <c r="Y74">
        <v>21.374361818673052</v>
      </c>
      <c r="Z74">
        <v>-61.494975436288563</v>
      </c>
      <c r="AA74">
        <v>0</v>
      </c>
      <c r="AB74">
        <v>0</v>
      </c>
      <c r="AC74" t="str">
        <f>TEXT(E74,"dddd")</f>
        <v>Monday</v>
      </c>
      <c r="AD74" s="25">
        <f>INT(E74)+TIME(14,30,0)</f>
        <v>46174.604166666664</v>
      </c>
      <c r="AE74" s="54">
        <f>(E74-AD74)*1440</f>
        <v>236.00000001490116</v>
      </c>
    </row>
    <row r="75" spans="1:34">
      <c r="A75">
        <v>14</v>
      </c>
      <c r="B75" t="s">
        <v>37</v>
      </c>
      <c r="C75" t="s">
        <v>35</v>
      </c>
      <c r="D75">
        <v>80931</v>
      </c>
      <c r="E75" s="49">
        <v>46175.604861111111</v>
      </c>
      <c r="F75">
        <v>116.065</v>
      </c>
      <c r="G75">
        <v>58.52</v>
      </c>
      <c r="H75">
        <v>116.0533935</v>
      </c>
      <c r="I75">
        <v>58.525852</v>
      </c>
      <c r="J75">
        <v>4.2232990067785368</v>
      </c>
      <c r="K75">
        <v>0.75386182840021199</v>
      </c>
      <c r="L75">
        <v>-861.58618015767024</v>
      </c>
      <c r="M75">
        <v>1288.2122836640669</v>
      </c>
      <c r="N75" t="s">
        <v>30</v>
      </c>
      <c r="O75" s="54">
        <f>(Table8[[#This Row],[exit_timestamp]]-Table8[[#This Row],[entry_timestamp]])*1440</f>
        <v>18.999999988591298</v>
      </c>
      <c r="P75" t="s">
        <v>31</v>
      </c>
      <c r="Q75">
        <v>80950</v>
      </c>
      <c r="R75" s="25">
        <v>46175.618055555547</v>
      </c>
      <c r="S75">
        <v>116.84</v>
      </c>
      <c r="T75">
        <v>59.015000000000001</v>
      </c>
      <c r="U75">
        <v>0.37396195285393652</v>
      </c>
      <c r="V75">
        <v>-30.064209208489501</v>
      </c>
      <c r="W75">
        <v>-65.271985213495554</v>
      </c>
      <c r="X75">
        <v>0</v>
      </c>
      <c r="Y75">
        <v>21.497984638217371</v>
      </c>
      <c r="Z75">
        <v>-86.769969851712929</v>
      </c>
      <c r="AA75">
        <v>1</v>
      </c>
      <c r="AB75">
        <v>0</v>
      </c>
      <c r="AC75" t="str">
        <f>TEXT(E75,"dddd")</f>
        <v>Tuesday</v>
      </c>
      <c r="AD75" s="25">
        <f>INT(E75)+TIME(14,30,0)</f>
        <v>46175.604166666664</v>
      </c>
      <c r="AE75" s="54">
        <f>(E75-AD75)*1440</f>
        <v>1.000000003259629</v>
      </c>
    </row>
    <row r="76" spans="1:34">
      <c r="A76">
        <v>14</v>
      </c>
      <c r="B76" t="s">
        <v>37</v>
      </c>
      <c r="C76" t="s">
        <v>35</v>
      </c>
      <c r="D76">
        <v>81501</v>
      </c>
      <c r="E76" s="25">
        <v>46176.727083333331</v>
      </c>
      <c r="F76">
        <v>119.52</v>
      </c>
      <c r="G76">
        <v>60.47</v>
      </c>
      <c r="H76">
        <v>119.508048</v>
      </c>
      <c r="I76">
        <v>60.476047000000001</v>
      </c>
      <c r="J76">
        <v>3.6388854493772138</v>
      </c>
      <c r="K76">
        <v>0.75386182840021199</v>
      </c>
      <c r="L76">
        <v>-836.68005354752347</v>
      </c>
      <c r="M76">
        <v>1246.6707927901639</v>
      </c>
      <c r="N76" t="s">
        <v>30</v>
      </c>
      <c r="O76" s="54">
        <f>(Table8[[#This Row],[exit_timestamp]]-Table8[[#This Row],[entry_timestamp]])*1440</f>
        <v>20.000000002328306</v>
      </c>
      <c r="P76" t="s">
        <v>31</v>
      </c>
      <c r="Q76">
        <v>81521</v>
      </c>
      <c r="R76" s="25">
        <v>46176.740972222222</v>
      </c>
      <c r="S76">
        <v>119.285</v>
      </c>
      <c r="T76">
        <v>60.295000000000002</v>
      </c>
      <c r="U76">
        <v>0.2036569158785683</v>
      </c>
      <c r="V76">
        <v>-21.547576154607551</v>
      </c>
      <c r="W76">
        <v>-56.583334002470167</v>
      </c>
      <c r="X76">
        <v>0</v>
      </c>
      <c r="Y76">
        <v>20.833508463376869</v>
      </c>
      <c r="Z76">
        <v>-77.41684246584704</v>
      </c>
      <c r="AA76">
        <v>0</v>
      </c>
      <c r="AB76">
        <v>0</v>
      </c>
      <c r="AC76" t="str">
        <f>TEXT(E76,"dddd")</f>
        <v>Wednesday</v>
      </c>
      <c r="AD76" s="25">
        <f>INT(E76)+TIME(14,30,0)</f>
        <v>46176.604166666664</v>
      </c>
      <c r="AE76" s="54">
        <f>(E76-AD76)*1440</f>
        <v>177.00000000069849</v>
      </c>
    </row>
    <row r="77" spans="1:34">
      <c r="A77">
        <v>14</v>
      </c>
      <c r="B77" t="s">
        <v>37</v>
      </c>
      <c r="C77" t="s">
        <v>35</v>
      </c>
      <c r="D77">
        <v>81716</v>
      </c>
      <c r="E77" s="49">
        <v>46177.604166666657</v>
      </c>
      <c r="F77">
        <v>117.95</v>
      </c>
      <c r="G77">
        <v>58.64</v>
      </c>
      <c r="H77">
        <v>117.938205</v>
      </c>
      <c r="I77">
        <v>58.645864000000003</v>
      </c>
      <c r="J77">
        <v>3.5236732365953811</v>
      </c>
      <c r="K77">
        <v>0.75386182840021199</v>
      </c>
      <c r="L77">
        <v>-847.81687155574389</v>
      </c>
      <c r="M77">
        <v>1285.5761057302391</v>
      </c>
      <c r="N77" t="s">
        <v>30</v>
      </c>
      <c r="O77" s="54">
        <f>(Table8[[#This Row],[exit_timestamp]]-Table8[[#This Row],[entry_timestamp]])*1440</f>
        <v>25.000000018626451</v>
      </c>
      <c r="P77" t="s">
        <v>31</v>
      </c>
      <c r="Q77">
        <v>81741</v>
      </c>
      <c r="R77" s="25">
        <v>46177.621527777781</v>
      </c>
      <c r="S77">
        <v>118.38</v>
      </c>
      <c r="T77">
        <v>58.44</v>
      </c>
      <c r="U77">
        <v>0.49579825135534228</v>
      </c>
      <c r="V77">
        <v>-621.67647591501498</v>
      </c>
      <c r="W77">
        <v>-656.76445708637107</v>
      </c>
      <c r="X77">
        <v>0</v>
      </c>
      <c r="Y77">
        <v>21.333929772859829</v>
      </c>
      <c r="Z77">
        <v>-678.09838685923091</v>
      </c>
      <c r="AA77">
        <v>0</v>
      </c>
      <c r="AB77">
        <v>0</v>
      </c>
      <c r="AC77" t="str">
        <f>TEXT(E77,"dddd")</f>
        <v>Thursday</v>
      </c>
      <c r="AD77" s="25">
        <f>INT(E77)+TIME(14,30,0)</f>
        <v>46177.604166666664</v>
      </c>
      <c r="AE77" s="54">
        <f>(E77-AD77)*1440</f>
        <v>-1.0477378964424133E-8</v>
      </c>
    </row>
    <row r="78" spans="1:34">
      <c r="A78">
        <v>14</v>
      </c>
      <c r="B78" t="s">
        <v>37</v>
      </c>
      <c r="C78" t="s">
        <v>35</v>
      </c>
      <c r="D78">
        <v>81978</v>
      </c>
      <c r="E78" s="25">
        <v>46177.786111111112</v>
      </c>
      <c r="F78">
        <v>118.75</v>
      </c>
      <c r="G78">
        <v>58.43</v>
      </c>
      <c r="H78">
        <v>118.761875</v>
      </c>
      <c r="I78">
        <v>58.424157000000001</v>
      </c>
      <c r="J78">
        <v>-4.1258413786538677</v>
      </c>
      <c r="K78">
        <v>0.75386182840021199</v>
      </c>
      <c r="L78">
        <v>842.10526315789468</v>
      </c>
      <c r="M78">
        <v>-1290.19652301936</v>
      </c>
      <c r="N78" t="s">
        <v>32</v>
      </c>
      <c r="O78" s="54">
        <f>(Table8[[#This Row],[exit_timestamp]]-Table8[[#This Row],[entry_timestamp]])*1440</f>
        <v>23.000000012107193</v>
      </c>
      <c r="P78" t="s">
        <v>31</v>
      </c>
      <c r="Q78">
        <v>82001</v>
      </c>
      <c r="R78" s="25">
        <v>46177.802083333343</v>
      </c>
      <c r="S78">
        <v>118.9</v>
      </c>
      <c r="T78">
        <v>58.51</v>
      </c>
      <c r="U78">
        <v>-5.4157032789802433E-2</v>
      </c>
      <c r="V78">
        <v>23.100067632142409</v>
      </c>
      <c r="W78">
        <v>-12.00012208698926</v>
      </c>
      <c r="X78">
        <v>0</v>
      </c>
      <c r="Y78">
        <v>21.323017861772541</v>
      </c>
      <c r="Z78">
        <v>-33.323139948761813</v>
      </c>
      <c r="AA78">
        <v>0</v>
      </c>
      <c r="AB78">
        <v>0</v>
      </c>
      <c r="AC78" t="str">
        <f>TEXT(E78,"dddd")</f>
        <v>Thursday</v>
      </c>
      <c r="AD78" s="25">
        <f>INT(E78)+TIME(14,30,0)</f>
        <v>46177.604166666664</v>
      </c>
      <c r="AE78" s="54">
        <f>(E78-AD78)*1440</f>
        <v>262.0000000053551</v>
      </c>
    </row>
    <row r="79" spans="1:34">
      <c r="A79">
        <v>14</v>
      </c>
      <c r="B79" t="s">
        <v>37</v>
      </c>
      <c r="C79" t="s">
        <v>35</v>
      </c>
      <c r="D79">
        <v>82497</v>
      </c>
      <c r="E79" s="49">
        <v>46181.604861111111</v>
      </c>
      <c r="F79">
        <v>118.24</v>
      </c>
      <c r="G79">
        <v>57.45</v>
      </c>
      <c r="H79">
        <v>118.228176</v>
      </c>
      <c r="I79">
        <v>57.455745</v>
      </c>
      <c r="J79">
        <v>3.5356335108215182</v>
      </c>
      <c r="K79">
        <v>0.75386182840021199</v>
      </c>
      <c r="L79">
        <v>-845.73748308525035</v>
      </c>
      <c r="M79">
        <v>1312.2050973023711</v>
      </c>
      <c r="N79" t="s">
        <v>30</v>
      </c>
      <c r="O79" s="54">
        <f>(Table8[[#This Row],[exit_timestamp]]-Table8[[#This Row],[entry_timestamp]])*1440</f>
        <v>2.9999999888241291</v>
      </c>
      <c r="P79" t="s">
        <v>38</v>
      </c>
      <c r="Q79">
        <v>82500</v>
      </c>
      <c r="R79" s="25">
        <v>46181.606944444437</v>
      </c>
      <c r="S79">
        <v>118.27</v>
      </c>
      <c r="T79">
        <v>57.335000000000001</v>
      </c>
      <c r="V79">
        <v>-176.27571068233371</v>
      </c>
      <c r="W79">
        <v>-211.34039410416321</v>
      </c>
      <c r="X79">
        <v>0</v>
      </c>
      <c r="Y79">
        <v>21.579425803876209</v>
      </c>
      <c r="Z79">
        <v>-232.91981990803939</v>
      </c>
      <c r="AA79">
        <v>0</v>
      </c>
      <c r="AB79">
        <v>0</v>
      </c>
      <c r="AC79" t="str">
        <f>TEXT(E79,"dddd")</f>
        <v>Monday</v>
      </c>
      <c r="AD79" s="25">
        <f>INT(E79)+TIME(14,30,0)</f>
        <v>46181.604166666664</v>
      </c>
      <c r="AE79" s="54">
        <f>(E79-AD79)*1440</f>
        <v>1.000000003259629</v>
      </c>
    </row>
    <row r="80" spans="1:34">
      <c r="A80">
        <v>16</v>
      </c>
      <c r="B80" t="s">
        <v>36</v>
      </c>
      <c r="C80" t="s">
        <v>35</v>
      </c>
      <c r="D80">
        <v>87588</v>
      </c>
      <c r="E80" s="49">
        <v>46199.604166666657</v>
      </c>
      <c r="F80">
        <v>171.89</v>
      </c>
      <c r="G80">
        <v>50.77</v>
      </c>
      <c r="H80">
        <v>171.87281100000001</v>
      </c>
      <c r="I80">
        <v>50.775077000000003</v>
      </c>
      <c r="J80">
        <v>3.8355099803975832</v>
      </c>
      <c r="K80">
        <v>0.72444379464525066</v>
      </c>
      <c r="L80">
        <v>-581.76740938972603</v>
      </c>
      <c r="M80">
        <v>1426.913127132658</v>
      </c>
      <c r="N80" t="s">
        <v>30</v>
      </c>
      <c r="O80" s="54">
        <f>(Table8[[#This Row],[exit_timestamp]]-Table8[[#This Row],[entry_timestamp]])*1440</f>
        <v>11.00000002537854</v>
      </c>
      <c r="P80" t="s">
        <v>31</v>
      </c>
      <c r="Q80">
        <v>87599</v>
      </c>
      <c r="R80" s="25">
        <v>46199.611805555563</v>
      </c>
      <c r="S80">
        <v>170.91</v>
      </c>
      <c r="T80">
        <v>50.545000000000002</v>
      </c>
      <c r="U80">
        <v>0.37643066381961698</v>
      </c>
      <c r="V80">
        <v>249.07660759707551</v>
      </c>
      <c r="W80">
        <v>214.67685045565381</v>
      </c>
      <c r="X80">
        <v>0</v>
      </c>
      <c r="Y80">
        <v>20.086805365223839</v>
      </c>
      <c r="Z80">
        <v>194.59004509043001</v>
      </c>
      <c r="AA80">
        <v>0</v>
      </c>
      <c r="AB80">
        <v>0</v>
      </c>
      <c r="AC80" t="str">
        <f>TEXT(E80,"dddd")</f>
        <v>Friday</v>
      </c>
      <c r="AD80" s="25">
        <f>INT(E80)+TIME(14,30,0)</f>
        <v>46199.604166666664</v>
      </c>
      <c r="AE80" s="54">
        <f>(E80-AD80)*1440</f>
        <v>-1.0477378964424133E-8</v>
      </c>
    </row>
    <row r="81" spans="1:31">
      <c r="A81">
        <v>16</v>
      </c>
      <c r="B81" t="s">
        <v>36</v>
      </c>
      <c r="C81" t="s">
        <v>35</v>
      </c>
      <c r="D81">
        <v>88142</v>
      </c>
      <c r="E81" s="52">
        <v>46202.718055555553</v>
      </c>
      <c r="F81">
        <v>169.3</v>
      </c>
      <c r="G81">
        <v>49.85</v>
      </c>
      <c r="H81">
        <v>169.28307000000001</v>
      </c>
      <c r="I81">
        <v>49.854984999999999</v>
      </c>
      <c r="J81">
        <v>3.8608690266418799</v>
      </c>
      <c r="K81">
        <v>0.72444379464525066</v>
      </c>
      <c r="L81">
        <v>-590.66745422327222</v>
      </c>
      <c r="M81">
        <v>1453.247331284354</v>
      </c>
      <c r="N81" t="s">
        <v>30</v>
      </c>
      <c r="O81" s="54">
        <f>(Table8[[#This Row],[exit_timestamp]]-Table8[[#This Row],[entry_timestamp]])*1440</f>
        <v>2.000000006519258</v>
      </c>
      <c r="P81" t="s">
        <v>31</v>
      </c>
      <c r="Q81">
        <v>88144</v>
      </c>
      <c r="R81" s="25">
        <v>46202.719444444447</v>
      </c>
      <c r="S81">
        <v>169.21</v>
      </c>
      <c r="T81">
        <v>49.914999999999999</v>
      </c>
      <c r="U81">
        <v>0.29044479978463172</v>
      </c>
      <c r="V81">
        <v>147.62114741357621</v>
      </c>
      <c r="W81">
        <v>113.128141420106</v>
      </c>
      <c r="X81">
        <v>0</v>
      </c>
      <c r="Y81">
        <v>20.439147855076261</v>
      </c>
      <c r="Z81">
        <v>92.688993565029762</v>
      </c>
      <c r="AA81">
        <v>0</v>
      </c>
      <c r="AB81">
        <v>0</v>
      </c>
      <c r="AC81" t="str">
        <f>TEXT(E81,"dddd")</f>
        <v>Monday</v>
      </c>
      <c r="AD81" s="25">
        <f>INT(E81)+TIME(14,30,0)</f>
        <v>46202.604166666664</v>
      </c>
      <c r="AE81" s="54">
        <f>(E81-AD81)*1440</f>
        <v>164.00000000023283</v>
      </c>
    </row>
    <row r="82" spans="1:31">
      <c r="A82">
        <v>16</v>
      </c>
      <c r="B82" t="s">
        <v>36</v>
      </c>
      <c r="C82" t="s">
        <v>35</v>
      </c>
      <c r="D82">
        <v>88359</v>
      </c>
      <c r="E82" s="51">
        <v>46202.868750000001</v>
      </c>
      <c r="F82">
        <v>168.88</v>
      </c>
      <c r="G82">
        <v>49.21</v>
      </c>
      <c r="H82">
        <v>168.863112</v>
      </c>
      <c r="I82">
        <v>49.214920999999997</v>
      </c>
      <c r="J82">
        <v>3.6250364304451712</v>
      </c>
      <c r="K82">
        <v>0.72444379464525066</v>
      </c>
      <c r="L82">
        <v>-592.13642823306486</v>
      </c>
      <c r="M82">
        <v>1472.147520108211</v>
      </c>
      <c r="N82" t="s">
        <v>30</v>
      </c>
      <c r="O82" s="54">
        <f>(Table8[[#This Row],[exit_timestamp]]-Table8[[#This Row],[entry_timestamp]])*1440</f>
        <v>1064.0000000002328</v>
      </c>
      <c r="P82" t="s">
        <v>31</v>
      </c>
      <c r="Q82">
        <v>88373</v>
      </c>
      <c r="R82" s="25">
        <v>46203.607638888891</v>
      </c>
      <c r="S82">
        <v>169.19</v>
      </c>
      <c r="T82">
        <v>49.5</v>
      </c>
      <c r="U82">
        <v>-0.49331684784723712</v>
      </c>
      <c r="V82">
        <v>243.36048807912849</v>
      </c>
      <c r="W82">
        <v>208.8105636788722</v>
      </c>
      <c r="X82">
        <v>0</v>
      </c>
      <c r="Y82">
        <v>20.642839483412761</v>
      </c>
      <c r="Z82">
        <v>188.16772419545941</v>
      </c>
      <c r="AA82">
        <v>0</v>
      </c>
      <c r="AB82">
        <v>0</v>
      </c>
      <c r="AC82" t="str">
        <f>TEXT(E82,"dddd")</f>
        <v>Monday</v>
      </c>
      <c r="AD82" s="25">
        <f>INT(E82)+TIME(14,30,0)</f>
        <v>46202.604166666664</v>
      </c>
      <c r="AE82" s="54">
        <f>(E82-AD82)*1440</f>
        <v>381.00000000558794</v>
      </c>
    </row>
    <row r="83" spans="1:31">
      <c r="A83">
        <v>16</v>
      </c>
      <c r="B83" t="s">
        <v>36</v>
      </c>
      <c r="C83" t="s">
        <v>35</v>
      </c>
      <c r="D83">
        <v>88760</v>
      </c>
      <c r="E83" s="49">
        <v>46204.604861111111</v>
      </c>
      <c r="F83">
        <v>166.28</v>
      </c>
      <c r="G83">
        <v>48.45</v>
      </c>
      <c r="H83">
        <v>166.263372</v>
      </c>
      <c r="I83">
        <v>48.454844999999999</v>
      </c>
      <c r="J83">
        <v>3.9236625007969699</v>
      </c>
      <c r="K83">
        <v>0.72444379464525066</v>
      </c>
      <c r="L83">
        <v>-601.39523694972331</v>
      </c>
      <c r="M83">
        <v>1495.2400302275551</v>
      </c>
      <c r="N83" t="s">
        <v>30</v>
      </c>
      <c r="O83" s="54">
        <f>(Table8[[#This Row],[exit_timestamp]]-Table8[[#This Row],[entry_timestamp]])*1440</f>
        <v>20.000000002328306</v>
      </c>
      <c r="P83" t="s">
        <v>31</v>
      </c>
      <c r="Q83">
        <v>88780</v>
      </c>
      <c r="R83" s="25">
        <v>46204.618750000001</v>
      </c>
      <c r="S83">
        <v>166.5</v>
      </c>
      <c r="T83">
        <v>48.445</v>
      </c>
      <c r="U83">
        <v>0.36516036919579059</v>
      </c>
      <c r="V83">
        <v>-139.78315228008</v>
      </c>
      <c r="W83">
        <v>-174.28451124817019</v>
      </c>
      <c r="X83">
        <v>0</v>
      </c>
      <c r="Y83">
        <v>20.966352671772789</v>
      </c>
      <c r="Z83">
        <v>-195.25086391994299</v>
      </c>
      <c r="AA83">
        <v>0</v>
      </c>
      <c r="AB83">
        <v>0</v>
      </c>
      <c r="AC83" t="str">
        <f>TEXT(E83,"dddd")</f>
        <v>Wednesday</v>
      </c>
      <c r="AD83" s="25">
        <f>INT(E83)+TIME(14,30,0)</f>
        <v>46204.604166666664</v>
      </c>
      <c r="AE83" s="54">
        <f>(E83-AD83)*1440</f>
        <v>1.000000003259629</v>
      </c>
    </row>
    <row r="84" spans="1:31">
      <c r="A84">
        <v>16</v>
      </c>
      <c r="B84" t="s">
        <v>36</v>
      </c>
      <c r="C84" t="s">
        <v>35</v>
      </c>
      <c r="D84">
        <v>89149</v>
      </c>
      <c r="E84" s="49">
        <v>46205.604166666657</v>
      </c>
      <c r="F84">
        <v>168.05</v>
      </c>
      <c r="G84">
        <v>48.43</v>
      </c>
      <c r="H84">
        <v>168.03319500000001</v>
      </c>
      <c r="I84">
        <v>48.434843000000001</v>
      </c>
      <c r="J84">
        <v>4.7332450996955417</v>
      </c>
      <c r="K84">
        <v>0.72444379464525066</v>
      </c>
      <c r="L84">
        <v>-595.06099375185954</v>
      </c>
      <c r="M84">
        <v>1495.8575152699791</v>
      </c>
      <c r="N84" t="s">
        <v>30</v>
      </c>
      <c r="O84" s="54">
        <f>(Table8[[#This Row],[exit_timestamp]]-Table8[[#This Row],[entry_timestamp]])*1440</f>
        <v>21.000000016065314</v>
      </c>
      <c r="P84" t="s">
        <v>31</v>
      </c>
      <c r="Q84">
        <v>89170</v>
      </c>
      <c r="R84" s="25">
        <v>46205.618750000001</v>
      </c>
      <c r="S84">
        <v>169.14</v>
      </c>
      <c r="T84">
        <v>48.93</v>
      </c>
      <c r="U84">
        <v>0.4371204980541068</v>
      </c>
      <c r="V84">
        <v>99.312274445477328</v>
      </c>
      <c r="W84">
        <v>64.683744028489741</v>
      </c>
      <c r="X84">
        <v>0</v>
      </c>
      <c r="Y84">
        <v>20.909185090218379</v>
      </c>
      <c r="Z84">
        <v>43.774558938271348</v>
      </c>
      <c r="AA84">
        <v>0</v>
      </c>
      <c r="AB84">
        <v>0</v>
      </c>
      <c r="AC84" t="str">
        <f>TEXT(E84,"dddd")</f>
        <v>Thursday</v>
      </c>
      <c r="AD84" s="25">
        <f>INT(E84)+TIME(14,30,0)</f>
        <v>46205.604166666664</v>
      </c>
      <c r="AE84" s="54">
        <f>(E84-AD84)*1440</f>
        <v>-1.0477378964424133E-8</v>
      </c>
    </row>
    <row r="85" spans="1:31">
      <c r="A85">
        <v>16</v>
      </c>
      <c r="B85" t="s">
        <v>36</v>
      </c>
      <c r="C85" t="s">
        <v>35</v>
      </c>
      <c r="D85">
        <v>89430</v>
      </c>
      <c r="E85" s="25">
        <v>46205.799305555563</v>
      </c>
      <c r="F85">
        <v>168.04</v>
      </c>
      <c r="G85">
        <v>48.48</v>
      </c>
      <c r="H85">
        <v>168.056804</v>
      </c>
      <c r="I85">
        <v>48.475151999999987</v>
      </c>
      <c r="J85">
        <v>-4.0112114861174231</v>
      </c>
      <c r="K85">
        <v>0.72444379464525066</v>
      </c>
      <c r="L85">
        <v>595.09640561771005</v>
      </c>
      <c r="M85">
        <v>-1494.314757931623</v>
      </c>
      <c r="N85" t="s">
        <v>32</v>
      </c>
      <c r="O85" s="54">
        <f>(Table8[[#This Row],[exit_timestamp]]-Table8[[#This Row],[entry_timestamp]])*1440</f>
        <v>14.999999986030161</v>
      </c>
      <c r="P85" t="s">
        <v>31</v>
      </c>
      <c r="Q85">
        <v>89445</v>
      </c>
      <c r="R85" s="25">
        <v>46205.80972222222</v>
      </c>
      <c r="S85">
        <v>168.46</v>
      </c>
      <c r="T85">
        <v>48.57</v>
      </c>
      <c r="U85">
        <v>-0.4559868029075459</v>
      </c>
      <c r="V85">
        <v>115.4521621455966</v>
      </c>
      <c r="W85">
        <v>80.924843370831809</v>
      </c>
      <c r="X85">
        <v>0</v>
      </c>
      <c r="Y85">
        <v>20.894111635493331</v>
      </c>
      <c r="Z85">
        <v>60.030731735338478</v>
      </c>
      <c r="AA85">
        <v>0</v>
      </c>
      <c r="AB85">
        <v>0</v>
      </c>
      <c r="AC85" t="str">
        <f>TEXT(E85,"dddd")</f>
        <v>Thursday</v>
      </c>
      <c r="AD85" s="25">
        <f>INT(E85)+TIME(14,30,0)</f>
        <v>46205.604166666664</v>
      </c>
      <c r="AE85" s="54">
        <f>(E85-AD85)*1440</f>
        <v>281.00000001490116</v>
      </c>
    </row>
    <row r="86" spans="1:31">
      <c r="A86">
        <v>16</v>
      </c>
      <c r="B86" t="s">
        <v>36</v>
      </c>
      <c r="C86" t="s">
        <v>35</v>
      </c>
      <c r="D86">
        <v>89540</v>
      </c>
      <c r="E86" s="49">
        <v>46209.604166666657</v>
      </c>
      <c r="F86">
        <v>168.685</v>
      </c>
      <c r="G86">
        <v>48.844999999999999</v>
      </c>
      <c r="H86">
        <v>168.70186849999999</v>
      </c>
      <c r="I86">
        <v>48.840115500000003</v>
      </c>
      <c r="J86">
        <v>-3.6460094014650859</v>
      </c>
      <c r="K86">
        <v>0.72444379464525066</v>
      </c>
      <c r="L86">
        <v>592.82093843554549</v>
      </c>
      <c r="M86">
        <v>-1483.148315375679</v>
      </c>
      <c r="N86" t="s">
        <v>32</v>
      </c>
      <c r="O86" s="54">
        <f>(Table8[[#This Row],[exit_timestamp]]-Table8[[#This Row],[entry_timestamp]])*1440</f>
        <v>24.000000004889444</v>
      </c>
      <c r="P86" t="s">
        <v>31</v>
      </c>
      <c r="Q86">
        <v>89564</v>
      </c>
      <c r="R86" s="25">
        <v>46209.620833333327</v>
      </c>
      <c r="S86">
        <v>169.07499999999999</v>
      </c>
      <c r="T86">
        <v>49.234999999999999</v>
      </c>
      <c r="U86">
        <v>-0.16300201083047849</v>
      </c>
      <c r="V86">
        <v>-347.22767700666111</v>
      </c>
      <c r="W86">
        <v>-381.79751570045772</v>
      </c>
      <c r="X86">
        <v>0</v>
      </c>
      <c r="Y86">
        <v>20.759692538112251</v>
      </c>
      <c r="Z86">
        <v>-402.5572082385699</v>
      </c>
      <c r="AA86">
        <v>0</v>
      </c>
      <c r="AB86">
        <v>0</v>
      </c>
      <c r="AC86" t="str">
        <f>TEXT(E86,"dddd")</f>
        <v>Monday</v>
      </c>
      <c r="AD86" s="25">
        <f>INT(E86)+TIME(14,30,0)</f>
        <v>46209.604166666664</v>
      </c>
      <c r="AE86" s="54">
        <f>(E86-AD86)*1440</f>
        <v>-1.0477378964424133E-8</v>
      </c>
    </row>
    <row r="87" spans="1:31">
      <c r="A87">
        <v>16</v>
      </c>
      <c r="B87" t="s">
        <v>36</v>
      </c>
      <c r="C87" t="s">
        <v>35</v>
      </c>
      <c r="D87">
        <v>89880</v>
      </c>
      <c r="E87" s="51">
        <v>46209.840277777781</v>
      </c>
      <c r="F87">
        <v>167.68</v>
      </c>
      <c r="G87">
        <v>48.725000000000001</v>
      </c>
      <c r="H87">
        <v>167.66323199999999</v>
      </c>
      <c r="I87">
        <v>48.729872499999999</v>
      </c>
      <c r="J87">
        <v>3.5505424574642359</v>
      </c>
      <c r="K87">
        <v>0.72444379464525066</v>
      </c>
      <c r="L87">
        <v>-596.37404580152668</v>
      </c>
      <c r="M87">
        <v>1486.8010151775279</v>
      </c>
      <c r="N87" t="s">
        <v>30</v>
      </c>
      <c r="O87" s="54">
        <f>(Table8[[#This Row],[exit_timestamp]]-Table8[[#This Row],[entry_timestamp]])*1440</f>
        <v>1.9999999960418791</v>
      </c>
      <c r="P87" t="s">
        <v>31</v>
      </c>
      <c r="Q87">
        <v>89882</v>
      </c>
      <c r="R87" s="25">
        <v>46209.841666666667</v>
      </c>
      <c r="S87">
        <v>167.56</v>
      </c>
      <c r="T87">
        <v>48.75</v>
      </c>
      <c r="U87">
        <v>0.18551902822396879</v>
      </c>
      <c r="V87">
        <v>108.73491087562201</v>
      </c>
      <c r="W87">
        <v>74.2494744687516</v>
      </c>
      <c r="X87">
        <v>0</v>
      </c>
      <c r="Y87">
        <v>20.83175060979055</v>
      </c>
      <c r="Z87">
        <v>53.417723858961047</v>
      </c>
      <c r="AA87">
        <v>0</v>
      </c>
      <c r="AB87">
        <v>0</v>
      </c>
      <c r="AC87" t="str">
        <f>TEXT(E87,"dddd")</f>
        <v>Monday</v>
      </c>
      <c r="AD87" s="25">
        <f>INT(E87)+TIME(14,30,0)</f>
        <v>46209.604166666664</v>
      </c>
      <c r="AE87" s="54">
        <f>(E87-AD87)*1440</f>
        <v>340.00000000814907</v>
      </c>
    </row>
    <row r="88" spans="1:31">
      <c r="A88">
        <v>16</v>
      </c>
      <c r="B88" t="s">
        <v>36</v>
      </c>
      <c r="C88" t="s">
        <v>35</v>
      </c>
      <c r="D88">
        <v>89930</v>
      </c>
      <c r="E88" s="49">
        <v>46210.604166666657</v>
      </c>
      <c r="F88">
        <v>170.92500000000001</v>
      </c>
      <c r="G88">
        <v>49.57</v>
      </c>
      <c r="H88">
        <v>170.90790749999999</v>
      </c>
      <c r="I88">
        <v>49.574956999999998</v>
      </c>
      <c r="J88">
        <v>4.2075240937302176</v>
      </c>
      <c r="K88">
        <v>0.72444379464525066</v>
      </c>
      <c r="L88">
        <v>-585.051923358198</v>
      </c>
      <c r="M88">
        <v>1461.4561118524321</v>
      </c>
      <c r="N88" t="s">
        <v>30</v>
      </c>
      <c r="O88" s="54">
        <f>(Table8[[#This Row],[exit_timestamp]]-Table8[[#This Row],[entry_timestamp]])*1440</f>
        <v>2.000000016996637</v>
      </c>
      <c r="P88" t="s">
        <v>31</v>
      </c>
      <c r="Q88">
        <v>89932</v>
      </c>
      <c r="R88" s="25">
        <v>46210.605555555558</v>
      </c>
      <c r="S88">
        <v>171.37</v>
      </c>
      <c r="T88">
        <v>50.19</v>
      </c>
      <c r="U88">
        <v>3.2782291898077937E-2</v>
      </c>
      <c r="V88">
        <v>645.75468345411014</v>
      </c>
      <c r="W88">
        <v>611.14916247169981</v>
      </c>
      <c r="X88">
        <v>0</v>
      </c>
      <c r="Y88">
        <v>20.465080352106298</v>
      </c>
      <c r="Z88">
        <v>590.68408211959354</v>
      </c>
      <c r="AA88">
        <v>0</v>
      </c>
      <c r="AB88">
        <v>0</v>
      </c>
      <c r="AC88" t="str">
        <f>TEXT(E88,"dddd")</f>
        <v>Tuesday</v>
      </c>
      <c r="AD88" s="25">
        <f>INT(E88)+TIME(14,30,0)</f>
        <v>46210.604166666664</v>
      </c>
      <c r="AE88" s="54">
        <f>(E88-AD88)*1440</f>
        <v>-1.0477378964424133E-8</v>
      </c>
    </row>
    <row r="92" spans="1:31">
      <c r="R92" t="s">
        <v>283</v>
      </c>
      <c r="U92">
        <v>1239.3579159999999</v>
      </c>
      <c r="AC92" s="48">
        <f>26/36</f>
        <v>0.72222222222222221</v>
      </c>
      <c r="AD92" t="s">
        <v>281</v>
      </c>
    </row>
    <row r="93" spans="1:31">
      <c r="R93" t="s">
        <v>284</v>
      </c>
      <c r="U93">
        <v>9</v>
      </c>
      <c r="AC93" s="48">
        <f>30/51</f>
        <v>0.58823529411764708</v>
      </c>
      <c r="AD93" t="s">
        <v>298</v>
      </c>
    </row>
    <row r="94" spans="1:31">
      <c r="R94" t="s">
        <v>285</v>
      </c>
      <c r="U94">
        <f>U92/U93</f>
        <v>137.70643511111109</v>
      </c>
      <c r="AC94" s="48">
        <f>51/87</f>
        <v>0.58620689655172409</v>
      </c>
      <c r="AD94" t="s">
        <v>280</v>
      </c>
    </row>
    <row r="95" spans="1:31">
      <c r="R95" t="s">
        <v>286</v>
      </c>
      <c r="U95" s="48">
        <f>1239.357916/11654.22266</f>
        <v>0.10634410823930492</v>
      </c>
      <c r="AC95">
        <v>153.790448</v>
      </c>
      <c r="AD95" t="s">
        <v>275</v>
      </c>
    </row>
    <row r="96" spans="1:31">
      <c r="AC96">
        <v>105.8586059</v>
      </c>
      <c r="AD96" t="s">
        <v>276</v>
      </c>
    </row>
    <row r="98" spans="29:30">
      <c r="AC98" s="48">
        <f>7843.312845/11654.22266</f>
        <v>0.67300180147750843</v>
      </c>
      <c r="AD98" t="s">
        <v>277</v>
      </c>
    </row>
    <row r="99" spans="29:30">
      <c r="AC99" s="48">
        <f>(AC96*36)/11654.22266</f>
        <v>0.32699819829939653</v>
      </c>
      <c r="AD99" t="s">
        <v>278</v>
      </c>
    </row>
  </sheetData>
  <phoneticPr fontId="9" type="noConversion"/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C61E-4D45-4948-AF88-723C18AA6415}">
  <dimension ref="B2:G15"/>
  <sheetViews>
    <sheetView workbookViewId="0">
      <selection activeCell="C19" sqref="C19"/>
    </sheetView>
  </sheetViews>
  <sheetFormatPr defaultRowHeight="14.4"/>
  <cols>
    <col min="2" max="2" width="23.44140625" bestFit="1" customWidth="1"/>
    <col min="3" max="3" width="50.44140625" bestFit="1" customWidth="1"/>
  </cols>
  <sheetData>
    <row r="2" spans="2:7">
      <c r="B2" s="16" t="s">
        <v>299</v>
      </c>
      <c r="C2" s="16" t="s">
        <v>300</v>
      </c>
      <c r="G2" s="58" t="s">
        <v>327</v>
      </c>
    </row>
    <row r="3" spans="2:7">
      <c r="B3" s="20" t="s">
        <v>301</v>
      </c>
      <c r="C3" s="20" t="s">
        <v>302</v>
      </c>
      <c r="G3" t="s">
        <v>328</v>
      </c>
    </row>
    <row r="4" spans="2:7">
      <c r="B4" s="20" t="s">
        <v>303</v>
      </c>
      <c r="C4" s="20" t="s">
        <v>304</v>
      </c>
    </row>
    <row r="5" spans="2:7">
      <c r="B5" s="20" t="s">
        <v>305</v>
      </c>
      <c r="C5" s="20" t="s">
        <v>306</v>
      </c>
      <c r="G5" s="58" t="s">
        <v>329</v>
      </c>
    </row>
    <row r="6" spans="2:7">
      <c r="B6" s="20" t="s">
        <v>307</v>
      </c>
      <c r="C6" s="20" t="s">
        <v>308</v>
      </c>
      <c r="G6" t="s">
        <v>330</v>
      </c>
    </row>
    <row r="7" spans="2:7">
      <c r="B7" s="20" t="s">
        <v>309</v>
      </c>
      <c r="C7" s="20" t="s">
        <v>310</v>
      </c>
    </row>
    <row r="8" spans="2:7">
      <c r="B8" s="20" t="s">
        <v>311</v>
      </c>
      <c r="C8" s="20" t="s">
        <v>312</v>
      </c>
      <c r="G8" s="58" t="s">
        <v>331</v>
      </c>
    </row>
    <row r="9" spans="2:7">
      <c r="B9" s="20" t="s">
        <v>313</v>
      </c>
      <c r="C9" s="20" t="s">
        <v>314</v>
      </c>
      <c r="G9" t="s">
        <v>332</v>
      </c>
    </row>
    <row r="10" spans="2:7">
      <c r="B10" s="20" t="s">
        <v>315</v>
      </c>
      <c r="C10" s="57" t="s">
        <v>316</v>
      </c>
    </row>
    <row r="11" spans="2:7">
      <c r="B11" s="20" t="s">
        <v>317</v>
      </c>
      <c r="C11" s="20" t="s">
        <v>318</v>
      </c>
      <c r="G11" s="58" t="s">
        <v>333</v>
      </c>
    </row>
    <row r="12" spans="2:7">
      <c r="B12" s="20" t="s">
        <v>319</v>
      </c>
      <c r="C12" s="20" t="s">
        <v>320</v>
      </c>
    </row>
    <row r="13" spans="2:7">
      <c r="B13" s="20" t="s">
        <v>321</v>
      </c>
      <c r="C13" s="20" t="s">
        <v>322</v>
      </c>
      <c r="G13" t="s">
        <v>334</v>
      </c>
    </row>
    <row r="14" spans="2:7">
      <c r="B14" s="20" t="s">
        <v>323</v>
      </c>
      <c r="C14" s="20" t="s">
        <v>324</v>
      </c>
    </row>
    <row r="15" spans="2:7">
      <c r="B15" s="20" t="s">
        <v>325</v>
      </c>
      <c r="C15" s="20" t="s">
        <v>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250"/>
  <sheetViews>
    <sheetView topLeftCell="M1" workbookViewId="0">
      <selection activeCell="AC2" sqref="AC2"/>
    </sheetView>
  </sheetViews>
  <sheetFormatPr defaultRowHeight="14.4"/>
  <cols>
    <col min="1" max="1" width="10.5546875" bestFit="1" customWidth="1"/>
    <col min="2" max="3" width="6.44140625" bestFit="1" customWidth="1"/>
    <col min="4" max="4" width="12.88671875" bestFit="1" customWidth="1"/>
    <col min="5" max="5" width="18.109375" bestFit="1" customWidth="1"/>
    <col min="6" max="7" width="12.88671875" bestFit="1" customWidth="1"/>
    <col min="8" max="9" width="20.44140625" bestFit="1" customWidth="1"/>
    <col min="10" max="10" width="12.6640625" bestFit="1" customWidth="1"/>
    <col min="11" max="11" width="17.21875" bestFit="1" customWidth="1"/>
    <col min="12" max="13" width="14.44140625" bestFit="1" customWidth="1"/>
    <col min="14" max="14" width="8.77734375" bestFit="1" customWidth="1"/>
    <col min="15" max="15" width="15.6640625" bestFit="1" customWidth="1"/>
    <col min="16" max="16" width="11.109375" bestFit="1" customWidth="1"/>
    <col min="17" max="17" width="11.5546875" bestFit="1" customWidth="1"/>
    <col min="18" max="18" width="18.109375" bestFit="1" customWidth="1"/>
    <col min="19" max="20" width="11.5546875" bestFit="1" customWidth="1"/>
    <col min="21" max="22" width="12.6640625" bestFit="1" customWidth="1"/>
    <col min="23" max="23" width="16.77734375" bestFit="1" customWidth="1"/>
    <col min="24" max="24" width="16" bestFit="1" customWidth="1"/>
    <col min="25" max="25" width="12.44140625" bestFit="1" customWidth="1"/>
    <col min="26" max="26" width="12.6640625" bestFit="1" customWidth="1"/>
    <col min="27" max="28" width="15.6640625" bestFit="1" customWidth="1"/>
    <col min="29" max="29" width="18.109375" bestFit="1" customWidth="1"/>
    <col min="31" max="32" width="10.5546875" bestFit="1" customWidth="1"/>
    <col min="33" max="33" width="13" bestFit="1" customWidth="1"/>
    <col min="36" max="36" width="18.44140625" bestFit="1" customWidth="1"/>
    <col min="37" max="37" width="12.21875" bestFit="1" customWidth="1"/>
    <col min="38" max="38" width="7.33203125" bestFit="1" customWidth="1"/>
    <col min="39" max="39" width="12.21875" bestFit="1" customWidth="1"/>
    <col min="40" max="40" width="8.44140625" bestFit="1" customWidth="1"/>
  </cols>
  <sheetData>
    <row r="1" spans="1:40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2" t="s">
        <v>274</v>
      </c>
      <c r="AE1" t="s">
        <v>39</v>
      </c>
      <c r="AF1" t="s">
        <v>40</v>
      </c>
      <c r="AG1" t="s">
        <v>41</v>
      </c>
    </row>
    <row r="2" spans="1:40">
      <c r="A2" s="27">
        <v>0</v>
      </c>
      <c r="B2" s="27" t="s">
        <v>28</v>
      </c>
      <c r="C2" s="27" t="s">
        <v>29</v>
      </c>
      <c r="D2" s="27">
        <v>24473</v>
      </c>
      <c r="E2" s="29">
        <v>45960.759722222218</v>
      </c>
      <c r="F2" s="27">
        <v>115.98</v>
      </c>
      <c r="G2" s="27">
        <v>138.85</v>
      </c>
      <c r="H2" s="27">
        <v>115.968402</v>
      </c>
      <c r="I2" s="27">
        <v>138.86388500000001</v>
      </c>
      <c r="J2" s="27">
        <v>3.5370999850944722</v>
      </c>
      <c r="K2" s="27">
        <v>0.6000913956242625</v>
      </c>
      <c r="L2" s="27">
        <v>-862.217623728229</v>
      </c>
      <c r="M2" s="27">
        <v>432.18681715827341</v>
      </c>
      <c r="N2" s="27" t="s">
        <v>30</v>
      </c>
      <c r="O2" s="27">
        <v>480000000000</v>
      </c>
      <c r="P2" s="27" t="s">
        <v>31</v>
      </c>
      <c r="Q2" s="27">
        <v>24481</v>
      </c>
      <c r="R2" s="29">
        <v>45960.765277777777</v>
      </c>
      <c r="S2" s="27">
        <v>115.79</v>
      </c>
      <c r="T2" s="27">
        <v>138.93</v>
      </c>
      <c r="U2" s="27">
        <v>0.32285625941740792</v>
      </c>
      <c r="V2" s="27">
        <v>198.39629388102881</v>
      </c>
      <c r="W2" s="27">
        <v>166.40739060887299</v>
      </c>
      <c r="X2" s="27">
        <v>0</v>
      </c>
      <c r="Y2" s="27">
        <v>12.94404440886502</v>
      </c>
      <c r="Z2" s="27">
        <v>153.463346200008</v>
      </c>
      <c r="AA2" s="27">
        <v>0</v>
      </c>
      <c r="AB2" s="27">
        <v>0</v>
      </c>
      <c r="AC2" s="25">
        <f>INT(R2)</f>
        <v>45960</v>
      </c>
      <c r="AE2" s="18">
        <f t="shared" ref="AE2:AE65" si="0">IF(ISNUMBER(AF2),DATE(YEAR(AF2),DAY(AF2),MONTH(AF2)),DATE(RIGHT(AF2,4),LEFT(AF2,2),MID(AF2,4,2)))</f>
        <v>45870</v>
      </c>
      <c r="AF2" s="18">
        <v>45665</v>
      </c>
      <c r="AG2">
        <v>20.38</v>
      </c>
      <c r="AJ2" s="16" t="s">
        <v>42</v>
      </c>
      <c r="AK2" s="16" t="s">
        <v>43</v>
      </c>
      <c r="AL2" s="17" t="s">
        <v>44</v>
      </c>
      <c r="AM2" s="17" t="s">
        <v>45</v>
      </c>
      <c r="AN2" s="17" t="s">
        <v>46</v>
      </c>
    </row>
    <row r="3" spans="1:40">
      <c r="A3">
        <v>0</v>
      </c>
      <c r="B3" t="s">
        <v>28</v>
      </c>
      <c r="C3" t="s">
        <v>29</v>
      </c>
      <c r="D3">
        <v>24579</v>
      </c>
      <c r="E3" s="25">
        <v>45961.5625</v>
      </c>
      <c r="F3">
        <v>113.765</v>
      </c>
      <c r="G3">
        <v>137.19</v>
      </c>
      <c r="H3">
        <v>113.7763765</v>
      </c>
      <c r="I3">
        <v>137.17628099999999</v>
      </c>
      <c r="J3">
        <v>-4.2501110110807918</v>
      </c>
      <c r="K3">
        <v>0.6000913956242625</v>
      </c>
      <c r="L3">
        <v>879.00496637805998</v>
      </c>
      <c r="M3">
        <v>-437.41628079616783</v>
      </c>
      <c r="N3" t="s">
        <v>32</v>
      </c>
      <c r="O3">
        <v>360000000000</v>
      </c>
      <c r="P3" t="s">
        <v>31</v>
      </c>
      <c r="Q3">
        <v>24585</v>
      </c>
      <c r="R3" s="25">
        <v>45961.566666666673</v>
      </c>
      <c r="S3">
        <v>114</v>
      </c>
      <c r="T3">
        <v>135.72</v>
      </c>
      <c r="U3">
        <v>0.27504599050436029</v>
      </c>
      <c r="V3">
        <v>849.56809986920973</v>
      </c>
      <c r="W3">
        <v>817.60991553329018</v>
      </c>
      <c r="X3">
        <v>0</v>
      </c>
      <c r="Y3">
        <v>13.16421247174228</v>
      </c>
      <c r="Z3">
        <v>804.44570306154787</v>
      </c>
      <c r="AA3">
        <v>0</v>
      </c>
      <c r="AB3">
        <v>2</v>
      </c>
      <c r="AC3" s="25">
        <f t="shared" ref="AC3:AC66" si="1">INT(R3)</f>
        <v>45961</v>
      </c>
      <c r="AE3" s="18">
        <f t="shared" si="0"/>
        <v>45873</v>
      </c>
      <c r="AF3" s="18">
        <v>45755</v>
      </c>
      <c r="AG3">
        <v>17.52</v>
      </c>
      <c r="AJ3" s="19" t="s">
        <v>47</v>
      </c>
      <c r="AK3" s="15">
        <f>AL3*AM3</f>
        <v>-10781.59037121041</v>
      </c>
      <c r="AL3">
        <f>COUNTIF(Z:Z,"&lt;15")</f>
        <v>32</v>
      </c>
      <c r="AM3" s="14">
        <f>AVERAGEIF(Z:Z,"&lt;15",W:W)</f>
        <v>-336.92469910032531</v>
      </c>
      <c r="AN3" s="14">
        <f>COUNTIFS(Z:Z,"&lt;15",T:T,"&gt;0")/COUNTIFS(Z:Z,"&lt;15")</f>
        <v>1</v>
      </c>
    </row>
    <row r="4" spans="1:40">
      <c r="A4" s="27">
        <v>0</v>
      </c>
      <c r="B4" s="27" t="s">
        <v>28</v>
      </c>
      <c r="C4" s="27" t="s">
        <v>29</v>
      </c>
      <c r="D4" s="27">
        <v>24969</v>
      </c>
      <c r="E4" s="29">
        <v>45964.604166666657</v>
      </c>
      <c r="F4" s="27">
        <v>114.47499999999999</v>
      </c>
      <c r="G4" s="27">
        <v>137.13</v>
      </c>
      <c r="H4" s="27">
        <v>114.4864475</v>
      </c>
      <c r="I4" s="27">
        <v>137.116287</v>
      </c>
      <c r="J4" s="27">
        <v>-3.7221899758402501</v>
      </c>
      <c r="K4" s="27">
        <v>0.6000913956242625</v>
      </c>
      <c r="L4" s="27">
        <v>873.55317754968337</v>
      </c>
      <c r="M4" s="27">
        <v>-437.6076683616003</v>
      </c>
      <c r="N4" s="27" t="s">
        <v>32</v>
      </c>
      <c r="O4" s="27">
        <v>300000000000</v>
      </c>
      <c r="P4" s="27" t="s">
        <v>31</v>
      </c>
      <c r="Q4" s="27">
        <v>24974</v>
      </c>
      <c r="R4" s="29">
        <v>45964.607638888891</v>
      </c>
      <c r="S4" s="27">
        <v>114.18</v>
      </c>
      <c r="T4" s="27">
        <v>135.38999999999999</v>
      </c>
      <c r="U4" s="27">
        <v>-9.395247553607125E-2</v>
      </c>
      <c r="V4" s="27">
        <v>503.73915557204288</v>
      </c>
      <c r="W4" s="27">
        <v>471.83924121259298</v>
      </c>
      <c r="X4" s="27">
        <v>0</v>
      </c>
      <c r="Y4" s="27">
        <v>13.111608459112841</v>
      </c>
      <c r="Z4" s="27">
        <v>458.72763275348012</v>
      </c>
      <c r="AA4" s="27">
        <v>0</v>
      </c>
      <c r="AB4" s="27">
        <v>0</v>
      </c>
      <c r="AC4" s="25">
        <f t="shared" si="1"/>
        <v>45964</v>
      </c>
      <c r="AE4" s="18">
        <f t="shared" si="0"/>
        <v>45874</v>
      </c>
      <c r="AF4" s="18">
        <v>45785</v>
      </c>
      <c r="AG4">
        <v>17.850000000000001</v>
      </c>
      <c r="AJ4" s="15" t="s">
        <v>48</v>
      </c>
      <c r="AK4" s="15" t="e">
        <f>AL4*AM4</f>
        <v>#DIV/0!</v>
      </c>
      <c r="AL4" s="14">
        <f>COUNTIFS(Z:Z,"&gt;=15",Z:Z,"&lt;20")</f>
        <v>0</v>
      </c>
      <c r="AM4" s="14" t="e">
        <f>AVERAGEIFS(W:W,Z:Z,"&gt;=15",Z:Z,"&lt;20")</f>
        <v>#DIV/0!</v>
      </c>
      <c r="AN4" s="14" t="e">
        <f>COUNTIFS(Z:Z,"&gt;=15",Z:Z,"&lt;20",T:T,"&gt;0")/COUNTIFS(Z:Z,"&gt;=15",Z:Z,"&lt;20")</f>
        <v>#DIV/0!</v>
      </c>
    </row>
    <row r="5" spans="1:40">
      <c r="A5">
        <v>0</v>
      </c>
      <c r="B5" t="s">
        <v>28</v>
      </c>
      <c r="C5" t="s">
        <v>29</v>
      </c>
      <c r="D5">
        <v>25119</v>
      </c>
      <c r="E5" s="25">
        <v>45964.708333333343</v>
      </c>
      <c r="F5">
        <v>114.235</v>
      </c>
      <c r="G5">
        <v>135.93</v>
      </c>
      <c r="H5">
        <v>114.24642350000001</v>
      </c>
      <c r="I5">
        <v>135.91640699999999</v>
      </c>
      <c r="J5">
        <v>-3.5526751686934732</v>
      </c>
      <c r="K5">
        <v>0.6000913956242625</v>
      </c>
      <c r="L5">
        <v>875.38845362629672</v>
      </c>
      <c r="M5">
        <v>-441.47090092272668</v>
      </c>
      <c r="N5" t="s">
        <v>32</v>
      </c>
      <c r="O5">
        <v>840000000000</v>
      </c>
      <c r="P5" t="s">
        <v>31</v>
      </c>
      <c r="Q5">
        <v>25133</v>
      </c>
      <c r="R5" s="25">
        <v>45964.718055555553</v>
      </c>
      <c r="S5">
        <v>114.44</v>
      </c>
      <c r="T5">
        <v>136.04</v>
      </c>
      <c r="U5">
        <v>-0.31514173734277001</v>
      </c>
      <c r="V5">
        <v>130.89283389189589</v>
      </c>
      <c r="W5">
        <v>98.868204336222391</v>
      </c>
      <c r="X5">
        <v>0</v>
      </c>
      <c r="Y5">
        <v>13.168593545490239</v>
      </c>
      <c r="Z5">
        <v>85.699610790732152</v>
      </c>
      <c r="AA5">
        <v>0</v>
      </c>
      <c r="AB5">
        <v>1</v>
      </c>
      <c r="AC5" s="25">
        <f t="shared" si="1"/>
        <v>45964</v>
      </c>
      <c r="AE5" s="18">
        <f t="shared" si="0"/>
        <v>45875</v>
      </c>
      <c r="AF5" s="18">
        <v>45816</v>
      </c>
      <c r="AG5">
        <v>16.77</v>
      </c>
      <c r="AJ5" s="15" t="s">
        <v>49</v>
      </c>
      <c r="AK5" s="15">
        <f>AL5*AM5</f>
        <v>23908.530425814039</v>
      </c>
      <c r="AL5" s="14">
        <f>COUNTIFS(Z:Z,"&gt;=20")</f>
        <v>55</v>
      </c>
      <c r="AM5" s="14">
        <f>AVERAGEIFS(W:W,Z:Z,"&gt;=20")</f>
        <v>434.7005531966189</v>
      </c>
      <c r="AN5" s="14">
        <f>COUNTIFS(Z:Z,"&gt;=20",T:T,"&gt;0")/COUNTIFS(Z:Z,"&gt;=20")</f>
        <v>1</v>
      </c>
    </row>
    <row r="6" spans="1:40">
      <c r="A6" s="27">
        <v>0</v>
      </c>
      <c r="B6" s="27" t="s">
        <v>28</v>
      </c>
      <c r="C6" s="27" t="s">
        <v>29</v>
      </c>
      <c r="D6" s="27">
        <v>25359</v>
      </c>
      <c r="E6" s="29">
        <v>45965.604166666657</v>
      </c>
      <c r="F6" s="27">
        <v>113.59</v>
      </c>
      <c r="G6" s="27">
        <v>135.04</v>
      </c>
      <c r="H6" s="27">
        <v>113.578641</v>
      </c>
      <c r="I6" s="27">
        <v>135.053504</v>
      </c>
      <c r="J6" s="27">
        <v>4.7787487194139926</v>
      </c>
      <c r="K6" s="27">
        <v>0.6000913956242625</v>
      </c>
      <c r="L6" s="27">
        <v>-880.35918654811155</v>
      </c>
      <c r="M6" s="27">
        <v>444.380476617493</v>
      </c>
      <c r="N6" s="27" t="s">
        <v>30</v>
      </c>
      <c r="O6" s="27">
        <v>1140000000000</v>
      </c>
      <c r="P6" s="27" t="s">
        <v>31</v>
      </c>
      <c r="Q6" s="27">
        <v>25378</v>
      </c>
      <c r="R6" s="29">
        <v>45965.617361111108</v>
      </c>
      <c r="S6" s="27">
        <v>112.89</v>
      </c>
      <c r="T6" s="27">
        <v>134.44999999999999</v>
      </c>
      <c r="U6" s="27">
        <v>0.29820064174803779</v>
      </c>
      <c r="V6" s="27">
        <v>354.06694937935828</v>
      </c>
      <c r="W6" s="27">
        <v>322.15296505804758</v>
      </c>
      <c r="X6" s="27">
        <v>0</v>
      </c>
      <c r="Y6" s="27">
        <v>13.24739663165604</v>
      </c>
      <c r="Z6" s="27">
        <v>308.9055684263916</v>
      </c>
      <c r="AA6" s="27">
        <v>0</v>
      </c>
      <c r="AB6" s="27">
        <v>0</v>
      </c>
      <c r="AC6" s="25">
        <f t="shared" si="1"/>
        <v>45965</v>
      </c>
      <c r="AE6" s="18">
        <f t="shared" si="0"/>
        <v>45876</v>
      </c>
      <c r="AF6" s="18">
        <v>45846</v>
      </c>
      <c r="AG6">
        <v>16.57</v>
      </c>
    </row>
    <row r="7" spans="1:40">
      <c r="A7">
        <v>0</v>
      </c>
      <c r="B7" t="s">
        <v>28</v>
      </c>
      <c r="C7" t="s">
        <v>29</v>
      </c>
      <c r="D7">
        <v>26048</v>
      </c>
      <c r="E7" s="25">
        <v>45966.811805555553</v>
      </c>
      <c r="F7">
        <v>114.35</v>
      </c>
      <c r="G7">
        <v>135.91999999999999</v>
      </c>
      <c r="H7">
        <v>114.338565</v>
      </c>
      <c r="I7">
        <v>135.933592</v>
      </c>
      <c r="J7">
        <v>3.9356145671616032</v>
      </c>
      <c r="K7">
        <v>0.6000913956242625</v>
      </c>
      <c r="L7">
        <v>-874.50808919982512</v>
      </c>
      <c r="M7">
        <v>441.50338112438391</v>
      </c>
      <c r="N7" t="s">
        <v>30</v>
      </c>
      <c r="O7">
        <v>600000000000</v>
      </c>
      <c r="P7" t="s">
        <v>31</v>
      </c>
      <c r="Q7">
        <v>26058</v>
      </c>
      <c r="R7" s="25">
        <v>45966.818749999999</v>
      </c>
      <c r="S7">
        <v>114.05</v>
      </c>
      <c r="T7">
        <v>136.065</v>
      </c>
      <c r="U7">
        <v>5.3672065581413051E-3</v>
      </c>
      <c r="V7">
        <v>326.37041702298518</v>
      </c>
      <c r="W7">
        <v>294.38842255416142</v>
      </c>
      <c r="X7">
        <v>0</v>
      </c>
      <c r="Y7">
        <v>13.16011470324209</v>
      </c>
      <c r="Z7">
        <v>281.22830785091941</v>
      </c>
      <c r="AA7">
        <v>0</v>
      </c>
      <c r="AB7">
        <v>0</v>
      </c>
      <c r="AC7" s="25">
        <f t="shared" si="1"/>
        <v>45966</v>
      </c>
      <c r="AE7" s="18">
        <f t="shared" si="0"/>
        <v>45877</v>
      </c>
      <c r="AF7" s="18">
        <v>45877</v>
      </c>
      <c r="AG7">
        <v>15.15</v>
      </c>
    </row>
    <row r="8" spans="1:40">
      <c r="A8" s="27">
        <v>0</v>
      </c>
      <c r="B8" s="27" t="s">
        <v>28</v>
      </c>
      <c r="C8" s="27" t="s">
        <v>29</v>
      </c>
      <c r="D8" s="27">
        <v>26142</v>
      </c>
      <c r="E8" s="29">
        <v>45967.604861111111</v>
      </c>
      <c r="F8" s="27">
        <v>113.81</v>
      </c>
      <c r="G8" s="27">
        <v>137.595</v>
      </c>
      <c r="H8" s="27">
        <v>113.821381</v>
      </c>
      <c r="I8" s="27">
        <v>137.58124050000001</v>
      </c>
      <c r="J8" s="27">
        <v>-3.9977947836479908</v>
      </c>
      <c r="K8" s="27">
        <v>0.6000913956242625</v>
      </c>
      <c r="L8" s="27">
        <v>878.6574114752658</v>
      </c>
      <c r="M8" s="27">
        <v>-436.12878056925223</v>
      </c>
      <c r="N8" s="27" t="s">
        <v>32</v>
      </c>
      <c r="O8" s="27">
        <v>1560000000000</v>
      </c>
      <c r="P8" s="27" t="s">
        <v>31</v>
      </c>
      <c r="Q8" s="27">
        <v>26168</v>
      </c>
      <c r="R8" s="29">
        <v>45967.622916666667</v>
      </c>
      <c r="S8" s="27">
        <v>114.61</v>
      </c>
      <c r="T8" s="27">
        <v>139.61000000000001</v>
      </c>
      <c r="U8" s="27">
        <v>-0.31825980503563911</v>
      </c>
      <c r="V8" s="27">
        <v>-175.87356366683949</v>
      </c>
      <c r="W8" s="27">
        <v>-208.03356412151911</v>
      </c>
      <c r="X8" s="27">
        <v>0</v>
      </c>
      <c r="Y8" s="27">
        <v>13.14786192044518</v>
      </c>
      <c r="Z8" s="27">
        <v>-221.1814260419643</v>
      </c>
      <c r="AA8" s="27">
        <v>0</v>
      </c>
      <c r="AB8" s="27">
        <v>0</v>
      </c>
      <c r="AC8" s="25">
        <f t="shared" si="1"/>
        <v>45967</v>
      </c>
      <c r="AE8" s="18">
        <f t="shared" si="0"/>
        <v>45880</v>
      </c>
      <c r="AF8" s="18">
        <v>45969</v>
      </c>
      <c r="AG8">
        <v>16.25</v>
      </c>
    </row>
    <row r="9" spans="1:40">
      <c r="A9">
        <v>0</v>
      </c>
      <c r="B9" t="s">
        <v>28</v>
      </c>
      <c r="C9" t="s">
        <v>29</v>
      </c>
      <c r="D9">
        <v>26919</v>
      </c>
      <c r="E9" s="25">
        <v>45968.873611111107</v>
      </c>
      <c r="F9">
        <v>117.19</v>
      </c>
      <c r="G9">
        <v>137.81</v>
      </c>
      <c r="H9">
        <v>117.201719</v>
      </c>
      <c r="I9">
        <v>137.79621900000001</v>
      </c>
      <c r="J9">
        <v>-3.5891554388884108</v>
      </c>
      <c r="K9">
        <v>0.6000913956242625</v>
      </c>
      <c r="L9">
        <v>853.31512927724214</v>
      </c>
      <c r="M9">
        <v>-435.44836777030878</v>
      </c>
      <c r="N9" t="s">
        <v>32</v>
      </c>
      <c r="O9">
        <v>235920000000000</v>
      </c>
      <c r="P9" t="s">
        <v>31</v>
      </c>
      <c r="Q9">
        <v>26921</v>
      </c>
      <c r="R9" s="25">
        <v>45971.604166666657</v>
      </c>
      <c r="S9">
        <v>117.255</v>
      </c>
      <c r="T9">
        <v>137.44499999999999</v>
      </c>
      <c r="U9">
        <v>0.32409789443624121</v>
      </c>
      <c r="V9">
        <v>214.40413763918539</v>
      </c>
      <c r="W9">
        <v>182.4126570437883</v>
      </c>
      <c r="X9">
        <v>0</v>
      </c>
      <c r="Y9">
        <v>12.88763497047551</v>
      </c>
      <c r="Z9">
        <v>169.52502207331281</v>
      </c>
      <c r="AA9">
        <v>3931</v>
      </c>
      <c r="AB9">
        <v>0</v>
      </c>
      <c r="AC9" s="25">
        <f t="shared" si="1"/>
        <v>45971</v>
      </c>
      <c r="AE9" s="18">
        <f t="shared" si="0"/>
        <v>45881</v>
      </c>
      <c r="AF9" s="18">
        <v>45999</v>
      </c>
      <c r="AG9">
        <v>14.73</v>
      </c>
    </row>
    <row r="10" spans="1:40">
      <c r="A10" s="27">
        <v>0</v>
      </c>
      <c r="B10" s="27" t="s">
        <v>28</v>
      </c>
      <c r="C10" s="27" t="s">
        <v>29</v>
      </c>
      <c r="D10" s="27">
        <v>26929</v>
      </c>
      <c r="E10" s="29">
        <v>45971.609722222223</v>
      </c>
      <c r="F10" s="27">
        <v>116.21</v>
      </c>
      <c r="G10" s="27">
        <v>136.63999999999999</v>
      </c>
      <c r="H10" s="27">
        <v>116.221621</v>
      </c>
      <c r="I10" s="27">
        <v>136.62633600000001</v>
      </c>
      <c r="J10" s="27">
        <v>-3.5199100819976978</v>
      </c>
      <c r="K10" s="27">
        <v>0.6000913956242625</v>
      </c>
      <c r="L10" s="27">
        <v>860.51114361930991</v>
      </c>
      <c r="M10" s="27">
        <v>-439.17695815592992</v>
      </c>
      <c r="N10" s="27" t="s">
        <v>32</v>
      </c>
      <c r="O10" s="27">
        <v>1500000000000</v>
      </c>
      <c r="P10" s="27" t="s">
        <v>31</v>
      </c>
      <c r="Q10" s="27">
        <v>26954</v>
      </c>
      <c r="R10" s="29">
        <v>45971.627083333333</v>
      </c>
      <c r="S10" s="27">
        <v>115.75</v>
      </c>
      <c r="T10" s="27">
        <v>136.66999999999999</v>
      </c>
      <c r="U10" s="27">
        <v>-0.37814932984414562</v>
      </c>
      <c r="V10" s="27">
        <v>-409.01043480955548</v>
      </c>
      <c r="W10" s="27">
        <v>-440.9739967403093</v>
      </c>
      <c r="X10" s="27">
        <v>0</v>
      </c>
      <c r="Y10" s="27">
        <v>12.996881017752401</v>
      </c>
      <c r="Z10" s="27">
        <v>-453.9708777580617</v>
      </c>
      <c r="AA10" s="27">
        <v>0</v>
      </c>
      <c r="AB10" s="27">
        <v>0</v>
      </c>
      <c r="AC10" s="25">
        <f t="shared" si="1"/>
        <v>45971</v>
      </c>
      <c r="AE10" s="18">
        <f t="shared" si="0"/>
        <v>45882</v>
      </c>
      <c r="AF10" t="s">
        <v>50</v>
      </c>
      <c r="AG10">
        <v>14.49</v>
      </c>
      <c r="AJ10" s="16" t="s">
        <v>51</v>
      </c>
      <c r="AK10" s="17" t="s">
        <v>52</v>
      </c>
      <c r="AL10" s="17" t="s">
        <v>53</v>
      </c>
    </row>
    <row r="11" spans="1:40">
      <c r="A11">
        <v>0</v>
      </c>
      <c r="B11" t="s">
        <v>28</v>
      </c>
      <c r="C11" t="s">
        <v>29</v>
      </c>
      <c r="D11">
        <v>27521</v>
      </c>
      <c r="E11" s="25">
        <v>45972.75</v>
      </c>
      <c r="F11">
        <v>120.23</v>
      </c>
      <c r="G11">
        <v>142.63499999999999</v>
      </c>
      <c r="H11">
        <v>120.242023</v>
      </c>
      <c r="I11">
        <v>142.62073649999999</v>
      </c>
      <c r="J11">
        <v>-3.7233016587809429</v>
      </c>
      <c r="K11">
        <v>0.6000913956242625</v>
      </c>
      <c r="L11">
        <v>831.73916659735505</v>
      </c>
      <c r="M11">
        <v>-420.7181937282312</v>
      </c>
      <c r="N11" t="s">
        <v>32</v>
      </c>
      <c r="O11">
        <v>780000000000</v>
      </c>
      <c r="P11" t="s">
        <v>31</v>
      </c>
      <c r="Q11">
        <v>27534</v>
      </c>
      <c r="R11" s="25">
        <v>45972.759027777778</v>
      </c>
      <c r="S11">
        <v>120.31</v>
      </c>
      <c r="T11">
        <v>142.33000000000001</v>
      </c>
      <c r="U11">
        <v>0.1283518426014765</v>
      </c>
      <c r="V11">
        <v>194.8581824148884</v>
      </c>
      <c r="W11">
        <v>162.86253249399019</v>
      </c>
      <c r="X11">
        <v>0</v>
      </c>
      <c r="Y11">
        <v>12.52457360325586</v>
      </c>
      <c r="Z11">
        <v>150.33795889073431</v>
      </c>
      <c r="AA11">
        <v>0</v>
      </c>
      <c r="AB11">
        <v>0</v>
      </c>
      <c r="AC11" s="25">
        <f t="shared" si="1"/>
        <v>45972</v>
      </c>
      <c r="AE11" s="18">
        <f t="shared" si="0"/>
        <v>45883</v>
      </c>
      <c r="AF11" t="s">
        <v>54</v>
      </c>
      <c r="AG11">
        <v>14.83</v>
      </c>
      <c r="AJ11" s="20" t="s">
        <v>44</v>
      </c>
      <c r="AK11" s="21"/>
      <c r="AL11" s="21"/>
    </row>
    <row r="12" spans="1:40">
      <c r="A12" s="27">
        <v>0</v>
      </c>
      <c r="B12" s="27" t="s">
        <v>28</v>
      </c>
      <c r="C12" s="27" t="s">
        <v>29</v>
      </c>
      <c r="D12" s="27">
        <v>27703</v>
      </c>
      <c r="E12" s="29">
        <v>45973.604861111111</v>
      </c>
      <c r="F12" s="27">
        <v>118.99</v>
      </c>
      <c r="G12" s="27">
        <v>140.56</v>
      </c>
      <c r="H12" s="27">
        <v>119.00189899999999</v>
      </c>
      <c r="I12" s="27">
        <v>140.54594399999999</v>
      </c>
      <c r="J12" s="27">
        <v>-4.666631975703325</v>
      </c>
      <c r="K12" s="27">
        <v>0.6000913956242625</v>
      </c>
      <c r="L12" s="27">
        <v>840.40675687032524</v>
      </c>
      <c r="M12" s="27">
        <v>-426.92899517946961</v>
      </c>
      <c r="N12" s="27" t="s">
        <v>32</v>
      </c>
      <c r="O12" s="27">
        <v>1740000000000</v>
      </c>
      <c r="P12" s="27" t="s">
        <v>31</v>
      </c>
      <c r="Q12" s="27">
        <v>27732</v>
      </c>
      <c r="R12" s="29">
        <v>45973.625</v>
      </c>
      <c r="S12" s="27">
        <v>118.38500000000001</v>
      </c>
      <c r="T12" s="27">
        <v>140.41</v>
      </c>
      <c r="U12" s="27">
        <v>-0.2705981884201657</v>
      </c>
      <c r="V12" s="27">
        <v>-444.40673862961529</v>
      </c>
      <c r="W12" s="27">
        <v>-476.35131799837973</v>
      </c>
      <c r="X12" s="27">
        <v>0</v>
      </c>
      <c r="Y12" s="27">
        <v>12.67335752049795</v>
      </c>
      <c r="Z12" s="27">
        <v>-489.02467551887759</v>
      </c>
      <c r="AA12" s="27">
        <v>0</v>
      </c>
      <c r="AB12" s="27">
        <v>0</v>
      </c>
      <c r="AC12" s="25">
        <f t="shared" si="1"/>
        <v>45973</v>
      </c>
      <c r="AE12" s="18">
        <f t="shared" si="0"/>
        <v>45884</v>
      </c>
      <c r="AF12" t="s">
        <v>55</v>
      </c>
      <c r="AG12">
        <v>15.09</v>
      </c>
      <c r="AJ12" s="20" t="s">
        <v>56</v>
      </c>
      <c r="AK12" s="21"/>
      <c r="AL12" s="21"/>
    </row>
    <row r="13" spans="1:40">
      <c r="A13">
        <v>1</v>
      </c>
      <c r="B13" t="s">
        <v>33</v>
      </c>
      <c r="C13" t="s">
        <v>34</v>
      </c>
      <c r="D13">
        <v>28242</v>
      </c>
      <c r="E13" s="25">
        <v>45974.708333333343</v>
      </c>
      <c r="F13">
        <v>197.25</v>
      </c>
      <c r="G13">
        <v>177.88499999999999</v>
      </c>
      <c r="H13">
        <v>197.26972499999999</v>
      </c>
      <c r="I13">
        <v>177.8672115</v>
      </c>
      <c r="J13">
        <v>-3.822282782738283</v>
      </c>
      <c r="K13">
        <v>0.74400122080044639</v>
      </c>
      <c r="L13">
        <v>506.97084917617241</v>
      </c>
      <c r="M13">
        <v>-418.24843061553622</v>
      </c>
      <c r="N13" t="s">
        <v>32</v>
      </c>
      <c r="O13">
        <v>1080000000000</v>
      </c>
      <c r="P13" t="s">
        <v>31</v>
      </c>
      <c r="Q13">
        <v>28260</v>
      </c>
      <c r="R13" s="25">
        <v>45974.720833333333</v>
      </c>
      <c r="S13">
        <v>197.4</v>
      </c>
      <c r="T13">
        <v>177.71</v>
      </c>
      <c r="U13">
        <v>-0.35008482989981038</v>
      </c>
      <c r="V13">
        <v>149.2391027341404</v>
      </c>
      <c r="W13">
        <v>114.35879310293841</v>
      </c>
      <c r="X13">
        <v>0</v>
      </c>
      <c r="Y13">
        <v>9.2521927979170862</v>
      </c>
      <c r="Z13">
        <v>105.1066003050213</v>
      </c>
      <c r="AA13">
        <v>8</v>
      </c>
      <c r="AB13">
        <v>0</v>
      </c>
      <c r="AC13" s="25">
        <f t="shared" si="1"/>
        <v>45974</v>
      </c>
      <c r="AE13" s="18">
        <f t="shared" si="0"/>
        <v>45887</v>
      </c>
      <c r="AF13" t="s">
        <v>57</v>
      </c>
      <c r="AG13">
        <v>14.99</v>
      </c>
      <c r="AJ13" s="20" t="s">
        <v>58</v>
      </c>
      <c r="AK13" s="21"/>
      <c r="AL13" s="21"/>
    </row>
    <row r="14" spans="1:40">
      <c r="A14" s="27">
        <v>1</v>
      </c>
      <c r="B14" s="27" t="s">
        <v>33</v>
      </c>
      <c r="C14" s="27" t="s">
        <v>34</v>
      </c>
      <c r="D14" s="27">
        <v>28284</v>
      </c>
      <c r="E14" s="29">
        <v>45974.737500000003</v>
      </c>
      <c r="F14" s="27">
        <v>197</v>
      </c>
      <c r="G14" s="27">
        <v>177.81</v>
      </c>
      <c r="H14" s="27">
        <v>197.0197</v>
      </c>
      <c r="I14" s="27">
        <v>177.79221899999999</v>
      </c>
      <c r="J14" s="27">
        <v>-3.514843566972917</v>
      </c>
      <c r="K14" s="27">
        <v>0.74400122080044639</v>
      </c>
      <c r="L14" s="27">
        <v>507.61421319796949</v>
      </c>
      <c r="M14" s="27">
        <v>-418.4248471966967</v>
      </c>
      <c r="N14" s="27" t="s">
        <v>32</v>
      </c>
      <c r="O14" s="27">
        <v>1200000000000</v>
      </c>
      <c r="P14" s="27" t="s">
        <v>31</v>
      </c>
      <c r="Q14" s="27">
        <v>28304</v>
      </c>
      <c r="R14" s="29">
        <v>45974.751388888893</v>
      </c>
      <c r="S14" s="27">
        <v>196.78</v>
      </c>
      <c r="T14" s="27">
        <v>177.43</v>
      </c>
      <c r="U14" s="27">
        <v>-0.48620068059687732</v>
      </c>
      <c r="V14" s="27">
        <v>47.32631503119012</v>
      </c>
      <c r="W14" s="27">
        <v>12.473358272073369</v>
      </c>
      <c r="X14" s="27">
        <v>0</v>
      </c>
      <c r="Y14" s="27">
        <v>9.2603906039466626</v>
      </c>
      <c r="Z14" s="27">
        <v>3.2129676681267072</v>
      </c>
      <c r="AA14" s="27">
        <v>3</v>
      </c>
      <c r="AB14" s="27">
        <v>3</v>
      </c>
      <c r="AC14" s="25">
        <f t="shared" si="1"/>
        <v>45974</v>
      </c>
      <c r="AE14" s="18">
        <f t="shared" si="0"/>
        <v>45888</v>
      </c>
      <c r="AF14" t="s">
        <v>59</v>
      </c>
      <c r="AG14">
        <v>15.57</v>
      </c>
      <c r="AJ14" s="20" t="s">
        <v>60</v>
      </c>
      <c r="AK14" s="21"/>
      <c r="AL14" s="21"/>
    </row>
    <row r="15" spans="1:40">
      <c r="A15">
        <v>1</v>
      </c>
      <c r="B15" t="s">
        <v>33</v>
      </c>
      <c r="C15" t="s">
        <v>34</v>
      </c>
      <c r="D15">
        <v>28872</v>
      </c>
      <c r="E15" s="25">
        <v>45978.604166666657</v>
      </c>
      <c r="F15">
        <v>197.88</v>
      </c>
      <c r="G15">
        <v>181.15</v>
      </c>
      <c r="H15">
        <v>197.899788</v>
      </c>
      <c r="I15">
        <v>181.13188500000001</v>
      </c>
      <c r="J15">
        <v>-4.8288593823309984</v>
      </c>
      <c r="K15">
        <v>0.74400122080044639</v>
      </c>
      <c r="L15">
        <v>505.35678188801302</v>
      </c>
      <c r="M15">
        <v>-410.71003080344821</v>
      </c>
      <c r="N15" t="s">
        <v>32</v>
      </c>
      <c r="O15">
        <v>1080000000000</v>
      </c>
      <c r="P15" t="s">
        <v>31</v>
      </c>
      <c r="Q15">
        <v>28890</v>
      </c>
      <c r="R15" s="25">
        <v>45978.616666666669</v>
      </c>
      <c r="S15">
        <v>198.03</v>
      </c>
      <c r="T15">
        <v>181.65</v>
      </c>
      <c r="U15">
        <v>-0.26763876451222218</v>
      </c>
      <c r="V15">
        <v>-129.55149811851931</v>
      </c>
      <c r="W15">
        <v>-164.45963838779949</v>
      </c>
      <c r="X15">
        <v>0</v>
      </c>
      <c r="Y15">
        <v>9.1606681269146115</v>
      </c>
      <c r="Z15">
        <v>-173.62030651471409</v>
      </c>
      <c r="AA15">
        <v>0</v>
      </c>
      <c r="AB15">
        <v>0</v>
      </c>
      <c r="AC15" s="25">
        <f t="shared" si="1"/>
        <v>45978</v>
      </c>
      <c r="AE15" s="18">
        <f t="shared" si="0"/>
        <v>45889</v>
      </c>
      <c r="AF15" t="s">
        <v>61</v>
      </c>
      <c r="AG15">
        <v>15.69</v>
      </c>
      <c r="AJ15" s="20" t="s">
        <v>62</v>
      </c>
      <c r="AK15" s="21"/>
      <c r="AL15" s="21"/>
    </row>
    <row r="16" spans="1:40">
      <c r="A16" s="27">
        <v>1</v>
      </c>
      <c r="B16" s="27" t="s">
        <v>33</v>
      </c>
      <c r="C16" s="27" t="s">
        <v>34</v>
      </c>
      <c r="D16" s="27">
        <v>29264</v>
      </c>
      <c r="E16" s="29">
        <v>45979.605555555558</v>
      </c>
      <c r="F16" s="27">
        <v>197.315</v>
      </c>
      <c r="G16" s="27">
        <v>179.19499999999999</v>
      </c>
      <c r="H16" s="27">
        <v>197.29526849999999</v>
      </c>
      <c r="I16" s="27">
        <v>179.2129195</v>
      </c>
      <c r="J16" s="27">
        <v>3.7196131256620051</v>
      </c>
      <c r="K16" s="27">
        <v>0.74400122080044639</v>
      </c>
      <c r="L16" s="27">
        <v>-506.80384157311909</v>
      </c>
      <c r="M16" s="27">
        <v>415.19083724459188</v>
      </c>
      <c r="N16" s="27" t="s">
        <v>30</v>
      </c>
      <c r="O16" s="27">
        <v>120000000000</v>
      </c>
      <c r="P16" s="27" t="s">
        <v>31</v>
      </c>
      <c r="Q16" s="27">
        <v>29266</v>
      </c>
      <c r="R16" s="29">
        <v>45979.606944444437</v>
      </c>
      <c r="S16" s="27">
        <v>197.315</v>
      </c>
      <c r="T16" s="27">
        <v>180.13499999999999</v>
      </c>
      <c r="U16" s="27">
        <v>0.3723720074538891</v>
      </c>
      <c r="V16" s="27">
        <v>390.27938700991552</v>
      </c>
      <c r="W16" s="27">
        <v>355.36033465519949</v>
      </c>
      <c r="X16" s="27">
        <v>0</v>
      </c>
      <c r="Y16" s="27">
        <v>9.2199467881771113</v>
      </c>
      <c r="Z16" s="27">
        <v>346.14038786702241</v>
      </c>
      <c r="AA16" s="27">
        <v>0</v>
      </c>
      <c r="AB16" s="27">
        <v>0</v>
      </c>
      <c r="AC16" s="25">
        <f t="shared" si="1"/>
        <v>45979</v>
      </c>
      <c r="AE16" s="18">
        <f t="shared" si="0"/>
        <v>45890</v>
      </c>
      <c r="AF16" t="s">
        <v>63</v>
      </c>
      <c r="AG16">
        <v>16.600000000000001</v>
      </c>
      <c r="AJ16" s="20" t="s">
        <v>64</v>
      </c>
      <c r="AK16" s="21"/>
      <c r="AL16" s="21"/>
    </row>
    <row r="17" spans="1:38">
      <c r="A17">
        <v>1</v>
      </c>
      <c r="B17" t="s">
        <v>33</v>
      </c>
      <c r="C17" t="s">
        <v>34</v>
      </c>
      <c r="D17">
        <v>29654</v>
      </c>
      <c r="E17" s="25">
        <v>45980.604861111111</v>
      </c>
      <c r="F17">
        <v>193.33</v>
      </c>
      <c r="G17">
        <v>179.17</v>
      </c>
      <c r="H17">
        <v>193.349333</v>
      </c>
      <c r="I17">
        <v>179.152083</v>
      </c>
      <c r="J17">
        <v>-4.2799968406497682</v>
      </c>
      <c r="K17">
        <v>0.74400122080044639</v>
      </c>
      <c r="L17">
        <v>517.25029741892104</v>
      </c>
      <c r="M17">
        <v>-415.24876977197442</v>
      </c>
      <c r="N17" t="s">
        <v>32</v>
      </c>
      <c r="O17">
        <v>240000000000</v>
      </c>
      <c r="P17" t="s">
        <v>31</v>
      </c>
      <c r="Q17">
        <v>29658</v>
      </c>
      <c r="R17" s="25">
        <v>45980.607638888891</v>
      </c>
      <c r="S17">
        <v>192.99</v>
      </c>
      <c r="T17">
        <v>177.47</v>
      </c>
      <c r="U17">
        <v>-0.13015378404873479</v>
      </c>
      <c r="V17">
        <v>530.05780748991674</v>
      </c>
      <c r="W17">
        <v>495.26596187489372</v>
      </c>
      <c r="X17">
        <v>0</v>
      </c>
      <c r="Y17">
        <v>9.3249906719089548</v>
      </c>
      <c r="Z17">
        <v>485.94097120298483</v>
      </c>
      <c r="AA17">
        <v>0</v>
      </c>
      <c r="AB17">
        <v>0</v>
      </c>
      <c r="AC17" s="25">
        <f t="shared" si="1"/>
        <v>45980</v>
      </c>
      <c r="AE17" s="18">
        <f t="shared" si="0"/>
        <v>45891</v>
      </c>
      <c r="AF17" t="s">
        <v>65</v>
      </c>
      <c r="AG17">
        <v>14.22</v>
      </c>
      <c r="AJ17" s="20" t="s">
        <v>46</v>
      </c>
      <c r="AK17" s="21"/>
      <c r="AL17" s="21"/>
    </row>
    <row r="18" spans="1:38">
      <c r="A18" s="27">
        <v>1</v>
      </c>
      <c r="B18" s="27" t="s">
        <v>33</v>
      </c>
      <c r="C18" s="27" t="s">
        <v>34</v>
      </c>
      <c r="D18" s="27">
        <v>30043</v>
      </c>
      <c r="E18" s="29">
        <v>45981.604166666657</v>
      </c>
      <c r="F18" s="27">
        <v>194.56</v>
      </c>
      <c r="G18" s="27">
        <v>176.91</v>
      </c>
      <c r="H18" s="27">
        <v>194.54054400000001</v>
      </c>
      <c r="I18" s="27">
        <v>176.92769100000001</v>
      </c>
      <c r="J18" s="27">
        <v>4.5088765240398612</v>
      </c>
      <c r="K18" s="27">
        <v>0.74400122080044639</v>
      </c>
      <c r="L18" s="27">
        <v>-513.98026315789468</v>
      </c>
      <c r="M18" s="27">
        <v>420.55351353820947</v>
      </c>
      <c r="N18" s="27" t="s">
        <v>30</v>
      </c>
      <c r="O18" s="27">
        <v>240000000000</v>
      </c>
      <c r="P18" s="27" t="s">
        <v>31</v>
      </c>
      <c r="Q18" s="27">
        <v>30047</v>
      </c>
      <c r="R18" s="29">
        <v>45981.606944444437</v>
      </c>
      <c r="S18" s="27">
        <v>194.64</v>
      </c>
      <c r="T18" s="27">
        <v>178.57</v>
      </c>
      <c r="U18" s="27">
        <v>0.36065798203876293</v>
      </c>
      <c r="V18" s="27">
        <v>657.00041142080306</v>
      </c>
      <c r="W18" s="27">
        <v>622.04646327945602</v>
      </c>
      <c r="X18" s="27">
        <v>0</v>
      </c>
      <c r="Y18" s="27">
        <v>9.3453377669610411</v>
      </c>
      <c r="Z18" s="27">
        <v>612.70112551249497</v>
      </c>
      <c r="AA18" s="27">
        <v>0</v>
      </c>
      <c r="AB18" s="27">
        <v>0</v>
      </c>
      <c r="AC18" s="25">
        <f t="shared" si="1"/>
        <v>45981</v>
      </c>
      <c r="AE18" s="18">
        <f t="shared" si="0"/>
        <v>45894</v>
      </c>
      <c r="AF18" t="s">
        <v>66</v>
      </c>
      <c r="AG18">
        <v>14.79</v>
      </c>
      <c r="AJ18" s="20" t="s">
        <v>67</v>
      </c>
      <c r="AK18" s="21"/>
      <c r="AL18" s="21"/>
    </row>
    <row r="19" spans="1:38">
      <c r="A19">
        <v>1</v>
      </c>
      <c r="B19" t="s">
        <v>33</v>
      </c>
      <c r="C19" t="s">
        <v>34</v>
      </c>
      <c r="D19">
        <v>30399</v>
      </c>
      <c r="E19" s="25">
        <v>45981.851388888892</v>
      </c>
      <c r="F19">
        <v>189.76</v>
      </c>
      <c r="G19">
        <v>172.77</v>
      </c>
      <c r="H19">
        <v>189.778976</v>
      </c>
      <c r="I19">
        <v>172.752723</v>
      </c>
      <c r="J19">
        <v>-3.7339460108798939</v>
      </c>
      <c r="K19">
        <v>0.74400122080044639</v>
      </c>
      <c r="L19">
        <v>526.98145025295116</v>
      </c>
      <c r="M19">
        <v>-430.63102436791479</v>
      </c>
      <c r="N19" t="s">
        <v>32</v>
      </c>
      <c r="O19">
        <v>180000000000</v>
      </c>
      <c r="P19" t="s">
        <v>31</v>
      </c>
      <c r="Q19">
        <v>30402</v>
      </c>
      <c r="R19" s="25">
        <v>45981.853472222218</v>
      </c>
      <c r="S19">
        <v>189.76</v>
      </c>
      <c r="T19">
        <v>172.24</v>
      </c>
      <c r="U19">
        <v>-0.27390705148293032</v>
      </c>
      <c r="V19">
        <v>228.2344429149953</v>
      </c>
      <c r="W19">
        <v>193.3772419432656</v>
      </c>
      <c r="X19">
        <v>0</v>
      </c>
      <c r="Y19">
        <v>9.5761247462086594</v>
      </c>
      <c r="Z19">
        <v>183.80111719705701</v>
      </c>
      <c r="AA19">
        <v>0</v>
      </c>
      <c r="AB19">
        <v>0</v>
      </c>
      <c r="AC19" s="25">
        <f t="shared" si="1"/>
        <v>45981</v>
      </c>
      <c r="AE19" s="18">
        <f t="shared" si="0"/>
        <v>45895</v>
      </c>
      <c r="AF19" t="s">
        <v>68</v>
      </c>
      <c r="AG19">
        <v>14.62</v>
      </c>
      <c r="AJ19" s="20" t="s">
        <v>69</v>
      </c>
      <c r="AK19" s="21"/>
      <c r="AL19" s="21"/>
    </row>
    <row r="20" spans="1:38">
      <c r="A20" s="27">
        <v>2</v>
      </c>
      <c r="B20" s="27" t="s">
        <v>28</v>
      </c>
      <c r="C20" s="27" t="s">
        <v>34</v>
      </c>
      <c r="D20" s="27">
        <v>32204</v>
      </c>
      <c r="E20" s="29">
        <v>45992.604861111111</v>
      </c>
      <c r="F20" s="27">
        <v>116.59</v>
      </c>
      <c r="G20" s="27">
        <v>177.4</v>
      </c>
      <c r="H20" s="27">
        <v>116.57834099999999</v>
      </c>
      <c r="I20" s="27">
        <v>177.41774000000001</v>
      </c>
      <c r="J20" s="27">
        <v>3.88726814110955</v>
      </c>
      <c r="K20" s="27">
        <v>0.36784500768873618</v>
      </c>
      <c r="L20" s="27">
        <v>-857.70649283815078</v>
      </c>
      <c r="M20" s="27">
        <v>207.3534428910576</v>
      </c>
      <c r="N20" s="27" t="s">
        <v>30</v>
      </c>
      <c r="O20" s="27">
        <v>60000000000</v>
      </c>
      <c r="P20" s="27" t="s">
        <v>31</v>
      </c>
      <c r="Q20" s="27">
        <v>32205</v>
      </c>
      <c r="R20" s="29">
        <v>45992.605555555558</v>
      </c>
      <c r="S20" s="27">
        <v>116.46</v>
      </c>
      <c r="T20" s="27">
        <v>178.41</v>
      </c>
      <c r="U20" s="27">
        <v>0.1268243217746661</v>
      </c>
      <c r="V20" s="27">
        <v>320.92882138893418</v>
      </c>
      <c r="W20" s="27">
        <v>293.56212872183841</v>
      </c>
      <c r="X20" s="27">
        <v>0</v>
      </c>
      <c r="Y20" s="27">
        <v>10.650599357292091</v>
      </c>
      <c r="Z20" s="27">
        <v>282.91152936454631</v>
      </c>
      <c r="AA20" s="27">
        <v>0</v>
      </c>
      <c r="AB20" s="27">
        <v>0</v>
      </c>
      <c r="AC20" s="25">
        <f t="shared" si="1"/>
        <v>45992</v>
      </c>
      <c r="AE20" s="18">
        <f t="shared" si="0"/>
        <v>45896</v>
      </c>
      <c r="AF20" t="s">
        <v>70</v>
      </c>
      <c r="AG20">
        <v>14.85</v>
      </c>
      <c r="AJ20" s="20" t="s">
        <v>71</v>
      </c>
      <c r="AK20" s="21"/>
      <c r="AL20" s="21"/>
    </row>
    <row r="21" spans="1:38">
      <c r="A21">
        <v>2</v>
      </c>
      <c r="B21" t="s">
        <v>28</v>
      </c>
      <c r="C21" t="s">
        <v>34</v>
      </c>
      <c r="D21">
        <v>34155</v>
      </c>
      <c r="E21" s="25">
        <v>45999.604166666657</v>
      </c>
      <c r="F21">
        <v>115.5</v>
      </c>
      <c r="G21">
        <v>172.15</v>
      </c>
      <c r="H21">
        <v>115.51155</v>
      </c>
      <c r="I21">
        <v>172.13278500000001</v>
      </c>
      <c r="J21">
        <v>-4.0354990217210336</v>
      </c>
      <c r="K21">
        <v>0.36784500768873618</v>
      </c>
      <c r="L21">
        <v>865.80086580086584</v>
      </c>
      <c r="M21">
        <v>-213.67703031585029</v>
      </c>
      <c r="N21" t="s">
        <v>32</v>
      </c>
      <c r="O21">
        <v>360000000000</v>
      </c>
      <c r="P21" t="s">
        <v>31</v>
      </c>
      <c r="Q21">
        <v>34161</v>
      </c>
      <c r="R21" s="25">
        <v>45999.60833333333</v>
      </c>
      <c r="S21">
        <v>115.94499999999999</v>
      </c>
      <c r="T21">
        <v>172.62</v>
      </c>
      <c r="U21">
        <v>-0.22128585061541739</v>
      </c>
      <c r="V21">
        <v>284.85318103293002</v>
      </c>
      <c r="W21">
        <v>257.44770992020568</v>
      </c>
      <c r="X21">
        <v>0</v>
      </c>
      <c r="Y21">
        <v>10.794778961167159</v>
      </c>
      <c r="Z21">
        <v>246.65293095903851</v>
      </c>
      <c r="AA21">
        <v>0</v>
      </c>
      <c r="AB21">
        <v>1</v>
      </c>
      <c r="AC21" s="25">
        <f t="shared" si="1"/>
        <v>45999</v>
      </c>
      <c r="AE21" s="18">
        <f t="shared" si="0"/>
        <v>45897</v>
      </c>
      <c r="AF21" t="s">
        <v>72</v>
      </c>
      <c r="AG21">
        <v>14.43</v>
      </c>
      <c r="AJ21" s="20" t="s">
        <v>73</v>
      </c>
      <c r="AK21" s="21"/>
      <c r="AL21" s="21"/>
    </row>
    <row r="22" spans="1:38">
      <c r="A22" s="27">
        <v>2</v>
      </c>
      <c r="B22" s="27" t="s">
        <v>28</v>
      </c>
      <c r="C22" s="27" t="s">
        <v>34</v>
      </c>
      <c r="D22" s="27">
        <v>34545</v>
      </c>
      <c r="E22" s="29">
        <v>46000.604166666657</v>
      </c>
      <c r="F22" s="27">
        <v>117.48</v>
      </c>
      <c r="G22" s="27">
        <v>173.21</v>
      </c>
      <c r="H22" s="27">
        <v>117.46825200000001</v>
      </c>
      <c r="I22" s="27">
        <v>173.22732099999999</v>
      </c>
      <c r="J22" s="27">
        <v>4.9944443927664954</v>
      </c>
      <c r="K22" s="27">
        <v>0.36784500768873618</v>
      </c>
      <c r="L22" s="27">
        <v>-851.20871637725566</v>
      </c>
      <c r="M22" s="27">
        <v>212.36938265038751</v>
      </c>
      <c r="N22" s="27" t="s">
        <v>30</v>
      </c>
      <c r="O22" s="27">
        <v>1920000000000</v>
      </c>
      <c r="P22" s="27" t="s">
        <v>31</v>
      </c>
      <c r="Q22" s="27">
        <v>34577</v>
      </c>
      <c r="R22" s="29">
        <v>46000.626388888893</v>
      </c>
      <c r="S22" s="27">
        <v>119.91</v>
      </c>
      <c r="T22" s="27">
        <v>173.58</v>
      </c>
      <c r="U22" s="27">
        <v>0.49101009003904561</v>
      </c>
      <c r="V22" s="27">
        <v>-1989.860509216081</v>
      </c>
      <c r="W22" s="27">
        <v>-2017.4321107550891</v>
      </c>
      <c r="X22" s="27">
        <v>0</v>
      </c>
      <c r="Y22" s="27">
        <v>10.63578099027643</v>
      </c>
      <c r="Z22" s="27">
        <v>-2028.0678917453649</v>
      </c>
      <c r="AA22" s="27">
        <v>0</v>
      </c>
      <c r="AB22" s="27">
        <v>2</v>
      </c>
      <c r="AC22" s="25">
        <f t="shared" si="1"/>
        <v>46000</v>
      </c>
      <c r="AE22" s="18">
        <f t="shared" si="0"/>
        <v>45898</v>
      </c>
      <c r="AF22" t="s">
        <v>74</v>
      </c>
      <c r="AG22">
        <v>15.36</v>
      </c>
    </row>
    <row r="23" spans="1:38">
      <c r="A23">
        <v>2</v>
      </c>
      <c r="B23" t="s">
        <v>28</v>
      </c>
      <c r="C23" t="s">
        <v>34</v>
      </c>
      <c r="D23">
        <v>34935</v>
      </c>
      <c r="E23" s="25">
        <v>46001.604166666657</v>
      </c>
      <c r="F23">
        <v>118.5</v>
      </c>
      <c r="G23">
        <v>174.52</v>
      </c>
      <c r="H23">
        <v>118.48815</v>
      </c>
      <c r="I23">
        <v>174.537452</v>
      </c>
      <c r="J23">
        <v>4.7268624054765143</v>
      </c>
      <c r="K23">
        <v>0.36784500768873618</v>
      </c>
      <c r="L23">
        <v>-843.88185654008441</v>
      </c>
      <c r="M23">
        <v>210.7752737157553</v>
      </c>
      <c r="N23" t="s">
        <v>30</v>
      </c>
      <c r="O23">
        <v>1560000000000</v>
      </c>
      <c r="P23" t="s">
        <v>31</v>
      </c>
      <c r="Q23">
        <v>34961</v>
      </c>
      <c r="R23" s="25">
        <v>46001.62222222222</v>
      </c>
      <c r="S23">
        <v>118.88</v>
      </c>
      <c r="T23">
        <v>174.05500000000001</v>
      </c>
      <c r="U23">
        <v>0.1435004146896578</v>
      </c>
      <c r="V23">
        <v>-418.6856077630552</v>
      </c>
      <c r="W23">
        <v>-446.06477437714318</v>
      </c>
      <c r="X23">
        <v>0</v>
      </c>
      <c r="Y23">
        <v>10.5465713025584</v>
      </c>
      <c r="Z23">
        <v>-456.61134567970163</v>
      </c>
      <c r="AA23">
        <v>0</v>
      </c>
      <c r="AB23">
        <v>0</v>
      </c>
      <c r="AC23" s="25">
        <f t="shared" si="1"/>
        <v>46001</v>
      </c>
      <c r="AE23" s="18">
        <f t="shared" si="0"/>
        <v>45901</v>
      </c>
      <c r="AF23" s="18">
        <v>45666</v>
      </c>
      <c r="AG23">
        <v>16.12</v>
      </c>
    </row>
    <row r="24" spans="1:38">
      <c r="A24" s="27">
        <v>2</v>
      </c>
      <c r="B24" s="27" t="s">
        <v>28</v>
      </c>
      <c r="C24" s="27" t="s">
        <v>34</v>
      </c>
      <c r="D24" s="27">
        <v>35130</v>
      </c>
      <c r="E24" s="29">
        <v>46001.739583333343</v>
      </c>
      <c r="F24" s="27">
        <v>119.15</v>
      </c>
      <c r="G24" s="27">
        <v>176.14</v>
      </c>
      <c r="H24" s="27">
        <v>119.16191499999999</v>
      </c>
      <c r="I24" s="27">
        <v>176.12238600000001</v>
      </c>
      <c r="J24" s="27">
        <v>-3.7745395952705811</v>
      </c>
      <c r="K24" s="27">
        <v>0.36784500768873618</v>
      </c>
      <c r="L24" s="27">
        <v>839.27822073017205</v>
      </c>
      <c r="M24" s="27">
        <v>-208.83672515540829</v>
      </c>
      <c r="N24" s="27" t="s">
        <v>32</v>
      </c>
      <c r="O24" s="27">
        <v>1140000000000</v>
      </c>
      <c r="P24" s="27" t="s">
        <v>31</v>
      </c>
      <c r="Q24" s="27">
        <v>35149</v>
      </c>
      <c r="R24" s="29">
        <v>46001.75277777778</v>
      </c>
      <c r="S24" s="27">
        <v>119.26</v>
      </c>
      <c r="T24" s="27">
        <v>176.52</v>
      </c>
      <c r="U24" s="27">
        <v>-0.44079237096797341</v>
      </c>
      <c r="V24" s="27">
        <v>12.96264872125829</v>
      </c>
      <c r="W24" s="27">
        <v>-14.411419288505581</v>
      </c>
      <c r="X24" s="27">
        <v>0</v>
      </c>
      <c r="Y24" s="27">
        <v>10.481149458855811</v>
      </c>
      <c r="Z24" s="27">
        <v>-24.892568747361391</v>
      </c>
      <c r="AA24" s="27">
        <v>0</v>
      </c>
      <c r="AB24" s="27">
        <v>0</v>
      </c>
      <c r="AC24" s="25">
        <f t="shared" si="1"/>
        <v>46001</v>
      </c>
      <c r="AE24" s="18">
        <f t="shared" si="0"/>
        <v>45902</v>
      </c>
      <c r="AF24" s="18">
        <v>45697</v>
      </c>
      <c r="AG24">
        <v>17.170000000000002</v>
      </c>
    </row>
    <row r="25" spans="1:38">
      <c r="A25">
        <v>2</v>
      </c>
      <c r="B25" t="s">
        <v>28</v>
      </c>
      <c r="C25" t="s">
        <v>34</v>
      </c>
      <c r="D25">
        <v>35182</v>
      </c>
      <c r="E25" s="25">
        <v>46001.775694444441</v>
      </c>
      <c r="F25">
        <v>118.91</v>
      </c>
      <c r="G25">
        <v>176.16499999999999</v>
      </c>
      <c r="H25">
        <v>118.921891</v>
      </c>
      <c r="I25">
        <v>176.14738349999999</v>
      </c>
      <c r="J25">
        <v>-3.584730130217944</v>
      </c>
      <c r="K25">
        <v>0.36784500768873618</v>
      </c>
      <c r="L25">
        <v>840.97216382137753</v>
      </c>
      <c r="M25">
        <v>-208.80708863209841</v>
      </c>
      <c r="N25" t="s">
        <v>32</v>
      </c>
      <c r="O25">
        <v>720000000000</v>
      </c>
      <c r="P25" t="s">
        <v>31</v>
      </c>
      <c r="Q25">
        <v>35194</v>
      </c>
      <c r="R25" s="25">
        <v>46001.78402777778</v>
      </c>
      <c r="S25">
        <v>119.01</v>
      </c>
      <c r="T25">
        <v>176.03</v>
      </c>
      <c r="U25">
        <v>-0.31300550662300619</v>
      </c>
      <c r="V25">
        <v>112.28617334747631</v>
      </c>
      <c r="W25">
        <v>84.923682367757436</v>
      </c>
      <c r="X25">
        <v>0</v>
      </c>
      <c r="Y25">
        <v>10.497792524534759</v>
      </c>
      <c r="Z25">
        <v>74.425889843222677</v>
      </c>
      <c r="AA25">
        <v>0</v>
      </c>
      <c r="AB25">
        <v>3</v>
      </c>
      <c r="AC25" s="25">
        <f t="shared" si="1"/>
        <v>46001</v>
      </c>
      <c r="AE25" s="18">
        <f t="shared" si="0"/>
        <v>45903</v>
      </c>
      <c r="AF25" s="18">
        <v>45725</v>
      </c>
      <c r="AG25">
        <v>16.350000000000001</v>
      </c>
    </row>
    <row r="26" spans="1:38">
      <c r="A26" s="27">
        <v>2</v>
      </c>
      <c r="B26" s="27" t="s">
        <v>28</v>
      </c>
      <c r="C26" s="27" t="s">
        <v>34</v>
      </c>
      <c r="D26" s="27">
        <v>35325</v>
      </c>
      <c r="E26" s="29">
        <v>46002.604166666657</v>
      </c>
      <c r="F26" s="27">
        <v>119.33</v>
      </c>
      <c r="G26" s="27">
        <v>172.46</v>
      </c>
      <c r="H26" s="27">
        <v>119.318067</v>
      </c>
      <c r="I26" s="27">
        <v>172.47724600000001</v>
      </c>
      <c r="J26" s="27">
        <v>3.7928468237600081</v>
      </c>
      <c r="K26" s="27">
        <v>0.36784500768873618</v>
      </c>
      <c r="L26" s="27">
        <v>-838.01223497863066</v>
      </c>
      <c r="M26" s="27">
        <v>213.29294195102409</v>
      </c>
      <c r="N26" s="27" t="s">
        <v>30</v>
      </c>
      <c r="O26" s="27">
        <v>1380000000000</v>
      </c>
      <c r="P26" s="27" t="s">
        <v>31</v>
      </c>
      <c r="Q26" s="27">
        <v>35348</v>
      </c>
      <c r="R26" s="29">
        <v>46002.620138888888</v>
      </c>
      <c r="S26" s="27">
        <v>119.57</v>
      </c>
      <c r="T26" s="27">
        <v>173.01</v>
      </c>
      <c r="U26" s="27">
        <v>0.49766275574569879</v>
      </c>
      <c r="V26" s="27">
        <v>-83.811818321807451</v>
      </c>
      <c r="W26" s="27">
        <v>-111.200561881025</v>
      </c>
      <c r="X26" s="27">
        <v>0</v>
      </c>
      <c r="Y26" s="27">
        <v>10.513051769296551</v>
      </c>
      <c r="Z26" s="27">
        <v>-121.71361365032151</v>
      </c>
      <c r="AA26" s="27">
        <v>0</v>
      </c>
      <c r="AB26" s="27">
        <v>1</v>
      </c>
      <c r="AC26" s="25">
        <f t="shared" si="1"/>
        <v>46002</v>
      </c>
      <c r="AE26" s="18">
        <f t="shared" si="0"/>
        <v>45904</v>
      </c>
      <c r="AF26" s="18">
        <v>45756</v>
      </c>
      <c r="AG26">
        <v>15.3</v>
      </c>
    </row>
    <row r="27" spans="1:38">
      <c r="A27">
        <v>6</v>
      </c>
      <c r="B27" t="s">
        <v>34</v>
      </c>
      <c r="C27" t="s">
        <v>35</v>
      </c>
      <c r="D27">
        <v>47473</v>
      </c>
      <c r="E27" s="25">
        <v>46050.749305555553</v>
      </c>
      <c r="F27">
        <v>183.31</v>
      </c>
      <c r="G27">
        <v>44.55</v>
      </c>
      <c r="H27">
        <v>183.29166900000001</v>
      </c>
      <c r="I27">
        <v>44.554454999999997</v>
      </c>
      <c r="J27">
        <v>4.5653092387565719</v>
      </c>
      <c r="K27">
        <v>1.2052443831406601</v>
      </c>
      <c r="L27">
        <v>-545.52397577873546</v>
      </c>
      <c r="M27">
        <v>2705.3745973976652</v>
      </c>
      <c r="N27" t="s">
        <v>30</v>
      </c>
      <c r="O27">
        <v>360000000000</v>
      </c>
      <c r="P27" t="s">
        <v>31</v>
      </c>
      <c r="Q27">
        <v>47479</v>
      </c>
      <c r="R27" s="25">
        <v>46050.753472222219</v>
      </c>
      <c r="S27">
        <v>183.48500000000001</v>
      </c>
      <c r="T27">
        <v>44.88</v>
      </c>
      <c r="U27">
        <v>-3.09974251707857E-2</v>
      </c>
      <c r="V27">
        <v>797.30692137995914</v>
      </c>
      <c r="W27">
        <v>753.10320968585472</v>
      </c>
      <c r="X27">
        <v>0</v>
      </c>
      <c r="Y27">
        <v>32.508985731764</v>
      </c>
      <c r="Z27">
        <v>720.59422395409069</v>
      </c>
      <c r="AA27">
        <v>0</v>
      </c>
      <c r="AB27">
        <v>0</v>
      </c>
      <c r="AC27" s="25">
        <f t="shared" si="1"/>
        <v>46050</v>
      </c>
      <c r="AE27" s="18">
        <f t="shared" si="0"/>
        <v>45905</v>
      </c>
      <c r="AF27" s="18">
        <v>45786</v>
      </c>
      <c r="AG27">
        <v>15.18</v>
      </c>
    </row>
    <row r="28" spans="1:38">
      <c r="A28" s="27">
        <v>6</v>
      </c>
      <c r="B28" s="27" t="s">
        <v>34</v>
      </c>
      <c r="C28" s="27" t="s">
        <v>35</v>
      </c>
      <c r="D28" s="27">
        <v>47563</v>
      </c>
      <c r="E28" s="29">
        <v>46050.811805555553</v>
      </c>
      <c r="F28" s="27">
        <v>184.03</v>
      </c>
      <c r="G28" s="27">
        <v>44.625</v>
      </c>
      <c r="H28" s="27">
        <v>184.01159699999999</v>
      </c>
      <c r="I28" s="27">
        <v>44.629462500000002</v>
      </c>
      <c r="J28" s="27">
        <v>4.6243818819264249</v>
      </c>
      <c r="K28" s="27">
        <v>1.2052443831406601</v>
      </c>
      <c r="L28" s="27">
        <v>-543.3896647285768</v>
      </c>
      <c r="M28" s="27">
        <v>2700.827749334811</v>
      </c>
      <c r="N28" s="27" t="s">
        <v>30</v>
      </c>
      <c r="O28" s="27">
        <v>300000000000</v>
      </c>
      <c r="P28" s="27" t="s">
        <v>31</v>
      </c>
      <c r="Q28" s="27">
        <v>47568</v>
      </c>
      <c r="R28" s="29">
        <v>46050.81527777778</v>
      </c>
      <c r="S28" s="27">
        <v>183.25</v>
      </c>
      <c r="T28" s="27">
        <v>44.69</v>
      </c>
      <c r="U28" s="27">
        <v>0.38506805948294109</v>
      </c>
      <c r="V28" s="27">
        <v>599.39774219504716</v>
      </c>
      <c r="W28" s="27">
        <v>555.31768354569886</v>
      </c>
      <c r="X28" s="27">
        <v>0</v>
      </c>
      <c r="Y28" s="27">
        <v>32.442174140633881</v>
      </c>
      <c r="Z28" s="27">
        <v>522.87550940506503</v>
      </c>
      <c r="AA28" s="27">
        <v>0</v>
      </c>
      <c r="AB28" s="27">
        <v>0</v>
      </c>
      <c r="AC28" s="25">
        <f t="shared" si="1"/>
        <v>46050</v>
      </c>
      <c r="AE28" s="18">
        <f t="shared" si="0"/>
        <v>45908</v>
      </c>
      <c r="AF28" s="18">
        <v>45878</v>
      </c>
      <c r="AG28">
        <v>15.11</v>
      </c>
    </row>
    <row r="29" spans="1:38">
      <c r="A29">
        <v>6</v>
      </c>
      <c r="B29" t="s">
        <v>34</v>
      </c>
      <c r="C29" t="s">
        <v>35</v>
      </c>
      <c r="D29">
        <v>48053</v>
      </c>
      <c r="E29" s="25">
        <v>46052.604166666657</v>
      </c>
      <c r="F29">
        <v>182.23</v>
      </c>
      <c r="G29">
        <v>45.13</v>
      </c>
      <c r="H29">
        <v>182.21177700000001</v>
      </c>
      <c r="I29">
        <v>45.134513000000013</v>
      </c>
      <c r="J29">
        <v>3.5331525366804879</v>
      </c>
      <c r="K29">
        <v>1.2052443831406601</v>
      </c>
      <c r="L29">
        <v>-548.75706524721511</v>
      </c>
      <c r="M29">
        <v>2670.6057680936401</v>
      </c>
      <c r="N29" t="s">
        <v>30</v>
      </c>
      <c r="O29">
        <v>900000000000</v>
      </c>
      <c r="P29" t="s">
        <v>31</v>
      </c>
      <c r="Q29">
        <v>48068</v>
      </c>
      <c r="R29" s="25">
        <v>46052.614583333343</v>
      </c>
      <c r="S29">
        <v>179.91</v>
      </c>
      <c r="T29">
        <v>45.08</v>
      </c>
      <c r="U29">
        <v>-0.37197441650948548</v>
      </c>
      <c r="V29">
        <v>1139.5861029688419</v>
      </c>
      <c r="W29">
        <v>1095.621879973995</v>
      </c>
      <c r="X29">
        <v>0</v>
      </c>
      <c r="Y29">
        <v>32.193628333408547</v>
      </c>
      <c r="Z29">
        <v>1063.428251640586</v>
      </c>
      <c r="AA29">
        <v>0</v>
      </c>
      <c r="AB29">
        <v>0</v>
      </c>
      <c r="AC29" s="25">
        <f t="shared" si="1"/>
        <v>46052</v>
      </c>
      <c r="AE29" s="18">
        <f t="shared" si="0"/>
        <v>45909</v>
      </c>
      <c r="AF29" s="18">
        <v>45909</v>
      </c>
      <c r="AG29">
        <v>15.04</v>
      </c>
    </row>
    <row r="30" spans="1:38">
      <c r="A30" s="27">
        <v>6</v>
      </c>
      <c r="B30" s="27" t="s">
        <v>34</v>
      </c>
      <c r="C30" s="27" t="s">
        <v>35</v>
      </c>
      <c r="D30" s="27">
        <v>48232</v>
      </c>
      <c r="E30" s="29">
        <v>46052.728472222218</v>
      </c>
      <c r="F30" s="27">
        <v>179.75</v>
      </c>
      <c r="G30" s="27">
        <v>44.48</v>
      </c>
      <c r="H30" s="27">
        <v>179.73202499999999</v>
      </c>
      <c r="I30" s="27">
        <v>44.484447999999993</v>
      </c>
      <c r="J30" s="27">
        <v>3.8548011254083878</v>
      </c>
      <c r="K30" s="27">
        <v>1.2052443831406601</v>
      </c>
      <c r="L30" s="27">
        <v>-556.32823365785816</v>
      </c>
      <c r="M30" s="27">
        <v>2709.6321563414108</v>
      </c>
      <c r="N30" s="27" t="s">
        <v>30</v>
      </c>
      <c r="O30" s="27">
        <v>60000000000</v>
      </c>
      <c r="P30" s="27" t="s">
        <v>31</v>
      </c>
      <c r="Q30" s="27">
        <v>48233</v>
      </c>
      <c r="R30" s="29">
        <v>46052.729166666657</v>
      </c>
      <c r="S30" s="27">
        <v>179.60499999999999</v>
      </c>
      <c r="T30" s="27">
        <v>44.734999999999999</v>
      </c>
      <c r="U30" s="27">
        <v>0.36551607222890381</v>
      </c>
      <c r="V30" s="27">
        <v>771.62379374746183</v>
      </c>
      <c r="W30" s="27">
        <v>727.45787722407397</v>
      </c>
      <c r="X30" s="27">
        <v>0</v>
      </c>
      <c r="Y30" s="27">
        <v>32.659603899992703</v>
      </c>
      <c r="Z30" s="27">
        <v>694.79827332408126</v>
      </c>
      <c r="AA30" s="27">
        <v>0</v>
      </c>
      <c r="AB30" s="27">
        <v>0</v>
      </c>
      <c r="AC30" s="25">
        <f t="shared" si="1"/>
        <v>46052</v>
      </c>
      <c r="AE30" s="18">
        <f t="shared" si="0"/>
        <v>45910</v>
      </c>
      <c r="AF30" s="18">
        <v>45939</v>
      </c>
      <c r="AG30">
        <v>15.35</v>
      </c>
    </row>
    <row r="31" spans="1:38">
      <c r="A31">
        <v>6</v>
      </c>
      <c r="B31" t="s">
        <v>34</v>
      </c>
      <c r="C31" t="s">
        <v>35</v>
      </c>
      <c r="D31">
        <v>48443</v>
      </c>
      <c r="E31" s="25">
        <v>46055.604166666657</v>
      </c>
      <c r="F31">
        <v>177.26</v>
      </c>
      <c r="G31">
        <v>43.86</v>
      </c>
      <c r="H31">
        <v>177.24227400000001</v>
      </c>
      <c r="I31">
        <v>43.864386000000003</v>
      </c>
      <c r="J31">
        <v>5.0309056744257994</v>
      </c>
      <c r="K31">
        <v>1.2052443831406601</v>
      </c>
      <c r="L31">
        <v>-564.14306668171048</v>
      </c>
      <c r="M31">
        <v>2747.9352100790229</v>
      </c>
      <c r="N31" t="s">
        <v>30</v>
      </c>
      <c r="O31">
        <v>1200000000000</v>
      </c>
      <c r="P31" t="s">
        <v>31</v>
      </c>
      <c r="Q31">
        <v>48463</v>
      </c>
      <c r="R31" s="25">
        <v>46055.618055555547</v>
      </c>
      <c r="S31">
        <v>179.16499999999999</v>
      </c>
      <c r="T31">
        <v>44.185000000000002</v>
      </c>
      <c r="U31">
        <v>0.34203640965824478</v>
      </c>
      <c r="V31">
        <v>-181.61359875296861</v>
      </c>
      <c r="W31">
        <v>-225.91526356429969</v>
      </c>
      <c r="X31">
        <v>0</v>
      </c>
      <c r="Y31">
        <v>33.120782767607338</v>
      </c>
      <c r="Z31">
        <v>-259.03604633190707</v>
      </c>
      <c r="AA31">
        <v>0</v>
      </c>
      <c r="AB31">
        <v>0</v>
      </c>
      <c r="AC31" s="25">
        <f t="shared" si="1"/>
        <v>46055</v>
      </c>
      <c r="AE31" s="18">
        <f t="shared" si="0"/>
        <v>45911</v>
      </c>
      <c r="AF31" s="18">
        <v>45970</v>
      </c>
      <c r="AG31">
        <v>14.71</v>
      </c>
    </row>
    <row r="32" spans="1:38">
      <c r="A32" s="27">
        <v>6</v>
      </c>
      <c r="B32" s="27" t="s">
        <v>34</v>
      </c>
      <c r="C32" s="27" t="s">
        <v>35</v>
      </c>
      <c r="D32" s="27">
        <v>48834</v>
      </c>
      <c r="E32" s="29">
        <v>46056.604861111111</v>
      </c>
      <c r="F32" s="27">
        <v>183.15</v>
      </c>
      <c r="G32" s="27">
        <v>43.45</v>
      </c>
      <c r="H32" s="27">
        <v>183.131685</v>
      </c>
      <c r="I32" s="27">
        <v>43.454345000000004</v>
      </c>
      <c r="J32" s="27">
        <v>4.9565440562827456</v>
      </c>
      <c r="K32" s="27">
        <v>1.2052443831406601</v>
      </c>
      <c r="L32" s="27">
        <v>-546.00054600054602</v>
      </c>
      <c r="M32" s="27">
        <v>2773.8650935343139</v>
      </c>
      <c r="N32" s="27" t="s">
        <v>30</v>
      </c>
      <c r="O32" s="27">
        <v>720000000000</v>
      </c>
      <c r="P32" s="27" t="s">
        <v>31</v>
      </c>
      <c r="Q32" s="27">
        <v>48846</v>
      </c>
      <c r="R32" s="29">
        <v>46056.613194444442</v>
      </c>
      <c r="S32" s="27">
        <v>182.64</v>
      </c>
      <c r="T32" s="27">
        <v>43.83</v>
      </c>
      <c r="U32" s="27">
        <v>0.4165683517409462</v>
      </c>
      <c r="V32" s="27">
        <v>1332.529014003316</v>
      </c>
      <c r="W32" s="27">
        <v>1288.3465654948061</v>
      </c>
      <c r="X32" s="27">
        <v>0</v>
      </c>
      <c r="Y32" s="27">
        <v>33.198656395348607</v>
      </c>
      <c r="Z32" s="27">
        <v>1255.147909099458</v>
      </c>
      <c r="AA32" s="27">
        <v>0</v>
      </c>
      <c r="AB32" s="27">
        <v>0</v>
      </c>
      <c r="AC32" s="25">
        <f t="shared" si="1"/>
        <v>46056</v>
      </c>
      <c r="AE32" s="18">
        <f t="shared" si="0"/>
        <v>45912</v>
      </c>
      <c r="AF32" s="18">
        <v>46000</v>
      </c>
      <c r="AG32">
        <v>14.76</v>
      </c>
    </row>
    <row r="33" spans="1:33">
      <c r="A33">
        <v>6</v>
      </c>
      <c r="B33" t="s">
        <v>34</v>
      </c>
      <c r="C33" t="s">
        <v>35</v>
      </c>
      <c r="D33">
        <v>49615</v>
      </c>
      <c r="E33" s="25">
        <v>46058.605555555558</v>
      </c>
      <c r="F33">
        <v>192.23</v>
      </c>
      <c r="G33">
        <v>45.3</v>
      </c>
      <c r="H33">
        <v>192.21077700000001</v>
      </c>
      <c r="I33">
        <v>45.30453</v>
      </c>
      <c r="J33">
        <v>3.918871441712322</v>
      </c>
      <c r="K33">
        <v>1.2052443831406601</v>
      </c>
      <c r="L33">
        <v>-520.21016490662225</v>
      </c>
      <c r="M33">
        <v>2660.5836272420738</v>
      </c>
      <c r="N33" t="s">
        <v>30</v>
      </c>
      <c r="O33">
        <v>60000000000</v>
      </c>
      <c r="P33" t="s">
        <v>31</v>
      </c>
      <c r="Q33">
        <v>49616</v>
      </c>
      <c r="R33" s="25">
        <v>46058.606249999997</v>
      </c>
      <c r="S33">
        <v>192.23</v>
      </c>
      <c r="T33">
        <v>45.61</v>
      </c>
      <c r="U33">
        <v>-8.4991222359594401E-2</v>
      </c>
      <c r="V33">
        <v>824.7809244450491</v>
      </c>
      <c r="W33">
        <v>780.59355868976661</v>
      </c>
      <c r="X33">
        <v>0</v>
      </c>
      <c r="Y33">
        <v>31.80793792148696</v>
      </c>
      <c r="Z33">
        <v>748.78562076827961</v>
      </c>
      <c r="AA33">
        <v>1</v>
      </c>
      <c r="AB33">
        <v>0</v>
      </c>
      <c r="AC33" s="25">
        <f t="shared" si="1"/>
        <v>46058</v>
      </c>
      <c r="AE33" s="18">
        <f t="shared" si="0"/>
        <v>45915</v>
      </c>
      <c r="AF33" t="s">
        <v>75</v>
      </c>
      <c r="AG33">
        <v>15.69</v>
      </c>
    </row>
    <row r="34" spans="1:33">
      <c r="A34" s="27">
        <v>6</v>
      </c>
      <c r="B34" s="27" t="s">
        <v>34</v>
      </c>
      <c r="C34" s="27" t="s">
        <v>35</v>
      </c>
      <c r="D34" s="27">
        <v>50999</v>
      </c>
      <c r="E34" s="29">
        <v>46063.753472222219</v>
      </c>
      <c r="F34" s="27">
        <v>198.93</v>
      </c>
      <c r="G34" s="27">
        <v>46.255000000000003</v>
      </c>
      <c r="H34" s="27">
        <v>198.91010700000001</v>
      </c>
      <c r="I34" s="27">
        <v>46.259625499999999</v>
      </c>
      <c r="J34" s="27">
        <v>3.9715540167866159</v>
      </c>
      <c r="K34" s="27">
        <v>1.2052443831406601</v>
      </c>
      <c r="L34" s="27">
        <v>-502.68938822701449</v>
      </c>
      <c r="M34" s="27">
        <v>2605.6521092652888</v>
      </c>
      <c r="N34" s="27" t="s">
        <v>30</v>
      </c>
      <c r="O34" s="27">
        <v>1020000000000</v>
      </c>
      <c r="P34" s="27" t="s">
        <v>31</v>
      </c>
      <c r="Q34" s="27">
        <v>51016</v>
      </c>
      <c r="R34" s="29">
        <v>46063.765277777777</v>
      </c>
      <c r="S34" s="27">
        <v>199.125</v>
      </c>
      <c r="T34" s="27">
        <v>46.27</v>
      </c>
      <c r="U34" s="27">
        <v>0.37032833213766569</v>
      </c>
      <c r="V34" s="27">
        <v>-58.939649065283568</v>
      </c>
      <c r="W34" s="27">
        <v>-103.0582476493186</v>
      </c>
      <c r="X34" s="27">
        <v>0</v>
      </c>
      <c r="Y34" s="27">
        <v>31.083414974923041</v>
      </c>
      <c r="Z34" s="27">
        <v>-134.14166262424169</v>
      </c>
      <c r="AA34" s="27">
        <v>0</v>
      </c>
      <c r="AB34" s="27">
        <v>0</v>
      </c>
      <c r="AC34" s="25">
        <f t="shared" si="1"/>
        <v>46063</v>
      </c>
      <c r="AE34" s="18">
        <f t="shared" si="0"/>
        <v>45916</v>
      </c>
      <c r="AF34" t="s">
        <v>76</v>
      </c>
      <c r="AG34">
        <v>16.36</v>
      </c>
    </row>
    <row r="35" spans="1:33">
      <c r="A35">
        <v>7</v>
      </c>
      <c r="B35" t="s">
        <v>34</v>
      </c>
      <c r="C35" t="s">
        <v>35</v>
      </c>
      <c r="D35">
        <v>51565</v>
      </c>
      <c r="E35" s="25">
        <v>46065.604861111111</v>
      </c>
      <c r="F35">
        <v>204.33</v>
      </c>
      <c r="G35">
        <v>46.84</v>
      </c>
      <c r="H35">
        <v>204.30956699999999</v>
      </c>
      <c r="I35">
        <v>46.844684000000001</v>
      </c>
      <c r="J35">
        <v>3.9757050377123528</v>
      </c>
      <c r="K35">
        <v>1.158442098901695</v>
      </c>
      <c r="L35">
        <v>-489.40439485146572</v>
      </c>
      <c r="M35">
        <v>2473.189792702166</v>
      </c>
      <c r="N35" t="s">
        <v>30</v>
      </c>
      <c r="O35">
        <v>1500000000000</v>
      </c>
      <c r="P35" t="s">
        <v>31</v>
      </c>
      <c r="Q35">
        <v>51590</v>
      </c>
      <c r="R35" s="25">
        <v>46065.62222222222</v>
      </c>
      <c r="S35">
        <v>205.27</v>
      </c>
      <c r="T35">
        <v>46.76</v>
      </c>
      <c r="U35">
        <v>0.27202683311716802</v>
      </c>
      <c r="V35">
        <v>-657.89531457656335</v>
      </c>
      <c r="W35">
        <v>-701.09037504934849</v>
      </c>
      <c r="X35">
        <v>0</v>
      </c>
      <c r="Y35">
        <v>29.62594187553632</v>
      </c>
      <c r="Z35">
        <v>-730.71631692488484</v>
      </c>
      <c r="AA35">
        <v>0</v>
      </c>
      <c r="AB35">
        <v>0</v>
      </c>
      <c r="AC35" s="25">
        <f t="shared" si="1"/>
        <v>46065</v>
      </c>
      <c r="AE35" s="18">
        <f t="shared" si="0"/>
        <v>45917</v>
      </c>
      <c r="AF35" t="s">
        <v>77</v>
      </c>
      <c r="AG35">
        <v>15.72</v>
      </c>
    </row>
    <row r="36" spans="1:33">
      <c r="A36" s="27">
        <v>7</v>
      </c>
      <c r="B36" s="27" t="s">
        <v>34</v>
      </c>
      <c r="C36" s="27" t="s">
        <v>35</v>
      </c>
      <c r="D36" s="27">
        <v>51853</v>
      </c>
      <c r="E36" s="29">
        <v>46065.804861111108</v>
      </c>
      <c r="F36" s="27">
        <v>197.09</v>
      </c>
      <c r="G36" s="27">
        <v>45.56</v>
      </c>
      <c r="H36" s="27">
        <v>197.10970900000001</v>
      </c>
      <c r="I36" s="27">
        <v>45.555444000000001</v>
      </c>
      <c r="J36" s="27">
        <v>-3.557016458145537</v>
      </c>
      <c r="K36" s="27">
        <v>1.158442098901695</v>
      </c>
      <c r="L36" s="27">
        <v>507.3824141255264</v>
      </c>
      <c r="M36" s="27">
        <v>-2542.6736147973979</v>
      </c>
      <c r="N36" s="27" t="s">
        <v>32</v>
      </c>
      <c r="O36" s="27">
        <v>900000000000</v>
      </c>
      <c r="P36" s="27" t="s">
        <v>31</v>
      </c>
      <c r="Q36" s="27">
        <v>51868</v>
      </c>
      <c r="R36" s="29">
        <v>46065.81527777778</v>
      </c>
      <c r="S36" s="27">
        <v>197.16</v>
      </c>
      <c r="T36" s="27">
        <v>45.454999999999998</v>
      </c>
      <c r="U36" s="27">
        <v>0.20745406885017409</v>
      </c>
      <c r="V36" s="27">
        <v>302.4974985425203</v>
      </c>
      <c r="W36" s="27">
        <v>259.35180296054608</v>
      </c>
      <c r="X36" s="27">
        <v>0</v>
      </c>
      <c r="Y36" s="27">
        <v>30.500560289229249</v>
      </c>
      <c r="Z36" s="27">
        <v>228.8512426713169</v>
      </c>
      <c r="AA36" s="27">
        <v>0</v>
      </c>
      <c r="AB36" s="27">
        <v>0</v>
      </c>
      <c r="AC36" s="25">
        <f t="shared" si="1"/>
        <v>46065</v>
      </c>
      <c r="AE36" s="18">
        <f t="shared" si="0"/>
        <v>45918</v>
      </c>
      <c r="AF36" t="s">
        <v>78</v>
      </c>
      <c r="AG36">
        <v>15.7</v>
      </c>
    </row>
    <row r="37" spans="1:33">
      <c r="A37">
        <v>7</v>
      </c>
      <c r="B37" t="s">
        <v>34</v>
      </c>
      <c r="C37" t="s">
        <v>35</v>
      </c>
      <c r="D37">
        <v>51957</v>
      </c>
      <c r="E37" s="25">
        <v>46066.605555555558</v>
      </c>
      <c r="F37">
        <v>197.26499999999999</v>
      </c>
      <c r="G37">
        <v>45.344999999999999</v>
      </c>
      <c r="H37">
        <v>197.2452735</v>
      </c>
      <c r="I37">
        <v>45.349534499999997</v>
      </c>
      <c r="J37">
        <v>3.548163455321856</v>
      </c>
      <c r="K37">
        <v>1.158442098901695</v>
      </c>
      <c r="L37">
        <v>-506.93229919144301</v>
      </c>
      <c r="M37">
        <v>2554.729515716605</v>
      </c>
      <c r="N37" t="s">
        <v>30</v>
      </c>
      <c r="O37">
        <v>60000000000</v>
      </c>
      <c r="P37" t="s">
        <v>31</v>
      </c>
      <c r="Q37">
        <v>51958</v>
      </c>
      <c r="R37" s="25">
        <v>46066.606249999997</v>
      </c>
      <c r="S37">
        <v>197.26499999999999</v>
      </c>
      <c r="T37">
        <v>45.6</v>
      </c>
      <c r="U37">
        <v>-0.49856160850762649</v>
      </c>
      <c r="V37">
        <v>651.45602650774083</v>
      </c>
      <c r="W37">
        <v>608.22203892707569</v>
      </c>
      <c r="X37">
        <v>0</v>
      </c>
      <c r="Y37">
        <v>30.61661814908048</v>
      </c>
      <c r="Z37">
        <v>577.60542077799516</v>
      </c>
      <c r="AA37">
        <v>1</v>
      </c>
      <c r="AB37">
        <v>0</v>
      </c>
      <c r="AC37" s="25">
        <f t="shared" si="1"/>
        <v>46066</v>
      </c>
      <c r="AE37" s="18">
        <f t="shared" si="0"/>
        <v>45919</v>
      </c>
      <c r="AF37" t="s">
        <v>79</v>
      </c>
      <c r="AG37">
        <v>15.45</v>
      </c>
    </row>
    <row r="38" spans="1:33">
      <c r="A38" s="27">
        <v>7</v>
      </c>
      <c r="B38" s="27" t="s">
        <v>34</v>
      </c>
      <c r="C38" s="27" t="s">
        <v>35</v>
      </c>
      <c r="D38" s="27">
        <v>52349</v>
      </c>
      <c r="E38" s="29">
        <v>46070.606249999997</v>
      </c>
      <c r="F38" s="27">
        <v>202.8</v>
      </c>
      <c r="G38" s="27">
        <v>46.35</v>
      </c>
      <c r="H38" s="27">
        <v>202.77972</v>
      </c>
      <c r="I38" s="27">
        <v>46.354635000000002</v>
      </c>
      <c r="J38" s="27">
        <v>3.7187851220961412</v>
      </c>
      <c r="K38" s="27">
        <v>1.158442098901695</v>
      </c>
      <c r="L38" s="27">
        <v>-493.09664694280082</v>
      </c>
      <c r="M38" s="27">
        <v>2499.335704210775</v>
      </c>
      <c r="N38" s="27" t="s">
        <v>30</v>
      </c>
      <c r="O38" s="27">
        <v>660000000000</v>
      </c>
      <c r="P38" s="27" t="s">
        <v>31</v>
      </c>
      <c r="Q38" s="27">
        <v>52360</v>
      </c>
      <c r="R38" s="29">
        <v>46070.613888888889</v>
      </c>
      <c r="S38" s="27">
        <v>200.47</v>
      </c>
      <c r="T38" s="27">
        <v>45.93</v>
      </c>
      <c r="U38" s="27">
        <v>0.19221352260172911</v>
      </c>
      <c r="V38" s="27">
        <v>99.194191608201891</v>
      </c>
      <c r="W38" s="27">
        <v>56.245213248486607</v>
      </c>
      <c r="X38" s="27">
        <v>0</v>
      </c>
      <c r="Y38" s="27">
        <v>29.924323511535761</v>
      </c>
      <c r="Z38" s="27">
        <v>26.320889736950839</v>
      </c>
      <c r="AA38" s="27">
        <v>0</v>
      </c>
      <c r="AB38" s="27">
        <v>0</v>
      </c>
      <c r="AC38" s="25">
        <f t="shared" si="1"/>
        <v>46070</v>
      </c>
      <c r="AE38" s="18">
        <f t="shared" si="0"/>
        <v>45922</v>
      </c>
      <c r="AF38" t="s">
        <v>80</v>
      </c>
      <c r="AG38">
        <v>16.100000000000001</v>
      </c>
    </row>
    <row r="39" spans="1:33">
      <c r="A39">
        <v>7</v>
      </c>
      <c r="B39" t="s">
        <v>34</v>
      </c>
      <c r="C39" t="s">
        <v>35</v>
      </c>
      <c r="D39">
        <v>52706</v>
      </c>
      <c r="E39" s="25">
        <v>46070.854166666657</v>
      </c>
      <c r="F39">
        <v>197.15</v>
      </c>
      <c r="G39">
        <v>45.854999999999997</v>
      </c>
      <c r="H39">
        <v>197.169715</v>
      </c>
      <c r="I39">
        <v>45.850414499999999</v>
      </c>
      <c r="J39">
        <v>-3.5601937053673578</v>
      </c>
      <c r="K39">
        <v>1.158442098901695</v>
      </c>
      <c r="L39">
        <v>507.22799898554399</v>
      </c>
      <c r="M39">
        <v>-2526.3157756006858</v>
      </c>
      <c r="N39" t="s">
        <v>32</v>
      </c>
      <c r="O39">
        <v>360000000000</v>
      </c>
      <c r="P39" t="s">
        <v>31</v>
      </c>
      <c r="Q39">
        <v>52712</v>
      </c>
      <c r="R39" s="25">
        <v>46070.85833333333</v>
      </c>
      <c r="S39">
        <v>197.46</v>
      </c>
      <c r="T39">
        <v>45.79</v>
      </c>
      <c r="U39">
        <v>-5.04504183822439E-2</v>
      </c>
      <c r="V39">
        <v>321.45120509955859</v>
      </c>
      <c r="W39">
        <v>278.28306010611061</v>
      </c>
      <c r="X39">
        <v>0</v>
      </c>
      <c r="Y39">
        <v>30.335437745862301</v>
      </c>
      <c r="Z39">
        <v>247.94762236024829</v>
      </c>
      <c r="AA39">
        <v>0</v>
      </c>
      <c r="AB39">
        <v>0</v>
      </c>
      <c r="AC39" s="25">
        <f t="shared" si="1"/>
        <v>46070</v>
      </c>
      <c r="AE39" s="18">
        <f t="shared" si="0"/>
        <v>45923</v>
      </c>
      <c r="AF39" t="s">
        <v>81</v>
      </c>
      <c r="AG39">
        <v>16.64</v>
      </c>
    </row>
    <row r="40" spans="1:33">
      <c r="A40" s="27">
        <v>7</v>
      </c>
      <c r="B40" s="27" t="s">
        <v>34</v>
      </c>
      <c r="C40" s="27" t="s">
        <v>35</v>
      </c>
      <c r="D40" s="27">
        <v>52737</v>
      </c>
      <c r="E40" s="29">
        <v>46071.604166666657</v>
      </c>
      <c r="F40" s="27">
        <v>198.83</v>
      </c>
      <c r="G40" s="27">
        <v>46.725000000000001</v>
      </c>
      <c r="H40" s="27">
        <v>198.84988300000001</v>
      </c>
      <c r="I40" s="27">
        <v>46.720327500000003</v>
      </c>
      <c r="J40" s="27">
        <v>-4.6988719088785844</v>
      </c>
      <c r="K40" s="27">
        <v>1.158442098901695</v>
      </c>
      <c r="L40" s="27">
        <v>502.94221193984811</v>
      </c>
      <c r="M40" s="27">
        <v>-2479.2768301801921</v>
      </c>
      <c r="N40" s="27" t="s">
        <v>32</v>
      </c>
      <c r="O40" s="27">
        <v>720000000000</v>
      </c>
      <c r="P40" s="27" t="s">
        <v>31</v>
      </c>
      <c r="Q40" s="27">
        <v>52749</v>
      </c>
      <c r="R40" s="29">
        <v>46071.612500000003</v>
      </c>
      <c r="S40" s="27">
        <v>197.73</v>
      </c>
      <c r="T40" s="27">
        <v>46.27</v>
      </c>
      <c r="U40" s="27">
        <v>-0.47052163416756732</v>
      </c>
      <c r="V40" s="27">
        <v>574.8345245981385</v>
      </c>
      <c r="W40" s="27">
        <v>531.83381335920831</v>
      </c>
      <c r="X40" s="27">
        <v>0</v>
      </c>
      <c r="Y40" s="27">
        <v>29.8221904212004</v>
      </c>
      <c r="Z40" s="27">
        <v>502.01162293800792</v>
      </c>
      <c r="AA40" s="27">
        <v>9</v>
      </c>
      <c r="AB40" s="27">
        <v>0</v>
      </c>
      <c r="AC40" s="25">
        <f t="shared" si="1"/>
        <v>46071</v>
      </c>
      <c r="AE40" s="18">
        <f t="shared" si="0"/>
        <v>45924</v>
      </c>
      <c r="AF40" t="s">
        <v>82</v>
      </c>
      <c r="AG40">
        <v>16.18</v>
      </c>
    </row>
    <row r="41" spans="1:33">
      <c r="A41">
        <v>7</v>
      </c>
      <c r="B41" t="s">
        <v>34</v>
      </c>
      <c r="C41" t="s">
        <v>35</v>
      </c>
      <c r="D41">
        <v>53078</v>
      </c>
      <c r="E41" s="25">
        <v>46071.84097222222</v>
      </c>
      <c r="F41">
        <v>199.005</v>
      </c>
      <c r="G41">
        <v>47.19</v>
      </c>
      <c r="H41">
        <v>198.98509949999999</v>
      </c>
      <c r="I41">
        <v>47.194718999999999</v>
      </c>
      <c r="J41">
        <v>3.5675000193783259</v>
      </c>
      <c r="K41">
        <v>1.158442098901695</v>
      </c>
      <c r="L41">
        <v>-502.49993718750778</v>
      </c>
      <c r="M41">
        <v>2454.846575337348</v>
      </c>
      <c r="N41" t="s">
        <v>30</v>
      </c>
      <c r="O41">
        <v>720000000000</v>
      </c>
      <c r="P41" t="s">
        <v>31</v>
      </c>
      <c r="Q41">
        <v>53090</v>
      </c>
      <c r="R41" s="25">
        <v>46071.849305555559</v>
      </c>
      <c r="S41">
        <v>198.88</v>
      </c>
      <c r="T41">
        <v>47.225000000000001</v>
      </c>
      <c r="U41">
        <v>-2.5827999182949261E-2</v>
      </c>
      <c r="V41">
        <v>148.73212228525469</v>
      </c>
      <c r="W41">
        <v>105.5609695934118</v>
      </c>
      <c r="X41">
        <v>0</v>
      </c>
      <c r="Y41">
        <v>29.573465125248561</v>
      </c>
      <c r="Z41">
        <v>75.987504468163209</v>
      </c>
      <c r="AA41">
        <v>0</v>
      </c>
      <c r="AB41">
        <v>0</v>
      </c>
      <c r="AC41" s="25">
        <f t="shared" si="1"/>
        <v>46071</v>
      </c>
      <c r="AE41" s="18">
        <f t="shared" si="0"/>
        <v>45925</v>
      </c>
      <c r="AF41" t="s">
        <v>83</v>
      </c>
      <c r="AG41">
        <v>16.739999999999998</v>
      </c>
    </row>
    <row r="42" spans="1:33">
      <c r="A42" s="27">
        <v>7</v>
      </c>
      <c r="B42" s="27" t="s">
        <v>34</v>
      </c>
      <c r="C42" s="27" t="s">
        <v>35</v>
      </c>
      <c r="D42" s="27">
        <v>54305</v>
      </c>
      <c r="E42" s="29">
        <v>46077.60833333333</v>
      </c>
      <c r="F42" s="27">
        <v>196.52</v>
      </c>
      <c r="G42" s="27">
        <v>51.38</v>
      </c>
      <c r="H42" s="27">
        <v>196.500348</v>
      </c>
      <c r="I42" s="27">
        <v>51.385137999999998</v>
      </c>
      <c r="J42" s="27">
        <v>3.7348129324007542</v>
      </c>
      <c r="K42" s="27">
        <v>1.158442098901695</v>
      </c>
      <c r="L42" s="27">
        <v>-508.854060655404</v>
      </c>
      <c r="M42" s="27">
        <v>2254.6557004704059</v>
      </c>
      <c r="N42" s="27" t="s">
        <v>30</v>
      </c>
      <c r="O42" s="27">
        <v>600000000000</v>
      </c>
      <c r="P42" s="27" t="s">
        <v>31</v>
      </c>
      <c r="Q42" s="27">
        <v>54315</v>
      </c>
      <c r="R42" s="29">
        <v>46077.615277777782</v>
      </c>
      <c r="S42" s="27">
        <v>195.11</v>
      </c>
      <c r="T42" s="27">
        <v>51.38</v>
      </c>
      <c r="U42" s="27">
        <v>0.34825928570165832</v>
      </c>
      <c r="V42" s="27">
        <v>717.48422552411785</v>
      </c>
      <c r="W42" s="27">
        <v>674.387131968625</v>
      </c>
      <c r="X42" s="27">
        <v>0</v>
      </c>
      <c r="Y42" s="27">
        <v>27.6350976112581</v>
      </c>
      <c r="Z42" s="27">
        <v>646.75203435736694</v>
      </c>
      <c r="AA42" s="27">
        <v>1</v>
      </c>
      <c r="AB42" s="27">
        <v>0</v>
      </c>
      <c r="AC42" s="25">
        <f t="shared" si="1"/>
        <v>46077</v>
      </c>
      <c r="AE42" s="18">
        <f t="shared" si="0"/>
        <v>45926</v>
      </c>
      <c r="AF42" t="s">
        <v>84</v>
      </c>
      <c r="AG42">
        <v>15.29</v>
      </c>
    </row>
    <row r="43" spans="1:33">
      <c r="A43">
        <v>7</v>
      </c>
      <c r="B43" t="s">
        <v>34</v>
      </c>
      <c r="C43" t="s">
        <v>35</v>
      </c>
      <c r="D43">
        <v>54691</v>
      </c>
      <c r="E43" s="25">
        <v>46078.604861111111</v>
      </c>
      <c r="F43">
        <v>200.5</v>
      </c>
      <c r="G43">
        <v>51.8</v>
      </c>
      <c r="H43">
        <v>200.47995</v>
      </c>
      <c r="I43">
        <v>51.80518</v>
      </c>
      <c r="J43">
        <v>3.580507586927324</v>
      </c>
      <c r="K43">
        <v>1.158442098901695</v>
      </c>
      <c r="L43">
        <v>-498.75311720698261</v>
      </c>
      <c r="M43">
        <v>2236.37470830443</v>
      </c>
      <c r="N43" t="s">
        <v>30</v>
      </c>
      <c r="O43">
        <v>1200000000000</v>
      </c>
      <c r="P43" t="s">
        <v>31</v>
      </c>
      <c r="Q43">
        <v>54711</v>
      </c>
      <c r="R43" s="25">
        <v>46078.618750000001</v>
      </c>
      <c r="S43">
        <v>197.83500000000001</v>
      </c>
      <c r="T43">
        <v>51.04</v>
      </c>
      <c r="U43">
        <v>0.39904307578637649</v>
      </c>
      <c r="V43">
        <v>-370.46772095475791</v>
      </c>
      <c r="W43">
        <v>-413.33368074923078</v>
      </c>
      <c r="X43">
        <v>0</v>
      </c>
      <c r="Y43">
        <v>27.351278255114121</v>
      </c>
      <c r="Z43">
        <v>-440.68495900434488</v>
      </c>
      <c r="AA43">
        <v>0</v>
      </c>
      <c r="AB43">
        <v>0</v>
      </c>
      <c r="AC43" s="25">
        <f t="shared" si="1"/>
        <v>46078</v>
      </c>
      <c r="AE43" s="18">
        <f t="shared" si="0"/>
        <v>45929</v>
      </c>
      <c r="AF43" t="s">
        <v>85</v>
      </c>
      <c r="AG43">
        <v>16.12</v>
      </c>
    </row>
    <row r="44" spans="1:33">
      <c r="A44" s="27">
        <v>7</v>
      </c>
      <c r="B44" s="27" t="s">
        <v>34</v>
      </c>
      <c r="C44" s="27" t="s">
        <v>35</v>
      </c>
      <c r="D44" s="27">
        <v>55080</v>
      </c>
      <c r="E44" s="29">
        <v>46079.604166666657</v>
      </c>
      <c r="F44" s="27">
        <v>197.15</v>
      </c>
      <c r="G44" s="27">
        <v>49.93</v>
      </c>
      <c r="H44" s="27">
        <v>197.13028499999999</v>
      </c>
      <c r="I44" s="27">
        <v>49.934992999999999</v>
      </c>
      <c r="J44" s="27">
        <v>4.3926995327658496</v>
      </c>
      <c r="K44" s="27">
        <v>1.158442098901695</v>
      </c>
      <c r="L44" s="27">
        <v>-507.22799898554399</v>
      </c>
      <c r="M44" s="27">
        <v>2320.1323831397849</v>
      </c>
      <c r="N44" s="27" t="s">
        <v>30</v>
      </c>
      <c r="O44" s="27">
        <v>1140000000000</v>
      </c>
      <c r="P44" s="27" t="s">
        <v>31</v>
      </c>
      <c r="Q44" s="27">
        <v>55099</v>
      </c>
      <c r="R44" s="29">
        <v>46079.617361111108</v>
      </c>
      <c r="S44" s="27">
        <v>199.2</v>
      </c>
      <c r="T44" s="27">
        <v>50.1</v>
      </c>
      <c r="U44" s="27">
        <v>0.37925609728889659</v>
      </c>
      <c r="V44" s="27">
        <v>-645.39489278658925</v>
      </c>
      <c r="W44" s="27">
        <v>-688.70715875491032</v>
      </c>
      <c r="X44" s="27">
        <v>0</v>
      </c>
      <c r="Y44" s="27">
        <v>28.273603821253289</v>
      </c>
      <c r="Z44" s="27">
        <v>-716.98076257616367</v>
      </c>
      <c r="AA44" s="27">
        <v>4</v>
      </c>
      <c r="AB44" s="27">
        <v>0</v>
      </c>
      <c r="AC44" s="25">
        <f t="shared" si="1"/>
        <v>46079</v>
      </c>
      <c r="AE44" s="18">
        <f t="shared" si="0"/>
        <v>45930</v>
      </c>
      <c r="AF44" t="s">
        <v>86</v>
      </c>
      <c r="AG44">
        <v>16.28</v>
      </c>
    </row>
    <row r="45" spans="1:33">
      <c r="A45">
        <v>10</v>
      </c>
      <c r="B45" t="s">
        <v>33</v>
      </c>
      <c r="C45" t="s">
        <v>29</v>
      </c>
      <c r="D45">
        <v>63235</v>
      </c>
      <c r="E45" s="25">
        <v>46107.781944444447</v>
      </c>
      <c r="F45">
        <v>249.02500000000001</v>
      </c>
      <c r="G45">
        <v>185.45</v>
      </c>
      <c r="H45">
        <v>249.00009750000001</v>
      </c>
      <c r="I45">
        <v>185.46854500000001</v>
      </c>
      <c r="J45">
        <v>4.9104080648364574</v>
      </c>
      <c r="K45">
        <v>1.22062181863135</v>
      </c>
      <c r="L45">
        <v>-401.56610782050001</v>
      </c>
      <c r="M45">
        <v>658.19456383464524</v>
      </c>
      <c r="N45" t="s">
        <v>30</v>
      </c>
      <c r="O45">
        <v>660000000000</v>
      </c>
      <c r="P45" t="s">
        <v>31</v>
      </c>
      <c r="Q45">
        <v>63246</v>
      </c>
      <c r="R45" s="25">
        <v>46107.789583333331</v>
      </c>
      <c r="S45">
        <v>248.34</v>
      </c>
      <c r="T45">
        <v>185.55</v>
      </c>
      <c r="U45">
        <v>0.48475148700621812</v>
      </c>
      <c r="V45">
        <v>340.89224024052282</v>
      </c>
      <c r="W45">
        <v>296.50072920065787</v>
      </c>
      <c r="X45">
        <v>0</v>
      </c>
      <c r="Y45">
        <v>10.59760671655145</v>
      </c>
      <c r="Z45">
        <v>285.90312248410652</v>
      </c>
      <c r="AA45">
        <v>7</v>
      </c>
      <c r="AB45">
        <v>1</v>
      </c>
      <c r="AC45" s="25">
        <f t="shared" si="1"/>
        <v>46107</v>
      </c>
      <c r="AE45" s="18">
        <f t="shared" si="0"/>
        <v>45931</v>
      </c>
      <c r="AF45" s="18">
        <v>45667</v>
      </c>
      <c r="AG45">
        <v>16.29</v>
      </c>
    </row>
    <row r="46" spans="1:33">
      <c r="A46" s="27">
        <v>10</v>
      </c>
      <c r="B46" s="27" t="s">
        <v>33</v>
      </c>
      <c r="C46" s="27" t="s">
        <v>29</v>
      </c>
      <c r="D46" s="27">
        <v>63449</v>
      </c>
      <c r="E46" s="29">
        <v>46108.657638888893</v>
      </c>
      <c r="F46" s="27">
        <v>251.58500000000001</v>
      </c>
      <c r="G46" s="27">
        <v>187.32499999999999</v>
      </c>
      <c r="H46" s="27">
        <v>251.61015850000001</v>
      </c>
      <c r="I46" s="27">
        <v>187.30626749999999</v>
      </c>
      <c r="J46" s="27">
        <v>-3.573731701722922</v>
      </c>
      <c r="K46" s="27">
        <v>1.22062181863135</v>
      </c>
      <c r="L46" s="27">
        <v>397.47997694616129</v>
      </c>
      <c r="M46" s="27">
        <v>-651.606469308074</v>
      </c>
      <c r="N46" s="27" t="s">
        <v>32</v>
      </c>
      <c r="O46" s="27">
        <v>1980000000000</v>
      </c>
      <c r="P46" s="27" t="s">
        <v>31</v>
      </c>
      <c r="Q46" s="27">
        <v>63482</v>
      </c>
      <c r="R46" s="29">
        <v>46108.680555555547</v>
      </c>
      <c r="S46" s="27">
        <v>251.31</v>
      </c>
      <c r="T46" s="27">
        <v>187.5</v>
      </c>
      <c r="U46" s="27">
        <v>-0.13489630510934361</v>
      </c>
      <c r="V46" s="27">
        <v>-223.33812578911699</v>
      </c>
      <c r="W46" s="27">
        <v>-267.75103457559379</v>
      </c>
      <c r="X46" s="27">
        <v>0</v>
      </c>
      <c r="Y46" s="27">
        <v>10.49086446254235</v>
      </c>
      <c r="Z46" s="27">
        <v>-278.24189903813618</v>
      </c>
      <c r="AA46" s="27">
        <v>3</v>
      </c>
      <c r="AB46" s="27">
        <v>0</v>
      </c>
      <c r="AC46" s="25">
        <f t="shared" si="1"/>
        <v>46108</v>
      </c>
      <c r="AE46" s="18">
        <f t="shared" si="0"/>
        <v>45932</v>
      </c>
      <c r="AF46" s="18">
        <v>45698</v>
      </c>
      <c r="AG46">
        <v>16.63</v>
      </c>
    </row>
    <row r="47" spans="1:33">
      <c r="A47">
        <v>10</v>
      </c>
      <c r="B47" t="s">
        <v>33</v>
      </c>
      <c r="C47" t="s">
        <v>29</v>
      </c>
      <c r="D47">
        <v>64198</v>
      </c>
      <c r="E47" s="25">
        <v>46112.675694444442</v>
      </c>
      <c r="F47">
        <v>250.155</v>
      </c>
      <c r="G47">
        <v>185.48</v>
      </c>
      <c r="H47">
        <v>250.12998450000001</v>
      </c>
      <c r="I47">
        <v>185.498548</v>
      </c>
      <c r="J47">
        <v>3.6542911180848119</v>
      </c>
      <c r="K47">
        <v>1.22062181863135</v>
      </c>
      <c r="L47">
        <v>-399.75215366472793</v>
      </c>
      <c r="M47">
        <v>658.08810579650083</v>
      </c>
      <c r="N47" t="s">
        <v>30</v>
      </c>
      <c r="O47">
        <v>540000000000</v>
      </c>
      <c r="P47" t="s">
        <v>31</v>
      </c>
      <c r="Q47">
        <v>64207</v>
      </c>
      <c r="R47" s="25">
        <v>46112.681944444441</v>
      </c>
      <c r="S47">
        <v>248.85</v>
      </c>
      <c r="T47">
        <v>185.13</v>
      </c>
      <c r="U47">
        <v>0.49074797400969639</v>
      </c>
      <c r="V47">
        <v>291.34572350370109</v>
      </c>
      <c r="W47">
        <v>247.0084878708426</v>
      </c>
      <c r="X47">
        <v>0</v>
      </c>
      <c r="Y47">
        <v>10.578402594612291</v>
      </c>
      <c r="Z47">
        <v>236.4300852762303</v>
      </c>
      <c r="AA47">
        <v>1</v>
      </c>
      <c r="AB47">
        <v>0</v>
      </c>
      <c r="AC47" s="25">
        <f t="shared" si="1"/>
        <v>46112</v>
      </c>
      <c r="AE47" s="18">
        <f t="shared" si="0"/>
        <v>45933</v>
      </c>
      <c r="AF47" s="18">
        <v>45726</v>
      </c>
      <c r="AG47">
        <v>16.649999999999999</v>
      </c>
    </row>
    <row r="48" spans="1:33">
      <c r="A48" s="27">
        <v>10</v>
      </c>
      <c r="B48" s="27" t="s">
        <v>33</v>
      </c>
      <c r="C48" s="27" t="s">
        <v>29</v>
      </c>
      <c r="D48" s="27">
        <v>64285</v>
      </c>
      <c r="E48" s="29">
        <v>46112.736111111109</v>
      </c>
      <c r="F48" s="27">
        <v>248.09</v>
      </c>
      <c r="G48" s="27">
        <v>184.095</v>
      </c>
      <c r="H48" s="27">
        <v>248.065191</v>
      </c>
      <c r="I48" s="27">
        <v>184.11340949999999</v>
      </c>
      <c r="J48" s="27">
        <v>3.6647744679837588</v>
      </c>
      <c r="K48" s="27">
        <v>1.22062181863135</v>
      </c>
      <c r="L48" s="27">
        <v>-403.07952759079359</v>
      </c>
      <c r="M48" s="27">
        <v>663.03909320261255</v>
      </c>
      <c r="N48" s="27" t="s">
        <v>30</v>
      </c>
      <c r="O48" s="27">
        <v>360000000000</v>
      </c>
      <c r="P48" s="27" t="s">
        <v>31</v>
      </c>
      <c r="Q48" s="27">
        <v>64291</v>
      </c>
      <c r="R48" s="29">
        <v>46112.740277777782</v>
      </c>
      <c r="S48" s="27">
        <v>245.85</v>
      </c>
      <c r="T48" s="27">
        <v>183.83</v>
      </c>
      <c r="U48" s="27">
        <v>-0.29327374888761082</v>
      </c>
      <c r="V48" s="27">
        <v>727.19278210469815</v>
      </c>
      <c r="W48" s="27">
        <v>682.88820608222522</v>
      </c>
      <c r="X48" s="27">
        <v>0</v>
      </c>
      <c r="Y48" s="27">
        <v>10.66118620793406</v>
      </c>
      <c r="Z48" s="27">
        <v>672.22701987429116</v>
      </c>
      <c r="AA48" s="27">
        <v>0</v>
      </c>
      <c r="AB48" s="27">
        <v>0</v>
      </c>
      <c r="AC48" s="25">
        <f t="shared" si="1"/>
        <v>46112</v>
      </c>
      <c r="AE48" s="18">
        <f t="shared" si="0"/>
        <v>45936</v>
      </c>
      <c r="AF48" s="18">
        <v>45818</v>
      </c>
      <c r="AG48">
        <v>16.37</v>
      </c>
    </row>
    <row r="49" spans="1:33">
      <c r="A49">
        <v>10</v>
      </c>
      <c r="B49" t="s">
        <v>33</v>
      </c>
      <c r="C49" t="s">
        <v>29</v>
      </c>
      <c r="D49">
        <v>64782</v>
      </c>
      <c r="E49" s="25">
        <v>46113.804166666669</v>
      </c>
      <c r="F49">
        <v>234.19</v>
      </c>
      <c r="G49">
        <v>173.37</v>
      </c>
      <c r="H49">
        <v>234.16658100000001</v>
      </c>
      <c r="I49">
        <v>173.387337</v>
      </c>
      <c r="J49">
        <v>3.5816792372259179</v>
      </c>
      <c r="K49">
        <v>1.22062181863135</v>
      </c>
      <c r="L49">
        <v>-427.00371493231989</v>
      </c>
      <c r="M49">
        <v>704.05596044952961</v>
      </c>
      <c r="N49" t="s">
        <v>30</v>
      </c>
      <c r="O49">
        <v>120000000000</v>
      </c>
      <c r="P49" t="s">
        <v>31</v>
      </c>
      <c r="Q49">
        <v>64784</v>
      </c>
      <c r="R49" s="25">
        <v>46113.805555555547</v>
      </c>
      <c r="S49">
        <v>234.19</v>
      </c>
      <c r="T49">
        <v>173.81</v>
      </c>
      <c r="U49">
        <v>0.11875678851728751</v>
      </c>
      <c r="V49">
        <v>309.78462259779138</v>
      </c>
      <c r="W49">
        <v>265.34120776291468</v>
      </c>
      <c r="X49">
        <v>0</v>
      </c>
      <c r="Y49">
        <v>11.310596753818499</v>
      </c>
      <c r="Z49">
        <v>254.03061100909619</v>
      </c>
      <c r="AA49">
        <v>6</v>
      </c>
      <c r="AB49">
        <v>0</v>
      </c>
      <c r="AC49" s="25">
        <f t="shared" si="1"/>
        <v>46113</v>
      </c>
      <c r="AE49" s="18">
        <f t="shared" si="0"/>
        <v>45937</v>
      </c>
      <c r="AF49" s="18">
        <v>45848</v>
      </c>
      <c r="AG49">
        <v>17.239999999999998</v>
      </c>
    </row>
    <row r="50" spans="1:33">
      <c r="A50" s="27">
        <v>10</v>
      </c>
      <c r="B50" s="27" t="s">
        <v>33</v>
      </c>
      <c r="C50" s="27" t="s">
        <v>29</v>
      </c>
      <c r="D50" s="27">
        <v>65579</v>
      </c>
      <c r="E50" s="29">
        <v>46118.8125</v>
      </c>
      <c r="F50" s="27">
        <v>241.45</v>
      </c>
      <c r="G50" s="27">
        <v>176.55</v>
      </c>
      <c r="H50" s="27">
        <v>241.47414499999999</v>
      </c>
      <c r="I50" s="27">
        <v>176.53234499999999</v>
      </c>
      <c r="J50" s="27">
        <v>-3.7413072562041538</v>
      </c>
      <c r="K50" s="27">
        <v>1.22062181863135</v>
      </c>
      <c r="L50" s="27">
        <v>414.16442327604062</v>
      </c>
      <c r="M50" s="27">
        <v>-691.37457866403258</v>
      </c>
      <c r="N50" s="27" t="s">
        <v>32</v>
      </c>
      <c r="O50" s="27">
        <v>1860000000000</v>
      </c>
      <c r="P50" s="27" t="s">
        <v>31</v>
      </c>
      <c r="Q50" s="27">
        <v>65610</v>
      </c>
      <c r="R50" s="29">
        <v>46118.834027777782</v>
      </c>
      <c r="S50" s="27">
        <v>241.24</v>
      </c>
      <c r="T50" s="27">
        <v>176.43</v>
      </c>
      <c r="U50" s="27">
        <v>-2.00300215879562E-2</v>
      </c>
      <c r="V50" s="27">
        <v>-4.0095794482730014</v>
      </c>
      <c r="W50" s="27">
        <v>-48.405021873057578</v>
      </c>
      <c r="X50" s="27">
        <v>0</v>
      </c>
      <c r="Y50" s="27">
        <v>11.055390019400731</v>
      </c>
      <c r="Z50" s="27">
        <v>-59.46041189245831</v>
      </c>
      <c r="AA50" s="27">
        <v>0</v>
      </c>
      <c r="AB50" s="27">
        <v>1</v>
      </c>
      <c r="AC50" s="25">
        <f t="shared" si="1"/>
        <v>46118</v>
      </c>
      <c r="AE50" s="18">
        <f t="shared" si="0"/>
        <v>45938</v>
      </c>
      <c r="AF50" s="18">
        <v>45879</v>
      </c>
      <c r="AG50">
        <v>16.3</v>
      </c>
    </row>
    <row r="51" spans="1:33">
      <c r="A51">
        <v>10</v>
      </c>
      <c r="B51" t="s">
        <v>33</v>
      </c>
      <c r="C51" t="s">
        <v>29</v>
      </c>
      <c r="D51">
        <v>65670</v>
      </c>
      <c r="E51" s="25">
        <v>46119.604861111111</v>
      </c>
      <c r="F51">
        <v>242.74</v>
      </c>
      <c r="G51">
        <v>173.61500000000001</v>
      </c>
      <c r="H51">
        <v>242.71572599999999</v>
      </c>
      <c r="I51">
        <v>173.6323615</v>
      </c>
      <c r="J51">
        <v>3.5116198824709142</v>
      </c>
      <c r="K51">
        <v>1.22062181863135</v>
      </c>
      <c r="L51">
        <v>-411.9634176485128</v>
      </c>
      <c r="M51">
        <v>703.06241893347317</v>
      </c>
      <c r="N51" t="s">
        <v>30</v>
      </c>
      <c r="O51">
        <v>300000000000</v>
      </c>
      <c r="P51" t="s">
        <v>31</v>
      </c>
      <c r="Q51">
        <v>65675</v>
      </c>
      <c r="R51" s="25">
        <v>46119.60833333333</v>
      </c>
      <c r="S51">
        <v>242.74</v>
      </c>
      <c r="T51">
        <v>176.41</v>
      </c>
      <c r="U51">
        <v>0.4348610412770586</v>
      </c>
      <c r="V51">
        <v>1965.0594609190489</v>
      </c>
      <c r="W51">
        <v>1920.4505186003439</v>
      </c>
      <c r="X51">
        <v>0</v>
      </c>
      <c r="Y51">
        <v>11.150258365819861</v>
      </c>
      <c r="Z51">
        <v>1909.3002602345241</v>
      </c>
      <c r="AA51">
        <v>5</v>
      </c>
      <c r="AB51">
        <v>0</v>
      </c>
      <c r="AC51" s="25">
        <f t="shared" si="1"/>
        <v>46119</v>
      </c>
      <c r="AE51" s="18">
        <f t="shared" si="0"/>
        <v>45939</v>
      </c>
      <c r="AF51" s="18">
        <v>45910</v>
      </c>
      <c r="AG51">
        <v>16.43</v>
      </c>
    </row>
    <row r="52" spans="1:33">
      <c r="A52" s="27">
        <v>10</v>
      </c>
      <c r="B52" s="27" t="s">
        <v>33</v>
      </c>
      <c r="C52" s="27" t="s">
        <v>29</v>
      </c>
      <c r="D52" s="27">
        <v>66064</v>
      </c>
      <c r="E52" s="29">
        <v>46120.604861111111</v>
      </c>
      <c r="F52" s="27">
        <v>231.02</v>
      </c>
      <c r="G52" s="27">
        <v>164.185</v>
      </c>
      <c r="H52" s="27">
        <v>230.99689799999999</v>
      </c>
      <c r="I52" s="27">
        <v>164.20141849999999</v>
      </c>
      <c r="J52" s="27">
        <v>3.977296543813265</v>
      </c>
      <c r="K52" s="27">
        <v>1.22062181863135</v>
      </c>
      <c r="L52" s="27">
        <v>-432.86295558826072</v>
      </c>
      <c r="M52" s="27">
        <v>743.44295680564585</v>
      </c>
      <c r="N52" s="27" t="s">
        <v>30</v>
      </c>
      <c r="O52" s="27">
        <v>420000000000</v>
      </c>
      <c r="P52" s="27" t="s">
        <v>31</v>
      </c>
      <c r="Q52" s="27">
        <v>66071</v>
      </c>
      <c r="R52" s="29">
        <v>46120.609722222223</v>
      </c>
      <c r="S52" s="27">
        <v>229.73500000000001</v>
      </c>
      <c r="T52" s="27">
        <v>165.06</v>
      </c>
      <c r="U52" s="27">
        <v>-0.44118600517265599</v>
      </c>
      <c r="V52" s="27">
        <v>1206.741485135854</v>
      </c>
      <c r="W52" s="27">
        <v>1162.3196203943151</v>
      </c>
      <c r="X52" s="27">
        <v>0</v>
      </c>
      <c r="Y52" s="27">
        <v>11.763059123939071</v>
      </c>
      <c r="Z52" s="27">
        <v>1150.5565612703761</v>
      </c>
      <c r="AA52" s="27">
        <v>0</v>
      </c>
      <c r="AB52" s="27">
        <v>0</v>
      </c>
      <c r="AC52" s="25">
        <f t="shared" si="1"/>
        <v>46120</v>
      </c>
      <c r="AE52" s="18">
        <f t="shared" si="0"/>
        <v>45940</v>
      </c>
      <c r="AF52" s="18">
        <v>45940</v>
      </c>
      <c r="AG52">
        <v>21.66</v>
      </c>
    </row>
    <row r="53" spans="1:33">
      <c r="A53">
        <v>10</v>
      </c>
      <c r="B53" t="s">
        <v>33</v>
      </c>
      <c r="C53" t="s">
        <v>29</v>
      </c>
      <c r="D53">
        <v>66820</v>
      </c>
      <c r="E53" s="25">
        <v>46121.857638888891</v>
      </c>
      <c r="F53">
        <v>223.8</v>
      </c>
      <c r="G53">
        <v>160.91</v>
      </c>
      <c r="H53">
        <v>223.77762000000001</v>
      </c>
      <c r="I53">
        <v>160.92609100000001</v>
      </c>
      <c r="J53">
        <v>4.0550521074447063</v>
      </c>
      <c r="K53">
        <v>1.22062181863135</v>
      </c>
      <c r="L53">
        <v>-446.82752457551379</v>
      </c>
      <c r="M53">
        <v>758.57424562261485</v>
      </c>
      <c r="N53" t="s">
        <v>30</v>
      </c>
      <c r="O53">
        <v>840000000000</v>
      </c>
      <c r="P53" t="s">
        <v>31</v>
      </c>
      <c r="Q53">
        <v>66834</v>
      </c>
      <c r="R53" s="25">
        <v>46121.867361111108</v>
      </c>
      <c r="S53">
        <v>222.64500000000001</v>
      </c>
      <c r="T53">
        <v>160.41499999999999</v>
      </c>
      <c r="U53">
        <v>0.44230668871079287</v>
      </c>
      <c r="V53">
        <v>140.59153930152121</v>
      </c>
      <c r="W53">
        <v>96.268260933147758</v>
      </c>
      <c r="X53">
        <v>0</v>
      </c>
      <c r="Y53">
        <v>12.054017701981291</v>
      </c>
      <c r="Z53">
        <v>84.214243231166478</v>
      </c>
      <c r="AA53">
        <v>1</v>
      </c>
      <c r="AB53">
        <v>0</v>
      </c>
      <c r="AC53" s="25">
        <f t="shared" si="1"/>
        <v>46121</v>
      </c>
      <c r="AE53" s="18">
        <f t="shared" si="0"/>
        <v>45943</v>
      </c>
      <c r="AF53" t="s">
        <v>87</v>
      </c>
      <c r="AG53">
        <v>19.03</v>
      </c>
    </row>
    <row r="54" spans="1:33">
      <c r="A54" s="27">
        <v>10</v>
      </c>
      <c r="B54" s="27" t="s">
        <v>33</v>
      </c>
      <c r="C54" s="27" t="s">
        <v>29</v>
      </c>
      <c r="D54" s="27">
        <v>66845</v>
      </c>
      <c r="E54" s="29">
        <v>46122.604166666657</v>
      </c>
      <c r="F54" s="27">
        <v>221.54</v>
      </c>
      <c r="G54" s="27">
        <v>160.94</v>
      </c>
      <c r="H54" s="27">
        <v>221.56215399999999</v>
      </c>
      <c r="I54" s="27">
        <v>160.92390599999999</v>
      </c>
      <c r="J54" s="27">
        <v>-3.8854422184584951</v>
      </c>
      <c r="K54" s="27">
        <v>1.22062181863135</v>
      </c>
      <c r="L54" s="27">
        <v>451.38575426559538</v>
      </c>
      <c r="M54" s="27">
        <v>-758.43284368792695</v>
      </c>
      <c r="N54" s="27" t="s">
        <v>32</v>
      </c>
      <c r="O54" s="27">
        <v>900000000000</v>
      </c>
      <c r="P54" s="27" t="s">
        <v>31</v>
      </c>
      <c r="Q54" s="27">
        <v>66860</v>
      </c>
      <c r="R54" s="29">
        <v>46122.614583333343</v>
      </c>
      <c r="S54" s="27">
        <v>221.565</v>
      </c>
      <c r="T54" s="27">
        <v>160.62</v>
      </c>
      <c r="U54" s="27">
        <v>-0.48827037235655152</v>
      </c>
      <c r="V54" s="27">
        <v>253.98315383677391</v>
      </c>
      <c r="W54" s="27">
        <v>209.59385885075051</v>
      </c>
      <c r="X54" s="27">
        <v>0</v>
      </c>
      <c r="Y54" s="27">
        <v>12.09818597953522</v>
      </c>
      <c r="Z54" s="27">
        <v>197.49567287121531</v>
      </c>
      <c r="AA54" s="27">
        <v>2</v>
      </c>
      <c r="AB54" s="27">
        <v>0</v>
      </c>
      <c r="AC54" s="25">
        <f t="shared" si="1"/>
        <v>46122</v>
      </c>
      <c r="AE54" s="18">
        <f t="shared" si="0"/>
        <v>45944</v>
      </c>
      <c r="AF54" t="s">
        <v>88</v>
      </c>
      <c r="AG54">
        <v>20.81</v>
      </c>
    </row>
    <row r="55" spans="1:33">
      <c r="A55">
        <v>11</v>
      </c>
      <c r="B55" t="s">
        <v>36</v>
      </c>
      <c r="C55" t="s">
        <v>29</v>
      </c>
      <c r="D55">
        <v>67195</v>
      </c>
      <c r="E55" s="25">
        <v>46122.847222222219</v>
      </c>
      <c r="F55">
        <v>187.9</v>
      </c>
      <c r="G55">
        <v>158.25</v>
      </c>
      <c r="H55">
        <v>187.88121000000001</v>
      </c>
      <c r="I55">
        <v>158.26582500000001</v>
      </c>
      <c r="J55">
        <v>3.744955882909248</v>
      </c>
      <c r="K55">
        <v>0.77505102113738866</v>
      </c>
      <c r="L55">
        <v>-532.19797764768498</v>
      </c>
      <c r="M55">
        <v>489.76367844384748</v>
      </c>
      <c r="N55" t="s">
        <v>30</v>
      </c>
      <c r="O55">
        <v>600000000000</v>
      </c>
      <c r="P55" t="s">
        <v>31</v>
      </c>
      <c r="Q55">
        <v>67205</v>
      </c>
      <c r="R55" s="25">
        <v>46122.854166666657</v>
      </c>
      <c r="S55">
        <v>188.05500000000001</v>
      </c>
      <c r="T55">
        <v>158.6</v>
      </c>
      <c r="U55">
        <v>0.44766662113387379</v>
      </c>
      <c r="V55">
        <v>88.926600919952051</v>
      </c>
      <c r="W55">
        <v>53.400189699810568</v>
      </c>
      <c r="X55">
        <v>0</v>
      </c>
      <c r="Y55">
        <v>10.21961656091532</v>
      </c>
      <c r="Z55">
        <v>43.180573138895241</v>
      </c>
      <c r="AA55">
        <v>0</v>
      </c>
      <c r="AB55">
        <v>0</v>
      </c>
      <c r="AC55" s="25">
        <f t="shared" si="1"/>
        <v>46122</v>
      </c>
      <c r="AE55" s="18">
        <f t="shared" si="0"/>
        <v>45945</v>
      </c>
      <c r="AF55" t="s">
        <v>89</v>
      </c>
      <c r="AG55">
        <v>20.64</v>
      </c>
    </row>
    <row r="56" spans="1:33">
      <c r="A56" s="27">
        <v>11</v>
      </c>
      <c r="B56" s="27" t="s">
        <v>36</v>
      </c>
      <c r="C56" s="27" t="s">
        <v>29</v>
      </c>
      <c r="D56" s="27">
        <v>67243</v>
      </c>
      <c r="E56" s="29">
        <v>46125.606944444437</v>
      </c>
      <c r="F56" s="27">
        <v>191.30500000000001</v>
      </c>
      <c r="G56" s="27">
        <v>160.69999999999999</v>
      </c>
      <c r="H56" s="27">
        <v>191.28586949999999</v>
      </c>
      <c r="I56" s="27">
        <v>160.71607</v>
      </c>
      <c r="J56" s="27">
        <v>3.5145051363200022</v>
      </c>
      <c r="K56" s="27">
        <v>0.77505102113738866</v>
      </c>
      <c r="L56" s="27">
        <v>-522.72549070855439</v>
      </c>
      <c r="M56" s="27">
        <v>482.29683953788958</v>
      </c>
      <c r="N56" s="27" t="s">
        <v>30</v>
      </c>
      <c r="O56" s="27">
        <v>1020000000000</v>
      </c>
      <c r="P56" s="27" t="s">
        <v>31</v>
      </c>
      <c r="Q56" s="27">
        <v>67260</v>
      </c>
      <c r="R56" s="29">
        <v>46125.618750000001</v>
      </c>
      <c r="S56" s="27">
        <v>191.36</v>
      </c>
      <c r="T56" s="27">
        <v>160.27000000000001</v>
      </c>
      <c r="U56" s="27">
        <v>0.37838138244659469</v>
      </c>
      <c r="V56" s="27">
        <v>-236.13754299025621</v>
      </c>
      <c r="W56" s="27">
        <v>-271.62069963909511</v>
      </c>
      <c r="X56" s="27">
        <v>0</v>
      </c>
      <c r="Y56" s="27">
        <v>10.05022330246444</v>
      </c>
      <c r="Z56" s="27">
        <v>-281.67092294155952</v>
      </c>
      <c r="AA56" s="27">
        <v>0</v>
      </c>
      <c r="AB56" s="27">
        <v>5</v>
      </c>
      <c r="AC56" s="25">
        <f t="shared" si="1"/>
        <v>46125</v>
      </c>
      <c r="AE56" s="18">
        <f t="shared" si="0"/>
        <v>45946</v>
      </c>
      <c r="AF56" t="s">
        <v>90</v>
      </c>
      <c r="AG56">
        <v>25.31</v>
      </c>
    </row>
    <row r="57" spans="1:33">
      <c r="A57">
        <v>11</v>
      </c>
      <c r="B57" t="s">
        <v>36</v>
      </c>
      <c r="C57" t="s">
        <v>29</v>
      </c>
      <c r="D57">
        <v>68026</v>
      </c>
      <c r="E57" s="25">
        <v>46127.607638888891</v>
      </c>
      <c r="F57">
        <v>185.79</v>
      </c>
      <c r="G57">
        <v>158.87</v>
      </c>
      <c r="H57">
        <v>185.80857900000001</v>
      </c>
      <c r="I57">
        <v>158.85411300000001</v>
      </c>
      <c r="J57">
        <v>-3.7693569611492679</v>
      </c>
      <c r="K57">
        <v>0.77505102113738866</v>
      </c>
      <c r="L57">
        <v>538.24210129716346</v>
      </c>
      <c r="M57">
        <v>-487.85234540025709</v>
      </c>
      <c r="N57" t="s">
        <v>32</v>
      </c>
      <c r="O57">
        <v>540000000000</v>
      </c>
      <c r="P57" t="s">
        <v>31</v>
      </c>
      <c r="Q57">
        <v>68035</v>
      </c>
      <c r="R57" s="25">
        <v>46127.613888888889</v>
      </c>
      <c r="S57">
        <v>185.59</v>
      </c>
      <c r="T57">
        <v>157.69</v>
      </c>
      <c r="U57">
        <v>-3.7332069645306262E-2</v>
      </c>
      <c r="V57">
        <v>468.01734731288019</v>
      </c>
      <c r="W57">
        <v>432.58465830891708</v>
      </c>
      <c r="X57">
        <v>0</v>
      </c>
      <c r="Y57">
        <v>10.260944466974211</v>
      </c>
      <c r="Z57">
        <v>422.32371384194289</v>
      </c>
      <c r="AA57">
        <v>0</v>
      </c>
      <c r="AB57">
        <v>0</v>
      </c>
      <c r="AC57" s="25">
        <f t="shared" si="1"/>
        <v>46127</v>
      </c>
      <c r="AE57" s="18">
        <f t="shared" si="0"/>
        <v>45947</v>
      </c>
      <c r="AF57" t="s">
        <v>91</v>
      </c>
      <c r="AG57">
        <v>20.78</v>
      </c>
    </row>
    <row r="58" spans="1:33">
      <c r="A58" s="27">
        <v>11</v>
      </c>
      <c r="B58" s="27" t="s">
        <v>36</v>
      </c>
      <c r="C58" s="27" t="s">
        <v>29</v>
      </c>
      <c r="D58" s="27">
        <v>68807</v>
      </c>
      <c r="E58" s="29">
        <v>46129.604861111111</v>
      </c>
      <c r="F58" s="27">
        <v>180.27</v>
      </c>
      <c r="G58" s="27">
        <v>157.51</v>
      </c>
      <c r="H58" s="27">
        <v>180.288027</v>
      </c>
      <c r="I58" s="27">
        <v>157.494249</v>
      </c>
      <c r="J58" s="27">
        <v>-4.643654527491635</v>
      </c>
      <c r="K58" s="27">
        <v>0.77505102113738866</v>
      </c>
      <c r="L58" s="27">
        <v>554.72347035003042</v>
      </c>
      <c r="M58" s="27">
        <v>-492.06464423680308</v>
      </c>
      <c r="N58" s="27" t="s">
        <v>32</v>
      </c>
      <c r="O58" s="27">
        <v>660000000000</v>
      </c>
      <c r="P58" s="27" t="s">
        <v>31</v>
      </c>
      <c r="Q58" s="27">
        <v>68818</v>
      </c>
      <c r="R58" s="29">
        <v>46129.612500000003</v>
      </c>
      <c r="S58" s="27">
        <v>180.73</v>
      </c>
      <c r="T58" s="27">
        <v>156.75</v>
      </c>
      <c r="U58" s="27">
        <v>-0.41466815833355491</v>
      </c>
      <c r="V58" s="27">
        <v>629.14192598096849</v>
      </c>
      <c r="W58" s="27">
        <v>593.65278519156868</v>
      </c>
      <c r="X58" s="27">
        <v>0</v>
      </c>
      <c r="Y58" s="27">
        <v>10.46788114586834</v>
      </c>
      <c r="Z58" s="27">
        <v>583.18490404570036</v>
      </c>
      <c r="AA58" s="27">
        <v>0</v>
      </c>
      <c r="AB58" s="27">
        <v>0</v>
      </c>
      <c r="AC58" s="25">
        <f t="shared" si="1"/>
        <v>46129</v>
      </c>
      <c r="AE58" s="18">
        <f t="shared" si="0"/>
        <v>45950</v>
      </c>
      <c r="AF58" t="s">
        <v>92</v>
      </c>
      <c r="AG58">
        <v>18.23</v>
      </c>
    </row>
    <row r="59" spans="1:33">
      <c r="A59">
        <v>11</v>
      </c>
      <c r="B59" t="s">
        <v>36</v>
      </c>
      <c r="C59" t="s">
        <v>29</v>
      </c>
      <c r="D59">
        <v>69198</v>
      </c>
      <c r="E59" s="25">
        <v>46132.604861111111</v>
      </c>
      <c r="F59">
        <v>184.66</v>
      </c>
      <c r="G59">
        <v>155.86000000000001</v>
      </c>
      <c r="H59">
        <v>184.64153400000001</v>
      </c>
      <c r="I59">
        <v>155.875586</v>
      </c>
      <c r="J59">
        <v>3.5344591920289221</v>
      </c>
      <c r="K59">
        <v>0.77505102113738866</v>
      </c>
      <c r="L59">
        <v>-541.53579551608357</v>
      </c>
      <c r="M59">
        <v>497.27384905517039</v>
      </c>
      <c r="N59" t="s">
        <v>30</v>
      </c>
      <c r="O59">
        <v>180000000000</v>
      </c>
      <c r="P59" t="s">
        <v>31</v>
      </c>
      <c r="Q59">
        <v>69201</v>
      </c>
      <c r="R59" s="25">
        <v>46132.606944444437</v>
      </c>
      <c r="S59">
        <v>183.98</v>
      </c>
      <c r="T59">
        <v>156.06</v>
      </c>
      <c r="U59">
        <v>-6.9036553120464111E-2</v>
      </c>
      <c r="V59">
        <v>467.69911076196888</v>
      </c>
      <c r="W59">
        <v>432.22496929635798</v>
      </c>
      <c r="X59">
        <v>0</v>
      </c>
      <c r="Y59">
        <v>10.38809644571254</v>
      </c>
      <c r="Z59">
        <v>421.83687285064542</v>
      </c>
      <c r="AA59">
        <v>0</v>
      </c>
      <c r="AB59">
        <v>2</v>
      </c>
      <c r="AC59" s="25">
        <f t="shared" si="1"/>
        <v>46132</v>
      </c>
      <c r="AE59" s="18">
        <f t="shared" si="0"/>
        <v>45951</v>
      </c>
      <c r="AF59" t="s">
        <v>93</v>
      </c>
      <c r="AG59">
        <v>17.87</v>
      </c>
    </row>
    <row r="60" spans="1:33">
      <c r="A60" s="27">
        <v>11</v>
      </c>
      <c r="B60" s="27" t="s">
        <v>36</v>
      </c>
      <c r="C60" s="27" t="s">
        <v>29</v>
      </c>
      <c r="D60" s="27">
        <v>69297</v>
      </c>
      <c r="E60" s="29">
        <v>46132.673611111109</v>
      </c>
      <c r="F60" s="27">
        <v>184.97</v>
      </c>
      <c r="G60" s="27">
        <v>156.69</v>
      </c>
      <c r="H60" s="27">
        <v>184.988497</v>
      </c>
      <c r="I60" s="27">
        <v>156.674331</v>
      </c>
      <c r="J60" s="27">
        <v>-3.614624488690819</v>
      </c>
      <c r="K60" s="27">
        <v>0.77505102113738866</v>
      </c>
      <c r="L60" s="27">
        <v>540.62820997999677</v>
      </c>
      <c r="M60" s="27">
        <v>-494.63974799756761</v>
      </c>
      <c r="N60" s="27" t="s">
        <v>32</v>
      </c>
      <c r="O60" s="27">
        <v>1260000000000</v>
      </c>
      <c r="P60" s="27" t="s">
        <v>31</v>
      </c>
      <c r="Q60" s="27">
        <v>69318</v>
      </c>
      <c r="R60" s="29">
        <v>46132.688194444447</v>
      </c>
      <c r="S60" s="27">
        <v>184.42</v>
      </c>
      <c r="T60" s="27">
        <v>156.27500000000001</v>
      </c>
      <c r="U60" s="27">
        <v>-0.43904363960664139</v>
      </c>
      <c r="V60" s="27">
        <v>-92.070020070017762</v>
      </c>
      <c r="W60" s="27">
        <v>-127.52077839166731</v>
      </c>
      <c r="X60" s="27">
        <v>0</v>
      </c>
      <c r="Y60" s="27">
        <v>10.352679579775639</v>
      </c>
      <c r="Z60" s="27">
        <v>-137.87345797144289</v>
      </c>
      <c r="AA60" s="27">
        <v>0</v>
      </c>
      <c r="AB60" s="27">
        <v>2</v>
      </c>
      <c r="AC60" s="25">
        <f t="shared" si="1"/>
        <v>46132</v>
      </c>
      <c r="AE60" s="18">
        <f t="shared" si="0"/>
        <v>45952</v>
      </c>
      <c r="AF60" t="s">
        <v>94</v>
      </c>
      <c r="AG60">
        <v>18.600000000000001</v>
      </c>
    </row>
    <row r="61" spans="1:33">
      <c r="A61">
        <v>11</v>
      </c>
      <c r="B61" t="s">
        <v>36</v>
      </c>
      <c r="C61" t="s">
        <v>29</v>
      </c>
      <c r="D61">
        <v>69977</v>
      </c>
      <c r="E61" s="25">
        <v>46134.604166666657</v>
      </c>
      <c r="F61">
        <v>188.505</v>
      </c>
      <c r="G61">
        <v>160.80000000000001</v>
      </c>
      <c r="H61">
        <v>188.48614950000001</v>
      </c>
      <c r="I61">
        <v>160.81608</v>
      </c>
      <c r="J61">
        <v>3.791539733503182</v>
      </c>
      <c r="K61">
        <v>0.77505102113738866</v>
      </c>
      <c r="L61">
        <v>-530.48990742951116</v>
      </c>
      <c r="M61">
        <v>481.99690369240579</v>
      </c>
      <c r="N61" t="s">
        <v>30</v>
      </c>
      <c r="O61">
        <v>1080000000000</v>
      </c>
      <c r="P61" t="s">
        <v>31</v>
      </c>
      <c r="Q61">
        <v>69995</v>
      </c>
      <c r="R61" s="25">
        <v>46134.616666666669</v>
      </c>
      <c r="S61">
        <v>188.34</v>
      </c>
      <c r="T61">
        <v>160.86500000000001</v>
      </c>
      <c r="U61">
        <v>0.45065044984552988</v>
      </c>
      <c r="V61">
        <v>118.86063346587039</v>
      </c>
      <c r="W61">
        <v>83.36523314673579</v>
      </c>
      <c r="X61">
        <v>0</v>
      </c>
      <c r="Y61">
        <v>10.12486811121917</v>
      </c>
      <c r="Z61">
        <v>73.240365035516618</v>
      </c>
      <c r="AA61">
        <v>0</v>
      </c>
      <c r="AB61">
        <v>0</v>
      </c>
      <c r="AC61" s="25">
        <f t="shared" si="1"/>
        <v>46134</v>
      </c>
      <c r="AE61" s="18">
        <f t="shared" si="0"/>
        <v>45953</v>
      </c>
      <c r="AF61" t="s">
        <v>95</v>
      </c>
      <c r="AG61">
        <v>17.3</v>
      </c>
    </row>
    <row r="62" spans="1:33">
      <c r="A62" s="27">
        <v>11</v>
      </c>
      <c r="B62" s="27" t="s">
        <v>36</v>
      </c>
      <c r="C62" s="27" t="s">
        <v>29</v>
      </c>
      <c r="D62" s="27">
        <v>70362</v>
      </c>
      <c r="E62" s="29">
        <v>46134.871527777781</v>
      </c>
      <c r="F62" s="27">
        <v>186.215</v>
      </c>
      <c r="G62" s="27">
        <v>160.78</v>
      </c>
      <c r="H62" s="27">
        <v>186.2336215</v>
      </c>
      <c r="I62" s="27">
        <v>160.76392200000001</v>
      </c>
      <c r="J62" s="27">
        <v>-3.525270393669647</v>
      </c>
      <c r="K62" s="27">
        <v>0.77505102113738866</v>
      </c>
      <c r="L62" s="27">
        <v>537.01366699782511</v>
      </c>
      <c r="M62" s="27">
        <v>-482.05686101342741</v>
      </c>
      <c r="N62" s="27" t="s">
        <v>32</v>
      </c>
      <c r="O62" s="27">
        <v>63420000000000</v>
      </c>
      <c r="P62" s="27" t="s">
        <v>31</v>
      </c>
      <c r="Q62" s="27">
        <v>70370</v>
      </c>
      <c r="R62" s="29">
        <v>46135.605555555558</v>
      </c>
      <c r="S62" s="27">
        <v>187.8</v>
      </c>
      <c r="T62" s="27">
        <v>162.05000000000001</v>
      </c>
      <c r="U62" s="27">
        <v>-0.19480948541043649</v>
      </c>
      <c r="V62" s="27">
        <v>238.9544487044993</v>
      </c>
      <c r="W62" s="27">
        <v>203.30709039420111</v>
      </c>
      <c r="X62" s="27">
        <v>0</v>
      </c>
      <c r="Y62" s="27">
        <v>10.190705280112519</v>
      </c>
      <c r="Z62" s="27">
        <v>193.1163851140885</v>
      </c>
      <c r="AA62" s="27">
        <v>0</v>
      </c>
      <c r="AB62" s="27">
        <v>1</v>
      </c>
      <c r="AC62" s="25">
        <f t="shared" si="1"/>
        <v>46135</v>
      </c>
      <c r="AE62" s="18">
        <f t="shared" si="0"/>
        <v>45954</v>
      </c>
      <c r="AF62" t="s">
        <v>96</v>
      </c>
      <c r="AG62">
        <v>16.37</v>
      </c>
    </row>
    <row r="63" spans="1:33">
      <c r="A63">
        <v>11</v>
      </c>
      <c r="B63" t="s">
        <v>36</v>
      </c>
      <c r="C63" t="s">
        <v>29</v>
      </c>
      <c r="D63">
        <v>70759</v>
      </c>
      <c r="E63" s="25">
        <v>46136.604861111111</v>
      </c>
      <c r="F63">
        <v>185.9</v>
      </c>
      <c r="G63">
        <v>160.64500000000001</v>
      </c>
      <c r="H63">
        <v>185.91858999999999</v>
      </c>
      <c r="I63">
        <v>160.62893550000001</v>
      </c>
      <c r="J63">
        <v>-4.2259717300797286</v>
      </c>
      <c r="K63">
        <v>0.77505102113738866</v>
      </c>
      <c r="L63">
        <v>537.92361484669175</v>
      </c>
      <c r="M63">
        <v>-482.46196342082771</v>
      </c>
      <c r="N63" t="s">
        <v>32</v>
      </c>
      <c r="O63">
        <v>1380000000000</v>
      </c>
      <c r="P63" t="s">
        <v>31</v>
      </c>
      <c r="Q63">
        <v>70782</v>
      </c>
      <c r="R63" s="25">
        <v>46136.620833333327</v>
      </c>
      <c r="S63">
        <v>185.69</v>
      </c>
      <c r="T63">
        <v>161.36500000000001</v>
      </c>
      <c r="U63">
        <v>-0.40759844401976503</v>
      </c>
      <c r="V63">
        <v>-460.33657278080489</v>
      </c>
      <c r="W63">
        <v>-495.86103406898673</v>
      </c>
      <c r="X63">
        <v>0</v>
      </c>
      <c r="Y63">
        <v>10.203855782675189</v>
      </c>
      <c r="Z63">
        <v>-506.06488985166192</v>
      </c>
      <c r="AA63">
        <v>0</v>
      </c>
      <c r="AB63">
        <v>1</v>
      </c>
      <c r="AC63" s="25">
        <f t="shared" si="1"/>
        <v>46136</v>
      </c>
      <c r="AE63" s="18">
        <f t="shared" si="0"/>
        <v>45957</v>
      </c>
      <c r="AF63" t="s">
        <v>97</v>
      </c>
      <c r="AG63">
        <v>15.79</v>
      </c>
    </row>
    <row r="64" spans="1:33">
      <c r="A64" s="27">
        <v>12</v>
      </c>
      <c r="B64" s="27" t="s">
        <v>36</v>
      </c>
      <c r="C64" s="27" t="s">
        <v>29</v>
      </c>
      <c r="D64" s="27">
        <v>71148</v>
      </c>
      <c r="E64" s="29">
        <v>46139.604166666657</v>
      </c>
      <c r="F64" s="27">
        <v>186.99</v>
      </c>
      <c r="G64" s="27">
        <v>163.61500000000001</v>
      </c>
      <c r="H64" s="27">
        <v>186.97130100000001</v>
      </c>
      <c r="I64" s="27">
        <v>163.6313615</v>
      </c>
      <c r="J64" s="27">
        <v>4.5965719261675861</v>
      </c>
      <c r="K64" s="27">
        <v>0.71286785798619834</v>
      </c>
      <c r="L64" s="27">
        <v>-534.78795657521789</v>
      </c>
      <c r="M64" s="27">
        <v>435.69835160969251</v>
      </c>
      <c r="N64" s="27" t="s">
        <v>30</v>
      </c>
      <c r="O64" s="27">
        <v>300000000000</v>
      </c>
      <c r="P64" s="27" t="s">
        <v>31</v>
      </c>
      <c r="Q64" s="27">
        <v>71153</v>
      </c>
      <c r="R64" s="29">
        <v>46139.607638888891</v>
      </c>
      <c r="S64" s="27">
        <v>187.24</v>
      </c>
      <c r="T64" s="27">
        <v>165.23500000000001</v>
      </c>
      <c r="U64" s="27">
        <v>0.29119212302244563</v>
      </c>
      <c r="V64" s="27">
        <v>572.13434046389932</v>
      </c>
      <c r="W64" s="27">
        <v>537.7930304723086</v>
      </c>
      <c r="X64" s="27">
        <v>0</v>
      </c>
      <c r="Y64" s="27">
        <v>9.7048630818491048</v>
      </c>
      <c r="Z64" s="27">
        <v>528.08816739045949</v>
      </c>
      <c r="AA64" s="27">
        <v>0</v>
      </c>
      <c r="AB64" s="27">
        <v>1</v>
      </c>
      <c r="AC64" s="25">
        <f t="shared" si="1"/>
        <v>46139</v>
      </c>
      <c r="AE64" s="18">
        <f t="shared" si="0"/>
        <v>45958</v>
      </c>
      <c r="AF64" t="s">
        <v>98</v>
      </c>
      <c r="AG64">
        <v>16.420000000000002</v>
      </c>
    </row>
    <row r="65" spans="1:33">
      <c r="A65">
        <v>12</v>
      </c>
      <c r="B65" t="s">
        <v>36</v>
      </c>
      <c r="C65" t="s">
        <v>29</v>
      </c>
      <c r="D65">
        <v>71418</v>
      </c>
      <c r="E65" s="25">
        <v>46139.791666666657</v>
      </c>
      <c r="F65">
        <v>184.05</v>
      </c>
      <c r="G65">
        <v>164.35</v>
      </c>
      <c r="H65">
        <v>184.03159500000001</v>
      </c>
      <c r="I65">
        <v>164.366435</v>
      </c>
      <c r="J65">
        <v>4.0839952032515781</v>
      </c>
      <c r="K65">
        <v>0.71286785798619834</v>
      </c>
      <c r="L65">
        <v>-543.33061668024993</v>
      </c>
      <c r="M65">
        <v>433.74983753343378</v>
      </c>
      <c r="N65" t="s">
        <v>30</v>
      </c>
      <c r="O65">
        <v>2580000000000</v>
      </c>
      <c r="P65" t="s">
        <v>31</v>
      </c>
      <c r="Q65">
        <v>71461</v>
      </c>
      <c r="R65" s="25">
        <v>46139.821527777778</v>
      </c>
      <c r="S65">
        <v>185.59</v>
      </c>
      <c r="T65">
        <v>165.08</v>
      </c>
      <c r="U65">
        <v>0.49262902626480581</v>
      </c>
      <c r="V65">
        <v>-520.09176828816612</v>
      </c>
      <c r="W65">
        <v>-554.46446210100021</v>
      </c>
      <c r="X65">
        <v>0</v>
      </c>
      <c r="Y65">
        <v>9.7708045421368368</v>
      </c>
      <c r="Z65">
        <v>-564.23526664313704</v>
      </c>
      <c r="AA65">
        <v>0</v>
      </c>
      <c r="AB65">
        <v>2</v>
      </c>
      <c r="AC65" s="25">
        <f t="shared" si="1"/>
        <v>46139</v>
      </c>
      <c r="AE65" s="18">
        <f t="shared" si="0"/>
        <v>45959</v>
      </c>
      <c r="AF65" t="s">
        <v>99</v>
      </c>
      <c r="AG65">
        <v>16.920000000000002</v>
      </c>
    </row>
    <row r="66" spans="1:33">
      <c r="A66" s="27">
        <v>12</v>
      </c>
      <c r="B66" s="27" t="s">
        <v>36</v>
      </c>
      <c r="C66" s="27" t="s">
        <v>29</v>
      </c>
      <c r="D66" s="27">
        <v>72207</v>
      </c>
      <c r="E66" s="29">
        <v>46141.795138888891</v>
      </c>
      <c r="F66" s="27">
        <v>191.72</v>
      </c>
      <c r="G66" s="27">
        <v>174.39</v>
      </c>
      <c r="H66" s="27">
        <v>191.700828</v>
      </c>
      <c r="I66" s="27">
        <v>174.40743900000001</v>
      </c>
      <c r="J66" s="27">
        <v>3.80701581720102</v>
      </c>
      <c r="K66" s="27">
        <v>0.71286785798619834</v>
      </c>
      <c r="L66" s="27">
        <v>-521.59399123722096</v>
      </c>
      <c r="M66" s="27">
        <v>408.77794482837231</v>
      </c>
      <c r="N66" s="27" t="s">
        <v>30</v>
      </c>
      <c r="O66" s="27">
        <v>2580000000000</v>
      </c>
      <c r="P66" s="27" t="s">
        <v>31</v>
      </c>
      <c r="Q66" s="27">
        <v>72250</v>
      </c>
      <c r="R66" s="29">
        <v>46141.824999999997</v>
      </c>
      <c r="S66" s="27">
        <v>191.16</v>
      </c>
      <c r="T66" s="27">
        <v>172.12</v>
      </c>
      <c r="U66" s="27">
        <v>0.18707846164989109</v>
      </c>
      <c r="V66" s="27">
        <v>-635.83329966755264</v>
      </c>
      <c r="W66" s="27">
        <v>-669.96865497028693</v>
      </c>
      <c r="X66" s="27">
        <v>0</v>
      </c>
      <c r="Y66" s="27">
        <v>9.3037193606559327</v>
      </c>
      <c r="Z66" s="27">
        <v>-679.27237433094285</v>
      </c>
      <c r="AA66" s="27">
        <v>1</v>
      </c>
      <c r="AB66" s="27">
        <v>0</v>
      </c>
      <c r="AC66" s="25">
        <f t="shared" si="1"/>
        <v>46141</v>
      </c>
      <c r="AE66" s="18">
        <f t="shared" ref="AE66:AE129" si="2">IF(ISNUMBER(AF66),DATE(YEAR(AF66),DAY(AF66),MONTH(AF66)),DATE(RIGHT(AF66,4),LEFT(AF66,2),MID(AF66,4,2)))</f>
        <v>45960</v>
      </c>
      <c r="AF66" t="s">
        <v>100</v>
      </c>
      <c r="AG66">
        <v>16.91</v>
      </c>
    </row>
    <row r="67" spans="1:33">
      <c r="A67">
        <v>12</v>
      </c>
      <c r="B67" t="s">
        <v>36</v>
      </c>
      <c r="C67" t="s">
        <v>29</v>
      </c>
      <c r="D67">
        <v>72322</v>
      </c>
      <c r="E67" s="25">
        <v>46142.604166666657</v>
      </c>
      <c r="F67">
        <v>188.88</v>
      </c>
      <c r="G67">
        <v>172.29499999999999</v>
      </c>
      <c r="H67">
        <v>188.898888</v>
      </c>
      <c r="I67">
        <v>172.2777705</v>
      </c>
      <c r="J67">
        <v>-4.9768744170854129</v>
      </c>
      <c r="K67">
        <v>0.71286785798619834</v>
      </c>
      <c r="L67">
        <v>529.43667937314694</v>
      </c>
      <c r="M67">
        <v>-413.74843030047208</v>
      </c>
      <c r="N67" t="s">
        <v>32</v>
      </c>
      <c r="O67">
        <v>1140000000000</v>
      </c>
      <c r="P67" t="s">
        <v>31</v>
      </c>
      <c r="Q67">
        <v>72341</v>
      </c>
      <c r="R67" s="25">
        <v>46142.617361111108</v>
      </c>
      <c r="S67">
        <v>191.97499999999999</v>
      </c>
      <c r="T67">
        <v>175.73</v>
      </c>
      <c r="U67">
        <v>-0.43626969620251582</v>
      </c>
      <c r="V67">
        <v>217.38066457776651</v>
      </c>
      <c r="W67">
        <v>182.81732417997841</v>
      </c>
      <c r="X67">
        <v>0</v>
      </c>
      <c r="Y67">
        <v>9.4318510967361888</v>
      </c>
      <c r="Z67">
        <v>173.3854730832422</v>
      </c>
      <c r="AA67">
        <v>0</v>
      </c>
      <c r="AB67">
        <v>0</v>
      </c>
      <c r="AC67" s="25">
        <f t="shared" ref="AC67:AC88" si="3">INT(R67)</f>
        <v>46142</v>
      </c>
      <c r="AE67" s="18">
        <f t="shared" si="2"/>
        <v>45961</v>
      </c>
      <c r="AF67" t="s">
        <v>101</v>
      </c>
      <c r="AG67">
        <v>17.440000000000001</v>
      </c>
    </row>
    <row r="68" spans="1:33">
      <c r="A68" s="27">
        <v>12</v>
      </c>
      <c r="B68" s="27" t="s">
        <v>36</v>
      </c>
      <c r="C68" s="27" t="s">
        <v>29</v>
      </c>
      <c r="D68" s="27">
        <v>72712</v>
      </c>
      <c r="E68" s="29">
        <v>46143.604166666657</v>
      </c>
      <c r="F68" s="27">
        <v>191.07</v>
      </c>
      <c r="G68" s="27">
        <v>178.46</v>
      </c>
      <c r="H68" s="27">
        <v>191.08910700000001</v>
      </c>
      <c r="I68" s="27">
        <v>178.44215399999999</v>
      </c>
      <c r="J68" s="27">
        <v>-4.1504487831110444</v>
      </c>
      <c r="K68" s="27">
        <v>0.71286785798619834</v>
      </c>
      <c r="L68" s="27">
        <v>523.36839901606743</v>
      </c>
      <c r="M68" s="27">
        <v>-399.45526055485732</v>
      </c>
      <c r="N68" s="27" t="s">
        <v>32</v>
      </c>
      <c r="O68" s="27">
        <v>120000000000</v>
      </c>
      <c r="P68" s="27" t="s">
        <v>31</v>
      </c>
      <c r="Q68" s="27">
        <v>72714</v>
      </c>
      <c r="R68" s="29">
        <v>46143.605555555558</v>
      </c>
      <c r="S68" s="27">
        <v>193.64</v>
      </c>
      <c r="T68" s="27">
        <v>178.32</v>
      </c>
      <c r="U68" s="27">
        <v>-3.8092520707320637E-2</v>
      </c>
      <c r="V68" s="27">
        <v>1400.980521948976</v>
      </c>
      <c r="W68" s="27">
        <v>1366.594251484363</v>
      </c>
      <c r="X68" s="27">
        <v>0</v>
      </c>
      <c r="Y68" s="27">
        <v>9.228236595709248</v>
      </c>
      <c r="Z68" s="27">
        <v>1357.366014888654</v>
      </c>
      <c r="AA68" s="27">
        <v>0</v>
      </c>
      <c r="AB68" s="27">
        <v>0</v>
      </c>
      <c r="AC68" s="25">
        <f t="shared" si="3"/>
        <v>46143</v>
      </c>
      <c r="AE68" s="18">
        <f t="shared" si="2"/>
        <v>45964</v>
      </c>
      <c r="AF68" s="18">
        <v>45727</v>
      </c>
      <c r="AG68">
        <v>17.170000000000002</v>
      </c>
    </row>
    <row r="69" spans="1:33">
      <c r="A69">
        <v>12</v>
      </c>
      <c r="B69" t="s">
        <v>36</v>
      </c>
      <c r="C69" t="s">
        <v>29</v>
      </c>
      <c r="D69">
        <v>73493</v>
      </c>
      <c r="E69" s="25">
        <v>46147.604861111111</v>
      </c>
      <c r="F69">
        <v>191.09</v>
      </c>
      <c r="G69">
        <v>178.75</v>
      </c>
      <c r="H69">
        <v>191.10910899999999</v>
      </c>
      <c r="I69">
        <v>178.732125</v>
      </c>
      <c r="J69">
        <v>-4.7311466014301384</v>
      </c>
      <c r="K69">
        <v>0.71286785798619834</v>
      </c>
      <c r="L69">
        <v>523.31362185357682</v>
      </c>
      <c r="M69">
        <v>-398.80719327899209</v>
      </c>
      <c r="N69" t="s">
        <v>32</v>
      </c>
      <c r="O69">
        <v>1320000000000</v>
      </c>
      <c r="P69" t="s">
        <v>31</v>
      </c>
      <c r="Q69">
        <v>73515</v>
      </c>
      <c r="R69" s="25">
        <v>46147.620138888888</v>
      </c>
      <c r="S69">
        <v>191.61</v>
      </c>
      <c r="T69">
        <v>179.42</v>
      </c>
      <c r="U69">
        <v>5.500716350066992E-2</v>
      </c>
      <c r="V69">
        <v>4.9222638669455696</v>
      </c>
      <c r="W69">
        <v>-29.389025683058971</v>
      </c>
      <c r="X69">
        <v>0</v>
      </c>
      <c r="Y69">
        <v>9.2212081513256887</v>
      </c>
      <c r="Z69">
        <v>-38.610233834384672</v>
      </c>
      <c r="AA69">
        <v>0</v>
      </c>
      <c r="AB69">
        <v>0</v>
      </c>
      <c r="AC69" s="25">
        <f t="shared" si="3"/>
        <v>46147</v>
      </c>
      <c r="AE69" s="18">
        <f t="shared" si="2"/>
        <v>45965</v>
      </c>
      <c r="AF69" s="18">
        <v>45758</v>
      </c>
      <c r="AG69">
        <v>19</v>
      </c>
    </row>
    <row r="70" spans="1:33">
      <c r="A70" s="27">
        <v>12</v>
      </c>
      <c r="B70" s="27" t="s">
        <v>36</v>
      </c>
      <c r="C70" s="27" t="s">
        <v>29</v>
      </c>
      <c r="D70" s="27">
        <v>74276</v>
      </c>
      <c r="E70" s="29">
        <v>46149.604166666657</v>
      </c>
      <c r="F70" s="27">
        <v>180.4</v>
      </c>
      <c r="G70" s="27">
        <v>168.22</v>
      </c>
      <c r="H70" s="27">
        <v>180.41803999999999</v>
      </c>
      <c r="I70" s="27">
        <v>168.20317800000001</v>
      </c>
      <c r="J70" s="27">
        <v>-5.114614446796022</v>
      </c>
      <c r="K70" s="27">
        <v>0.71286785798619834</v>
      </c>
      <c r="L70" s="27">
        <v>554.32372505543231</v>
      </c>
      <c r="M70" s="27">
        <v>-423.77116751052102</v>
      </c>
      <c r="N70" s="27" t="s">
        <v>32</v>
      </c>
      <c r="O70" s="27">
        <v>900000000000</v>
      </c>
      <c r="P70" s="27" t="s">
        <v>31</v>
      </c>
      <c r="Q70" s="27">
        <v>74291</v>
      </c>
      <c r="R70" s="29">
        <v>46149.614583333343</v>
      </c>
      <c r="S70" s="27">
        <v>181.92</v>
      </c>
      <c r="T70" s="27">
        <v>168.61500000000001</v>
      </c>
      <c r="U70" s="27">
        <v>-0.3772846917808515</v>
      </c>
      <c r="V70" s="27">
        <v>675.18245091758695</v>
      </c>
      <c r="W70" s="27">
        <v>640.82409759054872</v>
      </c>
      <c r="X70" s="27">
        <v>0</v>
      </c>
      <c r="Y70" s="27">
        <v>9.7809489256595334</v>
      </c>
      <c r="Z70" s="27">
        <v>631.04314866488915</v>
      </c>
      <c r="AA70" s="27">
        <v>0</v>
      </c>
      <c r="AB70" s="27">
        <v>2</v>
      </c>
      <c r="AC70" s="25">
        <f t="shared" si="3"/>
        <v>46149</v>
      </c>
      <c r="AE70" s="18">
        <f t="shared" si="2"/>
        <v>45966</v>
      </c>
      <c r="AF70" s="18">
        <v>45788</v>
      </c>
      <c r="AG70">
        <v>18.010000000000002</v>
      </c>
    </row>
    <row r="71" spans="1:33">
      <c r="A71">
        <v>12</v>
      </c>
      <c r="B71" t="s">
        <v>36</v>
      </c>
      <c r="C71" t="s">
        <v>29</v>
      </c>
      <c r="D71">
        <v>74669</v>
      </c>
      <c r="E71" s="25">
        <v>46150.605555555558</v>
      </c>
      <c r="F71">
        <v>181.375</v>
      </c>
      <c r="G71">
        <v>168.38499999999999</v>
      </c>
      <c r="H71">
        <v>181.39313749999999</v>
      </c>
      <c r="I71">
        <v>168.36816150000001</v>
      </c>
      <c r="J71">
        <v>-4.400974566676056</v>
      </c>
      <c r="K71">
        <v>0.71286785798619834</v>
      </c>
      <c r="L71">
        <v>551.3439007580979</v>
      </c>
      <c r="M71">
        <v>-423.35591530492519</v>
      </c>
      <c r="N71" t="s">
        <v>32</v>
      </c>
      <c r="O71">
        <v>180000000000</v>
      </c>
      <c r="P71" t="s">
        <v>31</v>
      </c>
      <c r="Q71">
        <v>74672</v>
      </c>
      <c r="R71" s="25">
        <v>46150.607638888891</v>
      </c>
      <c r="S71">
        <v>181.41</v>
      </c>
      <c r="T71">
        <v>167.2</v>
      </c>
      <c r="U71">
        <v>0.1149823719649273</v>
      </c>
      <c r="V71">
        <v>520.97379616286901</v>
      </c>
      <c r="W71">
        <v>486.76467697546758</v>
      </c>
      <c r="X71">
        <v>0</v>
      </c>
      <c r="Y71">
        <v>9.7469981606302323</v>
      </c>
      <c r="Z71">
        <v>477.01767881483738</v>
      </c>
      <c r="AA71">
        <v>0</v>
      </c>
      <c r="AB71">
        <v>0</v>
      </c>
      <c r="AC71" s="25">
        <f t="shared" si="3"/>
        <v>46150</v>
      </c>
      <c r="AE71" s="18">
        <f t="shared" si="2"/>
        <v>45967</v>
      </c>
      <c r="AF71" s="18">
        <v>45819</v>
      </c>
      <c r="AG71">
        <v>19.5</v>
      </c>
    </row>
    <row r="72" spans="1:33">
      <c r="A72" s="27">
        <v>14</v>
      </c>
      <c r="B72" s="27" t="s">
        <v>37</v>
      </c>
      <c r="C72" s="27" t="s">
        <v>35</v>
      </c>
      <c r="D72" s="27">
        <v>78971</v>
      </c>
      <c r="E72" s="29">
        <v>46168.604166666657</v>
      </c>
      <c r="F72" s="27">
        <v>118.565</v>
      </c>
      <c r="G72" s="27">
        <v>57.96</v>
      </c>
      <c r="H72" s="27">
        <v>118.57685650000001</v>
      </c>
      <c r="I72" s="27">
        <v>57.954203999999997</v>
      </c>
      <c r="J72" s="27">
        <v>-4.3587420651717856</v>
      </c>
      <c r="K72" s="27">
        <v>0.75386182840021199</v>
      </c>
      <c r="L72" s="27">
        <v>843.41922152405857</v>
      </c>
      <c r="M72" s="27">
        <v>-1300.6587791584061</v>
      </c>
      <c r="N72" s="27" t="s">
        <v>32</v>
      </c>
      <c r="O72" s="27">
        <v>1500000000000</v>
      </c>
      <c r="P72" s="27" t="s">
        <v>31</v>
      </c>
      <c r="Q72" s="27">
        <v>78996</v>
      </c>
      <c r="R72" s="29">
        <v>46168.621527777781</v>
      </c>
      <c r="S72" s="27">
        <v>119.83</v>
      </c>
      <c r="T72" s="27">
        <v>58.98</v>
      </c>
      <c r="U72" s="27">
        <v>-0.31369609630818118</v>
      </c>
      <c r="V72" s="27">
        <v>-259.74663951363408</v>
      </c>
      <c r="W72" s="27">
        <v>-295.06323580862818</v>
      </c>
      <c r="X72" s="27">
        <v>0</v>
      </c>
      <c r="Y72" s="27">
        <v>21.440780006824639</v>
      </c>
      <c r="Z72" s="27">
        <v>-316.50401581545282</v>
      </c>
      <c r="AA72" s="27">
        <v>0</v>
      </c>
      <c r="AB72" s="27">
        <v>0</v>
      </c>
      <c r="AC72" s="25">
        <f t="shared" si="3"/>
        <v>46168</v>
      </c>
      <c r="AE72" s="18">
        <f t="shared" si="2"/>
        <v>45968</v>
      </c>
      <c r="AF72" s="18">
        <v>45849</v>
      </c>
      <c r="AG72">
        <v>19.079999999999998</v>
      </c>
    </row>
    <row r="73" spans="1:33">
      <c r="A73">
        <v>14</v>
      </c>
      <c r="B73" t="s">
        <v>37</v>
      </c>
      <c r="C73" t="s">
        <v>35</v>
      </c>
      <c r="D73">
        <v>79363</v>
      </c>
      <c r="E73" s="25">
        <v>46169.604166666657</v>
      </c>
      <c r="F73">
        <v>114.795</v>
      </c>
      <c r="G73">
        <v>56</v>
      </c>
      <c r="H73">
        <v>114.78352049999999</v>
      </c>
      <c r="I73">
        <v>56.005600000000001</v>
      </c>
      <c r="J73">
        <v>3.507666222725065</v>
      </c>
      <c r="K73">
        <v>0.75386182840021199</v>
      </c>
      <c r="L73">
        <v>-871.11808005575153</v>
      </c>
      <c r="M73">
        <v>1346.18183642895</v>
      </c>
      <c r="N73" t="s">
        <v>30</v>
      </c>
      <c r="O73">
        <v>1860000000000</v>
      </c>
      <c r="P73" t="s">
        <v>31</v>
      </c>
      <c r="Q73">
        <v>79394</v>
      </c>
      <c r="R73" s="25">
        <v>46169.625694444447</v>
      </c>
      <c r="S73">
        <v>115.59</v>
      </c>
      <c r="T73">
        <v>56.225000000000001</v>
      </c>
      <c r="U73">
        <v>0.18525492240382829</v>
      </c>
      <c r="V73">
        <v>-389.64796044780832</v>
      </c>
      <c r="W73">
        <v>-424.82473999449837</v>
      </c>
      <c r="X73">
        <v>0</v>
      </c>
      <c r="Y73">
        <v>22.17299916484701</v>
      </c>
      <c r="Z73">
        <v>-446.99773915934537</v>
      </c>
      <c r="AA73">
        <v>0</v>
      </c>
      <c r="AB73">
        <v>0</v>
      </c>
      <c r="AC73" s="25">
        <f t="shared" si="3"/>
        <v>46169</v>
      </c>
      <c r="AE73" s="18">
        <f t="shared" si="2"/>
        <v>45971</v>
      </c>
      <c r="AF73" s="18">
        <v>45941</v>
      </c>
      <c r="AG73">
        <v>17.600000000000001</v>
      </c>
    </row>
    <row r="74" spans="1:33">
      <c r="A74" s="27">
        <v>14</v>
      </c>
      <c r="B74" s="27" t="s">
        <v>37</v>
      </c>
      <c r="C74" s="27" t="s">
        <v>35</v>
      </c>
      <c r="D74" s="27">
        <v>80775</v>
      </c>
      <c r="E74" s="29">
        <v>46174.768055555563</v>
      </c>
      <c r="F74" s="27">
        <v>116.1</v>
      </c>
      <c r="G74" s="27">
        <v>59.075000000000003</v>
      </c>
      <c r="H74" s="27">
        <v>116.11161</v>
      </c>
      <c r="I74" s="27">
        <v>59.069092499999996</v>
      </c>
      <c r="J74" s="27">
        <v>-3.5422807641486198</v>
      </c>
      <c r="K74" s="27">
        <v>0.75386182840021199</v>
      </c>
      <c r="L74" s="27">
        <v>861.32644272179164</v>
      </c>
      <c r="M74" s="27">
        <v>-1276.109739145513</v>
      </c>
      <c r="N74" s="27" t="s">
        <v>32</v>
      </c>
      <c r="O74" s="27">
        <v>1020000000000</v>
      </c>
      <c r="P74" s="27" t="s">
        <v>31</v>
      </c>
      <c r="Q74" s="27">
        <v>80792</v>
      </c>
      <c r="R74" s="29">
        <v>46174.779861111107</v>
      </c>
      <c r="S74" s="27">
        <v>115.82</v>
      </c>
      <c r="T74" s="27">
        <v>58.89</v>
      </c>
      <c r="U74" s="27">
        <v>-0.16339680024668371</v>
      </c>
      <c r="V74" s="27">
        <v>-5.0911022201797778</v>
      </c>
      <c r="W74" s="27">
        <v>-40.120613617615497</v>
      </c>
      <c r="X74" s="27">
        <v>0</v>
      </c>
      <c r="Y74" s="27">
        <v>21.374361818673052</v>
      </c>
      <c r="Z74" s="27">
        <v>-61.494975436288563</v>
      </c>
      <c r="AA74" s="27">
        <v>0</v>
      </c>
      <c r="AB74" s="27">
        <v>0</v>
      </c>
      <c r="AC74" s="25">
        <f t="shared" si="3"/>
        <v>46174</v>
      </c>
      <c r="AE74" s="18">
        <f t="shared" si="2"/>
        <v>45972</v>
      </c>
      <c r="AF74" s="18">
        <v>45972</v>
      </c>
      <c r="AG74">
        <v>17.28</v>
      </c>
    </row>
    <row r="75" spans="1:33">
      <c r="A75">
        <v>14</v>
      </c>
      <c r="B75" t="s">
        <v>37</v>
      </c>
      <c r="C75" t="s">
        <v>35</v>
      </c>
      <c r="D75">
        <v>80931</v>
      </c>
      <c r="E75" s="25">
        <v>46175.604861111111</v>
      </c>
      <c r="F75">
        <v>116.065</v>
      </c>
      <c r="G75">
        <v>58.52</v>
      </c>
      <c r="H75">
        <v>116.0533935</v>
      </c>
      <c r="I75">
        <v>58.525852</v>
      </c>
      <c r="J75">
        <v>4.2232990067785368</v>
      </c>
      <c r="K75">
        <v>0.75386182840021199</v>
      </c>
      <c r="L75">
        <v>-861.58618015767024</v>
      </c>
      <c r="M75">
        <v>1288.2122836640669</v>
      </c>
      <c r="N75" t="s">
        <v>30</v>
      </c>
      <c r="O75">
        <v>1140000000000</v>
      </c>
      <c r="P75" t="s">
        <v>31</v>
      </c>
      <c r="Q75">
        <v>80950</v>
      </c>
      <c r="R75" s="25">
        <v>46175.618055555547</v>
      </c>
      <c r="S75">
        <v>116.84</v>
      </c>
      <c r="T75">
        <v>59.015000000000001</v>
      </c>
      <c r="U75">
        <v>0.37396195285393652</v>
      </c>
      <c r="V75">
        <v>-30.064209208489501</v>
      </c>
      <c r="W75">
        <v>-65.271985213495554</v>
      </c>
      <c r="X75">
        <v>0</v>
      </c>
      <c r="Y75">
        <v>21.497984638217371</v>
      </c>
      <c r="Z75">
        <v>-86.769969851712929</v>
      </c>
      <c r="AA75">
        <v>1</v>
      </c>
      <c r="AB75">
        <v>0</v>
      </c>
      <c r="AC75" s="25">
        <f t="shared" si="3"/>
        <v>46175</v>
      </c>
      <c r="AE75" s="18">
        <f t="shared" si="2"/>
        <v>45973</v>
      </c>
      <c r="AF75" s="18">
        <v>46002</v>
      </c>
      <c r="AG75">
        <v>17.510000000000002</v>
      </c>
    </row>
    <row r="76" spans="1:33">
      <c r="A76" s="27">
        <v>14</v>
      </c>
      <c r="B76" s="27" t="s">
        <v>37</v>
      </c>
      <c r="C76" s="27" t="s">
        <v>35</v>
      </c>
      <c r="D76" s="27">
        <v>81501</v>
      </c>
      <c r="E76" s="29">
        <v>46176.727083333331</v>
      </c>
      <c r="F76" s="27">
        <v>119.52</v>
      </c>
      <c r="G76" s="27">
        <v>60.47</v>
      </c>
      <c r="H76" s="27">
        <v>119.508048</v>
      </c>
      <c r="I76" s="27">
        <v>60.476047000000001</v>
      </c>
      <c r="J76" s="27">
        <v>3.6388854493772138</v>
      </c>
      <c r="K76" s="27">
        <v>0.75386182840021199</v>
      </c>
      <c r="L76" s="27">
        <v>-836.68005354752347</v>
      </c>
      <c r="M76" s="27">
        <v>1246.6707927901639</v>
      </c>
      <c r="N76" s="27" t="s">
        <v>30</v>
      </c>
      <c r="O76" s="27">
        <v>1200000000000</v>
      </c>
      <c r="P76" s="27" t="s">
        <v>31</v>
      </c>
      <c r="Q76" s="27">
        <v>81521</v>
      </c>
      <c r="R76" s="29">
        <v>46176.740972222222</v>
      </c>
      <c r="S76" s="27">
        <v>119.285</v>
      </c>
      <c r="T76" s="27">
        <v>60.295000000000002</v>
      </c>
      <c r="U76" s="27">
        <v>0.2036569158785683</v>
      </c>
      <c r="V76" s="27">
        <v>-21.547576154607551</v>
      </c>
      <c r="W76" s="27">
        <v>-56.583334002470167</v>
      </c>
      <c r="X76" s="27">
        <v>0</v>
      </c>
      <c r="Y76" s="27">
        <v>20.833508463376869</v>
      </c>
      <c r="Z76" s="27">
        <v>-77.41684246584704</v>
      </c>
      <c r="AA76" s="27">
        <v>0</v>
      </c>
      <c r="AB76" s="27">
        <v>0</v>
      </c>
      <c r="AC76" s="25">
        <f t="shared" si="3"/>
        <v>46176</v>
      </c>
      <c r="AE76" s="18">
        <f t="shared" si="2"/>
        <v>45974</v>
      </c>
      <c r="AF76" t="s">
        <v>102</v>
      </c>
      <c r="AG76">
        <v>20</v>
      </c>
    </row>
    <row r="77" spans="1:33">
      <c r="A77">
        <v>14</v>
      </c>
      <c r="B77" t="s">
        <v>37</v>
      </c>
      <c r="C77" t="s">
        <v>35</v>
      </c>
      <c r="D77">
        <v>81716</v>
      </c>
      <c r="E77" s="25">
        <v>46177.604166666657</v>
      </c>
      <c r="F77">
        <v>117.95</v>
      </c>
      <c r="G77">
        <v>58.64</v>
      </c>
      <c r="H77">
        <v>117.938205</v>
      </c>
      <c r="I77">
        <v>58.645864000000003</v>
      </c>
      <c r="J77">
        <v>3.5236732365953811</v>
      </c>
      <c r="K77">
        <v>0.75386182840021199</v>
      </c>
      <c r="L77">
        <v>-847.81687155574389</v>
      </c>
      <c r="M77">
        <v>1285.5761057302391</v>
      </c>
      <c r="N77" t="s">
        <v>30</v>
      </c>
      <c r="O77">
        <v>1500000000000</v>
      </c>
      <c r="P77" t="s">
        <v>31</v>
      </c>
      <c r="Q77">
        <v>81741</v>
      </c>
      <c r="R77" s="25">
        <v>46177.621527777781</v>
      </c>
      <c r="S77">
        <v>118.38</v>
      </c>
      <c r="T77">
        <v>58.44</v>
      </c>
      <c r="U77">
        <v>0.49579825135534228</v>
      </c>
      <c r="V77">
        <v>-621.67647591501498</v>
      </c>
      <c r="W77">
        <v>-656.76445708637107</v>
      </c>
      <c r="X77">
        <v>0</v>
      </c>
      <c r="Y77">
        <v>21.333929772859829</v>
      </c>
      <c r="Z77">
        <v>-678.09838685923091</v>
      </c>
      <c r="AA77">
        <v>0</v>
      </c>
      <c r="AB77">
        <v>0</v>
      </c>
      <c r="AC77" s="25">
        <f t="shared" si="3"/>
        <v>46177</v>
      </c>
      <c r="AE77" s="18">
        <f t="shared" si="2"/>
        <v>45975</v>
      </c>
      <c r="AF77" t="s">
        <v>103</v>
      </c>
      <c r="AG77">
        <v>19.829999999999998</v>
      </c>
    </row>
    <row r="78" spans="1:33">
      <c r="A78" s="27">
        <v>14</v>
      </c>
      <c r="B78" s="27" t="s">
        <v>37</v>
      </c>
      <c r="C78" s="27" t="s">
        <v>35</v>
      </c>
      <c r="D78" s="27">
        <v>81978</v>
      </c>
      <c r="E78" s="29">
        <v>46177.786111111112</v>
      </c>
      <c r="F78" s="27">
        <v>118.75</v>
      </c>
      <c r="G78" s="27">
        <v>58.43</v>
      </c>
      <c r="H78" s="27">
        <v>118.761875</v>
      </c>
      <c r="I78" s="27">
        <v>58.424157000000001</v>
      </c>
      <c r="J78" s="27">
        <v>-4.1258413786538677</v>
      </c>
      <c r="K78" s="27">
        <v>0.75386182840021199</v>
      </c>
      <c r="L78" s="27">
        <v>842.10526315789468</v>
      </c>
      <c r="M78" s="27">
        <v>-1290.19652301936</v>
      </c>
      <c r="N78" s="27" t="s">
        <v>32</v>
      </c>
      <c r="O78" s="27">
        <v>1380000000000</v>
      </c>
      <c r="P78" s="27" t="s">
        <v>31</v>
      </c>
      <c r="Q78" s="27">
        <v>82001</v>
      </c>
      <c r="R78" s="29">
        <v>46177.802083333343</v>
      </c>
      <c r="S78" s="27">
        <v>118.9</v>
      </c>
      <c r="T78" s="27">
        <v>58.51</v>
      </c>
      <c r="U78" s="27">
        <v>-5.4157032789802433E-2</v>
      </c>
      <c r="V78" s="27">
        <v>23.100067632142409</v>
      </c>
      <c r="W78" s="27">
        <v>-12.00012208698926</v>
      </c>
      <c r="X78" s="27">
        <v>0</v>
      </c>
      <c r="Y78" s="27">
        <v>21.323017861772541</v>
      </c>
      <c r="Z78" s="27">
        <v>-33.323139948761813</v>
      </c>
      <c r="AA78" s="27">
        <v>0</v>
      </c>
      <c r="AB78" s="27">
        <v>0</v>
      </c>
      <c r="AC78" s="25">
        <f t="shared" si="3"/>
        <v>46177</v>
      </c>
      <c r="AE78" s="18">
        <f t="shared" si="2"/>
        <v>45978</v>
      </c>
      <c r="AF78" t="s">
        <v>104</v>
      </c>
      <c r="AG78">
        <v>22.38</v>
      </c>
    </row>
    <row r="79" spans="1:33">
      <c r="A79">
        <v>14</v>
      </c>
      <c r="B79" t="s">
        <v>37</v>
      </c>
      <c r="C79" t="s">
        <v>35</v>
      </c>
      <c r="D79">
        <v>82497</v>
      </c>
      <c r="E79" s="25">
        <v>46181.604861111111</v>
      </c>
      <c r="F79">
        <v>118.24</v>
      </c>
      <c r="G79">
        <v>57.45</v>
      </c>
      <c r="H79">
        <v>118.228176</v>
      </c>
      <c r="I79">
        <v>57.455745</v>
      </c>
      <c r="J79">
        <v>3.5356335108215182</v>
      </c>
      <c r="K79">
        <v>0.75386182840021199</v>
      </c>
      <c r="L79">
        <v>-845.73748308525035</v>
      </c>
      <c r="M79">
        <v>1312.2050973023711</v>
      </c>
      <c r="N79" t="s">
        <v>30</v>
      </c>
      <c r="O79">
        <v>180000000000</v>
      </c>
      <c r="P79" t="s">
        <v>38</v>
      </c>
      <c r="Q79">
        <v>82500</v>
      </c>
      <c r="R79" s="25">
        <v>46181.606944444437</v>
      </c>
      <c r="S79">
        <v>118.27</v>
      </c>
      <c r="T79">
        <v>57.335000000000001</v>
      </c>
      <c r="V79">
        <v>-176.27571068233371</v>
      </c>
      <c r="W79">
        <v>-211.34039410416321</v>
      </c>
      <c r="X79">
        <v>0</v>
      </c>
      <c r="Y79">
        <v>21.579425803876209</v>
      </c>
      <c r="Z79">
        <v>-232.91981990803939</v>
      </c>
      <c r="AA79">
        <v>0</v>
      </c>
      <c r="AB79">
        <v>0</v>
      </c>
      <c r="AC79" s="25">
        <f t="shared" si="3"/>
        <v>46181</v>
      </c>
      <c r="AE79" s="18">
        <f t="shared" si="2"/>
        <v>45979</v>
      </c>
      <c r="AF79" t="s">
        <v>105</v>
      </c>
      <c r="AG79">
        <v>24.69</v>
      </c>
    </row>
    <row r="80" spans="1:33">
      <c r="A80" s="27">
        <v>16</v>
      </c>
      <c r="B80" s="27" t="s">
        <v>36</v>
      </c>
      <c r="C80" s="27" t="s">
        <v>35</v>
      </c>
      <c r="D80" s="27">
        <v>87588</v>
      </c>
      <c r="E80" s="29">
        <v>46199.604166666657</v>
      </c>
      <c r="F80" s="27">
        <v>171.89</v>
      </c>
      <c r="G80" s="27">
        <v>50.77</v>
      </c>
      <c r="H80" s="27">
        <v>171.87281100000001</v>
      </c>
      <c r="I80" s="27">
        <v>50.775077000000003</v>
      </c>
      <c r="J80" s="27">
        <v>3.8355099803975832</v>
      </c>
      <c r="K80" s="27">
        <v>0.72444379464525066</v>
      </c>
      <c r="L80" s="27">
        <v>-581.76740938972603</v>
      </c>
      <c r="M80" s="27">
        <v>1426.913127132658</v>
      </c>
      <c r="N80" s="27" t="s">
        <v>30</v>
      </c>
      <c r="O80" s="27">
        <v>660000000000</v>
      </c>
      <c r="P80" s="27" t="s">
        <v>31</v>
      </c>
      <c r="Q80" s="27">
        <v>87599</v>
      </c>
      <c r="R80" s="29">
        <v>46199.611805555563</v>
      </c>
      <c r="S80" s="27">
        <v>170.91</v>
      </c>
      <c r="T80" s="27">
        <v>50.545000000000002</v>
      </c>
      <c r="U80" s="27">
        <v>0.37643066381961698</v>
      </c>
      <c r="V80" s="27">
        <v>249.07660759707551</v>
      </c>
      <c r="W80" s="27">
        <v>214.67685045565381</v>
      </c>
      <c r="X80" s="27">
        <v>0</v>
      </c>
      <c r="Y80" s="27">
        <v>20.086805365223839</v>
      </c>
      <c r="Z80" s="27">
        <v>194.59004509043001</v>
      </c>
      <c r="AA80" s="27">
        <v>0</v>
      </c>
      <c r="AB80" s="27">
        <v>0</v>
      </c>
      <c r="AC80" s="25">
        <f t="shared" si="3"/>
        <v>46199</v>
      </c>
      <c r="AE80" s="18">
        <f t="shared" si="2"/>
        <v>45980</v>
      </c>
      <c r="AF80" t="s">
        <v>106</v>
      </c>
      <c r="AG80">
        <v>23.66</v>
      </c>
    </row>
    <row r="81" spans="1:33">
      <c r="A81">
        <v>16</v>
      </c>
      <c r="B81" t="s">
        <v>36</v>
      </c>
      <c r="C81" t="s">
        <v>35</v>
      </c>
      <c r="D81">
        <v>88142</v>
      </c>
      <c r="E81" s="25">
        <v>46202.718055555553</v>
      </c>
      <c r="F81">
        <v>169.3</v>
      </c>
      <c r="G81">
        <v>49.85</v>
      </c>
      <c r="H81">
        <v>169.28307000000001</v>
      </c>
      <c r="I81">
        <v>49.854984999999999</v>
      </c>
      <c r="J81">
        <v>3.8608690266418799</v>
      </c>
      <c r="K81">
        <v>0.72444379464525066</v>
      </c>
      <c r="L81">
        <v>-590.66745422327222</v>
      </c>
      <c r="M81">
        <v>1453.247331284354</v>
      </c>
      <c r="N81" t="s">
        <v>30</v>
      </c>
      <c r="O81">
        <v>120000000000</v>
      </c>
      <c r="P81" t="s">
        <v>31</v>
      </c>
      <c r="Q81">
        <v>88144</v>
      </c>
      <c r="R81" s="25">
        <v>46202.719444444447</v>
      </c>
      <c r="S81">
        <v>169.21</v>
      </c>
      <c r="T81">
        <v>49.914999999999999</v>
      </c>
      <c r="U81">
        <v>0.29044479978463172</v>
      </c>
      <c r="V81">
        <v>147.62114741357621</v>
      </c>
      <c r="W81">
        <v>113.128141420106</v>
      </c>
      <c r="X81">
        <v>0</v>
      </c>
      <c r="Y81">
        <v>20.439147855076261</v>
      </c>
      <c r="Z81">
        <v>92.688993565029762</v>
      </c>
      <c r="AA81">
        <v>0</v>
      </c>
      <c r="AB81">
        <v>0</v>
      </c>
      <c r="AC81" s="25">
        <f t="shared" si="3"/>
        <v>46202</v>
      </c>
      <c r="AE81" s="18">
        <f t="shared" si="2"/>
        <v>45981</v>
      </c>
      <c r="AF81" t="s">
        <v>107</v>
      </c>
      <c r="AG81">
        <v>26.42</v>
      </c>
    </row>
    <row r="82" spans="1:33">
      <c r="A82" s="27">
        <v>16</v>
      </c>
      <c r="B82" s="27" t="s">
        <v>36</v>
      </c>
      <c r="C82" s="27" t="s">
        <v>35</v>
      </c>
      <c r="D82" s="27">
        <v>88359</v>
      </c>
      <c r="E82" s="29">
        <v>46202.868750000001</v>
      </c>
      <c r="F82" s="27">
        <v>168.88</v>
      </c>
      <c r="G82" s="27">
        <v>49.21</v>
      </c>
      <c r="H82" s="27">
        <v>168.863112</v>
      </c>
      <c r="I82" s="27">
        <v>49.214920999999997</v>
      </c>
      <c r="J82" s="27">
        <v>3.6250364304451712</v>
      </c>
      <c r="K82" s="27">
        <v>0.72444379464525066</v>
      </c>
      <c r="L82" s="27">
        <v>-592.13642823306486</v>
      </c>
      <c r="M82" s="27">
        <v>1472.147520108211</v>
      </c>
      <c r="N82" s="27" t="s">
        <v>30</v>
      </c>
      <c r="O82" s="27">
        <v>63840000000000</v>
      </c>
      <c r="P82" s="27" t="s">
        <v>31</v>
      </c>
      <c r="Q82" s="27">
        <v>88373</v>
      </c>
      <c r="R82" s="29">
        <v>46203.607638888891</v>
      </c>
      <c r="S82" s="27">
        <v>169.19</v>
      </c>
      <c r="T82" s="27">
        <v>49.5</v>
      </c>
      <c r="U82" s="27">
        <v>-0.49331684784723712</v>
      </c>
      <c r="V82" s="27">
        <v>243.36048807912849</v>
      </c>
      <c r="W82" s="27">
        <v>208.8105636788722</v>
      </c>
      <c r="X82" s="27">
        <v>0</v>
      </c>
      <c r="Y82" s="27">
        <v>20.642839483412761</v>
      </c>
      <c r="Z82" s="27">
        <v>188.16772419545941</v>
      </c>
      <c r="AA82" s="27">
        <v>0</v>
      </c>
      <c r="AB82" s="27">
        <v>0</v>
      </c>
      <c r="AC82" s="25">
        <f t="shared" si="3"/>
        <v>46203</v>
      </c>
      <c r="AE82" s="18">
        <f t="shared" si="2"/>
        <v>45982</v>
      </c>
      <c r="AF82" t="s">
        <v>108</v>
      </c>
      <c r="AG82">
        <v>23.43</v>
      </c>
    </row>
    <row r="83" spans="1:33">
      <c r="A83">
        <v>16</v>
      </c>
      <c r="B83" t="s">
        <v>36</v>
      </c>
      <c r="C83" t="s">
        <v>35</v>
      </c>
      <c r="D83">
        <v>88760</v>
      </c>
      <c r="E83" s="25">
        <v>46204.604861111111</v>
      </c>
      <c r="F83">
        <v>166.28</v>
      </c>
      <c r="G83">
        <v>48.45</v>
      </c>
      <c r="H83">
        <v>166.263372</v>
      </c>
      <c r="I83">
        <v>48.454844999999999</v>
      </c>
      <c r="J83">
        <v>3.9236625007969699</v>
      </c>
      <c r="K83">
        <v>0.72444379464525066</v>
      </c>
      <c r="L83">
        <v>-601.39523694972331</v>
      </c>
      <c r="M83">
        <v>1495.2400302275551</v>
      </c>
      <c r="N83" t="s">
        <v>30</v>
      </c>
      <c r="O83">
        <v>1200000000000</v>
      </c>
      <c r="P83" t="s">
        <v>31</v>
      </c>
      <c r="Q83">
        <v>88780</v>
      </c>
      <c r="R83" s="25">
        <v>46204.618750000001</v>
      </c>
      <c r="S83">
        <v>166.5</v>
      </c>
      <c r="T83">
        <v>48.445</v>
      </c>
      <c r="U83">
        <v>0.36516036919579059</v>
      </c>
      <c r="V83">
        <v>-139.78315228008</v>
      </c>
      <c r="W83">
        <v>-174.28451124817019</v>
      </c>
      <c r="X83">
        <v>0</v>
      </c>
      <c r="Y83">
        <v>20.966352671772789</v>
      </c>
      <c r="Z83">
        <v>-195.25086391994299</v>
      </c>
      <c r="AA83">
        <v>0</v>
      </c>
      <c r="AB83">
        <v>0</v>
      </c>
      <c r="AC83" s="25">
        <f t="shared" si="3"/>
        <v>46204</v>
      </c>
      <c r="AE83" s="18">
        <f t="shared" si="2"/>
        <v>45985</v>
      </c>
      <c r="AF83" t="s">
        <v>109</v>
      </c>
      <c r="AG83">
        <v>20.52</v>
      </c>
    </row>
    <row r="84" spans="1:33">
      <c r="A84" s="27">
        <v>16</v>
      </c>
      <c r="B84" s="27" t="s">
        <v>36</v>
      </c>
      <c r="C84" s="27" t="s">
        <v>35</v>
      </c>
      <c r="D84" s="27">
        <v>89149</v>
      </c>
      <c r="E84" s="29">
        <v>46205.604166666657</v>
      </c>
      <c r="F84" s="27">
        <v>168.05</v>
      </c>
      <c r="G84" s="27">
        <v>48.43</v>
      </c>
      <c r="H84" s="27">
        <v>168.03319500000001</v>
      </c>
      <c r="I84" s="27">
        <v>48.434843000000001</v>
      </c>
      <c r="J84" s="27">
        <v>4.7332450996955417</v>
      </c>
      <c r="K84" s="27">
        <v>0.72444379464525066</v>
      </c>
      <c r="L84" s="27">
        <v>-595.06099375185954</v>
      </c>
      <c r="M84" s="27">
        <v>1495.8575152699791</v>
      </c>
      <c r="N84" s="27" t="s">
        <v>30</v>
      </c>
      <c r="O84" s="27">
        <v>1260000000000</v>
      </c>
      <c r="P84" s="27" t="s">
        <v>31</v>
      </c>
      <c r="Q84" s="27">
        <v>89170</v>
      </c>
      <c r="R84" s="29">
        <v>46205.618750000001</v>
      </c>
      <c r="S84" s="27">
        <v>169.14</v>
      </c>
      <c r="T84" s="27">
        <v>48.93</v>
      </c>
      <c r="U84" s="27">
        <v>0.4371204980541068</v>
      </c>
      <c r="V84" s="27">
        <v>99.312274445477328</v>
      </c>
      <c r="W84" s="27">
        <v>64.683744028489741</v>
      </c>
      <c r="X84" s="27">
        <v>0</v>
      </c>
      <c r="Y84" s="27">
        <v>20.909185090218379</v>
      </c>
      <c r="Z84" s="27">
        <v>43.774558938271348</v>
      </c>
      <c r="AA84" s="27">
        <v>0</v>
      </c>
      <c r="AB84" s="27">
        <v>0</v>
      </c>
      <c r="AC84" s="25">
        <f t="shared" si="3"/>
        <v>46205</v>
      </c>
      <c r="AE84" s="18">
        <f t="shared" si="2"/>
        <v>45986</v>
      </c>
      <c r="AF84" t="s">
        <v>110</v>
      </c>
      <c r="AG84">
        <v>18.559999999999999</v>
      </c>
    </row>
    <row r="85" spans="1:33">
      <c r="A85">
        <v>16</v>
      </c>
      <c r="B85" t="s">
        <v>36</v>
      </c>
      <c r="C85" t="s">
        <v>35</v>
      </c>
      <c r="D85">
        <v>89430</v>
      </c>
      <c r="E85" s="25">
        <v>46205.799305555563</v>
      </c>
      <c r="F85">
        <v>168.04</v>
      </c>
      <c r="G85">
        <v>48.48</v>
      </c>
      <c r="H85">
        <v>168.056804</v>
      </c>
      <c r="I85">
        <v>48.475151999999987</v>
      </c>
      <c r="J85">
        <v>-4.0112114861174231</v>
      </c>
      <c r="K85">
        <v>0.72444379464525066</v>
      </c>
      <c r="L85">
        <v>595.09640561771005</v>
      </c>
      <c r="M85">
        <v>-1494.314757931623</v>
      </c>
      <c r="N85" t="s">
        <v>32</v>
      </c>
      <c r="O85">
        <v>900000000000</v>
      </c>
      <c r="P85" t="s">
        <v>31</v>
      </c>
      <c r="Q85">
        <v>89445</v>
      </c>
      <c r="R85" s="25">
        <v>46205.80972222222</v>
      </c>
      <c r="S85">
        <v>168.46</v>
      </c>
      <c r="T85">
        <v>48.57</v>
      </c>
      <c r="U85">
        <v>-0.4559868029075459</v>
      </c>
      <c r="V85">
        <v>115.4521621455966</v>
      </c>
      <c r="W85">
        <v>80.924843370831809</v>
      </c>
      <c r="X85">
        <v>0</v>
      </c>
      <c r="Y85">
        <v>20.894111635493331</v>
      </c>
      <c r="Z85">
        <v>60.030731735338478</v>
      </c>
      <c r="AA85">
        <v>0</v>
      </c>
      <c r="AB85">
        <v>0</v>
      </c>
      <c r="AC85" s="25">
        <f t="shared" si="3"/>
        <v>46205</v>
      </c>
      <c r="AE85" s="18">
        <f t="shared" si="2"/>
        <v>45987</v>
      </c>
      <c r="AF85" t="s">
        <v>111</v>
      </c>
      <c r="AG85">
        <v>17.190000000000001</v>
      </c>
    </row>
    <row r="86" spans="1:33">
      <c r="A86" s="27">
        <v>16</v>
      </c>
      <c r="B86" s="27" t="s">
        <v>36</v>
      </c>
      <c r="C86" s="27" t="s">
        <v>35</v>
      </c>
      <c r="D86" s="27">
        <v>89540</v>
      </c>
      <c r="E86" s="29">
        <v>46209.604166666657</v>
      </c>
      <c r="F86" s="27">
        <v>168.685</v>
      </c>
      <c r="G86" s="27">
        <v>48.844999999999999</v>
      </c>
      <c r="H86" s="27">
        <v>168.70186849999999</v>
      </c>
      <c r="I86" s="27">
        <v>48.840115500000003</v>
      </c>
      <c r="J86" s="27">
        <v>-3.6460094014650859</v>
      </c>
      <c r="K86" s="27">
        <v>0.72444379464525066</v>
      </c>
      <c r="L86" s="27">
        <v>592.82093843554549</v>
      </c>
      <c r="M86" s="27">
        <v>-1483.148315375679</v>
      </c>
      <c r="N86" s="27" t="s">
        <v>32</v>
      </c>
      <c r="O86" s="27">
        <v>1440000000000</v>
      </c>
      <c r="P86" s="27" t="s">
        <v>31</v>
      </c>
      <c r="Q86" s="27">
        <v>89564</v>
      </c>
      <c r="R86" s="29">
        <v>46209.620833333327</v>
      </c>
      <c r="S86" s="27">
        <v>169.07499999999999</v>
      </c>
      <c r="T86" s="27">
        <v>49.234999999999999</v>
      </c>
      <c r="U86" s="27">
        <v>-0.16300201083047849</v>
      </c>
      <c r="V86" s="27">
        <v>-347.22767700666111</v>
      </c>
      <c r="W86" s="27">
        <v>-381.79751570045772</v>
      </c>
      <c r="X86" s="27">
        <v>0</v>
      </c>
      <c r="Y86" s="27">
        <v>20.759692538112251</v>
      </c>
      <c r="Z86" s="27">
        <v>-402.5572082385699</v>
      </c>
      <c r="AA86" s="27">
        <v>0</v>
      </c>
      <c r="AB86" s="27">
        <v>0</v>
      </c>
      <c r="AC86" s="25">
        <f t="shared" si="3"/>
        <v>46209</v>
      </c>
      <c r="AE86" s="18">
        <f t="shared" si="2"/>
        <v>45988</v>
      </c>
      <c r="AF86" t="s">
        <v>112</v>
      </c>
      <c r="AG86">
        <v>17.21</v>
      </c>
    </row>
    <row r="87" spans="1:33">
      <c r="A87">
        <v>16</v>
      </c>
      <c r="B87" t="s">
        <v>36</v>
      </c>
      <c r="C87" t="s">
        <v>35</v>
      </c>
      <c r="D87">
        <v>89880</v>
      </c>
      <c r="E87" s="25">
        <v>46209.840277777781</v>
      </c>
      <c r="F87">
        <v>167.68</v>
      </c>
      <c r="G87">
        <v>48.725000000000001</v>
      </c>
      <c r="H87">
        <v>167.66323199999999</v>
      </c>
      <c r="I87">
        <v>48.729872499999999</v>
      </c>
      <c r="J87">
        <v>3.5505424574642359</v>
      </c>
      <c r="K87">
        <v>0.72444379464525066</v>
      </c>
      <c r="L87">
        <v>-596.37404580152668</v>
      </c>
      <c r="M87">
        <v>1486.8010151775279</v>
      </c>
      <c r="N87" t="s">
        <v>30</v>
      </c>
      <c r="O87">
        <v>120000000000</v>
      </c>
      <c r="P87" t="s">
        <v>31</v>
      </c>
      <c r="Q87">
        <v>89882</v>
      </c>
      <c r="R87" s="25">
        <v>46209.841666666667</v>
      </c>
      <c r="S87">
        <v>167.56</v>
      </c>
      <c r="T87">
        <v>48.75</v>
      </c>
      <c r="U87">
        <v>0.18551902822396879</v>
      </c>
      <c r="V87">
        <v>108.73491087562201</v>
      </c>
      <c r="W87">
        <v>74.2494744687516</v>
      </c>
      <c r="X87">
        <v>0</v>
      </c>
      <c r="Y87">
        <v>20.83175060979055</v>
      </c>
      <c r="Z87">
        <v>53.417723858961047</v>
      </c>
      <c r="AA87">
        <v>0</v>
      </c>
      <c r="AB87">
        <v>0</v>
      </c>
      <c r="AC87" s="25">
        <f t="shared" si="3"/>
        <v>46209</v>
      </c>
      <c r="AE87" s="18">
        <f t="shared" si="2"/>
        <v>45989</v>
      </c>
      <c r="AF87" t="s">
        <v>113</v>
      </c>
      <c r="AG87">
        <v>16.350000000000001</v>
      </c>
    </row>
    <row r="88" spans="1:33">
      <c r="A88" s="28">
        <v>16</v>
      </c>
      <c r="B88" s="28" t="s">
        <v>36</v>
      </c>
      <c r="C88" s="28" t="s">
        <v>35</v>
      </c>
      <c r="D88" s="28">
        <v>89930</v>
      </c>
      <c r="E88" s="30">
        <v>46210.604166666657</v>
      </c>
      <c r="F88" s="28">
        <v>170.92500000000001</v>
      </c>
      <c r="G88" s="28">
        <v>49.57</v>
      </c>
      <c r="H88" s="28">
        <v>170.90790749999999</v>
      </c>
      <c r="I88" s="28">
        <v>49.574956999999998</v>
      </c>
      <c r="J88" s="28">
        <v>4.2075240937302176</v>
      </c>
      <c r="K88" s="28">
        <v>0.72444379464525066</v>
      </c>
      <c r="L88" s="28">
        <v>-585.051923358198</v>
      </c>
      <c r="M88" s="28">
        <v>1461.4561118524321</v>
      </c>
      <c r="N88" s="28" t="s">
        <v>30</v>
      </c>
      <c r="O88" s="28">
        <v>120000000000</v>
      </c>
      <c r="P88" s="28" t="s">
        <v>31</v>
      </c>
      <c r="Q88" s="28">
        <v>89932</v>
      </c>
      <c r="R88" s="30">
        <v>46210.605555555558</v>
      </c>
      <c r="S88" s="28">
        <v>171.37</v>
      </c>
      <c r="T88" s="28">
        <v>50.19</v>
      </c>
      <c r="U88" s="28">
        <v>3.2782291898077937E-2</v>
      </c>
      <c r="V88" s="28">
        <v>645.75468345411014</v>
      </c>
      <c r="W88" s="28">
        <v>611.14916247169981</v>
      </c>
      <c r="X88" s="28">
        <v>0</v>
      </c>
      <c r="Y88" s="28">
        <v>20.465080352106298</v>
      </c>
      <c r="Z88" s="28">
        <v>590.68408211959354</v>
      </c>
      <c r="AA88" s="28">
        <v>0</v>
      </c>
      <c r="AB88" s="28">
        <v>0</v>
      </c>
      <c r="AC88" s="25">
        <f t="shared" si="3"/>
        <v>46210</v>
      </c>
      <c r="AE88" s="18">
        <f t="shared" si="2"/>
        <v>45992</v>
      </c>
      <c r="AF88" s="18">
        <v>45669</v>
      </c>
      <c r="AG88">
        <v>17.239999999999998</v>
      </c>
    </row>
    <row r="89" spans="1:33">
      <c r="X89" s="18"/>
      <c r="Y89" s="18"/>
      <c r="AE89" s="18">
        <f t="shared" si="2"/>
        <v>45993</v>
      </c>
      <c r="AF89" s="18">
        <v>45700</v>
      </c>
      <c r="AG89">
        <v>16.59</v>
      </c>
    </row>
    <row r="90" spans="1:33">
      <c r="X90" s="18"/>
      <c r="Y90" s="18"/>
      <c r="AE90" s="18">
        <f t="shared" si="2"/>
        <v>45994</v>
      </c>
      <c r="AF90" s="18">
        <v>45728</v>
      </c>
      <c r="AG90">
        <v>16.079999999999998</v>
      </c>
    </row>
    <row r="91" spans="1:33">
      <c r="X91" s="18"/>
      <c r="Y91" s="18"/>
      <c r="AE91" s="18">
        <f t="shared" si="2"/>
        <v>45995</v>
      </c>
      <c r="AF91" s="18">
        <v>45759</v>
      </c>
      <c r="AG91">
        <v>15.78</v>
      </c>
    </row>
    <row r="92" spans="1:33">
      <c r="X92" s="18"/>
      <c r="Y92" s="18"/>
      <c r="AE92" s="18">
        <f t="shared" si="2"/>
        <v>45996</v>
      </c>
      <c r="AF92" s="18">
        <v>45789</v>
      </c>
      <c r="AG92">
        <v>15.41</v>
      </c>
    </row>
    <row r="93" spans="1:33">
      <c r="X93" s="18"/>
      <c r="Y93" s="18"/>
      <c r="AE93" s="18">
        <f t="shared" si="2"/>
        <v>45999</v>
      </c>
      <c r="AF93" s="18">
        <v>45881</v>
      </c>
      <c r="AG93">
        <v>16.66</v>
      </c>
    </row>
    <row r="94" spans="1:33">
      <c r="X94" s="18"/>
      <c r="Y94" s="18"/>
      <c r="AE94" s="18">
        <f t="shared" si="2"/>
        <v>46000</v>
      </c>
      <c r="AF94" s="18">
        <v>45912</v>
      </c>
      <c r="AG94">
        <v>16.93</v>
      </c>
    </row>
    <row r="95" spans="1:33">
      <c r="X95" s="18"/>
      <c r="Y95" s="18"/>
      <c r="AE95" s="18">
        <f t="shared" si="2"/>
        <v>46001</v>
      </c>
      <c r="AF95" s="18">
        <v>45942</v>
      </c>
      <c r="AG95">
        <v>15.77</v>
      </c>
    </row>
    <row r="96" spans="1:33">
      <c r="X96" s="18"/>
      <c r="Y96" s="18"/>
      <c r="AE96" s="18">
        <f t="shared" si="2"/>
        <v>46002</v>
      </c>
      <c r="AF96" s="18">
        <v>45973</v>
      </c>
      <c r="AG96">
        <v>14.85</v>
      </c>
    </row>
    <row r="97" spans="24:33">
      <c r="X97" s="18"/>
      <c r="Y97" s="18"/>
      <c r="AE97" s="18">
        <f t="shared" si="2"/>
        <v>46003</v>
      </c>
      <c r="AF97" s="18">
        <v>46003</v>
      </c>
      <c r="AG97">
        <v>15.74</v>
      </c>
    </row>
    <row r="98" spans="24:33">
      <c r="X98" s="18"/>
      <c r="Y98" s="18"/>
      <c r="AE98" s="18">
        <f t="shared" si="2"/>
        <v>46006</v>
      </c>
      <c r="AF98" t="s">
        <v>114</v>
      </c>
      <c r="AG98">
        <v>16.5</v>
      </c>
    </row>
    <row r="99" spans="24:33">
      <c r="X99" s="18"/>
      <c r="Y99" s="18"/>
      <c r="AE99" s="18">
        <f t="shared" si="2"/>
        <v>46007</v>
      </c>
      <c r="AF99" t="s">
        <v>115</v>
      </c>
      <c r="AG99">
        <v>16.48</v>
      </c>
    </row>
    <row r="100" spans="24:33">
      <c r="X100" s="18"/>
      <c r="Y100" s="18"/>
      <c r="AE100" s="18">
        <f t="shared" si="2"/>
        <v>46008</v>
      </c>
      <c r="AF100" t="s">
        <v>116</v>
      </c>
      <c r="AG100">
        <v>17.62</v>
      </c>
    </row>
    <row r="101" spans="24:33">
      <c r="X101" s="18"/>
      <c r="Y101" s="18"/>
      <c r="AE101" s="18">
        <f t="shared" si="2"/>
        <v>46009</v>
      </c>
      <c r="AF101" t="s">
        <v>117</v>
      </c>
      <c r="AG101">
        <v>16.87</v>
      </c>
    </row>
    <row r="102" spans="24:33">
      <c r="X102" s="18"/>
      <c r="Y102" s="18"/>
      <c r="AE102" s="18">
        <f t="shared" si="2"/>
        <v>46010</v>
      </c>
      <c r="AF102" t="s">
        <v>118</v>
      </c>
      <c r="AG102">
        <v>14.91</v>
      </c>
    </row>
    <row r="103" spans="24:33">
      <c r="X103" s="18"/>
      <c r="Y103" s="18"/>
      <c r="AE103" s="18">
        <f t="shared" si="2"/>
        <v>46013</v>
      </c>
      <c r="AF103" t="s">
        <v>119</v>
      </c>
      <c r="AG103">
        <v>14.08</v>
      </c>
    </row>
    <row r="104" spans="24:33">
      <c r="X104" s="18"/>
      <c r="Y104" s="18"/>
      <c r="AE104" s="18">
        <f t="shared" si="2"/>
        <v>46014</v>
      </c>
      <c r="AF104" t="s">
        <v>120</v>
      </c>
      <c r="AG104">
        <v>14</v>
      </c>
    </row>
    <row r="105" spans="24:33">
      <c r="X105" s="18"/>
      <c r="Y105" s="18"/>
      <c r="AE105" s="18">
        <f t="shared" si="2"/>
        <v>46015</v>
      </c>
      <c r="AF105" t="s">
        <v>121</v>
      </c>
      <c r="AG105">
        <v>13.47</v>
      </c>
    </row>
    <row r="106" spans="24:33">
      <c r="X106" s="18"/>
      <c r="Y106" s="18"/>
      <c r="AE106" s="18">
        <f t="shared" si="2"/>
        <v>46017</v>
      </c>
      <c r="AF106" t="s">
        <v>122</v>
      </c>
      <c r="AG106">
        <v>13.6</v>
      </c>
    </row>
    <row r="107" spans="24:33">
      <c r="X107" s="18"/>
      <c r="Y107" s="18"/>
      <c r="AE107" s="18">
        <f t="shared" si="2"/>
        <v>46020</v>
      </c>
      <c r="AF107" t="s">
        <v>123</v>
      </c>
      <c r="AG107">
        <v>14.2</v>
      </c>
    </row>
    <row r="108" spans="24:33">
      <c r="X108" s="18"/>
      <c r="Y108" s="18"/>
      <c r="AE108" s="18">
        <f t="shared" si="2"/>
        <v>46021</v>
      </c>
      <c r="AF108" t="s">
        <v>124</v>
      </c>
      <c r="AG108">
        <v>14.33</v>
      </c>
    </row>
    <row r="109" spans="24:33">
      <c r="X109" s="18"/>
      <c r="Y109" s="18"/>
      <c r="AE109" s="18">
        <f t="shared" si="2"/>
        <v>46022</v>
      </c>
      <c r="AF109" t="s">
        <v>125</v>
      </c>
      <c r="AG109">
        <v>14.95</v>
      </c>
    </row>
    <row r="110" spans="24:33">
      <c r="X110" s="18"/>
      <c r="Y110" s="18"/>
      <c r="AE110" s="18">
        <f t="shared" si="2"/>
        <v>46024</v>
      </c>
      <c r="AF110" s="18">
        <v>46054</v>
      </c>
      <c r="AG110">
        <v>14.51</v>
      </c>
    </row>
    <row r="111" spans="24:33">
      <c r="X111" s="18"/>
      <c r="Y111" s="18"/>
      <c r="AE111" s="18">
        <f t="shared" si="2"/>
        <v>46027</v>
      </c>
      <c r="AF111" s="18">
        <v>46143</v>
      </c>
      <c r="AG111">
        <v>14.9</v>
      </c>
    </row>
    <row r="112" spans="24:33">
      <c r="X112" s="18"/>
      <c r="Y112" s="18"/>
      <c r="AE112" s="18">
        <f t="shared" si="2"/>
        <v>46028</v>
      </c>
      <c r="AF112" s="18">
        <v>46174</v>
      </c>
      <c r="AG112">
        <v>14.75</v>
      </c>
    </row>
    <row r="113" spans="24:33">
      <c r="X113" s="18"/>
      <c r="Y113" s="18"/>
      <c r="AE113" s="18">
        <f t="shared" si="2"/>
        <v>46029</v>
      </c>
      <c r="AF113" s="18">
        <v>46204</v>
      </c>
      <c r="AG113">
        <v>15.38</v>
      </c>
    </row>
    <row r="114" spans="24:33">
      <c r="X114" s="18"/>
      <c r="Y114" s="18"/>
      <c r="AE114" s="18">
        <f t="shared" si="2"/>
        <v>46030</v>
      </c>
      <c r="AF114" s="18">
        <v>46235</v>
      </c>
      <c r="AG114">
        <v>15.45</v>
      </c>
    </row>
    <row r="115" spans="24:33">
      <c r="X115" s="18"/>
      <c r="Y115" s="18"/>
      <c r="AE115" s="18">
        <f t="shared" si="2"/>
        <v>46031</v>
      </c>
      <c r="AF115" s="18">
        <v>46266</v>
      </c>
      <c r="AG115">
        <v>14.49</v>
      </c>
    </row>
    <row r="116" spans="24:33">
      <c r="X116" s="18"/>
      <c r="Y116" s="18"/>
      <c r="AE116" s="18">
        <f t="shared" si="2"/>
        <v>46034</v>
      </c>
      <c r="AF116" s="18">
        <v>46357</v>
      </c>
      <c r="AG116">
        <v>15.12</v>
      </c>
    </row>
    <row r="117" spans="24:33">
      <c r="X117" s="18"/>
      <c r="Y117" s="18"/>
      <c r="AE117" s="18">
        <f t="shared" si="2"/>
        <v>46035</v>
      </c>
      <c r="AF117" t="s">
        <v>126</v>
      </c>
      <c r="AG117">
        <v>15.98</v>
      </c>
    </row>
    <row r="118" spans="24:33">
      <c r="X118" s="18"/>
      <c r="Y118" s="18"/>
      <c r="AE118" s="18">
        <f t="shared" si="2"/>
        <v>46036</v>
      </c>
      <c r="AF118" t="s">
        <v>127</v>
      </c>
      <c r="AG118">
        <v>16.75</v>
      </c>
    </row>
    <row r="119" spans="24:33">
      <c r="X119" s="18"/>
      <c r="Y119" s="18"/>
      <c r="AE119" s="18">
        <f t="shared" si="2"/>
        <v>46037</v>
      </c>
      <c r="AF119" t="s">
        <v>128</v>
      </c>
      <c r="AG119">
        <v>15.84</v>
      </c>
    </row>
    <row r="120" spans="24:33">
      <c r="X120" s="18"/>
      <c r="Y120" s="18"/>
      <c r="AE120" s="18">
        <f t="shared" si="2"/>
        <v>46038</v>
      </c>
      <c r="AF120" t="s">
        <v>129</v>
      </c>
      <c r="AG120">
        <v>15.86</v>
      </c>
    </row>
    <row r="121" spans="24:33">
      <c r="X121" s="18"/>
      <c r="Y121" s="18"/>
      <c r="AE121" s="18">
        <f t="shared" si="2"/>
        <v>46041</v>
      </c>
      <c r="AF121" t="s">
        <v>130</v>
      </c>
      <c r="AG121">
        <v>18.84</v>
      </c>
    </row>
    <row r="122" spans="24:33">
      <c r="X122" s="18"/>
      <c r="Y122" s="18"/>
      <c r="AE122" s="18">
        <f t="shared" si="2"/>
        <v>46042</v>
      </c>
      <c r="AF122" t="s">
        <v>131</v>
      </c>
      <c r="AG122">
        <v>20.09</v>
      </c>
    </row>
    <row r="123" spans="24:33">
      <c r="X123" s="18"/>
      <c r="Y123" s="18"/>
      <c r="AE123" s="18">
        <f t="shared" si="2"/>
        <v>46043</v>
      </c>
      <c r="AF123" t="s">
        <v>132</v>
      </c>
      <c r="AG123">
        <v>16.899999999999999</v>
      </c>
    </row>
    <row r="124" spans="24:33">
      <c r="X124" s="18"/>
      <c r="Y124" s="18"/>
      <c r="AE124" s="18">
        <f t="shared" si="2"/>
        <v>46044</v>
      </c>
      <c r="AF124" t="s">
        <v>133</v>
      </c>
      <c r="AG124">
        <v>15.64</v>
      </c>
    </row>
    <row r="125" spans="24:33">
      <c r="X125" s="18"/>
      <c r="Y125" s="18"/>
      <c r="AE125" s="18">
        <f t="shared" si="2"/>
        <v>46045</v>
      </c>
      <c r="AF125" t="s">
        <v>134</v>
      </c>
      <c r="AG125">
        <v>16.09</v>
      </c>
    </row>
    <row r="126" spans="24:33">
      <c r="X126" s="18"/>
      <c r="Y126" s="18"/>
      <c r="AE126" s="18">
        <f t="shared" si="2"/>
        <v>46048</v>
      </c>
      <c r="AF126" t="s">
        <v>135</v>
      </c>
      <c r="AG126">
        <v>16.149999999999999</v>
      </c>
    </row>
    <row r="127" spans="24:33">
      <c r="X127" s="18"/>
      <c r="Y127" s="18"/>
      <c r="AE127" s="18">
        <f t="shared" si="2"/>
        <v>46049</v>
      </c>
      <c r="AF127" t="s">
        <v>136</v>
      </c>
      <c r="AG127">
        <v>16.350000000000001</v>
      </c>
    </row>
    <row r="128" spans="24:33">
      <c r="X128" s="18"/>
      <c r="Y128" s="18"/>
      <c r="AE128" s="18">
        <f t="shared" si="2"/>
        <v>46050</v>
      </c>
      <c r="AF128" t="s">
        <v>137</v>
      </c>
      <c r="AG128">
        <v>16.350000000000001</v>
      </c>
    </row>
    <row r="129" spans="24:33">
      <c r="X129" s="18"/>
      <c r="Y129" s="18"/>
      <c r="AE129" s="18">
        <f t="shared" si="2"/>
        <v>46051</v>
      </c>
      <c r="AF129" t="s">
        <v>138</v>
      </c>
      <c r="AG129">
        <v>16.88</v>
      </c>
    </row>
    <row r="130" spans="24:33">
      <c r="X130" s="18"/>
      <c r="Y130" s="18"/>
      <c r="AE130" s="18">
        <f t="shared" ref="AE130:AE193" si="4">IF(ISNUMBER(AF130),DATE(YEAR(AF130),DAY(AF130),MONTH(AF130)),DATE(RIGHT(AF130,4),LEFT(AF130,2),MID(AF130,4,2)))</f>
        <v>46052</v>
      </c>
      <c r="AF130" t="s">
        <v>139</v>
      </c>
      <c r="AG130">
        <v>17.440000000000001</v>
      </c>
    </row>
    <row r="131" spans="24:33">
      <c r="X131" s="18"/>
      <c r="Y131" s="18"/>
      <c r="AE131" s="18">
        <f t="shared" si="4"/>
        <v>46055</v>
      </c>
      <c r="AF131" s="18">
        <v>46055</v>
      </c>
      <c r="AG131">
        <v>16.34</v>
      </c>
    </row>
    <row r="132" spans="24:33">
      <c r="X132" s="18"/>
      <c r="Y132" s="18"/>
      <c r="AE132" s="18">
        <f t="shared" si="4"/>
        <v>46056</v>
      </c>
      <c r="AF132" s="18">
        <v>46083</v>
      </c>
      <c r="AG132">
        <v>18</v>
      </c>
    </row>
    <row r="133" spans="24:33">
      <c r="X133" s="18"/>
      <c r="Y133" s="18"/>
      <c r="AE133" s="18">
        <f t="shared" si="4"/>
        <v>46057</v>
      </c>
      <c r="AF133" s="18">
        <v>46114</v>
      </c>
      <c r="AG133">
        <v>18.64</v>
      </c>
    </row>
    <row r="134" spans="24:33">
      <c r="X134" s="18"/>
      <c r="Y134" s="18"/>
      <c r="AE134" s="18">
        <f t="shared" si="4"/>
        <v>46058</v>
      </c>
      <c r="AF134" s="18">
        <v>46144</v>
      </c>
      <c r="AG134">
        <v>21.77</v>
      </c>
    </row>
    <row r="135" spans="24:33">
      <c r="X135" s="18"/>
      <c r="Y135" s="18"/>
      <c r="AE135" s="18">
        <f t="shared" si="4"/>
        <v>46059</v>
      </c>
      <c r="AF135" s="18">
        <v>46175</v>
      </c>
      <c r="AG135">
        <v>17.760000000000002</v>
      </c>
    </row>
    <row r="136" spans="24:33">
      <c r="X136" s="18"/>
      <c r="Y136" s="18"/>
      <c r="AE136" s="18">
        <f t="shared" si="4"/>
        <v>46062</v>
      </c>
      <c r="AF136" s="18">
        <v>46267</v>
      </c>
      <c r="AG136">
        <v>17.36</v>
      </c>
    </row>
    <row r="137" spans="24:33">
      <c r="X137" s="18"/>
      <c r="Y137" s="18"/>
      <c r="AE137" s="18">
        <f t="shared" si="4"/>
        <v>46063</v>
      </c>
      <c r="AF137" s="18">
        <v>46297</v>
      </c>
      <c r="AG137">
        <v>17.79</v>
      </c>
    </row>
    <row r="138" spans="24:33">
      <c r="X138" s="18"/>
      <c r="Y138" s="18"/>
      <c r="AE138" s="18">
        <f t="shared" si="4"/>
        <v>46064</v>
      </c>
      <c r="AF138" s="18">
        <v>46328</v>
      </c>
      <c r="AG138">
        <v>17.649999999999999</v>
      </c>
    </row>
    <row r="139" spans="24:33">
      <c r="X139" s="18"/>
      <c r="Y139" s="18"/>
      <c r="AE139" s="18">
        <f t="shared" si="4"/>
        <v>46065</v>
      </c>
      <c r="AF139" s="18">
        <v>46358</v>
      </c>
      <c r="AG139">
        <v>20.82</v>
      </c>
    </row>
    <row r="140" spans="24:33">
      <c r="X140" s="18"/>
      <c r="Y140" s="18"/>
      <c r="AE140" s="18">
        <f t="shared" si="4"/>
        <v>46066</v>
      </c>
      <c r="AF140" t="s">
        <v>140</v>
      </c>
      <c r="AG140">
        <v>20.6</v>
      </c>
    </row>
    <row r="141" spans="24:33">
      <c r="X141" s="18"/>
      <c r="Y141" s="18"/>
      <c r="AE141" s="18">
        <f t="shared" si="4"/>
        <v>46069</v>
      </c>
      <c r="AF141" t="s">
        <v>141</v>
      </c>
      <c r="AG141">
        <v>21.2</v>
      </c>
    </row>
    <row r="142" spans="24:33">
      <c r="X142" s="18"/>
      <c r="Y142" s="18"/>
      <c r="AE142" s="18">
        <f t="shared" si="4"/>
        <v>46070</v>
      </c>
      <c r="AF142" t="s">
        <v>142</v>
      </c>
      <c r="AG142">
        <v>20.29</v>
      </c>
    </row>
    <row r="143" spans="24:33">
      <c r="X143" s="18"/>
      <c r="Y143" s="18"/>
      <c r="AE143" s="18">
        <f t="shared" si="4"/>
        <v>46071</v>
      </c>
      <c r="AF143" t="s">
        <v>143</v>
      </c>
      <c r="AG143">
        <v>19.62</v>
      </c>
    </row>
    <row r="144" spans="24:33">
      <c r="X144" s="18"/>
      <c r="Y144" s="18"/>
      <c r="AE144" s="18">
        <f t="shared" si="4"/>
        <v>46072</v>
      </c>
      <c r="AF144" t="s">
        <v>144</v>
      </c>
      <c r="AG144">
        <v>20.23</v>
      </c>
    </row>
    <row r="145" spans="24:33">
      <c r="X145" s="18"/>
      <c r="Y145" s="18"/>
      <c r="AE145" s="18">
        <f t="shared" si="4"/>
        <v>46073</v>
      </c>
      <c r="AF145" t="s">
        <v>145</v>
      </c>
      <c r="AG145">
        <v>19.09</v>
      </c>
    </row>
    <row r="146" spans="24:33">
      <c r="X146" s="18"/>
      <c r="Y146" s="18"/>
      <c r="AE146" s="18">
        <f t="shared" si="4"/>
        <v>46076</v>
      </c>
      <c r="AF146" t="s">
        <v>146</v>
      </c>
      <c r="AG146">
        <v>21.01</v>
      </c>
    </row>
    <row r="147" spans="24:33">
      <c r="X147" s="18"/>
      <c r="Y147" s="18"/>
      <c r="AE147" s="18">
        <f t="shared" si="4"/>
        <v>46077</v>
      </c>
      <c r="AF147" t="s">
        <v>147</v>
      </c>
      <c r="AG147">
        <v>19.55</v>
      </c>
    </row>
    <row r="148" spans="24:33">
      <c r="X148" s="18"/>
      <c r="Y148" s="18"/>
      <c r="AE148" s="18">
        <f t="shared" si="4"/>
        <v>46078</v>
      </c>
      <c r="AF148" t="s">
        <v>148</v>
      </c>
      <c r="AG148">
        <v>17.93</v>
      </c>
    </row>
    <row r="149" spans="24:33">
      <c r="X149" s="18"/>
      <c r="Y149" s="18"/>
      <c r="AE149" s="18">
        <f t="shared" si="4"/>
        <v>46079</v>
      </c>
      <c r="AF149" t="s">
        <v>149</v>
      </c>
      <c r="AG149">
        <v>18.63</v>
      </c>
    </row>
    <row r="150" spans="24:33">
      <c r="X150" s="18"/>
      <c r="Y150" s="18"/>
      <c r="AE150" s="18">
        <f t="shared" si="4"/>
        <v>46080</v>
      </c>
      <c r="AF150" t="s">
        <v>150</v>
      </c>
      <c r="AG150">
        <v>19.86</v>
      </c>
    </row>
    <row r="151" spans="24:33">
      <c r="X151" s="18"/>
      <c r="Y151" s="18"/>
      <c r="AE151" s="18">
        <f t="shared" si="4"/>
        <v>46083</v>
      </c>
      <c r="AF151" s="18">
        <v>46056</v>
      </c>
      <c r="AG151">
        <v>21.44</v>
      </c>
    </row>
    <row r="152" spans="24:33">
      <c r="X152" s="18"/>
      <c r="Y152" s="18"/>
      <c r="AE152" s="18">
        <f t="shared" si="4"/>
        <v>46084</v>
      </c>
      <c r="AF152" s="18">
        <v>46084</v>
      </c>
      <c r="AG152">
        <v>23.57</v>
      </c>
    </row>
    <row r="153" spans="24:33">
      <c r="X153" s="18"/>
      <c r="Y153" s="18"/>
      <c r="AE153" s="18">
        <f t="shared" si="4"/>
        <v>46085</v>
      </c>
      <c r="AF153" s="18">
        <v>46115</v>
      </c>
      <c r="AG153">
        <v>21.15</v>
      </c>
    </row>
    <row r="154" spans="24:33">
      <c r="X154" s="18"/>
      <c r="Y154" s="18"/>
      <c r="AE154" s="18">
        <f t="shared" si="4"/>
        <v>46086</v>
      </c>
      <c r="AF154" s="18">
        <v>46145</v>
      </c>
      <c r="AG154">
        <v>23.75</v>
      </c>
    </row>
    <row r="155" spans="24:33">
      <c r="X155" s="18"/>
      <c r="Y155" s="18"/>
      <c r="AE155" s="18">
        <f t="shared" si="4"/>
        <v>46087</v>
      </c>
      <c r="AF155" s="18">
        <v>46176</v>
      </c>
      <c r="AG155">
        <v>29.49</v>
      </c>
    </row>
    <row r="156" spans="24:33">
      <c r="X156" s="18"/>
      <c r="Y156" s="18"/>
      <c r="AE156" s="18">
        <f t="shared" si="4"/>
        <v>46090</v>
      </c>
      <c r="AF156" s="18">
        <v>46268</v>
      </c>
      <c r="AG156">
        <v>25.5</v>
      </c>
    </row>
    <row r="157" spans="24:33">
      <c r="X157" s="18"/>
      <c r="Y157" s="18"/>
      <c r="AE157" s="18">
        <f t="shared" si="4"/>
        <v>46091</v>
      </c>
      <c r="AF157" s="18">
        <v>46298</v>
      </c>
      <c r="AG157">
        <v>24.93</v>
      </c>
    </row>
    <row r="158" spans="24:33">
      <c r="X158" s="18"/>
      <c r="Y158" s="18"/>
      <c r="AE158" s="18">
        <f t="shared" si="4"/>
        <v>46092</v>
      </c>
      <c r="AF158" s="18">
        <v>46329</v>
      </c>
      <c r="AG158">
        <v>24.23</v>
      </c>
    </row>
    <row r="159" spans="24:33">
      <c r="X159" s="18"/>
      <c r="Y159" s="18"/>
      <c r="AE159" s="18">
        <f t="shared" si="4"/>
        <v>46093</v>
      </c>
      <c r="AF159" s="18">
        <v>46359</v>
      </c>
      <c r="AG159">
        <v>27.29</v>
      </c>
    </row>
    <row r="160" spans="24:33">
      <c r="X160" s="18"/>
      <c r="Y160" s="18"/>
      <c r="AE160" s="18">
        <f t="shared" si="4"/>
        <v>46094</v>
      </c>
      <c r="AF160" t="s">
        <v>151</v>
      </c>
      <c r="AG160">
        <v>27.19</v>
      </c>
    </row>
    <row r="161" spans="24:33">
      <c r="X161" s="18"/>
      <c r="Y161" s="18"/>
      <c r="AE161" s="18">
        <f t="shared" si="4"/>
        <v>46097</v>
      </c>
      <c r="AF161" t="s">
        <v>152</v>
      </c>
      <c r="AG161">
        <v>23.51</v>
      </c>
    </row>
    <row r="162" spans="24:33">
      <c r="X162" s="18"/>
      <c r="Y162" s="18"/>
      <c r="AE162" s="18">
        <f t="shared" si="4"/>
        <v>46098</v>
      </c>
      <c r="AF162" t="s">
        <v>153</v>
      </c>
      <c r="AG162">
        <v>22.37</v>
      </c>
    </row>
    <row r="163" spans="24:33">
      <c r="X163" s="18"/>
      <c r="Y163" s="18"/>
      <c r="AE163" s="18">
        <f t="shared" si="4"/>
        <v>46099</v>
      </c>
      <c r="AF163" t="s">
        <v>154</v>
      </c>
      <c r="AG163">
        <v>25.09</v>
      </c>
    </row>
    <row r="164" spans="24:33">
      <c r="X164" s="18"/>
      <c r="Y164" s="18"/>
      <c r="AE164" s="18">
        <f t="shared" si="4"/>
        <v>46100</v>
      </c>
      <c r="AF164" t="s">
        <v>155</v>
      </c>
      <c r="AG164">
        <v>24.06</v>
      </c>
    </row>
    <row r="165" spans="24:33">
      <c r="X165" s="18"/>
      <c r="Y165" s="18"/>
      <c r="AE165" s="18">
        <f t="shared" si="4"/>
        <v>46101</v>
      </c>
      <c r="AF165" t="s">
        <v>156</v>
      </c>
      <c r="AG165">
        <v>26.78</v>
      </c>
    </row>
    <row r="166" spans="24:33">
      <c r="X166" s="18"/>
      <c r="Y166" s="18"/>
      <c r="AE166" s="18">
        <f t="shared" si="4"/>
        <v>46104</v>
      </c>
      <c r="AF166" t="s">
        <v>157</v>
      </c>
      <c r="AG166">
        <v>26.15</v>
      </c>
    </row>
    <row r="167" spans="24:33">
      <c r="X167" s="18"/>
      <c r="Y167" s="18"/>
      <c r="AE167" s="18">
        <f t="shared" si="4"/>
        <v>46105</v>
      </c>
      <c r="AF167" t="s">
        <v>158</v>
      </c>
      <c r="AG167">
        <v>26.95</v>
      </c>
    </row>
    <row r="168" spans="24:33">
      <c r="X168" s="18"/>
      <c r="Y168" s="18"/>
      <c r="AE168" s="18">
        <f t="shared" si="4"/>
        <v>46106</v>
      </c>
      <c r="AF168" t="s">
        <v>159</v>
      </c>
      <c r="AG168">
        <v>25.33</v>
      </c>
    </row>
    <row r="169" spans="24:33">
      <c r="X169" s="18"/>
      <c r="Y169" s="18"/>
      <c r="AE169" s="18">
        <f t="shared" si="4"/>
        <v>46107</v>
      </c>
      <c r="AF169" t="s">
        <v>160</v>
      </c>
      <c r="AG169">
        <v>27.44</v>
      </c>
    </row>
    <row r="170" spans="24:33">
      <c r="X170" s="18"/>
      <c r="Y170" s="18"/>
      <c r="AE170" s="18">
        <f t="shared" si="4"/>
        <v>46108</v>
      </c>
      <c r="AF170" t="s">
        <v>161</v>
      </c>
      <c r="AG170">
        <v>31.05</v>
      </c>
    </row>
    <row r="171" spans="24:33">
      <c r="X171" s="18"/>
      <c r="Y171" s="18"/>
      <c r="AE171" s="18">
        <f t="shared" si="4"/>
        <v>46111</v>
      </c>
      <c r="AF171" t="s">
        <v>162</v>
      </c>
      <c r="AG171">
        <v>30.61</v>
      </c>
    </row>
    <row r="172" spans="24:33">
      <c r="X172" s="18"/>
      <c r="Y172" s="18"/>
      <c r="AE172" s="18">
        <f t="shared" si="4"/>
        <v>46112</v>
      </c>
      <c r="AF172" t="s">
        <v>163</v>
      </c>
      <c r="AG172">
        <v>25.25</v>
      </c>
    </row>
    <row r="173" spans="24:33">
      <c r="X173" s="18"/>
      <c r="Y173" s="18"/>
      <c r="AE173" s="18">
        <f t="shared" si="4"/>
        <v>46113</v>
      </c>
      <c r="AF173" s="18">
        <v>46026</v>
      </c>
      <c r="AG173">
        <v>24.54</v>
      </c>
    </row>
    <row r="174" spans="24:33">
      <c r="X174" s="18"/>
      <c r="Y174" s="18"/>
      <c r="AE174" s="18">
        <f t="shared" si="4"/>
        <v>46114</v>
      </c>
      <c r="AF174" s="18">
        <v>46057</v>
      </c>
      <c r="AG174">
        <v>23.87</v>
      </c>
    </row>
    <row r="175" spans="24:33">
      <c r="X175" s="18"/>
      <c r="Y175" s="18"/>
      <c r="AE175" s="18">
        <f t="shared" si="4"/>
        <v>46118</v>
      </c>
      <c r="AF175" s="18">
        <v>46177</v>
      </c>
      <c r="AG175">
        <v>24.17</v>
      </c>
    </row>
    <row r="176" spans="24:33">
      <c r="X176" s="18"/>
      <c r="Y176" s="18"/>
      <c r="AE176" s="18">
        <f t="shared" si="4"/>
        <v>46119</v>
      </c>
      <c r="AF176" s="18">
        <v>46207</v>
      </c>
      <c r="AG176">
        <v>25.78</v>
      </c>
    </row>
    <row r="177" spans="24:33">
      <c r="X177" s="18"/>
      <c r="Y177" s="18"/>
      <c r="AE177" s="18">
        <f t="shared" si="4"/>
        <v>46120</v>
      </c>
      <c r="AF177" s="18">
        <v>46238</v>
      </c>
      <c r="AG177">
        <v>21.04</v>
      </c>
    </row>
    <row r="178" spans="24:33">
      <c r="X178" s="18"/>
      <c r="Y178" s="18"/>
      <c r="AE178" s="18">
        <f t="shared" si="4"/>
        <v>46121</v>
      </c>
      <c r="AF178" s="18">
        <v>46269</v>
      </c>
      <c r="AG178">
        <v>19.489999999999998</v>
      </c>
    </row>
    <row r="179" spans="24:33">
      <c r="X179" s="18"/>
      <c r="Y179" s="18"/>
      <c r="AE179" s="18">
        <f t="shared" si="4"/>
        <v>46122</v>
      </c>
      <c r="AF179" s="18">
        <v>46299</v>
      </c>
      <c r="AG179">
        <v>19.23</v>
      </c>
    </row>
    <row r="180" spans="24:33">
      <c r="X180" s="18"/>
      <c r="Y180" s="18"/>
      <c r="AE180" s="18">
        <f t="shared" si="4"/>
        <v>46125</v>
      </c>
      <c r="AF180" t="s">
        <v>164</v>
      </c>
      <c r="AG180">
        <v>19.12</v>
      </c>
    </row>
    <row r="181" spans="24:33">
      <c r="X181" s="18"/>
      <c r="Y181" s="18"/>
      <c r="AE181" s="18">
        <f t="shared" si="4"/>
        <v>46126</v>
      </c>
      <c r="AF181" t="s">
        <v>165</v>
      </c>
      <c r="AG181">
        <v>18.36</v>
      </c>
    </row>
    <row r="182" spans="24:33">
      <c r="X182" s="18"/>
      <c r="Y182" s="18"/>
      <c r="AE182" s="18">
        <f t="shared" si="4"/>
        <v>46127</v>
      </c>
      <c r="AF182" t="s">
        <v>166</v>
      </c>
      <c r="AG182">
        <v>18.170000000000002</v>
      </c>
    </row>
    <row r="183" spans="24:33">
      <c r="X183" s="18"/>
      <c r="Y183" s="18"/>
      <c r="AE183" s="18">
        <f t="shared" si="4"/>
        <v>46128</v>
      </c>
      <c r="AF183" t="s">
        <v>167</v>
      </c>
      <c r="AG183">
        <v>17.940000000000001</v>
      </c>
    </row>
    <row r="184" spans="24:33">
      <c r="X184" s="18"/>
      <c r="Y184" s="18"/>
      <c r="AE184" s="18">
        <f t="shared" si="4"/>
        <v>46129</v>
      </c>
      <c r="AF184" t="s">
        <v>168</v>
      </c>
      <c r="AG184">
        <v>17.48</v>
      </c>
    </row>
    <row r="185" spans="24:33">
      <c r="X185" s="18"/>
      <c r="Y185" s="18"/>
      <c r="AE185" s="18">
        <f t="shared" si="4"/>
        <v>46132</v>
      </c>
      <c r="AF185" t="s">
        <v>169</v>
      </c>
      <c r="AG185">
        <v>18.87</v>
      </c>
    </row>
    <row r="186" spans="24:33">
      <c r="X186" s="18"/>
      <c r="Y186" s="18"/>
      <c r="AE186" s="18">
        <f t="shared" si="4"/>
        <v>46133</v>
      </c>
      <c r="AF186" t="s">
        <v>170</v>
      </c>
      <c r="AG186">
        <v>19.5</v>
      </c>
    </row>
    <row r="187" spans="24:33">
      <c r="X187" s="18"/>
      <c r="Y187" s="18"/>
      <c r="AE187" s="18">
        <f t="shared" si="4"/>
        <v>46134</v>
      </c>
      <c r="AF187" t="s">
        <v>171</v>
      </c>
      <c r="AG187">
        <v>18.920000000000002</v>
      </c>
    </row>
    <row r="188" spans="24:33">
      <c r="X188" s="18"/>
      <c r="Y188" s="18"/>
      <c r="AE188" s="18">
        <f t="shared" si="4"/>
        <v>46135</v>
      </c>
      <c r="AF188" t="s">
        <v>172</v>
      </c>
      <c r="AG188">
        <v>19.309999999999999</v>
      </c>
    </row>
    <row r="189" spans="24:33">
      <c r="X189" s="18"/>
      <c r="Y189" s="18"/>
      <c r="AE189" s="18">
        <f t="shared" si="4"/>
        <v>46136</v>
      </c>
      <c r="AF189" t="s">
        <v>173</v>
      </c>
      <c r="AG189">
        <v>18.71</v>
      </c>
    </row>
    <row r="190" spans="24:33">
      <c r="X190" s="18"/>
      <c r="Y190" s="18"/>
      <c r="AE190" s="18">
        <f t="shared" si="4"/>
        <v>46139</v>
      </c>
      <c r="AF190" t="s">
        <v>174</v>
      </c>
      <c r="AG190">
        <v>18.02</v>
      </c>
    </row>
    <row r="191" spans="24:33">
      <c r="X191" s="18"/>
      <c r="Y191" s="18"/>
      <c r="AE191" s="18">
        <f t="shared" si="4"/>
        <v>46140</v>
      </c>
      <c r="AF191" t="s">
        <v>175</v>
      </c>
      <c r="AG191">
        <v>17.829999999999998</v>
      </c>
    </row>
    <row r="192" spans="24:33">
      <c r="X192" s="18"/>
      <c r="Y192" s="18"/>
      <c r="AE192" s="18">
        <f t="shared" si="4"/>
        <v>46141</v>
      </c>
      <c r="AF192" t="s">
        <v>176</v>
      </c>
      <c r="AG192">
        <v>18.809999999999999</v>
      </c>
    </row>
    <row r="193" spans="24:33">
      <c r="X193" s="18"/>
      <c r="Y193" s="18"/>
      <c r="AE193" s="18">
        <f t="shared" si="4"/>
        <v>46142</v>
      </c>
      <c r="AF193" t="s">
        <v>177</v>
      </c>
      <c r="AG193">
        <v>16.89</v>
      </c>
    </row>
    <row r="194" spans="24:33">
      <c r="X194" s="18"/>
      <c r="Y194" s="18"/>
      <c r="AE194" s="18">
        <f t="shared" ref="AE194:AE257" si="5">IF(ISNUMBER(AF194),DATE(YEAR(AF194),DAY(AF194),MONTH(AF194)),DATE(RIGHT(AF194,4),LEFT(AF194,2),MID(AF194,4,2)))</f>
        <v>46143</v>
      </c>
      <c r="AF194" s="18">
        <v>46027</v>
      </c>
      <c r="AG194">
        <v>16.989999999999998</v>
      </c>
    </row>
    <row r="195" spans="24:33">
      <c r="X195" s="18"/>
      <c r="Y195" s="18"/>
      <c r="AE195" s="18">
        <f t="shared" si="5"/>
        <v>46146</v>
      </c>
      <c r="AF195" s="18">
        <v>46117</v>
      </c>
      <c r="AG195">
        <v>18.29</v>
      </c>
    </row>
    <row r="196" spans="24:33">
      <c r="X196" s="18"/>
      <c r="Y196" s="18"/>
      <c r="AE196" s="18">
        <f t="shared" si="5"/>
        <v>46147</v>
      </c>
      <c r="AF196" s="18">
        <v>46147</v>
      </c>
      <c r="AG196">
        <v>17.38</v>
      </c>
    </row>
    <row r="197" spans="24:33">
      <c r="X197" s="18"/>
      <c r="Y197" s="18"/>
      <c r="AE197" s="18">
        <f t="shared" si="5"/>
        <v>46148</v>
      </c>
      <c r="AF197" s="18">
        <v>46178</v>
      </c>
      <c r="AG197">
        <v>17.39</v>
      </c>
    </row>
    <row r="198" spans="24:33">
      <c r="X198" s="18"/>
      <c r="Y198" s="18"/>
      <c r="AE198" s="18">
        <f t="shared" si="5"/>
        <v>46149</v>
      </c>
      <c r="AF198" s="18">
        <v>46208</v>
      </c>
      <c r="AG198">
        <v>17.079999999999998</v>
      </c>
    </row>
    <row r="199" spans="24:33">
      <c r="X199" s="18"/>
      <c r="Y199" s="18"/>
      <c r="AE199" s="18">
        <f t="shared" si="5"/>
        <v>46150</v>
      </c>
      <c r="AF199" s="18">
        <v>46239</v>
      </c>
      <c r="AG199">
        <v>17.190000000000001</v>
      </c>
    </row>
    <row r="200" spans="24:33">
      <c r="X200" s="18"/>
      <c r="Y200" s="18"/>
      <c r="AE200" s="18">
        <f t="shared" si="5"/>
        <v>46153</v>
      </c>
      <c r="AF200" s="18">
        <v>46331</v>
      </c>
      <c r="AG200">
        <v>18.38</v>
      </c>
    </row>
    <row r="201" spans="24:33">
      <c r="X201" s="18"/>
      <c r="Y201" s="18"/>
      <c r="AE201" s="18">
        <f t="shared" si="5"/>
        <v>46154</v>
      </c>
      <c r="AF201" s="18">
        <v>46361</v>
      </c>
      <c r="AG201">
        <v>17.989999999999998</v>
      </c>
    </row>
    <row r="202" spans="24:33">
      <c r="X202" s="18"/>
      <c r="Y202" s="18"/>
      <c r="AE202" s="18">
        <f t="shared" si="5"/>
        <v>46155</v>
      </c>
      <c r="AF202" t="s">
        <v>178</v>
      </c>
      <c r="AG202">
        <v>17.87</v>
      </c>
    </row>
    <row r="203" spans="24:33">
      <c r="X203" s="18"/>
      <c r="Y203" s="18"/>
      <c r="AE203" s="18">
        <f t="shared" si="5"/>
        <v>46156</v>
      </c>
      <c r="AF203" t="s">
        <v>179</v>
      </c>
      <c r="AG203">
        <v>17.260000000000002</v>
      </c>
    </row>
    <row r="204" spans="24:33">
      <c r="X204" s="18"/>
      <c r="Y204" s="18"/>
      <c r="AE204" s="18">
        <f t="shared" si="5"/>
        <v>46157</v>
      </c>
      <c r="AF204" t="s">
        <v>180</v>
      </c>
      <c r="AG204">
        <v>18.43</v>
      </c>
    </row>
    <row r="205" spans="24:33">
      <c r="X205" s="18"/>
      <c r="Y205" s="18"/>
      <c r="AE205" s="18">
        <f t="shared" si="5"/>
        <v>46160</v>
      </c>
      <c r="AF205" t="s">
        <v>181</v>
      </c>
      <c r="AG205">
        <v>17.82</v>
      </c>
    </row>
    <row r="206" spans="24:33">
      <c r="X206" s="18"/>
      <c r="Y206" s="18"/>
      <c r="AE206" s="18">
        <f t="shared" si="5"/>
        <v>46161</v>
      </c>
      <c r="AF206" t="s">
        <v>182</v>
      </c>
      <c r="AG206">
        <v>18.059999999999999</v>
      </c>
    </row>
    <row r="207" spans="24:33">
      <c r="X207" s="18"/>
      <c r="Y207" s="18"/>
      <c r="AE207" s="18">
        <f t="shared" si="5"/>
        <v>46162</v>
      </c>
      <c r="AF207" t="s">
        <v>183</v>
      </c>
      <c r="AG207">
        <v>17.440000000000001</v>
      </c>
    </row>
    <row r="208" spans="24:33">
      <c r="X208" s="18"/>
      <c r="Y208" s="18"/>
      <c r="AE208" s="18">
        <f t="shared" si="5"/>
        <v>46163</v>
      </c>
      <c r="AF208" t="s">
        <v>184</v>
      </c>
      <c r="AG208">
        <v>16.760000000000002</v>
      </c>
    </row>
    <row r="209" spans="24:33">
      <c r="X209" s="18"/>
      <c r="Y209" s="18"/>
      <c r="AE209" s="18">
        <f t="shared" si="5"/>
        <v>46164</v>
      </c>
      <c r="AF209" t="s">
        <v>185</v>
      </c>
      <c r="AG209">
        <v>16.7</v>
      </c>
    </row>
    <row r="210" spans="24:33">
      <c r="X210" s="18"/>
      <c r="Y210" s="18"/>
      <c r="AE210" s="18">
        <f t="shared" si="5"/>
        <v>46167</v>
      </c>
      <c r="AF210" t="s">
        <v>186</v>
      </c>
      <c r="AG210">
        <v>16.59</v>
      </c>
    </row>
    <row r="211" spans="24:33">
      <c r="X211" s="18"/>
      <c r="Y211" s="18"/>
      <c r="AE211" s="18">
        <f t="shared" si="5"/>
        <v>46168</v>
      </c>
      <c r="AF211" t="s">
        <v>187</v>
      </c>
      <c r="AG211">
        <v>17.010000000000002</v>
      </c>
    </row>
    <row r="212" spans="24:33">
      <c r="X212" s="18"/>
      <c r="Y212" s="18"/>
      <c r="AE212" s="18">
        <f t="shared" si="5"/>
        <v>46169</v>
      </c>
      <c r="AF212" t="s">
        <v>188</v>
      </c>
      <c r="AG212">
        <v>16.29</v>
      </c>
    </row>
    <row r="213" spans="24:33">
      <c r="X213" s="18"/>
      <c r="Y213" s="18"/>
      <c r="AE213" s="18">
        <f t="shared" si="5"/>
        <v>46170</v>
      </c>
      <c r="AF213" t="s">
        <v>189</v>
      </c>
      <c r="AG213">
        <v>15.74</v>
      </c>
    </row>
    <row r="214" spans="24:33">
      <c r="X214" s="18"/>
      <c r="Y214" s="18"/>
      <c r="AE214" s="18">
        <f t="shared" si="5"/>
        <v>46171</v>
      </c>
      <c r="AF214" t="s">
        <v>190</v>
      </c>
      <c r="AG214">
        <v>15.32</v>
      </c>
    </row>
    <row r="215" spans="24:33">
      <c r="X215" s="18"/>
      <c r="Y215" s="18"/>
      <c r="AE215" s="18">
        <f t="shared" si="5"/>
        <v>46174</v>
      </c>
      <c r="AF215" s="18">
        <v>46028</v>
      </c>
      <c r="AG215">
        <v>16.05</v>
      </c>
    </row>
    <row r="216" spans="24:33">
      <c r="X216" s="18"/>
      <c r="Y216" s="18"/>
      <c r="AE216" s="18">
        <f t="shared" si="5"/>
        <v>46175</v>
      </c>
      <c r="AF216" s="18">
        <v>46059</v>
      </c>
      <c r="AG216">
        <v>15.77</v>
      </c>
    </row>
    <row r="217" spans="24:33">
      <c r="X217" s="18"/>
      <c r="Y217" s="18"/>
      <c r="AE217" s="18">
        <f t="shared" si="5"/>
        <v>46176</v>
      </c>
      <c r="AF217" s="18">
        <v>46087</v>
      </c>
      <c r="AG217">
        <v>16.059999999999999</v>
      </c>
    </row>
    <row r="218" spans="24:33">
      <c r="X218" s="18"/>
      <c r="Y218" s="18"/>
      <c r="AE218" s="18">
        <f t="shared" si="5"/>
        <v>46177</v>
      </c>
      <c r="AF218" s="18">
        <v>46118</v>
      </c>
      <c r="AG218">
        <v>15.4</v>
      </c>
    </row>
    <row r="219" spans="24:33">
      <c r="X219" s="18"/>
      <c r="Y219" s="18"/>
      <c r="AE219" s="18">
        <f t="shared" si="5"/>
        <v>46178</v>
      </c>
      <c r="AF219" s="18">
        <v>46148</v>
      </c>
      <c r="AG219">
        <v>21.51</v>
      </c>
    </row>
    <row r="220" spans="24:33">
      <c r="X220" s="18"/>
      <c r="Y220" s="18"/>
      <c r="AE220" s="18">
        <f t="shared" si="5"/>
        <v>46181</v>
      </c>
      <c r="AF220" s="18">
        <v>46240</v>
      </c>
      <c r="AG220">
        <v>18.920000000000002</v>
      </c>
    </row>
    <row r="221" spans="24:33">
      <c r="X221" s="18"/>
      <c r="Y221" s="18"/>
      <c r="AE221" s="18">
        <f t="shared" si="5"/>
        <v>46182</v>
      </c>
      <c r="AF221" s="18">
        <v>46271</v>
      </c>
      <c r="AG221">
        <v>19.87</v>
      </c>
    </row>
    <row r="222" spans="24:33">
      <c r="X222" s="18"/>
      <c r="Y222" s="18"/>
      <c r="AE222" s="18">
        <f t="shared" si="5"/>
        <v>46183</v>
      </c>
      <c r="AF222" s="18">
        <v>46301</v>
      </c>
      <c r="AG222">
        <v>22.22</v>
      </c>
    </row>
    <row r="223" spans="24:33">
      <c r="X223" s="18"/>
      <c r="Y223" s="18"/>
      <c r="AE223" s="18">
        <f t="shared" si="5"/>
        <v>46184</v>
      </c>
      <c r="AF223" s="18">
        <v>46332</v>
      </c>
      <c r="AG223">
        <v>19.440000000000001</v>
      </c>
    </row>
    <row r="224" spans="24:33">
      <c r="X224" s="18"/>
      <c r="Y224" s="18"/>
      <c r="AE224" s="18">
        <f t="shared" si="5"/>
        <v>46185</v>
      </c>
      <c r="AF224" s="18">
        <v>46362</v>
      </c>
      <c r="AG224">
        <v>17.68</v>
      </c>
    </row>
    <row r="225" spans="24:33">
      <c r="X225" s="18"/>
      <c r="Y225" s="18"/>
      <c r="AE225" s="18">
        <f t="shared" si="5"/>
        <v>46188</v>
      </c>
      <c r="AF225" t="s">
        <v>191</v>
      </c>
      <c r="AG225">
        <v>16.2</v>
      </c>
    </row>
    <row r="226" spans="24:33">
      <c r="X226" s="18"/>
      <c r="Y226" s="18"/>
      <c r="AE226" s="18">
        <f t="shared" si="5"/>
        <v>46189</v>
      </c>
      <c r="AF226" t="s">
        <v>192</v>
      </c>
      <c r="AG226">
        <v>16.41</v>
      </c>
    </row>
    <row r="227" spans="24:33">
      <c r="X227" s="18"/>
      <c r="Y227" s="18"/>
      <c r="AE227" s="18">
        <f t="shared" si="5"/>
        <v>46190</v>
      </c>
      <c r="AF227" t="s">
        <v>193</v>
      </c>
      <c r="AG227">
        <v>18.440000000000001</v>
      </c>
    </row>
    <row r="228" spans="24:33">
      <c r="X228" s="18"/>
      <c r="Y228" s="18"/>
      <c r="AE228" s="18">
        <f t="shared" si="5"/>
        <v>46191</v>
      </c>
      <c r="AF228" t="s">
        <v>194</v>
      </c>
      <c r="AG228">
        <v>16.399999999999999</v>
      </c>
    </row>
    <row r="229" spans="24:33">
      <c r="X229" s="18"/>
      <c r="Y229" s="18"/>
      <c r="AE229" s="18">
        <f t="shared" si="5"/>
        <v>46192</v>
      </c>
      <c r="AF229" t="s">
        <v>195</v>
      </c>
      <c r="AG229">
        <v>16.78</v>
      </c>
    </row>
    <row r="230" spans="24:33">
      <c r="X230" s="18"/>
      <c r="Y230" s="18"/>
      <c r="AE230" s="18">
        <f t="shared" si="5"/>
        <v>46195</v>
      </c>
      <c r="AF230" t="s">
        <v>196</v>
      </c>
      <c r="AG230">
        <v>17.28</v>
      </c>
    </row>
    <row r="231" spans="24:33">
      <c r="X231" s="18"/>
      <c r="Y231" s="18"/>
      <c r="AE231" s="18">
        <f t="shared" si="5"/>
        <v>46196</v>
      </c>
      <c r="AF231" t="s">
        <v>197</v>
      </c>
      <c r="AG231">
        <v>19.489999999999998</v>
      </c>
    </row>
    <row r="232" spans="24:33">
      <c r="X232" s="18"/>
      <c r="Y232" s="18"/>
      <c r="AE232" s="18">
        <f t="shared" si="5"/>
        <v>46197</v>
      </c>
      <c r="AF232" t="s">
        <v>198</v>
      </c>
      <c r="AG232">
        <v>18.63</v>
      </c>
    </row>
    <row r="233" spans="24:33">
      <c r="X233" s="18"/>
      <c r="Y233" s="18"/>
      <c r="AE233" s="18">
        <f t="shared" si="5"/>
        <v>46198</v>
      </c>
      <c r="AF233" t="s">
        <v>199</v>
      </c>
      <c r="AG233">
        <v>18.89</v>
      </c>
    </row>
    <row r="234" spans="24:33">
      <c r="X234" s="18"/>
      <c r="Y234" s="18"/>
      <c r="AE234" s="18">
        <f t="shared" si="5"/>
        <v>46199</v>
      </c>
      <c r="AF234" t="s">
        <v>200</v>
      </c>
      <c r="AG234">
        <v>18.41</v>
      </c>
    </row>
    <row r="235" spans="24:33">
      <c r="X235" s="18"/>
      <c r="Y235" s="18"/>
      <c r="AE235" s="18">
        <f t="shared" si="5"/>
        <v>46202</v>
      </c>
      <c r="AF235" t="s">
        <v>201</v>
      </c>
      <c r="AG235">
        <v>17.649999999999999</v>
      </c>
    </row>
    <row r="236" spans="24:33">
      <c r="X236" s="18"/>
      <c r="Y236" s="18"/>
      <c r="AE236" s="18">
        <f t="shared" si="5"/>
        <v>46203</v>
      </c>
      <c r="AF236" t="s">
        <v>202</v>
      </c>
      <c r="AG236">
        <v>16.45</v>
      </c>
    </row>
    <row r="237" spans="24:33">
      <c r="X237" s="18"/>
      <c r="Y237" s="18"/>
      <c r="AE237" s="18">
        <f t="shared" si="5"/>
        <v>46204</v>
      </c>
      <c r="AF237" s="18">
        <v>46029</v>
      </c>
      <c r="AG237">
        <v>16.59</v>
      </c>
    </row>
    <row r="238" spans="24:33">
      <c r="X238" s="18"/>
      <c r="Y238" s="18"/>
      <c r="AE238" s="18">
        <f t="shared" si="5"/>
        <v>46205</v>
      </c>
      <c r="AF238" s="18">
        <v>46060</v>
      </c>
      <c r="AG238">
        <v>16.149999999999999</v>
      </c>
    </row>
    <row r="239" spans="24:33">
      <c r="X239" s="18"/>
      <c r="Y239" s="18"/>
      <c r="AE239" s="18">
        <f t="shared" si="5"/>
        <v>46206</v>
      </c>
      <c r="AF239" s="18">
        <v>46088</v>
      </c>
      <c r="AG239">
        <v>15.81</v>
      </c>
    </row>
    <row r="240" spans="24:33">
      <c r="X240" s="18"/>
      <c r="Y240" s="18"/>
      <c r="AE240" s="18">
        <f t="shared" si="5"/>
        <v>46209</v>
      </c>
      <c r="AF240" s="18">
        <v>46180</v>
      </c>
      <c r="AG240">
        <v>15.57</v>
      </c>
    </row>
    <row r="241" spans="24:33">
      <c r="X241" s="18"/>
      <c r="Y241" s="18"/>
      <c r="AE241" s="18">
        <f t="shared" si="5"/>
        <v>46210</v>
      </c>
      <c r="AF241" s="18">
        <v>46210</v>
      </c>
      <c r="AG241">
        <v>16.13</v>
      </c>
    </row>
    <row r="242" spans="24:33">
      <c r="X242" s="18"/>
      <c r="Y242" s="18"/>
      <c r="AE242" s="18">
        <f t="shared" si="5"/>
        <v>46211</v>
      </c>
      <c r="AF242" s="18">
        <v>46241</v>
      </c>
      <c r="AG242">
        <v>16.899999999999999</v>
      </c>
    </row>
    <row r="243" spans="24:33">
      <c r="X243" s="18"/>
      <c r="Y243" s="18"/>
      <c r="AE243" s="18">
        <f t="shared" si="5"/>
        <v>46212</v>
      </c>
      <c r="AF243" s="18">
        <v>46272</v>
      </c>
      <c r="AG243">
        <v>15.84</v>
      </c>
    </row>
    <row r="244" spans="24:33">
      <c r="X244" s="18"/>
      <c r="Y244" s="18"/>
      <c r="AE244" s="18">
        <f t="shared" si="5"/>
        <v>46213</v>
      </c>
      <c r="AF244" s="18">
        <v>46302</v>
      </c>
      <c r="AG244">
        <v>15.03</v>
      </c>
    </row>
    <row r="245" spans="24:33">
      <c r="X245" s="18"/>
      <c r="Y245" s="18"/>
      <c r="AE245" s="18">
        <f t="shared" si="5"/>
        <v>46216</v>
      </c>
      <c r="AF245" t="s">
        <v>203</v>
      </c>
      <c r="AG245">
        <v>17.16</v>
      </c>
    </row>
    <row r="246" spans="24:33">
      <c r="X246" s="18"/>
      <c r="Y246" s="18"/>
      <c r="AE246" s="18">
        <f t="shared" si="5"/>
        <v>46217</v>
      </c>
      <c r="AF246" t="s">
        <v>204</v>
      </c>
      <c r="AG246">
        <v>16.5</v>
      </c>
    </row>
    <row r="247" spans="24:33">
      <c r="X247" s="18"/>
      <c r="Y247" s="18"/>
      <c r="AE247" s="18">
        <f t="shared" si="5"/>
        <v>46218</v>
      </c>
      <c r="AF247" t="s">
        <v>205</v>
      </c>
      <c r="AG247">
        <v>15.67</v>
      </c>
    </row>
    <row r="248" spans="24:33">
      <c r="X248" s="18"/>
      <c r="Y248" s="18"/>
      <c r="AE248" s="18">
        <f t="shared" si="5"/>
        <v>46219</v>
      </c>
      <c r="AF248" t="s">
        <v>206</v>
      </c>
      <c r="AG248">
        <v>16.73</v>
      </c>
    </row>
    <row r="249" spans="24:33">
      <c r="X249" s="18"/>
      <c r="Y249" s="18"/>
      <c r="AE249" s="18">
        <f t="shared" si="5"/>
        <v>46220</v>
      </c>
      <c r="AF249" t="s">
        <v>207</v>
      </c>
      <c r="AG249">
        <v>18.77</v>
      </c>
    </row>
    <row r="250" spans="24:33">
      <c r="X250" s="18"/>
      <c r="Y250" s="18"/>
      <c r="AE250" s="18">
        <f t="shared" si="5"/>
        <v>46223</v>
      </c>
      <c r="AF250" t="s">
        <v>208</v>
      </c>
      <c r="AG250">
        <v>18.649999999999999</v>
      </c>
    </row>
    <row r="251" spans="24:33">
      <c r="X251" s="18"/>
      <c r="Y251" s="18"/>
      <c r="AE251" s="18">
        <f t="shared" si="5"/>
        <v>46224</v>
      </c>
      <c r="AF251" t="s">
        <v>209</v>
      </c>
      <c r="AG251">
        <v>17.05</v>
      </c>
    </row>
    <row r="252" spans="24:33">
      <c r="X252" s="18"/>
      <c r="Y252" s="18"/>
      <c r="AE252" s="18">
        <f t="shared" si="5"/>
        <v>46225</v>
      </c>
      <c r="AF252" t="s">
        <v>210</v>
      </c>
      <c r="AG252">
        <v>16.64</v>
      </c>
    </row>
    <row r="253" spans="24:33">
      <c r="X253" s="18"/>
      <c r="Y253" s="18"/>
      <c r="AE253" s="18">
        <f t="shared" si="5"/>
        <v>46226</v>
      </c>
      <c r="AF253" t="s">
        <v>211</v>
      </c>
      <c r="AG253">
        <v>18.7</v>
      </c>
    </row>
    <row r="254" spans="24:33">
      <c r="X254" s="18"/>
      <c r="Y254" s="18"/>
      <c r="AE254" s="18">
        <f t="shared" si="5"/>
        <v>46227</v>
      </c>
      <c r="AF254" t="s">
        <v>212</v>
      </c>
      <c r="AG254">
        <v>18.579999999999998</v>
      </c>
    </row>
    <row r="255" spans="24:33">
      <c r="X255" s="18"/>
      <c r="Y255" s="18"/>
      <c r="AE255" s="18">
        <f t="shared" si="5"/>
        <v>46230</v>
      </c>
      <c r="AF255" t="s">
        <v>213</v>
      </c>
      <c r="AG255">
        <v>18.670000000000002</v>
      </c>
    </row>
    <row r="256" spans="24:33">
      <c r="X256" s="18"/>
      <c r="Y256" s="18"/>
      <c r="AE256" s="18">
        <f t="shared" si="5"/>
        <v>46231</v>
      </c>
      <c r="AF256" t="s">
        <v>214</v>
      </c>
      <c r="AG256">
        <v>18.21</v>
      </c>
    </row>
    <row r="257" spans="24:33">
      <c r="X257" s="18"/>
      <c r="Y257" s="18"/>
      <c r="AE257" s="18">
        <f t="shared" si="5"/>
        <v>46232</v>
      </c>
      <c r="AF257" t="s">
        <v>215</v>
      </c>
      <c r="AG257">
        <v>20.66</v>
      </c>
    </row>
    <row r="258" spans="24:33">
      <c r="X258" s="18"/>
      <c r="Y258" s="18"/>
      <c r="AE258" s="18">
        <f t="shared" ref="AE258:AE321" si="6">IF(ISNUMBER(AF258),DATE(YEAR(AF258),DAY(AF258),MONTH(AF258)),DATE(RIGHT(AF258,4),LEFT(AF258,2),MID(AF258,4,2)))</f>
        <v>46233</v>
      </c>
      <c r="AF258" t="s">
        <v>216</v>
      </c>
      <c r="AG258">
        <v>17.09</v>
      </c>
    </row>
    <row r="259" spans="24:33">
      <c r="X259" s="18"/>
      <c r="Y259" s="18"/>
      <c r="AE259" s="18">
        <f t="shared" si="6"/>
        <v>46234</v>
      </c>
      <c r="AF259" t="s">
        <v>217</v>
      </c>
      <c r="AG259">
        <v>15.99</v>
      </c>
    </row>
    <row r="260" spans="24:33">
      <c r="X260" s="18"/>
      <c r="Y260" s="18"/>
      <c r="AE260" s="18" t="e">
        <f t="shared" si="6"/>
        <v>#VALUE!</v>
      </c>
      <c r="AF260" s="18"/>
    </row>
    <row r="261" spans="24:33">
      <c r="X261" s="18"/>
      <c r="Y261" s="18"/>
      <c r="AE261" s="18" t="e">
        <f t="shared" si="6"/>
        <v>#VALUE!</v>
      </c>
      <c r="AF261" s="18"/>
    </row>
    <row r="262" spans="24:33">
      <c r="X262" s="18"/>
      <c r="Y262" s="18"/>
      <c r="AE262" s="18" t="e">
        <f t="shared" si="6"/>
        <v>#VALUE!</v>
      </c>
      <c r="AF262" s="18"/>
    </row>
    <row r="263" spans="24:33">
      <c r="X263" s="18"/>
      <c r="Y263" s="18"/>
      <c r="AE263" s="18" t="e">
        <f t="shared" si="6"/>
        <v>#VALUE!</v>
      </c>
    </row>
    <row r="264" spans="24:33">
      <c r="X264" s="18"/>
      <c r="Y264" s="18"/>
      <c r="AE264" s="18" t="e">
        <f t="shared" si="6"/>
        <v>#VALUE!</v>
      </c>
    </row>
    <row r="265" spans="24:33">
      <c r="X265" s="18"/>
      <c r="Y265" s="18"/>
      <c r="AE265" s="18" t="e">
        <f t="shared" si="6"/>
        <v>#VALUE!</v>
      </c>
    </row>
    <row r="266" spans="24:33">
      <c r="X266" s="18"/>
      <c r="Y266" s="18"/>
      <c r="AE266" s="18" t="e">
        <f t="shared" si="6"/>
        <v>#VALUE!</v>
      </c>
    </row>
    <row r="267" spans="24:33">
      <c r="X267" s="18"/>
      <c r="Y267" s="18"/>
      <c r="AE267" s="18" t="e">
        <f t="shared" si="6"/>
        <v>#VALUE!</v>
      </c>
    </row>
    <row r="268" spans="24:33">
      <c r="X268" s="18"/>
      <c r="Y268" s="18"/>
      <c r="AE268" s="18" t="e">
        <f t="shared" si="6"/>
        <v>#VALUE!</v>
      </c>
    </row>
    <row r="269" spans="24:33">
      <c r="X269" s="18"/>
      <c r="Y269" s="18"/>
      <c r="AE269" s="18" t="e">
        <f t="shared" si="6"/>
        <v>#VALUE!</v>
      </c>
    </row>
    <row r="270" spans="24:33">
      <c r="X270" s="18"/>
      <c r="Y270" s="18"/>
      <c r="AE270" s="18" t="e">
        <f t="shared" si="6"/>
        <v>#VALUE!</v>
      </c>
    </row>
    <row r="271" spans="24:33">
      <c r="X271" s="18"/>
      <c r="Y271" s="18"/>
      <c r="AE271" s="18" t="e">
        <f t="shared" si="6"/>
        <v>#VALUE!</v>
      </c>
    </row>
    <row r="272" spans="24:33">
      <c r="X272" s="18"/>
      <c r="Y272" s="18"/>
      <c r="AE272" s="18" t="e">
        <f t="shared" si="6"/>
        <v>#VALUE!</v>
      </c>
    </row>
    <row r="273" spans="24:32">
      <c r="X273" s="18"/>
      <c r="Y273" s="18"/>
      <c r="AE273" s="18" t="e">
        <f t="shared" si="6"/>
        <v>#VALUE!</v>
      </c>
    </row>
    <row r="274" spans="24:32">
      <c r="X274" s="18"/>
      <c r="Y274" s="18"/>
      <c r="AE274" s="18" t="e">
        <f t="shared" si="6"/>
        <v>#VALUE!</v>
      </c>
    </row>
    <row r="275" spans="24:32">
      <c r="X275" s="18"/>
      <c r="Y275" s="18"/>
      <c r="AE275" s="18" t="e">
        <f t="shared" si="6"/>
        <v>#VALUE!</v>
      </c>
    </row>
    <row r="276" spans="24:32">
      <c r="X276" s="18"/>
      <c r="Y276" s="18"/>
      <c r="AE276" s="18" t="e">
        <f t="shared" si="6"/>
        <v>#VALUE!</v>
      </c>
    </row>
    <row r="277" spans="24:32">
      <c r="X277" s="18"/>
      <c r="Y277" s="18"/>
      <c r="AE277" s="18" t="e">
        <f t="shared" si="6"/>
        <v>#VALUE!</v>
      </c>
      <c r="AF277" s="18"/>
    </row>
    <row r="278" spans="24:32">
      <c r="X278" s="18"/>
      <c r="Y278" s="18"/>
      <c r="AE278" s="18" t="e">
        <f t="shared" si="6"/>
        <v>#VALUE!</v>
      </c>
      <c r="AF278" s="18"/>
    </row>
    <row r="279" spans="24:32">
      <c r="X279" s="18"/>
      <c r="Y279" s="18"/>
      <c r="AE279" s="18" t="e">
        <f t="shared" si="6"/>
        <v>#VALUE!</v>
      </c>
      <c r="AF279" s="18"/>
    </row>
    <row r="280" spans="24:32">
      <c r="X280" s="18"/>
      <c r="Y280" s="18"/>
      <c r="AE280" s="18" t="e">
        <f t="shared" si="6"/>
        <v>#VALUE!</v>
      </c>
      <c r="AF280" s="18"/>
    </row>
    <row r="281" spans="24:32">
      <c r="X281" s="18"/>
      <c r="Y281" s="18"/>
      <c r="AE281" s="18" t="e">
        <f t="shared" si="6"/>
        <v>#VALUE!</v>
      </c>
      <c r="AF281" s="18"/>
    </row>
    <row r="282" spans="24:32">
      <c r="X282" s="18"/>
      <c r="Y282" s="18"/>
      <c r="AE282" s="18" t="e">
        <f t="shared" si="6"/>
        <v>#VALUE!</v>
      </c>
      <c r="AF282" s="18"/>
    </row>
    <row r="283" spans="24:32">
      <c r="X283" s="18"/>
      <c r="Y283" s="18"/>
      <c r="AE283" s="18" t="e">
        <f t="shared" si="6"/>
        <v>#VALUE!</v>
      </c>
      <c r="AF283" s="18"/>
    </row>
    <row r="284" spans="24:32">
      <c r="X284" s="18"/>
      <c r="Y284" s="18"/>
      <c r="AE284" s="18" t="e">
        <f t="shared" si="6"/>
        <v>#VALUE!</v>
      </c>
      <c r="AF284" s="18"/>
    </row>
    <row r="285" spans="24:32">
      <c r="X285" s="18"/>
      <c r="Y285" s="18"/>
      <c r="AE285" s="18" t="e">
        <f t="shared" si="6"/>
        <v>#VALUE!</v>
      </c>
    </row>
    <row r="286" spans="24:32">
      <c r="X286" s="18"/>
      <c r="Y286" s="18"/>
      <c r="AE286" s="18" t="e">
        <f t="shared" si="6"/>
        <v>#VALUE!</v>
      </c>
    </row>
    <row r="287" spans="24:32">
      <c r="X287" s="18"/>
      <c r="Y287" s="18"/>
      <c r="AE287" s="18" t="e">
        <f t="shared" si="6"/>
        <v>#VALUE!</v>
      </c>
    </row>
    <row r="288" spans="24:32">
      <c r="X288" s="18"/>
      <c r="Y288" s="18"/>
      <c r="AE288" s="18" t="e">
        <f t="shared" si="6"/>
        <v>#VALUE!</v>
      </c>
    </row>
    <row r="289" spans="24:32">
      <c r="X289" s="18"/>
      <c r="Y289" s="18"/>
      <c r="AE289" s="18" t="e">
        <f t="shared" si="6"/>
        <v>#VALUE!</v>
      </c>
    </row>
    <row r="290" spans="24:32">
      <c r="X290" s="18"/>
      <c r="Y290" s="18"/>
      <c r="AE290" s="18" t="e">
        <f t="shared" si="6"/>
        <v>#VALUE!</v>
      </c>
    </row>
    <row r="291" spans="24:32">
      <c r="X291" s="18"/>
      <c r="Y291" s="18"/>
      <c r="AE291" s="18" t="e">
        <f t="shared" si="6"/>
        <v>#VALUE!</v>
      </c>
    </row>
    <row r="292" spans="24:32">
      <c r="X292" s="18"/>
      <c r="Y292" s="18"/>
      <c r="AE292" s="18" t="e">
        <f t="shared" si="6"/>
        <v>#VALUE!</v>
      </c>
    </row>
    <row r="293" spans="24:32">
      <c r="X293" s="18"/>
      <c r="Y293" s="18"/>
      <c r="AE293" s="18" t="e">
        <f t="shared" si="6"/>
        <v>#VALUE!</v>
      </c>
    </row>
    <row r="294" spans="24:32">
      <c r="X294" s="18"/>
      <c r="Y294" s="18"/>
      <c r="AE294" s="18" t="e">
        <f t="shared" si="6"/>
        <v>#VALUE!</v>
      </c>
    </row>
    <row r="295" spans="24:32">
      <c r="X295" s="18"/>
      <c r="Y295" s="18"/>
      <c r="AE295" s="18" t="e">
        <f t="shared" si="6"/>
        <v>#VALUE!</v>
      </c>
    </row>
    <row r="296" spans="24:32">
      <c r="X296" s="18"/>
      <c r="Y296" s="18"/>
      <c r="AE296" s="18" t="e">
        <f t="shared" si="6"/>
        <v>#VALUE!</v>
      </c>
      <c r="AF296" s="18"/>
    </row>
    <row r="297" spans="24:32">
      <c r="X297" s="18"/>
      <c r="Y297" s="18"/>
      <c r="AE297" s="18" t="e">
        <f t="shared" si="6"/>
        <v>#VALUE!</v>
      </c>
      <c r="AF297" s="18"/>
    </row>
    <row r="298" spans="24:32">
      <c r="X298" s="18"/>
      <c r="Y298" s="18"/>
      <c r="AE298" s="18" t="e">
        <f t="shared" si="6"/>
        <v>#VALUE!</v>
      </c>
      <c r="AF298" s="18"/>
    </row>
    <row r="299" spans="24:32">
      <c r="X299" s="18"/>
      <c r="Y299" s="18"/>
      <c r="AE299" s="18" t="e">
        <f t="shared" si="6"/>
        <v>#VALUE!</v>
      </c>
      <c r="AF299" s="18"/>
    </row>
    <row r="300" spans="24:32">
      <c r="X300" s="18"/>
      <c r="Y300" s="18"/>
      <c r="AE300" s="18" t="e">
        <f t="shared" si="6"/>
        <v>#VALUE!</v>
      </c>
      <c r="AF300" s="18"/>
    </row>
    <row r="301" spans="24:32">
      <c r="X301" s="18"/>
      <c r="Y301" s="18"/>
      <c r="AE301" s="18" t="e">
        <f t="shared" si="6"/>
        <v>#VALUE!</v>
      </c>
      <c r="AF301" s="18"/>
    </row>
    <row r="302" spans="24:32">
      <c r="X302" s="18"/>
      <c r="Y302" s="18"/>
      <c r="AE302" s="18" t="e">
        <f t="shared" si="6"/>
        <v>#VALUE!</v>
      </c>
      <c r="AF302" s="18"/>
    </row>
    <row r="303" spans="24:32">
      <c r="X303" s="18"/>
      <c r="Y303" s="18"/>
      <c r="AE303" s="18" t="e">
        <f t="shared" si="6"/>
        <v>#VALUE!</v>
      </c>
    </row>
    <row r="304" spans="24:32">
      <c r="X304" s="18"/>
      <c r="Y304" s="18"/>
      <c r="AE304" s="18" t="e">
        <f t="shared" si="6"/>
        <v>#VALUE!</v>
      </c>
    </row>
    <row r="305" spans="24:32">
      <c r="X305" s="18"/>
      <c r="Y305" s="18"/>
      <c r="AE305" s="18" t="e">
        <f t="shared" si="6"/>
        <v>#VALUE!</v>
      </c>
    </row>
    <row r="306" spans="24:32">
      <c r="X306" s="18"/>
      <c r="Y306" s="18"/>
      <c r="AE306" s="18" t="e">
        <f t="shared" si="6"/>
        <v>#VALUE!</v>
      </c>
    </row>
    <row r="307" spans="24:32">
      <c r="X307" s="18"/>
      <c r="Y307" s="18"/>
      <c r="AE307" s="18" t="e">
        <f t="shared" si="6"/>
        <v>#VALUE!</v>
      </c>
    </row>
    <row r="308" spans="24:32">
      <c r="X308" s="18"/>
      <c r="Y308" s="18"/>
      <c r="AE308" s="18" t="e">
        <f t="shared" si="6"/>
        <v>#VALUE!</v>
      </c>
    </row>
    <row r="309" spans="24:32">
      <c r="X309" s="18"/>
      <c r="Y309" s="18"/>
      <c r="AE309" s="18" t="e">
        <f t="shared" si="6"/>
        <v>#VALUE!</v>
      </c>
    </row>
    <row r="310" spans="24:32">
      <c r="X310" s="18"/>
      <c r="Y310" s="18"/>
      <c r="AE310" s="18" t="e">
        <f t="shared" si="6"/>
        <v>#VALUE!</v>
      </c>
    </row>
    <row r="311" spans="24:32">
      <c r="X311" s="18"/>
      <c r="Y311" s="18"/>
      <c r="AE311" s="18" t="e">
        <f t="shared" si="6"/>
        <v>#VALUE!</v>
      </c>
    </row>
    <row r="312" spans="24:32">
      <c r="X312" s="18"/>
      <c r="Y312" s="18"/>
      <c r="AE312" s="18" t="e">
        <f t="shared" si="6"/>
        <v>#VALUE!</v>
      </c>
    </row>
    <row r="313" spans="24:32">
      <c r="X313" s="18"/>
      <c r="Y313" s="18"/>
      <c r="AE313" s="18" t="e">
        <f t="shared" si="6"/>
        <v>#VALUE!</v>
      </c>
    </row>
    <row r="314" spans="24:32">
      <c r="X314" s="18"/>
      <c r="Y314" s="18"/>
      <c r="AE314" s="18" t="e">
        <f t="shared" si="6"/>
        <v>#VALUE!</v>
      </c>
    </row>
    <row r="315" spans="24:32">
      <c r="X315" s="18"/>
      <c r="Y315" s="18"/>
      <c r="AE315" s="18" t="e">
        <f t="shared" si="6"/>
        <v>#VALUE!</v>
      </c>
      <c r="AF315" s="18"/>
    </row>
    <row r="316" spans="24:32">
      <c r="X316" s="18"/>
      <c r="Y316" s="18"/>
      <c r="AE316" s="18" t="e">
        <f t="shared" si="6"/>
        <v>#VALUE!</v>
      </c>
      <c r="AF316" s="18"/>
    </row>
    <row r="317" spans="24:32">
      <c r="X317" s="18"/>
      <c r="Y317" s="18"/>
      <c r="AE317" s="18" t="e">
        <f t="shared" si="6"/>
        <v>#VALUE!</v>
      </c>
      <c r="AF317" s="18"/>
    </row>
    <row r="318" spans="24:32">
      <c r="X318" s="18"/>
      <c r="Y318" s="18"/>
      <c r="AE318" s="18" t="e">
        <f t="shared" si="6"/>
        <v>#VALUE!</v>
      </c>
      <c r="AF318" s="18"/>
    </row>
    <row r="319" spans="24:32">
      <c r="X319" s="18"/>
      <c r="Y319" s="18"/>
      <c r="AE319" s="18" t="e">
        <f t="shared" si="6"/>
        <v>#VALUE!</v>
      </c>
      <c r="AF319" s="18"/>
    </row>
    <row r="320" spans="24:32">
      <c r="X320" s="18"/>
      <c r="Y320" s="18"/>
      <c r="AE320" s="18" t="e">
        <f t="shared" si="6"/>
        <v>#VALUE!</v>
      </c>
      <c r="AF320" s="18"/>
    </row>
    <row r="321" spans="24:32">
      <c r="X321" s="18"/>
      <c r="Y321" s="18"/>
      <c r="AE321" s="18" t="e">
        <f t="shared" si="6"/>
        <v>#VALUE!</v>
      </c>
      <c r="AF321" s="18"/>
    </row>
    <row r="322" spans="24:32">
      <c r="X322" s="18"/>
      <c r="Y322" s="18"/>
      <c r="AE322" s="18" t="e">
        <f t="shared" ref="AE322:AE385" si="7">IF(ISNUMBER(AF322),DATE(YEAR(AF322),DAY(AF322),MONTH(AF322)),DATE(RIGHT(AF322,4),LEFT(AF322,2),MID(AF322,4,2)))</f>
        <v>#VALUE!</v>
      </c>
      <c r="AF322" s="18"/>
    </row>
    <row r="323" spans="24:32">
      <c r="X323" s="18"/>
      <c r="Y323" s="18"/>
      <c r="AE323" s="18" t="e">
        <f t="shared" si="7"/>
        <v>#VALUE!</v>
      </c>
      <c r="AF323" s="18"/>
    </row>
    <row r="324" spans="24:32">
      <c r="X324" s="18"/>
      <c r="Y324" s="18"/>
      <c r="AE324" s="18" t="e">
        <f t="shared" si="7"/>
        <v>#VALUE!</v>
      </c>
      <c r="AF324" s="18"/>
    </row>
    <row r="325" spans="24:32">
      <c r="X325" s="18"/>
      <c r="Y325" s="18"/>
      <c r="AE325" s="18" t="e">
        <f t="shared" si="7"/>
        <v>#VALUE!</v>
      </c>
    </row>
    <row r="326" spans="24:32">
      <c r="X326" s="18"/>
      <c r="Y326" s="18"/>
      <c r="AE326" s="18" t="e">
        <f t="shared" si="7"/>
        <v>#VALUE!</v>
      </c>
    </row>
    <row r="327" spans="24:32">
      <c r="X327" s="18"/>
      <c r="Y327" s="18"/>
      <c r="AE327" s="18" t="e">
        <f t="shared" si="7"/>
        <v>#VALUE!</v>
      </c>
    </row>
    <row r="328" spans="24:32">
      <c r="X328" s="18"/>
      <c r="Y328" s="18"/>
      <c r="AE328" s="18" t="e">
        <f t="shared" si="7"/>
        <v>#VALUE!</v>
      </c>
    </row>
    <row r="329" spans="24:32">
      <c r="X329" s="18"/>
      <c r="Y329" s="18"/>
      <c r="AE329" s="18" t="e">
        <f t="shared" si="7"/>
        <v>#VALUE!</v>
      </c>
    </row>
    <row r="330" spans="24:32">
      <c r="X330" s="18"/>
      <c r="Y330" s="18"/>
      <c r="AE330" s="18" t="e">
        <f t="shared" si="7"/>
        <v>#VALUE!</v>
      </c>
    </row>
    <row r="331" spans="24:32">
      <c r="X331" s="18"/>
      <c r="Y331" s="18"/>
      <c r="AE331" s="18" t="e">
        <f t="shared" si="7"/>
        <v>#VALUE!</v>
      </c>
    </row>
    <row r="332" spans="24:32">
      <c r="X332" s="18"/>
      <c r="Y332" s="18"/>
      <c r="AE332" s="18" t="e">
        <f t="shared" si="7"/>
        <v>#VALUE!</v>
      </c>
    </row>
    <row r="333" spans="24:32">
      <c r="X333" s="18"/>
      <c r="Y333" s="18"/>
      <c r="AE333" s="18" t="e">
        <f t="shared" si="7"/>
        <v>#VALUE!</v>
      </c>
    </row>
    <row r="334" spans="24:32">
      <c r="X334" s="18"/>
      <c r="Y334" s="18"/>
      <c r="AE334" s="18" t="e">
        <f t="shared" si="7"/>
        <v>#VALUE!</v>
      </c>
    </row>
    <row r="335" spans="24:32">
      <c r="X335" s="18"/>
      <c r="Y335" s="18"/>
      <c r="AE335" s="18" t="e">
        <f t="shared" si="7"/>
        <v>#VALUE!</v>
      </c>
    </row>
    <row r="336" spans="24:32">
      <c r="X336" s="18"/>
      <c r="Y336" s="18"/>
      <c r="AE336" s="18" t="e">
        <f t="shared" si="7"/>
        <v>#VALUE!</v>
      </c>
    </row>
    <row r="337" spans="24:32">
      <c r="X337" s="18"/>
      <c r="Y337" s="18"/>
      <c r="AE337" s="18" t="e">
        <f t="shared" si="7"/>
        <v>#VALUE!</v>
      </c>
      <c r="AF337" s="18"/>
    </row>
    <row r="338" spans="24:32">
      <c r="X338" s="18"/>
      <c r="Y338" s="18"/>
      <c r="AE338" s="18" t="e">
        <f t="shared" si="7"/>
        <v>#VALUE!</v>
      </c>
      <c r="AF338" s="18"/>
    </row>
    <row r="339" spans="24:32">
      <c r="X339" s="18"/>
      <c r="Y339" s="18"/>
      <c r="AE339" s="18" t="e">
        <f t="shared" si="7"/>
        <v>#VALUE!</v>
      </c>
      <c r="AF339" s="18"/>
    </row>
    <row r="340" spans="24:32">
      <c r="X340" s="18"/>
      <c r="Y340" s="18"/>
      <c r="AE340" s="18" t="e">
        <f t="shared" si="7"/>
        <v>#VALUE!</v>
      </c>
      <c r="AF340" s="18"/>
    </row>
    <row r="341" spans="24:32">
      <c r="X341" s="18"/>
      <c r="Y341" s="18"/>
      <c r="AE341" s="18" t="e">
        <f t="shared" si="7"/>
        <v>#VALUE!</v>
      </c>
      <c r="AF341" s="18"/>
    </row>
    <row r="342" spans="24:32">
      <c r="X342" s="18"/>
      <c r="Y342" s="18"/>
      <c r="AE342" s="18" t="e">
        <f t="shared" si="7"/>
        <v>#VALUE!</v>
      </c>
      <c r="AF342" s="18"/>
    </row>
    <row r="343" spans="24:32">
      <c r="X343" s="18"/>
      <c r="Y343" s="18"/>
      <c r="AE343" s="18" t="e">
        <f t="shared" si="7"/>
        <v>#VALUE!</v>
      </c>
      <c r="AF343" s="18"/>
    </row>
    <row r="344" spans="24:32">
      <c r="X344" s="18"/>
      <c r="Y344" s="18"/>
      <c r="AE344" s="18" t="e">
        <f t="shared" si="7"/>
        <v>#VALUE!</v>
      </c>
      <c r="AF344" s="18"/>
    </row>
    <row r="345" spans="24:32">
      <c r="X345" s="18"/>
      <c r="Y345" s="18"/>
      <c r="AE345" s="18" t="e">
        <f t="shared" si="7"/>
        <v>#VALUE!</v>
      </c>
    </row>
    <row r="346" spans="24:32">
      <c r="X346" s="18"/>
      <c r="Y346" s="18"/>
      <c r="AE346" s="18" t="e">
        <f t="shared" si="7"/>
        <v>#VALUE!</v>
      </c>
    </row>
    <row r="347" spans="24:32">
      <c r="X347" s="18"/>
      <c r="Y347" s="18"/>
      <c r="AE347" s="18" t="e">
        <f t="shared" si="7"/>
        <v>#VALUE!</v>
      </c>
    </row>
    <row r="348" spans="24:32">
      <c r="X348" s="18"/>
      <c r="Y348" s="18"/>
      <c r="AE348" s="18" t="e">
        <f t="shared" si="7"/>
        <v>#VALUE!</v>
      </c>
    </row>
    <row r="349" spans="24:32">
      <c r="X349" s="18"/>
      <c r="Y349" s="18"/>
      <c r="AE349" s="18" t="e">
        <f t="shared" si="7"/>
        <v>#VALUE!</v>
      </c>
    </row>
    <row r="350" spans="24:32">
      <c r="X350" s="18"/>
      <c r="Y350" s="18"/>
      <c r="AE350" s="18" t="e">
        <f t="shared" si="7"/>
        <v>#VALUE!</v>
      </c>
    </row>
    <row r="351" spans="24:32">
      <c r="X351" s="18"/>
      <c r="Y351" s="18"/>
      <c r="AE351" s="18" t="e">
        <f t="shared" si="7"/>
        <v>#VALUE!</v>
      </c>
    </row>
    <row r="352" spans="24:32">
      <c r="X352" s="18"/>
      <c r="Y352" s="18"/>
      <c r="AE352" s="18" t="e">
        <f t="shared" si="7"/>
        <v>#VALUE!</v>
      </c>
    </row>
    <row r="353" spans="24:32">
      <c r="X353" s="18"/>
      <c r="Y353" s="18"/>
      <c r="AE353" s="18" t="e">
        <f t="shared" si="7"/>
        <v>#VALUE!</v>
      </c>
    </row>
    <row r="354" spans="24:32">
      <c r="X354" s="18"/>
      <c r="Y354" s="18"/>
      <c r="AE354" s="18" t="e">
        <f t="shared" si="7"/>
        <v>#VALUE!</v>
      </c>
    </row>
    <row r="355" spans="24:32">
      <c r="X355" s="18"/>
      <c r="Y355" s="18"/>
      <c r="AE355" s="18" t="e">
        <f t="shared" si="7"/>
        <v>#VALUE!</v>
      </c>
    </row>
    <row r="356" spans="24:32">
      <c r="X356" s="18"/>
      <c r="Y356" s="18"/>
      <c r="AE356" s="18" t="e">
        <f t="shared" si="7"/>
        <v>#VALUE!</v>
      </c>
    </row>
    <row r="357" spans="24:32">
      <c r="X357" s="18"/>
      <c r="Y357" s="18"/>
      <c r="AE357" s="18" t="e">
        <f t="shared" si="7"/>
        <v>#VALUE!</v>
      </c>
    </row>
    <row r="358" spans="24:32">
      <c r="X358" s="18"/>
      <c r="Y358" s="18"/>
      <c r="AE358" s="18" t="e">
        <f t="shared" si="7"/>
        <v>#VALUE!</v>
      </c>
    </row>
    <row r="359" spans="24:32">
      <c r="X359" s="18"/>
      <c r="Y359" s="18"/>
      <c r="AE359" s="18" t="e">
        <f t="shared" si="7"/>
        <v>#VALUE!</v>
      </c>
      <c r="AF359" s="18"/>
    </row>
    <row r="360" spans="24:32">
      <c r="X360" s="18"/>
      <c r="Y360" s="18"/>
      <c r="AE360" s="18" t="e">
        <f t="shared" si="7"/>
        <v>#VALUE!</v>
      </c>
      <c r="AF360" s="18"/>
    </row>
    <row r="361" spans="24:32">
      <c r="X361" s="18"/>
      <c r="Y361" s="18"/>
      <c r="AE361" s="18" t="e">
        <f t="shared" si="7"/>
        <v>#VALUE!</v>
      </c>
      <c r="AF361" s="18"/>
    </row>
    <row r="362" spans="24:32">
      <c r="X362" s="18"/>
      <c r="Y362" s="18"/>
      <c r="AE362" s="18" t="e">
        <f t="shared" si="7"/>
        <v>#VALUE!</v>
      </c>
      <c r="AF362" s="18"/>
    </row>
    <row r="363" spans="24:32">
      <c r="X363" s="18"/>
      <c r="Y363" s="18"/>
      <c r="AE363" s="18" t="e">
        <f t="shared" si="7"/>
        <v>#VALUE!</v>
      </c>
      <c r="AF363" s="18"/>
    </row>
    <row r="364" spans="24:32">
      <c r="X364" s="18"/>
      <c r="Y364" s="18"/>
      <c r="AE364" s="18" t="e">
        <f t="shared" si="7"/>
        <v>#VALUE!</v>
      </c>
      <c r="AF364" s="18"/>
    </row>
    <row r="365" spans="24:32">
      <c r="X365" s="18"/>
      <c r="Y365" s="18"/>
      <c r="AE365" s="18" t="e">
        <f t="shared" si="7"/>
        <v>#VALUE!</v>
      </c>
      <c r="AF365" s="18"/>
    </row>
    <row r="366" spans="24:32">
      <c r="X366" s="18"/>
      <c r="Y366" s="18"/>
      <c r="AE366" s="18" t="e">
        <f t="shared" si="7"/>
        <v>#VALUE!</v>
      </c>
      <c r="AF366" s="18"/>
    </row>
    <row r="367" spans="24:32">
      <c r="X367" s="18"/>
      <c r="Y367" s="18"/>
      <c r="AE367" s="18" t="e">
        <f t="shared" si="7"/>
        <v>#VALUE!</v>
      </c>
    </row>
    <row r="368" spans="24:32">
      <c r="X368" s="18"/>
      <c r="Y368" s="18"/>
      <c r="AE368" s="18" t="e">
        <f t="shared" si="7"/>
        <v>#VALUE!</v>
      </c>
    </row>
    <row r="369" spans="24:32">
      <c r="X369" s="18"/>
      <c r="Y369" s="18"/>
      <c r="AE369" s="18" t="e">
        <f t="shared" si="7"/>
        <v>#VALUE!</v>
      </c>
    </row>
    <row r="370" spans="24:32">
      <c r="X370" s="18"/>
      <c r="Y370" s="18"/>
      <c r="AE370" s="18" t="e">
        <f t="shared" si="7"/>
        <v>#VALUE!</v>
      </c>
    </row>
    <row r="371" spans="24:32">
      <c r="X371" s="18"/>
      <c r="Y371" s="18"/>
      <c r="AE371" s="18" t="e">
        <f t="shared" si="7"/>
        <v>#VALUE!</v>
      </c>
    </row>
    <row r="372" spans="24:32">
      <c r="X372" s="18"/>
      <c r="Y372" s="18"/>
      <c r="AE372" s="18" t="e">
        <f t="shared" si="7"/>
        <v>#VALUE!</v>
      </c>
    </row>
    <row r="373" spans="24:32">
      <c r="X373" s="18"/>
      <c r="Y373" s="18"/>
      <c r="AE373" s="18" t="e">
        <f t="shared" si="7"/>
        <v>#VALUE!</v>
      </c>
    </row>
    <row r="374" spans="24:32">
      <c r="X374" s="18"/>
      <c r="Y374" s="18"/>
      <c r="AE374" s="18" t="e">
        <f t="shared" si="7"/>
        <v>#VALUE!</v>
      </c>
    </row>
    <row r="375" spans="24:32">
      <c r="X375" s="18"/>
      <c r="Y375" s="18"/>
      <c r="AE375" s="18" t="e">
        <f t="shared" si="7"/>
        <v>#VALUE!</v>
      </c>
    </row>
    <row r="376" spans="24:32">
      <c r="X376" s="18"/>
      <c r="Y376" s="18"/>
      <c r="AE376" s="18" t="e">
        <f t="shared" si="7"/>
        <v>#VALUE!</v>
      </c>
    </row>
    <row r="377" spans="24:32">
      <c r="X377" s="18"/>
      <c r="Y377" s="18"/>
      <c r="AE377" s="18" t="e">
        <f t="shared" si="7"/>
        <v>#VALUE!</v>
      </c>
    </row>
    <row r="378" spans="24:32">
      <c r="X378" s="18"/>
      <c r="Y378" s="18"/>
      <c r="AE378" s="18" t="e">
        <f t="shared" si="7"/>
        <v>#VALUE!</v>
      </c>
    </row>
    <row r="379" spans="24:32">
      <c r="X379" s="18"/>
      <c r="Y379" s="18"/>
      <c r="AE379" s="18" t="e">
        <f t="shared" si="7"/>
        <v>#VALUE!</v>
      </c>
      <c r="AF379" s="18"/>
    </row>
    <row r="380" spans="24:32">
      <c r="X380" s="18"/>
      <c r="Y380" s="18"/>
      <c r="AE380" s="18" t="e">
        <f t="shared" si="7"/>
        <v>#VALUE!</v>
      </c>
      <c r="AF380" s="18"/>
    </row>
    <row r="381" spans="24:32">
      <c r="X381" s="18"/>
      <c r="Y381" s="18"/>
      <c r="AE381" s="18" t="e">
        <f t="shared" si="7"/>
        <v>#VALUE!</v>
      </c>
      <c r="AF381" s="18"/>
    </row>
    <row r="382" spans="24:32">
      <c r="X382" s="18"/>
      <c r="Y382" s="18"/>
      <c r="AE382" s="18" t="e">
        <f t="shared" si="7"/>
        <v>#VALUE!</v>
      </c>
      <c r="AF382" s="18"/>
    </row>
    <row r="383" spans="24:32">
      <c r="X383" s="18"/>
      <c r="Y383" s="18"/>
      <c r="AE383" s="18" t="e">
        <f t="shared" si="7"/>
        <v>#VALUE!</v>
      </c>
      <c r="AF383" s="18"/>
    </row>
    <row r="384" spans="24:32">
      <c r="X384" s="18"/>
      <c r="Y384" s="18"/>
      <c r="AE384" s="18" t="e">
        <f t="shared" si="7"/>
        <v>#VALUE!</v>
      </c>
      <c r="AF384" s="18"/>
    </row>
    <row r="385" spans="24:32">
      <c r="X385" s="18"/>
      <c r="Y385" s="18"/>
      <c r="AE385" s="18" t="e">
        <f t="shared" si="7"/>
        <v>#VALUE!</v>
      </c>
      <c r="AF385" s="18"/>
    </row>
    <row r="386" spans="24:32">
      <c r="X386" s="18"/>
      <c r="Y386" s="18"/>
      <c r="AE386" s="18" t="e">
        <f t="shared" ref="AE386:AE449" si="8">IF(ISNUMBER(AF386),DATE(YEAR(AF386),DAY(AF386),MONTH(AF386)),DATE(RIGHT(AF386,4),LEFT(AF386,2),MID(AF386,4,2)))</f>
        <v>#VALUE!</v>
      </c>
      <c r="AF386" s="18"/>
    </row>
    <row r="387" spans="24:32">
      <c r="X387" s="18"/>
      <c r="Y387" s="18"/>
      <c r="AE387" s="18" t="e">
        <f t="shared" si="8"/>
        <v>#VALUE!</v>
      </c>
      <c r="AF387" s="18"/>
    </row>
    <row r="388" spans="24:32">
      <c r="X388" s="18"/>
      <c r="Y388" s="18"/>
      <c r="AE388" s="18" t="e">
        <f t="shared" si="8"/>
        <v>#VALUE!</v>
      </c>
    </row>
    <row r="389" spans="24:32">
      <c r="X389" s="18"/>
      <c r="Y389" s="18"/>
      <c r="AE389" s="18" t="e">
        <f t="shared" si="8"/>
        <v>#VALUE!</v>
      </c>
    </row>
    <row r="390" spans="24:32">
      <c r="X390" s="18"/>
      <c r="Y390" s="18"/>
      <c r="AE390" s="18" t="e">
        <f t="shared" si="8"/>
        <v>#VALUE!</v>
      </c>
    </row>
    <row r="391" spans="24:32">
      <c r="X391" s="18"/>
      <c r="Y391" s="18"/>
      <c r="AE391" s="18" t="e">
        <f t="shared" si="8"/>
        <v>#VALUE!</v>
      </c>
    </row>
    <row r="392" spans="24:32">
      <c r="X392" s="18"/>
      <c r="Y392" s="18"/>
      <c r="AE392" s="18" t="e">
        <f t="shared" si="8"/>
        <v>#VALUE!</v>
      </c>
    </row>
    <row r="393" spans="24:32">
      <c r="X393" s="18"/>
      <c r="Y393" s="18"/>
      <c r="AE393" s="18" t="e">
        <f t="shared" si="8"/>
        <v>#VALUE!</v>
      </c>
    </row>
    <row r="394" spans="24:32">
      <c r="X394" s="18"/>
      <c r="Y394" s="18"/>
      <c r="AE394" s="18" t="e">
        <f t="shared" si="8"/>
        <v>#VALUE!</v>
      </c>
    </row>
    <row r="395" spans="24:32">
      <c r="X395" s="18"/>
      <c r="Y395" s="18"/>
      <c r="AE395" s="18" t="e">
        <f t="shared" si="8"/>
        <v>#VALUE!</v>
      </c>
    </row>
    <row r="396" spans="24:32">
      <c r="X396" s="18"/>
      <c r="Y396" s="18"/>
      <c r="AE396" s="18" t="e">
        <f t="shared" si="8"/>
        <v>#VALUE!</v>
      </c>
    </row>
    <row r="397" spans="24:32">
      <c r="X397" s="18"/>
      <c r="Y397" s="18"/>
      <c r="AE397" s="18" t="e">
        <f t="shared" si="8"/>
        <v>#VALUE!</v>
      </c>
    </row>
    <row r="398" spans="24:32">
      <c r="X398" s="18"/>
      <c r="Y398" s="18"/>
      <c r="AE398" s="18" t="e">
        <f t="shared" si="8"/>
        <v>#VALUE!</v>
      </c>
    </row>
    <row r="399" spans="24:32">
      <c r="X399" s="18"/>
      <c r="Y399" s="18"/>
      <c r="AE399" s="18" t="e">
        <f t="shared" si="8"/>
        <v>#VALUE!</v>
      </c>
    </row>
    <row r="400" spans="24:32">
      <c r="X400" s="18"/>
      <c r="Y400" s="18"/>
      <c r="AE400" s="18" t="e">
        <f t="shared" si="8"/>
        <v>#VALUE!</v>
      </c>
    </row>
    <row r="401" spans="24:32">
      <c r="X401" s="18"/>
      <c r="Y401" s="18"/>
      <c r="AE401" s="18" t="e">
        <f t="shared" si="8"/>
        <v>#VALUE!</v>
      </c>
      <c r="AF401" s="18"/>
    </row>
    <row r="402" spans="24:32">
      <c r="X402" s="18"/>
      <c r="Y402" s="18"/>
      <c r="AE402" s="18" t="e">
        <f t="shared" si="8"/>
        <v>#VALUE!</v>
      </c>
      <c r="AF402" s="18"/>
    </row>
    <row r="403" spans="24:32">
      <c r="X403" s="18"/>
      <c r="Y403" s="18"/>
      <c r="AE403" s="18" t="e">
        <f t="shared" si="8"/>
        <v>#VALUE!</v>
      </c>
      <c r="AF403" s="18"/>
    </row>
    <row r="404" spans="24:32">
      <c r="X404" s="18"/>
      <c r="Y404" s="18"/>
      <c r="AE404" s="18" t="e">
        <f t="shared" si="8"/>
        <v>#VALUE!</v>
      </c>
      <c r="AF404" s="18"/>
    </row>
    <row r="405" spans="24:32">
      <c r="X405" s="18"/>
      <c r="Y405" s="18"/>
      <c r="AE405" s="18" t="e">
        <f t="shared" si="8"/>
        <v>#VALUE!</v>
      </c>
      <c r="AF405" s="18"/>
    </row>
    <row r="406" spans="24:32">
      <c r="X406" s="18"/>
      <c r="Y406" s="18"/>
      <c r="AE406" s="18" t="e">
        <f t="shared" si="8"/>
        <v>#VALUE!</v>
      </c>
      <c r="AF406" s="18"/>
    </row>
    <row r="407" spans="24:32">
      <c r="X407" s="18"/>
      <c r="Y407" s="18"/>
      <c r="AE407" s="18" t="e">
        <f t="shared" si="8"/>
        <v>#VALUE!</v>
      </c>
      <c r="AF407" s="18"/>
    </row>
    <row r="408" spans="24:32">
      <c r="X408" s="18"/>
      <c r="Y408" s="18"/>
      <c r="AE408" s="18" t="e">
        <f t="shared" si="8"/>
        <v>#VALUE!</v>
      </c>
      <c r="AF408" s="18"/>
    </row>
    <row r="409" spans="24:32">
      <c r="X409" s="18"/>
      <c r="Y409" s="18"/>
      <c r="AE409" s="18" t="e">
        <f t="shared" si="8"/>
        <v>#VALUE!</v>
      </c>
    </row>
    <row r="410" spans="24:32">
      <c r="X410" s="18"/>
      <c r="Y410" s="18"/>
      <c r="AE410" s="18" t="e">
        <f t="shared" si="8"/>
        <v>#VALUE!</v>
      </c>
    </row>
    <row r="411" spans="24:32">
      <c r="X411" s="18"/>
      <c r="Y411" s="18"/>
      <c r="AE411" s="18" t="e">
        <f t="shared" si="8"/>
        <v>#VALUE!</v>
      </c>
    </row>
    <row r="412" spans="24:32">
      <c r="X412" s="18"/>
      <c r="Y412" s="18"/>
      <c r="AE412" s="18" t="e">
        <f t="shared" si="8"/>
        <v>#VALUE!</v>
      </c>
    </row>
    <row r="413" spans="24:32">
      <c r="X413" s="18"/>
      <c r="Y413" s="18"/>
      <c r="AE413" s="18" t="e">
        <f t="shared" si="8"/>
        <v>#VALUE!</v>
      </c>
    </row>
    <row r="414" spans="24:32">
      <c r="X414" s="18"/>
      <c r="Y414" s="18"/>
      <c r="AE414" s="18" t="e">
        <f t="shared" si="8"/>
        <v>#VALUE!</v>
      </c>
    </row>
    <row r="415" spans="24:32">
      <c r="X415" s="18"/>
      <c r="Y415" s="18"/>
      <c r="AE415" s="18" t="e">
        <f t="shared" si="8"/>
        <v>#VALUE!</v>
      </c>
    </row>
    <row r="416" spans="24:32">
      <c r="X416" s="18"/>
      <c r="Y416" s="18"/>
      <c r="AE416" s="18" t="e">
        <f t="shared" si="8"/>
        <v>#VALUE!</v>
      </c>
    </row>
    <row r="417" spans="24:32">
      <c r="X417" s="18"/>
      <c r="Y417" s="18"/>
      <c r="AE417" s="18" t="e">
        <f t="shared" si="8"/>
        <v>#VALUE!</v>
      </c>
    </row>
    <row r="418" spans="24:32">
      <c r="X418" s="18"/>
      <c r="Y418" s="18"/>
      <c r="AE418" s="18" t="e">
        <f t="shared" si="8"/>
        <v>#VALUE!</v>
      </c>
    </row>
    <row r="419" spans="24:32">
      <c r="X419" s="18"/>
      <c r="Y419" s="18"/>
      <c r="AE419" s="18" t="e">
        <f t="shared" si="8"/>
        <v>#VALUE!</v>
      </c>
    </row>
    <row r="420" spans="24:32">
      <c r="X420" s="18"/>
      <c r="Y420" s="18"/>
      <c r="AE420" s="18" t="e">
        <f t="shared" si="8"/>
        <v>#VALUE!</v>
      </c>
    </row>
    <row r="421" spans="24:32">
      <c r="X421" s="18"/>
      <c r="Y421" s="18"/>
      <c r="AE421" s="18" t="e">
        <f t="shared" si="8"/>
        <v>#VALUE!</v>
      </c>
    </row>
    <row r="422" spans="24:32">
      <c r="X422" s="18"/>
      <c r="Y422" s="18"/>
      <c r="AE422" s="18" t="e">
        <f t="shared" si="8"/>
        <v>#VALUE!</v>
      </c>
    </row>
    <row r="423" spans="24:32">
      <c r="X423" s="18"/>
      <c r="Y423" s="18"/>
      <c r="AE423" s="18" t="e">
        <f t="shared" si="8"/>
        <v>#VALUE!</v>
      </c>
      <c r="AF423" s="18"/>
    </row>
    <row r="424" spans="24:32">
      <c r="X424" s="18"/>
      <c r="Y424" s="18"/>
      <c r="AE424" s="18" t="e">
        <f t="shared" si="8"/>
        <v>#VALUE!</v>
      </c>
      <c r="AF424" s="18"/>
    </row>
    <row r="425" spans="24:32">
      <c r="X425" s="18"/>
      <c r="Y425" s="18"/>
      <c r="AE425" s="18" t="e">
        <f t="shared" si="8"/>
        <v>#VALUE!</v>
      </c>
      <c r="AF425" s="18"/>
    </row>
    <row r="426" spans="24:32">
      <c r="X426" s="18"/>
      <c r="Y426" s="18"/>
      <c r="AE426" s="18" t="e">
        <f t="shared" si="8"/>
        <v>#VALUE!</v>
      </c>
      <c r="AF426" s="18"/>
    </row>
    <row r="427" spans="24:32">
      <c r="X427" s="18"/>
      <c r="Y427" s="18"/>
      <c r="AE427" s="18" t="e">
        <f t="shared" si="8"/>
        <v>#VALUE!</v>
      </c>
      <c r="AF427" s="18"/>
    </row>
    <row r="428" spans="24:32">
      <c r="X428" s="18"/>
      <c r="Y428" s="18"/>
      <c r="AE428" s="18" t="e">
        <f t="shared" si="8"/>
        <v>#VALUE!</v>
      </c>
      <c r="AF428" s="18"/>
    </row>
    <row r="429" spans="24:32">
      <c r="X429" s="18"/>
      <c r="Y429" s="18"/>
      <c r="AE429" s="18" t="e">
        <f t="shared" si="8"/>
        <v>#VALUE!</v>
      </c>
      <c r="AF429" s="18"/>
    </row>
    <row r="430" spans="24:32">
      <c r="X430" s="18"/>
      <c r="Y430" s="18"/>
      <c r="AE430" s="18" t="e">
        <f t="shared" si="8"/>
        <v>#VALUE!</v>
      </c>
      <c r="AF430" s="18"/>
    </row>
    <row r="431" spans="24:32">
      <c r="X431" s="18"/>
      <c r="Y431" s="18"/>
      <c r="AE431" s="18" t="e">
        <f t="shared" si="8"/>
        <v>#VALUE!</v>
      </c>
    </row>
    <row r="432" spans="24:32">
      <c r="X432" s="18"/>
      <c r="Y432" s="18"/>
      <c r="AE432" s="18" t="e">
        <f t="shared" si="8"/>
        <v>#VALUE!</v>
      </c>
    </row>
    <row r="433" spans="24:32">
      <c r="X433" s="18"/>
      <c r="Y433" s="18"/>
      <c r="AE433" s="18" t="e">
        <f t="shared" si="8"/>
        <v>#VALUE!</v>
      </c>
    </row>
    <row r="434" spans="24:32">
      <c r="X434" s="18"/>
      <c r="Y434" s="18"/>
      <c r="AE434" s="18" t="e">
        <f t="shared" si="8"/>
        <v>#VALUE!</v>
      </c>
    </row>
    <row r="435" spans="24:32">
      <c r="X435" s="18"/>
      <c r="Y435" s="18"/>
      <c r="AE435" s="18" t="e">
        <f t="shared" si="8"/>
        <v>#VALUE!</v>
      </c>
    </row>
    <row r="436" spans="24:32">
      <c r="X436" s="18"/>
      <c r="Y436" s="18"/>
      <c r="AE436" s="18" t="e">
        <f t="shared" si="8"/>
        <v>#VALUE!</v>
      </c>
    </row>
    <row r="437" spans="24:32">
      <c r="X437" s="18"/>
      <c r="Y437" s="18"/>
      <c r="AE437" s="18" t="e">
        <f t="shared" si="8"/>
        <v>#VALUE!</v>
      </c>
    </row>
    <row r="438" spans="24:32">
      <c r="X438" s="18"/>
      <c r="Y438" s="18"/>
      <c r="AE438" s="18" t="e">
        <f t="shared" si="8"/>
        <v>#VALUE!</v>
      </c>
    </row>
    <row r="439" spans="24:32">
      <c r="X439" s="18"/>
      <c r="Y439" s="18"/>
      <c r="AE439" s="18" t="e">
        <f t="shared" si="8"/>
        <v>#VALUE!</v>
      </c>
    </row>
    <row r="440" spans="24:32">
      <c r="X440" s="18"/>
      <c r="Y440" s="18"/>
      <c r="AE440" s="18" t="e">
        <f t="shared" si="8"/>
        <v>#VALUE!</v>
      </c>
    </row>
    <row r="441" spans="24:32">
      <c r="X441" s="18"/>
      <c r="Y441" s="18"/>
      <c r="AE441" s="18" t="e">
        <f t="shared" si="8"/>
        <v>#VALUE!</v>
      </c>
    </row>
    <row r="442" spans="24:32">
      <c r="X442" s="18"/>
      <c r="Y442" s="18"/>
      <c r="AE442" s="18" t="e">
        <f t="shared" si="8"/>
        <v>#VALUE!</v>
      </c>
    </row>
    <row r="443" spans="24:32">
      <c r="X443" s="18"/>
      <c r="Y443" s="18"/>
      <c r="AE443" s="18" t="e">
        <f t="shared" si="8"/>
        <v>#VALUE!</v>
      </c>
      <c r="AF443" s="18"/>
    </row>
    <row r="444" spans="24:32">
      <c r="X444" s="18"/>
      <c r="Y444" s="18"/>
      <c r="AE444" s="18" t="e">
        <f t="shared" si="8"/>
        <v>#VALUE!</v>
      </c>
      <c r="AF444" s="18"/>
    </row>
    <row r="445" spans="24:32">
      <c r="X445" s="18"/>
      <c r="Y445" s="18"/>
      <c r="AE445" s="18" t="e">
        <f t="shared" si="8"/>
        <v>#VALUE!</v>
      </c>
      <c r="AF445" s="18"/>
    </row>
    <row r="446" spans="24:32">
      <c r="X446" s="18"/>
      <c r="Y446" s="18"/>
      <c r="AE446" s="18" t="e">
        <f t="shared" si="8"/>
        <v>#VALUE!</v>
      </c>
      <c r="AF446" s="18"/>
    </row>
    <row r="447" spans="24:32">
      <c r="X447" s="18"/>
      <c r="Y447" s="18"/>
      <c r="AE447" s="18" t="e">
        <f t="shared" si="8"/>
        <v>#VALUE!</v>
      </c>
      <c r="AF447" s="18"/>
    </row>
    <row r="448" spans="24:32">
      <c r="X448" s="18"/>
      <c r="Y448" s="18"/>
      <c r="AE448" s="18" t="e">
        <f t="shared" si="8"/>
        <v>#VALUE!</v>
      </c>
      <c r="AF448" s="18"/>
    </row>
    <row r="449" spans="24:32">
      <c r="X449" s="18"/>
      <c r="Y449" s="18"/>
      <c r="AE449" s="18" t="e">
        <f t="shared" si="8"/>
        <v>#VALUE!</v>
      </c>
      <c r="AF449" s="18"/>
    </row>
    <row r="450" spans="24:32">
      <c r="X450" s="18"/>
      <c r="Y450" s="18"/>
      <c r="AE450" s="18" t="e">
        <f t="shared" ref="AE450:AE513" si="9">IF(ISNUMBER(AF450),DATE(YEAR(AF450),DAY(AF450),MONTH(AF450)),DATE(RIGHT(AF450,4),LEFT(AF450,2),MID(AF450,4,2)))</f>
        <v>#VALUE!</v>
      </c>
      <c r="AF450" s="18"/>
    </row>
    <row r="451" spans="24:32">
      <c r="X451" s="18"/>
      <c r="Y451" s="18"/>
      <c r="AE451" s="18" t="e">
        <f t="shared" si="9"/>
        <v>#VALUE!</v>
      </c>
      <c r="AF451" s="18"/>
    </row>
    <row r="452" spans="24:32">
      <c r="X452" s="18"/>
      <c r="Y452" s="18"/>
      <c r="AE452" s="18" t="e">
        <f t="shared" si="9"/>
        <v>#VALUE!</v>
      </c>
    </row>
    <row r="453" spans="24:32">
      <c r="X453" s="18"/>
      <c r="Y453" s="18"/>
      <c r="AE453" s="18" t="e">
        <f t="shared" si="9"/>
        <v>#VALUE!</v>
      </c>
    </row>
    <row r="454" spans="24:32">
      <c r="X454" s="18"/>
      <c r="Y454" s="18"/>
      <c r="AE454" s="18" t="e">
        <f t="shared" si="9"/>
        <v>#VALUE!</v>
      </c>
    </row>
    <row r="455" spans="24:32">
      <c r="X455" s="18"/>
      <c r="Y455" s="18"/>
      <c r="AE455" s="18" t="e">
        <f t="shared" si="9"/>
        <v>#VALUE!</v>
      </c>
    </row>
    <row r="456" spans="24:32">
      <c r="X456" s="18"/>
      <c r="Y456" s="18"/>
      <c r="AE456" s="18" t="e">
        <f t="shared" si="9"/>
        <v>#VALUE!</v>
      </c>
    </row>
    <row r="457" spans="24:32">
      <c r="X457" s="18"/>
      <c r="Y457" s="18"/>
      <c r="AE457" s="18" t="e">
        <f t="shared" si="9"/>
        <v>#VALUE!</v>
      </c>
    </row>
    <row r="458" spans="24:32">
      <c r="X458" s="18"/>
      <c r="Y458" s="18"/>
      <c r="AE458" s="18" t="e">
        <f t="shared" si="9"/>
        <v>#VALUE!</v>
      </c>
    </row>
    <row r="459" spans="24:32">
      <c r="X459" s="18"/>
      <c r="Y459" s="18"/>
      <c r="AE459" s="18" t="e">
        <f t="shared" si="9"/>
        <v>#VALUE!</v>
      </c>
    </row>
    <row r="460" spans="24:32">
      <c r="X460" s="18"/>
      <c r="Y460" s="18"/>
      <c r="AE460" s="18" t="e">
        <f t="shared" si="9"/>
        <v>#VALUE!</v>
      </c>
    </row>
    <row r="461" spans="24:32">
      <c r="X461" s="18"/>
      <c r="Y461" s="18"/>
      <c r="AE461" s="18" t="e">
        <f t="shared" si="9"/>
        <v>#VALUE!</v>
      </c>
    </row>
    <row r="462" spans="24:32">
      <c r="X462" s="18"/>
      <c r="Y462" s="18"/>
      <c r="AE462" s="18" t="e">
        <f t="shared" si="9"/>
        <v>#VALUE!</v>
      </c>
    </row>
    <row r="463" spans="24:32">
      <c r="X463" s="18"/>
      <c r="Y463" s="18"/>
      <c r="AE463" s="18" t="e">
        <f t="shared" si="9"/>
        <v>#VALUE!</v>
      </c>
    </row>
    <row r="464" spans="24:32">
      <c r="X464" s="18"/>
      <c r="Y464" s="18"/>
      <c r="AE464" s="18" t="e">
        <f t="shared" si="9"/>
        <v>#VALUE!</v>
      </c>
    </row>
    <row r="465" spans="24:32">
      <c r="X465" s="18"/>
      <c r="Y465" s="18"/>
      <c r="AE465" s="18" t="e">
        <f t="shared" si="9"/>
        <v>#VALUE!</v>
      </c>
    </row>
    <row r="466" spans="24:32">
      <c r="X466" s="18"/>
      <c r="Y466" s="18"/>
      <c r="AE466" s="18" t="e">
        <f t="shared" si="9"/>
        <v>#VALUE!</v>
      </c>
      <c r="AF466" s="18"/>
    </row>
    <row r="467" spans="24:32">
      <c r="X467" s="18"/>
      <c r="Y467" s="18"/>
      <c r="AE467" s="18" t="e">
        <f t="shared" si="9"/>
        <v>#VALUE!</v>
      </c>
      <c r="AF467" s="18"/>
    </row>
    <row r="468" spans="24:32">
      <c r="X468" s="18"/>
      <c r="Y468" s="18"/>
      <c r="AE468" s="18" t="e">
        <f t="shared" si="9"/>
        <v>#VALUE!</v>
      </c>
      <c r="AF468" s="18"/>
    </row>
    <row r="469" spans="24:32">
      <c r="X469" s="18">
        <f t="shared" ref="X469:X513" si="10">WORKDAY(DATE(2025,8,2),INT(D469/390))</f>
        <v>45871</v>
      </c>
      <c r="Y469" s="18">
        <f t="shared" ref="Y469:Y513" si="11">WORKDAY(DATE(2025,8,2),INT(P469/390))</f>
        <v>45871</v>
      </c>
      <c r="Z469" t="str">
        <f t="array" ref="Z469">_xlfn.XLOOKUP(INT(X469),INT($AE$2:$AE$1000),$AG$2:$AG$1000,"")</f>
        <v/>
      </c>
      <c r="AE469" s="18" t="e">
        <f t="shared" si="9"/>
        <v>#VALUE!</v>
      </c>
      <c r="AF469" s="18"/>
    </row>
    <row r="470" spans="24:32">
      <c r="X470" s="18">
        <f t="shared" si="10"/>
        <v>45871</v>
      </c>
      <c r="Y470" s="18">
        <f t="shared" si="11"/>
        <v>45871</v>
      </c>
      <c r="Z470" t="str">
        <f t="array" ref="Z470">_xlfn.XLOOKUP(INT(X470),INT($AE$2:$AE$1000),$AG$2:$AG$1000,"")</f>
        <v/>
      </c>
      <c r="AE470" s="18" t="e">
        <f t="shared" si="9"/>
        <v>#VALUE!</v>
      </c>
      <c r="AF470" s="18"/>
    </row>
    <row r="471" spans="24:32">
      <c r="X471" s="18">
        <f t="shared" si="10"/>
        <v>45871</v>
      </c>
      <c r="Y471" s="18">
        <f t="shared" si="11"/>
        <v>45871</v>
      </c>
      <c r="Z471" t="str">
        <f t="array" ref="Z471">_xlfn.XLOOKUP(INT(X471),INT($AE$2:$AE$1000),$AG$2:$AG$1000,"")</f>
        <v/>
      </c>
      <c r="AE471" s="18" t="e">
        <f t="shared" si="9"/>
        <v>#VALUE!</v>
      </c>
      <c r="AF471" s="18"/>
    </row>
    <row r="472" spans="24:32">
      <c r="X472" s="18">
        <f t="shared" si="10"/>
        <v>45871</v>
      </c>
      <c r="Y472" s="18">
        <f t="shared" si="11"/>
        <v>45871</v>
      </c>
      <c r="Z472" t="str">
        <f t="array" ref="Z472">_xlfn.XLOOKUP(INT(X472),INT($AE$2:$AE$1000),$AG$2:$AG$1000,"")</f>
        <v/>
      </c>
      <c r="AE472" s="18" t="e">
        <f t="shared" si="9"/>
        <v>#VALUE!</v>
      </c>
      <c r="AF472" s="18"/>
    </row>
    <row r="473" spans="24:32">
      <c r="X473" s="18">
        <f t="shared" si="10"/>
        <v>45871</v>
      </c>
      <c r="Y473" s="18">
        <f t="shared" si="11"/>
        <v>45871</v>
      </c>
      <c r="Z473" t="str">
        <f t="array" ref="Z473">_xlfn.XLOOKUP(INT(X473),INT($AE$2:$AE$1000),$AG$2:$AG$1000,"")</f>
        <v/>
      </c>
      <c r="AE473" s="18" t="e">
        <f t="shared" si="9"/>
        <v>#VALUE!</v>
      </c>
      <c r="AF473" s="18"/>
    </row>
    <row r="474" spans="24:32">
      <c r="X474" s="18">
        <f t="shared" si="10"/>
        <v>45871</v>
      </c>
      <c r="Y474" s="18">
        <f t="shared" si="11"/>
        <v>45871</v>
      </c>
      <c r="Z474" t="str">
        <f t="array" ref="Z474">_xlfn.XLOOKUP(INT(X474),INT($AE$2:$AE$1000),$AG$2:$AG$1000,"")</f>
        <v/>
      </c>
      <c r="AE474" s="18" t="e">
        <f t="shared" si="9"/>
        <v>#VALUE!</v>
      </c>
    </row>
    <row r="475" spans="24:32">
      <c r="X475" s="18">
        <f t="shared" si="10"/>
        <v>45871</v>
      </c>
      <c r="Y475" s="18">
        <f t="shared" si="11"/>
        <v>45871</v>
      </c>
      <c r="Z475" t="str">
        <f t="array" ref="Z475">_xlfn.XLOOKUP(INT(X475),INT($AE$2:$AE$1000),$AG$2:$AG$1000,"")</f>
        <v/>
      </c>
      <c r="AE475" s="18" t="e">
        <f t="shared" si="9"/>
        <v>#VALUE!</v>
      </c>
    </row>
    <row r="476" spans="24:32">
      <c r="X476" s="18">
        <f t="shared" si="10"/>
        <v>45871</v>
      </c>
      <c r="Y476" s="18">
        <f t="shared" si="11"/>
        <v>45871</v>
      </c>
      <c r="Z476" t="str">
        <f t="array" ref="Z476">_xlfn.XLOOKUP(INT(X476),INT($AE$2:$AE$1000),$AG$2:$AG$1000,"")</f>
        <v/>
      </c>
      <c r="AE476" s="18" t="e">
        <f t="shared" si="9"/>
        <v>#VALUE!</v>
      </c>
    </row>
    <row r="477" spans="24:32">
      <c r="X477" s="18">
        <f t="shared" si="10"/>
        <v>45871</v>
      </c>
      <c r="Y477" s="18">
        <f t="shared" si="11"/>
        <v>45871</v>
      </c>
      <c r="Z477" t="str">
        <f t="array" ref="Z477">_xlfn.XLOOKUP(INT(X477),INT($AE$2:$AE$1000),$AG$2:$AG$1000,"")</f>
        <v/>
      </c>
      <c r="AE477" s="18" t="e">
        <f t="shared" si="9"/>
        <v>#VALUE!</v>
      </c>
    </row>
    <row r="478" spans="24:32">
      <c r="X478" s="18">
        <f t="shared" si="10"/>
        <v>45871</v>
      </c>
      <c r="Y478" s="18">
        <f t="shared" si="11"/>
        <v>45871</v>
      </c>
      <c r="Z478" t="str">
        <f t="array" ref="Z478">_xlfn.XLOOKUP(INT(X478),INT($AE$2:$AE$1000),$AG$2:$AG$1000,"")</f>
        <v/>
      </c>
      <c r="AE478" s="18" t="e">
        <f t="shared" si="9"/>
        <v>#VALUE!</v>
      </c>
    </row>
    <row r="479" spans="24:32">
      <c r="X479" s="18">
        <f t="shared" si="10"/>
        <v>45871</v>
      </c>
      <c r="Y479" s="18">
        <f t="shared" si="11"/>
        <v>45871</v>
      </c>
      <c r="Z479" t="str">
        <f t="array" ref="Z479">_xlfn.XLOOKUP(INT(X479),INT($AE$2:$AE$1000),$AG$2:$AG$1000,"")</f>
        <v/>
      </c>
      <c r="AE479" s="18" t="e">
        <f t="shared" si="9"/>
        <v>#VALUE!</v>
      </c>
    </row>
    <row r="480" spans="24:32">
      <c r="X480" s="18">
        <f t="shared" si="10"/>
        <v>45871</v>
      </c>
      <c r="Y480" s="18">
        <f t="shared" si="11"/>
        <v>45871</v>
      </c>
      <c r="Z480" t="str">
        <f t="array" ref="Z480">_xlfn.XLOOKUP(INT(X480),INT($AE$2:$AE$1000),$AG$2:$AG$1000,"")</f>
        <v/>
      </c>
      <c r="AE480" s="18" t="e">
        <f t="shared" si="9"/>
        <v>#VALUE!</v>
      </c>
    </row>
    <row r="481" spans="24:32">
      <c r="X481" s="18">
        <f t="shared" si="10"/>
        <v>45871</v>
      </c>
      <c r="Y481" s="18">
        <f t="shared" si="11"/>
        <v>45871</v>
      </c>
      <c r="Z481" t="str">
        <f t="array" ref="Z481">_xlfn.XLOOKUP(INT(X481),INT($AE$2:$AE$1000),$AG$2:$AG$1000,"")</f>
        <v/>
      </c>
      <c r="AE481" s="18" t="e">
        <f t="shared" si="9"/>
        <v>#VALUE!</v>
      </c>
    </row>
    <row r="482" spans="24:32">
      <c r="X482" s="18">
        <f t="shared" si="10"/>
        <v>45871</v>
      </c>
      <c r="Y482" s="18">
        <f t="shared" si="11"/>
        <v>45871</v>
      </c>
      <c r="Z482" t="str">
        <f t="array" ref="Z482">_xlfn.XLOOKUP(INT(X482),INT($AE$2:$AE$1000),$AG$2:$AG$1000,"")</f>
        <v/>
      </c>
      <c r="AE482" s="18" t="e">
        <f t="shared" si="9"/>
        <v>#VALUE!</v>
      </c>
    </row>
    <row r="483" spans="24:32">
      <c r="X483" s="18">
        <f t="shared" si="10"/>
        <v>45871</v>
      </c>
      <c r="Y483" s="18">
        <f t="shared" si="11"/>
        <v>45871</v>
      </c>
      <c r="Z483" t="str">
        <f t="array" ref="Z483">_xlfn.XLOOKUP(INT(X483),INT($AE$2:$AE$1000),$AG$2:$AG$1000,"")</f>
        <v/>
      </c>
      <c r="AE483" s="18" t="e">
        <f t="shared" si="9"/>
        <v>#VALUE!</v>
      </c>
    </row>
    <row r="484" spans="24:32">
      <c r="X484" s="18">
        <f t="shared" si="10"/>
        <v>45871</v>
      </c>
      <c r="Y484" s="18">
        <f t="shared" si="11"/>
        <v>45871</v>
      </c>
      <c r="Z484" t="str">
        <f t="array" ref="Z484">_xlfn.XLOOKUP(INT(X484),INT($AE$2:$AE$1000),$AG$2:$AG$1000,"")</f>
        <v/>
      </c>
      <c r="AE484" s="18" t="e">
        <f t="shared" si="9"/>
        <v>#VALUE!</v>
      </c>
    </row>
    <row r="485" spans="24:32">
      <c r="X485" s="18">
        <f t="shared" si="10"/>
        <v>45871</v>
      </c>
      <c r="Y485" s="18">
        <f t="shared" si="11"/>
        <v>45871</v>
      </c>
      <c r="Z485" t="str">
        <f t="array" ref="Z485">_xlfn.XLOOKUP(INT(X485),INT($AE$2:$AE$1000),$AG$2:$AG$1000,"")</f>
        <v/>
      </c>
      <c r="AE485" s="18" t="e">
        <f t="shared" si="9"/>
        <v>#VALUE!</v>
      </c>
    </row>
    <row r="486" spans="24:32">
      <c r="X486" s="18">
        <f t="shared" si="10"/>
        <v>45871</v>
      </c>
      <c r="Y486" s="18">
        <f t="shared" si="11"/>
        <v>45871</v>
      </c>
      <c r="Z486" t="str">
        <f t="array" ref="Z486">_xlfn.XLOOKUP(INT(X486),INT($AE$2:$AE$1000),$AG$2:$AG$1000,"")</f>
        <v/>
      </c>
      <c r="AE486" s="18" t="e">
        <f t="shared" si="9"/>
        <v>#VALUE!</v>
      </c>
      <c r="AF486" s="18"/>
    </row>
    <row r="487" spans="24:32">
      <c r="X487" s="18">
        <f t="shared" si="10"/>
        <v>45871</v>
      </c>
      <c r="Y487" s="18">
        <f t="shared" si="11"/>
        <v>45871</v>
      </c>
      <c r="Z487" t="str">
        <f t="array" ref="Z487">_xlfn.XLOOKUP(INT(X487),INT($AE$2:$AE$1000),$AG$2:$AG$1000,"")</f>
        <v/>
      </c>
      <c r="AE487" s="18" t="e">
        <f t="shared" si="9"/>
        <v>#VALUE!</v>
      </c>
      <c r="AF487" s="18"/>
    </row>
    <row r="488" spans="24:32">
      <c r="X488" s="18">
        <f t="shared" si="10"/>
        <v>45871</v>
      </c>
      <c r="Y488" s="18">
        <f t="shared" si="11"/>
        <v>45871</v>
      </c>
      <c r="Z488" t="str">
        <f t="array" ref="Z488">_xlfn.XLOOKUP(INT(X488),INT($AE$2:$AE$1000),$AG$2:$AG$1000,"")</f>
        <v/>
      </c>
      <c r="AE488" s="18" t="e">
        <f t="shared" si="9"/>
        <v>#VALUE!</v>
      </c>
      <c r="AF488" s="18"/>
    </row>
    <row r="489" spans="24:32">
      <c r="X489" s="18">
        <f t="shared" si="10"/>
        <v>45871</v>
      </c>
      <c r="Y489" s="18">
        <f t="shared" si="11"/>
        <v>45871</v>
      </c>
      <c r="Z489" t="str">
        <f t="array" ref="Z489">_xlfn.XLOOKUP(INT(X489),INT($AE$2:$AE$1000),$AG$2:$AG$1000,"")</f>
        <v/>
      </c>
      <c r="AE489" s="18" t="e">
        <f t="shared" si="9"/>
        <v>#VALUE!</v>
      </c>
      <c r="AF489" s="18"/>
    </row>
    <row r="490" spans="24:32">
      <c r="X490" s="18">
        <f t="shared" si="10"/>
        <v>45871</v>
      </c>
      <c r="Y490" s="18">
        <f t="shared" si="11"/>
        <v>45871</v>
      </c>
      <c r="Z490" t="str">
        <f t="array" ref="Z490">_xlfn.XLOOKUP(INT(X490),INT($AE$2:$AE$1000),$AG$2:$AG$1000,"")</f>
        <v/>
      </c>
      <c r="AE490" s="18" t="e">
        <f t="shared" si="9"/>
        <v>#VALUE!</v>
      </c>
      <c r="AF490" s="18"/>
    </row>
    <row r="491" spans="24:32">
      <c r="X491" s="18">
        <f t="shared" si="10"/>
        <v>45871</v>
      </c>
      <c r="Y491" s="18">
        <f t="shared" si="11"/>
        <v>45871</v>
      </c>
      <c r="Z491" t="str">
        <f t="array" ref="Z491">_xlfn.XLOOKUP(INT(X491),INT($AE$2:$AE$1000),$AG$2:$AG$1000,"")</f>
        <v/>
      </c>
      <c r="AE491" s="18" t="e">
        <f t="shared" si="9"/>
        <v>#VALUE!</v>
      </c>
      <c r="AF491" s="18"/>
    </row>
    <row r="492" spans="24:32">
      <c r="X492" s="18">
        <f t="shared" si="10"/>
        <v>45871</v>
      </c>
      <c r="Y492" s="18">
        <f t="shared" si="11"/>
        <v>45871</v>
      </c>
      <c r="Z492" t="str">
        <f t="array" ref="Z492">_xlfn.XLOOKUP(INT(X492),INT($AE$2:$AE$1000),$AG$2:$AG$1000,"")</f>
        <v/>
      </c>
      <c r="AE492" s="18" t="e">
        <f t="shared" si="9"/>
        <v>#VALUE!</v>
      </c>
      <c r="AF492" s="18"/>
    </row>
    <row r="493" spans="24:32">
      <c r="X493" s="18">
        <f t="shared" si="10"/>
        <v>45871</v>
      </c>
      <c r="Y493" s="18">
        <f t="shared" si="11"/>
        <v>45871</v>
      </c>
      <c r="Z493" t="str">
        <f t="array" ref="Z493">_xlfn.XLOOKUP(INT(X493),INT($AE$2:$AE$1000),$AG$2:$AG$1000,"")</f>
        <v/>
      </c>
      <c r="AE493" s="18" t="e">
        <f t="shared" si="9"/>
        <v>#VALUE!</v>
      </c>
      <c r="AF493" s="18"/>
    </row>
    <row r="494" spans="24:32">
      <c r="X494" s="18">
        <f t="shared" si="10"/>
        <v>45871</v>
      </c>
      <c r="Y494" s="18">
        <f t="shared" si="11"/>
        <v>45871</v>
      </c>
      <c r="Z494" t="str">
        <f t="array" ref="Z494">_xlfn.XLOOKUP(INT(X494),INT($AE$2:$AE$1000),$AG$2:$AG$1000,"")</f>
        <v/>
      </c>
      <c r="AE494" s="18" t="e">
        <f t="shared" si="9"/>
        <v>#VALUE!</v>
      </c>
      <c r="AF494" s="18"/>
    </row>
    <row r="495" spans="24:32">
      <c r="X495" s="18">
        <f t="shared" si="10"/>
        <v>45871</v>
      </c>
      <c r="Y495" s="18">
        <f t="shared" si="11"/>
        <v>45871</v>
      </c>
      <c r="Z495" t="str">
        <f t="array" ref="Z495">_xlfn.XLOOKUP(INT(X495),INT($AE$2:$AE$1000),$AG$2:$AG$1000,"")</f>
        <v/>
      </c>
      <c r="AE495" s="18" t="e">
        <f t="shared" si="9"/>
        <v>#VALUE!</v>
      </c>
    </row>
    <row r="496" spans="24:32">
      <c r="X496" s="18">
        <f t="shared" si="10"/>
        <v>45871</v>
      </c>
      <c r="Y496" s="18">
        <f t="shared" si="11"/>
        <v>45871</v>
      </c>
      <c r="Z496" t="str">
        <f t="array" ref="Z496">_xlfn.XLOOKUP(INT(X496),INT($AE$2:$AE$1000),$AG$2:$AG$1000,"")</f>
        <v/>
      </c>
      <c r="AE496" s="18" t="e">
        <f t="shared" si="9"/>
        <v>#VALUE!</v>
      </c>
    </row>
    <row r="497" spans="24:32">
      <c r="X497" s="18">
        <f t="shared" si="10"/>
        <v>45871</v>
      </c>
      <c r="Y497" s="18">
        <f t="shared" si="11"/>
        <v>45871</v>
      </c>
      <c r="Z497" t="str">
        <f t="array" ref="Z497">_xlfn.XLOOKUP(INT(X497),INT($AE$2:$AE$1000),$AG$2:$AG$1000,"")</f>
        <v/>
      </c>
      <c r="AE497" s="18" t="e">
        <f t="shared" si="9"/>
        <v>#VALUE!</v>
      </c>
    </row>
    <row r="498" spans="24:32">
      <c r="X498" s="18">
        <f t="shared" si="10"/>
        <v>45871</v>
      </c>
      <c r="Y498" s="18">
        <f t="shared" si="11"/>
        <v>45871</v>
      </c>
      <c r="Z498" t="str">
        <f t="array" ref="Z498">_xlfn.XLOOKUP(INT(X498),INT($AE$2:$AE$1000),$AG$2:$AG$1000,"")</f>
        <v/>
      </c>
      <c r="AE498" s="18" t="e">
        <f t="shared" si="9"/>
        <v>#VALUE!</v>
      </c>
    </row>
    <row r="499" spans="24:32">
      <c r="X499" s="18">
        <f t="shared" si="10"/>
        <v>45871</v>
      </c>
      <c r="Y499" s="18">
        <f t="shared" si="11"/>
        <v>45871</v>
      </c>
      <c r="Z499" t="str">
        <f t="array" ref="Z499">_xlfn.XLOOKUP(INT(X499),INT($AE$2:$AE$1000),$AG$2:$AG$1000,"")</f>
        <v/>
      </c>
      <c r="AE499" s="18" t="e">
        <f t="shared" si="9"/>
        <v>#VALUE!</v>
      </c>
    </row>
    <row r="500" spans="24:32">
      <c r="X500" s="18">
        <f t="shared" si="10"/>
        <v>45871</v>
      </c>
      <c r="Y500" s="18">
        <f t="shared" si="11"/>
        <v>45871</v>
      </c>
      <c r="Z500" t="str">
        <f t="array" ref="Z500">_xlfn.XLOOKUP(INT(X500),INT($AE$2:$AE$1000),$AG$2:$AG$1000,"")</f>
        <v/>
      </c>
      <c r="AE500" s="18" t="e">
        <f t="shared" si="9"/>
        <v>#VALUE!</v>
      </c>
    </row>
    <row r="501" spans="24:32">
      <c r="X501" s="18">
        <f t="shared" si="10"/>
        <v>45871</v>
      </c>
      <c r="Y501" s="18">
        <f t="shared" si="11"/>
        <v>45871</v>
      </c>
      <c r="Z501" t="str">
        <f t="array" ref="Z501">_xlfn.XLOOKUP(INT(X501),INT($AE$2:$AE$1000),$AG$2:$AG$1000,"")</f>
        <v/>
      </c>
      <c r="AE501" s="18" t="e">
        <f t="shared" si="9"/>
        <v>#VALUE!</v>
      </c>
    </row>
    <row r="502" spans="24:32">
      <c r="X502" s="18">
        <f t="shared" si="10"/>
        <v>45871</v>
      </c>
      <c r="Y502" s="18">
        <f t="shared" si="11"/>
        <v>45871</v>
      </c>
      <c r="Z502" t="str">
        <f t="array" ref="Z502">_xlfn.XLOOKUP(INT(X502),INT($AE$2:$AE$1000),$AG$2:$AG$1000,"")</f>
        <v/>
      </c>
      <c r="AE502" s="18" t="e">
        <f t="shared" si="9"/>
        <v>#VALUE!</v>
      </c>
    </row>
    <row r="503" spans="24:32">
      <c r="X503" s="18">
        <f t="shared" si="10"/>
        <v>45871</v>
      </c>
      <c r="Y503" s="18">
        <f t="shared" si="11"/>
        <v>45871</v>
      </c>
      <c r="Z503" t="str">
        <f t="array" ref="Z503">_xlfn.XLOOKUP(INT(X503),INT($AE$2:$AE$1000),$AG$2:$AG$1000,"")</f>
        <v/>
      </c>
      <c r="AE503" s="18" t="e">
        <f t="shared" si="9"/>
        <v>#VALUE!</v>
      </c>
    </row>
    <row r="504" spans="24:32">
      <c r="X504" s="18">
        <f t="shared" si="10"/>
        <v>45871</v>
      </c>
      <c r="Y504" s="18">
        <f t="shared" si="11"/>
        <v>45871</v>
      </c>
      <c r="Z504" t="str">
        <f t="array" ref="Z504">_xlfn.XLOOKUP(INT(X504),INT($AE$2:$AE$1000),$AG$2:$AG$1000,"")</f>
        <v/>
      </c>
      <c r="AE504" s="18" t="e">
        <f t="shared" si="9"/>
        <v>#VALUE!</v>
      </c>
    </row>
    <row r="505" spans="24:32">
      <c r="X505" s="18">
        <f t="shared" si="10"/>
        <v>45871</v>
      </c>
      <c r="Y505" s="18">
        <f t="shared" si="11"/>
        <v>45871</v>
      </c>
      <c r="Z505" t="str">
        <f t="array" ref="Z505">_xlfn.XLOOKUP(INT(X505),INT($AE$2:$AE$1000),$AG$2:$AG$1000,"")</f>
        <v/>
      </c>
      <c r="AE505" s="18" t="e">
        <f t="shared" si="9"/>
        <v>#VALUE!</v>
      </c>
    </row>
    <row r="506" spans="24:32">
      <c r="X506" s="18">
        <f t="shared" si="10"/>
        <v>45871</v>
      </c>
      <c r="Y506" s="18">
        <f t="shared" si="11"/>
        <v>45871</v>
      </c>
      <c r="Z506" t="str">
        <f t="array" ref="Z506">_xlfn.XLOOKUP(INT(X506),INT($AE$2:$AE$1000),$AG$2:$AG$1000,"")</f>
        <v/>
      </c>
      <c r="AE506" s="18" t="e">
        <f t="shared" si="9"/>
        <v>#VALUE!</v>
      </c>
    </row>
    <row r="507" spans="24:32">
      <c r="X507" s="18">
        <f t="shared" si="10"/>
        <v>45871</v>
      </c>
      <c r="Y507" s="18">
        <f t="shared" si="11"/>
        <v>45871</v>
      </c>
      <c r="Z507" t="str">
        <f t="array" ref="Z507">_xlfn.XLOOKUP(INT(X507),INT($AE$2:$AE$1000),$AG$2:$AG$1000,"")</f>
        <v/>
      </c>
      <c r="AE507" s="18" t="e">
        <f t="shared" si="9"/>
        <v>#VALUE!</v>
      </c>
      <c r="AF507" s="18"/>
    </row>
    <row r="508" spans="24:32">
      <c r="X508" s="18">
        <f t="shared" si="10"/>
        <v>45871</v>
      </c>
      <c r="Y508" s="18">
        <f t="shared" si="11"/>
        <v>45871</v>
      </c>
      <c r="Z508" t="str">
        <f t="array" ref="Z508">_xlfn.XLOOKUP(INT(X508),INT($AE$2:$AE$1000),$AG$2:$AG$1000,"")</f>
        <v/>
      </c>
      <c r="AE508" s="18" t="e">
        <f t="shared" si="9"/>
        <v>#VALUE!</v>
      </c>
      <c r="AF508" s="18"/>
    </row>
    <row r="509" spans="24:32">
      <c r="X509" s="18">
        <f t="shared" si="10"/>
        <v>45871</v>
      </c>
      <c r="Y509" s="18">
        <f t="shared" si="11"/>
        <v>45871</v>
      </c>
      <c r="Z509" t="str">
        <f t="array" ref="Z509">_xlfn.XLOOKUP(INT(X509),INT($AE$2:$AE$1000),$AG$2:$AG$1000,"")</f>
        <v/>
      </c>
      <c r="AE509" s="18" t="e">
        <f t="shared" si="9"/>
        <v>#VALUE!</v>
      </c>
      <c r="AF509" s="18"/>
    </row>
    <row r="510" spans="24:32">
      <c r="X510" s="18">
        <f t="shared" si="10"/>
        <v>45871</v>
      </c>
      <c r="Y510" s="18">
        <f t="shared" si="11"/>
        <v>45871</v>
      </c>
      <c r="Z510" t="str">
        <f t="array" ref="Z510">_xlfn.XLOOKUP(INT(X510),INT($AE$2:$AE$1000),$AG$2:$AG$1000,"")</f>
        <v/>
      </c>
      <c r="AE510" s="18" t="e">
        <f t="shared" si="9"/>
        <v>#VALUE!</v>
      </c>
      <c r="AF510" s="18"/>
    </row>
    <row r="511" spans="24:32">
      <c r="X511" s="18">
        <f t="shared" si="10"/>
        <v>45871</v>
      </c>
      <c r="Y511" s="18">
        <f t="shared" si="11"/>
        <v>45871</v>
      </c>
      <c r="Z511" t="str">
        <f t="array" ref="Z511">_xlfn.XLOOKUP(INT(X511),INT($AE$2:$AE$1000),$AG$2:$AG$1000,"")</f>
        <v/>
      </c>
      <c r="AE511" s="18" t="e">
        <f t="shared" si="9"/>
        <v>#VALUE!</v>
      </c>
      <c r="AF511" s="18"/>
    </row>
    <row r="512" spans="24:32">
      <c r="X512" s="18">
        <f t="shared" si="10"/>
        <v>45871</v>
      </c>
      <c r="Y512" s="18">
        <f t="shared" si="11"/>
        <v>45871</v>
      </c>
      <c r="Z512" t="str">
        <f t="array" ref="Z512">_xlfn.XLOOKUP(INT(X512),INT($AE$2:$AE$1000),$AG$2:$AG$1000,"")</f>
        <v/>
      </c>
      <c r="AE512" s="18" t="e">
        <f t="shared" si="9"/>
        <v>#VALUE!</v>
      </c>
      <c r="AF512" s="18"/>
    </row>
    <row r="513" spans="24:32">
      <c r="X513" s="18">
        <f t="shared" si="10"/>
        <v>45871</v>
      </c>
      <c r="Y513" s="18">
        <f t="shared" si="11"/>
        <v>45871</v>
      </c>
      <c r="Z513" t="str">
        <f t="array" ref="Z513">_xlfn.XLOOKUP(INT(X513),INT($AE$2:$AE$1000),$AG$2:$AG$1000,"")</f>
        <v/>
      </c>
      <c r="AE513" s="18" t="e">
        <f t="shared" si="9"/>
        <v>#VALUE!</v>
      </c>
      <c r="AF513" s="18"/>
    </row>
    <row r="514" spans="24:32">
      <c r="X514" s="18">
        <f t="shared" ref="X514:X576" si="12">WORKDAY(DATE(2025,8,2),INT(D514/390))</f>
        <v>45871</v>
      </c>
      <c r="Y514" s="18">
        <f t="shared" ref="Y514:Y577" si="13">WORKDAY(DATE(2025,8,2),INT(P514/390))</f>
        <v>45871</v>
      </c>
      <c r="Z514" t="str">
        <f t="array" ref="Z514">_xlfn.XLOOKUP(INT(X514),INT($AE$2:$AE$1000),$AG$2:$AG$1000,"")</f>
        <v/>
      </c>
      <c r="AE514" s="18" t="e">
        <f t="shared" ref="AE514:AE577" si="14">IF(ISNUMBER(AF514),DATE(YEAR(AF514),DAY(AF514),MONTH(AF514)),DATE(RIGHT(AF514,4),LEFT(AF514,2),MID(AF514,4,2)))</f>
        <v>#VALUE!</v>
      </c>
    </row>
    <row r="515" spans="24:32">
      <c r="X515" s="18">
        <f t="shared" si="12"/>
        <v>45871</v>
      </c>
      <c r="Y515" s="18">
        <f t="shared" si="13"/>
        <v>45871</v>
      </c>
      <c r="Z515" t="str">
        <f t="array" ref="Z515">_xlfn.XLOOKUP(INT(X515),INT($AE$2:$AE$1000),$AG$2:$AG$1000,"")</f>
        <v/>
      </c>
      <c r="AE515" s="18" t="e">
        <f t="shared" si="14"/>
        <v>#VALUE!</v>
      </c>
    </row>
    <row r="516" spans="24:32">
      <c r="X516" s="18">
        <f t="shared" si="12"/>
        <v>45871</v>
      </c>
      <c r="Y516" s="18">
        <f t="shared" si="13"/>
        <v>45871</v>
      </c>
      <c r="Z516" t="str">
        <f t="array" ref="Z516">_xlfn.XLOOKUP(INT(X516),INT($AE$2:$AE$1000),$AG$2:$AG$1000,"")</f>
        <v/>
      </c>
      <c r="AE516" s="18" t="e">
        <f t="shared" si="14"/>
        <v>#VALUE!</v>
      </c>
    </row>
    <row r="517" spans="24:32">
      <c r="X517" s="18">
        <f t="shared" si="12"/>
        <v>45871</v>
      </c>
      <c r="Y517" s="18">
        <f t="shared" si="13"/>
        <v>45871</v>
      </c>
      <c r="Z517" t="str">
        <f t="array" ref="Z517">_xlfn.XLOOKUP(INT(X517),INT($AE$2:$AE$1000),$AG$2:$AG$1000,"")</f>
        <v/>
      </c>
      <c r="AE517" s="18" t="e">
        <f t="shared" si="14"/>
        <v>#VALUE!</v>
      </c>
    </row>
    <row r="518" spans="24:32">
      <c r="X518" s="18">
        <f t="shared" si="12"/>
        <v>45871</v>
      </c>
      <c r="Y518" s="18">
        <f t="shared" si="13"/>
        <v>45871</v>
      </c>
      <c r="Z518" t="str">
        <f t="array" ref="Z518">_xlfn.XLOOKUP(INT(X518),INT($AE$2:$AE$1000),$AG$2:$AG$1000,"")</f>
        <v/>
      </c>
      <c r="AE518" s="18" t="e">
        <f t="shared" si="14"/>
        <v>#VALUE!</v>
      </c>
    </row>
    <row r="519" spans="24:32">
      <c r="X519" s="18">
        <f t="shared" si="12"/>
        <v>45871</v>
      </c>
      <c r="Y519" s="18">
        <f t="shared" si="13"/>
        <v>45871</v>
      </c>
      <c r="Z519" t="str">
        <f t="array" ref="Z519">_xlfn.XLOOKUP(INT(X519),INT($AE$2:$AE$1000),$AG$2:$AG$1000,"")</f>
        <v/>
      </c>
      <c r="AE519" s="18" t="e">
        <f t="shared" si="14"/>
        <v>#VALUE!</v>
      </c>
    </row>
    <row r="520" spans="24:32">
      <c r="X520" s="18">
        <f t="shared" si="12"/>
        <v>45871</v>
      </c>
      <c r="Y520" s="18">
        <f t="shared" si="13"/>
        <v>45871</v>
      </c>
      <c r="Z520" t="str">
        <f t="array" ref="Z520">_xlfn.XLOOKUP(INT(X520),INT($AE$2:$AE$1000),$AG$2:$AG$1000,"")</f>
        <v/>
      </c>
      <c r="AE520" s="18" t="e">
        <f t="shared" si="14"/>
        <v>#VALUE!</v>
      </c>
    </row>
    <row r="521" spans="24:32">
      <c r="X521" s="18">
        <f t="shared" si="12"/>
        <v>45871</v>
      </c>
      <c r="Y521" s="18">
        <f t="shared" si="13"/>
        <v>45871</v>
      </c>
      <c r="Z521" t="str">
        <f t="array" ref="Z521">_xlfn.XLOOKUP(INT(X521),INT($AE$2:$AE$1000),$AG$2:$AG$1000,"")</f>
        <v/>
      </c>
      <c r="AE521" s="18" t="e">
        <f t="shared" si="14"/>
        <v>#VALUE!</v>
      </c>
    </row>
    <row r="522" spans="24:32">
      <c r="X522" s="18">
        <f t="shared" si="12"/>
        <v>45871</v>
      </c>
      <c r="Y522" s="18">
        <f t="shared" si="13"/>
        <v>45871</v>
      </c>
      <c r="Z522" t="str">
        <f t="array" ref="Z522">_xlfn.XLOOKUP(INT(X522),INT($AE$2:$AE$1000),$AG$2:$AG$1000,"")</f>
        <v/>
      </c>
      <c r="AE522" s="18" t="e">
        <f t="shared" si="14"/>
        <v>#VALUE!</v>
      </c>
    </row>
    <row r="523" spans="24:32">
      <c r="X523" s="18">
        <f t="shared" si="12"/>
        <v>45871</v>
      </c>
      <c r="Y523" s="18">
        <f t="shared" si="13"/>
        <v>45871</v>
      </c>
      <c r="Z523" t="str">
        <f t="array" ref="Z523">_xlfn.XLOOKUP(INT(X523),INT($AE$2:$AE$1000),$AG$2:$AG$1000,"")</f>
        <v/>
      </c>
      <c r="AE523" s="18" t="e">
        <f t="shared" si="14"/>
        <v>#VALUE!</v>
      </c>
    </row>
    <row r="524" spans="24:32">
      <c r="X524" s="18">
        <f t="shared" si="12"/>
        <v>45871</v>
      </c>
      <c r="Y524" s="18">
        <f t="shared" si="13"/>
        <v>45871</v>
      </c>
      <c r="Z524" t="str">
        <f t="array" ref="Z524">_xlfn.XLOOKUP(INT(X524),INT($AE$2:$AE$1000),$AG$2:$AG$1000,"")</f>
        <v/>
      </c>
      <c r="AE524" s="18" t="e">
        <f t="shared" si="14"/>
        <v>#VALUE!</v>
      </c>
    </row>
    <row r="525" spans="24:32">
      <c r="X525" s="18">
        <f t="shared" si="12"/>
        <v>45871</v>
      </c>
      <c r="Y525" s="18">
        <f t="shared" si="13"/>
        <v>45871</v>
      </c>
      <c r="Z525" t="str">
        <f t="array" ref="Z525">_xlfn.XLOOKUP(INT(X525),INT($AE$2:$AE$1000),$AG$2:$AG$1000,"")</f>
        <v/>
      </c>
      <c r="AE525" s="18" t="e">
        <f t="shared" si="14"/>
        <v>#VALUE!</v>
      </c>
    </row>
    <row r="526" spans="24:32">
      <c r="X526" s="18">
        <f t="shared" si="12"/>
        <v>45871</v>
      </c>
      <c r="Y526" s="18">
        <f t="shared" si="13"/>
        <v>45871</v>
      </c>
      <c r="Z526" t="str">
        <f t="array" ref="Z526">_xlfn.XLOOKUP(INT(X526),INT($AE$2:$AE$1000),$AG$2:$AG$1000,"")</f>
        <v/>
      </c>
      <c r="AE526" s="18" t="e">
        <f t="shared" si="14"/>
        <v>#VALUE!</v>
      </c>
    </row>
    <row r="527" spans="24:32">
      <c r="X527" s="18">
        <f t="shared" si="12"/>
        <v>45871</v>
      </c>
      <c r="Y527" s="18">
        <f t="shared" si="13"/>
        <v>45871</v>
      </c>
      <c r="Z527" t="str">
        <f t="array" ref="Z527">_xlfn.XLOOKUP(INT(X527),INT($AE$2:$AE$1000),$AG$2:$AG$1000,"")</f>
        <v/>
      </c>
      <c r="AE527" s="18" t="e">
        <f t="shared" si="14"/>
        <v>#VALUE!</v>
      </c>
    </row>
    <row r="528" spans="24:32">
      <c r="X528" s="18">
        <f t="shared" si="12"/>
        <v>45871</v>
      </c>
      <c r="Y528" s="18">
        <f t="shared" si="13"/>
        <v>45871</v>
      </c>
      <c r="Z528" t="str">
        <f t="array" ref="Z528">_xlfn.XLOOKUP(INT(X528),INT($AE$2:$AE$1000),$AG$2:$AG$1000,"")</f>
        <v/>
      </c>
      <c r="AE528" s="18" t="e">
        <f t="shared" si="14"/>
        <v>#VALUE!</v>
      </c>
    </row>
    <row r="529" spans="24:32">
      <c r="X529" s="18">
        <f t="shared" si="12"/>
        <v>45871</v>
      </c>
      <c r="Y529" s="18">
        <f t="shared" si="13"/>
        <v>45871</v>
      </c>
      <c r="Z529" t="str">
        <f t="array" ref="Z529">_xlfn.XLOOKUP(INT(X529),INT($AE$2:$AE$1000),$AG$2:$AG$1000,"")</f>
        <v/>
      </c>
      <c r="AE529" s="18" t="e">
        <f t="shared" si="14"/>
        <v>#VALUE!</v>
      </c>
      <c r="AF529" s="18"/>
    </row>
    <row r="530" spans="24:32">
      <c r="X530" s="18">
        <f t="shared" si="12"/>
        <v>45871</v>
      </c>
      <c r="Y530" s="18">
        <f t="shared" si="13"/>
        <v>45871</v>
      </c>
      <c r="Z530" t="str">
        <f t="array" ref="Z530">_xlfn.XLOOKUP(INT(X530),INT($AE$2:$AE$1000),$AG$2:$AG$1000,"")</f>
        <v/>
      </c>
      <c r="AE530" s="18" t="e">
        <f t="shared" si="14"/>
        <v>#VALUE!</v>
      </c>
      <c r="AF530" s="18"/>
    </row>
    <row r="531" spans="24:32">
      <c r="X531" s="18">
        <f t="shared" si="12"/>
        <v>45871</v>
      </c>
      <c r="Y531" s="18">
        <f t="shared" si="13"/>
        <v>45871</v>
      </c>
      <c r="Z531" t="str">
        <f t="array" ref="Z531">_xlfn.XLOOKUP(INT(X531),INT($AE$2:$AE$1000),$AG$2:$AG$1000,"")</f>
        <v/>
      </c>
      <c r="AE531" s="18" t="e">
        <f t="shared" si="14"/>
        <v>#VALUE!</v>
      </c>
      <c r="AF531" s="18"/>
    </row>
    <row r="532" spans="24:32">
      <c r="X532" s="18">
        <f t="shared" si="12"/>
        <v>45871</v>
      </c>
      <c r="Y532" s="18">
        <f t="shared" si="13"/>
        <v>45871</v>
      </c>
      <c r="Z532" t="str">
        <f t="array" ref="Z532">_xlfn.XLOOKUP(INT(X532),INT($AE$2:$AE$1000),$AG$2:$AG$1000,"")</f>
        <v/>
      </c>
      <c r="AE532" s="18" t="e">
        <f t="shared" si="14"/>
        <v>#VALUE!</v>
      </c>
      <c r="AF532" s="18"/>
    </row>
    <row r="533" spans="24:32">
      <c r="X533" s="18">
        <f t="shared" si="12"/>
        <v>45871</v>
      </c>
      <c r="Y533" s="18">
        <f t="shared" si="13"/>
        <v>45871</v>
      </c>
      <c r="Z533" t="str">
        <f t="array" ref="Z533">_xlfn.XLOOKUP(INT(X533),INT($AE$2:$AE$1000),$AG$2:$AG$1000,"")</f>
        <v/>
      </c>
      <c r="AE533" s="18" t="e">
        <f t="shared" si="14"/>
        <v>#VALUE!</v>
      </c>
      <c r="AF533" s="18"/>
    </row>
    <row r="534" spans="24:32">
      <c r="X534" s="18">
        <f t="shared" si="12"/>
        <v>45871</v>
      </c>
      <c r="Y534" s="18">
        <f t="shared" si="13"/>
        <v>45871</v>
      </c>
      <c r="Z534" t="str">
        <f t="array" ref="Z534">_xlfn.XLOOKUP(INT(X534),INT($AE$2:$AE$1000),$AG$2:$AG$1000,"")</f>
        <v/>
      </c>
      <c r="AE534" s="18" t="e">
        <f t="shared" si="14"/>
        <v>#VALUE!</v>
      </c>
      <c r="AF534" s="18"/>
    </row>
    <row r="535" spans="24:32">
      <c r="X535" s="18">
        <f t="shared" si="12"/>
        <v>45871</v>
      </c>
      <c r="Y535" s="18">
        <f t="shared" si="13"/>
        <v>45871</v>
      </c>
      <c r="Z535" t="str">
        <f t="array" ref="Z535">_xlfn.XLOOKUP(INT(X535),INT($AE$2:$AE$1000),$AG$2:$AG$1000,"")</f>
        <v/>
      </c>
      <c r="AE535" s="18" t="e">
        <f t="shared" si="14"/>
        <v>#VALUE!</v>
      </c>
      <c r="AF535" s="18"/>
    </row>
    <row r="536" spans="24:32">
      <c r="X536" s="18">
        <f t="shared" si="12"/>
        <v>45871</v>
      </c>
      <c r="Y536" s="18">
        <f t="shared" si="13"/>
        <v>45871</v>
      </c>
      <c r="Z536" t="str">
        <f t="array" ref="Z536">_xlfn.XLOOKUP(INT(X536),INT($AE$2:$AE$1000),$AG$2:$AG$1000,"")</f>
        <v/>
      </c>
      <c r="AE536" s="18" t="e">
        <f t="shared" si="14"/>
        <v>#VALUE!</v>
      </c>
      <c r="AF536" s="18"/>
    </row>
    <row r="537" spans="24:32">
      <c r="X537" s="18">
        <f t="shared" si="12"/>
        <v>45871</v>
      </c>
      <c r="Y537" s="18">
        <f t="shared" si="13"/>
        <v>45871</v>
      </c>
      <c r="Z537" t="str">
        <f t="array" ref="Z537">_xlfn.XLOOKUP(INT(X537),INT($AE$2:$AE$1000),$AG$2:$AG$1000,"")</f>
        <v/>
      </c>
      <c r="AE537" s="18" t="e">
        <f t="shared" si="14"/>
        <v>#VALUE!</v>
      </c>
    </row>
    <row r="538" spans="24:32">
      <c r="X538" s="18">
        <f t="shared" si="12"/>
        <v>45871</v>
      </c>
      <c r="Y538" s="18">
        <f t="shared" si="13"/>
        <v>45871</v>
      </c>
      <c r="Z538" t="str">
        <f t="array" ref="Z538">_xlfn.XLOOKUP(INT(X538),INT($AE$2:$AE$1000),$AG$2:$AG$1000,"")</f>
        <v/>
      </c>
      <c r="AE538" s="18" t="e">
        <f t="shared" si="14"/>
        <v>#VALUE!</v>
      </c>
    </row>
    <row r="539" spans="24:32">
      <c r="X539" s="18">
        <f t="shared" si="12"/>
        <v>45871</v>
      </c>
      <c r="Y539" s="18">
        <f t="shared" si="13"/>
        <v>45871</v>
      </c>
      <c r="Z539" t="str">
        <f t="array" ref="Z539">_xlfn.XLOOKUP(INT(X539),INT($AE$2:$AE$1000),$AG$2:$AG$1000,"")</f>
        <v/>
      </c>
      <c r="AE539" s="18" t="e">
        <f t="shared" si="14"/>
        <v>#VALUE!</v>
      </c>
    </row>
    <row r="540" spans="24:32">
      <c r="X540" s="18">
        <f t="shared" si="12"/>
        <v>45871</v>
      </c>
      <c r="Y540" s="18">
        <f t="shared" si="13"/>
        <v>45871</v>
      </c>
      <c r="Z540" t="str">
        <f t="array" ref="Z540">_xlfn.XLOOKUP(INT(X540),INT($AE$2:$AE$1000),$AG$2:$AG$1000,"")</f>
        <v/>
      </c>
      <c r="AE540" s="18" t="e">
        <f t="shared" si="14"/>
        <v>#VALUE!</v>
      </c>
    </row>
    <row r="541" spans="24:32">
      <c r="X541" s="18">
        <f t="shared" si="12"/>
        <v>45871</v>
      </c>
      <c r="Y541" s="18">
        <f t="shared" si="13"/>
        <v>45871</v>
      </c>
      <c r="Z541" t="str">
        <f t="array" ref="Z541">_xlfn.XLOOKUP(INT(X541),INT($AE$2:$AE$1000),$AG$2:$AG$1000,"")</f>
        <v/>
      </c>
      <c r="AE541" s="18" t="e">
        <f t="shared" si="14"/>
        <v>#VALUE!</v>
      </c>
    </row>
    <row r="542" spans="24:32">
      <c r="X542" s="18">
        <f t="shared" si="12"/>
        <v>45871</v>
      </c>
      <c r="Y542" s="18">
        <f t="shared" si="13"/>
        <v>45871</v>
      </c>
      <c r="Z542" t="str">
        <f t="array" ref="Z542">_xlfn.XLOOKUP(INT(X542),INT($AE$2:$AE$1000),$AG$2:$AG$1000,"")</f>
        <v/>
      </c>
      <c r="AE542" s="18" t="e">
        <f t="shared" si="14"/>
        <v>#VALUE!</v>
      </c>
    </row>
    <row r="543" spans="24:32">
      <c r="X543" s="18">
        <f t="shared" si="12"/>
        <v>45871</v>
      </c>
      <c r="Y543" s="18">
        <f t="shared" si="13"/>
        <v>45871</v>
      </c>
      <c r="Z543" t="str">
        <f t="array" ref="Z543">_xlfn.XLOOKUP(INT(X543),INT($AE$2:$AE$1000),$AG$2:$AG$1000,"")</f>
        <v/>
      </c>
      <c r="AE543" s="18" t="e">
        <f t="shared" si="14"/>
        <v>#VALUE!</v>
      </c>
    </row>
    <row r="544" spans="24:32">
      <c r="X544" s="18">
        <f t="shared" si="12"/>
        <v>45871</v>
      </c>
      <c r="Y544" s="18">
        <f t="shared" si="13"/>
        <v>45871</v>
      </c>
      <c r="Z544" t="str">
        <f t="array" ref="Z544">_xlfn.XLOOKUP(INT(X544),INT($AE$2:$AE$1000),$AG$2:$AG$1000,"")</f>
        <v/>
      </c>
      <c r="AE544" s="18" t="e">
        <f t="shared" si="14"/>
        <v>#VALUE!</v>
      </c>
    </row>
    <row r="545" spans="24:32">
      <c r="X545" s="18">
        <f t="shared" si="12"/>
        <v>45871</v>
      </c>
      <c r="Y545" s="18">
        <f t="shared" si="13"/>
        <v>45871</v>
      </c>
      <c r="Z545" t="str">
        <f t="array" ref="Z545">_xlfn.XLOOKUP(INT(X545),INT($AE$2:$AE$1000),$AG$2:$AG$1000,"")</f>
        <v/>
      </c>
      <c r="AE545" s="18" t="e">
        <f t="shared" si="14"/>
        <v>#VALUE!</v>
      </c>
    </row>
    <row r="546" spans="24:32">
      <c r="X546" s="18">
        <f t="shared" si="12"/>
        <v>45871</v>
      </c>
      <c r="Y546" s="18">
        <f t="shared" si="13"/>
        <v>45871</v>
      </c>
      <c r="Z546" t="str">
        <f t="array" ref="Z546">_xlfn.XLOOKUP(INT(X546),INT($AE$2:$AE$1000),$AG$2:$AG$1000,"")</f>
        <v/>
      </c>
      <c r="AE546" s="18" t="e">
        <f t="shared" si="14"/>
        <v>#VALUE!</v>
      </c>
    </row>
    <row r="547" spans="24:32">
      <c r="X547" s="18">
        <f t="shared" si="12"/>
        <v>45871</v>
      </c>
      <c r="Y547" s="18">
        <f t="shared" si="13"/>
        <v>45871</v>
      </c>
      <c r="Z547" t="str">
        <f t="array" ref="Z547">_xlfn.XLOOKUP(INT(X547),INT($AE$2:$AE$1000),$AG$2:$AG$1000,"")</f>
        <v/>
      </c>
      <c r="AE547" s="18" t="e">
        <f t="shared" si="14"/>
        <v>#VALUE!</v>
      </c>
    </row>
    <row r="548" spans="24:32">
      <c r="X548" s="18">
        <f t="shared" si="12"/>
        <v>45871</v>
      </c>
      <c r="Y548" s="18">
        <f t="shared" si="13"/>
        <v>45871</v>
      </c>
      <c r="Z548" t="str">
        <f t="array" ref="Z548">_xlfn.XLOOKUP(INT(X548),INT($AE$2:$AE$1000),$AG$2:$AG$1000,"")</f>
        <v/>
      </c>
      <c r="AE548" s="18" t="e">
        <f t="shared" si="14"/>
        <v>#VALUE!</v>
      </c>
      <c r="AF548" s="18"/>
    </row>
    <row r="549" spans="24:32">
      <c r="X549" s="18">
        <f t="shared" si="12"/>
        <v>45871</v>
      </c>
      <c r="Y549" s="18">
        <f t="shared" si="13"/>
        <v>45871</v>
      </c>
      <c r="Z549" t="str">
        <f t="array" ref="Z549">_xlfn.XLOOKUP(INT(X549),INT($AE$2:$AE$1000),$AG$2:$AG$1000,"")</f>
        <v/>
      </c>
      <c r="AE549" s="18" t="e">
        <f t="shared" si="14"/>
        <v>#VALUE!</v>
      </c>
      <c r="AF549" s="18"/>
    </row>
    <row r="550" spans="24:32">
      <c r="X550" s="18">
        <f t="shared" si="12"/>
        <v>45871</v>
      </c>
      <c r="Y550" s="18">
        <f t="shared" si="13"/>
        <v>45871</v>
      </c>
      <c r="Z550" t="str">
        <f t="array" ref="Z550">_xlfn.XLOOKUP(INT(X550),INT($AE$2:$AE$1000),$AG$2:$AG$1000,"")</f>
        <v/>
      </c>
      <c r="AE550" s="18" t="e">
        <f t="shared" si="14"/>
        <v>#VALUE!</v>
      </c>
      <c r="AF550" s="18"/>
    </row>
    <row r="551" spans="24:32">
      <c r="X551" s="18">
        <f t="shared" si="12"/>
        <v>45871</v>
      </c>
      <c r="Y551" s="18">
        <f t="shared" si="13"/>
        <v>45871</v>
      </c>
      <c r="Z551" t="str">
        <f t="array" ref="Z551">_xlfn.XLOOKUP(INT(X551),INT($AE$2:$AE$1000),$AG$2:$AG$1000,"")</f>
        <v/>
      </c>
      <c r="AE551" s="18" t="e">
        <f t="shared" si="14"/>
        <v>#VALUE!</v>
      </c>
      <c r="AF551" s="18"/>
    </row>
    <row r="552" spans="24:32">
      <c r="X552" s="18">
        <f t="shared" si="12"/>
        <v>45871</v>
      </c>
      <c r="Y552" s="18">
        <f t="shared" si="13"/>
        <v>45871</v>
      </c>
      <c r="Z552" t="str">
        <f t="array" ref="Z552">_xlfn.XLOOKUP(INT(X552),INT($AE$2:$AE$1000),$AG$2:$AG$1000,"")</f>
        <v/>
      </c>
      <c r="AE552" s="18" t="e">
        <f t="shared" si="14"/>
        <v>#VALUE!</v>
      </c>
      <c r="AF552" s="18"/>
    </row>
    <row r="553" spans="24:32">
      <c r="X553" s="18">
        <f t="shared" si="12"/>
        <v>45871</v>
      </c>
      <c r="Y553" s="18">
        <f t="shared" si="13"/>
        <v>45871</v>
      </c>
      <c r="Z553" t="str">
        <f t="array" ref="Z553">_xlfn.XLOOKUP(INT(X553),INT($AE$2:$AE$1000),$AG$2:$AG$1000,"")</f>
        <v/>
      </c>
      <c r="AE553" s="18" t="e">
        <f t="shared" si="14"/>
        <v>#VALUE!</v>
      </c>
      <c r="AF553" s="18"/>
    </row>
    <row r="554" spans="24:32">
      <c r="X554" s="18">
        <f t="shared" si="12"/>
        <v>45871</v>
      </c>
      <c r="Y554" s="18">
        <f t="shared" si="13"/>
        <v>45871</v>
      </c>
      <c r="Z554" t="str">
        <f t="array" ref="Z554">_xlfn.XLOOKUP(INT(X554),INT($AE$2:$AE$1000),$AG$2:$AG$1000,"")</f>
        <v/>
      </c>
      <c r="AE554" s="18" t="e">
        <f t="shared" si="14"/>
        <v>#VALUE!</v>
      </c>
      <c r="AF554" s="18"/>
    </row>
    <row r="555" spans="24:32">
      <c r="X555" s="18">
        <f t="shared" si="12"/>
        <v>45871</v>
      </c>
      <c r="Y555" s="18">
        <f t="shared" si="13"/>
        <v>45871</v>
      </c>
      <c r="Z555" t="str">
        <f t="array" ref="Z555">_xlfn.XLOOKUP(INT(X555),INT($AE$2:$AE$1000),$AG$2:$AG$1000,"")</f>
        <v/>
      </c>
      <c r="AE555" s="18" t="e">
        <f t="shared" si="14"/>
        <v>#VALUE!</v>
      </c>
      <c r="AF555" s="18"/>
    </row>
    <row r="556" spans="24:32">
      <c r="X556" s="18">
        <f t="shared" si="12"/>
        <v>45871</v>
      </c>
      <c r="Y556" s="18">
        <f t="shared" si="13"/>
        <v>45871</v>
      </c>
      <c r="Z556" t="str">
        <f t="array" ref="Z556">_xlfn.XLOOKUP(INT(X556),INT($AE$2:$AE$1000),$AG$2:$AG$1000,"")</f>
        <v/>
      </c>
      <c r="AE556" s="18" t="e">
        <f t="shared" si="14"/>
        <v>#VALUE!</v>
      </c>
      <c r="AF556" s="18"/>
    </row>
    <row r="557" spans="24:32">
      <c r="X557" s="18">
        <f t="shared" si="12"/>
        <v>45871</v>
      </c>
      <c r="Y557" s="18">
        <f t="shared" si="13"/>
        <v>45871</v>
      </c>
      <c r="Z557" t="str">
        <f t="array" ref="Z557">_xlfn.XLOOKUP(INT(X557),INT($AE$2:$AE$1000),$AG$2:$AG$1000,"")</f>
        <v/>
      </c>
      <c r="AE557" s="18" t="e">
        <f t="shared" si="14"/>
        <v>#VALUE!</v>
      </c>
    </row>
    <row r="558" spans="24:32">
      <c r="X558" s="18">
        <f t="shared" si="12"/>
        <v>45871</v>
      </c>
      <c r="Y558" s="18">
        <f t="shared" si="13"/>
        <v>45871</v>
      </c>
      <c r="Z558" t="str">
        <f t="array" ref="Z558">_xlfn.XLOOKUP(INT(X558),INT($AE$2:$AE$1000),$AG$2:$AG$1000,"")</f>
        <v/>
      </c>
      <c r="AE558" s="18" t="e">
        <f t="shared" si="14"/>
        <v>#VALUE!</v>
      </c>
    </row>
    <row r="559" spans="24:32">
      <c r="X559" s="18">
        <f t="shared" si="12"/>
        <v>45871</v>
      </c>
      <c r="Y559" s="18">
        <f t="shared" si="13"/>
        <v>45871</v>
      </c>
      <c r="Z559" t="str">
        <f t="array" ref="Z559">_xlfn.XLOOKUP(INT(X559),INT($AE$2:$AE$1000),$AG$2:$AG$1000,"")</f>
        <v/>
      </c>
      <c r="AE559" s="18" t="e">
        <f t="shared" si="14"/>
        <v>#VALUE!</v>
      </c>
    </row>
    <row r="560" spans="24:32">
      <c r="X560" s="18">
        <f t="shared" si="12"/>
        <v>45871</v>
      </c>
      <c r="Y560" s="18">
        <f t="shared" si="13"/>
        <v>45871</v>
      </c>
      <c r="Z560" t="str">
        <f t="array" ref="Z560">_xlfn.XLOOKUP(INT(X560),INT($AE$2:$AE$1000),$AG$2:$AG$1000,"")</f>
        <v/>
      </c>
      <c r="AE560" s="18" t="e">
        <f t="shared" si="14"/>
        <v>#VALUE!</v>
      </c>
    </row>
    <row r="561" spans="24:32">
      <c r="X561" s="18">
        <f t="shared" si="12"/>
        <v>45871</v>
      </c>
      <c r="Y561" s="18">
        <f t="shared" si="13"/>
        <v>45871</v>
      </c>
      <c r="Z561" t="str">
        <f t="array" ref="Z561">_xlfn.XLOOKUP(INT(X561),INT($AE$2:$AE$1000),$AG$2:$AG$1000,"")</f>
        <v/>
      </c>
      <c r="AE561" s="18" t="e">
        <f t="shared" si="14"/>
        <v>#VALUE!</v>
      </c>
    </row>
    <row r="562" spans="24:32">
      <c r="X562" s="18">
        <f t="shared" si="12"/>
        <v>45871</v>
      </c>
      <c r="Y562" s="18">
        <f t="shared" si="13"/>
        <v>45871</v>
      </c>
      <c r="Z562" t="str">
        <f t="array" ref="Z562">_xlfn.XLOOKUP(INT(X562),INT($AE$2:$AE$1000),$AG$2:$AG$1000,"")</f>
        <v/>
      </c>
      <c r="AE562" s="18" t="e">
        <f t="shared" si="14"/>
        <v>#VALUE!</v>
      </c>
    </row>
    <row r="563" spans="24:32">
      <c r="X563" s="18">
        <f t="shared" si="12"/>
        <v>45871</v>
      </c>
      <c r="Y563" s="18">
        <f t="shared" si="13"/>
        <v>45871</v>
      </c>
      <c r="Z563" t="str">
        <f t="array" ref="Z563">_xlfn.XLOOKUP(INT(X563),INT($AE$2:$AE$1000),$AG$2:$AG$1000,"")</f>
        <v/>
      </c>
      <c r="AE563" s="18" t="e">
        <f t="shared" si="14"/>
        <v>#VALUE!</v>
      </c>
    </row>
    <row r="564" spans="24:32">
      <c r="X564" s="18">
        <f t="shared" si="12"/>
        <v>45871</v>
      </c>
      <c r="Y564" s="18">
        <f t="shared" si="13"/>
        <v>45871</v>
      </c>
      <c r="Z564" t="str">
        <f t="array" ref="Z564">_xlfn.XLOOKUP(INT(X564),INT($AE$2:$AE$1000),$AG$2:$AG$1000,"")</f>
        <v/>
      </c>
      <c r="AE564" s="18" t="e">
        <f t="shared" si="14"/>
        <v>#VALUE!</v>
      </c>
    </row>
    <row r="565" spans="24:32">
      <c r="X565" s="18">
        <f t="shared" si="12"/>
        <v>45871</v>
      </c>
      <c r="Y565" s="18">
        <f t="shared" si="13"/>
        <v>45871</v>
      </c>
      <c r="Z565" t="str">
        <f t="array" ref="Z565">_xlfn.XLOOKUP(INT(X565),INT($AE$2:$AE$1000),$AG$2:$AG$1000,"")</f>
        <v/>
      </c>
      <c r="AE565" s="18" t="e">
        <f t="shared" si="14"/>
        <v>#VALUE!</v>
      </c>
    </row>
    <row r="566" spans="24:32">
      <c r="X566" s="18">
        <f t="shared" si="12"/>
        <v>45871</v>
      </c>
      <c r="Y566" s="18">
        <f t="shared" si="13"/>
        <v>45871</v>
      </c>
      <c r="Z566" t="str">
        <f t="array" ref="Z566">_xlfn.XLOOKUP(INT(X566),INT($AE$2:$AE$1000),$AG$2:$AG$1000,"")</f>
        <v/>
      </c>
      <c r="AE566" s="18" t="e">
        <f t="shared" si="14"/>
        <v>#VALUE!</v>
      </c>
    </row>
    <row r="567" spans="24:32">
      <c r="X567" s="18">
        <f t="shared" si="12"/>
        <v>45871</v>
      </c>
      <c r="Y567" s="18">
        <f t="shared" si="13"/>
        <v>45871</v>
      </c>
      <c r="Z567" t="str">
        <f t="array" ref="Z567">_xlfn.XLOOKUP(INT(X567),INT($AE$2:$AE$1000),$AG$2:$AG$1000,"")</f>
        <v/>
      </c>
      <c r="AE567" s="18" t="e">
        <f t="shared" si="14"/>
        <v>#VALUE!</v>
      </c>
    </row>
    <row r="568" spans="24:32">
      <c r="X568" s="18">
        <f t="shared" si="12"/>
        <v>45871</v>
      </c>
      <c r="Y568" s="18">
        <f t="shared" si="13"/>
        <v>45871</v>
      </c>
      <c r="Z568" t="str">
        <f t="array" ref="Z568">_xlfn.XLOOKUP(INT(X568),INT($AE$2:$AE$1000),$AG$2:$AG$1000,"")</f>
        <v/>
      </c>
      <c r="AE568" s="18" t="e">
        <f t="shared" si="14"/>
        <v>#VALUE!</v>
      </c>
    </row>
    <row r="569" spans="24:32">
      <c r="X569" s="18">
        <f t="shared" si="12"/>
        <v>45871</v>
      </c>
      <c r="Y569" s="18">
        <f t="shared" si="13"/>
        <v>45871</v>
      </c>
      <c r="Z569" t="str">
        <f t="array" ref="Z569">_xlfn.XLOOKUP(INT(X569),INT($AE$2:$AE$1000),$AG$2:$AG$1000,"")</f>
        <v/>
      </c>
      <c r="AE569" s="18" t="e">
        <f t="shared" si="14"/>
        <v>#VALUE!</v>
      </c>
    </row>
    <row r="570" spans="24:32">
      <c r="X570" s="18">
        <f t="shared" si="12"/>
        <v>45871</v>
      </c>
      <c r="Y570" s="18">
        <f t="shared" si="13"/>
        <v>45871</v>
      </c>
      <c r="Z570" t="str">
        <f t="array" ref="Z570">_xlfn.XLOOKUP(INT(X570),INT($AE$2:$AE$1000),$AG$2:$AG$1000,"")</f>
        <v/>
      </c>
      <c r="AE570" s="18" t="e">
        <f t="shared" si="14"/>
        <v>#VALUE!</v>
      </c>
      <c r="AF570" s="18"/>
    </row>
    <row r="571" spans="24:32">
      <c r="X571" s="18">
        <f t="shared" si="12"/>
        <v>45871</v>
      </c>
      <c r="Y571" s="18">
        <f t="shared" si="13"/>
        <v>45871</v>
      </c>
      <c r="Z571" t="str">
        <f t="array" ref="Z571">_xlfn.XLOOKUP(INT(X571),INT($AE$2:$AE$1000),$AG$2:$AG$1000,"")</f>
        <v/>
      </c>
      <c r="AE571" s="18" t="e">
        <f t="shared" si="14"/>
        <v>#VALUE!</v>
      </c>
      <c r="AF571" s="18"/>
    </row>
    <row r="572" spans="24:32">
      <c r="X572" s="18">
        <f t="shared" si="12"/>
        <v>45871</v>
      </c>
      <c r="Y572" s="18">
        <f t="shared" si="13"/>
        <v>45871</v>
      </c>
      <c r="Z572" t="str">
        <f t="array" ref="Z572">_xlfn.XLOOKUP(INT(X572),INT($AE$2:$AE$1000),$AG$2:$AG$1000,"")</f>
        <v/>
      </c>
      <c r="AE572" s="18" t="e">
        <f t="shared" si="14"/>
        <v>#VALUE!</v>
      </c>
      <c r="AF572" s="18"/>
    </row>
    <row r="573" spans="24:32">
      <c r="X573" s="18">
        <f t="shared" si="12"/>
        <v>45871</v>
      </c>
      <c r="Y573" s="18">
        <f t="shared" si="13"/>
        <v>45871</v>
      </c>
      <c r="Z573" t="str">
        <f t="array" ref="Z573">_xlfn.XLOOKUP(INT(X573),INT($AE$2:$AE$1000),$AG$2:$AG$1000,"")</f>
        <v/>
      </c>
      <c r="AE573" s="18" t="e">
        <f t="shared" si="14"/>
        <v>#VALUE!</v>
      </c>
      <c r="AF573" s="18"/>
    </row>
    <row r="574" spans="24:32">
      <c r="X574" s="18">
        <f t="shared" si="12"/>
        <v>45871</v>
      </c>
      <c r="Y574" s="18">
        <f t="shared" si="13"/>
        <v>45871</v>
      </c>
      <c r="Z574" t="str">
        <f t="array" ref="Z574">_xlfn.XLOOKUP(INT(X574),INT($AE$2:$AE$1000),$AG$2:$AG$1000,"")</f>
        <v/>
      </c>
      <c r="AE574" s="18" t="e">
        <f t="shared" si="14"/>
        <v>#VALUE!</v>
      </c>
      <c r="AF574" s="18"/>
    </row>
    <row r="575" spans="24:32">
      <c r="X575" s="18">
        <f t="shared" si="12"/>
        <v>45871</v>
      </c>
      <c r="Y575" s="18">
        <f t="shared" si="13"/>
        <v>45871</v>
      </c>
      <c r="Z575" t="str">
        <f t="array" ref="Z575">_xlfn.XLOOKUP(INT(X575),INT($AE$2:$AE$1000),$AG$2:$AG$1000,"")</f>
        <v/>
      </c>
      <c r="AE575" s="18" t="e">
        <f t="shared" si="14"/>
        <v>#VALUE!</v>
      </c>
      <c r="AF575" s="18"/>
    </row>
    <row r="576" spans="24:32">
      <c r="X576" s="18">
        <f t="shared" si="12"/>
        <v>45871</v>
      </c>
      <c r="Y576" s="18">
        <f t="shared" si="13"/>
        <v>45871</v>
      </c>
      <c r="Z576" t="str">
        <f t="array" ref="Z576">_xlfn.XLOOKUP(INT(X576),INT($AE$2:$AE$1000),$AG$2:$AG$1000,"")</f>
        <v/>
      </c>
      <c r="AE576" s="18" t="e">
        <f t="shared" si="14"/>
        <v>#VALUE!</v>
      </c>
      <c r="AF576" s="18"/>
    </row>
    <row r="577" spans="25:32">
      <c r="Y577" s="18">
        <f t="shared" si="13"/>
        <v>45871</v>
      </c>
      <c r="AE577" s="18" t="e">
        <f t="shared" si="14"/>
        <v>#VALUE!</v>
      </c>
      <c r="AF577" s="18"/>
    </row>
    <row r="578" spans="25:32">
      <c r="Y578" s="18">
        <f t="shared" ref="Y578:Y641" si="15">WORKDAY(DATE(2025,8,2),INT(P578/390))</f>
        <v>45871</v>
      </c>
      <c r="AE578" s="18" t="e">
        <f t="shared" ref="AE578:AE641" si="16">IF(ISNUMBER(AF578),DATE(YEAR(AF578),DAY(AF578),MONTH(AF578)),DATE(RIGHT(AF578,4),LEFT(AF578,2),MID(AF578,4,2)))</f>
        <v>#VALUE!</v>
      </c>
    </row>
    <row r="579" spans="25:32">
      <c r="Y579" s="18">
        <f t="shared" si="15"/>
        <v>45871</v>
      </c>
      <c r="AE579" s="18" t="e">
        <f t="shared" si="16"/>
        <v>#VALUE!</v>
      </c>
    </row>
    <row r="580" spans="25:32">
      <c r="Y580" s="18">
        <f t="shared" si="15"/>
        <v>45871</v>
      </c>
      <c r="AE580" s="18" t="e">
        <f t="shared" si="16"/>
        <v>#VALUE!</v>
      </c>
    </row>
    <row r="581" spans="25:32">
      <c r="Y581" s="18">
        <f t="shared" si="15"/>
        <v>45871</v>
      </c>
      <c r="AE581" s="18" t="e">
        <f t="shared" si="16"/>
        <v>#VALUE!</v>
      </c>
    </row>
    <row r="582" spans="25:32">
      <c r="Y582" s="18">
        <f t="shared" si="15"/>
        <v>45871</v>
      </c>
      <c r="AE582" s="18" t="e">
        <f t="shared" si="16"/>
        <v>#VALUE!</v>
      </c>
    </row>
    <row r="583" spans="25:32">
      <c r="Y583" s="18">
        <f t="shared" si="15"/>
        <v>45871</v>
      </c>
      <c r="AE583" s="18" t="e">
        <f t="shared" si="16"/>
        <v>#VALUE!</v>
      </c>
    </row>
    <row r="584" spans="25:32">
      <c r="Y584" s="18">
        <f t="shared" si="15"/>
        <v>45871</v>
      </c>
      <c r="AE584" s="18" t="e">
        <f t="shared" si="16"/>
        <v>#VALUE!</v>
      </c>
    </row>
    <row r="585" spans="25:32">
      <c r="Y585" s="18">
        <f t="shared" si="15"/>
        <v>45871</v>
      </c>
      <c r="AE585" s="18" t="e">
        <f t="shared" si="16"/>
        <v>#VALUE!</v>
      </c>
    </row>
    <row r="586" spans="25:32">
      <c r="Y586" s="18">
        <f t="shared" si="15"/>
        <v>45871</v>
      </c>
      <c r="AE586" s="18" t="e">
        <f t="shared" si="16"/>
        <v>#VALUE!</v>
      </c>
    </row>
    <row r="587" spans="25:32">
      <c r="Y587" s="18">
        <f t="shared" si="15"/>
        <v>45871</v>
      </c>
      <c r="AE587" s="18" t="e">
        <f t="shared" si="16"/>
        <v>#VALUE!</v>
      </c>
    </row>
    <row r="588" spans="25:32">
      <c r="Y588" s="18">
        <f t="shared" si="15"/>
        <v>45871</v>
      </c>
      <c r="AE588" s="18" t="e">
        <f t="shared" si="16"/>
        <v>#VALUE!</v>
      </c>
    </row>
    <row r="589" spans="25:32">
      <c r="Y589" s="18">
        <f t="shared" si="15"/>
        <v>45871</v>
      </c>
      <c r="AE589" s="18" t="e">
        <f t="shared" si="16"/>
        <v>#VALUE!</v>
      </c>
    </row>
    <row r="590" spans="25:32">
      <c r="Y590" s="18">
        <f t="shared" si="15"/>
        <v>45871</v>
      </c>
      <c r="AE590" s="18" t="e">
        <f t="shared" si="16"/>
        <v>#VALUE!</v>
      </c>
    </row>
    <row r="591" spans="25:32">
      <c r="Y591" s="18">
        <f t="shared" si="15"/>
        <v>45871</v>
      </c>
      <c r="AE591" s="18" t="e">
        <f t="shared" si="16"/>
        <v>#VALUE!</v>
      </c>
      <c r="AF591" s="18"/>
    </row>
    <row r="592" spans="25:32">
      <c r="Y592" s="18">
        <f t="shared" si="15"/>
        <v>45871</v>
      </c>
      <c r="AE592" s="18" t="e">
        <f t="shared" si="16"/>
        <v>#VALUE!</v>
      </c>
      <c r="AF592" s="18"/>
    </row>
    <row r="593" spans="25:32">
      <c r="Y593" s="18">
        <f t="shared" si="15"/>
        <v>45871</v>
      </c>
      <c r="AE593" s="18" t="e">
        <f t="shared" si="16"/>
        <v>#VALUE!</v>
      </c>
      <c r="AF593" s="18"/>
    </row>
    <row r="594" spans="25:32">
      <c r="Y594" s="18">
        <f t="shared" si="15"/>
        <v>45871</v>
      </c>
      <c r="AE594" s="18" t="e">
        <f t="shared" si="16"/>
        <v>#VALUE!</v>
      </c>
      <c r="AF594" s="18"/>
    </row>
    <row r="595" spans="25:32">
      <c r="Y595" s="18">
        <f t="shared" si="15"/>
        <v>45871</v>
      </c>
      <c r="AE595" s="18" t="e">
        <f t="shared" si="16"/>
        <v>#VALUE!</v>
      </c>
      <c r="AF595" s="18"/>
    </row>
    <row r="596" spans="25:32">
      <c r="Y596" s="18">
        <f t="shared" si="15"/>
        <v>45871</v>
      </c>
      <c r="AE596" s="18" t="e">
        <f t="shared" si="16"/>
        <v>#VALUE!</v>
      </c>
      <c r="AF596" s="18"/>
    </row>
    <row r="597" spans="25:32">
      <c r="Y597" s="18">
        <f t="shared" si="15"/>
        <v>45871</v>
      </c>
      <c r="AE597" s="18" t="e">
        <f t="shared" si="16"/>
        <v>#VALUE!</v>
      </c>
      <c r="AF597" s="18"/>
    </row>
    <row r="598" spans="25:32">
      <c r="Y598" s="18">
        <f t="shared" si="15"/>
        <v>45871</v>
      </c>
      <c r="AE598" s="18" t="e">
        <f t="shared" si="16"/>
        <v>#VALUE!</v>
      </c>
      <c r="AF598" s="18"/>
    </row>
    <row r="599" spans="25:32">
      <c r="Y599" s="18">
        <f t="shared" si="15"/>
        <v>45871</v>
      </c>
      <c r="AE599" s="18" t="e">
        <f t="shared" si="16"/>
        <v>#VALUE!</v>
      </c>
    </row>
    <row r="600" spans="25:32">
      <c r="Y600" s="18">
        <f t="shared" si="15"/>
        <v>45871</v>
      </c>
      <c r="AE600" s="18" t="e">
        <f t="shared" si="16"/>
        <v>#VALUE!</v>
      </c>
    </row>
    <row r="601" spans="25:32">
      <c r="Y601" s="18">
        <f t="shared" si="15"/>
        <v>45871</v>
      </c>
      <c r="AE601" s="18" t="e">
        <f t="shared" si="16"/>
        <v>#VALUE!</v>
      </c>
    </row>
    <row r="602" spans="25:32">
      <c r="Y602" s="18">
        <f t="shared" si="15"/>
        <v>45871</v>
      </c>
      <c r="AE602" s="18" t="e">
        <f t="shared" si="16"/>
        <v>#VALUE!</v>
      </c>
    </row>
    <row r="603" spans="25:32">
      <c r="Y603" s="18">
        <f t="shared" si="15"/>
        <v>45871</v>
      </c>
      <c r="AE603" s="18" t="e">
        <f t="shared" si="16"/>
        <v>#VALUE!</v>
      </c>
    </row>
    <row r="604" spans="25:32">
      <c r="Y604" s="18">
        <f t="shared" si="15"/>
        <v>45871</v>
      </c>
      <c r="AE604" s="18" t="e">
        <f t="shared" si="16"/>
        <v>#VALUE!</v>
      </c>
    </row>
    <row r="605" spans="25:32">
      <c r="Y605" s="18">
        <f t="shared" si="15"/>
        <v>45871</v>
      </c>
      <c r="AE605" s="18" t="e">
        <f t="shared" si="16"/>
        <v>#VALUE!</v>
      </c>
    </row>
    <row r="606" spans="25:32">
      <c r="Y606" s="18">
        <f t="shared" si="15"/>
        <v>45871</v>
      </c>
      <c r="AE606" s="18" t="e">
        <f t="shared" si="16"/>
        <v>#VALUE!</v>
      </c>
    </row>
    <row r="607" spans="25:32">
      <c r="Y607" s="18">
        <f t="shared" si="15"/>
        <v>45871</v>
      </c>
      <c r="AE607" s="18" t="e">
        <f t="shared" si="16"/>
        <v>#VALUE!</v>
      </c>
    </row>
    <row r="608" spans="25:32">
      <c r="Y608" s="18">
        <f t="shared" si="15"/>
        <v>45871</v>
      </c>
      <c r="AE608" s="18" t="e">
        <f t="shared" si="16"/>
        <v>#VALUE!</v>
      </c>
    </row>
    <row r="609" spans="25:32">
      <c r="Y609" s="18">
        <f t="shared" si="15"/>
        <v>45871</v>
      </c>
      <c r="AE609" s="18" t="e">
        <f t="shared" si="16"/>
        <v>#VALUE!</v>
      </c>
    </row>
    <row r="610" spans="25:32">
      <c r="Y610" s="18">
        <f t="shared" si="15"/>
        <v>45871</v>
      </c>
      <c r="AE610" s="18" t="e">
        <f t="shared" si="16"/>
        <v>#VALUE!</v>
      </c>
    </row>
    <row r="611" spans="25:32">
      <c r="Y611" s="18">
        <f t="shared" si="15"/>
        <v>45871</v>
      </c>
      <c r="AE611" s="18" t="e">
        <f t="shared" si="16"/>
        <v>#VALUE!</v>
      </c>
      <c r="AF611" s="18"/>
    </row>
    <row r="612" spans="25:32">
      <c r="Y612" s="18">
        <f t="shared" si="15"/>
        <v>45871</v>
      </c>
      <c r="AE612" s="18" t="e">
        <f t="shared" si="16"/>
        <v>#VALUE!</v>
      </c>
      <c r="AF612" s="18"/>
    </row>
    <row r="613" spans="25:32">
      <c r="Y613" s="18">
        <f t="shared" si="15"/>
        <v>45871</v>
      </c>
      <c r="AE613" s="18" t="e">
        <f t="shared" si="16"/>
        <v>#VALUE!</v>
      </c>
      <c r="AF613" s="18"/>
    </row>
    <row r="614" spans="25:32">
      <c r="Y614" s="18">
        <f t="shared" si="15"/>
        <v>45871</v>
      </c>
      <c r="AE614" s="18" t="e">
        <f t="shared" si="16"/>
        <v>#VALUE!</v>
      </c>
      <c r="AF614" s="18"/>
    </row>
    <row r="615" spans="25:32">
      <c r="Y615" s="18">
        <f t="shared" si="15"/>
        <v>45871</v>
      </c>
      <c r="AE615" s="18" t="e">
        <f t="shared" si="16"/>
        <v>#VALUE!</v>
      </c>
      <c r="AF615" s="18"/>
    </row>
    <row r="616" spans="25:32">
      <c r="Y616" s="18">
        <f t="shared" si="15"/>
        <v>45871</v>
      </c>
      <c r="AE616" s="18" t="e">
        <f t="shared" si="16"/>
        <v>#VALUE!</v>
      </c>
      <c r="AF616" s="18"/>
    </row>
    <row r="617" spans="25:32">
      <c r="Y617" s="18">
        <f t="shared" si="15"/>
        <v>45871</v>
      </c>
      <c r="AE617" s="18" t="e">
        <f t="shared" si="16"/>
        <v>#VALUE!</v>
      </c>
      <c r="AF617" s="18"/>
    </row>
    <row r="618" spans="25:32">
      <c r="Y618" s="18">
        <f t="shared" si="15"/>
        <v>45871</v>
      </c>
      <c r="AE618" s="18" t="e">
        <f t="shared" si="16"/>
        <v>#VALUE!</v>
      </c>
      <c r="AF618" s="18"/>
    </row>
    <row r="619" spans="25:32">
      <c r="Y619" s="18">
        <f t="shared" si="15"/>
        <v>45871</v>
      </c>
      <c r="AE619" s="18" t="e">
        <f t="shared" si="16"/>
        <v>#VALUE!</v>
      </c>
      <c r="AF619" s="18"/>
    </row>
    <row r="620" spans="25:32">
      <c r="Y620" s="18">
        <f t="shared" si="15"/>
        <v>45871</v>
      </c>
      <c r="AE620" s="18" t="e">
        <f t="shared" si="16"/>
        <v>#VALUE!</v>
      </c>
      <c r="AF620" s="18"/>
    </row>
    <row r="621" spans="25:32">
      <c r="Y621" s="18">
        <f t="shared" si="15"/>
        <v>45871</v>
      </c>
      <c r="AE621" s="18" t="e">
        <f t="shared" si="16"/>
        <v>#VALUE!</v>
      </c>
    </row>
    <row r="622" spans="25:32">
      <c r="Y622" s="18">
        <f t="shared" si="15"/>
        <v>45871</v>
      </c>
      <c r="AE622" s="18" t="e">
        <f t="shared" si="16"/>
        <v>#VALUE!</v>
      </c>
    </row>
    <row r="623" spans="25:32">
      <c r="Y623" s="18">
        <f t="shared" si="15"/>
        <v>45871</v>
      </c>
      <c r="AE623" s="18" t="e">
        <f t="shared" si="16"/>
        <v>#VALUE!</v>
      </c>
    </row>
    <row r="624" spans="25:32">
      <c r="Y624" s="18">
        <f t="shared" si="15"/>
        <v>45871</v>
      </c>
      <c r="AE624" s="18" t="e">
        <f t="shared" si="16"/>
        <v>#VALUE!</v>
      </c>
    </row>
    <row r="625" spans="25:32">
      <c r="Y625" s="18">
        <f t="shared" si="15"/>
        <v>45871</v>
      </c>
      <c r="AE625" s="18" t="e">
        <f t="shared" si="16"/>
        <v>#VALUE!</v>
      </c>
    </row>
    <row r="626" spans="25:32">
      <c r="Y626" s="18">
        <f t="shared" si="15"/>
        <v>45871</v>
      </c>
      <c r="AE626" s="18" t="e">
        <f t="shared" si="16"/>
        <v>#VALUE!</v>
      </c>
    </row>
    <row r="627" spans="25:32">
      <c r="Y627" s="18">
        <f t="shared" si="15"/>
        <v>45871</v>
      </c>
      <c r="AE627" s="18" t="e">
        <f t="shared" si="16"/>
        <v>#VALUE!</v>
      </c>
    </row>
    <row r="628" spans="25:32">
      <c r="Y628" s="18">
        <f t="shared" si="15"/>
        <v>45871</v>
      </c>
      <c r="AE628" s="18" t="e">
        <f t="shared" si="16"/>
        <v>#VALUE!</v>
      </c>
    </row>
    <row r="629" spans="25:32">
      <c r="Y629" s="18">
        <f t="shared" si="15"/>
        <v>45871</v>
      </c>
      <c r="AE629" s="18" t="e">
        <f t="shared" si="16"/>
        <v>#VALUE!</v>
      </c>
    </row>
    <row r="630" spans="25:32">
      <c r="Y630" s="18">
        <f t="shared" si="15"/>
        <v>45871</v>
      </c>
      <c r="AE630" s="18" t="e">
        <f t="shared" si="16"/>
        <v>#VALUE!</v>
      </c>
    </row>
    <row r="631" spans="25:32">
      <c r="Y631" s="18">
        <f t="shared" si="15"/>
        <v>45871</v>
      </c>
      <c r="AE631" s="18" t="e">
        <f t="shared" si="16"/>
        <v>#VALUE!</v>
      </c>
    </row>
    <row r="632" spans="25:32">
      <c r="Y632" s="18">
        <f t="shared" si="15"/>
        <v>45871</v>
      </c>
      <c r="AE632" s="18" t="e">
        <f t="shared" si="16"/>
        <v>#VALUE!</v>
      </c>
    </row>
    <row r="633" spans="25:32">
      <c r="Y633" s="18">
        <f t="shared" si="15"/>
        <v>45871</v>
      </c>
      <c r="AE633" s="18" t="e">
        <f t="shared" si="16"/>
        <v>#VALUE!</v>
      </c>
      <c r="AF633" s="18"/>
    </row>
    <row r="634" spans="25:32">
      <c r="Y634" s="18">
        <f t="shared" si="15"/>
        <v>45871</v>
      </c>
      <c r="AE634" s="18" t="e">
        <f t="shared" si="16"/>
        <v>#VALUE!</v>
      </c>
      <c r="AF634" s="18"/>
    </row>
    <row r="635" spans="25:32">
      <c r="Y635" s="18">
        <f t="shared" si="15"/>
        <v>45871</v>
      </c>
      <c r="AE635" s="18" t="e">
        <f t="shared" si="16"/>
        <v>#VALUE!</v>
      </c>
      <c r="AF635" s="18"/>
    </row>
    <row r="636" spans="25:32">
      <c r="Y636" s="18">
        <f t="shared" si="15"/>
        <v>45871</v>
      </c>
      <c r="AE636" s="18" t="e">
        <f t="shared" si="16"/>
        <v>#VALUE!</v>
      </c>
      <c r="AF636" s="18"/>
    </row>
    <row r="637" spans="25:32">
      <c r="Y637" s="18">
        <f t="shared" si="15"/>
        <v>45871</v>
      </c>
      <c r="AE637" s="18" t="e">
        <f t="shared" si="16"/>
        <v>#VALUE!</v>
      </c>
      <c r="AF637" s="18"/>
    </row>
    <row r="638" spans="25:32">
      <c r="Y638" s="18">
        <f t="shared" si="15"/>
        <v>45871</v>
      </c>
      <c r="AE638" s="18" t="e">
        <f t="shared" si="16"/>
        <v>#VALUE!</v>
      </c>
      <c r="AF638" s="18"/>
    </row>
    <row r="639" spans="25:32">
      <c r="Y639" s="18">
        <f t="shared" si="15"/>
        <v>45871</v>
      </c>
      <c r="AE639" s="18" t="e">
        <f t="shared" si="16"/>
        <v>#VALUE!</v>
      </c>
      <c r="AF639" s="18"/>
    </row>
    <row r="640" spans="25:32">
      <c r="Y640" s="18">
        <f t="shared" si="15"/>
        <v>45871</v>
      </c>
      <c r="AE640" s="18" t="e">
        <f t="shared" si="16"/>
        <v>#VALUE!</v>
      </c>
    </row>
    <row r="641" spans="25:32">
      <c r="Y641" s="18">
        <f t="shared" si="15"/>
        <v>45871</v>
      </c>
      <c r="AE641" s="18" t="e">
        <f t="shared" si="16"/>
        <v>#VALUE!</v>
      </c>
    </row>
    <row r="642" spans="25:32">
      <c r="Y642" s="18">
        <f t="shared" ref="Y642:Y705" si="17">WORKDAY(DATE(2025,8,2),INT(P642/390))</f>
        <v>45871</v>
      </c>
      <c r="AE642" s="18" t="e">
        <f t="shared" ref="AE642:AE705" si="18">IF(ISNUMBER(AF642),DATE(YEAR(AF642),DAY(AF642),MONTH(AF642)),DATE(RIGHT(AF642,4),LEFT(AF642,2),MID(AF642,4,2)))</f>
        <v>#VALUE!</v>
      </c>
    </row>
    <row r="643" spans="25:32">
      <c r="Y643" s="18">
        <f t="shared" si="17"/>
        <v>45871</v>
      </c>
      <c r="AE643" s="18" t="e">
        <f t="shared" si="18"/>
        <v>#VALUE!</v>
      </c>
    </row>
    <row r="644" spans="25:32">
      <c r="Y644" s="18">
        <f t="shared" si="17"/>
        <v>45871</v>
      </c>
      <c r="AE644" s="18" t="e">
        <f t="shared" si="18"/>
        <v>#VALUE!</v>
      </c>
    </row>
    <row r="645" spans="25:32">
      <c r="Y645" s="18">
        <f t="shared" si="17"/>
        <v>45871</v>
      </c>
      <c r="AE645" s="18" t="e">
        <f t="shared" si="18"/>
        <v>#VALUE!</v>
      </c>
    </row>
    <row r="646" spans="25:32">
      <c r="Y646" s="18">
        <f t="shared" si="17"/>
        <v>45871</v>
      </c>
      <c r="AE646" s="18" t="e">
        <f t="shared" si="18"/>
        <v>#VALUE!</v>
      </c>
    </row>
    <row r="647" spans="25:32">
      <c r="Y647" s="18">
        <f t="shared" si="17"/>
        <v>45871</v>
      </c>
      <c r="AE647" s="18" t="e">
        <f t="shared" si="18"/>
        <v>#VALUE!</v>
      </c>
    </row>
    <row r="648" spans="25:32">
      <c r="Y648" s="18">
        <f t="shared" si="17"/>
        <v>45871</v>
      </c>
      <c r="AE648" s="18" t="e">
        <f t="shared" si="18"/>
        <v>#VALUE!</v>
      </c>
    </row>
    <row r="649" spans="25:32">
      <c r="Y649" s="18">
        <f t="shared" si="17"/>
        <v>45871</v>
      </c>
      <c r="AE649" s="18" t="e">
        <f t="shared" si="18"/>
        <v>#VALUE!</v>
      </c>
    </row>
    <row r="650" spans="25:32">
      <c r="Y650" s="18">
        <f t="shared" si="17"/>
        <v>45871</v>
      </c>
      <c r="AE650" s="18" t="e">
        <f t="shared" si="18"/>
        <v>#VALUE!</v>
      </c>
    </row>
    <row r="651" spans="25:32">
      <c r="Y651" s="18">
        <f t="shared" si="17"/>
        <v>45871</v>
      </c>
      <c r="AE651" s="18" t="e">
        <f t="shared" si="18"/>
        <v>#VALUE!</v>
      </c>
    </row>
    <row r="652" spans="25:32">
      <c r="Y652" s="18">
        <f t="shared" si="17"/>
        <v>45871</v>
      </c>
      <c r="AE652" s="18" t="e">
        <f t="shared" si="18"/>
        <v>#VALUE!</v>
      </c>
    </row>
    <row r="653" spans="25:32">
      <c r="Y653" s="18">
        <f t="shared" si="17"/>
        <v>45871</v>
      </c>
      <c r="AE653" s="18" t="e">
        <f t="shared" si="18"/>
        <v>#VALUE!</v>
      </c>
    </row>
    <row r="654" spans="25:32">
      <c r="Y654" s="18">
        <f t="shared" si="17"/>
        <v>45871</v>
      </c>
      <c r="AE654" s="18" t="e">
        <f t="shared" si="18"/>
        <v>#VALUE!</v>
      </c>
    </row>
    <row r="655" spans="25:32">
      <c r="Y655" s="18">
        <f t="shared" si="17"/>
        <v>45871</v>
      </c>
      <c r="AE655" s="18" t="e">
        <f t="shared" si="18"/>
        <v>#VALUE!</v>
      </c>
      <c r="AF655" s="18"/>
    </row>
    <row r="656" spans="25:32">
      <c r="Y656" s="18">
        <f t="shared" si="17"/>
        <v>45871</v>
      </c>
      <c r="AE656" s="18" t="e">
        <f t="shared" si="18"/>
        <v>#VALUE!</v>
      </c>
      <c r="AF656" s="18"/>
    </row>
    <row r="657" spans="25:32">
      <c r="Y657" s="18">
        <f t="shared" si="17"/>
        <v>45871</v>
      </c>
      <c r="AE657" s="18" t="e">
        <f t="shared" si="18"/>
        <v>#VALUE!</v>
      </c>
      <c r="AF657" s="18"/>
    </row>
    <row r="658" spans="25:32">
      <c r="Y658" s="18">
        <f t="shared" si="17"/>
        <v>45871</v>
      </c>
      <c r="AE658" s="18" t="e">
        <f t="shared" si="18"/>
        <v>#VALUE!</v>
      </c>
      <c r="AF658" s="18"/>
    </row>
    <row r="659" spans="25:32">
      <c r="Y659" s="18">
        <f t="shared" si="17"/>
        <v>45871</v>
      </c>
      <c r="AE659" s="18" t="e">
        <f t="shared" si="18"/>
        <v>#VALUE!</v>
      </c>
      <c r="AF659" s="18"/>
    </row>
    <row r="660" spans="25:32">
      <c r="Y660" s="18">
        <f t="shared" si="17"/>
        <v>45871</v>
      </c>
      <c r="AE660" s="18" t="e">
        <f t="shared" si="18"/>
        <v>#VALUE!</v>
      </c>
      <c r="AF660" s="18"/>
    </row>
    <row r="661" spans="25:32">
      <c r="Y661" s="18">
        <f t="shared" si="17"/>
        <v>45871</v>
      </c>
      <c r="AE661" s="18" t="e">
        <f t="shared" si="18"/>
        <v>#VALUE!</v>
      </c>
      <c r="AF661" s="18"/>
    </row>
    <row r="662" spans="25:32">
      <c r="Y662" s="18">
        <f t="shared" si="17"/>
        <v>45871</v>
      </c>
      <c r="AE662" s="18" t="e">
        <f t="shared" si="18"/>
        <v>#VALUE!</v>
      </c>
      <c r="AF662" s="18"/>
    </row>
    <row r="663" spans="25:32">
      <c r="Y663" s="18">
        <f t="shared" si="17"/>
        <v>45871</v>
      </c>
      <c r="AE663" s="18" t="e">
        <f t="shared" si="18"/>
        <v>#VALUE!</v>
      </c>
    </row>
    <row r="664" spans="25:32">
      <c r="Y664" s="18">
        <f t="shared" si="17"/>
        <v>45871</v>
      </c>
      <c r="AE664" s="18" t="e">
        <f t="shared" si="18"/>
        <v>#VALUE!</v>
      </c>
    </row>
    <row r="665" spans="25:32">
      <c r="Y665" s="18">
        <f t="shared" si="17"/>
        <v>45871</v>
      </c>
      <c r="AE665" s="18" t="e">
        <f t="shared" si="18"/>
        <v>#VALUE!</v>
      </c>
    </row>
    <row r="666" spans="25:32">
      <c r="Y666" s="18">
        <f t="shared" si="17"/>
        <v>45871</v>
      </c>
      <c r="AE666" s="18" t="e">
        <f t="shared" si="18"/>
        <v>#VALUE!</v>
      </c>
    </row>
    <row r="667" spans="25:32">
      <c r="Y667" s="18">
        <f t="shared" si="17"/>
        <v>45871</v>
      </c>
      <c r="AE667" s="18" t="e">
        <f t="shared" si="18"/>
        <v>#VALUE!</v>
      </c>
    </row>
    <row r="668" spans="25:32">
      <c r="Y668" s="18">
        <f t="shared" si="17"/>
        <v>45871</v>
      </c>
      <c r="AE668" s="18" t="e">
        <f t="shared" si="18"/>
        <v>#VALUE!</v>
      </c>
    </row>
    <row r="669" spans="25:32">
      <c r="Y669" s="18">
        <f t="shared" si="17"/>
        <v>45871</v>
      </c>
      <c r="AE669" s="18" t="e">
        <f t="shared" si="18"/>
        <v>#VALUE!</v>
      </c>
    </row>
    <row r="670" spans="25:32">
      <c r="Y670" s="18">
        <f t="shared" si="17"/>
        <v>45871</v>
      </c>
      <c r="AE670" s="18" t="e">
        <f t="shared" si="18"/>
        <v>#VALUE!</v>
      </c>
    </row>
    <row r="671" spans="25:32">
      <c r="Y671" s="18">
        <f t="shared" si="17"/>
        <v>45871</v>
      </c>
      <c r="AE671" s="18" t="e">
        <f t="shared" si="18"/>
        <v>#VALUE!</v>
      </c>
    </row>
    <row r="672" spans="25:32">
      <c r="Y672" s="18">
        <f t="shared" si="17"/>
        <v>45871</v>
      </c>
      <c r="AE672" s="18" t="e">
        <f t="shared" si="18"/>
        <v>#VALUE!</v>
      </c>
    </row>
    <row r="673" spans="25:32">
      <c r="Y673" s="18">
        <f t="shared" si="17"/>
        <v>45871</v>
      </c>
      <c r="AE673" s="18" t="e">
        <f t="shared" si="18"/>
        <v>#VALUE!</v>
      </c>
    </row>
    <row r="674" spans="25:32">
      <c r="Y674" s="18">
        <f t="shared" si="17"/>
        <v>45871</v>
      </c>
      <c r="AE674" s="18" t="e">
        <f t="shared" si="18"/>
        <v>#VALUE!</v>
      </c>
    </row>
    <row r="675" spans="25:32">
      <c r="Y675" s="18">
        <f t="shared" si="17"/>
        <v>45871</v>
      </c>
      <c r="AE675" s="18" t="e">
        <f t="shared" si="18"/>
        <v>#VALUE!</v>
      </c>
    </row>
    <row r="676" spans="25:32">
      <c r="Y676" s="18">
        <f t="shared" si="17"/>
        <v>45871</v>
      </c>
      <c r="AE676" s="18" t="e">
        <f t="shared" si="18"/>
        <v>#VALUE!</v>
      </c>
      <c r="AF676" s="18"/>
    </row>
    <row r="677" spans="25:32">
      <c r="Y677" s="18">
        <f t="shared" si="17"/>
        <v>45871</v>
      </c>
      <c r="AE677" s="18" t="e">
        <f t="shared" si="18"/>
        <v>#VALUE!</v>
      </c>
      <c r="AF677" s="18"/>
    </row>
    <row r="678" spans="25:32">
      <c r="Y678" s="18">
        <f t="shared" si="17"/>
        <v>45871</v>
      </c>
      <c r="AE678" s="18" t="e">
        <f t="shared" si="18"/>
        <v>#VALUE!</v>
      </c>
      <c r="AF678" s="18"/>
    </row>
    <row r="679" spans="25:32">
      <c r="Y679" s="18">
        <f t="shared" si="17"/>
        <v>45871</v>
      </c>
      <c r="AE679" s="18" t="e">
        <f t="shared" si="18"/>
        <v>#VALUE!</v>
      </c>
      <c r="AF679" s="18"/>
    </row>
    <row r="680" spans="25:32">
      <c r="Y680" s="18">
        <f t="shared" si="17"/>
        <v>45871</v>
      </c>
      <c r="AE680" s="18" t="e">
        <f t="shared" si="18"/>
        <v>#VALUE!</v>
      </c>
      <c r="AF680" s="18"/>
    </row>
    <row r="681" spans="25:32">
      <c r="Y681" s="18">
        <f t="shared" si="17"/>
        <v>45871</v>
      </c>
      <c r="AE681" s="18" t="e">
        <f t="shared" si="18"/>
        <v>#VALUE!</v>
      </c>
      <c r="AF681" s="18"/>
    </row>
    <row r="682" spans="25:32">
      <c r="Y682" s="18">
        <f t="shared" si="17"/>
        <v>45871</v>
      </c>
      <c r="AE682" s="18" t="e">
        <f t="shared" si="18"/>
        <v>#VALUE!</v>
      </c>
      <c r="AF682" s="18"/>
    </row>
    <row r="683" spans="25:32">
      <c r="Y683" s="18">
        <f t="shared" si="17"/>
        <v>45871</v>
      </c>
      <c r="AE683" s="18" t="e">
        <f t="shared" si="18"/>
        <v>#VALUE!</v>
      </c>
      <c r="AF683" s="18"/>
    </row>
    <row r="684" spans="25:32">
      <c r="Y684" s="18">
        <f t="shared" si="17"/>
        <v>45871</v>
      </c>
      <c r="AE684" s="18" t="e">
        <f t="shared" si="18"/>
        <v>#VALUE!</v>
      </c>
    </row>
    <row r="685" spans="25:32">
      <c r="Y685" s="18">
        <f t="shared" si="17"/>
        <v>45871</v>
      </c>
      <c r="AE685" s="18" t="e">
        <f t="shared" si="18"/>
        <v>#VALUE!</v>
      </c>
    </row>
    <row r="686" spans="25:32">
      <c r="Y686" s="18">
        <f t="shared" si="17"/>
        <v>45871</v>
      </c>
      <c r="AE686" s="18" t="e">
        <f t="shared" si="18"/>
        <v>#VALUE!</v>
      </c>
    </row>
    <row r="687" spans="25:32">
      <c r="Y687" s="18">
        <f t="shared" si="17"/>
        <v>45871</v>
      </c>
      <c r="AE687" s="18" t="e">
        <f t="shared" si="18"/>
        <v>#VALUE!</v>
      </c>
    </row>
    <row r="688" spans="25:32">
      <c r="Y688" s="18">
        <f t="shared" si="17"/>
        <v>45871</v>
      </c>
      <c r="AE688" s="18" t="e">
        <f t="shared" si="18"/>
        <v>#VALUE!</v>
      </c>
    </row>
    <row r="689" spans="25:32">
      <c r="Y689" s="18">
        <f t="shared" si="17"/>
        <v>45871</v>
      </c>
      <c r="AE689" s="18" t="e">
        <f t="shared" si="18"/>
        <v>#VALUE!</v>
      </c>
    </row>
    <row r="690" spans="25:32">
      <c r="Y690" s="18">
        <f t="shared" si="17"/>
        <v>45871</v>
      </c>
      <c r="AE690" s="18" t="e">
        <f t="shared" si="18"/>
        <v>#VALUE!</v>
      </c>
    </row>
    <row r="691" spans="25:32">
      <c r="Y691" s="18">
        <f t="shared" si="17"/>
        <v>45871</v>
      </c>
      <c r="AE691" s="18" t="e">
        <f t="shared" si="18"/>
        <v>#VALUE!</v>
      </c>
    </row>
    <row r="692" spans="25:32">
      <c r="Y692" s="18">
        <f t="shared" si="17"/>
        <v>45871</v>
      </c>
      <c r="AE692" s="18" t="e">
        <f t="shared" si="18"/>
        <v>#VALUE!</v>
      </c>
    </row>
    <row r="693" spans="25:32">
      <c r="Y693" s="18">
        <f t="shared" si="17"/>
        <v>45871</v>
      </c>
      <c r="AE693" s="18" t="e">
        <f t="shared" si="18"/>
        <v>#VALUE!</v>
      </c>
    </row>
    <row r="694" spans="25:32">
      <c r="Y694" s="18">
        <f t="shared" si="17"/>
        <v>45871</v>
      </c>
      <c r="AE694" s="18" t="e">
        <f t="shared" si="18"/>
        <v>#VALUE!</v>
      </c>
    </row>
    <row r="695" spans="25:32">
      <c r="Y695" s="18">
        <f t="shared" si="17"/>
        <v>45871</v>
      </c>
      <c r="AE695" s="18" t="e">
        <f t="shared" si="18"/>
        <v>#VALUE!</v>
      </c>
    </row>
    <row r="696" spans="25:32">
      <c r="Y696" s="18">
        <f t="shared" si="17"/>
        <v>45871</v>
      </c>
      <c r="AE696" s="18" t="e">
        <f t="shared" si="18"/>
        <v>#VALUE!</v>
      </c>
    </row>
    <row r="697" spans="25:32">
      <c r="Y697" s="18">
        <f t="shared" si="17"/>
        <v>45871</v>
      </c>
      <c r="AE697" s="18" t="e">
        <f t="shared" si="18"/>
        <v>#VALUE!</v>
      </c>
      <c r="AF697" s="18"/>
    </row>
    <row r="698" spans="25:32">
      <c r="Y698" s="18">
        <f t="shared" si="17"/>
        <v>45871</v>
      </c>
      <c r="AE698" s="18" t="e">
        <f t="shared" si="18"/>
        <v>#VALUE!</v>
      </c>
      <c r="AF698" s="18"/>
    </row>
    <row r="699" spans="25:32">
      <c r="Y699" s="18">
        <f t="shared" si="17"/>
        <v>45871</v>
      </c>
      <c r="AE699" s="18" t="e">
        <f t="shared" si="18"/>
        <v>#VALUE!</v>
      </c>
      <c r="AF699" s="18"/>
    </row>
    <row r="700" spans="25:32">
      <c r="Y700" s="18">
        <f t="shared" si="17"/>
        <v>45871</v>
      </c>
      <c r="AE700" s="18" t="e">
        <f t="shared" si="18"/>
        <v>#VALUE!</v>
      </c>
      <c r="AF700" s="18"/>
    </row>
    <row r="701" spans="25:32">
      <c r="Y701" s="18">
        <f t="shared" si="17"/>
        <v>45871</v>
      </c>
      <c r="AE701" s="18" t="e">
        <f t="shared" si="18"/>
        <v>#VALUE!</v>
      </c>
      <c r="AF701" s="18"/>
    </row>
    <row r="702" spans="25:32">
      <c r="Y702" s="18">
        <f t="shared" si="17"/>
        <v>45871</v>
      </c>
      <c r="AE702" s="18" t="e">
        <f t="shared" si="18"/>
        <v>#VALUE!</v>
      </c>
      <c r="AF702" s="18"/>
    </row>
    <row r="703" spans="25:32">
      <c r="Y703" s="18">
        <f t="shared" si="17"/>
        <v>45871</v>
      </c>
      <c r="AE703" s="18" t="e">
        <f t="shared" si="18"/>
        <v>#VALUE!</v>
      </c>
      <c r="AF703" s="18"/>
    </row>
    <row r="704" spans="25:32">
      <c r="Y704" s="18">
        <f t="shared" si="17"/>
        <v>45871</v>
      </c>
      <c r="AE704" s="18" t="e">
        <f t="shared" si="18"/>
        <v>#VALUE!</v>
      </c>
      <c r="AF704" s="18"/>
    </row>
    <row r="705" spans="25:32">
      <c r="Y705" s="18">
        <f t="shared" si="17"/>
        <v>45871</v>
      </c>
      <c r="AE705" s="18" t="e">
        <f t="shared" si="18"/>
        <v>#VALUE!</v>
      </c>
    </row>
    <row r="706" spans="25:32">
      <c r="Y706" s="18">
        <f t="shared" ref="Y706:Y769" si="19">WORKDAY(DATE(2025,8,2),INT(P706/390))</f>
        <v>45871</v>
      </c>
      <c r="AE706" s="18" t="e">
        <f t="shared" ref="AE706:AE769" si="20">IF(ISNUMBER(AF706),DATE(YEAR(AF706),DAY(AF706),MONTH(AF706)),DATE(RIGHT(AF706,4),LEFT(AF706,2),MID(AF706,4,2)))</f>
        <v>#VALUE!</v>
      </c>
    </row>
    <row r="707" spans="25:32">
      <c r="Y707" s="18">
        <f t="shared" si="19"/>
        <v>45871</v>
      </c>
      <c r="AE707" s="18" t="e">
        <f t="shared" si="20"/>
        <v>#VALUE!</v>
      </c>
    </row>
    <row r="708" spans="25:32">
      <c r="Y708" s="18">
        <f t="shared" si="19"/>
        <v>45871</v>
      </c>
      <c r="AE708" s="18" t="e">
        <f t="shared" si="20"/>
        <v>#VALUE!</v>
      </c>
    </row>
    <row r="709" spans="25:32">
      <c r="Y709" s="18">
        <f t="shared" si="19"/>
        <v>45871</v>
      </c>
      <c r="AE709" s="18" t="e">
        <f t="shared" si="20"/>
        <v>#VALUE!</v>
      </c>
    </row>
    <row r="710" spans="25:32">
      <c r="Y710" s="18">
        <f t="shared" si="19"/>
        <v>45871</v>
      </c>
      <c r="AE710" s="18" t="e">
        <f t="shared" si="20"/>
        <v>#VALUE!</v>
      </c>
    </row>
    <row r="711" spans="25:32">
      <c r="Y711" s="18">
        <f t="shared" si="19"/>
        <v>45871</v>
      </c>
      <c r="AE711" s="18" t="e">
        <f t="shared" si="20"/>
        <v>#VALUE!</v>
      </c>
    </row>
    <row r="712" spans="25:32">
      <c r="Y712" s="18">
        <f t="shared" si="19"/>
        <v>45871</v>
      </c>
      <c r="AE712" s="18" t="e">
        <f t="shared" si="20"/>
        <v>#VALUE!</v>
      </c>
    </row>
    <row r="713" spans="25:32">
      <c r="Y713" s="18">
        <f t="shared" si="19"/>
        <v>45871</v>
      </c>
      <c r="AE713" s="18" t="e">
        <f t="shared" si="20"/>
        <v>#VALUE!</v>
      </c>
    </row>
    <row r="714" spans="25:32">
      <c r="Y714" s="18">
        <f t="shared" si="19"/>
        <v>45871</v>
      </c>
      <c r="AE714" s="18" t="e">
        <f t="shared" si="20"/>
        <v>#VALUE!</v>
      </c>
    </row>
    <row r="715" spans="25:32">
      <c r="Y715" s="18">
        <f t="shared" si="19"/>
        <v>45871</v>
      </c>
      <c r="AE715" s="18" t="e">
        <f t="shared" si="20"/>
        <v>#VALUE!</v>
      </c>
    </row>
    <row r="716" spans="25:32">
      <c r="Y716" s="18">
        <f t="shared" si="19"/>
        <v>45871</v>
      </c>
      <c r="AE716" s="18" t="e">
        <f t="shared" si="20"/>
        <v>#VALUE!</v>
      </c>
    </row>
    <row r="717" spans="25:32">
      <c r="Y717" s="18">
        <f t="shared" si="19"/>
        <v>45871</v>
      </c>
      <c r="AE717" s="18" t="e">
        <f t="shared" si="20"/>
        <v>#VALUE!</v>
      </c>
    </row>
    <row r="718" spans="25:32">
      <c r="Y718" s="18">
        <f t="shared" si="19"/>
        <v>45871</v>
      </c>
      <c r="AE718" s="18" t="e">
        <f t="shared" si="20"/>
        <v>#VALUE!</v>
      </c>
    </row>
    <row r="719" spans="25:32">
      <c r="Y719" s="18">
        <f t="shared" si="19"/>
        <v>45871</v>
      </c>
      <c r="AE719" s="18" t="e">
        <f t="shared" si="20"/>
        <v>#VALUE!</v>
      </c>
      <c r="AF719" s="18"/>
    </row>
    <row r="720" spans="25:32">
      <c r="Y720" s="18">
        <f t="shared" si="19"/>
        <v>45871</v>
      </c>
      <c r="AE720" s="18" t="e">
        <f t="shared" si="20"/>
        <v>#VALUE!</v>
      </c>
      <c r="AF720" s="18"/>
    </row>
    <row r="721" spans="25:32">
      <c r="Y721" s="18">
        <f t="shared" si="19"/>
        <v>45871</v>
      </c>
      <c r="AE721" s="18" t="e">
        <f t="shared" si="20"/>
        <v>#VALUE!</v>
      </c>
      <c r="AF721" s="18"/>
    </row>
    <row r="722" spans="25:32">
      <c r="Y722" s="18">
        <f t="shared" si="19"/>
        <v>45871</v>
      </c>
      <c r="AE722" s="18" t="e">
        <f t="shared" si="20"/>
        <v>#VALUE!</v>
      </c>
      <c r="AF722" s="18"/>
    </row>
    <row r="723" spans="25:32">
      <c r="Y723" s="18">
        <f t="shared" si="19"/>
        <v>45871</v>
      </c>
      <c r="AE723" s="18" t="e">
        <f t="shared" si="20"/>
        <v>#VALUE!</v>
      </c>
      <c r="AF723" s="18"/>
    </row>
    <row r="724" spans="25:32">
      <c r="Y724" s="18">
        <f t="shared" si="19"/>
        <v>45871</v>
      </c>
      <c r="AE724" s="18" t="e">
        <f t="shared" si="20"/>
        <v>#VALUE!</v>
      </c>
      <c r="AF724" s="18"/>
    </row>
    <row r="725" spans="25:32">
      <c r="Y725" s="18">
        <f t="shared" si="19"/>
        <v>45871</v>
      </c>
      <c r="AE725" s="18" t="e">
        <f t="shared" si="20"/>
        <v>#VALUE!</v>
      </c>
      <c r="AF725" s="18"/>
    </row>
    <row r="726" spans="25:32">
      <c r="Y726" s="18">
        <f t="shared" si="19"/>
        <v>45871</v>
      </c>
      <c r="AE726" s="18" t="e">
        <f t="shared" si="20"/>
        <v>#VALUE!</v>
      </c>
      <c r="AF726" s="18"/>
    </row>
    <row r="727" spans="25:32">
      <c r="Y727" s="18">
        <f t="shared" si="19"/>
        <v>45871</v>
      </c>
      <c r="AE727" s="18" t="e">
        <f t="shared" si="20"/>
        <v>#VALUE!</v>
      </c>
      <c r="AF727" s="18"/>
    </row>
    <row r="728" spans="25:32">
      <c r="Y728" s="18">
        <f t="shared" si="19"/>
        <v>45871</v>
      </c>
      <c r="AE728" s="18" t="e">
        <f t="shared" si="20"/>
        <v>#VALUE!</v>
      </c>
    </row>
    <row r="729" spans="25:32">
      <c r="Y729" s="18">
        <f t="shared" si="19"/>
        <v>45871</v>
      </c>
      <c r="AE729" s="18" t="e">
        <f t="shared" si="20"/>
        <v>#VALUE!</v>
      </c>
    </row>
    <row r="730" spans="25:32">
      <c r="Y730" s="18">
        <f t="shared" si="19"/>
        <v>45871</v>
      </c>
      <c r="AE730" s="18" t="e">
        <f t="shared" si="20"/>
        <v>#VALUE!</v>
      </c>
    </row>
    <row r="731" spans="25:32">
      <c r="Y731" s="18">
        <f t="shared" si="19"/>
        <v>45871</v>
      </c>
      <c r="AE731" s="18" t="e">
        <f t="shared" si="20"/>
        <v>#VALUE!</v>
      </c>
    </row>
    <row r="732" spans="25:32">
      <c r="Y732" s="18">
        <f t="shared" si="19"/>
        <v>45871</v>
      </c>
      <c r="AE732" s="18" t="e">
        <f t="shared" si="20"/>
        <v>#VALUE!</v>
      </c>
    </row>
    <row r="733" spans="25:32">
      <c r="Y733" s="18">
        <f t="shared" si="19"/>
        <v>45871</v>
      </c>
      <c r="AE733" s="18" t="e">
        <f t="shared" si="20"/>
        <v>#VALUE!</v>
      </c>
    </row>
    <row r="734" spans="25:32">
      <c r="Y734" s="18">
        <f t="shared" si="19"/>
        <v>45871</v>
      </c>
      <c r="AE734" s="18" t="e">
        <f t="shared" si="20"/>
        <v>#VALUE!</v>
      </c>
    </row>
    <row r="735" spans="25:32">
      <c r="Y735" s="18">
        <f t="shared" si="19"/>
        <v>45871</v>
      </c>
      <c r="AE735" s="18" t="e">
        <f t="shared" si="20"/>
        <v>#VALUE!</v>
      </c>
    </row>
    <row r="736" spans="25:32">
      <c r="Y736" s="18">
        <f t="shared" si="19"/>
        <v>45871</v>
      </c>
      <c r="AE736" s="18" t="e">
        <f t="shared" si="20"/>
        <v>#VALUE!</v>
      </c>
    </row>
    <row r="737" spans="25:32">
      <c r="Y737" s="18">
        <f t="shared" si="19"/>
        <v>45871</v>
      </c>
      <c r="AE737" s="18" t="e">
        <f t="shared" si="20"/>
        <v>#VALUE!</v>
      </c>
    </row>
    <row r="738" spans="25:32">
      <c r="Y738" s="18">
        <f t="shared" si="19"/>
        <v>45871</v>
      </c>
      <c r="AE738" s="18" t="e">
        <f t="shared" si="20"/>
        <v>#VALUE!</v>
      </c>
    </row>
    <row r="739" spans="25:32">
      <c r="Y739" s="18">
        <f t="shared" si="19"/>
        <v>45871</v>
      </c>
      <c r="AE739" s="18" t="e">
        <f t="shared" si="20"/>
        <v>#VALUE!</v>
      </c>
      <c r="AF739" s="18"/>
    </row>
    <row r="740" spans="25:32">
      <c r="Y740" s="18">
        <f t="shared" si="19"/>
        <v>45871</v>
      </c>
      <c r="AE740" s="18" t="e">
        <f t="shared" si="20"/>
        <v>#VALUE!</v>
      </c>
      <c r="AF740" s="18"/>
    </row>
    <row r="741" spans="25:32">
      <c r="Y741" s="18">
        <f t="shared" si="19"/>
        <v>45871</v>
      </c>
      <c r="AE741" s="18" t="e">
        <f t="shared" si="20"/>
        <v>#VALUE!</v>
      </c>
      <c r="AF741" s="18"/>
    </row>
    <row r="742" spans="25:32">
      <c r="Y742" s="18">
        <f t="shared" si="19"/>
        <v>45871</v>
      </c>
      <c r="AE742" s="18" t="e">
        <f t="shared" si="20"/>
        <v>#VALUE!</v>
      </c>
      <c r="AF742" s="18"/>
    </row>
    <row r="743" spans="25:32">
      <c r="Y743" s="18">
        <f t="shared" si="19"/>
        <v>45871</v>
      </c>
      <c r="AE743" s="18" t="e">
        <f t="shared" si="20"/>
        <v>#VALUE!</v>
      </c>
      <c r="AF743" s="18"/>
    </row>
    <row r="744" spans="25:32">
      <c r="Y744" s="18">
        <f t="shared" si="19"/>
        <v>45871</v>
      </c>
      <c r="AE744" s="18" t="e">
        <f t="shared" si="20"/>
        <v>#VALUE!</v>
      </c>
      <c r="AF744" s="18"/>
    </row>
    <row r="745" spans="25:32">
      <c r="Y745" s="18">
        <f t="shared" si="19"/>
        <v>45871</v>
      </c>
      <c r="AE745" s="18" t="e">
        <f t="shared" si="20"/>
        <v>#VALUE!</v>
      </c>
      <c r="AF745" s="18"/>
    </row>
    <row r="746" spans="25:32">
      <c r="Y746" s="18">
        <f t="shared" si="19"/>
        <v>45871</v>
      </c>
      <c r="AE746" s="18" t="e">
        <f t="shared" si="20"/>
        <v>#VALUE!</v>
      </c>
      <c r="AF746" s="18"/>
    </row>
    <row r="747" spans="25:32">
      <c r="Y747" s="18">
        <f t="shared" si="19"/>
        <v>45871</v>
      </c>
      <c r="AE747" s="18" t="e">
        <f t="shared" si="20"/>
        <v>#VALUE!</v>
      </c>
      <c r="AF747" s="18"/>
    </row>
    <row r="748" spans="25:32">
      <c r="Y748" s="18">
        <f t="shared" si="19"/>
        <v>45871</v>
      </c>
      <c r="AE748" s="18" t="e">
        <f t="shared" si="20"/>
        <v>#VALUE!</v>
      </c>
    </row>
    <row r="749" spans="25:32">
      <c r="Y749" s="18">
        <f t="shared" si="19"/>
        <v>45871</v>
      </c>
      <c r="AE749" s="18" t="e">
        <f t="shared" si="20"/>
        <v>#VALUE!</v>
      </c>
    </row>
    <row r="750" spans="25:32">
      <c r="Y750" s="18">
        <f t="shared" si="19"/>
        <v>45871</v>
      </c>
      <c r="AE750" s="18" t="e">
        <f t="shared" si="20"/>
        <v>#VALUE!</v>
      </c>
    </row>
    <row r="751" spans="25:32">
      <c r="Y751" s="18">
        <f t="shared" si="19"/>
        <v>45871</v>
      </c>
      <c r="AE751" s="18" t="e">
        <f t="shared" si="20"/>
        <v>#VALUE!</v>
      </c>
    </row>
    <row r="752" spans="25:32">
      <c r="Y752" s="18">
        <f t="shared" si="19"/>
        <v>45871</v>
      </c>
      <c r="AE752" s="18" t="e">
        <f t="shared" si="20"/>
        <v>#VALUE!</v>
      </c>
    </row>
    <row r="753" spans="25:32">
      <c r="Y753" s="18">
        <f t="shared" si="19"/>
        <v>45871</v>
      </c>
      <c r="AE753" s="18" t="e">
        <f t="shared" si="20"/>
        <v>#VALUE!</v>
      </c>
    </row>
    <row r="754" spans="25:32">
      <c r="Y754" s="18">
        <f t="shared" si="19"/>
        <v>45871</v>
      </c>
      <c r="AE754" s="18" t="e">
        <f t="shared" si="20"/>
        <v>#VALUE!</v>
      </c>
    </row>
    <row r="755" spans="25:32">
      <c r="Y755" s="18">
        <f t="shared" si="19"/>
        <v>45871</v>
      </c>
      <c r="AE755" s="18" t="e">
        <f t="shared" si="20"/>
        <v>#VALUE!</v>
      </c>
    </row>
    <row r="756" spans="25:32">
      <c r="Y756" s="18">
        <f t="shared" si="19"/>
        <v>45871</v>
      </c>
      <c r="AE756" s="18" t="e">
        <f t="shared" si="20"/>
        <v>#VALUE!</v>
      </c>
    </row>
    <row r="757" spans="25:32">
      <c r="Y757" s="18">
        <f t="shared" si="19"/>
        <v>45871</v>
      </c>
      <c r="AE757" s="18" t="e">
        <f t="shared" si="20"/>
        <v>#VALUE!</v>
      </c>
    </row>
    <row r="758" spans="25:32">
      <c r="Y758" s="18">
        <f t="shared" si="19"/>
        <v>45871</v>
      </c>
      <c r="AE758" s="18" t="e">
        <f t="shared" si="20"/>
        <v>#VALUE!</v>
      </c>
    </row>
    <row r="759" spans="25:32">
      <c r="Y759" s="18">
        <f t="shared" si="19"/>
        <v>45871</v>
      </c>
      <c r="AE759" s="18" t="e">
        <f t="shared" si="20"/>
        <v>#VALUE!</v>
      </c>
    </row>
    <row r="760" spans="25:32">
      <c r="Y760" s="18">
        <f t="shared" si="19"/>
        <v>45871</v>
      </c>
      <c r="AE760" s="18" t="e">
        <f t="shared" si="20"/>
        <v>#VALUE!</v>
      </c>
    </row>
    <row r="761" spans="25:32">
      <c r="Y761" s="18">
        <f t="shared" si="19"/>
        <v>45871</v>
      </c>
      <c r="AE761" s="18" t="e">
        <f t="shared" si="20"/>
        <v>#VALUE!</v>
      </c>
      <c r="AF761" s="18"/>
    </row>
    <row r="762" spans="25:32">
      <c r="Y762" s="18">
        <f t="shared" si="19"/>
        <v>45871</v>
      </c>
      <c r="AE762" s="18" t="e">
        <f t="shared" si="20"/>
        <v>#VALUE!</v>
      </c>
      <c r="AF762" s="18"/>
    </row>
    <row r="763" spans="25:32">
      <c r="Y763" s="18">
        <f t="shared" si="19"/>
        <v>45871</v>
      </c>
      <c r="AE763" s="18" t="e">
        <f t="shared" si="20"/>
        <v>#VALUE!</v>
      </c>
      <c r="AF763" s="18"/>
    </row>
    <row r="764" spans="25:32">
      <c r="Y764" s="18">
        <f t="shared" si="19"/>
        <v>45871</v>
      </c>
      <c r="AE764" s="18" t="e">
        <f t="shared" si="20"/>
        <v>#VALUE!</v>
      </c>
      <c r="AF764" s="18"/>
    </row>
    <row r="765" spans="25:32">
      <c r="Y765" s="18">
        <f t="shared" si="19"/>
        <v>45871</v>
      </c>
      <c r="AE765" s="18" t="e">
        <f t="shared" si="20"/>
        <v>#VALUE!</v>
      </c>
      <c r="AF765" s="18"/>
    </row>
    <row r="766" spans="25:32">
      <c r="Y766" s="18">
        <f t="shared" si="19"/>
        <v>45871</v>
      </c>
      <c r="AE766" s="18" t="e">
        <f t="shared" si="20"/>
        <v>#VALUE!</v>
      </c>
      <c r="AF766" s="18"/>
    </row>
    <row r="767" spans="25:32">
      <c r="Y767" s="18">
        <f t="shared" si="19"/>
        <v>45871</v>
      </c>
      <c r="AE767" s="18" t="e">
        <f t="shared" si="20"/>
        <v>#VALUE!</v>
      </c>
      <c r="AF767" s="18"/>
    </row>
    <row r="768" spans="25:32">
      <c r="Y768" s="18">
        <f t="shared" si="19"/>
        <v>45871</v>
      </c>
      <c r="AE768" s="18" t="e">
        <f t="shared" si="20"/>
        <v>#VALUE!</v>
      </c>
    </row>
    <row r="769" spans="25:32">
      <c r="Y769" s="18">
        <f t="shared" si="19"/>
        <v>45871</v>
      </c>
      <c r="AE769" s="18" t="e">
        <f t="shared" si="20"/>
        <v>#VALUE!</v>
      </c>
    </row>
    <row r="770" spans="25:32">
      <c r="Y770" s="18">
        <f t="shared" ref="Y770:Y833" si="21">WORKDAY(DATE(2025,8,2),INT(P770/390))</f>
        <v>45871</v>
      </c>
      <c r="AE770" s="18" t="e">
        <f t="shared" ref="AE770:AE776" si="22">IF(ISNUMBER(AF770),DATE(YEAR(AF770),DAY(AF770),MONTH(AF770)),DATE(RIGHT(AF770,4),LEFT(AF770,2),MID(AF770,4,2)))</f>
        <v>#VALUE!</v>
      </c>
    </row>
    <row r="771" spans="25:32">
      <c r="Y771" s="18">
        <f t="shared" si="21"/>
        <v>45871</v>
      </c>
      <c r="AE771" s="18" t="e">
        <f t="shared" si="22"/>
        <v>#VALUE!</v>
      </c>
    </row>
    <row r="772" spans="25:32">
      <c r="Y772" s="18">
        <f t="shared" si="21"/>
        <v>45871</v>
      </c>
      <c r="AE772" s="18" t="e">
        <f t="shared" si="22"/>
        <v>#VALUE!</v>
      </c>
    </row>
    <row r="773" spans="25:32">
      <c r="Y773" s="18">
        <f t="shared" si="21"/>
        <v>45871</v>
      </c>
      <c r="AE773" s="18" t="e">
        <f t="shared" si="22"/>
        <v>#VALUE!</v>
      </c>
    </row>
    <row r="774" spans="25:32">
      <c r="Y774" s="18">
        <f t="shared" si="21"/>
        <v>45871</v>
      </c>
      <c r="AE774" s="18" t="e">
        <f t="shared" si="22"/>
        <v>#VALUE!</v>
      </c>
    </row>
    <row r="775" spans="25:32">
      <c r="Y775" s="18">
        <f t="shared" si="21"/>
        <v>45871</v>
      </c>
      <c r="AE775" s="18" t="e">
        <f t="shared" si="22"/>
        <v>#VALUE!</v>
      </c>
    </row>
    <row r="776" spans="25:32">
      <c r="Y776" s="18">
        <f t="shared" si="21"/>
        <v>45871</v>
      </c>
      <c r="AE776" s="18" t="e">
        <f t="shared" si="22"/>
        <v>#VALUE!</v>
      </c>
    </row>
    <row r="777" spans="25:32">
      <c r="Y777" s="18">
        <f t="shared" si="21"/>
        <v>45871</v>
      </c>
    </row>
    <row r="778" spans="25:32">
      <c r="Y778" s="18">
        <f t="shared" si="21"/>
        <v>45871</v>
      </c>
    </row>
    <row r="779" spans="25:32">
      <c r="Y779" s="18">
        <f t="shared" si="21"/>
        <v>45871</v>
      </c>
    </row>
    <row r="780" spans="25:32">
      <c r="Y780" s="18">
        <f t="shared" si="21"/>
        <v>45871</v>
      </c>
    </row>
    <row r="781" spans="25:32">
      <c r="Y781" s="18">
        <f t="shared" si="21"/>
        <v>45871</v>
      </c>
      <c r="AF781" s="18"/>
    </row>
    <row r="782" spans="25:32">
      <c r="Y782" s="18">
        <f t="shared" si="21"/>
        <v>45871</v>
      </c>
      <c r="AF782" s="18"/>
    </row>
    <row r="783" spans="25:32">
      <c r="Y783" s="18">
        <f t="shared" si="21"/>
        <v>45871</v>
      </c>
      <c r="AF783" s="18"/>
    </row>
    <row r="784" spans="25:32">
      <c r="Y784" s="18">
        <f t="shared" si="21"/>
        <v>45871</v>
      </c>
      <c r="AF784" s="18"/>
    </row>
    <row r="785" spans="25:32">
      <c r="Y785" s="18">
        <f t="shared" si="21"/>
        <v>45871</v>
      </c>
      <c r="AF785" s="18"/>
    </row>
    <row r="786" spans="25:32">
      <c r="Y786" s="18">
        <f t="shared" si="21"/>
        <v>45871</v>
      </c>
      <c r="AF786" s="18"/>
    </row>
    <row r="787" spans="25:32">
      <c r="Y787" s="18">
        <f t="shared" si="21"/>
        <v>45871</v>
      </c>
      <c r="AF787" s="18"/>
    </row>
    <row r="788" spans="25:32">
      <c r="Y788" s="18">
        <f t="shared" si="21"/>
        <v>45871</v>
      </c>
      <c r="AF788" s="18"/>
    </row>
    <row r="789" spans="25:32">
      <c r="Y789" s="18">
        <f t="shared" si="21"/>
        <v>45871</v>
      </c>
      <c r="AF789" s="18"/>
    </row>
    <row r="790" spans="25:32">
      <c r="Y790" s="18">
        <f t="shared" si="21"/>
        <v>45871</v>
      </c>
      <c r="AF790" s="18"/>
    </row>
    <row r="791" spans="25:32">
      <c r="Y791" s="18">
        <f t="shared" si="21"/>
        <v>45871</v>
      </c>
    </row>
    <row r="792" spans="25:32">
      <c r="Y792" s="18">
        <f t="shared" si="21"/>
        <v>45871</v>
      </c>
    </row>
    <row r="793" spans="25:32">
      <c r="Y793" s="18">
        <f t="shared" si="21"/>
        <v>45871</v>
      </c>
    </row>
    <row r="794" spans="25:32">
      <c r="Y794" s="18">
        <f t="shared" si="21"/>
        <v>45871</v>
      </c>
    </row>
    <row r="795" spans="25:32">
      <c r="Y795" s="18">
        <f t="shared" si="21"/>
        <v>45871</v>
      </c>
    </row>
    <row r="796" spans="25:32">
      <c r="Y796" s="18">
        <f t="shared" si="21"/>
        <v>45871</v>
      </c>
    </row>
    <row r="797" spans="25:32">
      <c r="Y797" s="18">
        <f t="shared" si="21"/>
        <v>45871</v>
      </c>
    </row>
    <row r="798" spans="25:32">
      <c r="Y798" s="18">
        <f t="shared" si="21"/>
        <v>45871</v>
      </c>
    </row>
    <row r="799" spans="25:32">
      <c r="Y799" s="18">
        <f t="shared" si="21"/>
        <v>45871</v>
      </c>
    </row>
    <row r="800" spans="25:32">
      <c r="Y800" s="18">
        <f t="shared" si="21"/>
        <v>45871</v>
      </c>
      <c r="AF800" s="18"/>
    </row>
    <row r="801" spans="25:32">
      <c r="Y801" s="18">
        <f t="shared" si="21"/>
        <v>45871</v>
      </c>
      <c r="AF801" s="18"/>
    </row>
    <row r="802" spans="25:32">
      <c r="Y802" s="18">
        <f t="shared" si="21"/>
        <v>45871</v>
      </c>
      <c r="AF802" s="18"/>
    </row>
    <row r="803" spans="25:32">
      <c r="Y803" s="18">
        <f t="shared" si="21"/>
        <v>45871</v>
      </c>
      <c r="AF803" s="18"/>
    </row>
    <row r="804" spans="25:32">
      <c r="Y804" s="18">
        <f t="shared" si="21"/>
        <v>45871</v>
      </c>
      <c r="AF804" s="18"/>
    </row>
    <row r="805" spans="25:32">
      <c r="Y805" s="18">
        <f t="shared" si="21"/>
        <v>45871</v>
      </c>
      <c r="AF805" s="18"/>
    </row>
    <row r="806" spans="25:32">
      <c r="Y806" s="18">
        <f t="shared" si="21"/>
        <v>45871</v>
      </c>
      <c r="AF806" s="18"/>
    </row>
    <row r="807" spans="25:32">
      <c r="Y807" s="18">
        <f t="shared" si="21"/>
        <v>45871</v>
      </c>
      <c r="AF807" s="18"/>
    </row>
    <row r="808" spans="25:32">
      <c r="Y808" s="18">
        <f t="shared" si="21"/>
        <v>45871</v>
      </c>
      <c r="AF808" s="18"/>
    </row>
    <row r="809" spans="25:32">
      <c r="Y809" s="18">
        <f t="shared" si="21"/>
        <v>45871</v>
      </c>
      <c r="AF809" s="18"/>
    </row>
    <row r="810" spans="25:32">
      <c r="Y810" s="18">
        <f t="shared" si="21"/>
        <v>45871</v>
      </c>
    </row>
    <row r="811" spans="25:32">
      <c r="Y811" s="18">
        <f t="shared" si="21"/>
        <v>45871</v>
      </c>
    </row>
    <row r="812" spans="25:32">
      <c r="Y812" s="18">
        <f t="shared" si="21"/>
        <v>45871</v>
      </c>
    </row>
    <row r="813" spans="25:32">
      <c r="Y813" s="18">
        <f t="shared" si="21"/>
        <v>45871</v>
      </c>
    </row>
    <row r="814" spans="25:32">
      <c r="Y814" s="18">
        <f t="shared" si="21"/>
        <v>45871</v>
      </c>
    </row>
    <row r="815" spans="25:32">
      <c r="Y815" s="18">
        <f t="shared" si="21"/>
        <v>45871</v>
      </c>
    </row>
    <row r="816" spans="25:32">
      <c r="Y816" s="18">
        <f t="shared" si="21"/>
        <v>45871</v>
      </c>
    </row>
    <row r="817" spans="25:32">
      <c r="Y817" s="18">
        <f t="shared" si="21"/>
        <v>45871</v>
      </c>
    </row>
    <row r="818" spans="25:32">
      <c r="Y818" s="18">
        <f t="shared" si="21"/>
        <v>45871</v>
      </c>
    </row>
    <row r="819" spans="25:32">
      <c r="Y819" s="18">
        <f t="shared" si="21"/>
        <v>45871</v>
      </c>
    </row>
    <row r="820" spans="25:32">
      <c r="Y820" s="18">
        <f t="shared" si="21"/>
        <v>45871</v>
      </c>
    </row>
    <row r="821" spans="25:32">
      <c r="Y821" s="18">
        <f t="shared" si="21"/>
        <v>45871</v>
      </c>
    </row>
    <row r="822" spans="25:32">
      <c r="Y822" s="18">
        <f t="shared" si="21"/>
        <v>45871</v>
      </c>
    </row>
    <row r="823" spans="25:32">
      <c r="Y823" s="18">
        <f t="shared" si="21"/>
        <v>45871</v>
      </c>
      <c r="AF823" s="18"/>
    </row>
    <row r="824" spans="25:32">
      <c r="Y824" s="18">
        <f t="shared" si="21"/>
        <v>45871</v>
      </c>
      <c r="AF824" s="18"/>
    </row>
    <row r="825" spans="25:32">
      <c r="Y825" s="18">
        <f t="shared" si="21"/>
        <v>45871</v>
      </c>
      <c r="AF825" s="18"/>
    </row>
    <row r="826" spans="25:32">
      <c r="Y826" s="18">
        <f t="shared" si="21"/>
        <v>45871</v>
      </c>
      <c r="AF826" s="18"/>
    </row>
    <row r="827" spans="25:32">
      <c r="Y827" s="18">
        <f t="shared" si="21"/>
        <v>45871</v>
      </c>
      <c r="AF827" s="18"/>
    </row>
    <row r="828" spans="25:32">
      <c r="Y828" s="18">
        <f t="shared" si="21"/>
        <v>45871</v>
      </c>
      <c r="AF828" s="18"/>
    </row>
    <row r="829" spans="25:32">
      <c r="Y829" s="18">
        <f t="shared" si="21"/>
        <v>45871</v>
      </c>
      <c r="AF829" s="18"/>
    </row>
    <row r="830" spans="25:32">
      <c r="Y830" s="18">
        <f t="shared" si="21"/>
        <v>45871</v>
      </c>
    </row>
    <row r="831" spans="25:32">
      <c r="Y831" s="18">
        <f t="shared" si="21"/>
        <v>45871</v>
      </c>
    </row>
    <row r="832" spans="25:32">
      <c r="Y832" s="18">
        <f t="shared" si="21"/>
        <v>45871</v>
      </c>
    </row>
    <row r="833" spans="25:32">
      <c r="Y833" s="18">
        <f t="shared" si="21"/>
        <v>45871</v>
      </c>
    </row>
    <row r="834" spans="25:32">
      <c r="Y834" s="18">
        <f t="shared" ref="Y834:Y902" si="23">WORKDAY(DATE(2025,8,2),INT(P834/390))</f>
        <v>45871</v>
      </c>
    </row>
    <row r="835" spans="25:32">
      <c r="Y835" s="18">
        <f t="shared" si="23"/>
        <v>45871</v>
      </c>
    </row>
    <row r="836" spans="25:32">
      <c r="Y836" s="18">
        <f t="shared" si="23"/>
        <v>45871</v>
      </c>
    </row>
    <row r="837" spans="25:32">
      <c r="Y837" s="18">
        <f t="shared" si="23"/>
        <v>45871</v>
      </c>
    </row>
    <row r="838" spans="25:32">
      <c r="Y838" s="18">
        <f t="shared" si="23"/>
        <v>45871</v>
      </c>
    </row>
    <row r="839" spans="25:32">
      <c r="Y839" s="18">
        <f t="shared" si="23"/>
        <v>45871</v>
      </c>
    </row>
    <row r="840" spans="25:32">
      <c r="Y840" s="18">
        <f t="shared" si="23"/>
        <v>45871</v>
      </c>
    </row>
    <row r="841" spans="25:32">
      <c r="Y841" s="18">
        <f t="shared" si="23"/>
        <v>45871</v>
      </c>
    </row>
    <row r="842" spans="25:32">
      <c r="Y842" s="18">
        <f t="shared" si="23"/>
        <v>45871</v>
      </c>
    </row>
    <row r="843" spans="25:32">
      <c r="Y843" s="18">
        <f t="shared" si="23"/>
        <v>45871</v>
      </c>
    </row>
    <row r="844" spans="25:32">
      <c r="Y844" s="18">
        <f t="shared" si="23"/>
        <v>45871</v>
      </c>
      <c r="AF844" s="18"/>
    </row>
    <row r="845" spans="25:32">
      <c r="Y845" s="18">
        <f t="shared" si="23"/>
        <v>45871</v>
      </c>
      <c r="AF845" s="18"/>
    </row>
    <row r="846" spans="25:32">
      <c r="Y846" s="18">
        <f t="shared" si="23"/>
        <v>45871</v>
      </c>
      <c r="AF846" s="18"/>
    </row>
    <row r="847" spans="25:32">
      <c r="Y847" s="18">
        <f t="shared" si="23"/>
        <v>45871</v>
      </c>
      <c r="AF847" s="18"/>
    </row>
    <row r="848" spans="25:32">
      <c r="Y848" s="18">
        <f t="shared" si="23"/>
        <v>45871</v>
      </c>
      <c r="AF848" s="18"/>
    </row>
    <row r="849" spans="25:32">
      <c r="Y849" s="18">
        <f t="shared" si="23"/>
        <v>45871</v>
      </c>
      <c r="AF849" s="18"/>
    </row>
    <row r="850" spans="25:32">
      <c r="Y850" s="18">
        <f t="shared" si="23"/>
        <v>45871</v>
      </c>
      <c r="AF850" s="18"/>
    </row>
    <row r="851" spans="25:32">
      <c r="Y851" s="18">
        <f t="shared" si="23"/>
        <v>45871</v>
      </c>
      <c r="AF851" s="18"/>
    </row>
    <row r="852" spans="25:32">
      <c r="Y852" s="18">
        <f t="shared" si="23"/>
        <v>45871</v>
      </c>
    </row>
    <row r="853" spans="25:32">
      <c r="Y853" s="18">
        <f t="shared" si="23"/>
        <v>45871</v>
      </c>
    </row>
    <row r="854" spans="25:32">
      <c r="Y854" s="18">
        <f t="shared" si="23"/>
        <v>45871</v>
      </c>
    </row>
    <row r="855" spans="25:32">
      <c r="Y855" s="18">
        <f t="shared" si="23"/>
        <v>45871</v>
      </c>
    </row>
    <row r="856" spans="25:32">
      <c r="Y856" s="18">
        <f t="shared" si="23"/>
        <v>45871</v>
      </c>
    </row>
    <row r="857" spans="25:32">
      <c r="Y857" s="18">
        <f t="shared" si="23"/>
        <v>45871</v>
      </c>
    </row>
    <row r="858" spans="25:32">
      <c r="Y858" s="18">
        <f t="shared" si="23"/>
        <v>45871</v>
      </c>
    </row>
    <row r="859" spans="25:32">
      <c r="Y859" s="18">
        <f t="shared" si="23"/>
        <v>45871</v>
      </c>
    </row>
    <row r="860" spans="25:32">
      <c r="Y860" s="18">
        <f t="shared" si="23"/>
        <v>45871</v>
      </c>
    </row>
    <row r="861" spans="25:32">
      <c r="Y861" s="18">
        <f t="shared" si="23"/>
        <v>45871</v>
      </c>
    </row>
    <row r="862" spans="25:32">
      <c r="Y862" s="18">
        <f t="shared" si="23"/>
        <v>45871</v>
      </c>
    </row>
    <row r="863" spans="25:32">
      <c r="Y863" s="18">
        <f t="shared" si="23"/>
        <v>45871</v>
      </c>
    </row>
    <row r="864" spans="25:32">
      <c r="Y864" s="18">
        <f t="shared" si="23"/>
        <v>45871</v>
      </c>
      <c r="AF864" s="18"/>
    </row>
    <row r="865" spans="25:32">
      <c r="Y865" s="18">
        <f t="shared" si="23"/>
        <v>45871</v>
      </c>
      <c r="AF865" s="18"/>
    </row>
    <row r="866" spans="25:32">
      <c r="Y866" s="18">
        <f t="shared" si="23"/>
        <v>45871</v>
      </c>
      <c r="AF866" s="18"/>
    </row>
    <row r="867" spans="25:32">
      <c r="Y867" s="18">
        <f t="shared" si="23"/>
        <v>45871</v>
      </c>
      <c r="AF867" s="18"/>
    </row>
    <row r="868" spans="25:32">
      <c r="Y868" s="18">
        <f t="shared" si="23"/>
        <v>45871</v>
      </c>
      <c r="AF868" s="18"/>
    </row>
    <row r="869" spans="25:32">
      <c r="Y869" s="18">
        <f t="shared" si="23"/>
        <v>45871</v>
      </c>
      <c r="AF869" s="18"/>
    </row>
    <row r="870" spans="25:32">
      <c r="Y870" s="18">
        <f t="shared" si="23"/>
        <v>45871</v>
      </c>
      <c r="AF870" s="18"/>
    </row>
    <row r="871" spans="25:32">
      <c r="Y871" s="18">
        <f t="shared" si="23"/>
        <v>45871</v>
      </c>
      <c r="AF871" s="18"/>
    </row>
    <row r="872" spans="25:32">
      <c r="Y872" s="18">
        <f t="shared" si="23"/>
        <v>45871</v>
      </c>
      <c r="AF872" s="18"/>
    </row>
    <row r="873" spans="25:32">
      <c r="Y873" s="18">
        <f t="shared" si="23"/>
        <v>45871</v>
      </c>
    </row>
    <row r="874" spans="25:32">
      <c r="Y874" s="18">
        <f t="shared" si="23"/>
        <v>45871</v>
      </c>
    </row>
    <row r="875" spans="25:32">
      <c r="Y875" s="18">
        <f t="shared" si="23"/>
        <v>45871</v>
      </c>
    </row>
    <row r="876" spans="25:32">
      <c r="Y876" s="18">
        <f t="shared" si="23"/>
        <v>45871</v>
      </c>
    </row>
    <row r="877" spans="25:32">
      <c r="Y877" s="18">
        <f t="shared" si="23"/>
        <v>45871</v>
      </c>
    </row>
    <row r="878" spans="25:32">
      <c r="Y878" s="18">
        <f t="shared" si="23"/>
        <v>45871</v>
      </c>
    </row>
    <row r="879" spans="25:32">
      <c r="Y879" s="18">
        <f t="shared" si="23"/>
        <v>45871</v>
      </c>
    </row>
    <row r="880" spans="25:32">
      <c r="Y880" s="18">
        <f t="shared" si="23"/>
        <v>45871</v>
      </c>
    </row>
    <row r="881" spans="25:32">
      <c r="Y881" s="18">
        <f t="shared" si="23"/>
        <v>45871</v>
      </c>
    </row>
    <row r="882" spans="25:32">
      <c r="Y882" s="18">
        <f t="shared" si="23"/>
        <v>45871</v>
      </c>
    </row>
    <row r="883" spans="25:32">
      <c r="Y883" s="18">
        <f t="shared" si="23"/>
        <v>45871</v>
      </c>
    </row>
    <row r="884" spans="25:32">
      <c r="Y884" s="18">
        <f t="shared" si="23"/>
        <v>45871</v>
      </c>
    </row>
    <row r="885" spans="25:32">
      <c r="Y885" s="18">
        <f t="shared" si="23"/>
        <v>45871</v>
      </c>
    </row>
    <row r="886" spans="25:32">
      <c r="Y886" s="18">
        <f t="shared" si="23"/>
        <v>45871</v>
      </c>
      <c r="AF886" s="18"/>
    </row>
    <row r="887" spans="25:32">
      <c r="Y887" s="18">
        <f t="shared" si="23"/>
        <v>45871</v>
      </c>
      <c r="AF887" s="18"/>
    </row>
    <row r="888" spans="25:32">
      <c r="Y888" s="18">
        <f t="shared" si="23"/>
        <v>45871</v>
      </c>
      <c r="AF888" s="18"/>
    </row>
    <row r="889" spans="25:32">
      <c r="Y889" s="18">
        <f t="shared" si="23"/>
        <v>45871</v>
      </c>
      <c r="AF889" s="18"/>
    </row>
    <row r="890" spans="25:32">
      <c r="Y890" s="18">
        <f t="shared" si="23"/>
        <v>45871</v>
      </c>
      <c r="AF890" s="18"/>
    </row>
    <row r="891" spans="25:32">
      <c r="Y891" s="18">
        <f t="shared" si="23"/>
        <v>45871</v>
      </c>
      <c r="AF891" s="18"/>
    </row>
    <row r="892" spans="25:32">
      <c r="Y892" s="18">
        <f t="shared" si="23"/>
        <v>45871</v>
      </c>
      <c r="AF892" s="18"/>
    </row>
    <row r="893" spans="25:32">
      <c r="Y893" s="18">
        <f t="shared" si="23"/>
        <v>45871</v>
      </c>
    </row>
    <row r="894" spans="25:32">
      <c r="Y894" s="18">
        <f t="shared" si="23"/>
        <v>45871</v>
      </c>
    </row>
    <row r="895" spans="25:32">
      <c r="Y895" s="18">
        <f t="shared" si="23"/>
        <v>45871</v>
      </c>
    </row>
    <row r="896" spans="25:32">
      <c r="Y896" s="18">
        <f t="shared" si="23"/>
        <v>45871</v>
      </c>
    </row>
    <row r="897" spans="25:32">
      <c r="Y897" s="18">
        <f t="shared" si="23"/>
        <v>45871</v>
      </c>
    </row>
    <row r="898" spans="25:32">
      <c r="Y898" s="18">
        <f t="shared" si="23"/>
        <v>45871</v>
      </c>
    </row>
    <row r="899" spans="25:32">
      <c r="Y899" s="18">
        <f t="shared" si="23"/>
        <v>45871</v>
      </c>
    </row>
    <row r="900" spans="25:32">
      <c r="Y900" s="18">
        <f t="shared" si="23"/>
        <v>45871</v>
      </c>
    </row>
    <row r="901" spans="25:32">
      <c r="Y901" s="18">
        <f t="shared" si="23"/>
        <v>45871</v>
      </c>
    </row>
    <row r="902" spans="25:32">
      <c r="Y902" s="18">
        <f t="shared" si="23"/>
        <v>45871</v>
      </c>
    </row>
    <row r="907" spans="25:32">
      <c r="AF907" s="18"/>
    </row>
    <row r="908" spans="25:32">
      <c r="AF908" s="18"/>
    </row>
    <row r="909" spans="25:32">
      <c r="AF909" s="18"/>
    </row>
    <row r="910" spans="25:32">
      <c r="AF910" s="18"/>
    </row>
    <row r="911" spans="25:32">
      <c r="AF911" s="18"/>
    </row>
    <row r="912" spans="25:32">
      <c r="AF912" s="18"/>
    </row>
    <row r="913" spans="32:32">
      <c r="AF913" s="18"/>
    </row>
    <row r="914" spans="32:32">
      <c r="AF914" s="18"/>
    </row>
    <row r="915" spans="32:32">
      <c r="AF915" s="18"/>
    </row>
    <row r="929" spans="32:32">
      <c r="AF929" s="18"/>
    </row>
    <row r="930" spans="32:32">
      <c r="AF930" s="18"/>
    </row>
    <row r="931" spans="32:32">
      <c r="AF931" s="18"/>
    </row>
    <row r="932" spans="32:32">
      <c r="AF932" s="18"/>
    </row>
    <row r="933" spans="32:32">
      <c r="AF933" s="18"/>
    </row>
    <row r="934" spans="32:32">
      <c r="AF934" s="18"/>
    </row>
    <row r="935" spans="32:32">
      <c r="AF935" s="18"/>
    </row>
    <row r="950" spans="32:32">
      <c r="AF950" s="18"/>
    </row>
    <row r="951" spans="32:32">
      <c r="AF951" s="18"/>
    </row>
    <row r="952" spans="32:32">
      <c r="AF952" s="18"/>
    </row>
    <row r="953" spans="32:32">
      <c r="AF953" s="18"/>
    </row>
    <row r="954" spans="32:32">
      <c r="AF954" s="18"/>
    </row>
    <row r="955" spans="32:32">
      <c r="AF955" s="18"/>
    </row>
    <row r="956" spans="32:32">
      <c r="AF956" s="18"/>
    </row>
    <row r="957" spans="32:32">
      <c r="AF957" s="18"/>
    </row>
    <row r="971" spans="32:32">
      <c r="AF971" s="18"/>
    </row>
    <row r="972" spans="32:32">
      <c r="AF972" s="18"/>
    </row>
    <row r="973" spans="32:32">
      <c r="AF973" s="18"/>
    </row>
    <row r="974" spans="32:32">
      <c r="AF974" s="18"/>
    </row>
    <row r="975" spans="32:32">
      <c r="AF975" s="18"/>
    </row>
    <row r="976" spans="32:32">
      <c r="AF976" s="18"/>
    </row>
    <row r="977" spans="32:32">
      <c r="AF977" s="18"/>
    </row>
    <row r="978" spans="32:32">
      <c r="AF978" s="18"/>
    </row>
    <row r="979" spans="32:32">
      <c r="AF979" s="18"/>
    </row>
    <row r="980" spans="32:32">
      <c r="AF980" s="18"/>
    </row>
    <row r="992" spans="32:32">
      <c r="AF992" s="18"/>
    </row>
    <row r="993" spans="32:32">
      <c r="AF993" s="18"/>
    </row>
    <row r="994" spans="32:32">
      <c r="AF994" s="18"/>
    </row>
    <row r="995" spans="32:32">
      <c r="AF995" s="18"/>
    </row>
    <row r="996" spans="32:32">
      <c r="AF996" s="18"/>
    </row>
    <row r="997" spans="32:32">
      <c r="AF997" s="18"/>
    </row>
    <row r="998" spans="32:32">
      <c r="AF998" s="18"/>
    </row>
    <row r="999" spans="32:32">
      <c r="AF999" s="18"/>
    </row>
    <row r="1014" spans="32:32">
      <c r="AF1014" s="18"/>
    </row>
    <row r="1015" spans="32:32">
      <c r="AF1015" s="18"/>
    </row>
    <row r="1016" spans="32:32">
      <c r="AF1016" s="18"/>
    </row>
    <row r="1017" spans="32:32">
      <c r="AF1017" s="18"/>
    </row>
    <row r="1018" spans="32:32">
      <c r="AF1018" s="18"/>
    </row>
    <row r="1019" spans="32:32">
      <c r="AF1019" s="18"/>
    </row>
    <row r="1020" spans="32:32">
      <c r="AF1020" s="18"/>
    </row>
    <row r="1021" spans="32:32">
      <c r="AF1021" s="18"/>
    </row>
    <row r="1035" spans="32:32">
      <c r="AF1035" s="18"/>
    </row>
    <row r="1036" spans="32:32">
      <c r="AF1036" s="18"/>
    </row>
    <row r="1037" spans="32:32">
      <c r="AF1037" s="18"/>
    </row>
    <row r="1038" spans="32:32">
      <c r="AF1038" s="18"/>
    </row>
    <row r="1039" spans="32:32">
      <c r="AF1039" s="18"/>
    </row>
    <row r="1040" spans="32:32">
      <c r="AF1040" s="18"/>
    </row>
    <row r="1041" spans="32:32">
      <c r="AF1041" s="18"/>
    </row>
    <row r="1042" spans="32:32">
      <c r="AF1042" s="18"/>
    </row>
    <row r="1043" spans="32:32">
      <c r="AF1043" s="18"/>
    </row>
    <row r="1054" spans="32:32">
      <c r="AF1054" s="18"/>
    </row>
    <row r="1055" spans="32:32">
      <c r="AF1055" s="18"/>
    </row>
    <row r="1056" spans="32:32">
      <c r="AF1056" s="18"/>
    </row>
    <row r="1057" spans="32:32">
      <c r="AF1057" s="18"/>
    </row>
    <row r="1058" spans="32:32">
      <c r="AF1058" s="18"/>
    </row>
    <row r="1059" spans="32:32">
      <c r="AF1059" s="18"/>
    </row>
    <row r="1060" spans="32:32">
      <c r="AF1060" s="18"/>
    </row>
    <row r="1061" spans="32:32">
      <c r="AF1061" s="18"/>
    </row>
    <row r="1062" spans="32:32">
      <c r="AF1062" s="18"/>
    </row>
    <row r="1077" spans="32:32">
      <c r="AF1077" s="18"/>
    </row>
    <row r="1078" spans="32:32">
      <c r="AF1078" s="18"/>
    </row>
    <row r="1079" spans="32:32">
      <c r="AF1079" s="18"/>
    </row>
    <row r="1080" spans="32:32">
      <c r="AF1080" s="18"/>
    </row>
    <row r="1081" spans="32:32">
      <c r="AF1081" s="18"/>
    </row>
    <row r="1082" spans="32:32">
      <c r="AF1082" s="18"/>
    </row>
    <row r="1083" spans="32:32">
      <c r="AF1083" s="18"/>
    </row>
    <row r="1096" spans="32:32">
      <c r="AF1096" s="18"/>
    </row>
    <row r="1097" spans="32:32">
      <c r="AF1097" s="18"/>
    </row>
    <row r="1098" spans="32:32">
      <c r="AF1098" s="18"/>
    </row>
    <row r="1099" spans="32:32">
      <c r="AF1099" s="18"/>
    </row>
    <row r="1100" spans="32:32">
      <c r="AF1100" s="18"/>
    </row>
    <row r="1101" spans="32:32">
      <c r="AF1101" s="18"/>
    </row>
    <row r="1102" spans="32:32">
      <c r="AF1102" s="18"/>
    </row>
    <row r="1103" spans="32:32">
      <c r="AF1103" s="18"/>
    </row>
    <row r="1104" spans="32:32">
      <c r="AF1104" s="18"/>
    </row>
    <row r="1117" spans="32:32">
      <c r="AF1117" s="18"/>
    </row>
    <row r="1118" spans="32:32">
      <c r="AF1118" s="18"/>
    </row>
    <row r="1119" spans="32:32">
      <c r="AF1119" s="18"/>
    </row>
    <row r="1120" spans="32:32">
      <c r="AF1120" s="18"/>
    </row>
    <row r="1121" spans="32:32">
      <c r="AF1121" s="18"/>
    </row>
    <row r="1122" spans="32:32">
      <c r="AF1122" s="18"/>
    </row>
    <row r="1123" spans="32:32">
      <c r="AF1123" s="18"/>
    </row>
    <row r="1124" spans="32:32">
      <c r="AF1124" s="18"/>
    </row>
    <row r="1139" spans="32:32">
      <c r="AF1139" s="18"/>
    </row>
    <row r="1140" spans="32:32">
      <c r="AF1140" s="18"/>
    </row>
    <row r="1141" spans="32:32">
      <c r="AF1141" s="18"/>
    </row>
    <row r="1142" spans="32:32">
      <c r="AF1142" s="18"/>
    </row>
    <row r="1143" spans="32:32">
      <c r="AF1143" s="18"/>
    </row>
    <row r="1144" spans="32:32">
      <c r="AF1144" s="18"/>
    </row>
    <row r="1145" spans="32:32">
      <c r="AF1145" s="18"/>
    </row>
    <row r="1159" spans="32:32">
      <c r="AF1159" s="18"/>
    </row>
    <row r="1160" spans="32:32">
      <c r="AF1160" s="18"/>
    </row>
    <row r="1161" spans="32:32">
      <c r="AF1161" s="18"/>
    </row>
    <row r="1162" spans="32:32">
      <c r="AF1162" s="18"/>
    </row>
    <row r="1163" spans="32:32">
      <c r="AF1163" s="18"/>
    </row>
    <row r="1164" spans="32:32">
      <c r="AF1164" s="18"/>
    </row>
    <row r="1165" spans="32:32">
      <c r="AF1165" s="18"/>
    </row>
    <row r="1166" spans="32:32">
      <c r="AF1166" s="18"/>
    </row>
    <row r="1167" spans="32:32">
      <c r="AF1167" s="18"/>
    </row>
    <row r="1168" spans="32:32">
      <c r="AF1168" s="18"/>
    </row>
    <row r="1182" spans="32:32">
      <c r="AF1182" s="18"/>
    </row>
    <row r="1183" spans="32:32">
      <c r="AF1183" s="18"/>
    </row>
    <row r="1184" spans="32:32">
      <c r="AF1184" s="18"/>
    </row>
    <row r="1185" spans="32:32">
      <c r="AF1185" s="18"/>
    </row>
    <row r="1186" spans="32:32">
      <c r="AF1186" s="18"/>
    </row>
    <row r="1187" spans="32:32">
      <c r="AF1187" s="18"/>
    </row>
    <row r="1188" spans="32:32">
      <c r="AF1188" s="18"/>
    </row>
    <row r="1203" spans="32:32">
      <c r="AF1203" s="18"/>
    </row>
    <row r="1204" spans="32:32">
      <c r="AF1204" s="18"/>
    </row>
    <row r="1205" spans="32:32">
      <c r="AF1205" s="18"/>
    </row>
    <row r="1206" spans="32:32">
      <c r="AF1206" s="18"/>
    </row>
    <row r="1207" spans="32:32">
      <c r="AF1207" s="18"/>
    </row>
    <row r="1208" spans="32:32">
      <c r="AF1208" s="18"/>
    </row>
    <row r="1209" spans="32:32">
      <c r="AF1209" s="18"/>
    </row>
    <row r="1210" spans="32:32">
      <c r="AF1210" s="18"/>
    </row>
    <row r="1224" spans="32:32">
      <c r="AF1224" s="18"/>
    </row>
    <row r="1225" spans="32:32">
      <c r="AF1225" s="18"/>
    </row>
    <row r="1226" spans="32:32">
      <c r="AF1226" s="18"/>
    </row>
    <row r="1227" spans="32:32">
      <c r="AF1227" s="18"/>
    </row>
    <row r="1228" spans="32:32">
      <c r="AF1228" s="18"/>
    </row>
    <row r="1229" spans="32:32">
      <c r="AF1229" s="18"/>
    </row>
    <row r="1230" spans="32:32">
      <c r="AF1230" s="18"/>
    </row>
    <row r="1231" spans="32:32">
      <c r="AF1231" s="18"/>
    </row>
    <row r="1232" spans="32:32">
      <c r="AF1232" s="18"/>
    </row>
    <row r="1245" spans="32:32">
      <c r="AF1245" s="18"/>
    </row>
    <row r="1246" spans="32:32">
      <c r="AF1246" s="18"/>
    </row>
    <row r="1247" spans="32:32">
      <c r="AF1247" s="18"/>
    </row>
    <row r="1248" spans="32:32">
      <c r="AF1248" s="18"/>
    </row>
    <row r="1249" spans="32:32">
      <c r="AF1249" s="18"/>
    </row>
    <row r="1250" spans="32:32">
      <c r="AF1250" s="18"/>
    </row>
    <row r="1251" spans="32:32">
      <c r="AF1251" s="18"/>
    </row>
    <row r="1252" spans="32:32">
      <c r="AF1252" s="18"/>
    </row>
    <row r="1266" spans="32:32">
      <c r="AF1266" s="18"/>
    </row>
    <row r="1267" spans="32:32">
      <c r="AF1267" s="18"/>
    </row>
    <row r="1268" spans="32:32">
      <c r="AF1268" s="18"/>
    </row>
    <row r="1269" spans="32:32">
      <c r="AF1269" s="18"/>
    </row>
    <row r="1270" spans="32:32">
      <c r="AF1270" s="18"/>
    </row>
    <row r="1271" spans="32:32">
      <c r="AF1271" s="18"/>
    </row>
    <row r="1272" spans="32:32">
      <c r="AF1272" s="18"/>
    </row>
    <row r="1273" spans="32:32">
      <c r="AF1273" s="18"/>
    </row>
    <row r="1287" spans="32:32">
      <c r="AF1287" s="18"/>
    </row>
    <row r="1288" spans="32:32">
      <c r="AF1288" s="18"/>
    </row>
    <row r="1289" spans="32:32">
      <c r="AF1289" s="18"/>
    </row>
    <row r="1290" spans="32:32">
      <c r="AF1290" s="18"/>
    </row>
    <row r="1291" spans="32:32">
      <c r="AF1291" s="18"/>
    </row>
    <row r="1292" spans="32:32">
      <c r="AF1292" s="18"/>
    </row>
    <row r="1293" spans="32:32">
      <c r="AF1293" s="18"/>
    </row>
    <row r="1294" spans="32:32">
      <c r="AF1294" s="18"/>
    </row>
    <row r="1306" spans="32:32">
      <c r="AF1306" s="18"/>
    </row>
    <row r="1307" spans="32:32">
      <c r="AF1307" s="18"/>
    </row>
    <row r="1308" spans="32:32">
      <c r="AF1308" s="18"/>
    </row>
    <row r="1309" spans="32:32">
      <c r="AF1309" s="18"/>
    </row>
    <row r="1310" spans="32:32">
      <c r="AF1310" s="18"/>
    </row>
    <row r="1311" spans="32:32">
      <c r="AF1311" s="18"/>
    </row>
    <row r="1312" spans="32:32">
      <c r="AF1312" s="18"/>
    </row>
    <row r="1313" spans="32:32">
      <c r="AF1313" s="18"/>
    </row>
    <row r="1329" spans="32:32">
      <c r="AF1329" s="18"/>
    </row>
    <row r="1330" spans="32:32">
      <c r="AF1330" s="18"/>
    </row>
    <row r="1331" spans="32:32">
      <c r="AF1331" s="18"/>
    </row>
    <row r="1332" spans="32:32">
      <c r="AF1332" s="18"/>
    </row>
    <row r="1333" spans="32:32">
      <c r="AF1333" s="18"/>
    </row>
    <row r="1334" spans="32:32">
      <c r="AF1334" s="18"/>
    </row>
    <row r="1335" spans="32:32">
      <c r="AF1335" s="18"/>
    </row>
    <row r="1336" spans="32:32">
      <c r="AF1336" s="18"/>
    </row>
    <row r="1348" spans="32:32">
      <c r="AF1348" s="18"/>
    </row>
    <row r="1349" spans="32:32">
      <c r="AF1349" s="18"/>
    </row>
    <row r="1350" spans="32:32">
      <c r="AF1350" s="18"/>
    </row>
    <row r="1351" spans="32:32">
      <c r="AF1351" s="18"/>
    </row>
    <row r="1352" spans="32:32">
      <c r="AF1352" s="18"/>
    </row>
    <row r="1353" spans="32:32">
      <c r="AF1353" s="18"/>
    </row>
    <row r="1354" spans="32:32">
      <c r="AF1354" s="18"/>
    </row>
    <row r="1355" spans="32:32">
      <c r="AF1355" s="18"/>
    </row>
    <row r="1356" spans="32:32">
      <c r="AF1356" s="18"/>
    </row>
    <row r="1357" spans="32:32">
      <c r="AF1357" s="18"/>
    </row>
    <row r="1370" spans="32:32">
      <c r="AF1370" s="18"/>
    </row>
    <row r="1371" spans="32:32">
      <c r="AF1371" s="18"/>
    </row>
    <row r="1372" spans="32:32">
      <c r="AF1372" s="18"/>
    </row>
    <row r="1373" spans="32:32">
      <c r="AF1373" s="18"/>
    </row>
    <row r="1374" spans="32:32">
      <c r="AF1374" s="18"/>
    </row>
    <row r="1375" spans="32:32">
      <c r="AF1375" s="18"/>
    </row>
    <row r="1376" spans="32:32">
      <c r="AF1376" s="18"/>
    </row>
    <row r="1377" spans="32:32">
      <c r="AF1377" s="18"/>
    </row>
    <row r="1392" spans="32:32">
      <c r="AF1392" s="18"/>
    </row>
    <row r="1393" spans="32:32">
      <c r="AF1393" s="18"/>
    </row>
    <row r="1394" spans="32:32">
      <c r="AF1394" s="18"/>
    </row>
    <row r="1395" spans="32:32">
      <c r="AF1395" s="18"/>
    </row>
    <row r="1396" spans="32:32">
      <c r="AF1396" s="18"/>
    </row>
    <row r="1397" spans="32:32">
      <c r="AF1397" s="18"/>
    </row>
    <row r="1398" spans="32:32">
      <c r="AF1398" s="18"/>
    </row>
    <row r="1412" spans="32:32">
      <c r="AF1412" s="18"/>
    </row>
    <row r="1413" spans="32:32">
      <c r="AF1413" s="18"/>
    </row>
    <row r="1414" spans="32:32">
      <c r="AF1414" s="18"/>
    </row>
    <row r="1415" spans="32:32">
      <c r="AF1415" s="18"/>
    </row>
    <row r="1416" spans="32:32">
      <c r="AF1416" s="18"/>
    </row>
    <row r="1417" spans="32:32">
      <c r="AF1417" s="18"/>
    </row>
    <row r="1418" spans="32:32">
      <c r="AF1418" s="18"/>
    </row>
    <row r="1419" spans="32:32">
      <c r="AF1419" s="18"/>
    </row>
    <row r="1420" spans="32:32">
      <c r="AF1420" s="18"/>
    </row>
    <row r="1435" spans="32:32">
      <c r="AF1435" s="18"/>
    </row>
    <row r="1436" spans="32:32">
      <c r="AF1436" s="18"/>
    </row>
    <row r="1437" spans="32:32">
      <c r="AF1437" s="18"/>
    </row>
    <row r="1438" spans="32:32">
      <c r="AF1438" s="18"/>
    </row>
    <row r="1439" spans="32:32">
      <c r="AF1439" s="18"/>
    </row>
    <row r="1440" spans="32:32">
      <c r="AF1440" s="18"/>
    </row>
    <row r="1441" spans="32:32">
      <c r="AF1441" s="18"/>
    </row>
    <row r="1455" spans="32:32">
      <c r="AF1455" s="18"/>
    </row>
    <row r="1456" spans="32:32">
      <c r="AF1456" s="18"/>
    </row>
    <row r="1457" spans="32:32">
      <c r="AF1457" s="18"/>
    </row>
    <row r="1458" spans="32:32">
      <c r="AF1458" s="18"/>
    </row>
    <row r="1459" spans="32:32">
      <c r="AF1459" s="18"/>
    </row>
    <row r="1460" spans="32:32">
      <c r="AF1460" s="18"/>
    </row>
    <row r="1461" spans="32:32">
      <c r="AF1461" s="18"/>
    </row>
    <row r="1462" spans="32:32">
      <c r="AF1462" s="18"/>
    </row>
    <row r="1463" spans="32:32">
      <c r="AF1463" s="18"/>
    </row>
    <row r="1477" spans="32:32">
      <c r="AF1477" s="18"/>
    </row>
    <row r="1478" spans="32:32">
      <c r="AF1478" s="18"/>
    </row>
    <row r="1479" spans="32:32">
      <c r="AF1479" s="18"/>
    </row>
    <row r="1480" spans="32:32">
      <c r="AF1480" s="18"/>
    </row>
    <row r="1481" spans="32:32">
      <c r="AF1481" s="18"/>
    </row>
    <row r="1482" spans="32:32">
      <c r="AF1482" s="18"/>
    </row>
    <row r="1483" spans="32:32">
      <c r="AF1483" s="18"/>
    </row>
    <row r="1484" spans="32:32">
      <c r="AF1484" s="18"/>
    </row>
    <row r="1498" spans="32:32">
      <c r="AF1498" s="18"/>
    </row>
    <row r="1499" spans="32:32">
      <c r="AF1499" s="18"/>
    </row>
    <row r="1500" spans="32:32">
      <c r="AF1500" s="18"/>
    </row>
    <row r="1501" spans="32:32">
      <c r="AF1501" s="18"/>
    </row>
    <row r="1502" spans="32:32">
      <c r="AF1502" s="18"/>
    </row>
    <row r="1503" spans="32:32">
      <c r="AF1503" s="18"/>
    </row>
    <row r="1504" spans="32:32">
      <c r="AF1504" s="18"/>
    </row>
    <row r="1505" spans="32:32">
      <c r="AF1505" s="18"/>
    </row>
    <row r="1518" spans="32:32">
      <c r="AF1518" s="18"/>
    </row>
    <row r="1519" spans="32:32">
      <c r="AF1519" s="18"/>
    </row>
    <row r="1520" spans="32:32">
      <c r="AF1520" s="18"/>
    </row>
    <row r="1521" spans="32:32">
      <c r="AF1521" s="18"/>
    </row>
    <row r="1522" spans="32:32">
      <c r="AF1522" s="18"/>
    </row>
    <row r="1523" spans="32:32">
      <c r="AF1523" s="18"/>
    </row>
    <row r="1524" spans="32:32">
      <c r="AF1524" s="18"/>
    </row>
    <row r="1525" spans="32:32">
      <c r="AF1525" s="18"/>
    </row>
    <row r="1526" spans="32:32">
      <c r="AF1526" s="18"/>
    </row>
    <row r="1540" spans="32:32">
      <c r="AF1540" s="18"/>
    </row>
    <row r="1541" spans="32:32">
      <c r="AF1541" s="18"/>
    </row>
    <row r="1542" spans="32:32">
      <c r="AF1542" s="18"/>
    </row>
    <row r="1543" spans="32:32">
      <c r="AF1543" s="18"/>
    </row>
    <row r="1544" spans="32:32">
      <c r="AF1544" s="18"/>
    </row>
    <row r="1545" spans="32:32">
      <c r="AF1545" s="18"/>
    </row>
    <row r="1546" spans="32:32">
      <c r="AF1546" s="18"/>
    </row>
    <row r="1547" spans="32:32">
      <c r="AF1547" s="18"/>
    </row>
    <row r="1560" spans="32:32">
      <c r="AF1560" s="18"/>
    </row>
    <row r="1561" spans="32:32">
      <c r="AF1561" s="18"/>
    </row>
    <row r="1562" spans="32:32">
      <c r="AF1562" s="18"/>
    </row>
    <row r="1563" spans="32:32">
      <c r="AF1563" s="18"/>
    </row>
    <row r="1564" spans="32:32">
      <c r="AF1564" s="18"/>
    </row>
    <row r="1565" spans="32:32">
      <c r="AF1565" s="18"/>
    </row>
    <row r="1566" spans="32:32">
      <c r="AF1566" s="18"/>
    </row>
    <row r="1567" spans="32:32">
      <c r="AF1567" s="18"/>
    </row>
    <row r="1581" spans="32:32">
      <c r="AF1581" s="18"/>
    </row>
    <row r="1582" spans="32:32">
      <c r="AF1582" s="18"/>
    </row>
    <row r="1583" spans="32:32">
      <c r="AF1583" s="18"/>
    </row>
    <row r="1584" spans="32:32">
      <c r="AF1584" s="18"/>
    </row>
    <row r="1585" spans="32:32">
      <c r="AF1585" s="18"/>
    </row>
    <row r="1586" spans="32:32">
      <c r="AF1586" s="18"/>
    </row>
    <row r="1587" spans="32:32">
      <c r="AF1587" s="18"/>
    </row>
    <row r="1588" spans="32:32">
      <c r="AF1588" s="18"/>
    </row>
    <row r="1589" spans="32:32">
      <c r="AF1589" s="18"/>
    </row>
    <row r="1602" spans="32:32">
      <c r="AF1602" s="18"/>
    </row>
    <row r="1603" spans="32:32">
      <c r="AF1603" s="18"/>
    </row>
    <row r="1604" spans="32:32">
      <c r="AF1604" s="18"/>
    </row>
    <row r="1605" spans="32:32">
      <c r="AF1605" s="18"/>
    </row>
    <row r="1606" spans="32:32">
      <c r="AF1606" s="18"/>
    </row>
    <row r="1607" spans="32:32">
      <c r="AF1607" s="18"/>
    </row>
    <row r="1608" spans="32:32">
      <c r="AF1608" s="18"/>
    </row>
    <row r="1609" spans="32:32">
      <c r="AF1609" s="18"/>
    </row>
    <row r="1624" spans="32:32">
      <c r="AF1624" s="18"/>
    </row>
    <row r="1625" spans="32:32">
      <c r="AF1625" s="18"/>
    </row>
    <row r="1626" spans="32:32">
      <c r="AF1626" s="18"/>
    </row>
    <row r="1627" spans="32:32">
      <c r="AF1627" s="18"/>
    </row>
    <row r="1628" spans="32:32">
      <c r="AF1628" s="18"/>
    </row>
    <row r="1629" spans="32:32">
      <c r="AF1629" s="18"/>
    </row>
    <row r="1630" spans="32:32">
      <c r="AF1630" s="18"/>
    </row>
    <row r="1631" spans="32:32">
      <c r="AF1631" s="18"/>
    </row>
    <row r="1644" spans="32:32">
      <c r="AF1644" s="18"/>
    </row>
    <row r="1645" spans="32:32">
      <c r="AF1645" s="18"/>
    </row>
    <row r="1646" spans="32:32">
      <c r="AF1646" s="18"/>
    </row>
    <row r="1647" spans="32:32">
      <c r="AF1647" s="18"/>
    </row>
    <row r="1648" spans="32:32">
      <c r="AF1648" s="18"/>
    </row>
    <row r="1649" spans="32:32">
      <c r="AF1649" s="18"/>
    </row>
    <row r="1650" spans="32:32">
      <c r="AF1650" s="18"/>
    </row>
    <row r="1651" spans="32:32">
      <c r="AF1651" s="18"/>
    </row>
    <row r="1652" spans="32:32">
      <c r="AF1652" s="18"/>
    </row>
    <row r="1666" spans="32:32">
      <c r="AF1666" s="18"/>
    </row>
    <row r="1667" spans="32:32">
      <c r="AF1667" s="18"/>
    </row>
    <row r="1668" spans="32:32">
      <c r="AF1668" s="18"/>
    </row>
    <row r="1669" spans="32:32">
      <c r="AF1669" s="18"/>
    </row>
    <row r="1670" spans="32:32">
      <c r="AF1670" s="18"/>
    </row>
    <row r="1671" spans="32:32">
      <c r="AF1671" s="18"/>
    </row>
    <row r="1672" spans="32:32">
      <c r="AF1672" s="18"/>
    </row>
    <row r="1673" spans="32:32">
      <c r="AF1673" s="18"/>
    </row>
    <row r="1688" spans="32:32">
      <c r="AF1688" s="18"/>
    </row>
    <row r="1689" spans="32:32">
      <c r="AF1689" s="18"/>
    </row>
    <row r="1690" spans="32:32">
      <c r="AF1690" s="18"/>
    </row>
    <row r="1691" spans="32:32">
      <c r="AF1691" s="18"/>
    </row>
    <row r="1692" spans="32:32">
      <c r="AF1692" s="18"/>
    </row>
    <row r="1693" spans="32:32">
      <c r="AF1693" s="18"/>
    </row>
    <row r="1694" spans="32:32">
      <c r="AF1694" s="18"/>
    </row>
    <row r="1695" spans="32:32">
      <c r="AF1695" s="18"/>
    </row>
    <row r="1708" spans="32:32">
      <c r="AF1708" s="18"/>
    </row>
    <row r="1709" spans="32:32">
      <c r="AF1709" s="18"/>
    </row>
    <row r="1710" spans="32:32">
      <c r="AF1710" s="18"/>
    </row>
    <row r="1711" spans="32:32">
      <c r="AF1711" s="18"/>
    </row>
    <row r="1712" spans="32:32">
      <c r="AF1712" s="18"/>
    </row>
    <row r="1713" spans="32:32">
      <c r="AF1713" s="18"/>
    </row>
    <row r="1714" spans="32:32">
      <c r="AF1714" s="18"/>
    </row>
    <row r="1715" spans="32:32">
      <c r="AF1715" s="18"/>
    </row>
    <row r="1716" spans="32:32">
      <c r="AF1716" s="18"/>
    </row>
    <row r="1731" spans="32:32">
      <c r="AF1731" s="18"/>
    </row>
    <row r="1732" spans="32:32">
      <c r="AF1732" s="18"/>
    </row>
    <row r="1733" spans="32:32">
      <c r="AF1733" s="18"/>
    </row>
    <row r="1734" spans="32:32">
      <c r="AF1734" s="18"/>
    </row>
    <row r="1735" spans="32:32">
      <c r="AF1735" s="18"/>
    </row>
    <row r="1736" spans="32:32">
      <c r="AF1736" s="18"/>
    </row>
    <row r="1737" spans="32:32">
      <c r="AF1737" s="18"/>
    </row>
    <row r="1738" spans="32:32">
      <c r="AF1738" s="18"/>
    </row>
    <row r="1751" spans="32:32">
      <c r="AF1751" s="18"/>
    </row>
    <row r="1752" spans="32:32">
      <c r="AF1752" s="18"/>
    </row>
    <row r="1753" spans="32:32">
      <c r="AF1753" s="18"/>
    </row>
    <row r="1754" spans="32:32">
      <c r="AF1754" s="18"/>
    </row>
    <row r="1755" spans="32:32">
      <c r="AF1755" s="18"/>
    </row>
    <row r="1756" spans="32:32">
      <c r="AF1756" s="18"/>
    </row>
    <row r="1757" spans="32:32">
      <c r="AF1757" s="18"/>
    </row>
    <row r="1758" spans="32:32">
      <c r="AF1758" s="18"/>
    </row>
    <row r="1759" spans="32:32">
      <c r="AF1759" s="18"/>
    </row>
    <row r="1772" spans="32:32">
      <c r="AF1772" s="18"/>
    </row>
    <row r="1773" spans="32:32">
      <c r="AF1773" s="18"/>
    </row>
    <row r="1774" spans="32:32">
      <c r="AF1774" s="18"/>
    </row>
    <row r="1775" spans="32:32">
      <c r="AF1775" s="18"/>
    </row>
    <row r="1776" spans="32:32">
      <c r="AF1776" s="18"/>
    </row>
    <row r="1777" spans="32:32">
      <c r="AF1777" s="18"/>
    </row>
    <row r="1778" spans="32:32">
      <c r="AF1778" s="18"/>
    </row>
    <row r="1793" spans="32:32">
      <c r="AF1793" s="18"/>
    </row>
    <row r="1794" spans="32:32">
      <c r="AF1794" s="18"/>
    </row>
    <row r="1795" spans="32:32">
      <c r="AF1795" s="18"/>
    </row>
    <row r="1796" spans="32:32">
      <c r="AF1796" s="18"/>
    </row>
    <row r="1797" spans="32:32">
      <c r="AF1797" s="18"/>
    </row>
    <row r="1798" spans="32:32">
      <c r="AF1798" s="18"/>
    </row>
    <row r="1799" spans="32:32">
      <c r="AF1799" s="18"/>
    </row>
    <row r="1800" spans="32:32">
      <c r="AF1800" s="18"/>
    </row>
    <row r="1812" spans="32:32">
      <c r="AF1812" s="18"/>
    </row>
    <row r="1813" spans="32:32">
      <c r="AF1813" s="18"/>
    </row>
    <row r="1814" spans="32:32">
      <c r="AF1814" s="18"/>
    </row>
    <row r="1815" spans="32:32">
      <c r="AF1815" s="18"/>
    </row>
    <row r="1816" spans="32:32">
      <c r="AF1816" s="18"/>
    </row>
    <row r="1817" spans="32:32">
      <c r="AF1817" s="18"/>
    </row>
    <row r="1818" spans="32:32">
      <c r="AF1818" s="18"/>
    </row>
    <row r="1819" spans="32:32">
      <c r="AF1819" s="18"/>
    </row>
    <row r="1832" spans="32:32">
      <c r="AF1832" s="18"/>
    </row>
    <row r="1833" spans="32:32">
      <c r="AF1833" s="18"/>
    </row>
    <row r="1834" spans="32:32">
      <c r="AF1834" s="18"/>
    </row>
    <row r="1835" spans="32:32">
      <c r="AF1835" s="18"/>
    </row>
    <row r="1836" spans="32:32">
      <c r="AF1836" s="18"/>
    </row>
    <row r="1837" spans="32:32">
      <c r="AF1837" s="18"/>
    </row>
    <row r="1838" spans="32:32">
      <c r="AF1838" s="18"/>
    </row>
    <row r="1839" spans="32:32">
      <c r="AF1839" s="18"/>
    </row>
    <row r="1840" spans="32:32">
      <c r="AF1840" s="18"/>
    </row>
    <row r="1854" spans="32:32">
      <c r="AF1854" s="18"/>
    </row>
    <row r="1855" spans="32:32">
      <c r="AF1855" s="18"/>
    </row>
    <row r="1856" spans="32:32">
      <c r="AF1856" s="18"/>
    </row>
    <row r="1857" spans="32:32">
      <c r="AF1857" s="18"/>
    </row>
    <row r="1858" spans="32:32">
      <c r="AF1858" s="18"/>
    </row>
    <row r="1859" spans="32:32">
      <c r="AF1859" s="18"/>
    </row>
    <row r="1860" spans="32:32">
      <c r="AF1860" s="18"/>
    </row>
    <row r="1861" spans="32:32">
      <c r="AF1861" s="18"/>
    </row>
    <row r="1875" spans="32:32">
      <c r="AF1875" s="18"/>
    </row>
    <row r="1876" spans="32:32">
      <c r="AF1876" s="18"/>
    </row>
    <row r="1877" spans="32:32">
      <c r="AF1877" s="18"/>
    </row>
    <row r="1878" spans="32:32">
      <c r="AF1878" s="18"/>
    </row>
    <row r="1879" spans="32:32">
      <c r="AF1879" s="18"/>
    </row>
    <row r="1880" spans="32:32">
      <c r="AF1880" s="18"/>
    </row>
    <row r="1881" spans="32:32">
      <c r="AF1881" s="18"/>
    </row>
    <row r="1882" spans="32:32">
      <c r="AF1882" s="18"/>
    </row>
    <row r="1883" spans="32:32">
      <c r="AF1883" s="18"/>
    </row>
    <row r="1896" spans="32:32">
      <c r="AF1896" s="18"/>
    </row>
    <row r="1897" spans="32:32">
      <c r="AF1897" s="18"/>
    </row>
    <row r="1898" spans="32:32">
      <c r="AF1898" s="18"/>
    </row>
    <row r="1899" spans="32:32">
      <c r="AF1899" s="18"/>
    </row>
    <row r="1900" spans="32:32">
      <c r="AF1900" s="18"/>
    </row>
    <row r="1901" spans="32:32">
      <c r="AF1901" s="18"/>
    </row>
    <row r="1902" spans="32:32">
      <c r="AF1902" s="18"/>
    </row>
    <row r="1903" spans="32:32">
      <c r="AF1903" s="18"/>
    </row>
    <row r="1918" spans="32:32">
      <c r="AF1918" s="18"/>
    </row>
    <row r="1919" spans="32:32">
      <c r="AF1919" s="18"/>
    </row>
    <row r="1920" spans="32:32">
      <c r="AF1920" s="18"/>
    </row>
    <row r="1921" spans="32:32">
      <c r="AF1921" s="18"/>
    </row>
    <row r="1922" spans="32:32">
      <c r="AF1922" s="18"/>
    </row>
    <row r="1923" spans="32:32">
      <c r="AF1923" s="18"/>
    </row>
    <row r="1924" spans="32:32">
      <c r="AF1924" s="18"/>
    </row>
    <row r="1925" spans="32:32">
      <c r="AF1925" s="18"/>
    </row>
    <row r="1939" spans="32:32">
      <c r="AF1939" s="18"/>
    </row>
    <row r="1940" spans="32:32">
      <c r="AF1940" s="18"/>
    </row>
    <row r="1941" spans="32:32">
      <c r="AF1941" s="18"/>
    </row>
    <row r="1942" spans="32:32">
      <c r="AF1942" s="18"/>
    </row>
    <row r="1943" spans="32:32">
      <c r="AF1943" s="18"/>
    </row>
    <row r="1944" spans="32:32">
      <c r="AF1944" s="18"/>
    </row>
    <row r="1945" spans="32:32">
      <c r="AF1945" s="18"/>
    </row>
    <row r="1946" spans="32:32">
      <c r="AF1946" s="18"/>
    </row>
    <row r="1947" spans="32:32">
      <c r="AF1947" s="18"/>
    </row>
    <row r="1960" spans="32:32">
      <c r="AF1960" s="18"/>
    </row>
    <row r="1961" spans="32:32">
      <c r="AF1961" s="18"/>
    </row>
    <row r="1962" spans="32:32">
      <c r="AF1962" s="18"/>
    </row>
    <row r="1963" spans="32:32">
      <c r="AF1963" s="18"/>
    </row>
    <row r="1964" spans="32:32">
      <c r="AF1964" s="18"/>
    </row>
    <row r="1965" spans="32:32">
      <c r="AF1965" s="18"/>
    </row>
    <row r="1966" spans="32:32">
      <c r="AF1966" s="18"/>
    </row>
    <row r="1967" spans="32:32">
      <c r="AF1967" s="18"/>
    </row>
    <row r="1983" spans="32:32">
      <c r="AF1983" s="18"/>
    </row>
    <row r="1984" spans="32:32">
      <c r="AF1984" s="18"/>
    </row>
    <row r="1985" spans="32:32">
      <c r="AF1985" s="18"/>
    </row>
    <row r="1986" spans="32:32">
      <c r="AF1986" s="18"/>
    </row>
    <row r="1987" spans="32:32">
      <c r="AF1987" s="18"/>
    </row>
    <row r="1988" spans="32:32">
      <c r="AF1988" s="18"/>
    </row>
    <row r="1989" spans="32:32">
      <c r="AF1989" s="18"/>
    </row>
    <row r="1990" spans="32:32">
      <c r="AF1990" s="18"/>
    </row>
    <row r="2001" spans="32:32">
      <c r="AF2001" s="18"/>
    </row>
    <row r="2002" spans="32:32">
      <c r="AF2002" s="18"/>
    </row>
    <row r="2003" spans="32:32">
      <c r="AF2003" s="18"/>
    </row>
    <row r="2004" spans="32:32">
      <c r="AF2004" s="18"/>
    </row>
    <row r="2005" spans="32:32">
      <c r="AF2005" s="18"/>
    </row>
    <row r="2006" spans="32:32">
      <c r="AF2006" s="18"/>
    </row>
    <row r="2007" spans="32:32">
      <c r="AF2007" s="18"/>
    </row>
    <row r="2008" spans="32:32">
      <c r="AF2008" s="18"/>
    </row>
    <row r="2009" spans="32:32">
      <c r="AF2009" s="18"/>
    </row>
    <row r="2010" spans="32:32">
      <c r="AF2010" s="18"/>
    </row>
    <row r="2023" spans="32:32">
      <c r="AF2023" s="18"/>
    </row>
    <row r="2024" spans="32:32">
      <c r="AF2024" s="18"/>
    </row>
    <row r="2025" spans="32:32">
      <c r="AF2025" s="18"/>
    </row>
    <row r="2026" spans="32:32">
      <c r="AF2026" s="18"/>
    </row>
    <row r="2027" spans="32:32">
      <c r="AF2027" s="18"/>
    </row>
    <row r="2028" spans="32:32">
      <c r="AF2028" s="18"/>
    </row>
    <row r="2029" spans="32:32">
      <c r="AF2029" s="18"/>
    </row>
    <row r="2043" spans="32:32">
      <c r="AF2043" s="18"/>
    </row>
    <row r="2044" spans="32:32">
      <c r="AF2044" s="18"/>
    </row>
    <row r="2045" spans="32:32">
      <c r="AF2045" s="18"/>
    </row>
    <row r="2046" spans="32:32">
      <c r="AF2046" s="18"/>
    </row>
    <row r="2047" spans="32:32">
      <c r="AF2047" s="18"/>
    </row>
    <row r="2048" spans="32:32">
      <c r="AF2048" s="18"/>
    </row>
    <row r="2049" spans="32:32">
      <c r="AF2049" s="18"/>
    </row>
    <row r="2050" spans="32:32">
      <c r="AF2050" s="18"/>
    </row>
    <row r="2051" spans="32:32">
      <c r="AF2051" s="18"/>
    </row>
    <row r="2062" spans="32:32">
      <c r="AF2062" s="18"/>
    </row>
    <row r="2063" spans="32:32">
      <c r="AF2063" s="18"/>
    </row>
    <row r="2064" spans="32:32">
      <c r="AF2064" s="18"/>
    </row>
    <row r="2065" spans="32:32">
      <c r="AF2065" s="18"/>
    </row>
    <row r="2066" spans="32:32">
      <c r="AF2066" s="18"/>
    </row>
    <row r="2067" spans="32:32">
      <c r="AF2067" s="18"/>
    </row>
    <row r="2068" spans="32:32">
      <c r="AF2068" s="18"/>
    </row>
    <row r="2069" spans="32:32">
      <c r="AF2069" s="18"/>
    </row>
    <row r="2070" spans="32:32">
      <c r="AF2070" s="18"/>
    </row>
    <row r="2084" spans="32:32">
      <c r="AF2084" s="18"/>
    </row>
    <row r="2085" spans="32:32">
      <c r="AF2085" s="18"/>
    </row>
    <row r="2086" spans="32:32">
      <c r="AF2086" s="18"/>
    </row>
    <row r="2087" spans="32:32">
      <c r="AF2087" s="18"/>
    </row>
    <row r="2088" spans="32:32">
      <c r="AF2088" s="18"/>
    </row>
    <row r="2089" spans="32:32">
      <c r="AF2089" s="18"/>
    </row>
    <row r="2090" spans="32:32">
      <c r="AF2090" s="18"/>
    </row>
    <row r="2105" spans="32:32">
      <c r="AF2105" s="18"/>
    </row>
    <row r="2106" spans="32:32">
      <c r="AF2106" s="18"/>
    </row>
    <row r="2107" spans="32:32">
      <c r="AF2107" s="18"/>
    </row>
    <row r="2108" spans="32:32">
      <c r="AF2108" s="18"/>
    </row>
    <row r="2109" spans="32:32">
      <c r="AF2109" s="18"/>
    </row>
    <row r="2110" spans="32:32">
      <c r="AF2110" s="18"/>
    </row>
    <row r="2111" spans="32:32">
      <c r="AF2111" s="18"/>
    </row>
    <row r="2112" spans="32:32">
      <c r="AF2112" s="18"/>
    </row>
    <row r="2125" spans="32:32">
      <c r="AF2125" s="18"/>
    </row>
    <row r="2126" spans="32:32">
      <c r="AF2126" s="18"/>
    </row>
    <row r="2127" spans="32:32">
      <c r="AF2127" s="18"/>
    </row>
    <row r="2128" spans="32:32">
      <c r="AF2128" s="18"/>
    </row>
    <row r="2129" spans="32:32">
      <c r="AF2129" s="18"/>
    </row>
    <row r="2130" spans="32:32">
      <c r="AF2130" s="18"/>
    </row>
    <row r="2131" spans="32:32">
      <c r="AF2131" s="18"/>
    </row>
    <row r="2132" spans="32:32">
      <c r="AF2132" s="18"/>
    </row>
    <row r="2133" spans="32:32">
      <c r="AF2133" s="18"/>
    </row>
    <row r="2134" spans="32:32">
      <c r="AF2134" s="18"/>
    </row>
    <row r="2147" spans="32:32">
      <c r="AF2147" s="18"/>
    </row>
    <row r="2148" spans="32:32">
      <c r="AF2148" s="18"/>
    </row>
    <row r="2149" spans="32:32">
      <c r="AF2149" s="18"/>
    </row>
    <row r="2150" spans="32:32">
      <c r="AF2150" s="18"/>
    </row>
    <row r="2151" spans="32:32">
      <c r="AF2151" s="18"/>
    </row>
    <row r="2152" spans="32:32">
      <c r="AF2152" s="18"/>
    </row>
    <row r="2153" spans="32:32">
      <c r="AF2153" s="18"/>
    </row>
    <row r="2169" spans="32:32">
      <c r="AF2169" s="18"/>
    </row>
    <row r="2170" spans="32:32">
      <c r="AF2170" s="18"/>
    </row>
    <row r="2171" spans="32:32">
      <c r="AF2171" s="18"/>
    </row>
    <row r="2172" spans="32:32">
      <c r="AF2172" s="18"/>
    </row>
    <row r="2173" spans="32:32">
      <c r="AF2173" s="18"/>
    </row>
    <row r="2174" spans="32:32">
      <c r="AF2174" s="18"/>
    </row>
    <row r="2175" spans="32:32">
      <c r="AF2175" s="18"/>
    </row>
    <row r="2176" spans="32:32">
      <c r="AF2176" s="18"/>
    </row>
    <row r="2190" spans="32:32">
      <c r="AF2190" s="18"/>
    </row>
    <row r="2191" spans="32:32">
      <c r="AF2191" s="18"/>
    </row>
    <row r="2192" spans="32:32">
      <c r="AF2192" s="18"/>
    </row>
    <row r="2193" spans="32:32">
      <c r="AF2193" s="18"/>
    </row>
    <row r="2194" spans="32:32">
      <c r="AF2194" s="18"/>
    </row>
    <row r="2195" spans="32:32">
      <c r="AF2195" s="18"/>
    </row>
    <row r="2196" spans="32:32">
      <c r="AF2196" s="18"/>
    </row>
    <row r="2197" spans="32:32">
      <c r="AF2197" s="18"/>
    </row>
    <row r="2211" spans="32:32">
      <c r="AF2211" s="18"/>
    </row>
    <row r="2212" spans="32:32">
      <c r="AF2212" s="18"/>
    </row>
    <row r="2213" spans="32:32">
      <c r="AF2213" s="18"/>
    </row>
    <row r="2214" spans="32:32">
      <c r="AF2214" s="18"/>
    </row>
    <row r="2215" spans="32:32">
      <c r="AF2215" s="18"/>
    </row>
    <row r="2216" spans="32:32">
      <c r="AF2216" s="18"/>
    </row>
    <row r="2217" spans="32:32">
      <c r="AF2217" s="18"/>
    </row>
    <row r="2218" spans="32:32">
      <c r="AF2218" s="18"/>
    </row>
    <row r="2233" spans="32:32">
      <c r="AF2233" s="18"/>
    </row>
    <row r="2234" spans="32:32">
      <c r="AF2234" s="18"/>
    </row>
    <row r="2235" spans="32:32">
      <c r="AF2235" s="18"/>
    </row>
    <row r="2236" spans="32:32">
      <c r="AF2236" s="18"/>
    </row>
    <row r="2237" spans="32:32">
      <c r="AF2237" s="18"/>
    </row>
    <row r="2238" spans="32:32">
      <c r="AF2238" s="18"/>
    </row>
    <row r="2239" spans="32:32">
      <c r="AF2239" s="18"/>
    </row>
    <row r="2240" spans="32:32">
      <c r="AF2240" s="18"/>
    </row>
    <row r="2241" spans="32:32">
      <c r="AF2241" s="18"/>
    </row>
    <row r="2253" spans="32:32">
      <c r="AF2253" s="18"/>
    </row>
    <row r="2254" spans="32:32">
      <c r="AF2254" s="18"/>
    </row>
    <row r="2255" spans="32:32">
      <c r="AF2255" s="18"/>
    </row>
    <row r="2256" spans="32:32">
      <c r="AF2256" s="18"/>
    </row>
    <row r="2257" spans="32:32">
      <c r="AF2257" s="18"/>
    </row>
    <row r="2258" spans="32:32">
      <c r="AF2258" s="18"/>
    </row>
    <row r="2259" spans="32:32">
      <c r="AF2259" s="18"/>
    </row>
    <row r="2260" spans="32:32">
      <c r="AF2260" s="18"/>
    </row>
    <row r="2261" spans="32:32">
      <c r="AF2261" s="18"/>
    </row>
    <row r="2275" spans="32:32">
      <c r="AF2275" s="18"/>
    </row>
    <row r="2276" spans="32:32">
      <c r="AF2276" s="18"/>
    </row>
    <row r="2277" spans="32:32">
      <c r="AF2277" s="18"/>
    </row>
    <row r="2278" spans="32:32">
      <c r="AF2278" s="18"/>
    </row>
    <row r="2279" spans="32:32">
      <c r="AF2279" s="18"/>
    </row>
    <row r="2280" spans="32:32">
      <c r="AF2280" s="18"/>
    </row>
    <row r="2281" spans="32:32">
      <c r="AF2281" s="18"/>
    </row>
    <row r="2294" spans="32:32">
      <c r="AF2294" s="18"/>
    </row>
    <row r="2295" spans="32:32">
      <c r="AF2295" s="18"/>
    </row>
    <row r="2296" spans="32:32">
      <c r="AF2296" s="18"/>
    </row>
    <row r="2297" spans="32:32">
      <c r="AF2297" s="18"/>
    </row>
    <row r="2298" spans="32:32">
      <c r="AF2298" s="18"/>
    </row>
    <row r="2299" spans="32:32">
      <c r="AF2299" s="18"/>
    </row>
    <row r="2300" spans="32:32">
      <c r="AF2300" s="18"/>
    </row>
    <row r="2301" spans="32:32">
      <c r="AF2301" s="18"/>
    </row>
    <row r="2302" spans="32:32">
      <c r="AF2302" s="18"/>
    </row>
    <row r="2303" spans="32:32">
      <c r="AF2303" s="18"/>
    </row>
    <row r="2313" spans="32:32">
      <c r="AF2313" s="18"/>
    </row>
    <row r="2314" spans="32:32">
      <c r="AF2314" s="18"/>
    </row>
    <row r="2315" spans="32:32">
      <c r="AF2315" s="18"/>
    </row>
    <row r="2316" spans="32:32">
      <c r="AF2316" s="18"/>
    </row>
    <row r="2317" spans="32:32">
      <c r="AF2317" s="18"/>
    </row>
    <row r="2318" spans="32:32">
      <c r="AF2318" s="18"/>
    </row>
    <row r="2319" spans="32:32">
      <c r="AF2319" s="18"/>
    </row>
    <row r="2320" spans="32:32">
      <c r="AF2320" s="18"/>
    </row>
    <row r="2321" spans="32:32">
      <c r="AF2321" s="18"/>
    </row>
    <row r="2322" spans="32:32">
      <c r="AF2322" s="18"/>
    </row>
    <row r="2336" spans="32:32">
      <c r="AF2336" s="18"/>
    </row>
    <row r="2337" spans="32:32">
      <c r="AF2337" s="18"/>
    </row>
    <row r="2338" spans="32:32">
      <c r="AF2338" s="18"/>
    </row>
    <row r="2339" spans="32:32">
      <c r="AF2339" s="18"/>
    </row>
    <row r="2340" spans="32:32">
      <c r="AF2340" s="18"/>
    </row>
    <row r="2341" spans="32:32">
      <c r="AF2341" s="18"/>
    </row>
    <row r="2342" spans="32:32">
      <c r="AF2342" s="18"/>
    </row>
    <row r="2357" spans="32:32">
      <c r="AF2357" s="18"/>
    </row>
    <row r="2358" spans="32:32">
      <c r="AF2358" s="18"/>
    </row>
    <row r="2359" spans="32:32">
      <c r="AF2359" s="18"/>
    </row>
    <row r="2360" spans="32:32">
      <c r="AF2360" s="18"/>
    </row>
    <row r="2361" spans="32:32">
      <c r="AF2361" s="18"/>
    </row>
    <row r="2362" spans="32:32">
      <c r="AF2362" s="18"/>
    </row>
    <row r="2363" spans="32:32">
      <c r="AF2363" s="18"/>
    </row>
    <row r="2364" spans="32:32">
      <c r="AF2364" s="18"/>
    </row>
    <row r="2377" spans="32:32">
      <c r="AF2377" s="18"/>
    </row>
    <row r="2378" spans="32:32">
      <c r="AF2378" s="18"/>
    </row>
    <row r="2379" spans="32:32">
      <c r="AF2379" s="18"/>
    </row>
    <row r="2380" spans="32:32">
      <c r="AF2380" s="18"/>
    </row>
    <row r="2381" spans="32:32">
      <c r="AF2381" s="18"/>
    </row>
    <row r="2382" spans="32:32">
      <c r="AF2382" s="18"/>
    </row>
    <row r="2383" spans="32:32">
      <c r="AF2383" s="18"/>
    </row>
    <row r="2384" spans="32:32">
      <c r="AF2384" s="18"/>
    </row>
    <row r="2385" spans="32:32">
      <c r="AF2385" s="18"/>
    </row>
    <row r="2399" spans="32:32">
      <c r="AF2399" s="18"/>
    </row>
    <row r="2400" spans="32:32">
      <c r="AF2400" s="18"/>
    </row>
    <row r="2401" spans="32:32">
      <c r="AF2401" s="18"/>
    </row>
    <row r="2402" spans="32:32">
      <c r="AF2402" s="18"/>
    </row>
    <row r="2403" spans="32:32">
      <c r="AF2403" s="18"/>
    </row>
    <row r="2404" spans="32:32">
      <c r="AF2404" s="18"/>
    </row>
    <row r="2405" spans="32:32">
      <c r="AF2405" s="18"/>
    </row>
    <row r="2420" spans="32:32">
      <c r="AF2420" s="18"/>
    </row>
    <row r="2421" spans="32:32">
      <c r="AF2421" s="18"/>
    </row>
    <row r="2422" spans="32:32">
      <c r="AF2422" s="18"/>
    </row>
    <row r="2423" spans="32:32">
      <c r="AF2423" s="18"/>
    </row>
    <row r="2424" spans="32:32">
      <c r="AF2424" s="18"/>
    </row>
    <row r="2425" spans="32:32">
      <c r="AF2425" s="18"/>
    </row>
    <row r="2426" spans="32:32">
      <c r="AF2426" s="18"/>
    </row>
    <row r="2427" spans="32:32">
      <c r="AF2427" s="18"/>
    </row>
    <row r="2428" spans="32:32">
      <c r="AF2428" s="18"/>
    </row>
    <row r="2442" spans="32:32">
      <c r="AF2442" s="18"/>
    </row>
    <row r="2443" spans="32:32">
      <c r="AF2443" s="18"/>
    </row>
    <row r="2444" spans="32:32">
      <c r="AF2444" s="18"/>
    </row>
    <row r="2445" spans="32:32">
      <c r="AF2445" s="18"/>
    </row>
    <row r="2446" spans="32:32">
      <c r="AF2446" s="18"/>
    </row>
    <row r="2447" spans="32:32">
      <c r="AF2447" s="18"/>
    </row>
    <row r="2448" spans="32:32">
      <c r="AF2448" s="18"/>
    </row>
    <row r="2463" spans="32:32">
      <c r="AF2463" s="18"/>
    </row>
    <row r="2464" spans="32:32">
      <c r="AF2464" s="18"/>
    </row>
    <row r="2465" spans="32:32">
      <c r="AF2465" s="18"/>
    </row>
    <row r="2466" spans="32:32">
      <c r="AF2466" s="18"/>
    </row>
    <row r="2467" spans="32:32">
      <c r="AF2467" s="18"/>
    </row>
    <row r="2468" spans="32:32">
      <c r="AF2468" s="18"/>
    </row>
    <row r="2469" spans="32:32">
      <c r="AF2469" s="18"/>
    </row>
    <row r="2470" spans="32:32">
      <c r="AF2470" s="18"/>
    </row>
    <row r="2484" spans="32:32">
      <c r="AF2484" s="18"/>
    </row>
    <row r="2485" spans="32:32">
      <c r="AF2485" s="18"/>
    </row>
    <row r="2486" spans="32:32">
      <c r="AF2486" s="18"/>
    </row>
    <row r="2487" spans="32:32">
      <c r="AF2487" s="18"/>
    </row>
    <row r="2488" spans="32:32">
      <c r="AF2488" s="18"/>
    </row>
    <row r="2489" spans="32:32">
      <c r="AF2489" s="18"/>
    </row>
    <row r="2490" spans="32:32">
      <c r="AF2490" s="18"/>
    </row>
    <row r="2491" spans="32:32">
      <c r="AF2491" s="18"/>
    </row>
    <row r="2492" spans="32:32">
      <c r="AF2492" s="18"/>
    </row>
    <row r="2493" spans="32:32">
      <c r="AF2493" s="18"/>
    </row>
    <row r="2505" spans="32:32">
      <c r="AF2505" s="18"/>
    </row>
    <row r="2506" spans="32:32">
      <c r="AF2506" s="18"/>
    </row>
    <row r="2507" spans="32:32">
      <c r="AF2507" s="18"/>
    </row>
    <row r="2508" spans="32:32">
      <c r="AF2508" s="18"/>
    </row>
    <row r="2509" spans="32:32">
      <c r="AF2509" s="18"/>
    </row>
    <row r="2510" spans="32:32">
      <c r="AF2510" s="18"/>
    </row>
    <row r="2511" spans="32:32">
      <c r="AF2511" s="18"/>
    </row>
    <row r="2512" spans="32:32">
      <c r="AF2512" s="18"/>
    </row>
    <row r="2526" spans="32:32">
      <c r="AF2526" s="18"/>
    </row>
    <row r="2527" spans="32:32">
      <c r="AF2527" s="18"/>
    </row>
    <row r="2528" spans="32:32">
      <c r="AF2528" s="18"/>
    </row>
    <row r="2529" spans="32:32">
      <c r="AF2529" s="18"/>
    </row>
    <row r="2530" spans="32:32">
      <c r="AF2530" s="18"/>
    </row>
    <row r="2531" spans="32:32">
      <c r="AF2531" s="18"/>
    </row>
    <row r="2532" spans="32:32">
      <c r="AF2532" s="18"/>
    </row>
    <row r="2533" spans="32:32">
      <c r="AF2533" s="18"/>
    </row>
    <row r="2546" spans="32:32">
      <c r="AF2546" s="18"/>
    </row>
    <row r="2547" spans="32:32">
      <c r="AF2547" s="18"/>
    </row>
    <row r="2548" spans="32:32">
      <c r="AF2548" s="18"/>
    </row>
    <row r="2549" spans="32:32">
      <c r="AF2549" s="18"/>
    </row>
    <row r="2550" spans="32:32">
      <c r="AF2550" s="18"/>
    </row>
    <row r="2551" spans="32:32">
      <c r="AF2551" s="18"/>
    </row>
    <row r="2552" spans="32:32">
      <c r="AF2552" s="18"/>
    </row>
    <row r="2553" spans="32:32">
      <c r="AF2553" s="18"/>
    </row>
    <row r="2554" spans="32:32">
      <c r="AF2554" s="18"/>
    </row>
    <row r="2566" spans="32:32">
      <c r="AF2566" s="18"/>
    </row>
    <row r="2567" spans="32:32">
      <c r="AF2567" s="18"/>
    </row>
    <row r="2568" spans="32:32">
      <c r="AF2568" s="18"/>
    </row>
    <row r="2569" spans="32:32">
      <c r="AF2569" s="18"/>
    </row>
    <row r="2570" spans="32:32">
      <c r="AF2570" s="18"/>
    </row>
    <row r="2571" spans="32:32">
      <c r="AF2571" s="18"/>
    </row>
    <row r="2572" spans="32:32">
      <c r="AF2572" s="18"/>
    </row>
    <row r="2573" spans="32:32">
      <c r="AF2573" s="18"/>
    </row>
    <row r="2589" spans="32:32">
      <c r="AF2589" s="18"/>
    </row>
    <row r="2590" spans="32:32">
      <c r="AF2590" s="18"/>
    </row>
    <row r="2591" spans="32:32">
      <c r="AF2591" s="18"/>
    </row>
    <row r="2592" spans="32:32">
      <c r="AF2592" s="18"/>
    </row>
    <row r="2593" spans="32:32">
      <c r="AF2593" s="18"/>
    </row>
    <row r="2594" spans="32:32">
      <c r="AF2594" s="18"/>
    </row>
    <row r="2595" spans="32:32">
      <c r="AF2595" s="18"/>
    </row>
    <row r="2596" spans="32:32">
      <c r="AF2596" s="18"/>
    </row>
    <row r="2608" spans="32:32">
      <c r="AF2608" s="18"/>
    </row>
    <row r="2609" spans="32:32">
      <c r="AF2609" s="18"/>
    </row>
    <row r="2610" spans="32:32">
      <c r="AF2610" s="18"/>
    </row>
    <row r="2611" spans="32:32">
      <c r="AF2611" s="18"/>
    </row>
    <row r="2612" spans="32:32">
      <c r="AF2612" s="18"/>
    </row>
    <row r="2613" spans="32:32">
      <c r="AF2613" s="18"/>
    </row>
    <row r="2614" spans="32:32">
      <c r="AF2614" s="18"/>
    </row>
    <row r="2615" spans="32:32">
      <c r="AF2615" s="18"/>
    </row>
    <row r="2616" spans="32:32">
      <c r="AF2616" s="18"/>
    </row>
    <row r="2617" spans="32:32">
      <c r="AF2617" s="18"/>
    </row>
    <row r="2630" spans="32:32">
      <c r="AF2630" s="18"/>
    </row>
    <row r="2631" spans="32:32">
      <c r="AF2631" s="18"/>
    </row>
    <row r="2632" spans="32:32">
      <c r="AF2632" s="18"/>
    </row>
    <row r="2633" spans="32:32">
      <c r="AF2633" s="18"/>
    </row>
    <row r="2634" spans="32:32">
      <c r="AF2634" s="18"/>
    </row>
    <row r="2635" spans="32:32">
      <c r="AF2635" s="18"/>
    </row>
    <row r="2636" spans="32:32">
      <c r="AF2636" s="18"/>
    </row>
    <row r="2637" spans="32:32">
      <c r="AF2637" s="18"/>
    </row>
    <row r="2652" spans="32:32">
      <c r="AF2652" s="18"/>
    </row>
    <row r="2653" spans="32:32">
      <c r="AF2653" s="18"/>
    </row>
    <row r="2654" spans="32:32">
      <c r="AF2654" s="18"/>
    </row>
    <row r="2655" spans="32:32">
      <c r="AF2655" s="18"/>
    </row>
    <row r="2656" spans="32:32">
      <c r="AF2656" s="18"/>
    </row>
    <row r="2657" spans="32:32">
      <c r="AF2657" s="18"/>
    </row>
    <row r="2658" spans="32:32">
      <c r="AF2658" s="18"/>
    </row>
    <row r="2672" spans="32:32">
      <c r="AF2672" s="18"/>
    </row>
    <row r="2673" spans="32:32">
      <c r="AF2673" s="18"/>
    </row>
    <row r="2674" spans="32:32">
      <c r="AF2674" s="18"/>
    </row>
    <row r="2675" spans="32:32">
      <c r="AF2675" s="18"/>
    </row>
    <row r="2676" spans="32:32">
      <c r="AF2676" s="18"/>
    </row>
    <row r="2677" spans="32:32">
      <c r="AF2677" s="18"/>
    </row>
    <row r="2678" spans="32:32">
      <c r="AF2678" s="18"/>
    </row>
    <row r="2679" spans="32:32">
      <c r="AF2679" s="18"/>
    </row>
    <row r="2680" spans="32:32">
      <c r="AF2680" s="18"/>
    </row>
    <row r="2695" spans="32:32">
      <c r="AF2695" s="18"/>
    </row>
    <row r="2696" spans="32:32">
      <c r="AF2696" s="18"/>
    </row>
    <row r="2697" spans="32:32">
      <c r="AF2697" s="18"/>
    </row>
    <row r="2698" spans="32:32">
      <c r="AF2698" s="18"/>
    </row>
    <row r="2699" spans="32:32">
      <c r="AF2699" s="18"/>
    </row>
    <row r="2700" spans="32:32">
      <c r="AF2700" s="18"/>
    </row>
    <row r="2701" spans="32:32">
      <c r="AF2701" s="18"/>
    </row>
    <row r="2715" spans="32:32">
      <c r="AF2715" s="18"/>
    </row>
    <row r="2716" spans="32:32">
      <c r="AF2716" s="18"/>
    </row>
    <row r="2717" spans="32:32">
      <c r="AF2717" s="18"/>
    </row>
    <row r="2718" spans="32:32">
      <c r="AF2718" s="18"/>
    </row>
    <row r="2719" spans="32:32">
      <c r="AF2719" s="18"/>
    </row>
    <row r="2720" spans="32:32">
      <c r="AF2720" s="18"/>
    </row>
    <row r="2721" spans="32:32">
      <c r="AF2721" s="18"/>
    </row>
    <row r="2722" spans="32:32">
      <c r="AF2722" s="18"/>
    </row>
    <row r="2723" spans="32:32">
      <c r="AF2723" s="18"/>
    </row>
    <row r="2737" spans="32:32">
      <c r="AF2737" s="18"/>
    </row>
    <row r="2738" spans="32:32">
      <c r="AF2738" s="18"/>
    </row>
    <row r="2739" spans="32:32">
      <c r="AF2739" s="18"/>
    </row>
    <row r="2740" spans="32:32">
      <c r="AF2740" s="18"/>
    </row>
    <row r="2741" spans="32:32">
      <c r="AF2741" s="18"/>
    </row>
    <row r="2742" spans="32:32">
      <c r="AF2742" s="18"/>
    </row>
    <row r="2743" spans="32:32">
      <c r="AF2743" s="18"/>
    </row>
    <row r="2744" spans="32:32">
      <c r="AF2744" s="18"/>
    </row>
    <row r="2758" spans="32:32">
      <c r="AF2758" s="18"/>
    </row>
    <row r="2759" spans="32:32">
      <c r="AF2759" s="18"/>
    </row>
    <row r="2760" spans="32:32">
      <c r="AF2760" s="18"/>
    </row>
    <row r="2761" spans="32:32">
      <c r="AF2761" s="18"/>
    </row>
    <row r="2762" spans="32:32">
      <c r="AF2762" s="18"/>
    </row>
    <row r="2763" spans="32:32">
      <c r="AF2763" s="18"/>
    </row>
    <row r="2764" spans="32:32">
      <c r="AF2764" s="18"/>
    </row>
    <row r="2765" spans="32:32">
      <c r="AF2765" s="18"/>
    </row>
    <row r="2778" spans="32:32">
      <c r="AF2778" s="18"/>
    </row>
    <row r="2779" spans="32:32">
      <c r="AF2779" s="18"/>
    </row>
    <row r="2780" spans="32:32">
      <c r="AF2780" s="18"/>
    </row>
    <row r="2781" spans="32:32">
      <c r="AF2781" s="18"/>
    </row>
    <row r="2782" spans="32:32">
      <c r="AF2782" s="18"/>
    </row>
    <row r="2783" spans="32:32">
      <c r="AF2783" s="18"/>
    </row>
    <row r="2784" spans="32:32">
      <c r="AF2784" s="18"/>
    </row>
    <row r="2785" spans="32:32">
      <c r="AF2785" s="18"/>
    </row>
    <row r="2786" spans="32:32">
      <c r="AF2786" s="18"/>
    </row>
    <row r="2799" spans="32:32">
      <c r="AF2799" s="18"/>
    </row>
    <row r="2800" spans="32:32">
      <c r="AF2800" s="18"/>
    </row>
    <row r="2801" spans="32:32">
      <c r="AF2801" s="18"/>
    </row>
    <row r="2802" spans="32:32">
      <c r="AF2802" s="18"/>
    </row>
    <row r="2803" spans="32:32">
      <c r="AF2803" s="18"/>
    </row>
    <row r="2804" spans="32:32">
      <c r="AF2804" s="18"/>
    </row>
    <row r="2805" spans="32:32">
      <c r="AF2805" s="18"/>
    </row>
    <row r="2806" spans="32:32">
      <c r="AF2806" s="18"/>
    </row>
    <row r="2818" spans="32:32">
      <c r="AF2818" s="18"/>
    </row>
    <row r="2819" spans="32:32">
      <c r="AF2819" s="18"/>
    </row>
    <row r="2820" spans="32:32">
      <c r="AF2820" s="18"/>
    </row>
    <row r="2821" spans="32:32">
      <c r="AF2821" s="18"/>
    </row>
    <row r="2822" spans="32:32">
      <c r="AF2822" s="18"/>
    </row>
    <row r="2823" spans="32:32">
      <c r="AF2823" s="18"/>
    </row>
    <row r="2824" spans="32:32">
      <c r="AF2824" s="18"/>
    </row>
    <row r="2825" spans="32:32">
      <c r="AF2825" s="18"/>
    </row>
    <row r="2840" spans="32:32">
      <c r="AF2840" s="18"/>
    </row>
    <row r="2841" spans="32:32">
      <c r="AF2841" s="18"/>
    </row>
    <row r="2842" spans="32:32">
      <c r="AF2842" s="18"/>
    </row>
    <row r="2843" spans="32:32">
      <c r="AF2843" s="18"/>
    </row>
    <row r="2844" spans="32:32">
      <c r="AF2844" s="18"/>
    </row>
    <row r="2845" spans="32:32">
      <c r="AF2845" s="18"/>
    </row>
    <row r="2846" spans="32:32">
      <c r="AF2846" s="18"/>
    </row>
    <row r="2847" spans="32:32">
      <c r="AF2847" s="18"/>
    </row>
    <row r="2848" spans="32:32">
      <c r="AF2848" s="18"/>
    </row>
    <row r="2860" spans="32:32">
      <c r="AF2860" s="18"/>
    </row>
    <row r="2861" spans="32:32">
      <c r="AF2861" s="18"/>
    </row>
    <row r="2862" spans="32:32">
      <c r="AF2862" s="18"/>
    </row>
    <row r="2863" spans="32:32">
      <c r="AF2863" s="18"/>
    </row>
    <row r="2864" spans="32:32">
      <c r="AF2864" s="18"/>
    </row>
    <row r="2865" spans="32:32">
      <c r="AF2865" s="18"/>
    </row>
    <row r="2866" spans="32:32">
      <c r="AF2866" s="18"/>
    </row>
    <row r="2867" spans="32:32">
      <c r="AF2867" s="18"/>
    </row>
    <row r="2868" spans="32:32">
      <c r="AF2868" s="18"/>
    </row>
    <row r="2882" spans="32:32">
      <c r="AF2882" s="18"/>
    </row>
    <row r="2883" spans="32:32">
      <c r="AF2883" s="18"/>
    </row>
    <row r="2884" spans="32:32">
      <c r="AF2884" s="18"/>
    </row>
    <row r="2885" spans="32:32">
      <c r="AF2885" s="18"/>
    </row>
    <row r="2886" spans="32:32">
      <c r="AF2886" s="18"/>
    </row>
    <row r="2887" spans="32:32">
      <c r="AF2887" s="18"/>
    </row>
    <row r="2888" spans="32:32">
      <c r="AF2888" s="18"/>
    </row>
    <row r="2889" spans="32:32">
      <c r="AF2889" s="18"/>
    </row>
    <row r="2903" spans="32:32">
      <c r="AF2903" s="18"/>
    </row>
    <row r="2904" spans="32:32">
      <c r="AF2904" s="18"/>
    </row>
    <row r="2905" spans="32:32">
      <c r="AF2905" s="18"/>
    </row>
    <row r="2906" spans="32:32">
      <c r="AF2906" s="18"/>
    </row>
    <row r="2907" spans="32:32">
      <c r="AF2907" s="18"/>
    </row>
    <row r="2908" spans="32:32">
      <c r="AF2908" s="18"/>
    </row>
    <row r="2909" spans="32:32">
      <c r="AF2909" s="18"/>
    </row>
    <row r="2910" spans="32:32">
      <c r="AF2910" s="18"/>
    </row>
    <row r="2924" spans="32:32">
      <c r="AF2924" s="18"/>
    </row>
    <row r="2925" spans="32:32">
      <c r="AF2925" s="18"/>
    </row>
    <row r="2926" spans="32:32">
      <c r="AF2926" s="18"/>
    </row>
    <row r="2927" spans="32:32">
      <c r="AF2927" s="18"/>
    </row>
    <row r="2928" spans="32:32">
      <c r="AF2928" s="18"/>
    </row>
    <row r="2929" spans="32:32">
      <c r="AF2929" s="18"/>
    </row>
    <row r="2930" spans="32:32">
      <c r="AF2930" s="18"/>
    </row>
    <row r="2931" spans="32:32">
      <c r="AF2931" s="18"/>
    </row>
    <row r="2947" spans="32:32">
      <c r="AF2947" s="18"/>
    </row>
    <row r="2948" spans="32:32">
      <c r="AF2948" s="18"/>
    </row>
    <row r="2949" spans="32:32">
      <c r="AF2949" s="18"/>
    </row>
    <row r="2950" spans="32:32">
      <c r="AF2950" s="18"/>
    </row>
    <row r="2951" spans="32:32">
      <c r="AF2951" s="18"/>
    </row>
    <row r="2962" spans="32:32">
      <c r="AF2962" s="18"/>
    </row>
    <row r="2963" spans="32:32">
      <c r="AF2963" s="18"/>
    </row>
    <row r="2964" spans="32:32">
      <c r="AF2964" s="18"/>
    </row>
    <row r="2965" spans="32:32">
      <c r="AF2965" s="18"/>
    </row>
    <row r="2966" spans="32:32">
      <c r="AF2966" s="18"/>
    </row>
    <row r="2967" spans="32:32">
      <c r="AF2967" s="18"/>
    </row>
    <row r="2968" spans="32:32">
      <c r="AF2968" s="18"/>
    </row>
    <row r="2969" spans="32:32">
      <c r="AF2969" s="18"/>
    </row>
    <row r="2970" spans="32:32">
      <c r="AF2970" s="18"/>
    </row>
    <row r="2971" spans="32:32">
      <c r="AF2971" s="18"/>
    </row>
    <row r="2985" spans="32:32">
      <c r="AF2985" s="18"/>
    </row>
    <row r="2986" spans="32:32">
      <c r="AF2986" s="18"/>
    </row>
    <row r="2987" spans="32:32">
      <c r="AF2987" s="18"/>
    </row>
    <row r="2988" spans="32:32">
      <c r="AF2988" s="18"/>
    </row>
    <row r="2989" spans="32:32">
      <c r="AF2989" s="18"/>
    </row>
    <row r="2990" spans="32:32">
      <c r="AF2990" s="18"/>
    </row>
    <row r="2991" spans="32:32">
      <c r="AF2991" s="18"/>
    </row>
    <row r="2992" spans="32:32">
      <c r="AF2992" s="18"/>
    </row>
    <row r="3006" spans="32:32">
      <c r="AF3006" s="18"/>
    </row>
    <row r="3007" spans="32:32">
      <c r="AF3007" s="18"/>
    </row>
    <row r="3008" spans="32:32">
      <c r="AF3008" s="18"/>
    </row>
    <row r="3009" spans="32:32">
      <c r="AF3009" s="18"/>
    </row>
    <row r="3010" spans="32:32">
      <c r="AF3010" s="18"/>
    </row>
    <row r="3011" spans="32:32">
      <c r="AF3011" s="18"/>
    </row>
    <row r="3012" spans="32:32">
      <c r="AF3012" s="18"/>
    </row>
    <row r="3013" spans="32:32">
      <c r="AF3013" s="18"/>
    </row>
    <row r="3026" spans="32:32">
      <c r="AF3026" s="18"/>
    </row>
    <row r="3027" spans="32:32">
      <c r="AF3027" s="18"/>
    </row>
    <row r="3028" spans="32:32">
      <c r="AF3028" s="18"/>
    </row>
    <row r="3029" spans="32:32">
      <c r="AF3029" s="18"/>
    </row>
    <row r="3030" spans="32:32">
      <c r="AF3030" s="18"/>
    </row>
    <row r="3031" spans="32:32">
      <c r="AF3031" s="18"/>
    </row>
    <row r="3032" spans="32:32">
      <c r="AF3032" s="18"/>
    </row>
    <row r="3033" spans="32:32">
      <c r="AF3033" s="18"/>
    </row>
    <row r="3047" spans="32:32">
      <c r="AF3047" s="18"/>
    </row>
    <row r="3048" spans="32:32">
      <c r="AF3048" s="18"/>
    </row>
    <row r="3049" spans="32:32">
      <c r="AF3049" s="18"/>
    </row>
    <row r="3050" spans="32:32">
      <c r="AF3050" s="18"/>
    </row>
    <row r="3051" spans="32:32">
      <c r="AF3051" s="18"/>
    </row>
    <row r="3052" spans="32:32">
      <c r="AF3052" s="18"/>
    </row>
    <row r="3053" spans="32:32">
      <c r="AF3053" s="18"/>
    </row>
    <row r="3054" spans="32:32">
      <c r="AF3054" s="18"/>
    </row>
    <row r="3066" spans="32:32">
      <c r="AF3066" s="18"/>
    </row>
    <row r="3067" spans="32:32">
      <c r="AF3067" s="18"/>
    </row>
    <row r="3068" spans="32:32">
      <c r="AF3068" s="18"/>
    </row>
    <row r="3069" spans="32:32">
      <c r="AF3069" s="18"/>
    </row>
    <row r="3070" spans="32:32">
      <c r="AF3070" s="18"/>
    </row>
    <row r="3071" spans="32:32">
      <c r="AF3071" s="18"/>
    </row>
    <row r="3072" spans="32:32">
      <c r="AF3072" s="18"/>
    </row>
    <row r="3073" spans="32:32">
      <c r="AF3073" s="18"/>
    </row>
    <row r="3086" spans="32:32">
      <c r="AF3086" s="18"/>
    </row>
    <row r="3087" spans="32:32">
      <c r="AF3087" s="18"/>
    </row>
    <row r="3088" spans="32:32">
      <c r="AF3088" s="18"/>
    </row>
    <row r="3089" spans="32:32">
      <c r="AF3089" s="18"/>
    </row>
    <row r="3090" spans="32:32">
      <c r="AF3090" s="18"/>
    </row>
    <row r="3091" spans="32:32">
      <c r="AF3091" s="18"/>
    </row>
    <row r="3092" spans="32:32">
      <c r="AF3092" s="18"/>
    </row>
    <row r="3093" spans="32:32">
      <c r="AF3093" s="18"/>
    </row>
    <row r="3094" spans="32:32">
      <c r="AF3094" s="18"/>
    </row>
    <row r="3095" spans="32:32">
      <c r="AF3095" s="18"/>
    </row>
    <row r="3108" spans="32:32">
      <c r="AF3108" s="18"/>
    </row>
    <row r="3109" spans="32:32">
      <c r="AF3109" s="18"/>
    </row>
    <row r="3110" spans="32:32">
      <c r="AF3110" s="18"/>
    </row>
    <row r="3111" spans="32:32">
      <c r="AF3111" s="18"/>
    </row>
    <row r="3112" spans="32:32">
      <c r="AF3112" s="18"/>
    </row>
    <row r="3113" spans="32:32">
      <c r="AF3113" s="18"/>
    </row>
    <row r="3114" spans="32:32">
      <c r="AF3114" s="18"/>
    </row>
    <row r="3115" spans="32:32">
      <c r="AF3115" s="18"/>
    </row>
    <row r="3130" spans="32:32">
      <c r="AF3130" s="18"/>
    </row>
    <row r="3131" spans="32:32">
      <c r="AF3131" s="18"/>
    </row>
    <row r="3132" spans="32:32">
      <c r="AF3132" s="18"/>
    </row>
    <row r="3133" spans="32:32">
      <c r="AF3133" s="18"/>
    </row>
    <row r="3134" spans="32:32">
      <c r="AF3134" s="18"/>
    </row>
    <row r="3135" spans="32:32">
      <c r="AF3135" s="18"/>
    </row>
    <row r="3136" spans="32:32">
      <c r="AF3136" s="18"/>
    </row>
    <row r="3137" spans="32:32">
      <c r="AF3137" s="18"/>
    </row>
    <row r="3150" spans="32:32">
      <c r="AF3150" s="18"/>
    </row>
    <row r="3151" spans="32:32">
      <c r="AF3151" s="18"/>
    </row>
    <row r="3152" spans="32:32">
      <c r="AF3152" s="18"/>
    </row>
    <row r="3153" spans="32:32">
      <c r="AF3153" s="18"/>
    </row>
    <row r="3154" spans="32:32">
      <c r="AF3154" s="18"/>
    </row>
    <row r="3155" spans="32:32">
      <c r="AF3155" s="18"/>
    </row>
    <row r="3156" spans="32:32">
      <c r="AF3156" s="18"/>
    </row>
    <row r="3157" spans="32:32">
      <c r="AF3157" s="18"/>
    </row>
    <row r="3158" spans="32:32">
      <c r="AF3158" s="18"/>
    </row>
    <row r="3172" spans="32:32">
      <c r="AF3172" s="18"/>
    </row>
    <row r="3173" spans="32:32">
      <c r="AF3173" s="18"/>
    </row>
    <row r="3174" spans="32:32">
      <c r="AF3174" s="18"/>
    </row>
    <row r="3175" spans="32:32">
      <c r="AF3175" s="18"/>
    </row>
    <row r="3176" spans="32:32">
      <c r="AF3176" s="18"/>
    </row>
    <row r="3177" spans="32:32">
      <c r="AF3177" s="18"/>
    </row>
    <row r="3178" spans="32:32">
      <c r="AF3178" s="18"/>
    </row>
    <row r="3179" spans="32:32">
      <c r="AF3179" s="18"/>
    </row>
    <row r="3194" spans="32:32">
      <c r="AF3194" s="18"/>
    </row>
    <row r="3195" spans="32:32">
      <c r="AF3195" s="18"/>
    </row>
    <row r="3196" spans="32:32">
      <c r="AF3196" s="18"/>
    </row>
    <row r="3197" spans="32:32">
      <c r="AF3197" s="18"/>
    </row>
    <row r="3198" spans="32:32">
      <c r="AF3198" s="18"/>
    </row>
    <row r="3199" spans="32:32">
      <c r="AF3199" s="18"/>
    </row>
    <row r="3200" spans="32:32">
      <c r="AF3200" s="18"/>
    </row>
    <row r="3201" spans="32:32">
      <c r="AF3201" s="18"/>
    </row>
    <row r="3214" spans="32:32">
      <c r="AF3214" s="18"/>
    </row>
    <row r="3215" spans="32:32">
      <c r="AF3215" s="18"/>
    </row>
    <row r="3216" spans="32:32">
      <c r="AF3216" s="18"/>
    </row>
    <row r="3217" spans="32:32">
      <c r="AF3217" s="18"/>
    </row>
    <row r="3218" spans="32:32">
      <c r="AF3218" s="18"/>
    </row>
    <row r="3219" spans="32:32">
      <c r="AF3219" s="18"/>
    </row>
    <row r="3220" spans="32:32">
      <c r="AF3220" s="18"/>
    </row>
    <row r="3221" spans="32:32">
      <c r="AF3221" s="18"/>
    </row>
    <row r="3222" spans="32:32">
      <c r="AF3222" s="18"/>
    </row>
    <row r="3237" spans="32:32">
      <c r="AF3237" s="18"/>
    </row>
    <row r="3238" spans="32:32">
      <c r="AF3238" s="18"/>
    </row>
    <row r="3239" spans="32:32">
      <c r="AF3239" s="18"/>
    </row>
    <row r="3240" spans="32:32">
      <c r="AF3240" s="18"/>
    </row>
    <row r="3241" spans="32:32">
      <c r="AF3241" s="18"/>
    </row>
    <row r="3242" spans="32:32">
      <c r="AF3242" s="18"/>
    </row>
    <row r="3243" spans="32:32">
      <c r="AF3243" s="18"/>
    </row>
    <row r="3244" spans="32:32">
      <c r="AF3244" s="18"/>
    </row>
    <row r="3257" spans="32:32">
      <c r="AF3257" s="18"/>
    </row>
    <row r="3258" spans="32:32">
      <c r="AF3258" s="18"/>
    </row>
    <row r="3259" spans="32:32">
      <c r="AF3259" s="18"/>
    </row>
    <row r="3260" spans="32:32">
      <c r="AF3260" s="18"/>
    </row>
    <row r="3261" spans="32:32">
      <c r="AF3261" s="18"/>
    </row>
    <row r="3262" spans="32:32">
      <c r="AF3262" s="18"/>
    </row>
    <row r="3263" spans="32:32">
      <c r="AF3263" s="18"/>
    </row>
    <row r="3264" spans="32:32">
      <c r="AF3264" s="18"/>
    </row>
    <row r="3265" spans="32:32">
      <c r="AF3265" s="18"/>
    </row>
    <row r="3278" spans="32:32">
      <c r="AF3278" s="18"/>
    </row>
    <row r="3279" spans="32:32">
      <c r="AF3279" s="18"/>
    </row>
    <row r="3280" spans="32:32">
      <c r="AF3280" s="18"/>
    </row>
    <row r="3281" spans="32:32">
      <c r="AF3281" s="18"/>
    </row>
    <row r="3282" spans="32:32">
      <c r="AF3282" s="18"/>
    </row>
    <row r="3283" spans="32:32">
      <c r="AF3283" s="18"/>
    </row>
    <row r="3284" spans="32:32">
      <c r="AF3284" s="18"/>
    </row>
    <row r="3299" spans="32:32">
      <c r="AF3299" s="18"/>
    </row>
    <row r="3300" spans="32:32">
      <c r="AF3300" s="18"/>
    </row>
    <row r="3301" spans="32:32">
      <c r="AF3301" s="18"/>
    </row>
    <row r="3302" spans="32:32">
      <c r="AF3302" s="18"/>
    </row>
    <row r="3303" spans="32:32">
      <c r="AF3303" s="18"/>
    </row>
    <row r="3304" spans="32:32">
      <c r="AF3304" s="18"/>
    </row>
    <row r="3305" spans="32:32">
      <c r="AF3305" s="18"/>
    </row>
    <row r="3306" spans="32:32">
      <c r="AF3306" s="18"/>
    </row>
    <row r="3318" spans="32:32">
      <c r="AF3318" s="18"/>
    </row>
    <row r="3319" spans="32:32">
      <c r="AF3319" s="18"/>
    </row>
    <row r="3320" spans="32:32">
      <c r="AF3320" s="18"/>
    </row>
    <row r="3321" spans="32:32">
      <c r="AF3321" s="18"/>
    </row>
    <row r="3322" spans="32:32">
      <c r="AF3322" s="18"/>
    </row>
    <row r="3323" spans="32:32">
      <c r="AF3323" s="18"/>
    </row>
    <row r="3324" spans="32:32">
      <c r="AF3324" s="18"/>
    </row>
    <row r="3325" spans="32:32">
      <c r="AF3325" s="18"/>
    </row>
    <row r="3339" spans="32:32">
      <c r="AF3339" s="18"/>
    </row>
    <row r="3340" spans="32:32">
      <c r="AF3340" s="18"/>
    </row>
    <row r="3341" spans="32:32">
      <c r="AF3341" s="18"/>
    </row>
    <row r="3342" spans="32:32">
      <c r="AF3342" s="18"/>
    </row>
    <row r="3343" spans="32:32">
      <c r="AF3343" s="18"/>
    </row>
    <row r="3344" spans="32:32">
      <c r="AF3344" s="18"/>
    </row>
    <row r="3345" spans="32:32">
      <c r="AF3345" s="18"/>
    </row>
    <row r="3346" spans="32:32">
      <c r="AF3346" s="18"/>
    </row>
    <row r="3347" spans="32:32">
      <c r="AF3347" s="18"/>
    </row>
    <row r="3360" spans="32:32">
      <c r="AF3360" s="18"/>
    </row>
    <row r="3361" spans="32:32">
      <c r="AF3361" s="18"/>
    </row>
    <row r="3362" spans="32:32">
      <c r="AF3362" s="18"/>
    </row>
    <row r="3363" spans="32:32">
      <c r="AF3363" s="18"/>
    </row>
    <row r="3364" spans="32:32">
      <c r="AF3364" s="18"/>
    </row>
    <row r="3365" spans="32:32">
      <c r="AF3365" s="18"/>
    </row>
    <row r="3366" spans="32:32">
      <c r="AF3366" s="18"/>
    </row>
    <row r="3367" spans="32:32">
      <c r="AF3367" s="18"/>
    </row>
    <row r="3381" spans="32:32">
      <c r="AF3381" s="18"/>
    </row>
    <row r="3382" spans="32:32">
      <c r="AF3382" s="18"/>
    </row>
    <row r="3383" spans="32:32">
      <c r="AF3383" s="18"/>
    </row>
    <row r="3384" spans="32:32">
      <c r="AF3384" s="18"/>
    </row>
    <row r="3385" spans="32:32">
      <c r="AF3385" s="18"/>
    </row>
    <row r="3386" spans="32:32">
      <c r="AF3386" s="18"/>
    </row>
    <row r="3387" spans="32:32">
      <c r="AF3387" s="18"/>
    </row>
    <row r="3388" spans="32:32">
      <c r="AF3388" s="18"/>
    </row>
    <row r="3389" spans="32:32">
      <c r="AF3389" s="18"/>
    </row>
    <row r="3402" spans="32:32">
      <c r="AF3402" s="18"/>
    </row>
    <row r="3403" spans="32:32">
      <c r="AF3403" s="18"/>
    </row>
    <row r="3404" spans="32:32">
      <c r="AF3404" s="18"/>
    </row>
    <row r="3405" spans="32:32">
      <c r="AF3405" s="18"/>
    </row>
    <row r="3406" spans="32:32">
      <c r="AF3406" s="18"/>
    </row>
    <row r="3407" spans="32:32">
      <c r="AF3407" s="18"/>
    </row>
    <row r="3408" spans="32:32">
      <c r="AF3408" s="18"/>
    </row>
    <row r="3409" spans="32:32">
      <c r="AF3409" s="18"/>
    </row>
    <row r="3424" spans="32:32">
      <c r="AF3424" s="18"/>
    </row>
    <row r="3425" spans="32:32">
      <c r="AF3425" s="18"/>
    </row>
    <row r="3426" spans="32:32">
      <c r="AF3426" s="18"/>
    </row>
    <row r="3427" spans="32:32">
      <c r="AF3427" s="18"/>
    </row>
    <row r="3428" spans="32:32">
      <c r="AF3428" s="18"/>
    </row>
    <row r="3429" spans="32:32">
      <c r="AF3429" s="18"/>
    </row>
    <row r="3430" spans="32:32">
      <c r="AF3430" s="18"/>
    </row>
    <row r="3431" spans="32:32">
      <c r="AF3431" s="18"/>
    </row>
    <row r="3445" spans="32:32">
      <c r="AF3445" s="18"/>
    </row>
    <row r="3446" spans="32:32">
      <c r="AF3446" s="18"/>
    </row>
    <row r="3447" spans="32:32">
      <c r="AF3447" s="18"/>
    </row>
    <row r="3448" spans="32:32">
      <c r="AF3448" s="18"/>
    </row>
    <row r="3449" spans="32:32">
      <c r="AF3449" s="18"/>
    </row>
    <row r="3450" spans="32:32">
      <c r="AF3450" s="18"/>
    </row>
    <row r="3451" spans="32:32">
      <c r="AF3451" s="18"/>
    </row>
    <row r="3452" spans="32:32">
      <c r="AF3452" s="18"/>
    </row>
    <row r="3453" spans="32:32">
      <c r="AF3453" s="18"/>
    </row>
    <row r="3466" spans="32:32">
      <c r="AF3466" s="18"/>
    </row>
    <row r="3467" spans="32:32">
      <c r="AF3467" s="18"/>
    </row>
    <row r="3468" spans="32:32">
      <c r="AF3468" s="18"/>
    </row>
    <row r="3469" spans="32:32">
      <c r="AF3469" s="18"/>
    </row>
    <row r="3470" spans="32:32">
      <c r="AF3470" s="18"/>
    </row>
    <row r="3471" spans="32:32">
      <c r="AF3471" s="18"/>
    </row>
    <row r="3472" spans="32:32">
      <c r="AF3472" s="18"/>
    </row>
    <row r="3473" spans="32:32">
      <c r="AF3473" s="18"/>
    </row>
    <row r="3489" spans="32:32">
      <c r="AF3489" s="18"/>
    </row>
    <row r="3490" spans="32:32">
      <c r="AF3490" s="18"/>
    </row>
    <row r="3491" spans="32:32">
      <c r="AF3491" s="18"/>
    </row>
    <row r="3492" spans="32:32">
      <c r="AF3492" s="18"/>
    </row>
    <row r="3493" spans="32:32">
      <c r="AF3493" s="18"/>
    </row>
    <row r="3494" spans="32:32">
      <c r="AF3494" s="18"/>
    </row>
    <row r="3495" spans="32:32">
      <c r="AF3495" s="18"/>
    </row>
    <row r="3496" spans="32:32">
      <c r="AF3496" s="18"/>
    </row>
    <row r="3508" spans="32:32">
      <c r="AF3508" s="18"/>
    </row>
    <row r="3509" spans="32:32">
      <c r="AF3509" s="18"/>
    </row>
    <row r="3510" spans="32:32">
      <c r="AF3510" s="18"/>
    </row>
    <row r="3511" spans="32:32">
      <c r="AF3511" s="18"/>
    </row>
    <row r="3512" spans="32:32">
      <c r="AF3512" s="18"/>
    </row>
    <row r="3513" spans="32:32">
      <c r="AF3513" s="18"/>
    </row>
    <row r="3514" spans="32:32">
      <c r="AF3514" s="18"/>
    </row>
    <row r="3515" spans="32:32">
      <c r="AF3515" s="18"/>
    </row>
    <row r="3516" spans="32:32">
      <c r="AF3516" s="18"/>
    </row>
    <row r="3517" spans="32:32">
      <c r="AF3517" s="18"/>
    </row>
    <row r="3530" spans="32:32">
      <c r="AF3530" s="18"/>
    </row>
    <row r="3531" spans="32:32">
      <c r="AF3531" s="18"/>
    </row>
    <row r="3532" spans="32:32">
      <c r="AF3532" s="18"/>
    </row>
    <row r="3533" spans="32:32">
      <c r="AF3533" s="18"/>
    </row>
    <row r="3534" spans="32:32">
      <c r="AF3534" s="18"/>
    </row>
    <row r="3535" spans="32:32">
      <c r="AF3535" s="18"/>
    </row>
    <row r="3536" spans="32:32">
      <c r="AF3536" s="18"/>
    </row>
    <row r="3550" spans="32:32">
      <c r="AF3550" s="18"/>
    </row>
    <row r="3551" spans="32:32">
      <c r="AF3551" s="18"/>
    </row>
    <row r="3552" spans="32:32">
      <c r="AF3552" s="18"/>
    </row>
    <row r="3553" spans="32:32">
      <c r="AF3553" s="18"/>
    </row>
    <row r="3554" spans="32:32">
      <c r="AF3554" s="18"/>
    </row>
    <row r="3555" spans="32:32">
      <c r="AF3555" s="18"/>
    </row>
    <row r="3556" spans="32:32">
      <c r="AF3556" s="18"/>
    </row>
    <row r="3557" spans="32:32">
      <c r="AF3557" s="18"/>
    </row>
    <row r="3558" spans="32:32">
      <c r="AF3558" s="18"/>
    </row>
    <row r="3569" spans="32:32">
      <c r="AF3569" s="18"/>
    </row>
    <row r="3570" spans="32:32">
      <c r="AF3570" s="18"/>
    </row>
    <row r="3571" spans="32:32">
      <c r="AF3571" s="18"/>
    </row>
    <row r="3572" spans="32:32">
      <c r="AF3572" s="18"/>
    </row>
    <row r="3573" spans="32:32">
      <c r="AF3573" s="18"/>
    </row>
    <row r="3574" spans="32:32">
      <c r="AF3574" s="18"/>
    </row>
    <row r="3575" spans="32:32">
      <c r="AF3575" s="18"/>
    </row>
    <row r="3576" spans="32:32">
      <c r="AF3576" s="18"/>
    </row>
    <row r="3577" spans="32:32">
      <c r="AF3577" s="18"/>
    </row>
    <row r="3578" spans="32:32">
      <c r="AF3578" s="18"/>
    </row>
    <row r="3592" spans="32:32">
      <c r="AF3592" s="18"/>
    </row>
    <row r="3593" spans="32:32">
      <c r="AF3593" s="18"/>
    </row>
    <row r="3594" spans="32:32">
      <c r="AF3594" s="18"/>
    </row>
    <row r="3595" spans="32:32">
      <c r="AF3595" s="18"/>
    </row>
    <row r="3596" spans="32:32">
      <c r="AF3596" s="18"/>
    </row>
    <row r="3597" spans="32:32">
      <c r="AF3597" s="18"/>
    </row>
    <row r="3598" spans="32:32">
      <c r="AF3598" s="18"/>
    </row>
    <row r="3613" spans="32:32">
      <c r="AF3613" s="18"/>
    </row>
    <row r="3614" spans="32:32">
      <c r="AF3614" s="18"/>
    </row>
    <row r="3615" spans="32:32">
      <c r="AF3615" s="18"/>
    </row>
    <row r="3616" spans="32:32">
      <c r="AF3616" s="18"/>
    </row>
    <row r="3617" spans="32:32">
      <c r="AF3617" s="18"/>
    </row>
    <row r="3618" spans="32:32">
      <c r="AF3618" s="18"/>
    </row>
    <row r="3619" spans="32:32">
      <c r="AF3619" s="18"/>
    </row>
    <row r="3620" spans="32:32">
      <c r="AF3620" s="18"/>
    </row>
    <row r="3633" spans="32:32">
      <c r="AF3633" s="18"/>
    </row>
    <row r="3634" spans="32:32">
      <c r="AF3634" s="18"/>
    </row>
    <row r="3635" spans="32:32">
      <c r="AF3635" s="18"/>
    </row>
    <row r="3636" spans="32:32">
      <c r="AF3636" s="18"/>
    </row>
    <row r="3637" spans="32:32">
      <c r="AF3637" s="18"/>
    </row>
    <row r="3638" spans="32:32">
      <c r="AF3638" s="18"/>
    </row>
    <row r="3639" spans="32:32">
      <c r="AF3639" s="18"/>
    </row>
    <row r="3640" spans="32:32">
      <c r="AF3640" s="18"/>
    </row>
    <row r="3641" spans="32:32">
      <c r="AF3641" s="18"/>
    </row>
    <row r="3655" spans="32:32">
      <c r="AF3655" s="18"/>
    </row>
    <row r="3656" spans="32:32">
      <c r="AF3656" s="18"/>
    </row>
    <row r="3657" spans="32:32">
      <c r="AF3657" s="18"/>
    </row>
    <row r="3658" spans="32:32">
      <c r="AF3658" s="18"/>
    </row>
    <row r="3659" spans="32:32">
      <c r="AF3659" s="18"/>
    </row>
    <row r="3660" spans="32:32">
      <c r="AF3660" s="18"/>
    </row>
    <row r="3661" spans="32:32">
      <c r="AF3661" s="18"/>
    </row>
    <row r="3676" spans="32:32">
      <c r="AF3676" s="18"/>
    </row>
    <row r="3677" spans="32:32">
      <c r="AF3677" s="18"/>
    </row>
    <row r="3678" spans="32:32">
      <c r="AF3678" s="18"/>
    </row>
    <row r="3679" spans="32:32">
      <c r="AF3679" s="18"/>
    </row>
    <row r="3680" spans="32:32">
      <c r="AF3680" s="18"/>
    </row>
    <row r="3681" spans="32:32">
      <c r="AF3681" s="18"/>
    </row>
    <row r="3682" spans="32:32">
      <c r="AF3682" s="18"/>
    </row>
    <row r="3683" spans="32:32">
      <c r="AF3683" s="18"/>
    </row>
    <row r="3684" spans="32:32">
      <c r="AF3684" s="18"/>
    </row>
    <row r="3698" spans="32:32">
      <c r="AF3698" s="18"/>
    </row>
    <row r="3699" spans="32:32">
      <c r="AF3699" s="18"/>
    </row>
    <row r="3700" spans="32:32">
      <c r="AF3700" s="18"/>
    </row>
    <row r="3701" spans="32:32">
      <c r="AF3701" s="18"/>
    </row>
    <row r="3702" spans="32:32">
      <c r="AF3702" s="18"/>
    </row>
    <row r="3703" spans="32:32">
      <c r="AF3703" s="18"/>
    </row>
    <row r="3704" spans="32:32">
      <c r="AF3704" s="18"/>
    </row>
    <row r="3719" spans="32:32">
      <c r="AF3719" s="18"/>
    </row>
    <row r="3720" spans="32:32">
      <c r="AF3720" s="18"/>
    </row>
    <row r="3721" spans="32:32">
      <c r="AF3721" s="18"/>
    </row>
    <row r="3722" spans="32:32">
      <c r="AF3722" s="18"/>
    </row>
    <row r="3723" spans="32:32">
      <c r="AF3723" s="18"/>
    </row>
    <row r="3724" spans="32:32">
      <c r="AF3724" s="18"/>
    </row>
    <row r="3725" spans="32:32">
      <c r="AF3725" s="18"/>
    </row>
    <row r="3726" spans="32:32">
      <c r="AF3726" s="18"/>
    </row>
    <row r="3740" spans="32:32">
      <c r="AF3740" s="18"/>
    </row>
    <row r="3741" spans="32:32">
      <c r="AF3741" s="18"/>
    </row>
    <row r="3742" spans="32:32">
      <c r="AF3742" s="18"/>
    </row>
    <row r="3743" spans="32:32">
      <c r="AF3743" s="18"/>
    </row>
    <row r="3744" spans="32:32">
      <c r="AF3744" s="18"/>
    </row>
    <row r="3745" spans="32:32">
      <c r="AF3745" s="18"/>
    </row>
    <row r="3746" spans="32:32">
      <c r="AF3746" s="18"/>
    </row>
    <row r="3747" spans="32:32">
      <c r="AF3747" s="18"/>
    </row>
    <row r="3748" spans="32:32">
      <c r="AF3748" s="18"/>
    </row>
    <row r="3749" spans="32:32">
      <c r="AF3749" s="18"/>
    </row>
    <row r="3761" spans="32:32">
      <c r="AF3761" s="18"/>
    </row>
    <row r="3762" spans="32:32">
      <c r="AF3762" s="18"/>
    </row>
    <row r="3763" spans="32:32">
      <c r="AF3763" s="18"/>
    </row>
    <row r="3764" spans="32:32">
      <c r="AF3764" s="18"/>
    </row>
    <row r="3765" spans="32:32">
      <c r="AF3765" s="18"/>
    </row>
    <row r="3766" spans="32:32">
      <c r="AF3766" s="18"/>
    </row>
    <row r="3767" spans="32:32">
      <c r="AF3767" s="18"/>
    </row>
    <row r="3768" spans="32:32">
      <c r="AF3768" s="18"/>
    </row>
    <row r="3783" spans="32:32">
      <c r="AF3783" s="18"/>
    </row>
    <row r="3784" spans="32:32">
      <c r="AF3784" s="18"/>
    </row>
    <row r="3785" spans="32:32">
      <c r="AF3785" s="18"/>
    </row>
    <row r="3786" spans="32:32">
      <c r="AF3786" s="18"/>
    </row>
    <row r="3787" spans="32:32">
      <c r="AF3787" s="18"/>
    </row>
    <row r="3788" spans="32:32">
      <c r="AF3788" s="18"/>
    </row>
    <row r="3789" spans="32:32">
      <c r="AF3789" s="18"/>
    </row>
    <row r="3790" spans="32:32">
      <c r="AF3790" s="18"/>
    </row>
    <row r="3803" spans="32:32">
      <c r="AF3803" s="18"/>
    </row>
    <row r="3804" spans="32:32">
      <c r="AF3804" s="18"/>
    </row>
    <row r="3805" spans="32:32">
      <c r="AF3805" s="18"/>
    </row>
    <row r="3806" spans="32:32">
      <c r="AF3806" s="18"/>
    </row>
    <row r="3807" spans="32:32">
      <c r="AF3807" s="18"/>
    </row>
    <row r="3808" spans="32:32">
      <c r="AF3808" s="18"/>
    </row>
    <row r="3809" spans="32:32">
      <c r="AF3809" s="18"/>
    </row>
    <row r="3810" spans="32:32">
      <c r="AF3810" s="18"/>
    </row>
    <row r="3811" spans="32:32">
      <c r="AF3811" s="18"/>
    </row>
    <row r="3822" spans="32:32">
      <c r="AF3822" s="18"/>
    </row>
    <row r="3823" spans="32:32">
      <c r="AF3823" s="18"/>
    </row>
    <row r="3824" spans="32:32">
      <c r="AF3824" s="18"/>
    </row>
    <row r="3825" spans="32:32">
      <c r="AF3825" s="18"/>
    </row>
    <row r="3826" spans="32:32">
      <c r="AF3826" s="18"/>
    </row>
    <row r="3827" spans="32:32">
      <c r="AF3827" s="18"/>
    </row>
    <row r="3828" spans="32:32">
      <c r="AF3828" s="18"/>
    </row>
    <row r="3829" spans="32:32">
      <c r="AF3829" s="18"/>
    </row>
    <row r="3830" spans="32:32">
      <c r="AF3830" s="18"/>
    </row>
    <row r="3844" spans="32:32">
      <c r="AF3844" s="18"/>
    </row>
    <row r="3845" spans="32:32">
      <c r="AF3845" s="18"/>
    </row>
    <row r="3846" spans="32:32">
      <c r="AF3846" s="18"/>
    </row>
    <row r="3847" spans="32:32">
      <c r="AF3847" s="18"/>
    </row>
    <row r="3848" spans="32:32">
      <c r="AF3848" s="18"/>
    </row>
    <row r="3849" spans="32:32">
      <c r="AF3849" s="18"/>
    </row>
    <row r="3850" spans="32:32">
      <c r="AF3850" s="18"/>
    </row>
    <row r="3851" spans="32:32">
      <c r="AF3851" s="18"/>
    </row>
    <row r="3865" spans="32:32">
      <c r="AF3865" s="18"/>
    </row>
    <row r="3866" spans="32:32">
      <c r="AF3866" s="18"/>
    </row>
    <row r="3867" spans="32:32">
      <c r="AF3867" s="18"/>
    </row>
    <row r="3868" spans="32:32">
      <c r="AF3868" s="18"/>
    </row>
    <row r="3869" spans="32:32">
      <c r="AF3869" s="18"/>
    </row>
    <row r="3870" spans="32:32">
      <c r="AF3870" s="18"/>
    </row>
    <row r="3871" spans="32:32">
      <c r="AF3871" s="18"/>
    </row>
    <row r="3872" spans="32:32">
      <c r="AF3872" s="18"/>
    </row>
    <row r="3873" spans="32:32">
      <c r="AF3873" s="18"/>
    </row>
    <row r="3886" spans="32:32">
      <c r="AF3886" s="18"/>
    </row>
    <row r="3887" spans="32:32">
      <c r="AF3887" s="18"/>
    </row>
    <row r="3888" spans="32:32">
      <c r="AF3888" s="18"/>
    </row>
    <row r="3889" spans="32:32">
      <c r="AF3889" s="18"/>
    </row>
    <row r="3890" spans="32:32">
      <c r="AF3890" s="18"/>
    </row>
    <row r="3891" spans="32:32">
      <c r="AF3891" s="18"/>
    </row>
    <row r="3892" spans="32:32">
      <c r="AF3892" s="18"/>
    </row>
    <row r="3893" spans="32:32">
      <c r="AF3893" s="18"/>
    </row>
    <row r="3908" spans="32:32">
      <c r="AF3908" s="18"/>
    </row>
    <row r="3909" spans="32:32">
      <c r="AF3909" s="18"/>
    </row>
    <row r="3910" spans="32:32">
      <c r="AF3910" s="18"/>
    </row>
    <row r="3911" spans="32:32">
      <c r="AF3911" s="18"/>
    </row>
    <row r="3912" spans="32:32">
      <c r="AF3912" s="18"/>
    </row>
    <row r="3913" spans="32:32">
      <c r="AF3913" s="18"/>
    </row>
    <row r="3914" spans="32:32">
      <c r="AF3914" s="18"/>
    </row>
    <row r="3928" spans="32:32">
      <c r="AF3928" s="18"/>
    </row>
    <row r="3929" spans="32:32">
      <c r="AF3929" s="18"/>
    </row>
    <row r="3930" spans="32:32">
      <c r="AF3930" s="18"/>
    </row>
    <row r="3931" spans="32:32">
      <c r="AF3931" s="18"/>
    </row>
    <row r="3932" spans="32:32">
      <c r="AF3932" s="18"/>
    </row>
    <row r="3933" spans="32:32">
      <c r="AF3933" s="18"/>
    </row>
    <row r="3934" spans="32:32">
      <c r="AF3934" s="18"/>
    </row>
    <row r="3935" spans="32:32">
      <c r="AF3935" s="18"/>
    </row>
    <row r="3936" spans="32:32">
      <c r="AF3936" s="18"/>
    </row>
    <row r="3937" spans="32:32">
      <c r="AF3937" s="18"/>
    </row>
    <row r="3951" spans="32:32">
      <c r="AF3951" s="18"/>
    </row>
    <row r="3952" spans="32:32">
      <c r="AF3952" s="18"/>
    </row>
    <row r="3953" spans="32:32">
      <c r="AF3953" s="18"/>
    </row>
    <row r="3954" spans="32:32">
      <c r="AF3954" s="18"/>
    </row>
    <row r="3955" spans="32:32">
      <c r="AF3955" s="18"/>
    </row>
    <row r="3956" spans="32:32">
      <c r="AF3956" s="18"/>
    </row>
    <row r="3957" spans="32:32">
      <c r="AF3957" s="18"/>
    </row>
    <row r="3972" spans="32:32">
      <c r="AF3972" s="18"/>
    </row>
    <row r="3973" spans="32:32">
      <c r="AF3973" s="18"/>
    </row>
    <row r="3974" spans="32:32">
      <c r="AF3974" s="18"/>
    </row>
    <row r="3975" spans="32:32">
      <c r="AF3975" s="18"/>
    </row>
    <row r="3976" spans="32:32">
      <c r="AF3976" s="18"/>
    </row>
    <row r="3977" spans="32:32">
      <c r="AF3977" s="18"/>
    </row>
    <row r="3978" spans="32:32">
      <c r="AF3978" s="18"/>
    </row>
    <row r="3979" spans="32:32">
      <c r="AF3979" s="18"/>
    </row>
    <row r="3993" spans="32:32">
      <c r="AF3993" s="18"/>
    </row>
    <row r="3994" spans="32:32">
      <c r="AF3994" s="18"/>
    </row>
    <row r="3995" spans="32:32">
      <c r="AF3995" s="18"/>
    </row>
    <row r="3996" spans="32:32">
      <c r="AF3996" s="18"/>
    </row>
    <row r="3997" spans="32:32">
      <c r="AF3997" s="18"/>
    </row>
    <row r="3998" spans="32:32">
      <c r="AF3998" s="18"/>
    </row>
    <row r="3999" spans="32:32">
      <c r="AF3999" s="18"/>
    </row>
    <row r="4000" spans="32:32">
      <c r="AF4000" s="18"/>
    </row>
    <row r="4001" spans="32:32">
      <c r="AF4001" s="18"/>
    </row>
    <row r="4014" spans="32:32">
      <c r="AF4014" s="18"/>
    </row>
    <row r="4015" spans="32:32">
      <c r="AF4015" s="18"/>
    </row>
    <row r="4016" spans="32:32">
      <c r="AF4016" s="18"/>
    </row>
    <row r="4017" spans="32:32">
      <c r="AF4017" s="18"/>
    </row>
    <row r="4018" spans="32:32">
      <c r="AF4018" s="18"/>
    </row>
    <row r="4019" spans="32:32">
      <c r="AF4019" s="18"/>
    </row>
    <row r="4020" spans="32:32">
      <c r="AF4020" s="18"/>
    </row>
    <row r="4021" spans="32:32">
      <c r="AF4021" s="18"/>
    </row>
    <row r="4035" spans="32:32">
      <c r="AF4035" s="18"/>
    </row>
    <row r="4036" spans="32:32">
      <c r="AF4036" s="18"/>
    </row>
    <row r="4037" spans="32:32">
      <c r="AF4037" s="18"/>
    </row>
    <row r="4038" spans="32:32">
      <c r="AF4038" s="18"/>
    </row>
    <row r="4039" spans="32:32">
      <c r="AF4039" s="18"/>
    </row>
    <row r="4040" spans="32:32">
      <c r="AF4040" s="18"/>
    </row>
    <row r="4041" spans="32:32">
      <c r="AF4041" s="18"/>
    </row>
    <row r="4042" spans="32:32">
      <c r="AF4042" s="18"/>
    </row>
    <row r="4055" spans="32:32">
      <c r="AF4055" s="18"/>
    </row>
    <row r="4056" spans="32:32">
      <c r="AF4056" s="18"/>
    </row>
    <row r="4057" spans="32:32">
      <c r="AF4057" s="18"/>
    </row>
    <row r="4058" spans="32:32">
      <c r="AF4058" s="18"/>
    </row>
    <row r="4059" spans="32:32">
      <c r="AF4059" s="18"/>
    </row>
    <row r="4060" spans="32:32">
      <c r="AF4060" s="18"/>
    </row>
    <row r="4061" spans="32:32">
      <c r="AF4061" s="18"/>
    </row>
    <row r="4062" spans="32:32">
      <c r="AF4062" s="18"/>
    </row>
    <row r="4074" spans="32:32">
      <c r="AF4074" s="18"/>
    </row>
    <row r="4075" spans="32:32">
      <c r="AF4075" s="18"/>
    </row>
    <row r="4076" spans="32:32">
      <c r="AF4076" s="18"/>
    </row>
    <row r="4077" spans="32:32">
      <c r="AF4077" s="18"/>
    </row>
    <row r="4078" spans="32:32">
      <c r="AF4078" s="18"/>
    </row>
    <row r="4079" spans="32:32">
      <c r="AF4079" s="18"/>
    </row>
    <row r="4080" spans="32:32">
      <c r="AF4080" s="18"/>
    </row>
    <row r="4081" spans="32:32">
      <c r="AF4081" s="18"/>
    </row>
    <row r="4097" spans="32:32">
      <c r="AF4097" s="18"/>
    </row>
    <row r="4098" spans="32:32">
      <c r="AF4098" s="18"/>
    </row>
    <row r="4099" spans="32:32">
      <c r="AF4099" s="18"/>
    </row>
    <row r="4100" spans="32:32">
      <c r="AF4100" s="18"/>
    </row>
    <row r="4101" spans="32:32">
      <c r="AF4101" s="18"/>
    </row>
    <row r="4102" spans="32:32">
      <c r="AF4102" s="18"/>
    </row>
    <row r="4103" spans="32:32">
      <c r="AF4103" s="18"/>
    </row>
    <row r="4104" spans="32:32">
      <c r="AF4104" s="18"/>
    </row>
    <row r="4116" spans="32:32">
      <c r="AF4116" s="18"/>
    </row>
    <row r="4117" spans="32:32">
      <c r="AF4117" s="18"/>
    </row>
    <row r="4118" spans="32:32">
      <c r="AF4118" s="18"/>
    </row>
    <row r="4119" spans="32:32">
      <c r="AF4119" s="18"/>
    </row>
    <row r="4120" spans="32:32">
      <c r="AF4120" s="18"/>
    </row>
    <row r="4121" spans="32:32">
      <c r="AF4121" s="18"/>
    </row>
    <row r="4122" spans="32:32">
      <c r="AF4122" s="18"/>
    </row>
    <row r="4123" spans="32:32">
      <c r="AF4123" s="18"/>
    </row>
    <row r="4124" spans="32:32">
      <c r="AF4124" s="18"/>
    </row>
    <row r="4125" spans="32:32">
      <c r="AF4125" s="18"/>
    </row>
    <row r="4138" spans="32:32">
      <c r="AF4138" s="18"/>
    </row>
    <row r="4139" spans="32:32">
      <c r="AF4139" s="18"/>
    </row>
    <row r="4140" spans="32:32">
      <c r="AF4140" s="18"/>
    </row>
    <row r="4141" spans="32:32">
      <c r="AF4141" s="18"/>
    </row>
    <row r="4142" spans="32:32">
      <c r="AF4142" s="18"/>
    </row>
    <row r="4143" spans="32:32">
      <c r="AF4143" s="18"/>
    </row>
    <row r="4144" spans="32:32">
      <c r="AF4144" s="18"/>
    </row>
    <row r="4145" spans="32:32">
      <c r="AF4145" s="18"/>
    </row>
    <row r="4160" spans="32:32">
      <c r="AF4160" s="18"/>
    </row>
    <row r="4161" spans="32:32">
      <c r="AF4161" s="18"/>
    </row>
    <row r="4162" spans="32:32">
      <c r="AF4162" s="18"/>
    </row>
    <row r="4163" spans="32:32">
      <c r="AF4163" s="18"/>
    </row>
    <row r="4164" spans="32:32">
      <c r="AF4164" s="18"/>
    </row>
    <row r="4165" spans="32:32">
      <c r="AF4165" s="18"/>
    </row>
    <row r="4166" spans="32:32">
      <c r="AF4166" s="18"/>
    </row>
    <row r="4180" spans="32:32">
      <c r="AF4180" s="18"/>
    </row>
    <row r="4181" spans="32:32">
      <c r="AF4181" s="18"/>
    </row>
    <row r="4182" spans="32:32">
      <c r="AF4182" s="18"/>
    </row>
    <row r="4183" spans="32:32">
      <c r="AF4183" s="18"/>
    </row>
    <row r="4184" spans="32:32">
      <c r="AF4184" s="18"/>
    </row>
    <row r="4185" spans="32:32">
      <c r="AF4185" s="18"/>
    </row>
    <row r="4186" spans="32:32">
      <c r="AF4186" s="18"/>
    </row>
    <row r="4187" spans="32:32">
      <c r="AF4187" s="18"/>
    </row>
    <row r="4188" spans="32:32">
      <c r="AF4188" s="18"/>
    </row>
    <row r="4203" spans="32:32">
      <c r="AF4203" s="18"/>
    </row>
    <row r="4204" spans="32:32">
      <c r="AF4204" s="18"/>
    </row>
    <row r="4205" spans="32:32">
      <c r="AF4205" s="18"/>
    </row>
    <row r="4206" spans="32:32">
      <c r="AF4206" s="18"/>
    </row>
    <row r="4207" spans="32:32">
      <c r="AF4207" s="18"/>
    </row>
    <row r="4208" spans="32:32">
      <c r="AF4208" s="18"/>
    </row>
    <row r="4209" spans="32:32">
      <c r="AF4209" s="18"/>
    </row>
    <row r="4223" spans="32:32">
      <c r="AF4223" s="18"/>
    </row>
    <row r="4224" spans="32:32">
      <c r="AF4224" s="18"/>
    </row>
    <row r="4225" spans="32:32">
      <c r="AF4225" s="18"/>
    </row>
    <row r="4226" spans="32:32">
      <c r="AF4226" s="18"/>
    </row>
    <row r="4227" spans="32:32">
      <c r="AF4227" s="18"/>
    </row>
    <row r="4228" spans="32:32">
      <c r="AF4228" s="18"/>
    </row>
    <row r="4229" spans="32:32">
      <c r="AF4229" s="18"/>
    </row>
    <row r="4230" spans="32:32">
      <c r="AF4230" s="18"/>
    </row>
    <row r="4231" spans="32:32">
      <c r="AF4231" s="18"/>
    </row>
    <row r="4245" spans="32:32">
      <c r="AF4245" s="18"/>
    </row>
    <row r="4246" spans="32:32">
      <c r="AF4246" s="18"/>
    </row>
    <row r="4247" spans="32:32">
      <c r="AF4247" s="18"/>
    </row>
    <row r="4248" spans="32:32">
      <c r="AF4248" s="18"/>
    </row>
    <row r="4249" spans="32:32">
      <c r="AF4249" s="18"/>
    </row>
    <row r="4250" spans="32:32">
      <c r="AF4250" s="18"/>
    </row>
    <row r="4251" spans="32:32">
      <c r="AF4251" s="18"/>
    </row>
    <row r="4252" spans="32:32">
      <c r="AF4252" s="18"/>
    </row>
    <row r="4266" spans="32:32">
      <c r="AF4266" s="18"/>
    </row>
    <row r="4267" spans="32:32">
      <c r="AF4267" s="18"/>
    </row>
    <row r="4268" spans="32:32">
      <c r="AF4268" s="18"/>
    </row>
    <row r="4269" spans="32:32">
      <c r="AF4269" s="18"/>
    </row>
    <row r="4270" spans="32:32">
      <c r="AF4270" s="18"/>
    </row>
    <row r="4271" spans="32:32">
      <c r="AF4271" s="18"/>
    </row>
    <row r="4272" spans="32:32">
      <c r="AF4272" s="18"/>
    </row>
    <row r="4273" spans="32:32">
      <c r="AF4273" s="18"/>
    </row>
    <row r="4286" spans="32:32">
      <c r="AF4286" s="18"/>
    </row>
    <row r="4287" spans="32:32">
      <c r="AF4287" s="18"/>
    </row>
    <row r="4288" spans="32:32">
      <c r="AF4288" s="18"/>
    </row>
    <row r="4289" spans="32:32">
      <c r="AF4289" s="18"/>
    </row>
    <row r="4290" spans="32:32">
      <c r="AF4290" s="18"/>
    </row>
    <row r="4291" spans="32:32">
      <c r="AF4291" s="18"/>
    </row>
    <row r="4292" spans="32:32">
      <c r="AF4292" s="18"/>
    </row>
    <row r="4293" spans="32:32">
      <c r="AF4293" s="18"/>
    </row>
    <row r="4306" spans="32:32">
      <c r="AF4306" s="18"/>
    </row>
    <row r="4307" spans="32:32">
      <c r="AF4307" s="18"/>
    </row>
    <row r="4308" spans="32:32">
      <c r="AF4308" s="18"/>
    </row>
    <row r="4309" spans="32:32">
      <c r="AF4309" s="18"/>
    </row>
    <row r="4310" spans="32:32">
      <c r="AF4310" s="18"/>
    </row>
    <row r="4311" spans="32:32">
      <c r="AF4311" s="18"/>
    </row>
    <row r="4312" spans="32:32">
      <c r="AF4312" s="18"/>
    </row>
    <row r="4313" spans="32:32">
      <c r="AF4313" s="18"/>
    </row>
    <row r="4325" spans="32:32">
      <c r="AF4325" s="18"/>
    </row>
    <row r="4326" spans="32:32">
      <c r="AF4326" s="18"/>
    </row>
    <row r="4327" spans="32:32">
      <c r="AF4327" s="18"/>
    </row>
    <row r="4328" spans="32:32">
      <c r="AF4328" s="18"/>
    </row>
    <row r="4329" spans="32:32">
      <c r="AF4329" s="18"/>
    </row>
    <row r="4330" spans="32:32">
      <c r="AF4330" s="18"/>
    </row>
    <row r="4331" spans="32:32">
      <c r="AF4331" s="18"/>
    </row>
    <row r="4332" spans="32:32">
      <c r="AF4332" s="18"/>
    </row>
    <row r="4347" spans="32:32">
      <c r="AF4347" s="18"/>
    </row>
    <row r="4348" spans="32:32">
      <c r="AF4348" s="18"/>
    </row>
    <row r="4349" spans="32:32">
      <c r="AF4349" s="18"/>
    </row>
    <row r="4350" spans="32:32">
      <c r="AF4350" s="18"/>
    </row>
    <row r="4351" spans="32:32">
      <c r="AF4351" s="18"/>
    </row>
    <row r="4352" spans="32:32">
      <c r="AF4352" s="18"/>
    </row>
    <row r="4353" spans="32:32">
      <c r="AF4353" s="18"/>
    </row>
    <row r="4354" spans="32:32">
      <c r="AF4354" s="18"/>
    </row>
    <row r="4367" spans="32:32">
      <c r="AF4367" s="18"/>
    </row>
    <row r="4368" spans="32:32">
      <c r="AF4368" s="18"/>
    </row>
    <row r="4369" spans="32:32">
      <c r="AF4369" s="18"/>
    </row>
    <row r="4370" spans="32:32">
      <c r="AF4370" s="18"/>
    </row>
    <row r="4371" spans="32:32">
      <c r="AF4371" s="18"/>
    </row>
    <row r="4372" spans="32:32">
      <c r="AF4372" s="18"/>
    </row>
    <row r="4373" spans="32:32">
      <c r="AF4373" s="18"/>
    </row>
    <row r="4374" spans="32:32">
      <c r="AF4374" s="18"/>
    </row>
    <row r="4375" spans="32:32">
      <c r="AF4375" s="18"/>
    </row>
    <row r="4389" spans="32:32">
      <c r="AF4389" s="18"/>
    </row>
    <row r="4390" spans="32:32">
      <c r="AF4390" s="18"/>
    </row>
    <row r="4391" spans="32:32">
      <c r="AF4391" s="18"/>
    </row>
    <row r="4392" spans="32:32">
      <c r="AF4392" s="18"/>
    </row>
    <row r="4393" spans="32:32">
      <c r="AF4393" s="18"/>
    </row>
    <row r="4394" spans="32:32">
      <c r="AF4394" s="18"/>
    </row>
    <row r="4395" spans="32:32">
      <c r="AF4395" s="18"/>
    </row>
    <row r="4396" spans="32:32">
      <c r="AF4396" s="18"/>
    </row>
    <row r="4410" spans="32:32">
      <c r="AF4410" s="18"/>
    </row>
    <row r="4411" spans="32:32">
      <c r="AF4411" s="18"/>
    </row>
    <row r="4412" spans="32:32">
      <c r="AF4412" s="18"/>
    </row>
    <row r="4413" spans="32:32">
      <c r="AF4413" s="18"/>
    </row>
    <row r="4414" spans="32:32">
      <c r="AF4414" s="18"/>
    </row>
    <row r="4415" spans="32:32">
      <c r="AF4415" s="18"/>
    </row>
    <row r="4416" spans="32:32">
      <c r="AF4416" s="18"/>
    </row>
    <row r="4417" spans="32:32">
      <c r="AF4417" s="18"/>
    </row>
    <row r="4431" spans="32:32">
      <c r="AF4431" s="18"/>
    </row>
    <row r="4432" spans="32:32">
      <c r="AF4432" s="18"/>
    </row>
    <row r="4433" spans="32:32">
      <c r="AF4433" s="18"/>
    </row>
    <row r="4434" spans="32:32">
      <c r="AF4434" s="18"/>
    </row>
    <row r="4435" spans="32:32">
      <c r="AF4435" s="18"/>
    </row>
    <row r="4436" spans="32:32">
      <c r="AF4436" s="18"/>
    </row>
    <row r="4437" spans="32:32">
      <c r="AF4437" s="18"/>
    </row>
    <row r="4438" spans="32:32">
      <c r="AF4438" s="18"/>
    </row>
    <row r="4454" spans="32:32">
      <c r="AF4454" s="18"/>
    </row>
    <row r="4455" spans="32:32">
      <c r="AF4455" s="18"/>
    </row>
    <row r="4456" spans="32:32">
      <c r="AF4456" s="18"/>
    </row>
    <row r="4457" spans="32:32">
      <c r="AF4457" s="18"/>
    </row>
    <row r="4458" spans="32:32">
      <c r="AF4458" s="18"/>
    </row>
    <row r="4459" spans="32:32">
      <c r="AF4459" s="18"/>
    </row>
    <row r="4460" spans="32:32">
      <c r="AF4460" s="18"/>
    </row>
    <row r="4473" spans="32:32">
      <c r="AF4473" s="18"/>
    </row>
    <row r="4474" spans="32:32">
      <c r="AF4474" s="18"/>
    </row>
    <row r="4475" spans="32:32">
      <c r="AF4475" s="18"/>
    </row>
    <row r="4476" spans="32:32">
      <c r="AF4476" s="18"/>
    </row>
    <row r="4477" spans="32:32">
      <c r="AF4477" s="18"/>
    </row>
    <row r="4478" spans="32:32">
      <c r="AF4478" s="18"/>
    </row>
    <row r="4479" spans="32:32">
      <c r="AF4479" s="18"/>
    </row>
    <row r="4480" spans="32:32">
      <c r="AF4480" s="18"/>
    </row>
    <row r="4481" spans="32:32">
      <c r="AF4481" s="18"/>
    </row>
    <row r="4482" spans="32:32">
      <c r="AF4482" s="18"/>
    </row>
    <row r="4496" spans="32:32">
      <c r="AF4496" s="18"/>
    </row>
    <row r="4497" spans="32:32">
      <c r="AF4497" s="18"/>
    </row>
    <row r="4498" spans="32:32">
      <c r="AF4498" s="18"/>
    </row>
    <row r="4499" spans="32:32">
      <c r="AF4499" s="18"/>
    </row>
    <row r="4500" spans="32:32">
      <c r="AF4500" s="18"/>
    </row>
    <row r="4501" spans="32:32">
      <c r="AF4501" s="18"/>
    </row>
    <row r="4502" spans="32:32">
      <c r="AF4502" s="18"/>
    </row>
    <row r="4503" spans="32:32">
      <c r="AF4503" s="18"/>
    </row>
    <row r="4517" spans="32:32">
      <c r="AF4517" s="18"/>
    </row>
    <row r="4518" spans="32:32">
      <c r="AF4518" s="18"/>
    </row>
    <row r="4519" spans="32:32">
      <c r="AF4519" s="18"/>
    </row>
    <row r="4520" spans="32:32">
      <c r="AF4520" s="18"/>
    </row>
    <row r="4521" spans="32:32">
      <c r="AF4521" s="18"/>
    </row>
    <row r="4522" spans="32:32">
      <c r="AF4522" s="18"/>
    </row>
    <row r="4523" spans="32:32">
      <c r="AF4523" s="18"/>
    </row>
    <row r="4524" spans="32:32">
      <c r="AF4524" s="18"/>
    </row>
    <row r="4537" spans="32:32">
      <c r="AF4537" s="18"/>
    </row>
    <row r="4538" spans="32:32">
      <c r="AF4538" s="18"/>
    </row>
    <row r="4539" spans="32:32">
      <c r="AF4539" s="18"/>
    </row>
    <row r="4540" spans="32:32">
      <c r="AF4540" s="18"/>
    </row>
    <row r="4541" spans="32:32">
      <c r="AF4541" s="18"/>
    </row>
    <row r="4542" spans="32:32">
      <c r="AF4542" s="18"/>
    </row>
    <row r="4543" spans="32:32">
      <c r="AF4543" s="18"/>
    </row>
    <row r="4544" spans="32:32">
      <c r="AF4544" s="18"/>
    </row>
    <row r="4558" spans="32:32">
      <c r="AF4558" s="18"/>
    </row>
    <row r="4559" spans="32:32">
      <c r="AF4559" s="18"/>
    </row>
    <row r="4560" spans="32:32">
      <c r="AF4560" s="18"/>
    </row>
    <row r="4561" spans="32:32">
      <c r="AF4561" s="18"/>
    </row>
    <row r="4562" spans="32:32">
      <c r="AF4562" s="18"/>
    </row>
    <row r="4563" spans="32:32">
      <c r="AF4563" s="18"/>
    </row>
    <row r="4564" spans="32:32">
      <c r="AF4564" s="18"/>
    </row>
    <row r="4565" spans="32:32">
      <c r="AF4565" s="18"/>
    </row>
    <row r="4578" spans="32:32">
      <c r="AF4578" s="18"/>
    </row>
    <row r="4579" spans="32:32">
      <c r="AF4579" s="18"/>
    </row>
    <row r="4580" spans="32:32">
      <c r="AF4580" s="18"/>
    </row>
    <row r="4581" spans="32:32">
      <c r="AF4581" s="18"/>
    </row>
    <row r="4582" spans="32:32">
      <c r="AF4582" s="18"/>
    </row>
    <row r="4583" spans="32:32">
      <c r="AF4583" s="18"/>
    </row>
    <row r="4584" spans="32:32">
      <c r="AF4584" s="18"/>
    </row>
    <row r="4585" spans="32:32">
      <c r="AF4585" s="18"/>
    </row>
    <row r="4598" spans="32:32">
      <c r="AF4598" s="18"/>
    </row>
    <row r="4599" spans="32:32">
      <c r="AF4599" s="18"/>
    </row>
    <row r="4600" spans="32:32">
      <c r="AF4600" s="18"/>
    </row>
    <row r="4601" spans="32:32">
      <c r="AF4601" s="18"/>
    </row>
    <row r="4602" spans="32:32">
      <c r="AF4602" s="18"/>
    </row>
    <row r="4603" spans="32:32">
      <c r="AF4603" s="18"/>
    </row>
    <row r="4604" spans="32:32">
      <c r="AF4604" s="18"/>
    </row>
    <row r="4605" spans="32:32">
      <c r="AF4605" s="18"/>
    </row>
    <row r="4606" spans="32:32">
      <c r="AF4606" s="18"/>
    </row>
    <row r="4620" spans="32:32">
      <c r="AF4620" s="18"/>
    </row>
    <row r="4621" spans="32:32">
      <c r="AF4621" s="18"/>
    </row>
    <row r="4622" spans="32:32">
      <c r="AF4622" s="18"/>
    </row>
    <row r="4623" spans="32:32">
      <c r="AF4623" s="18"/>
    </row>
    <row r="4624" spans="32:32">
      <c r="AF4624" s="18"/>
    </row>
    <row r="4625" spans="32:32">
      <c r="AF4625" s="18"/>
    </row>
    <row r="4626" spans="32:32">
      <c r="AF4626" s="18"/>
    </row>
    <row r="4627" spans="32:32">
      <c r="AF4627" s="18"/>
    </row>
    <row r="4641" spans="32:32">
      <c r="AF4641" s="18"/>
    </row>
    <row r="4642" spans="32:32">
      <c r="AF4642" s="18"/>
    </row>
    <row r="4643" spans="32:32">
      <c r="AF4643" s="18"/>
    </row>
    <row r="4644" spans="32:32">
      <c r="AF4644" s="18"/>
    </row>
    <row r="4645" spans="32:32">
      <c r="AF4645" s="18"/>
    </row>
    <row r="4646" spans="32:32">
      <c r="AF4646" s="18"/>
    </row>
    <row r="4647" spans="32:32">
      <c r="AF4647" s="18"/>
    </row>
    <row r="4648" spans="32:32">
      <c r="AF4648" s="18"/>
    </row>
    <row r="4649" spans="32:32">
      <c r="AF4649" s="18"/>
    </row>
    <row r="4662" spans="32:32">
      <c r="AF4662" s="18"/>
    </row>
    <row r="4663" spans="32:32">
      <c r="AF4663" s="18"/>
    </row>
    <row r="4664" spans="32:32">
      <c r="AF4664" s="18"/>
    </row>
    <row r="4665" spans="32:32">
      <c r="AF4665" s="18"/>
    </row>
    <row r="4666" spans="32:32">
      <c r="AF4666" s="18"/>
    </row>
    <row r="4667" spans="32:32">
      <c r="AF4667" s="18"/>
    </row>
    <row r="4668" spans="32:32">
      <c r="AF4668" s="18"/>
    </row>
    <row r="4669" spans="32:32">
      <c r="AF4669" s="18"/>
    </row>
    <row r="4684" spans="32:32">
      <c r="AF4684" s="18"/>
    </row>
    <row r="4685" spans="32:32">
      <c r="AF4685" s="18"/>
    </row>
    <row r="4686" spans="32:32">
      <c r="AF4686" s="18"/>
    </row>
    <row r="4687" spans="32:32">
      <c r="AF4687" s="18"/>
    </row>
    <row r="4688" spans="32:32">
      <c r="AF4688" s="18"/>
    </row>
    <row r="4689" spans="32:32">
      <c r="AF4689" s="18"/>
    </row>
    <row r="4690" spans="32:32">
      <c r="AF4690" s="18"/>
    </row>
    <row r="4691" spans="32:32">
      <c r="AF4691" s="18"/>
    </row>
    <row r="4705" spans="32:32">
      <c r="AF4705" s="18"/>
    </row>
    <row r="4706" spans="32:32">
      <c r="AF4706" s="18"/>
    </row>
    <row r="4707" spans="32:32">
      <c r="AF4707" s="18"/>
    </row>
    <row r="4708" spans="32:32">
      <c r="AF4708" s="18"/>
    </row>
    <row r="4709" spans="32:32">
      <c r="AF4709" s="18"/>
    </row>
    <row r="4710" spans="32:32">
      <c r="AF4710" s="18"/>
    </row>
    <row r="4711" spans="32:32">
      <c r="AF4711" s="18"/>
    </row>
    <row r="4712" spans="32:32">
      <c r="AF4712" s="18"/>
    </row>
    <row r="4713" spans="32:32">
      <c r="AF4713" s="18"/>
    </row>
    <row r="4726" spans="32:32">
      <c r="AF4726" s="18"/>
    </row>
    <row r="4727" spans="32:32">
      <c r="AF4727" s="18"/>
    </row>
    <row r="4728" spans="32:32">
      <c r="AF4728" s="18"/>
    </row>
    <row r="4729" spans="32:32">
      <c r="AF4729" s="18"/>
    </row>
    <row r="4730" spans="32:32">
      <c r="AF4730" s="18"/>
    </row>
    <row r="4731" spans="32:32">
      <c r="AF4731" s="18"/>
    </row>
    <row r="4732" spans="32:32">
      <c r="AF4732" s="18"/>
    </row>
    <row r="4733" spans="32:32">
      <c r="AF4733" s="18"/>
    </row>
    <row r="4749" spans="32:32">
      <c r="AF4749" s="18"/>
    </row>
    <row r="4750" spans="32:32">
      <c r="AF4750" s="18"/>
    </row>
    <row r="4751" spans="32:32">
      <c r="AF4751" s="18"/>
    </row>
    <row r="4752" spans="32:32">
      <c r="AF4752" s="18"/>
    </row>
    <row r="4753" spans="32:32">
      <c r="AF4753" s="18"/>
    </row>
    <row r="4754" spans="32:32">
      <c r="AF4754" s="18"/>
    </row>
    <row r="4755" spans="32:32">
      <c r="AF4755" s="18"/>
    </row>
    <row r="4756" spans="32:32">
      <c r="AF4756" s="18"/>
    </row>
    <row r="4768" spans="32:32">
      <c r="AF4768" s="18"/>
    </row>
    <row r="4769" spans="32:32">
      <c r="AF4769" s="18"/>
    </row>
    <row r="4770" spans="32:32">
      <c r="AF4770" s="18"/>
    </row>
    <row r="4771" spans="32:32">
      <c r="AF4771" s="18"/>
    </row>
    <row r="4772" spans="32:32">
      <c r="AF4772" s="18"/>
    </row>
    <row r="4773" spans="32:32">
      <c r="AF4773" s="18"/>
    </row>
    <row r="4774" spans="32:32">
      <c r="AF4774" s="18"/>
    </row>
    <row r="4775" spans="32:32">
      <c r="AF4775" s="18"/>
    </row>
    <row r="4776" spans="32:32">
      <c r="AF4776" s="18"/>
    </row>
    <row r="4777" spans="32:32">
      <c r="AF4777" s="18"/>
    </row>
    <row r="4790" spans="32:32">
      <c r="AF4790" s="18"/>
    </row>
    <row r="4791" spans="32:32">
      <c r="AF4791" s="18"/>
    </row>
    <row r="4792" spans="32:32">
      <c r="AF4792" s="18"/>
    </row>
    <row r="4793" spans="32:32">
      <c r="AF4793" s="18"/>
    </row>
    <row r="4794" spans="32:32">
      <c r="AF4794" s="18"/>
    </row>
    <row r="4795" spans="32:32">
      <c r="AF4795" s="18"/>
    </row>
    <row r="4796" spans="32:32">
      <c r="AF4796" s="18"/>
    </row>
    <row r="4810" spans="32:32">
      <c r="AF4810" s="18"/>
    </row>
    <row r="4811" spans="32:32">
      <c r="AF4811" s="18"/>
    </row>
    <row r="4812" spans="32:32">
      <c r="AF4812" s="18"/>
    </row>
    <row r="4813" spans="32:32">
      <c r="AF4813" s="18"/>
    </row>
    <row r="4814" spans="32:32">
      <c r="AF4814" s="18"/>
    </row>
    <row r="4815" spans="32:32">
      <c r="AF4815" s="18"/>
    </row>
    <row r="4816" spans="32:32">
      <c r="AF4816" s="18"/>
    </row>
    <row r="4817" spans="32:32">
      <c r="AF4817" s="18"/>
    </row>
    <row r="4818" spans="32:32">
      <c r="AF4818" s="18"/>
    </row>
    <row r="4829" spans="32:32">
      <c r="AF4829" s="18"/>
    </row>
    <row r="4830" spans="32:32">
      <c r="AF4830" s="18"/>
    </row>
    <row r="4831" spans="32:32">
      <c r="AF4831" s="18"/>
    </row>
    <row r="4832" spans="32:32">
      <c r="AF4832" s="18"/>
    </row>
    <row r="4833" spans="32:32">
      <c r="AF4833" s="18"/>
    </row>
    <row r="4834" spans="32:32">
      <c r="AF4834" s="18"/>
    </row>
    <row r="4835" spans="32:32">
      <c r="AF4835" s="18"/>
    </row>
    <row r="4836" spans="32:32">
      <c r="AF4836" s="18"/>
    </row>
    <row r="4837" spans="32:32">
      <c r="AF4837" s="18"/>
    </row>
    <row r="4851" spans="32:32">
      <c r="AF4851" s="18"/>
    </row>
    <row r="4852" spans="32:32">
      <c r="AF4852" s="18"/>
    </row>
    <row r="4853" spans="32:32">
      <c r="AF4853" s="18"/>
    </row>
    <row r="4854" spans="32:32">
      <c r="AF4854" s="18"/>
    </row>
    <row r="4855" spans="32:32">
      <c r="AF4855" s="18"/>
    </row>
    <row r="4856" spans="32:32">
      <c r="AF4856" s="18"/>
    </row>
    <row r="4857" spans="32:32">
      <c r="AF4857" s="18"/>
    </row>
    <row r="4872" spans="32:32">
      <c r="AF4872" s="18"/>
    </row>
    <row r="4873" spans="32:32">
      <c r="AF4873" s="18"/>
    </row>
    <row r="4874" spans="32:32">
      <c r="AF4874" s="18"/>
    </row>
    <row r="4875" spans="32:32">
      <c r="AF4875" s="18"/>
    </row>
    <row r="4876" spans="32:32">
      <c r="AF4876" s="18"/>
    </row>
    <row r="4877" spans="32:32">
      <c r="AF4877" s="18"/>
    </row>
    <row r="4878" spans="32:32">
      <c r="AF4878" s="18"/>
    </row>
    <row r="4879" spans="32:32">
      <c r="AF4879" s="18"/>
    </row>
    <row r="4892" spans="32:32">
      <c r="AF4892" s="18"/>
    </row>
    <row r="4893" spans="32:32">
      <c r="AF4893" s="18"/>
    </row>
    <row r="4894" spans="32:32">
      <c r="AF4894" s="18"/>
    </row>
    <row r="4895" spans="32:32">
      <c r="AF4895" s="18"/>
    </row>
    <row r="4896" spans="32:32">
      <c r="AF4896" s="18"/>
    </row>
    <row r="4897" spans="32:32">
      <c r="AF4897" s="18"/>
    </row>
    <row r="4898" spans="32:32">
      <c r="AF4898" s="18"/>
    </row>
    <row r="4899" spans="32:32">
      <c r="AF4899" s="18"/>
    </row>
    <row r="4900" spans="32:32">
      <c r="AF4900" s="18"/>
    </row>
    <row r="4901" spans="32:32">
      <c r="AF4901" s="18"/>
    </row>
    <row r="4914" spans="32:32">
      <c r="AF4914" s="18"/>
    </row>
    <row r="4915" spans="32:32">
      <c r="AF4915" s="18"/>
    </row>
    <row r="4916" spans="32:32">
      <c r="AF4916" s="18"/>
    </row>
    <row r="4917" spans="32:32">
      <c r="AF4917" s="18"/>
    </row>
    <row r="4918" spans="32:32">
      <c r="AF4918" s="18"/>
    </row>
    <row r="4919" spans="32:32">
      <c r="AF4919" s="18"/>
    </row>
    <row r="4920" spans="32:32">
      <c r="AF4920" s="18"/>
    </row>
    <row r="4936" spans="32:32">
      <c r="AF4936" s="18"/>
    </row>
    <row r="4937" spans="32:32">
      <c r="AF4937" s="18"/>
    </row>
    <row r="4938" spans="32:32">
      <c r="AF4938" s="18"/>
    </row>
    <row r="4939" spans="32:32">
      <c r="AF4939" s="18"/>
    </row>
    <row r="4940" spans="32:32">
      <c r="AF4940" s="18"/>
    </row>
    <row r="4941" spans="32:32">
      <c r="AF4941" s="18"/>
    </row>
    <row r="4942" spans="32:32">
      <c r="AF4942" s="18"/>
    </row>
    <row r="4943" spans="32:32">
      <c r="AF4943" s="18"/>
    </row>
    <row r="4957" spans="32:32">
      <c r="AF4957" s="18"/>
    </row>
    <row r="4958" spans="32:32">
      <c r="AF4958" s="18"/>
    </row>
    <row r="4959" spans="32:32">
      <c r="AF4959" s="18"/>
    </row>
    <row r="4960" spans="32:32">
      <c r="AF4960" s="18"/>
    </row>
    <row r="4961" spans="32:32">
      <c r="AF4961" s="18"/>
    </row>
    <row r="4962" spans="32:32">
      <c r="AF4962" s="18"/>
    </row>
    <row r="4963" spans="32:32">
      <c r="AF4963" s="18"/>
    </row>
    <row r="4964" spans="32:32">
      <c r="AF4964" s="18"/>
    </row>
    <row r="4978" spans="32:32">
      <c r="AF4978" s="18"/>
    </row>
    <row r="4979" spans="32:32">
      <c r="AF4979" s="18"/>
    </row>
    <row r="4980" spans="32:32">
      <c r="AF4980" s="18"/>
    </row>
    <row r="4981" spans="32:32">
      <c r="AF4981" s="18"/>
    </row>
    <row r="4982" spans="32:32">
      <c r="AF4982" s="18"/>
    </row>
    <row r="4983" spans="32:32">
      <c r="AF4983" s="18"/>
    </row>
    <row r="4984" spans="32:32">
      <c r="AF4984" s="18"/>
    </row>
    <row r="4985" spans="32:32">
      <c r="AF4985" s="18"/>
    </row>
    <row r="5000" spans="32:32">
      <c r="AF5000" s="18"/>
    </row>
    <row r="5001" spans="32:32">
      <c r="AF5001" s="18"/>
    </row>
    <row r="5002" spans="32:32">
      <c r="AF5002" s="18"/>
    </row>
    <row r="5003" spans="32:32">
      <c r="AF5003" s="18"/>
    </row>
    <row r="5004" spans="32:32">
      <c r="AF5004" s="18"/>
    </row>
    <row r="5005" spans="32:32">
      <c r="AF5005" s="18"/>
    </row>
    <row r="5006" spans="32:32">
      <c r="AF5006" s="18"/>
    </row>
    <row r="5007" spans="32:32">
      <c r="AF5007" s="18"/>
    </row>
    <row r="5008" spans="32:32">
      <c r="AF5008" s="18"/>
    </row>
    <row r="5020" spans="32:32">
      <c r="AF5020" s="18"/>
    </row>
    <row r="5021" spans="32:32">
      <c r="AF5021" s="18"/>
    </row>
    <row r="5022" spans="32:32">
      <c r="AF5022" s="18"/>
    </row>
    <row r="5023" spans="32:32">
      <c r="AF5023" s="18"/>
    </row>
    <row r="5024" spans="32:32">
      <c r="AF5024" s="18"/>
    </row>
    <row r="5025" spans="32:32">
      <c r="AF5025" s="18"/>
    </row>
    <row r="5026" spans="32:32">
      <c r="AF5026" s="18"/>
    </row>
    <row r="5027" spans="32:32">
      <c r="AF5027" s="18"/>
    </row>
    <row r="5028" spans="32:32">
      <c r="AF5028" s="18"/>
    </row>
    <row r="5042" spans="32:32">
      <c r="AF5042" s="18"/>
    </row>
    <row r="5043" spans="32:32">
      <c r="AF5043" s="18"/>
    </row>
    <row r="5044" spans="32:32">
      <c r="AF5044" s="18"/>
    </row>
    <row r="5045" spans="32:32">
      <c r="AF5045" s="18"/>
    </row>
    <row r="5046" spans="32:32">
      <c r="AF5046" s="18"/>
    </row>
    <row r="5047" spans="32:32">
      <c r="AF5047" s="18"/>
    </row>
    <row r="5048" spans="32:32">
      <c r="AF5048" s="18"/>
    </row>
    <row r="5061" spans="32:32">
      <c r="AF5061" s="18"/>
    </row>
    <row r="5062" spans="32:32">
      <c r="AF5062" s="18"/>
    </row>
    <row r="5063" spans="32:32">
      <c r="AF5063" s="18"/>
    </row>
    <row r="5064" spans="32:32">
      <c r="AF5064" s="18"/>
    </row>
    <row r="5065" spans="32:32">
      <c r="AF5065" s="18"/>
    </row>
    <row r="5066" spans="32:32">
      <c r="AF5066" s="18"/>
    </row>
    <row r="5067" spans="32:32">
      <c r="AF5067" s="18"/>
    </row>
    <row r="5068" spans="32:32">
      <c r="AF5068" s="18"/>
    </row>
    <row r="5069" spans="32:32">
      <c r="AF5069" s="18"/>
    </row>
    <row r="5070" spans="32:32">
      <c r="AF5070" s="18"/>
    </row>
    <row r="5080" spans="32:32">
      <c r="AF5080" s="18"/>
    </row>
    <row r="5081" spans="32:32">
      <c r="AF5081" s="18"/>
    </row>
    <row r="5082" spans="32:32">
      <c r="AF5082" s="18"/>
    </row>
    <row r="5083" spans="32:32">
      <c r="AF5083" s="18"/>
    </row>
    <row r="5084" spans="32:32">
      <c r="AF5084" s="18"/>
    </row>
    <row r="5085" spans="32:32">
      <c r="AF5085" s="18"/>
    </row>
    <row r="5086" spans="32:32">
      <c r="AF5086" s="18"/>
    </row>
    <row r="5087" spans="32:32">
      <c r="AF5087" s="18"/>
    </row>
    <row r="5088" spans="32:32">
      <c r="AF5088" s="18"/>
    </row>
    <row r="5089" spans="32:32">
      <c r="AF5089" s="18"/>
    </row>
    <row r="5103" spans="32:32">
      <c r="AF5103" s="18"/>
    </row>
    <row r="5104" spans="32:32">
      <c r="AF5104" s="18"/>
    </row>
    <row r="5105" spans="32:32">
      <c r="AF5105" s="18"/>
    </row>
    <row r="5106" spans="32:32">
      <c r="AF5106" s="18"/>
    </row>
    <row r="5107" spans="32:32">
      <c r="AF5107" s="18"/>
    </row>
    <row r="5108" spans="32:32">
      <c r="AF5108" s="18"/>
    </row>
    <row r="5109" spans="32:32">
      <c r="AF5109" s="18"/>
    </row>
    <row r="5124" spans="32:32">
      <c r="AF5124" s="18"/>
    </row>
    <row r="5125" spans="32:32">
      <c r="AF5125" s="18"/>
    </row>
    <row r="5126" spans="32:32">
      <c r="AF5126" s="18"/>
    </row>
    <row r="5127" spans="32:32">
      <c r="AF5127" s="18"/>
    </row>
    <row r="5128" spans="32:32">
      <c r="AF5128" s="18"/>
    </row>
    <row r="5129" spans="32:32">
      <c r="AF5129" s="18"/>
    </row>
    <row r="5130" spans="32:32">
      <c r="AF5130" s="18"/>
    </row>
    <row r="5131" spans="32:32">
      <c r="AF5131" s="18"/>
    </row>
    <row r="5144" spans="32:32">
      <c r="AF5144" s="18"/>
    </row>
    <row r="5145" spans="32:32">
      <c r="AF5145" s="18"/>
    </row>
    <row r="5146" spans="32:32">
      <c r="AF5146" s="18"/>
    </row>
    <row r="5147" spans="32:32">
      <c r="AF5147" s="18"/>
    </row>
    <row r="5148" spans="32:32">
      <c r="AF5148" s="18"/>
    </row>
    <row r="5149" spans="32:32">
      <c r="AF5149" s="18"/>
    </row>
    <row r="5150" spans="32:32">
      <c r="AF5150" s="18"/>
    </row>
    <row r="5151" spans="32:32">
      <c r="AF5151" s="18"/>
    </row>
    <row r="5152" spans="32:32">
      <c r="AF5152" s="18"/>
    </row>
    <row r="5166" spans="32:32">
      <c r="AF5166" s="18"/>
    </row>
    <row r="5167" spans="32:32">
      <c r="AF5167" s="18"/>
    </row>
    <row r="5168" spans="32:32">
      <c r="AF5168" s="18"/>
    </row>
    <row r="5169" spans="32:32">
      <c r="AF5169" s="18"/>
    </row>
    <row r="5170" spans="32:32">
      <c r="AF5170" s="18"/>
    </row>
    <row r="5171" spans="32:32">
      <c r="AF5171" s="18"/>
    </row>
    <row r="5172" spans="32:32">
      <c r="AF5172" s="18"/>
    </row>
    <row r="5187" spans="32:32">
      <c r="AF5187" s="18"/>
    </row>
    <row r="5188" spans="32:32">
      <c r="AF5188" s="18"/>
    </row>
    <row r="5189" spans="32:32">
      <c r="AF5189" s="18"/>
    </row>
    <row r="5190" spans="32:32">
      <c r="AF5190" s="18"/>
    </row>
    <row r="5191" spans="32:32">
      <c r="AF5191" s="18"/>
    </row>
    <row r="5192" spans="32:32">
      <c r="AF5192" s="18"/>
    </row>
    <row r="5193" spans="32:32">
      <c r="AF5193" s="18"/>
    </row>
    <row r="5194" spans="32:32">
      <c r="AF5194" s="18"/>
    </row>
    <row r="5195" spans="32:32">
      <c r="AF5195" s="18"/>
    </row>
    <row r="5209" spans="32:32">
      <c r="AF5209" s="18"/>
    </row>
    <row r="5210" spans="32:32">
      <c r="AF5210" s="18"/>
    </row>
    <row r="5211" spans="32:32">
      <c r="AF5211" s="18"/>
    </row>
    <row r="5212" spans="32:32">
      <c r="AF5212" s="18"/>
    </row>
    <row r="5213" spans="32:32">
      <c r="AF5213" s="18"/>
    </row>
    <row r="5214" spans="32:32">
      <c r="AF5214" s="18"/>
    </row>
    <row r="5215" spans="32:32">
      <c r="AF5215" s="18"/>
    </row>
    <row r="5230" spans="32:32">
      <c r="AF5230" s="18"/>
    </row>
    <row r="5231" spans="32:32">
      <c r="AF5231" s="18"/>
    </row>
    <row r="5232" spans="32:32">
      <c r="AF5232" s="18"/>
    </row>
    <row r="5233" spans="32:32">
      <c r="AF5233" s="18"/>
    </row>
    <row r="5234" spans="32:32">
      <c r="AF5234" s="18"/>
    </row>
    <row r="5235" spans="32:32">
      <c r="AF5235" s="18"/>
    </row>
    <row r="5236" spans="32:32">
      <c r="AF5236" s="18"/>
    </row>
    <row r="5237" spans="32:32">
      <c r="AF5237" s="18"/>
    </row>
    <row r="5251" spans="32:32">
      <c r="AF5251" s="18"/>
    </row>
    <row r="5252" spans="32:32">
      <c r="AF5252" s="18"/>
    </row>
    <row r="5253" spans="32:32">
      <c r="AF5253" s="18"/>
    </row>
    <row r="5254" spans="32:32">
      <c r="AF5254" s="18"/>
    </row>
    <row r="5255" spans="32:32">
      <c r="AF5255" s="18"/>
    </row>
    <row r="5256" spans="32:32">
      <c r="AF5256" s="18"/>
    </row>
    <row r="5257" spans="32:32">
      <c r="AF5257" s="18"/>
    </row>
    <row r="5258" spans="32:32">
      <c r="AF5258" s="18"/>
    </row>
    <row r="5259" spans="32:32">
      <c r="AF5259" s="18"/>
    </row>
    <row r="5260" spans="32:32">
      <c r="AF5260" s="18"/>
    </row>
    <row r="5272" spans="32:32">
      <c r="AF5272" s="18"/>
    </row>
    <row r="5273" spans="32:32">
      <c r="AF5273" s="18"/>
    </row>
    <row r="5274" spans="32:32">
      <c r="AF5274" s="18"/>
    </row>
    <row r="5275" spans="32:32">
      <c r="AF5275" s="18"/>
    </row>
    <row r="5276" spans="32:32">
      <c r="AF5276" s="18"/>
    </row>
    <row r="5277" spans="32:32">
      <c r="AF5277" s="18"/>
    </row>
    <row r="5278" spans="32:32">
      <c r="AF5278" s="18"/>
    </row>
    <row r="5279" spans="32:32">
      <c r="AF5279" s="18"/>
    </row>
    <row r="5294" spans="32:32">
      <c r="AF5294" s="18"/>
    </row>
    <row r="5295" spans="32:32">
      <c r="AF5295" s="18"/>
    </row>
    <row r="5296" spans="32:32">
      <c r="AF5296" s="18"/>
    </row>
    <row r="5297" spans="32:32">
      <c r="AF5297" s="18"/>
    </row>
    <row r="5298" spans="32:32">
      <c r="AF5298" s="18"/>
    </row>
    <row r="5299" spans="32:32">
      <c r="AF5299" s="18"/>
    </row>
    <row r="5300" spans="32:32">
      <c r="AF5300" s="18"/>
    </row>
    <row r="5301" spans="32:32">
      <c r="AF5301" s="18"/>
    </row>
    <row r="5314" spans="32:32">
      <c r="AF5314" s="18"/>
    </row>
    <row r="5315" spans="32:32">
      <c r="AF5315" s="18"/>
    </row>
    <row r="5316" spans="32:32">
      <c r="AF5316" s="18"/>
    </row>
    <row r="5317" spans="32:32">
      <c r="AF5317" s="18"/>
    </row>
    <row r="5318" spans="32:32">
      <c r="AF5318" s="18"/>
    </row>
    <row r="5319" spans="32:32">
      <c r="AF5319" s="18"/>
    </row>
    <row r="5320" spans="32:32">
      <c r="AF5320" s="18"/>
    </row>
    <row r="5321" spans="32:32">
      <c r="AF5321" s="18"/>
    </row>
    <row r="5322" spans="32:32">
      <c r="AF5322" s="18"/>
    </row>
    <row r="5333" spans="32:32">
      <c r="AF5333" s="18"/>
    </row>
    <row r="5334" spans="32:32">
      <c r="AF5334" s="18"/>
    </row>
    <row r="5335" spans="32:32">
      <c r="AF5335" s="18"/>
    </row>
    <row r="5336" spans="32:32">
      <c r="AF5336" s="18"/>
    </row>
    <row r="5337" spans="32:32">
      <c r="AF5337" s="18"/>
    </row>
    <row r="5338" spans="32:32">
      <c r="AF5338" s="18"/>
    </row>
    <row r="5339" spans="32:32">
      <c r="AF5339" s="18"/>
    </row>
    <row r="5340" spans="32:32">
      <c r="AF5340" s="18"/>
    </row>
    <row r="5341" spans="32:32">
      <c r="AF5341" s="18"/>
    </row>
    <row r="5356" spans="32:32">
      <c r="AF5356" s="18"/>
    </row>
    <row r="5357" spans="32:32">
      <c r="AF5357" s="18"/>
    </row>
    <row r="5358" spans="32:32">
      <c r="AF5358" s="18"/>
    </row>
    <row r="5359" spans="32:32">
      <c r="AF5359" s="18"/>
    </row>
    <row r="5360" spans="32:32">
      <c r="AF5360" s="18"/>
    </row>
    <row r="5361" spans="32:32">
      <c r="AF5361" s="18"/>
    </row>
    <row r="5362" spans="32:32">
      <c r="AF5362" s="18"/>
    </row>
    <row r="5363" spans="32:32">
      <c r="AF5363" s="18"/>
    </row>
    <row r="5376" spans="32:32">
      <c r="AF5376" s="18"/>
    </row>
    <row r="5377" spans="32:32">
      <c r="AF5377" s="18"/>
    </row>
    <row r="5378" spans="32:32">
      <c r="AF5378" s="18"/>
    </row>
    <row r="5379" spans="32:32">
      <c r="AF5379" s="18"/>
    </row>
    <row r="5380" spans="32:32">
      <c r="AF5380" s="18"/>
    </row>
    <row r="5381" spans="32:32">
      <c r="AF5381" s="18"/>
    </row>
    <row r="5382" spans="32:32">
      <c r="AF5382" s="18"/>
    </row>
    <row r="5383" spans="32:32">
      <c r="AF5383" s="18"/>
    </row>
    <row r="5384" spans="32:32">
      <c r="AF5384" s="18"/>
    </row>
    <row r="5397" spans="32:32">
      <c r="AF5397" s="18"/>
    </row>
    <row r="5398" spans="32:32">
      <c r="AF5398" s="18"/>
    </row>
    <row r="5399" spans="32:32">
      <c r="AF5399" s="18"/>
    </row>
    <row r="5400" spans="32:32">
      <c r="AF5400" s="18"/>
    </row>
    <row r="5401" spans="32:32">
      <c r="AF5401" s="18"/>
    </row>
    <row r="5402" spans="32:32">
      <c r="AF5402" s="18"/>
    </row>
    <row r="5403" spans="32:32">
      <c r="AF5403" s="18"/>
    </row>
    <row r="5404" spans="32:32">
      <c r="AF5404" s="18"/>
    </row>
    <row r="5419" spans="32:32">
      <c r="AF5419" s="18"/>
    </row>
    <row r="5420" spans="32:32">
      <c r="AF5420" s="18"/>
    </row>
    <row r="5421" spans="32:32">
      <c r="AF5421" s="18"/>
    </row>
    <row r="5422" spans="32:32">
      <c r="AF5422" s="18"/>
    </row>
    <row r="5423" spans="32:32">
      <c r="AF5423" s="18"/>
    </row>
    <row r="5424" spans="32:32">
      <c r="AF5424" s="18"/>
    </row>
    <row r="5425" spans="32:32">
      <c r="AF5425" s="18"/>
    </row>
    <row r="5439" spans="32:32">
      <c r="AF5439" s="18"/>
    </row>
    <row r="5440" spans="32:32">
      <c r="AF5440" s="18"/>
    </row>
    <row r="5441" spans="32:32">
      <c r="AF5441" s="18"/>
    </row>
    <row r="5442" spans="32:32">
      <c r="AF5442" s="18"/>
    </row>
    <row r="5443" spans="32:32">
      <c r="AF5443" s="18"/>
    </row>
    <row r="5444" spans="32:32">
      <c r="AF5444" s="18"/>
    </row>
    <row r="5445" spans="32:32">
      <c r="AF5445" s="18"/>
    </row>
    <row r="5446" spans="32:32">
      <c r="AF5446" s="18"/>
    </row>
    <row r="5447" spans="32:32">
      <c r="AF5447" s="18"/>
    </row>
    <row r="5448" spans="32:32">
      <c r="AF5448" s="18"/>
    </row>
    <row r="5462" spans="32:32">
      <c r="AF5462" s="18"/>
    </row>
    <row r="5463" spans="32:32">
      <c r="AF5463" s="18"/>
    </row>
    <row r="5464" spans="32:32">
      <c r="AF5464" s="18"/>
    </row>
    <row r="5465" spans="32:32">
      <c r="AF5465" s="18"/>
    </row>
    <row r="5466" spans="32:32">
      <c r="AF5466" s="18"/>
    </row>
    <row r="5467" spans="32:32">
      <c r="AF5467" s="18"/>
    </row>
    <row r="5468" spans="32:32">
      <c r="AF5468" s="18"/>
    </row>
    <row r="5483" spans="32:32">
      <c r="AF5483" s="18"/>
    </row>
    <row r="5484" spans="32:32">
      <c r="AF5484" s="18"/>
    </row>
    <row r="5485" spans="32:32">
      <c r="AF5485" s="18"/>
    </row>
    <row r="5486" spans="32:32">
      <c r="AF5486" s="18"/>
    </row>
    <row r="5487" spans="32:32">
      <c r="AF5487" s="18"/>
    </row>
    <row r="5488" spans="32:32">
      <c r="AF5488" s="18"/>
    </row>
    <row r="5489" spans="32:32">
      <c r="AF5489" s="18"/>
    </row>
    <row r="5490" spans="32:32">
      <c r="AF5490" s="18"/>
    </row>
    <row r="5504" spans="32:32">
      <c r="AF5504" s="18"/>
    </row>
    <row r="5505" spans="32:32">
      <c r="AF5505" s="18"/>
    </row>
    <row r="5506" spans="32:32">
      <c r="AF5506" s="18"/>
    </row>
    <row r="5507" spans="32:32">
      <c r="AF5507" s="18"/>
    </row>
    <row r="5508" spans="32:32">
      <c r="AF5508" s="18"/>
    </row>
    <row r="5509" spans="32:32">
      <c r="AF5509" s="18"/>
    </row>
    <row r="5510" spans="32:32">
      <c r="AF5510" s="18"/>
    </row>
    <row r="5511" spans="32:32">
      <c r="AF5511" s="18"/>
    </row>
    <row r="5512" spans="32:32">
      <c r="AF5512" s="18"/>
    </row>
    <row r="5525" spans="32:32">
      <c r="AF5525" s="18"/>
    </row>
    <row r="5526" spans="32:32">
      <c r="AF5526" s="18"/>
    </row>
    <row r="5527" spans="32:32">
      <c r="AF5527" s="18"/>
    </row>
    <row r="5528" spans="32:32">
      <c r="AF5528" s="18"/>
    </row>
    <row r="5529" spans="32:32">
      <c r="AF5529" s="18"/>
    </row>
    <row r="5530" spans="32:32">
      <c r="AF5530" s="18"/>
    </row>
    <row r="5531" spans="32:32">
      <c r="AF5531" s="18"/>
    </row>
    <row r="5532" spans="32:32">
      <c r="AF5532" s="18"/>
    </row>
    <row r="5546" spans="32:32">
      <c r="AF5546" s="18"/>
    </row>
    <row r="5547" spans="32:32">
      <c r="AF5547" s="18"/>
    </row>
    <row r="5548" spans="32:32">
      <c r="AF5548" s="18"/>
    </row>
    <row r="5549" spans="32:32">
      <c r="AF5549" s="18"/>
    </row>
    <row r="5550" spans="32:32">
      <c r="AF5550" s="18"/>
    </row>
    <row r="5551" spans="32:32">
      <c r="AF5551" s="18"/>
    </row>
    <row r="5552" spans="32:32">
      <c r="AF5552" s="18"/>
    </row>
    <row r="5553" spans="32:32">
      <c r="AF5553" s="18"/>
    </row>
    <row r="5566" spans="32:32">
      <c r="AF5566" s="18"/>
    </row>
    <row r="5567" spans="32:32">
      <c r="AF5567" s="18"/>
    </row>
    <row r="5568" spans="32:32">
      <c r="AF5568" s="18"/>
    </row>
    <row r="5569" spans="32:32">
      <c r="AF5569" s="18"/>
    </row>
    <row r="5570" spans="32:32">
      <c r="AF5570" s="18"/>
    </row>
    <row r="5571" spans="32:32">
      <c r="AF5571" s="18"/>
    </row>
    <row r="5572" spans="32:32">
      <c r="AF5572" s="18"/>
    </row>
    <row r="5573" spans="32:32">
      <c r="AF5573" s="18"/>
    </row>
    <row r="5586" spans="32:32">
      <c r="AF5586" s="18"/>
    </row>
    <row r="5587" spans="32:32">
      <c r="AF5587" s="18"/>
    </row>
    <row r="5588" spans="32:32">
      <c r="AF5588" s="18"/>
    </row>
    <row r="5589" spans="32:32">
      <c r="AF5589" s="18"/>
    </row>
    <row r="5590" spans="32:32">
      <c r="AF5590" s="18"/>
    </row>
    <row r="5591" spans="32:32">
      <c r="AF5591" s="18"/>
    </row>
    <row r="5592" spans="32:32">
      <c r="AF5592" s="18"/>
    </row>
    <row r="5593" spans="32:32">
      <c r="AF5593" s="18"/>
    </row>
    <row r="5608" spans="32:32">
      <c r="AF5608" s="18"/>
    </row>
    <row r="5609" spans="32:32">
      <c r="AF5609" s="18"/>
    </row>
    <row r="5610" spans="32:32">
      <c r="AF5610" s="18"/>
    </row>
    <row r="5611" spans="32:32">
      <c r="AF5611" s="18"/>
    </row>
    <row r="5612" spans="32:32">
      <c r="AF5612" s="18"/>
    </row>
    <row r="5613" spans="32:32">
      <c r="AF5613" s="18"/>
    </row>
    <row r="5614" spans="32:32">
      <c r="AF5614" s="18"/>
    </row>
    <row r="5615" spans="32:32">
      <c r="AF5615" s="18"/>
    </row>
    <row r="5628" spans="32:32">
      <c r="AF5628" s="18"/>
    </row>
    <row r="5629" spans="32:32">
      <c r="AF5629" s="18"/>
    </row>
    <row r="5630" spans="32:32">
      <c r="AF5630" s="18"/>
    </row>
    <row r="5631" spans="32:32">
      <c r="AF5631" s="18"/>
    </row>
    <row r="5632" spans="32:32">
      <c r="AF5632" s="18"/>
    </row>
    <row r="5633" spans="32:32">
      <c r="AF5633" s="18"/>
    </row>
    <row r="5634" spans="32:32">
      <c r="AF5634" s="18"/>
    </row>
    <row r="5635" spans="32:32">
      <c r="AF5635" s="18"/>
    </row>
    <row r="5636" spans="32:32">
      <c r="AF5636" s="18"/>
    </row>
    <row r="5650" spans="32:32">
      <c r="AF5650" s="18"/>
    </row>
    <row r="5651" spans="32:32">
      <c r="AF5651" s="18"/>
    </row>
    <row r="5652" spans="32:32">
      <c r="AF5652" s="18"/>
    </row>
    <row r="5653" spans="32:32">
      <c r="AF5653" s="18"/>
    </row>
    <row r="5654" spans="32:32">
      <c r="AF5654" s="18"/>
    </row>
    <row r="5655" spans="32:32">
      <c r="AF5655" s="18"/>
    </row>
    <row r="5656" spans="32:32">
      <c r="AF5656" s="18"/>
    </row>
    <row r="5657" spans="32:32">
      <c r="AF5657" s="18"/>
    </row>
    <row r="5671" spans="32:32">
      <c r="AF5671" s="18"/>
    </row>
    <row r="5672" spans="32:32">
      <c r="AF5672" s="18"/>
    </row>
    <row r="5673" spans="32:32">
      <c r="AF5673" s="18"/>
    </row>
    <row r="5674" spans="32:32">
      <c r="AF5674" s="18"/>
    </row>
    <row r="5675" spans="32:32">
      <c r="AF5675" s="18"/>
    </row>
    <row r="5676" spans="32:32">
      <c r="AF5676" s="18"/>
    </row>
    <row r="5677" spans="32:32">
      <c r="AF5677" s="18"/>
    </row>
    <row r="5678" spans="32:32">
      <c r="AF5678" s="18"/>
    </row>
    <row r="5692" spans="32:32">
      <c r="AF5692" s="18"/>
    </row>
    <row r="5693" spans="32:32">
      <c r="AF5693" s="18"/>
    </row>
    <row r="5694" spans="32:32">
      <c r="AF5694" s="18"/>
    </row>
    <row r="5695" spans="32:32">
      <c r="AF5695" s="18"/>
    </row>
    <row r="5696" spans="32:32">
      <c r="AF5696" s="18"/>
    </row>
    <row r="5697" spans="32:32">
      <c r="AF5697" s="18"/>
    </row>
    <row r="5698" spans="32:32">
      <c r="AF5698" s="18"/>
    </row>
    <row r="5699" spans="32:32">
      <c r="AF5699" s="18"/>
    </row>
    <row r="5715" spans="32:32">
      <c r="AF5715" s="18"/>
    </row>
    <row r="5716" spans="32:32">
      <c r="AF5716" s="18"/>
    </row>
    <row r="5717" spans="32:32">
      <c r="AF5717" s="18"/>
    </row>
    <row r="5718" spans="32:32">
      <c r="AF5718" s="18"/>
    </row>
    <row r="5719" spans="32:32">
      <c r="AF5719" s="18"/>
    </row>
    <row r="5720" spans="32:32">
      <c r="AF5720" s="18"/>
    </row>
    <row r="5721" spans="32:32">
      <c r="AF5721" s="18"/>
    </row>
    <row r="5734" spans="32:32">
      <c r="AF5734" s="18"/>
    </row>
    <row r="5735" spans="32:32">
      <c r="AF5735" s="18"/>
    </row>
    <row r="5736" spans="32:32">
      <c r="AF5736" s="18"/>
    </row>
    <row r="5737" spans="32:32">
      <c r="AF5737" s="18"/>
    </row>
    <row r="5738" spans="32:32">
      <c r="AF5738" s="18"/>
    </row>
    <row r="5739" spans="32:32">
      <c r="AF5739" s="18"/>
    </row>
    <row r="5740" spans="32:32">
      <c r="AF5740" s="18"/>
    </row>
    <row r="5741" spans="32:32">
      <c r="AF5741" s="18"/>
    </row>
    <row r="5742" spans="32:32">
      <c r="AF5742" s="18"/>
    </row>
    <row r="5743" spans="32:32">
      <c r="AF5743" s="18"/>
    </row>
    <row r="5755" spans="32:32">
      <c r="AF5755" s="18"/>
    </row>
    <row r="5756" spans="32:32">
      <c r="AF5756" s="18"/>
    </row>
    <row r="5757" spans="32:32">
      <c r="AF5757" s="18"/>
    </row>
    <row r="5758" spans="32:32">
      <c r="AF5758" s="18"/>
    </row>
    <row r="5759" spans="32:32">
      <c r="AF5759" s="18"/>
    </row>
    <row r="5760" spans="32:32">
      <c r="AF5760" s="18"/>
    </row>
    <row r="5761" spans="32:32">
      <c r="AF5761" s="18"/>
    </row>
    <row r="5762" spans="32:32">
      <c r="AF5762" s="18"/>
    </row>
    <row r="5776" spans="32:32">
      <c r="AF5776" s="18"/>
    </row>
    <row r="5777" spans="32:32">
      <c r="AF5777" s="18"/>
    </row>
    <row r="5778" spans="32:32">
      <c r="AF5778" s="18"/>
    </row>
    <row r="5779" spans="32:32">
      <c r="AF5779" s="18"/>
    </row>
    <row r="5780" spans="32:32">
      <c r="AF5780" s="18"/>
    </row>
    <row r="5781" spans="32:32">
      <c r="AF5781" s="18"/>
    </row>
    <row r="5782" spans="32:32">
      <c r="AF5782" s="18"/>
    </row>
    <row r="5783" spans="32:32">
      <c r="AF5783" s="18"/>
    </row>
    <row r="5796" spans="32:32">
      <c r="AF5796" s="18"/>
    </row>
    <row r="5797" spans="32:32">
      <c r="AF5797" s="18"/>
    </row>
    <row r="5798" spans="32:32">
      <c r="AF5798" s="18"/>
    </row>
    <row r="5799" spans="32:32">
      <c r="AF5799" s="18"/>
    </row>
    <row r="5800" spans="32:32">
      <c r="AF5800" s="18"/>
    </row>
    <row r="5801" spans="32:32">
      <c r="AF5801" s="18"/>
    </row>
    <row r="5802" spans="32:32">
      <c r="AF5802" s="18"/>
    </row>
    <row r="5803" spans="32:32">
      <c r="AF5803" s="18"/>
    </row>
    <row r="5817" spans="32:32">
      <c r="AF5817" s="18"/>
    </row>
    <row r="5818" spans="32:32">
      <c r="AF5818" s="18"/>
    </row>
    <row r="5819" spans="32:32">
      <c r="AF5819" s="18"/>
    </row>
    <row r="5820" spans="32:32">
      <c r="AF5820" s="18"/>
    </row>
    <row r="5821" spans="32:32">
      <c r="AF5821" s="18"/>
    </row>
    <row r="5822" spans="32:32">
      <c r="AF5822" s="18"/>
    </row>
    <row r="5823" spans="32:32">
      <c r="AF5823" s="18"/>
    </row>
    <row r="5824" spans="32:32">
      <c r="AF5824" s="18"/>
    </row>
    <row r="5836" spans="32:32">
      <c r="AF5836" s="18"/>
    </row>
    <row r="5837" spans="32:32">
      <c r="AF5837" s="18"/>
    </row>
    <row r="5838" spans="32:32">
      <c r="AF5838" s="18"/>
    </row>
    <row r="5839" spans="32:32">
      <c r="AF5839" s="18"/>
    </row>
    <row r="5840" spans="32:32">
      <c r="AF5840" s="18"/>
    </row>
    <row r="5841" spans="32:32">
      <c r="AF5841" s="18"/>
    </row>
    <row r="5842" spans="32:32">
      <c r="AF5842" s="18"/>
    </row>
    <row r="5843" spans="32:32">
      <c r="AF5843" s="18"/>
    </row>
    <row r="5856" spans="32:32">
      <c r="AF5856" s="18"/>
    </row>
    <row r="5857" spans="32:32">
      <c r="AF5857" s="18"/>
    </row>
    <row r="5858" spans="32:32">
      <c r="AF5858" s="18"/>
    </row>
    <row r="5859" spans="32:32">
      <c r="AF5859" s="18"/>
    </row>
    <row r="5860" spans="32:32">
      <c r="AF5860" s="18"/>
    </row>
    <row r="5861" spans="32:32">
      <c r="AF5861" s="18"/>
    </row>
    <row r="5862" spans="32:32">
      <c r="AF5862" s="18"/>
    </row>
    <row r="5863" spans="32:32">
      <c r="AF5863" s="18"/>
    </row>
    <row r="5864" spans="32:32">
      <c r="AF5864" s="18"/>
    </row>
    <row r="5865" spans="32:32">
      <c r="AF5865" s="18"/>
    </row>
    <row r="5878" spans="32:32">
      <c r="AF5878" s="18"/>
    </row>
    <row r="5879" spans="32:32">
      <c r="AF5879" s="18"/>
    </row>
    <row r="5880" spans="32:32">
      <c r="AF5880" s="18"/>
    </row>
    <row r="5881" spans="32:32">
      <c r="AF5881" s="18"/>
    </row>
    <row r="5882" spans="32:32">
      <c r="AF5882" s="18"/>
    </row>
    <row r="5883" spans="32:32">
      <c r="AF5883" s="18"/>
    </row>
    <row r="5884" spans="32:32">
      <c r="AF5884" s="18"/>
    </row>
    <row r="5885" spans="32:32">
      <c r="AF5885" s="18"/>
    </row>
    <row r="5900" spans="32:32">
      <c r="AF5900" s="18"/>
    </row>
    <row r="5901" spans="32:32">
      <c r="AF5901" s="18"/>
    </row>
    <row r="5902" spans="32:32">
      <c r="AF5902" s="18"/>
    </row>
    <row r="5903" spans="32:32">
      <c r="AF5903" s="18"/>
    </row>
    <row r="5904" spans="32:32">
      <c r="AF5904" s="18"/>
    </row>
    <row r="5905" spans="32:32">
      <c r="AF5905" s="18"/>
    </row>
    <row r="5906" spans="32:32">
      <c r="AF5906" s="18"/>
    </row>
    <row r="5907" spans="32:32">
      <c r="AF5907" s="18"/>
    </row>
    <row r="5920" spans="32:32">
      <c r="AF5920" s="18"/>
    </row>
    <row r="5921" spans="32:32">
      <c r="AF5921" s="18"/>
    </row>
    <row r="5922" spans="32:32">
      <c r="AF5922" s="18"/>
    </row>
    <row r="5923" spans="32:32">
      <c r="AF5923" s="18"/>
    </row>
    <row r="5924" spans="32:32">
      <c r="AF5924" s="18"/>
    </row>
    <row r="5925" spans="32:32">
      <c r="AF5925" s="18"/>
    </row>
    <row r="5926" spans="32:32">
      <c r="AF5926" s="18"/>
    </row>
    <row r="5927" spans="32:32">
      <c r="AF5927" s="18"/>
    </row>
    <row r="5928" spans="32:32">
      <c r="AF5928" s="18"/>
    </row>
    <row r="5942" spans="32:32">
      <c r="AF5942" s="18"/>
    </row>
    <row r="5943" spans="32:32">
      <c r="AF5943" s="18"/>
    </row>
    <row r="5944" spans="32:32">
      <c r="AF5944" s="18"/>
    </row>
    <row r="5945" spans="32:32">
      <c r="AF5945" s="18"/>
    </row>
    <row r="5946" spans="32:32">
      <c r="AF5946" s="18"/>
    </row>
    <row r="5947" spans="32:32">
      <c r="AF5947" s="18"/>
    </row>
    <row r="5948" spans="32:32">
      <c r="AF5948" s="18"/>
    </row>
    <row r="5949" spans="32:32">
      <c r="AF5949" s="18"/>
    </row>
    <row r="5964" spans="32:32">
      <c r="AF5964" s="18"/>
    </row>
    <row r="5965" spans="32:32">
      <c r="AF5965" s="18"/>
    </row>
    <row r="5966" spans="32:32">
      <c r="AF5966" s="18"/>
    </row>
    <row r="5967" spans="32:32">
      <c r="AF5967" s="18"/>
    </row>
    <row r="5968" spans="32:32">
      <c r="AF5968" s="18"/>
    </row>
    <row r="5969" spans="32:32">
      <c r="AF5969" s="18"/>
    </row>
    <row r="5970" spans="32:32">
      <c r="AF5970" s="18"/>
    </row>
    <row r="5971" spans="32:32">
      <c r="AF5971" s="18"/>
    </row>
    <row r="5984" spans="32:32">
      <c r="AF5984" s="18"/>
    </row>
    <row r="5985" spans="32:32">
      <c r="AF5985" s="18"/>
    </row>
    <row r="5986" spans="32:32">
      <c r="AF5986" s="18"/>
    </row>
    <row r="5987" spans="32:32">
      <c r="AF5987" s="18"/>
    </row>
    <row r="5988" spans="32:32">
      <c r="AF5988" s="18"/>
    </row>
    <row r="5989" spans="32:32">
      <c r="AF5989" s="18"/>
    </row>
    <row r="5990" spans="32:32">
      <c r="AF5990" s="18"/>
    </row>
    <row r="5991" spans="32:32">
      <c r="AF5991" s="18"/>
    </row>
    <row r="5992" spans="32:32">
      <c r="AF5992" s="18"/>
    </row>
    <row r="6007" spans="32:32">
      <c r="AF6007" s="18"/>
    </row>
    <row r="6008" spans="32:32">
      <c r="AF6008" s="18"/>
    </row>
    <row r="6009" spans="32:32">
      <c r="AF6009" s="18"/>
    </row>
    <row r="6010" spans="32:32">
      <c r="AF6010" s="18"/>
    </row>
    <row r="6011" spans="32:32">
      <c r="AF6011" s="18"/>
    </row>
    <row r="6012" spans="32:32">
      <c r="AF6012" s="18"/>
    </row>
    <row r="6013" spans="32:32">
      <c r="AF6013" s="18"/>
    </row>
    <row r="6014" spans="32:32">
      <c r="AF6014" s="18"/>
    </row>
    <row r="6027" spans="32:32">
      <c r="AF6027" s="18"/>
    </row>
    <row r="6028" spans="32:32">
      <c r="AF6028" s="18"/>
    </row>
    <row r="6029" spans="32:32">
      <c r="AF6029" s="18"/>
    </row>
    <row r="6030" spans="32:32">
      <c r="AF6030" s="18"/>
    </row>
    <row r="6031" spans="32:32">
      <c r="AF6031" s="18"/>
    </row>
    <row r="6032" spans="32:32">
      <c r="AF6032" s="18"/>
    </row>
    <row r="6033" spans="32:32">
      <c r="AF6033" s="18"/>
    </row>
    <row r="6034" spans="32:32">
      <c r="AF6034" s="18"/>
    </row>
    <row r="6035" spans="32:32">
      <c r="AF6035" s="18"/>
    </row>
    <row r="6048" spans="32:32">
      <c r="AF6048" s="18"/>
    </row>
    <row r="6049" spans="32:32">
      <c r="AF6049" s="18"/>
    </row>
    <row r="6050" spans="32:32">
      <c r="AF6050" s="18"/>
    </row>
    <row r="6051" spans="32:32">
      <c r="AF6051" s="18"/>
    </row>
    <row r="6052" spans="32:32">
      <c r="AF6052" s="18"/>
    </row>
    <row r="6053" spans="32:32">
      <c r="AF6053" s="18"/>
    </row>
    <row r="6054" spans="32:32">
      <c r="AF6054" s="18"/>
    </row>
    <row r="6069" spans="32:32">
      <c r="AF6069" s="18"/>
    </row>
    <row r="6070" spans="32:32">
      <c r="AF6070" s="18"/>
    </row>
    <row r="6071" spans="32:32">
      <c r="AF6071" s="18"/>
    </row>
    <row r="6072" spans="32:32">
      <c r="AF6072" s="18"/>
    </row>
    <row r="6073" spans="32:32">
      <c r="AF6073" s="18"/>
    </row>
    <row r="6074" spans="32:32">
      <c r="AF6074" s="18"/>
    </row>
    <row r="6075" spans="32:32">
      <c r="AF6075" s="18"/>
    </row>
    <row r="6076" spans="32:32">
      <c r="AF6076" s="18"/>
    </row>
    <row r="6088" spans="32:32">
      <c r="AF6088" s="18"/>
    </row>
    <row r="6089" spans="32:32">
      <c r="AF6089" s="18"/>
    </row>
    <row r="6090" spans="32:32">
      <c r="AF6090" s="18"/>
    </row>
    <row r="6091" spans="32:32">
      <c r="AF6091" s="18"/>
    </row>
    <row r="6092" spans="32:32">
      <c r="AF6092" s="18"/>
    </row>
    <row r="6093" spans="32:32">
      <c r="AF6093" s="18"/>
    </row>
    <row r="6094" spans="32:32">
      <c r="AF6094" s="18"/>
    </row>
    <row r="6095" spans="32:32">
      <c r="AF6095" s="18"/>
    </row>
    <row r="6109" spans="32:32">
      <c r="AF6109" s="18"/>
    </row>
    <row r="6110" spans="32:32">
      <c r="AF6110" s="18"/>
    </row>
    <row r="6111" spans="32:32">
      <c r="AF6111" s="18"/>
    </row>
    <row r="6112" spans="32:32">
      <c r="AF6112" s="18"/>
    </row>
    <row r="6113" spans="32:32">
      <c r="AF6113" s="18"/>
    </row>
    <row r="6114" spans="32:32">
      <c r="AF6114" s="18"/>
    </row>
    <row r="6115" spans="32:32">
      <c r="AF6115" s="18"/>
    </row>
    <row r="6116" spans="32:32">
      <c r="AF6116" s="18"/>
    </row>
    <row r="6117" spans="32:32">
      <c r="AF6117" s="18"/>
    </row>
    <row r="6130" spans="32:32">
      <c r="AF6130" s="18"/>
    </row>
    <row r="6131" spans="32:32">
      <c r="AF6131" s="18"/>
    </row>
    <row r="6132" spans="32:32">
      <c r="AF6132" s="18"/>
    </row>
    <row r="6133" spans="32:32">
      <c r="AF6133" s="18"/>
    </row>
    <row r="6134" spans="32:32">
      <c r="AF6134" s="18"/>
    </row>
    <row r="6135" spans="32:32">
      <c r="AF6135" s="18"/>
    </row>
    <row r="6136" spans="32:32">
      <c r="AF6136" s="18"/>
    </row>
    <row r="6137" spans="32:32">
      <c r="AF6137" s="18"/>
    </row>
    <row r="6151" spans="32:32">
      <c r="AF6151" s="18"/>
    </row>
    <row r="6152" spans="32:32">
      <c r="AF6152" s="18"/>
    </row>
    <row r="6153" spans="32:32">
      <c r="AF6153" s="18"/>
    </row>
    <row r="6154" spans="32:32">
      <c r="AF6154" s="18"/>
    </row>
    <row r="6155" spans="32:32">
      <c r="AF6155" s="18"/>
    </row>
    <row r="6156" spans="32:32">
      <c r="AF6156" s="18"/>
    </row>
    <row r="6157" spans="32:32">
      <c r="AF6157" s="18"/>
    </row>
    <row r="6158" spans="32:32">
      <c r="AF6158" s="18"/>
    </row>
    <row r="6159" spans="32:32">
      <c r="AF6159" s="18"/>
    </row>
    <row r="6172" spans="32:32">
      <c r="AF6172" s="18"/>
    </row>
    <row r="6173" spans="32:32">
      <c r="AF6173" s="18"/>
    </row>
    <row r="6174" spans="32:32">
      <c r="AF6174" s="18"/>
    </row>
    <row r="6175" spans="32:32">
      <c r="AF6175" s="18"/>
    </row>
    <row r="6176" spans="32:32">
      <c r="AF6176" s="18"/>
    </row>
    <row r="6177" spans="32:32">
      <c r="AF6177" s="18"/>
    </row>
    <row r="6178" spans="32:32">
      <c r="AF6178" s="18"/>
    </row>
    <row r="6179" spans="32:32">
      <c r="AF6179" s="18"/>
    </row>
    <row r="6194" spans="32:32">
      <c r="AF6194" s="18"/>
    </row>
    <row r="6195" spans="32:32">
      <c r="AF6195" s="18"/>
    </row>
    <row r="6196" spans="32:32">
      <c r="AF6196" s="18"/>
    </row>
    <row r="6197" spans="32:32">
      <c r="AF6197" s="18"/>
    </row>
    <row r="6198" spans="32:32">
      <c r="AF6198" s="18"/>
    </row>
    <row r="6199" spans="32:32">
      <c r="AF6199" s="18"/>
    </row>
    <row r="6200" spans="32:32">
      <c r="AF6200" s="18"/>
    </row>
    <row r="6201" spans="32:32">
      <c r="AF6201" s="18"/>
    </row>
    <row r="6215" spans="32:32">
      <c r="AF6215" s="18"/>
    </row>
    <row r="6216" spans="32:32">
      <c r="AF6216" s="18"/>
    </row>
    <row r="6217" spans="32:32">
      <c r="AF6217" s="18"/>
    </row>
    <row r="6218" spans="32:32">
      <c r="AF6218" s="18"/>
    </row>
    <row r="6219" spans="32:32">
      <c r="AF6219" s="18"/>
    </row>
    <row r="6220" spans="32:32">
      <c r="AF6220" s="18"/>
    </row>
    <row r="6221" spans="32:32">
      <c r="AF6221" s="18"/>
    </row>
    <row r="6222" spans="32:32">
      <c r="AF6222" s="18"/>
    </row>
    <row r="6223" spans="32:32">
      <c r="AF6223" s="18"/>
    </row>
    <row r="6236" spans="32:32">
      <c r="AF6236" s="18"/>
    </row>
    <row r="6237" spans="32:32">
      <c r="AF6237" s="18"/>
    </row>
    <row r="6238" spans="32:32">
      <c r="AF6238" s="18"/>
    </row>
    <row r="6239" spans="32:32">
      <c r="AF6239" s="18"/>
    </row>
    <row r="6240" spans="32:32">
      <c r="AF6240" s="18"/>
    </row>
    <row r="6241" spans="32:32">
      <c r="AF6241" s="18"/>
    </row>
    <row r="6242" spans="32:32">
      <c r="AF6242" s="18"/>
    </row>
    <row r="6243" spans="32:32">
      <c r="AF6243" s="18"/>
    </row>
    <row r="6259" spans="32:32">
      <c r="AF6259" s="18"/>
    </row>
    <row r="6260" spans="32:32">
      <c r="AF6260" s="18"/>
    </row>
    <row r="6261" spans="32:32">
      <c r="AF6261" s="18"/>
    </row>
    <row r="6262" spans="32:32">
      <c r="AF6262" s="18"/>
    </row>
    <row r="6263" spans="32:32">
      <c r="AF6263" s="18"/>
    </row>
    <row r="6264" spans="32:32">
      <c r="AF6264" s="18"/>
    </row>
    <row r="6265" spans="32:32">
      <c r="AF6265" s="18"/>
    </row>
    <row r="6266" spans="32:32">
      <c r="AF6266" s="18"/>
    </row>
    <row r="6278" spans="32:32">
      <c r="AF6278" s="18"/>
    </row>
    <row r="6279" spans="32:32">
      <c r="AF6279" s="18"/>
    </row>
    <row r="6280" spans="32:32">
      <c r="AF6280" s="18"/>
    </row>
    <row r="6281" spans="32:32">
      <c r="AF6281" s="18"/>
    </row>
    <row r="6282" spans="32:32">
      <c r="AF6282" s="18"/>
    </row>
    <row r="6283" spans="32:32">
      <c r="AF6283" s="18"/>
    </row>
    <row r="6284" spans="32:32">
      <c r="AF6284" s="18"/>
    </row>
    <row r="6285" spans="32:32">
      <c r="AF6285" s="18"/>
    </row>
    <row r="6286" spans="32:32">
      <c r="AF6286" s="18"/>
    </row>
    <row r="6287" spans="32:32">
      <c r="AF6287" s="18"/>
    </row>
    <row r="6300" spans="32:32">
      <c r="AF6300" s="18"/>
    </row>
    <row r="6301" spans="32:32">
      <c r="AF6301" s="18"/>
    </row>
    <row r="6302" spans="32:32">
      <c r="AF6302" s="18"/>
    </row>
    <row r="6303" spans="32:32">
      <c r="AF6303" s="18"/>
    </row>
    <row r="6304" spans="32:32">
      <c r="AF6304" s="18"/>
    </row>
    <row r="6305" spans="32:32">
      <c r="AF6305" s="18"/>
    </row>
    <row r="6306" spans="32:32">
      <c r="AF6306" s="18"/>
    </row>
    <row r="6320" spans="32:32">
      <c r="AF6320" s="18"/>
    </row>
    <row r="6321" spans="32:32">
      <c r="AF6321" s="18"/>
    </row>
    <row r="6322" spans="32:32">
      <c r="AF6322" s="18"/>
    </row>
    <row r="6323" spans="32:32">
      <c r="AF6323" s="18"/>
    </row>
    <row r="6324" spans="32:32">
      <c r="AF6324" s="18"/>
    </row>
    <row r="6325" spans="32:32">
      <c r="AF6325" s="18"/>
    </row>
    <row r="6326" spans="32:32">
      <c r="AF6326" s="18"/>
    </row>
    <row r="6327" spans="32:32">
      <c r="AF6327" s="18"/>
    </row>
    <row r="6328" spans="32:32">
      <c r="AF6328" s="18"/>
    </row>
    <row r="6339" spans="32:32">
      <c r="AF6339" s="18"/>
    </row>
    <row r="6340" spans="32:32">
      <c r="AF6340" s="18"/>
    </row>
    <row r="6341" spans="32:32">
      <c r="AF6341" s="18"/>
    </row>
    <row r="6342" spans="32:32">
      <c r="AF6342" s="18"/>
    </row>
    <row r="6343" spans="32:32">
      <c r="AF6343" s="18"/>
    </row>
    <row r="6344" spans="32:32">
      <c r="AF6344" s="18"/>
    </row>
    <row r="6345" spans="32:32">
      <c r="AF6345" s="18"/>
    </row>
    <row r="6346" spans="32:32">
      <c r="AF6346" s="18"/>
    </row>
    <row r="6347" spans="32:32">
      <c r="AF6347" s="18"/>
    </row>
    <row r="6361" spans="32:32">
      <c r="AF6361" s="18"/>
    </row>
    <row r="6362" spans="32:32">
      <c r="AF6362" s="18"/>
    </row>
    <row r="6363" spans="32:32">
      <c r="AF6363" s="18"/>
    </row>
    <row r="6364" spans="32:32">
      <c r="AF6364" s="18"/>
    </row>
    <row r="6365" spans="32:32">
      <c r="AF6365" s="18"/>
    </row>
    <row r="6366" spans="32:32">
      <c r="AF6366" s="18"/>
    </row>
    <row r="6367" spans="32:32">
      <c r="AF6367" s="18"/>
    </row>
    <row r="6382" spans="32:32">
      <c r="AF6382" s="18"/>
    </row>
    <row r="6383" spans="32:32">
      <c r="AF6383" s="18"/>
    </row>
    <row r="6384" spans="32:32">
      <c r="AF6384" s="18"/>
    </row>
    <row r="6385" spans="32:32">
      <c r="AF6385" s="18"/>
    </row>
    <row r="6386" spans="32:32">
      <c r="AF6386" s="18"/>
    </row>
    <row r="6387" spans="32:32">
      <c r="AF6387" s="18"/>
    </row>
    <row r="6388" spans="32:32">
      <c r="AF6388" s="18"/>
    </row>
    <row r="6389" spans="32:32">
      <c r="AF6389" s="18"/>
    </row>
    <row r="6402" spans="32:32">
      <c r="AF6402" s="18"/>
    </row>
    <row r="6403" spans="32:32">
      <c r="AF6403" s="18"/>
    </row>
    <row r="6404" spans="32:32">
      <c r="AF6404" s="18"/>
    </row>
    <row r="6405" spans="32:32">
      <c r="AF6405" s="18"/>
    </row>
    <row r="6406" spans="32:32">
      <c r="AF6406" s="18"/>
    </row>
    <row r="6407" spans="32:32">
      <c r="AF6407" s="18"/>
    </row>
    <row r="6408" spans="32:32">
      <c r="AF6408" s="18"/>
    </row>
    <row r="6409" spans="32:32">
      <c r="AF6409" s="18"/>
    </row>
    <row r="6410" spans="32:32">
      <c r="AF6410" s="18"/>
    </row>
    <row r="6411" spans="32:32">
      <c r="AF6411" s="18"/>
    </row>
    <row r="6424" spans="32:32">
      <c r="AF6424" s="18"/>
    </row>
    <row r="6425" spans="32:32">
      <c r="AF6425" s="18"/>
    </row>
    <row r="6426" spans="32:32">
      <c r="AF6426" s="18"/>
    </row>
    <row r="6427" spans="32:32">
      <c r="AF6427" s="18"/>
    </row>
    <row r="6428" spans="32:32">
      <c r="AF6428" s="18"/>
    </row>
    <row r="6429" spans="32:32">
      <c r="AF6429" s="18"/>
    </row>
    <row r="6430" spans="32:32">
      <c r="AF6430" s="18"/>
    </row>
    <row r="6446" spans="32:32">
      <c r="AF6446" s="18"/>
    </row>
    <row r="6447" spans="32:32">
      <c r="AF6447" s="18"/>
    </row>
    <row r="6448" spans="32:32">
      <c r="AF6448" s="18"/>
    </row>
    <row r="6449" spans="32:32">
      <c r="AF6449" s="18"/>
    </row>
    <row r="6450" spans="32:32">
      <c r="AF6450" s="18"/>
    </row>
    <row r="6451" spans="32:32">
      <c r="AF6451" s="18"/>
    </row>
    <row r="6452" spans="32:32">
      <c r="AF6452" s="18"/>
    </row>
    <row r="6453" spans="32:32">
      <c r="AF6453" s="18"/>
    </row>
    <row r="6467" spans="32:32">
      <c r="AF6467" s="18"/>
    </row>
    <row r="6468" spans="32:32">
      <c r="AF6468" s="18"/>
    </row>
    <row r="6469" spans="32:32">
      <c r="AF6469" s="18"/>
    </row>
    <row r="6470" spans="32:32">
      <c r="AF6470" s="18"/>
    </row>
    <row r="6471" spans="32:32">
      <c r="AF6471" s="18"/>
    </row>
    <row r="6472" spans="32:32">
      <c r="AF6472" s="18"/>
    </row>
    <row r="6473" spans="32:32">
      <c r="AF6473" s="18"/>
    </row>
    <row r="6474" spans="32:32">
      <c r="AF6474" s="18"/>
    </row>
    <row r="6488" spans="32:32">
      <c r="AF6488" s="18"/>
    </row>
    <row r="6489" spans="32:32">
      <c r="AF6489" s="18"/>
    </row>
    <row r="6490" spans="32:32">
      <c r="AF6490" s="18"/>
    </row>
    <row r="6491" spans="32:32">
      <c r="AF6491" s="18"/>
    </row>
    <row r="6492" spans="32:32">
      <c r="AF6492" s="18"/>
    </row>
    <row r="6493" spans="32:32">
      <c r="AF6493" s="18"/>
    </row>
    <row r="6494" spans="32:32">
      <c r="AF6494" s="18"/>
    </row>
    <row r="6495" spans="32:32">
      <c r="AF6495" s="18"/>
    </row>
    <row r="6510" spans="32:32">
      <c r="AF6510" s="18"/>
    </row>
    <row r="6511" spans="32:32">
      <c r="AF6511" s="18"/>
    </row>
    <row r="6512" spans="32:32">
      <c r="AF6512" s="18"/>
    </row>
    <row r="6513" spans="32:32">
      <c r="AF6513" s="18"/>
    </row>
    <row r="6514" spans="32:32">
      <c r="AF6514" s="18"/>
    </row>
    <row r="6515" spans="32:32">
      <c r="AF6515" s="18"/>
    </row>
    <row r="6516" spans="32:32">
      <c r="AF6516" s="18"/>
    </row>
    <row r="6517" spans="32:32">
      <c r="AF6517" s="18"/>
    </row>
    <row r="6518" spans="32:32">
      <c r="AF6518" s="18"/>
    </row>
    <row r="6530" spans="32:32">
      <c r="AF6530" s="18"/>
    </row>
    <row r="6531" spans="32:32">
      <c r="AF6531" s="18"/>
    </row>
    <row r="6532" spans="32:32">
      <c r="AF6532" s="18"/>
    </row>
    <row r="6533" spans="32:32">
      <c r="AF6533" s="18"/>
    </row>
    <row r="6534" spans="32:32">
      <c r="AF6534" s="18"/>
    </row>
    <row r="6535" spans="32:32">
      <c r="AF6535" s="18"/>
    </row>
    <row r="6536" spans="32:32">
      <c r="AF6536" s="18"/>
    </row>
    <row r="6537" spans="32:32">
      <c r="AF6537" s="18"/>
    </row>
    <row r="6538" spans="32:32">
      <c r="AF6538" s="18"/>
    </row>
    <row r="6552" spans="32:32">
      <c r="AF6552" s="18"/>
    </row>
    <row r="6553" spans="32:32">
      <c r="AF6553" s="18"/>
    </row>
    <row r="6554" spans="32:32">
      <c r="AF6554" s="18"/>
    </row>
    <row r="6555" spans="32:32">
      <c r="AF6555" s="18"/>
    </row>
    <row r="6556" spans="32:32">
      <c r="AF6556" s="18"/>
    </row>
    <row r="6557" spans="32:32">
      <c r="AF6557" s="18"/>
    </row>
    <row r="6558" spans="32:32">
      <c r="AF6558" s="18"/>
    </row>
    <row r="6571" spans="32:32">
      <c r="AF6571" s="18"/>
    </row>
    <row r="6572" spans="32:32">
      <c r="AF6572" s="18"/>
    </row>
    <row r="6573" spans="32:32">
      <c r="AF6573" s="18"/>
    </row>
    <row r="6574" spans="32:32">
      <c r="AF6574" s="18"/>
    </row>
    <row r="6575" spans="32:32">
      <c r="AF6575" s="18"/>
    </row>
    <row r="6576" spans="32:32">
      <c r="AF6576" s="18"/>
    </row>
    <row r="6577" spans="32:32">
      <c r="AF6577" s="18"/>
    </row>
    <row r="6578" spans="32:32">
      <c r="AF6578" s="18"/>
    </row>
    <row r="6579" spans="32:32">
      <c r="AF6579" s="18"/>
    </row>
    <row r="6580" spans="32:32">
      <c r="AF6580" s="18"/>
    </row>
    <row r="6591" spans="32:32">
      <c r="AF6591" s="18"/>
    </row>
    <row r="6592" spans="32:32">
      <c r="AF6592" s="18"/>
    </row>
    <row r="6593" spans="32:32">
      <c r="AF6593" s="18"/>
    </row>
    <row r="6594" spans="32:32">
      <c r="AF6594" s="18"/>
    </row>
    <row r="6595" spans="32:32">
      <c r="AF6595" s="18"/>
    </row>
    <row r="6596" spans="32:32">
      <c r="AF6596" s="18"/>
    </row>
    <row r="6597" spans="32:32">
      <c r="AF6597" s="18"/>
    </row>
    <row r="6598" spans="32:32">
      <c r="AF6598" s="18"/>
    </row>
    <row r="6599" spans="32:32">
      <c r="AF6599" s="18"/>
    </row>
    <row r="6613" spans="32:32">
      <c r="AF6613" s="18"/>
    </row>
    <row r="6614" spans="32:32">
      <c r="AF6614" s="18"/>
    </row>
    <row r="6615" spans="32:32">
      <c r="AF6615" s="18"/>
    </row>
    <row r="6616" spans="32:32">
      <c r="AF6616" s="18"/>
    </row>
    <row r="6617" spans="32:32">
      <c r="AF6617" s="18"/>
    </row>
    <row r="6618" spans="32:32">
      <c r="AF6618" s="18"/>
    </row>
    <row r="6619" spans="32:32">
      <c r="AF6619" s="18"/>
    </row>
    <row r="6620" spans="32:32">
      <c r="AF6620" s="18"/>
    </row>
    <row r="6634" spans="32:32">
      <c r="AF6634" s="18"/>
    </row>
    <row r="6635" spans="32:32">
      <c r="AF6635" s="18"/>
    </row>
    <row r="6636" spans="32:32">
      <c r="AF6636" s="18"/>
    </row>
    <row r="6637" spans="32:32">
      <c r="AF6637" s="18"/>
    </row>
    <row r="6638" spans="32:32">
      <c r="AF6638" s="18"/>
    </row>
    <row r="6639" spans="32:32">
      <c r="AF6639" s="18"/>
    </row>
    <row r="6640" spans="32:32">
      <c r="AF6640" s="18"/>
    </row>
    <row r="6641" spans="32:32">
      <c r="AF6641" s="18"/>
    </row>
    <row r="6642" spans="32:32">
      <c r="AF6642" s="18"/>
    </row>
    <row r="6655" spans="32:32">
      <c r="AF6655" s="18"/>
    </row>
    <row r="6656" spans="32:32">
      <c r="AF6656" s="18"/>
    </row>
    <row r="6657" spans="32:32">
      <c r="AF6657" s="18"/>
    </row>
    <row r="6658" spans="32:32">
      <c r="AF6658" s="18"/>
    </row>
    <row r="6659" spans="32:32">
      <c r="AF6659" s="18"/>
    </row>
    <row r="6660" spans="32:32">
      <c r="AF6660" s="18"/>
    </row>
    <row r="6661" spans="32:32">
      <c r="AF6661" s="18"/>
    </row>
    <row r="6662" spans="32:32">
      <c r="AF6662" s="18"/>
    </row>
    <row r="6677" spans="32:32">
      <c r="AF6677" s="18"/>
    </row>
    <row r="6678" spans="32:32">
      <c r="AF6678" s="18"/>
    </row>
    <row r="6679" spans="32:32">
      <c r="AF6679" s="18"/>
    </row>
    <row r="6680" spans="32:32">
      <c r="AF6680" s="18"/>
    </row>
    <row r="6681" spans="32:32">
      <c r="AF6681" s="18"/>
    </row>
    <row r="6682" spans="32:32">
      <c r="AF6682" s="18"/>
    </row>
    <row r="6683" spans="32:32">
      <c r="AF6683" s="18"/>
    </row>
    <row r="6697" spans="32:32">
      <c r="AF6697" s="18"/>
    </row>
    <row r="6698" spans="32:32">
      <c r="AF6698" s="18"/>
    </row>
    <row r="6699" spans="32:32">
      <c r="AF6699" s="18"/>
    </row>
    <row r="6700" spans="32:32">
      <c r="AF6700" s="18"/>
    </row>
    <row r="6701" spans="32:32">
      <c r="AF6701" s="18"/>
    </row>
    <row r="6702" spans="32:32">
      <c r="AF6702" s="18"/>
    </row>
    <row r="6703" spans="32:32">
      <c r="AF6703" s="18"/>
    </row>
    <row r="6704" spans="32:32">
      <c r="AF6704" s="18"/>
    </row>
    <row r="6705" spans="32:32">
      <c r="AF6705" s="18"/>
    </row>
    <row r="6706" spans="32:32">
      <c r="AF6706" s="18"/>
    </row>
    <row r="6720" spans="32:32">
      <c r="AF6720" s="18"/>
    </row>
    <row r="6721" spans="32:32">
      <c r="AF6721" s="18"/>
    </row>
    <row r="6722" spans="32:32">
      <c r="AF6722" s="18"/>
    </row>
    <row r="6723" spans="32:32">
      <c r="AF6723" s="18"/>
    </row>
    <row r="6724" spans="32:32">
      <c r="AF6724" s="18"/>
    </row>
    <row r="6725" spans="32:32">
      <c r="AF6725" s="18"/>
    </row>
    <row r="6726" spans="32:32">
      <c r="AF6726" s="18"/>
    </row>
    <row r="6741" spans="32:32">
      <c r="AF6741" s="18"/>
    </row>
    <row r="6742" spans="32:32">
      <c r="AF6742" s="18"/>
    </row>
    <row r="6743" spans="32:32">
      <c r="AF6743" s="18"/>
    </row>
    <row r="6744" spans="32:32">
      <c r="AF6744" s="18"/>
    </row>
    <row r="6745" spans="32:32">
      <c r="AF6745" s="18"/>
    </row>
    <row r="6746" spans="32:32">
      <c r="AF6746" s="18"/>
    </row>
    <row r="6747" spans="32:32">
      <c r="AF6747" s="18"/>
    </row>
    <row r="6748" spans="32:32">
      <c r="AF6748" s="18"/>
    </row>
    <row r="6762" spans="32:32">
      <c r="AF6762" s="18"/>
    </row>
    <row r="6763" spans="32:32">
      <c r="AF6763" s="18"/>
    </row>
    <row r="6764" spans="32:32">
      <c r="AF6764" s="18"/>
    </row>
    <row r="6765" spans="32:32">
      <c r="AF6765" s="18"/>
    </row>
    <row r="6766" spans="32:32">
      <c r="AF6766" s="18"/>
    </row>
    <row r="6767" spans="32:32">
      <c r="AF6767" s="18"/>
    </row>
    <row r="6768" spans="32:32">
      <c r="AF6768" s="18"/>
    </row>
    <row r="6769" spans="32:32">
      <c r="AF6769" s="18"/>
    </row>
    <row r="6770" spans="32:32">
      <c r="AF6770" s="18"/>
    </row>
    <row r="6783" spans="32:32">
      <c r="AF6783" s="18"/>
    </row>
    <row r="6784" spans="32:32">
      <c r="AF6784" s="18"/>
    </row>
    <row r="6785" spans="32:32">
      <c r="AF6785" s="18"/>
    </row>
    <row r="6786" spans="32:32">
      <c r="AF6786" s="18"/>
    </row>
    <row r="6787" spans="32:32">
      <c r="AF6787" s="18"/>
    </row>
    <row r="6788" spans="32:32">
      <c r="AF6788" s="18"/>
    </row>
    <row r="6789" spans="32:32">
      <c r="AF6789" s="18"/>
    </row>
    <row r="6790" spans="32:32">
      <c r="AF6790" s="18"/>
    </row>
    <row r="6804" spans="32:32">
      <c r="AF6804" s="18"/>
    </row>
    <row r="6805" spans="32:32">
      <c r="AF6805" s="18"/>
    </row>
    <row r="6806" spans="32:32">
      <c r="AF6806" s="18"/>
    </row>
    <row r="6807" spans="32:32">
      <c r="AF6807" s="18"/>
    </row>
    <row r="6808" spans="32:32">
      <c r="AF6808" s="18"/>
    </row>
    <row r="6809" spans="32:32">
      <c r="AF6809" s="18"/>
    </row>
    <row r="6810" spans="32:32">
      <c r="AF6810" s="18"/>
    </row>
    <row r="6811" spans="32:32">
      <c r="AF6811" s="18"/>
    </row>
    <row r="6824" spans="32:32">
      <c r="AF6824" s="18"/>
    </row>
    <row r="6825" spans="32:32">
      <c r="AF6825" s="18"/>
    </row>
    <row r="6826" spans="32:32">
      <c r="AF6826" s="18"/>
    </row>
    <row r="6827" spans="32:32">
      <c r="AF6827" s="18"/>
    </row>
    <row r="6828" spans="32:32">
      <c r="AF6828" s="18"/>
    </row>
    <row r="6829" spans="32:32">
      <c r="AF6829" s="18"/>
    </row>
    <row r="6830" spans="32:32">
      <c r="AF6830" s="18"/>
    </row>
    <row r="6831" spans="32:32">
      <c r="AF6831" s="18"/>
    </row>
    <row r="6843" spans="32:32">
      <c r="AF6843" s="18"/>
    </row>
    <row r="6844" spans="32:32">
      <c r="AF6844" s="18"/>
    </row>
    <row r="6845" spans="32:32">
      <c r="AF6845" s="18"/>
    </row>
    <row r="6846" spans="32:32">
      <c r="AF6846" s="18"/>
    </row>
    <row r="6847" spans="32:32">
      <c r="AF6847" s="18"/>
    </row>
    <row r="6848" spans="32:32">
      <c r="AF6848" s="18"/>
    </row>
    <row r="6849" spans="32:32">
      <c r="AF6849" s="18"/>
    </row>
    <row r="6850" spans="32:32">
      <c r="AF6850" s="18"/>
    </row>
    <row r="6866" spans="32:32">
      <c r="AF6866" s="18"/>
    </row>
    <row r="6867" spans="32:32">
      <c r="AF6867" s="18"/>
    </row>
    <row r="6868" spans="32:32">
      <c r="AF6868" s="18"/>
    </row>
    <row r="6869" spans="32:32">
      <c r="AF6869" s="18"/>
    </row>
    <row r="6870" spans="32:32">
      <c r="AF6870" s="18"/>
    </row>
    <row r="6871" spans="32:32">
      <c r="AF6871" s="18"/>
    </row>
    <row r="6872" spans="32:32">
      <c r="AF6872" s="18"/>
    </row>
    <row r="6873" spans="32:32">
      <c r="AF6873" s="18"/>
    </row>
    <row r="6885" spans="32:32">
      <c r="AF6885" s="18"/>
    </row>
    <row r="6886" spans="32:32">
      <c r="AF6886" s="18"/>
    </row>
    <row r="6887" spans="32:32">
      <c r="AF6887" s="18"/>
    </row>
    <row r="6888" spans="32:32">
      <c r="AF6888" s="18"/>
    </row>
    <row r="6889" spans="32:32">
      <c r="AF6889" s="18"/>
    </row>
    <row r="6890" spans="32:32">
      <c r="AF6890" s="18"/>
    </row>
    <row r="6891" spans="32:32">
      <c r="AF6891" s="18"/>
    </row>
    <row r="6892" spans="32:32">
      <c r="AF6892" s="18"/>
    </row>
    <row r="6893" spans="32:32">
      <c r="AF6893" s="18"/>
    </row>
    <row r="6894" spans="32:32">
      <c r="AF6894" s="18"/>
    </row>
    <row r="6907" spans="32:32">
      <c r="AF6907" s="18"/>
    </row>
    <row r="6908" spans="32:32">
      <c r="AF6908" s="18"/>
    </row>
    <row r="6909" spans="32:32">
      <c r="AF6909" s="18"/>
    </row>
    <row r="6910" spans="32:32">
      <c r="AF6910" s="18"/>
    </row>
    <row r="6911" spans="32:32">
      <c r="AF6911" s="18"/>
    </row>
    <row r="6912" spans="32:32">
      <c r="AF6912" s="18"/>
    </row>
    <row r="6913" spans="32:32">
      <c r="AF6913" s="18"/>
    </row>
    <row r="6914" spans="32:32">
      <c r="AF6914" s="18"/>
    </row>
    <row r="6929" spans="32:32">
      <c r="AF6929" s="18"/>
    </row>
    <row r="6930" spans="32:32">
      <c r="AF6930" s="18"/>
    </row>
    <row r="6931" spans="32:32">
      <c r="AF6931" s="18"/>
    </row>
    <row r="6932" spans="32:32">
      <c r="AF6932" s="18"/>
    </row>
    <row r="6933" spans="32:32">
      <c r="AF6933" s="18"/>
    </row>
    <row r="6934" spans="32:32">
      <c r="AF6934" s="18"/>
    </row>
    <row r="6935" spans="32:32">
      <c r="AF6935" s="18"/>
    </row>
    <row r="6949" spans="32:32">
      <c r="AF6949" s="18"/>
    </row>
    <row r="6950" spans="32:32">
      <c r="AF6950" s="18"/>
    </row>
    <row r="6951" spans="32:32">
      <c r="AF6951" s="18"/>
    </row>
    <row r="6952" spans="32:32">
      <c r="AF6952" s="18"/>
    </row>
    <row r="6953" spans="32:32">
      <c r="AF6953" s="18"/>
    </row>
    <row r="6954" spans="32:32">
      <c r="AF6954" s="18"/>
    </row>
    <row r="6955" spans="32:32">
      <c r="AF6955" s="18"/>
    </row>
    <row r="6956" spans="32:32">
      <c r="AF6956" s="18"/>
    </row>
    <row r="6957" spans="32:32">
      <c r="AF6957" s="18"/>
    </row>
    <row r="6972" spans="32:32">
      <c r="AF6972" s="18"/>
    </row>
    <row r="6973" spans="32:32">
      <c r="AF6973" s="18"/>
    </row>
    <row r="6974" spans="32:32">
      <c r="AF6974" s="18"/>
    </row>
    <row r="6975" spans="32:32">
      <c r="AF6975" s="18"/>
    </row>
    <row r="6976" spans="32:32">
      <c r="AF6976" s="18"/>
    </row>
    <row r="6977" spans="32:32">
      <c r="AF6977" s="18"/>
    </row>
    <row r="6978" spans="32:32">
      <c r="AF6978" s="18"/>
    </row>
    <row r="6992" spans="32:32">
      <c r="AF6992" s="18"/>
    </row>
    <row r="6993" spans="32:32">
      <c r="AF6993" s="18"/>
    </row>
    <row r="6994" spans="32:32">
      <c r="AF6994" s="18"/>
    </row>
    <row r="6995" spans="32:32">
      <c r="AF6995" s="18"/>
    </row>
    <row r="6996" spans="32:32">
      <c r="AF6996" s="18"/>
    </row>
    <row r="6997" spans="32:32">
      <c r="AF6997" s="18"/>
    </row>
    <row r="6998" spans="32:32">
      <c r="AF6998" s="18"/>
    </row>
    <row r="6999" spans="32:32">
      <c r="AF6999" s="18"/>
    </row>
    <row r="7000" spans="32:32">
      <c r="AF7000" s="18"/>
    </row>
    <row r="7014" spans="32:32">
      <c r="AF7014" s="18"/>
    </row>
    <row r="7015" spans="32:32">
      <c r="AF7015" s="18"/>
    </row>
    <row r="7016" spans="32:32">
      <c r="AF7016" s="18"/>
    </row>
    <row r="7017" spans="32:32">
      <c r="AF7017" s="18"/>
    </row>
    <row r="7018" spans="32:32">
      <c r="AF7018" s="18"/>
    </row>
    <row r="7019" spans="32:32">
      <c r="AF7019" s="18"/>
    </row>
    <row r="7020" spans="32:32">
      <c r="AF7020" s="18"/>
    </row>
    <row r="7021" spans="32:32">
      <c r="AF7021" s="18"/>
    </row>
    <row r="7035" spans="32:32">
      <c r="AF7035" s="18"/>
    </row>
    <row r="7036" spans="32:32">
      <c r="AF7036" s="18"/>
    </row>
    <row r="7037" spans="32:32">
      <c r="AF7037" s="18"/>
    </row>
    <row r="7038" spans="32:32">
      <c r="AF7038" s="18"/>
    </row>
    <row r="7039" spans="32:32">
      <c r="AF7039" s="18"/>
    </row>
    <row r="7040" spans="32:32">
      <c r="AF7040" s="18"/>
    </row>
    <row r="7041" spans="32:32">
      <c r="AF7041" s="18"/>
    </row>
    <row r="7042" spans="32:32">
      <c r="AF7042" s="18"/>
    </row>
    <row r="7055" spans="32:32">
      <c r="AF7055" s="18"/>
    </row>
    <row r="7056" spans="32:32">
      <c r="AF7056" s="18"/>
    </row>
    <row r="7057" spans="32:32">
      <c r="AF7057" s="18"/>
    </row>
    <row r="7058" spans="32:32">
      <c r="AF7058" s="18"/>
    </row>
    <row r="7059" spans="32:32">
      <c r="AF7059" s="18"/>
    </row>
    <row r="7060" spans="32:32">
      <c r="AF7060" s="18"/>
    </row>
    <row r="7061" spans="32:32">
      <c r="AF7061" s="18"/>
    </row>
    <row r="7062" spans="32:32">
      <c r="AF7062" s="18"/>
    </row>
    <row r="7063" spans="32:32">
      <c r="AF7063" s="18"/>
    </row>
    <row r="7076" spans="32:32">
      <c r="AF7076" s="18"/>
    </row>
    <row r="7077" spans="32:32">
      <c r="AF7077" s="18"/>
    </row>
    <row r="7078" spans="32:32">
      <c r="AF7078" s="18"/>
    </row>
    <row r="7079" spans="32:32">
      <c r="AF7079" s="18"/>
    </row>
    <row r="7080" spans="32:32">
      <c r="AF7080" s="18"/>
    </row>
    <row r="7081" spans="32:32">
      <c r="AF7081" s="18"/>
    </row>
    <row r="7082" spans="32:32">
      <c r="AF7082" s="18"/>
    </row>
    <row r="7083" spans="32:32">
      <c r="AF7083" s="18"/>
    </row>
    <row r="7095" spans="32:32">
      <c r="AF7095" s="18"/>
    </row>
    <row r="7096" spans="32:32">
      <c r="AF7096" s="18"/>
    </row>
    <row r="7097" spans="32:32">
      <c r="AF7097" s="18"/>
    </row>
    <row r="7098" spans="32:32">
      <c r="AF7098" s="18"/>
    </row>
    <row r="7099" spans="32:32">
      <c r="AF7099" s="18"/>
    </row>
    <row r="7100" spans="32:32">
      <c r="AF7100" s="18"/>
    </row>
    <row r="7101" spans="32:32">
      <c r="AF7101" s="18"/>
    </row>
    <row r="7102" spans="32:32">
      <c r="AF7102" s="18"/>
    </row>
    <row r="7116" spans="32:32">
      <c r="AF7116" s="18"/>
    </row>
    <row r="7117" spans="32:32">
      <c r="AF7117" s="18"/>
    </row>
    <row r="7118" spans="32:32">
      <c r="AF7118" s="18"/>
    </row>
    <row r="7119" spans="32:32">
      <c r="AF7119" s="18"/>
    </row>
    <row r="7120" spans="32:32">
      <c r="AF7120" s="18"/>
    </row>
    <row r="7121" spans="32:32">
      <c r="AF7121" s="18"/>
    </row>
    <row r="7122" spans="32:32">
      <c r="AF7122" s="18"/>
    </row>
    <row r="7123" spans="32:32">
      <c r="AF7123" s="18"/>
    </row>
    <row r="7124" spans="32:32">
      <c r="AF7124" s="18"/>
    </row>
    <row r="7137" spans="32:32">
      <c r="AF7137" s="18"/>
    </row>
    <row r="7138" spans="32:32">
      <c r="AF7138" s="18"/>
    </row>
    <row r="7139" spans="32:32">
      <c r="AF7139" s="18"/>
    </row>
    <row r="7140" spans="32:32">
      <c r="AF7140" s="18"/>
    </row>
    <row r="7141" spans="32:32">
      <c r="AF7141" s="18"/>
    </row>
    <row r="7142" spans="32:32">
      <c r="AF7142" s="18"/>
    </row>
    <row r="7143" spans="32:32">
      <c r="AF7143" s="18"/>
    </row>
    <row r="7144" spans="32:32">
      <c r="AF7144" s="18"/>
    </row>
    <row r="7145" spans="32:32">
      <c r="AF7145" s="18"/>
    </row>
    <row r="7159" spans="32:32">
      <c r="AF7159" s="18"/>
    </row>
    <row r="7160" spans="32:32">
      <c r="AF7160" s="18"/>
    </row>
    <row r="7161" spans="32:32">
      <c r="AF7161" s="18"/>
    </row>
    <row r="7162" spans="32:32">
      <c r="AF7162" s="18"/>
    </row>
    <row r="7163" spans="32:32">
      <c r="AF7163" s="18"/>
    </row>
    <row r="7164" spans="32:32">
      <c r="AF7164" s="18"/>
    </row>
    <row r="7165" spans="32:32">
      <c r="AF7165" s="18"/>
    </row>
    <row r="7166" spans="32:32">
      <c r="AF7166" s="18"/>
    </row>
    <row r="7180" spans="32:32">
      <c r="AF7180" s="18"/>
    </row>
    <row r="7181" spans="32:32">
      <c r="AF7181" s="18"/>
    </row>
    <row r="7182" spans="32:32">
      <c r="AF7182" s="18"/>
    </row>
    <row r="7183" spans="32:32">
      <c r="AF7183" s="18"/>
    </row>
    <row r="7184" spans="32:32">
      <c r="AF7184" s="18"/>
    </row>
    <row r="7185" spans="32:32">
      <c r="AF7185" s="18"/>
    </row>
    <row r="7186" spans="32:32">
      <c r="AF7186" s="18"/>
    </row>
    <row r="7187" spans="32:32">
      <c r="AF7187" s="18"/>
    </row>
    <row r="7201" spans="32:32">
      <c r="AF7201" s="18"/>
    </row>
    <row r="7202" spans="32:32">
      <c r="AF7202" s="18"/>
    </row>
    <row r="7203" spans="32:32">
      <c r="AF7203" s="18"/>
    </row>
    <row r="7204" spans="32:32">
      <c r="AF7204" s="18"/>
    </row>
    <row r="7205" spans="32:32">
      <c r="AF7205" s="18"/>
    </row>
    <row r="7206" spans="32:32">
      <c r="AF7206" s="18"/>
    </row>
    <row r="7207" spans="32:32">
      <c r="AF7207" s="18"/>
    </row>
    <row r="7208" spans="32:32">
      <c r="AF7208" s="18"/>
    </row>
    <row r="7224" spans="32:32">
      <c r="AF7224" s="18"/>
    </row>
    <row r="7225" spans="32:32">
      <c r="AF7225" s="18"/>
    </row>
    <row r="7226" spans="32:32">
      <c r="AF7226" s="18"/>
    </row>
    <row r="7227" spans="32:32">
      <c r="AF7227" s="18"/>
    </row>
    <row r="7228" spans="32:32">
      <c r="AF7228" s="18"/>
    </row>
    <row r="7229" spans="32:32">
      <c r="AF7229" s="18"/>
    </row>
    <row r="7230" spans="32:32">
      <c r="AF7230" s="18"/>
    </row>
    <row r="7243" spans="32:32">
      <c r="AF7243" s="18"/>
    </row>
    <row r="7244" spans="32:32">
      <c r="AF7244" s="18"/>
    </row>
    <row r="7245" spans="32:32">
      <c r="AF7245" s="18"/>
    </row>
    <row r="7246" spans="32:32">
      <c r="AF7246" s="18"/>
    </row>
    <row r="7247" spans="32:32">
      <c r="AF7247" s="18"/>
    </row>
    <row r="7248" spans="32:32">
      <c r="AF7248" s="18"/>
    </row>
    <row r="7249" spans="32:32">
      <c r="AF7249" s="18"/>
    </row>
    <row r="7250" spans="32:32">
      <c r="AF7250" s="18"/>
    </row>
    <row r="7251" spans="32:32">
      <c r="AF7251" s="18"/>
    </row>
    <row r="7252" spans="32:32">
      <c r="AF7252" s="18"/>
    </row>
    <row r="7266" spans="32:32">
      <c r="AF7266" s="18"/>
    </row>
    <row r="7267" spans="32:32">
      <c r="AF7267" s="18"/>
    </row>
    <row r="7268" spans="32:32">
      <c r="AF7268" s="18"/>
    </row>
    <row r="7269" spans="32:32">
      <c r="AF7269" s="18"/>
    </row>
    <row r="7270" spans="32:32">
      <c r="AF7270" s="18"/>
    </row>
    <row r="7271" spans="32:32">
      <c r="AF7271" s="18"/>
    </row>
    <row r="7272" spans="32:32">
      <c r="AF7272" s="18"/>
    </row>
    <row r="7273" spans="32:32">
      <c r="AF7273" s="18"/>
    </row>
    <row r="7287" spans="32:32">
      <c r="AF7287" s="18"/>
    </row>
    <row r="7288" spans="32:32">
      <c r="AF7288" s="18"/>
    </row>
    <row r="7289" spans="32:32">
      <c r="AF7289" s="18"/>
    </row>
    <row r="7290" spans="32:32">
      <c r="AF7290" s="18"/>
    </row>
    <row r="7291" spans="32:32">
      <c r="AF7291" s="18"/>
    </row>
    <row r="7292" spans="32:32">
      <c r="AF7292" s="18"/>
    </row>
    <row r="7293" spans="32:32">
      <c r="AF7293" s="18"/>
    </row>
    <row r="7306" spans="32:32">
      <c r="AF7306" s="18"/>
    </row>
    <row r="7307" spans="32:32">
      <c r="AF7307" s="18"/>
    </row>
    <row r="7308" spans="32:32">
      <c r="AF7308" s="18"/>
    </row>
    <row r="7309" spans="32:32">
      <c r="AF7309" s="18"/>
    </row>
    <row r="7310" spans="32:32">
      <c r="AF7310" s="18"/>
    </row>
    <row r="7311" spans="32:32">
      <c r="AF7311" s="18"/>
    </row>
    <row r="7312" spans="32:32">
      <c r="AF7312" s="18"/>
    </row>
    <row r="7313" spans="32:32">
      <c r="AF7313" s="18"/>
    </row>
    <row r="7327" spans="32:32">
      <c r="AF7327" s="18"/>
    </row>
    <row r="7328" spans="32:32">
      <c r="AF7328" s="18"/>
    </row>
    <row r="7329" spans="32:32">
      <c r="AF7329" s="18"/>
    </row>
    <row r="7330" spans="32:32">
      <c r="AF7330" s="18"/>
    </row>
    <row r="7331" spans="32:32">
      <c r="AF7331" s="18"/>
    </row>
    <row r="7332" spans="32:32">
      <c r="AF7332" s="18"/>
    </row>
    <row r="7333" spans="32:32">
      <c r="AF7333" s="18"/>
    </row>
    <row r="7334" spans="32:32">
      <c r="AF7334" s="18"/>
    </row>
    <row r="7346" spans="32:32">
      <c r="AF7346" s="18"/>
    </row>
    <row r="7347" spans="32:32">
      <c r="AF7347" s="18"/>
    </row>
    <row r="7348" spans="32:32">
      <c r="AF7348" s="18"/>
    </row>
    <row r="7349" spans="32:32">
      <c r="AF7349" s="18"/>
    </row>
    <row r="7350" spans="32:32">
      <c r="AF7350" s="18"/>
    </row>
    <row r="7351" spans="32:32">
      <c r="AF7351" s="18"/>
    </row>
    <row r="7352" spans="32:32">
      <c r="AF7352" s="18"/>
    </row>
    <row r="7353" spans="32:32">
      <c r="AF7353" s="18"/>
    </row>
    <row r="7367" spans="32:32">
      <c r="AF7367" s="18"/>
    </row>
    <row r="7368" spans="32:32">
      <c r="AF7368" s="18"/>
    </row>
    <row r="7369" spans="32:32">
      <c r="AF7369" s="18"/>
    </row>
    <row r="7370" spans="32:32">
      <c r="AF7370" s="18"/>
    </row>
    <row r="7371" spans="32:32">
      <c r="AF7371" s="18"/>
    </row>
    <row r="7372" spans="32:32">
      <c r="AF7372" s="18"/>
    </row>
    <row r="7373" spans="32:32">
      <c r="AF7373" s="18"/>
    </row>
    <row r="7374" spans="32:32">
      <c r="AF7374" s="18"/>
    </row>
    <row r="7375" spans="32:32">
      <c r="AF7375" s="18"/>
    </row>
    <row r="7376" spans="32:32">
      <c r="AF7376" s="18"/>
    </row>
    <row r="7388" spans="32:32">
      <c r="AF7388" s="18"/>
    </row>
    <row r="7389" spans="32:32">
      <c r="AF7389" s="18"/>
    </row>
    <row r="7390" spans="32:32">
      <c r="AF7390" s="18"/>
    </row>
    <row r="7391" spans="32:32">
      <c r="AF7391" s="18"/>
    </row>
    <row r="7392" spans="32:32">
      <c r="AF7392" s="18"/>
    </row>
    <row r="7393" spans="32:32">
      <c r="AF7393" s="18"/>
    </row>
    <row r="7394" spans="32:32">
      <c r="AF7394" s="18"/>
    </row>
    <row r="7395" spans="32:32">
      <c r="AF7395" s="18"/>
    </row>
    <row r="7410" spans="32:32">
      <c r="AF7410" s="18"/>
    </row>
    <row r="7411" spans="32:32">
      <c r="AF7411" s="18"/>
    </row>
    <row r="7412" spans="32:32">
      <c r="AF7412" s="18"/>
    </row>
    <row r="7413" spans="32:32">
      <c r="AF7413" s="18"/>
    </row>
    <row r="7414" spans="32:32">
      <c r="AF7414" s="18"/>
    </row>
    <row r="7415" spans="32:32">
      <c r="AF7415" s="18"/>
    </row>
    <row r="7416" spans="32:32">
      <c r="AF7416" s="18"/>
    </row>
    <row r="7417" spans="32:32">
      <c r="AF7417" s="18"/>
    </row>
    <row r="7430" spans="32:32">
      <c r="AF7430" s="18"/>
    </row>
    <row r="7431" spans="32:32">
      <c r="AF7431" s="18"/>
    </row>
    <row r="7432" spans="32:32">
      <c r="AF7432" s="18"/>
    </row>
    <row r="7433" spans="32:32">
      <c r="AF7433" s="18"/>
    </row>
    <row r="7434" spans="32:32">
      <c r="AF7434" s="18"/>
    </row>
    <row r="7435" spans="32:32">
      <c r="AF7435" s="18"/>
    </row>
    <row r="7436" spans="32:32">
      <c r="AF7436" s="18"/>
    </row>
    <row r="7437" spans="32:32">
      <c r="AF7437" s="18"/>
    </row>
    <row r="7438" spans="32:32">
      <c r="AF7438" s="18"/>
    </row>
    <row r="7452" spans="32:32">
      <c r="AF7452" s="18"/>
    </row>
    <row r="7453" spans="32:32">
      <c r="AF7453" s="18"/>
    </row>
    <row r="7454" spans="32:32">
      <c r="AF7454" s="18"/>
    </row>
    <row r="7455" spans="32:32">
      <c r="AF7455" s="18"/>
    </row>
    <row r="7456" spans="32:32">
      <c r="AF7456" s="18"/>
    </row>
    <row r="7457" spans="32:32">
      <c r="AF7457" s="18"/>
    </row>
    <row r="7458" spans="32:32">
      <c r="AF7458" s="18"/>
    </row>
    <row r="7459" spans="32:32">
      <c r="AF7459" s="18"/>
    </row>
    <row r="7474" spans="32:32">
      <c r="AF7474" s="18"/>
    </row>
    <row r="7475" spans="32:32">
      <c r="AF7475" s="18"/>
    </row>
    <row r="7476" spans="32:32">
      <c r="AF7476" s="18"/>
    </row>
    <row r="7477" spans="32:32">
      <c r="AF7477" s="18"/>
    </row>
    <row r="7478" spans="32:32">
      <c r="AF7478" s="18"/>
    </row>
    <row r="7479" spans="32:32">
      <c r="AF7479" s="18"/>
    </row>
    <row r="7480" spans="32:32">
      <c r="AF7480" s="18"/>
    </row>
    <row r="7481" spans="32:32">
      <c r="AF7481" s="18"/>
    </row>
    <row r="7494" spans="32:32">
      <c r="AF7494" s="18"/>
    </row>
    <row r="7495" spans="32:32">
      <c r="AF7495" s="18"/>
    </row>
    <row r="7496" spans="32:32">
      <c r="AF7496" s="18"/>
    </row>
    <row r="7497" spans="32:32">
      <c r="AF7497" s="18"/>
    </row>
    <row r="7498" spans="32:32">
      <c r="AF7498" s="18"/>
    </row>
    <row r="7499" spans="32:32">
      <c r="AF7499" s="18"/>
    </row>
    <row r="7500" spans="32:32">
      <c r="AF7500" s="18"/>
    </row>
    <row r="7501" spans="32:32">
      <c r="AF7501" s="18"/>
    </row>
    <row r="7502" spans="32:32">
      <c r="AF7502" s="18"/>
    </row>
    <row r="7517" spans="32:32">
      <c r="AF7517" s="18"/>
    </row>
    <row r="7518" spans="32:32">
      <c r="AF7518" s="18"/>
    </row>
    <row r="7519" spans="32:32">
      <c r="AF7519" s="18"/>
    </row>
    <row r="7520" spans="32:32">
      <c r="AF7520" s="18"/>
    </row>
    <row r="7521" spans="32:32">
      <c r="AF7521" s="18"/>
    </row>
    <row r="7522" spans="32:32">
      <c r="AF7522" s="18"/>
    </row>
    <row r="7523" spans="32:32">
      <c r="AF7523" s="18"/>
    </row>
    <row r="7524" spans="32:32">
      <c r="AF7524" s="18"/>
    </row>
    <row r="7537" spans="32:32">
      <c r="AF7537" s="18"/>
    </row>
    <row r="7538" spans="32:32">
      <c r="AF7538" s="18"/>
    </row>
    <row r="7539" spans="32:32">
      <c r="AF7539" s="18"/>
    </row>
    <row r="7540" spans="32:32">
      <c r="AF7540" s="18"/>
    </row>
    <row r="7541" spans="32:32">
      <c r="AF7541" s="18"/>
    </row>
    <row r="7542" spans="32:32">
      <c r="AF7542" s="18"/>
    </row>
    <row r="7543" spans="32:32">
      <c r="AF7543" s="18"/>
    </row>
    <row r="7544" spans="32:32">
      <c r="AF7544" s="18"/>
    </row>
    <row r="7545" spans="32:32">
      <c r="AF7545" s="18"/>
    </row>
    <row r="7558" spans="32:32">
      <c r="AF7558" s="18"/>
    </row>
    <row r="7559" spans="32:32">
      <c r="AF7559" s="18"/>
    </row>
    <row r="7560" spans="32:32">
      <c r="AF7560" s="18"/>
    </row>
    <row r="7561" spans="32:32">
      <c r="AF7561" s="18"/>
    </row>
    <row r="7562" spans="32:32">
      <c r="AF7562" s="18"/>
    </row>
    <row r="7563" spans="32:32">
      <c r="AF7563" s="18"/>
    </row>
    <row r="7564" spans="32:32">
      <c r="AF7564" s="18"/>
    </row>
    <row r="7579" spans="32:32">
      <c r="AF7579" s="18"/>
    </row>
    <row r="7580" spans="32:32">
      <c r="AF7580" s="18"/>
    </row>
    <row r="7581" spans="32:32">
      <c r="AF7581" s="18"/>
    </row>
    <row r="7582" spans="32:32">
      <c r="AF7582" s="18"/>
    </row>
    <row r="7583" spans="32:32">
      <c r="AF7583" s="18"/>
    </row>
    <row r="7584" spans="32:32">
      <c r="AF7584" s="18"/>
    </row>
    <row r="7585" spans="32:32">
      <c r="AF7585" s="18"/>
    </row>
    <row r="7586" spans="32:32">
      <c r="AF7586" s="18"/>
    </row>
    <row r="7598" spans="32:32">
      <c r="AF7598" s="18"/>
    </row>
    <row r="7599" spans="32:32">
      <c r="AF7599" s="18"/>
    </row>
    <row r="7600" spans="32:32">
      <c r="AF7600" s="18"/>
    </row>
    <row r="7601" spans="32:32">
      <c r="AF7601" s="18"/>
    </row>
    <row r="7602" spans="32:32">
      <c r="AF7602" s="18"/>
    </row>
    <row r="7603" spans="32:32">
      <c r="AF7603" s="18"/>
    </row>
    <row r="7604" spans="32:32">
      <c r="AF7604" s="18"/>
    </row>
    <row r="7605" spans="32:32">
      <c r="AF7605" s="18"/>
    </row>
    <row r="7606" spans="32:32">
      <c r="AF7606" s="18"/>
    </row>
    <row r="7620" spans="32:32">
      <c r="AF7620" s="18"/>
    </row>
    <row r="7621" spans="32:32">
      <c r="AF7621" s="18"/>
    </row>
    <row r="7622" spans="32:32">
      <c r="AF7622" s="18"/>
    </row>
    <row r="7623" spans="32:32">
      <c r="AF7623" s="18"/>
    </row>
    <row r="7624" spans="32:32">
      <c r="AF7624" s="18"/>
    </row>
    <row r="7625" spans="32:32">
      <c r="AF7625" s="18"/>
    </row>
    <row r="7626" spans="32:32">
      <c r="AF7626" s="18"/>
    </row>
    <row r="7641" spans="32:32">
      <c r="AF7641" s="18"/>
    </row>
    <row r="7642" spans="32:32">
      <c r="AF7642" s="18"/>
    </row>
    <row r="7643" spans="32:32">
      <c r="AF7643" s="18"/>
    </row>
    <row r="7644" spans="32:32">
      <c r="AF7644" s="18"/>
    </row>
    <row r="7645" spans="32:32">
      <c r="AF7645" s="18"/>
    </row>
    <row r="7646" spans="32:32">
      <c r="AF7646" s="18"/>
    </row>
    <row r="7647" spans="32:32">
      <c r="AF7647" s="18"/>
    </row>
    <row r="7648" spans="32:32">
      <c r="AF7648" s="18"/>
    </row>
    <row r="7661" spans="32:32">
      <c r="AF7661" s="18"/>
    </row>
    <row r="7662" spans="32:32">
      <c r="AF7662" s="18"/>
    </row>
    <row r="7663" spans="32:32">
      <c r="AF7663" s="18"/>
    </row>
    <row r="7664" spans="32:32">
      <c r="AF7664" s="18"/>
    </row>
    <row r="7665" spans="32:32">
      <c r="AF7665" s="18"/>
    </row>
    <row r="7666" spans="32:32">
      <c r="AF7666" s="18"/>
    </row>
    <row r="7667" spans="32:32">
      <c r="AF7667" s="18"/>
    </row>
    <row r="7668" spans="32:32">
      <c r="AF7668" s="18"/>
    </row>
    <row r="7669" spans="32:32">
      <c r="AF7669" s="18"/>
    </row>
    <row r="7670" spans="32:32">
      <c r="AF7670" s="18"/>
    </row>
    <row r="7683" spans="32:32">
      <c r="AF7683" s="18"/>
    </row>
    <row r="7684" spans="32:32">
      <c r="AF7684" s="18"/>
    </row>
    <row r="7685" spans="32:32">
      <c r="AF7685" s="18"/>
    </row>
    <row r="7686" spans="32:32">
      <c r="AF7686" s="18"/>
    </row>
    <row r="7687" spans="32:32">
      <c r="AF7687" s="18"/>
    </row>
    <row r="7688" spans="32:32">
      <c r="AF7688" s="18"/>
    </row>
    <row r="7689" spans="32:32">
      <c r="AF7689" s="18"/>
    </row>
    <row r="7705" spans="32:32">
      <c r="AF7705" s="18"/>
    </row>
    <row r="7706" spans="32:32">
      <c r="AF7706" s="18"/>
    </row>
    <row r="7707" spans="32:32">
      <c r="AF7707" s="18"/>
    </row>
    <row r="7708" spans="32:32">
      <c r="AF7708" s="18"/>
    </row>
    <row r="7709" spans="32:32">
      <c r="AF7709" s="18"/>
    </row>
    <row r="7710" spans="32:32">
      <c r="AF7710" s="18"/>
    </row>
    <row r="7711" spans="32:32">
      <c r="AF7711" s="18"/>
    </row>
    <row r="7712" spans="32:32">
      <c r="AF7712" s="18"/>
    </row>
    <row r="7726" spans="32:32">
      <c r="AF7726" s="18"/>
    </row>
    <row r="7727" spans="32:32">
      <c r="AF7727" s="18"/>
    </row>
    <row r="7728" spans="32:32">
      <c r="AF7728" s="18"/>
    </row>
    <row r="7729" spans="32:32">
      <c r="AF7729" s="18"/>
    </row>
    <row r="7730" spans="32:32">
      <c r="AF7730" s="18"/>
    </row>
    <row r="7731" spans="32:32">
      <c r="AF7731" s="18"/>
    </row>
    <row r="7732" spans="32:32">
      <c r="AF7732" s="18"/>
    </row>
    <row r="7733" spans="32:32">
      <c r="AF7733" s="18"/>
    </row>
    <row r="7747" spans="32:32">
      <c r="AF7747" s="18"/>
    </row>
    <row r="7748" spans="32:32">
      <c r="AF7748" s="18"/>
    </row>
    <row r="7749" spans="32:32">
      <c r="AF7749" s="18"/>
    </row>
    <row r="7750" spans="32:32">
      <c r="AF7750" s="18"/>
    </row>
    <row r="7751" spans="32:32">
      <c r="AF7751" s="18"/>
    </row>
    <row r="7752" spans="32:32">
      <c r="AF7752" s="18"/>
    </row>
    <row r="7753" spans="32:32">
      <c r="AF7753" s="18"/>
    </row>
    <row r="7754" spans="32:32">
      <c r="AF7754" s="18"/>
    </row>
    <row r="7769" spans="32:32">
      <c r="AF7769" s="18"/>
    </row>
    <row r="7770" spans="32:32">
      <c r="AF7770" s="18"/>
    </row>
    <row r="7771" spans="32:32">
      <c r="AF7771" s="18"/>
    </row>
    <row r="7772" spans="32:32">
      <c r="AF7772" s="18"/>
    </row>
    <row r="7773" spans="32:32">
      <c r="AF7773" s="18"/>
    </row>
    <row r="7774" spans="32:32">
      <c r="AF7774" s="18"/>
    </row>
    <row r="7775" spans="32:32">
      <c r="AF7775" s="18"/>
    </row>
    <row r="7776" spans="32:32">
      <c r="AF7776" s="18"/>
    </row>
    <row r="7777" spans="32:32">
      <c r="AF7777" s="18"/>
    </row>
    <row r="7789" spans="32:32">
      <c r="AF7789" s="18"/>
    </row>
    <row r="7790" spans="32:32">
      <c r="AF7790" s="18"/>
    </row>
    <row r="7791" spans="32:32">
      <c r="AF7791" s="18"/>
    </row>
    <row r="7792" spans="32:32">
      <c r="AF7792" s="18"/>
    </row>
    <row r="7793" spans="32:32">
      <c r="AF7793" s="18"/>
    </row>
    <row r="7794" spans="32:32">
      <c r="AF7794" s="18"/>
    </row>
    <row r="7795" spans="32:32">
      <c r="AF7795" s="18"/>
    </row>
    <row r="7796" spans="32:32">
      <c r="AF7796" s="18"/>
    </row>
    <row r="7797" spans="32:32">
      <c r="AF7797" s="18"/>
    </row>
    <row r="7811" spans="32:32">
      <c r="AF7811" s="18"/>
    </row>
    <row r="7812" spans="32:32">
      <c r="AF7812" s="18"/>
    </row>
    <row r="7813" spans="32:32">
      <c r="AF7813" s="18"/>
    </row>
    <row r="7814" spans="32:32">
      <c r="AF7814" s="18"/>
    </row>
    <row r="7815" spans="32:32">
      <c r="AF7815" s="18"/>
    </row>
    <row r="7816" spans="32:32">
      <c r="AF7816" s="18"/>
    </row>
    <row r="7817" spans="32:32">
      <c r="AF7817" s="18"/>
    </row>
    <row r="7830" spans="32:32">
      <c r="AF7830" s="18"/>
    </row>
    <row r="7831" spans="32:32">
      <c r="AF7831" s="18"/>
    </row>
    <row r="7832" spans="32:32">
      <c r="AF7832" s="18"/>
    </row>
    <row r="7833" spans="32:32">
      <c r="AF7833" s="18"/>
    </row>
    <row r="7834" spans="32:32">
      <c r="AF7834" s="18"/>
    </row>
    <row r="7835" spans="32:32">
      <c r="AF7835" s="18"/>
    </row>
    <row r="7836" spans="32:32">
      <c r="AF7836" s="18"/>
    </row>
    <row r="7837" spans="32:32">
      <c r="AF7837" s="18"/>
    </row>
    <row r="7838" spans="32:32">
      <c r="AF7838" s="18"/>
    </row>
    <row r="7839" spans="32:32">
      <c r="AF7839" s="18"/>
    </row>
    <row r="7849" spans="32:32">
      <c r="AF7849" s="18"/>
    </row>
    <row r="7850" spans="32:32">
      <c r="AF7850" s="18"/>
    </row>
    <row r="7851" spans="32:32">
      <c r="AF7851" s="18"/>
    </row>
    <row r="7852" spans="32:32">
      <c r="AF7852" s="18"/>
    </row>
    <row r="7853" spans="32:32">
      <c r="AF7853" s="18"/>
    </row>
    <row r="7854" spans="32:32">
      <c r="AF7854" s="18"/>
    </row>
    <row r="7855" spans="32:32">
      <c r="AF7855" s="18"/>
    </row>
    <row r="7856" spans="32:32">
      <c r="AF7856" s="18"/>
    </row>
    <row r="7857" spans="32:32">
      <c r="AF7857" s="18"/>
    </row>
    <row r="7858" spans="32:32">
      <c r="AF7858" s="18"/>
    </row>
    <row r="7872" spans="32:32">
      <c r="AF7872" s="18"/>
    </row>
    <row r="7873" spans="32:32">
      <c r="AF7873" s="18"/>
    </row>
    <row r="7874" spans="32:32">
      <c r="AF7874" s="18"/>
    </row>
    <row r="7875" spans="32:32">
      <c r="AF7875" s="18"/>
    </row>
    <row r="7876" spans="32:32">
      <c r="AF7876" s="18"/>
    </row>
    <row r="7877" spans="32:32">
      <c r="AF7877" s="18"/>
    </row>
    <row r="7878" spans="32:32">
      <c r="AF7878" s="18"/>
    </row>
    <row r="7893" spans="32:32">
      <c r="AF7893" s="18"/>
    </row>
    <row r="7894" spans="32:32">
      <c r="AF7894" s="18"/>
    </row>
    <row r="7895" spans="32:32">
      <c r="AF7895" s="18"/>
    </row>
    <row r="7896" spans="32:32">
      <c r="AF7896" s="18"/>
    </row>
    <row r="7897" spans="32:32">
      <c r="AF7897" s="18"/>
    </row>
    <row r="7898" spans="32:32">
      <c r="AF7898" s="18"/>
    </row>
    <row r="7899" spans="32:32">
      <c r="AF7899" s="18"/>
    </row>
    <row r="7900" spans="32:32">
      <c r="AF7900" s="18"/>
    </row>
    <row r="7913" spans="32:32">
      <c r="AF7913" s="18"/>
    </row>
    <row r="7914" spans="32:32">
      <c r="AF7914" s="18"/>
    </row>
    <row r="7915" spans="32:32">
      <c r="AF7915" s="18"/>
    </row>
    <row r="7916" spans="32:32">
      <c r="AF7916" s="18"/>
    </row>
    <row r="7917" spans="32:32">
      <c r="AF7917" s="18"/>
    </row>
    <row r="7918" spans="32:32">
      <c r="AF7918" s="18"/>
    </row>
    <row r="7919" spans="32:32">
      <c r="AF7919" s="18"/>
    </row>
    <row r="7920" spans="32:32">
      <c r="AF7920" s="18"/>
    </row>
    <row r="7921" spans="32:32">
      <c r="AF7921" s="18"/>
    </row>
    <row r="7935" spans="32:32">
      <c r="AF7935" s="18"/>
    </row>
    <row r="7936" spans="32:32">
      <c r="AF7936" s="18"/>
    </row>
    <row r="7937" spans="32:32">
      <c r="AF7937" s="18"/>
    </row>
    <row r="7938" spans="32:32">
      <c r="AF7938" s="18"/>
    </row>
    <row r="7939" spans="32:32">
      <c r="AF7939" s="18"/>
    </row>
    <row r="7940" spans="32:32">
      <c r="AF7940" s="18"/>
    </row>
    <row r="7941" spans="32:32">
      <c r="AF7941" s="18"/>
    </row>
    <row r="7956" spans="32:32">
      <c r="AF7956" s="18"/>
    </row>
    <row r="7957" spans="32:32">
      <c r="AF7957" s="18"/>
    </row>
    <row r="7958" spans="32:32">
      <c r="AF7958" s="18"/>
    </row>
    <row r="7959" spans="32:32">
      <c r="AF7959" s="18"/>
    </row>
    <row r="7960" spans="32:32">
      <c r="AF7960" s="18"/>
    </row>
    <row r="7961" spans="32:32">
      <c r="AF7961" s="18"/>
    </row>
    <row r="7962" spans="32:32">
      <c r="AF7962" s="18"/>
    </row>
    <row r="7963" spans="32:32">
      <c r="AF7963" s="18"/>
    </row>
    <row r="7964" spans="32:32">
      <c r="AF7964" s="18"/>
    </row>
    <row r="7978" spans="32:32">
      <c r="AF7978" s="18"/>
    </row>
    <row r="7979" spans="32:32">
      <c r="AF7979" s="18"/>
    </row>
    <row r="7980" spans="32:32">
      <c r="AF7980" s="18"/>
    </row>
    <row r="7981" spans="32:32">
      <c r="AF7981" s="18"/>
    </row>
    <row r="7982" spans="32:32">
      <c r="AF7982" s="18"/>
    </row>
    <row r="7983" spans="32:32">
      <c r="AF7983" s="18"/>
    </row>
    <row r="7984" spans="32:32">
      <c r="AF7984" s="18"/>
    </row>
    <row r="7999" spans="32:32">
      <c r="AF7999" s="18"/>
    </row>
    <row r="8000" spans="32:32">
      <c r="AF8000" s="18"/>
    </row>
    <row r="8001" spans="32:32">
      <c r="AF8001" s="18"/>
    </row>
    <row r="8002" spans="32:32">
      <c r="AF8002" s="18"/>
    </row>
    <row r="8003" spans="32:32">
      <c r="AF8003" s="18"/>
    </row>
    <row r="8004" spans="32:32">
      <c r="AF8004" s="18"/>
    </row>
    <row r="8005" spans="32:32">
      <c r="AF8005" s="18"/>
    </row>
    <row r="8006" spans="32:32">
      <c r="AF8006" s="18"/>
    </row>
    <row r="8020" spans="32:32">
      <c r="AF8020" s="18"/>
    </row>
    <row r="8021" spans="32:32">
      <c r="AF8021" s="18"/>
    </row>
    <row r="8022" spans="32:32">
      <c r="AF8022" s="18"/>
    </row>
    <row r="8023" spans="32:32">
      <c r="AF8023" s="18"/>
    </row>
    <row r="8024" spans="32:32">
      <c r="AF8024" s="18"/>
    </row>
    <row r="8025" spans="32:32">
      <c r="AF8025" s="18"/>
    </row>
    <row r="8026" spans="32:32">
      <c r="AF8026" s="18"/>
    </row>
    <row r="8027" spans="32:32">
      <c r="AF8027" s="18"/>
    </row>
    <row r="8028" spans="32:32">
      <c r="AF8028" s="18"/>
    </row>
    <row r="8029" spans="32:32">
      <c r="AF8029" s="18"/>
    </row>
    <row r="8041" spans="32:32">
      <c r="AF8041" s="18"/>
    </row>
    <row r="8042" spans="32:32">
      <c r="AF8042" s="18"/>
    </row>
    <row r="8043" spans="32:32">
      <c r="AF8043" s="18"/>
    </row>
    <row r="8044" spans="32:32">
      <c r="AF8044" s="18"/>
    </row>
    <row r="8045" spans="32:32">
      <c r="AF8045" s="18"/>
    </row>
    <row r="8046" spans="32:32">
      <c r="AF8046" s="18"/>
    </row>
    <row r="8047" spans="32:32">
      <c r="AF8047" s="18"/>
    </row>
    <row r="8048" spans="32:32">
      <c r="AF8048" s="18"/>
    </row>
    <row r="8063" spans="32:32">
      <c r="AF8063" s="18"/>
    </row>
    <row r="8064" spans="32:32">
      <c r="AF8064" s="18"/>
    </row>
    <row r="8065" spans="32:32">
      <c r="AF8065" s="18"/>
    </row>
    <row r="8066" spans="32:32">
      <c r="AF8066" s="18"/>
    </row>
    <row r="8067" spans="32:32">
      <c r="AF8067" s="18"/>
    </row>
    <row r="8068" spans="32:32">
      <c r="AF8068" s="18"/>
    </row>
    <row r="8069" spans="32:32">
      <c r="AF8069" s="18"/>
    </row>
    <row r="8070" spans="32:32">
      <c r="AF8070" s="18"/>
    </row>
    <row r="8083" spans="32:32">
      <c r="AF8083" s="18"/>
    </row>
    <row r="8084" spans="32:32">
      <c r="AF8084" s="18"/>
    </row>
    <row r="8085" spans="32:32">
      <c r="AF8085" s="18"/>
    </row>
    <row r="8086" spans="32:32">
      <c r="AF8086" s="18"/>
    </row>
    <row r="8087" spans="32:32">
      <c r="AF8087" s="18"/>
    </row>
    <row r="8088" spans="32:32">
      <c r="AF8088" s="18"/>
    </row>
    <row r="8089" spans="32:32">
      <c r="AF8089" s="18"/>
    </row>
    <row r="8090" spans="32:32">
      <c r="AF8090" s="18"/>
    </row>
    <row r="8091" spans="32:32">
      <c r="AF8091" s="18"/>
    </row>
    <row r="8102" spans="32:32">
      <c r="AF8102" s="18"/>
    </row>
    <row r="8103" spans="32:32">
      <c r="AF8103" s="18"/>
    </row>
    <row r="8104" spans="32:32">
      <c r="AF8104" s="18"/>
    </row>
    <row r="8105" spans="32:32">
      <c r="AF8105" s="18"/>
    </row>
    <row r="8106" spans="32:32">
      <c r="AF8106" s="18"/>
    </row>
    <row r="8107" spans="32:32">
      <c r="AF8107" s="18"/>
    </row>
    <row r="8108" spans="32:32">
      <c r="AF8108" s="18"/>
    </row>
    <row r="8109" spans="32:32">
      <c r="AF8109" s="18"/>
    </row>
    <row r="8110" spans="32:32">
      <c r="AF8110" s="18"/>
    </row>
    <row r="8125" spans="32:32">
      <c r="AF8125" s="18"/>
    </row>
    <row r="8126" spans="32:32">
      <c r="AF8126" s="18"/>
    </row>
    <row r="8127" spans="32:32">
      <c r="AF8127" s="18"/>
    </row>
    <row r="8128" spans="32:32">
      <c r="AF8128" s="18"/>
    </row>
    <row r="8129" spans="32:32">
      <c r="AF8129" s="18"/>
    </row>
    <row r="8130" spans="32:32">
      <c r="AF8130" s="18"/>
    </row>
    <row r="8131" spans="32:32">
      <c r="AF8131" s="18"/>
    </row>
    <row r="8132" spans="32:32">
      <c r="AF8132" s="18"/>
    </row>
    <row r="8145" spans="32:32">
      <c r="AF8145" s="18"/>
    </row>
    <row r="8146" spans="32:32">
      <c r="AF8146" s="18"/>
    </row>
    <row r="8147" spans="32:32">
      <c r="AF8147" s="18"/>
    </row>
    <row r="8148" spans="32:32">
      <c r="AF8148" s="18"/>
    </row>
    <row r="8149" spans="32:32">
      <c r="AF8149" s="18"/>
    </row>
    <row r="8150" spans="32:32">
      <c r="AF8150" s="18"/>
    </row>
    <row r="8151" spans="32:32">
      <c r="AF8151" s="18"/>
    </row>
    <row r="8152" spans="32:32">
      <c r="AF8152" s="18"/>
    </row>
    <row r="8153" spans="32:32">
      <c r="AF8153" s="18"/>
    </row>
    <row r="8167" spans="32:32">
      <c r="AF8167" s="18"/>
    </row>
    <row r="8168" spans="32:32">
      <c r="AF8168" s="18"/>
    </row>
    <row r="8169" spans="32:32">
      <c r="AF8169" s="18"/>
    </row>
    <row r="8170" spans="32:32">
      <c r="AF8170" s="18"/>
    </row>
    <row r="8171" spans="32:32">
      <c r="AF8171" s="18"/>
    </row>
    <row r="8172" spans="32:32">
      <c r="AF8172" s="18"/>
    </row>
    <row r="8173" spans="32:32">
      <c r="AF8173" s="18"/>
    </row>
    <row r="8174" spans="32:32">
      <c r="AF8174" s="18"/>
    </row>
    <row r="8189" spans="32:32">
      <c r="AF8189" s="18"/>
    </row>
    <row r="8190" spans="32:32">
      <c r="AF8190" s="18"/>
    </row>
    <row r="8191" spans="32:32">
      <c r="AF8191" s="18"/>
    </row>
    <row r="8192" spans="32:32">
      <c r="AF8192" s="18"/>
    </row>
    <row r="8193" spans="32:32">
      <c r="AF8193" s="18"/>
    </row>
    <row r="8194" spans="32:32">
      <c r="AF8194" s="18"/>
    </row>
    <row r="8195" spans="32:32">
      <c r="AF8195" s="18"/>
    </row>
    <row r="8196" spans="32:32">
      <c r="AF8196" s="18"/>
    </row>
    <row r="8210" spans="32:32">
      <c r="AF8210" s="18"/>
    </row>
    <row r="8211" spans="32:32">
      <c r="AF8211" s="18"/>
    </row>
    <row r="8212" spans="32:32">
      <c r="AF8212" s="18"/>
    </row>
    <row r="8213" spans="32:32">
      <c r="AF8213" s="18"/>
    </row>
    <row r="8214" spans="32:32">
      <c r="AF8214" s="18"/>
    </row>
    <row r="8215" spans="32:32">
      <c r="AF8215" s="18"/>
    </row>
    <row r="8216" spans="32:32">
      <c r="AF8216" s="18"/>
    </row>
    <row r="8217" spans="32:32">
      <c r="AF8217" s="18"/>
    </row>
    <row r="8218" spans="32:32">
      <c r="AF8218" s="18"/>
    </row>
    <row r="8219" spans="32:32">
      <c r="AF8219" s="18"/>
    </row>
    <row r="8233" spans="32:32">
      <c r="AF8233" s="18"/>
    </row>
    <row r="8234" spans="32:32">
      <c r="AF8234" s="18"/>
    </row>
    <row r="8235" spans="32:32">
      <c r="AF8235" s="18"/>
    </row>
    <row r="8236" spans="32:32">
      <c r="AF8236" s="18"/>
    </row>
    <row r="8237" spans="32:32">
      <c r="AF8237" s="18"/>
    </row>
    <row r="8238" spans="32:32">
      <c r="AF8238" s="18"/>
    </row>
    <row r="8239" spans="32:32">
      <c r="AF8239" s="18"/>
    </row>
    <row r="8240" spans="32:32">
      <c r="AF8240" s="18"/>
    </row>
    <row r="8255" spans="32:32">
      <c r="AF8255" s="18"/>
    </row>
    <row r="8256" spans="32:32">
      <c r="AF8256" s="18"/>
    </row>
    <row r="8257" spans="32:32">
      <c r="AF8257" s="18"/>
    </row>
    <row r="8258" spans="32:32">
      <c r="AF8258" s="18"/>
    </row>
    <row r="8259" spans="32:32">
      <c r="AF8259" s="18"/>
    </row>
    <row r="8260" spans="32:32">
      <c r="AF8260" s="18"/>
    </row>
    <row r="8261" spans="32:32">
      <c r="AF8261" s="18"/>
    </row>
    <row r="8262" spans="32:32">
      <c r="AF8262" s="18"/>
    </row>
    <row r="8276" spans="32:32">
      <c r="AF8276" s="18"/>
    </row>
    <row r="8277" spans="32:32">
      <c r="AF8277" s="18"/>
    </row>
    <row r="8278" spans="32:32">
      <c r="AF8278" s="18"/>
    </row>
    <row r="8279" spans="32:32">
      <c r="AF8279" s="18"/>
    </row>
    <row r="8280" spans="32:32">
      <c r="AF8280" s="18"/>
    </row>
    <row r="8281" spans="32:32">
      <c r="AF8281" s="18"/>
    </row>
    <row r="8282" spans="32:32">
      <c r="AF8282" s="18"/>
    </row>
    <row r="8283" spans="32:32">
      <c r="AF8283" s="18"/>
    </row>
    <row r="8284" spans="32:32">
      <c r="AF8284" s="18"/>
    </row>
    <row r="8298" spans="32:32">
      <c r="AF8298" s="18"/>
    </row>
    <row r="8299" spans="32:32">
      <c r="AF8299" s="18"/>
    </row>
    <row r="8300" spans="32:32">
      <c r="AF8300" s="18"/>
    </row>
    <row r="8301" spans="32:32">
      <c r="AF8301" s="18"/>
    </row>
    <row r="8302" spans="32:32">
      <c r="AF8302" s="18"/>
    </row>
    <row r="8303" spans="32:32">
      <c r="AF8303" s="18"/>
    </row>
    <row r="8304" spans="32:32">
      <c r="AF8304" s="18"/>
    </row>
    <row r="8305" spans="32:32">
      <c r="AF8305" s="18"/>
    </row>
    <row r="8319" spans="32:32">
      <c r="AF8319" s="18"/>
    </row>
    <row r="8320" spans="32:32">
      <c r="AF8320" s="18"/>
    </row>
    <row r="8321" spans="32:32">
      <c r="AF8321" s="18"/>
    </row>
    <row r="8322" spans="32:32">
      <c r="AF8322" s="18"/>
    </row>
    <row r="8323" spans="32:32">
      <c r="AF8323" s="18"/>
    </row>
    <row r="8324" spans="32:32">
      <c r="AF8324" s="18"/>
    </row>
    <row r="8325" spans="32:32">
      <c r="AF8325" s="18"/>
    </row>
    <row r="8326" spans="32:32">
      <c r="AF8326" s="18"/>
    </row>
    <row r="8340" spans="32:32">
      <c r="AF8340" s="18"/>
    </row>
    <row r="8341" spans="32:32">
      <c r="AF8341" s="18"/>
    </row>
    <row r="8342" spans="32:32">
      <c r="AF8342" s="18"/>
    </row>
    <row r="8343" spans="32:32">
      <c r="AF8343" s="18"/>
    </row>
    <row r="8344" spans="32:32">
      <c r="AF8344" s="18"/>
    </row>
    <row r="8345" spans="32:32">
      <c r="AF8345" s="18"/>
    </row>
    <row r="8346" spans="32:32">
      <c r="AF8346" s="18"/>
    </row>
    <row r="8347" spans="32:32">
      <c r="AF8347" s="18"/>
    </row>
    <row r="8360" spans="32:32">
      <c r="AF8360" s="18"/>
    </row>
    <row r="8361" spans="32:32">
      <c r="AF8361" s="18"/>
    </row>
    <row r="8362" spans="32:32">
      <c r="AF8362" s="18"/>
    </row>
    <row r="8363" spans="32:32">
      <c r="AF8363" s="18"/>
    </row>
    <row r="8364" spans="32:32">
      <c r="AF8364" s="18"/>
    </row>
    <row r="8365" spans="32:32">
      <c r="AF8365" s="18"/>
    </row>
    <row r="8366" spans="32:32">
      <c r="AF8366" s="18"/>
    </row>
    <row r="8367" spans="32:32">
      <c r="AF8367" s="18"/>
    </row>
    <row r="8383" spans="32:32">
      <c r="AF8383" s="18"/>
    </row>
    <row r="8384" spans="32:32">
      <c r="AF8384" s="18"/>
    </row>
    <row r="8385" spans="32:32">
      <c r="AF8385" s="18"/>
    </row>
    <row r="8386" spans="32:32">
      <c r="AF8386" s="18"/>
    </row>
    <row r="8387" spans="32:32">
      <c r="AF8387" s="18"/>
    </row>
    <row r="8388" spans="32:32">
      <c r="AF8388" s="18"/>
    </row>
    <row r="8389" spans="32:32">
      <c r="AF8389" s="18"/>
    </row>
    <row r="8402" spans="32:32">
      <c r="AF8402" s="18"/>
    </row>
    <row r="8403" spans="32:32">
      <c r="AF8403" s="18"/>
    </row>
    <row r="8404" spans="32:32">
      <c r="AF8404" s="18"/>
    </row>
    <row r="8405" spans="32:32">
      <c r="AF8405" s="18"/>
    </row>
    <row r="8406" spans="32:32">
      <c r="AF8406" s="18"/>
    </row>
    <row r="8407" spans="32:32">
      <c r="AF8407" s="18"/>
    </row>
    <row r="8408" spans="32:32">
      <c r="AF8408" s="18"/>
    </row>
    <row r="8409" spans="32:32">
      <c r="AF8409" s="18"/>
    </row>
    <row r="8410" spans="32:32">
      <c r="AF8410" s="18"/>
    </row>
    <row r="8411" spans="32:32">
      <c r="AF8411" s="18"/>
    </row>
    <row r="8425" spans="32:32">
      <c r="AF8425" s="18"/>
    </row>
    <row r="8426" spans="32:32">
      <c r="AF8426" s="18"/>
    </row>
    <row r="8427" spans="32:32">
      <c r="AF8427" s="18"/>
    </row>
    <row r="8428" spans="32:32">
      <c r="AF8428" s="18"/>
    </row>
    <row r="8429" spans="32:32">
      <c r="AF8429" s="18"/>
    </row>
    <row r="8430" spans="32:32">
      <c r="AF8430" s="18"/>
    </row>
    <row r="8431" spans="32:32">
      <c r="AF8431" s="18"/>
    </row>
    <row r="8432" spans="32:32">
      <c r="AF8432" s="18"/>
    </row>
    <row r="8447" spans="32:32">
      <c r="AF8447" s="18"/>
    </row>
    <row r="8448" spans="32:32">
      <c r="AF8448" s="18"/>
    </row>
    <row r="8449" spans="32:32">
      <c r="AF8449" s="18"/>
    </row>
    <row r="8450" spans="32:32">
      <c r="AF8450" s="18"/>
    </row>
    <row r="8451" spans="32:32">
      <c r="AF8451" s="18"/>
    </row>
    <row r="8452" spans="32:32">
      <c r="AF8452" s="18"/>
    </row>
    <row r="8453" spans="32:32">
      <c r="AF8453" s="18"/>
    </row>
    <row r="8454" spans="32:32">
      <c r="AF8454" s="18"/>
    </row>
    <row r="8468" spans="32:32">
      <c r="AF8468" s="18"/>
    </row>
    <row r="8469" spans="32:32">
      <c r="AF8469" s="18"/>
    </row>
    <row r="8470" spans="32:32">
      <c r="AF8470" s="18"/>
    </row>
    <row r="8471" spans="32:32">
      <c r="AF8471" s="18"/>
    </row>
    <row r="8472" spans="32:32">
      <c r="AF8472" s="18"/>
    </row>
    <row r="8473" spans="32:32">
      <c r="AF8473" s="18"/>
    </row>
    <row r="8474" spans="32:32">
      <c r="AF8474" s="18"/>
    </row>
    <row r="8475" spans="32:32">
      <c r="AF8475" s="18"/>
    </row>
    <row r="8476" spans="32:32">
      <c r="AF8476" s="18"/>
    </row>
    <row r="8491" spans="32:32">
      <c r="AF8491" s="18"/>
    </row>
    <row r="8492" spans="32:32">
      <c r="AF8492" s="18"/>
    </row>
    <row r="8493" spans="32:32">
      <c r="AF8493" s="18"/>
    </row>
    <row r="8494" spans="32:32">
      <c r="AF8494" s="18"/>
    </row>
    <row r="8495" spans="32:32">
      <c r="AF8495" s="18"/>
    </row>
    <row r="8496" spans="32:32">
      <c r="AF8496" s="18"/>
    </row>
    <row r="8497" spans="32:32">
      <c r="AF8497" s="18"/>
    </row>
    <row r="8498" spans="32:32">
      <c r="AF8498" s="18"/>
    </row>
    <row r="8512" spans="32:32">
      <c r="AF8512" s="18"/>
    </row>
    <row r="8513" spans="32:32">
      <c r="AF8513" s="18"/>
    </row>
    <row r="8514" spans="32:32">
      <c r="AF8514" s="18"/>
    </row>
    <row r="8515" spans="32:32">
      <c r="AF8515" s="18"/>
    </row>
    <row r="8516" spans="32:32">
      <c r="AF8516" s="18"/>
    </row>
    <row r="8517" spans="32:32">
      <c r="AF8517" s="18"/>
    </row>
    <row r="8518" spans="32:32">
      <c r="AF8518" s="18"/>
    </row>
    <row r="8519" spans="32:32">
      <c r="AF8519" s="18"/>
    </row>
    <row r="8520" spans="32:32">
      <c r="AF8520" s="18"/>
    </row>
    <row r="8534" spans="32:32">
      <c r="AF8534" s="18"/>
    </row>
    <row r="8535" spans="32:32">
      <c r="AF8535" s="18"/>
    </row>
    <row r="8536" spans="32:32">
      <c r="AF8536" s="18"/>
    </row>
    <row r="8537" spans="32:32">
      <c r="AF8537" s="18"/>
    </row>
    <row r="8538" spans="32:32">
      <c r="AF8538" s="18"/>
    </row>
    <row r="8539" spans="32:32">
      <c r="AF8539" s="18"/>
    </row>
    <row r="8540" spans="32:32">
      <c r="AF8540" s="18"/>
    </row>
    <row r="8541" spans="32:32">
      <c r="AF8541" s="18"/>
    </row>
    <row r="8556" spans="32:32">
      <c r="AF8556" s="18"/>
    </row>
    <row r="8557" spans="32:32">
      <c r="AF8557" s="18"/>
    </row>
    <row r="8558" spans="32:32">
      <c r="AF8558" s="18"/>
    </row>
    <row r="8559" spans="32:32">
      <c r="AF8559" s="18"/>
    </row>
    <row r="8560" spans="32:32">
      <c r="AF8560" s="18"/>
    </row>
    <row r="8561" spans="32:32">
      <c r="AF8561" s="18"/>
    </row>
    <row r="8562" spans="32:32">
      <c r="AF8562" s="18"/>
    </row>
    <row r="8563" spans="32:32">
      <c r="AF8563" s="18"/>
    </row>
    <row r="8576" spans="32:32">
      <c r="AF8576" s="18"/>
    </row>
    <row r="8577" spans="32:32">
      <c r="AF8577" s="18"/>
    </row>
    <row r="8578" spans="32:32">
      <c r="AF8578" s="18"/>
    </row>
    <row r="8579" spans="32:32">
      <c r="AF8579" s="18"/>
    </row>
    <row r="8580" spans="32:32">
      <c r="AF8580" s="18"/>
    </row>
    <row r="8581" spans="32:32">
      <c r="AF8581" s="18"/>
    </row>
    <row r="8582" spans="32:32">
      <c r="AF8582" s="18"/>
    </row>
    <row r="8583" spans="32:32">
      <c r="AF8583" s="18"/>
    </row>
    <row r="8584" spans="32:32">
      <c r="AF8584" s="18"/>
    </row>
    <row r="8598" spans="32:32">
      <c r="AF8598" s="18"/>
    </row>
    <row r="8599" spans="32:32">
      <c r="AF8599" s="18"/>
    </row>
    <row r="8600" spans="32:32">
      <c r="AF8600" s="18"/>
    </row>
    <row r="8601" spans="32:32">
      <c r="AF8601" s="18"/>
    </row>
    <row r="8602" spans="32:32">
      <c r="AF8602" s="18"/>
    </row>
    <row r="8603" spans="32:32">
      <c r="AF8603" s="18"/>
    </row>
    <row r="8604" spans="32:32">
      <c r="AF8604" s="18"/>
    </row>
    <row r="8605" spans="32:32">
      <c r="AF8605" s="18"/>
    </row>
    <row r="8619" spans="32:32">
      <c r="AF8619" s="18"/>
    </row>
    <row r="8620" spans="32:32">
      <c r="AF8620" s="18"/>
    </row>
    <row r="8621" spans="32:32">
      <c r="AF8621" s="18"/>
    </row>
    <row r="8622" spans="32:32">
      <c r="AF8622" s="18"/>
    </row>
    <row r="8623" spans="32:32">
      <c r="AF8623" s="18"/>
    </row>
    <row r="8624" spans="32:32">
      <c r="AF8624" s="18"/>
    </row>
    <row r="8625" spans="32:32">
      <c r="AF8625" s="18"/>
    </row>
    <row r="8626" spans="32:32">
      <c r="AF8626" s="18"/>
    </row>
    <row r="8639" spans="32:32">
      <c r="AF8639" s="18"/>
    </row>
    <row r="8640" spans="32:32">
      <c r="AF8640" s="18"/>
    </row>
    <row r="8641" spans="32:32">
      <c r="AF8641" s="18"/>
    </row>
    <row r="8642" spans="32:32">
      <c r="AF8642" s="18"/>
    </row>
    <row r="8643" spans="32:32">
      <c r="AF8643" s="18"/>
    </row>
    <row r="8644" spans="32:32">
      <c r="AF8644" s="18"/>
    </row>
    <row r="8645" spans="32:32">
      <c r="AF8645" s="18"/>
    </row>
    <row r="8646" spans="32:32">
      <c r="AF8646" s="18"/>
    </row>
    <row r="8647" spans="32:32">
      <c r="AF8647" s="18"/>
    </row>
    <row r="8648" spans="32:32">
      <c r="AF8648" s="18"/>
    </row>
    <row r="8661" spans="32:32">
      <c r="AF8661" s="18"/>
    </row>
    <row r="8662" spans="32:32">
      <c r="AF8662" s="18"/>
    </row>
    <row r="8663" spans="32:32">
      <c r="AF8663" s="18"/>
    </row>
    <row r="8664" spans="32:32">
      <c r="AF8664" s="18"/>
    </row>
    <row r="8665" spans="32:32">
      <c r="AF8665" s="18"/>
    </row>
    <row r="8666" spans="32:32">
      <c r="AF8666" s="18"/>
    </row>
    <row r="8667" spans="32:32">
      <c r="AF8667" s="18"/>
    </row>
    <row r="8668" spans="32:32">
      <c r="AF8668" s="18"/>
    </row>
    <row r="8684" spans="32:32">
      <c r="AF8684" s="18"/>
    </row>
    <row r="8685" spans="32:32">
      <c r="AF8685" s="18"/>
    </row>
    <row r="8686" spans="32:32">
      <c r="AF8686" s="18"/>
    </row>
    <row r="8687" spans="32:32">
      <c r="AF8687" s="18"/>
    </row>
    <row r="8688" spans="32:32">
      <c r="AF8688" s="18"/>
    </row>
    <row r="8689" spans="32:32">
      <c r="AF8689" s="18"/>
    </row>
    <row r="8690" spans="32:32">
      <c r="AF8690" s="18"/>
    </row>
    <row r="8691" spans="32:32">
      <c r="AF8691" s="18"/>
    </row>
    <row r="8704" spans="32:32">
      <c r="AF8704" s="18"/>
    </row>
    <row r="8705" spans="32:32">
      <c r="AF8705" s="18"/>
    </row>
    <row r="8706" spans="32:32">
      <c r="AF8706" s="18"/>
    </row>
    <row r="8707" spans="32:32">
      <c r="AF8707" s="18"/>
    </row>
    <row r="8708" spans="32:32">
      <c r="AF8708" s="18"/>
    </row>
    <row r="8709" spans="32:32">
      <c r="AF8709" s="18"/>
    </row>
    <row r="8710" spans="32:32">
      <c r="AF8710" s="18"/>
    </row>
    <row r="8711" spans="32:32">
      <c r="AF8711" s="18"/>
    </row>
    <row r="8712" spans="32:32">
      <c r="AF8712" s="18"/>
    </row>
    <row r="8713" spans="32:32">
      <c r="AF8713" s="18"/>
    </row>
    <row r="8727" spans="32:32">
      <c r="AF8727" s="18"/>
    </row>
    <row r="8728" spans="32:32">
      <c r="AF8728" s="18"/>
    </row>
    <row r="8729" spans="32:32">
      <c r="AF8729" s="18"/>
    </row>
    <row r="8730" spans="32:32">
      <c r="AF8730" s="18"/>
    </row>
    <row r="8731" spans="32:32">
      <c r="AF8731" s="18"/>
    </row>
    <row r="8732" spans="32:32">
      <c r="AF8732" s="18"/>
    </row>
    <row r="8733" spans="32:32">
      <c r="AF8733" s="18"/>
    </row>
    <row r="8734" spans="32:32">
      <c r="AF8734" s="18"/>
    </row>
    <row r="8749" spans="32:32">
      <c r="AF8749" s="18"/>
    </row>
    <row r="8750" spans="32:32">
      <c r="AF8750" s="18"/>
    </row>
    <row r="8751" spans="32:32">
      <c r="AF8751" s="18"/>
    </row>
    <row r="8752" spans="32:32">
      <c r="AF8752" s="18"/>
    </row>
    <row r="8753" spans="32:32">
      <c r="AF8753" s="18"/>
    </row>
    <row r="8754" spans="32:32">
      <c r="AF8754" s="18"/>
    </row>
    <row r="8755" spans="32:32">
      <c r="AF8755" s="18"/>
    </row>
    <row r="8756" spans="32:32">
      <c r="AF8756" s="18"/>
    </row>
    <row r="8757" spans="32:32">
      <c r="AF8757" s="18"/>
    </row>
    <row r="8770" spans="32:32">
      <c r="AF8770" s="18"/>
    </row>
    <row r="8771" spans="32:32">
      <c r="AF8771" s="18"/>
    </row>
    <row r="8772" spans="32:32">
      <c r="AF8772" s="18"/>
    </row>
    <row r="8773" spans="32:32">
      <c r="AF8773" s="18"/>
    </row>
    <row r="8774" spans="32:32">
      <c r="AF8774" s="18"/>
    </row>
    <row r="8775" spans="32:32">
      <c r="AF8775" s="18"/>
    </row>
    <row r="8776" spans="32:32">
      <c r="AF8776" s="18"/>
    </row>
    <row r="8777" spans="32:32">
      <c r="AF8777" s="18"/>
    </row>
    <row r="8778" spans="32:32">
      <c r="AF8778" s="18"/>
    </row>
    <row r="8793" spans="32:32">
      <c r="AF8793" s="18"/>
    </row>
    <row r="8794" spans="32:32">
      <c r="AF8794" s="18"/>
    </row>
    <row r="8795" spans="32:32">
      <c r="AF8795" s="18"/>
    </row>
    <row r="8796" spans="32:32">
      <c r="AF8796" s="18"/>
    </row>
    <row r="8797" spans="32:32">
      <c r="AF8797" s="18"/>
    </row>
    <row r="8798" spans="32:32">
      <c r="AF8798" s="18"/>
    </row>
    <row r="8799" spans="32:32">
      <c r="AF8799" s="18"/>
    </row>
    <row r="8800" spans="32:32">
      <c r="AF8800" s="18"/>
    </row>
    <row r="8814" spans="32:32">
      <c r="AF8814" s="18"/>
    </row>
    <row r="8815" spans="32:32">
      <c r="AF8815" s="18"/>
    </row>
    <row r="8816" spans="32:32">
      <c r="AF8816" s="18"/>
    </row>
    <row r="8817" spans="32:32">
      <c r="AF8817" s="18"/>
    </row>
    <row r="8818" spans="32:32">
      <c r="AF8818" s="18"/>
    </row>
    <row r="8819" spans="32:32">
      <c r="AF8819" s="18"/>
    </row>
    <row r="8820" spans="32:32">
      <c r="AF8820" s="18"/>
    </row>
    <row r="8821" spans="32:32">
      <c r="AF8821" s="18"/>
    </row>
    <row r="8822" spans="32:32">
      <c r="AF8822" s="18"/>
    </row>
    <row r="8835" spans="32:32">
      <c r="AF8835" s="18"/>
    </row>
    <row r="8836" spans="32:32">
      <c r="AF8836" s="18"/>
    </row>
    <row r="8837" spans="32:32">
      <c r="AF8837" s="18"/>
    </row>
    <row r="8838" spans="32:32">
      <c r="AF8838" s="18"/>
    </row>
    <row r="8839" spans="32:32">
      <c r="AF8839" s="18"/>
    </row>
    <row r="8840" spans="32:32">
      <c r="AF8840" s="18"/>
    </row>
    <row r="8841" spans="32:32">
      <c r="AF8841" s="18"/>
    </row>
    <row r="8857" spans="32:32">
      <c r="AF8857" s="18"/>
    </row>
    <row r="8858" spans="32:32">
      <c r="AF8858" s="18"/>
    </row>
    <row r="8859" spans="32:32">
      <c r="AF8859" s="18"/>
    </row>
    <row r="8860" spans="32:32">
      <c r="AF8860" s="18"/>
    </row>
    <row r="8861" spans="32:32">
      <c r="AF8861" s="18"/>
    </row>
    <row r="8862" spans="32:32">
      <c r="AF8862" s="18"/>
    </row>
    <row r="8863" spans="32:32">
      <c r="AF8863" s="18"/>
    </row>
    <row r="8864" spans="32:32">
      <c r="AF8864" s="18"/>
    </row>
    <row r="8877" spans="32:32">
      <c r="AF8877" s="18"/>
    </row>
    <row r="8878" spans="32:32">
      <c r="AF8878" s="18"/>
    </row>
    <row r="8879" spans="32:32">
      <c r="AF8879" s="18"/>
    </row>
    <row r="8880" spans="32:32">
      <c r="AF8880" s="18"/>
    </row>
    <row r="8881" spans="32:32">
      <c r="AF8881" s="18"/>
    </row>
    <row r="8882" spans="32:32">
      <c r="AF8882" s="18"/>
    </row>
    <row r="8883" spans="32:32">
      <c r="AF8883" s="18"/>
    </row>
    <row r="8884" spans="32:32">
      <c r="AF8884" s="18"/>
    </row>
    <row r="8898" spans="32:32">
      <c r="AF8898" s="18"/>
    </row>
    <row r="8899" spans="32:32">
      <c r="AF8899" s="18"/>
    </row>
    <row r="8900" spans="32:32">
      <c r="AF8900" s="18"/>
    </row>
    <row r="8901" spans="32:32">
      <c r="AF8901" s="18"/>
    </row>
    <row r="8902" spans="32:32">
      <c r="AF8902" s="18"/>
    </row>
    <row r="8903" spans="32:32">
      <c r="AF8903" s="18"/>
    </row>
    <row r="8904" spans="32:32">
      <c r="AF8904" s="18"/>
    </row>
    <row r="8905" spans="32:32">
      <c r="AF8905" s="18"/>
    </row>
    <row r="8906" spans="32:32">
      <c r="AF8906" s="18"/>
    </row>
    <row r="8919" spans="32:32">
      <c r="AF8919" s="18"/>
    </row>
    <row r="8920" spans="32:32">
      <c r="AF8920" s="18"/>
    </row>
    <row r="8921" spans="32:32">
      <c r="AF8921" s="18"/>
    </row>
    <row r="8922" spans="32:32">
      <c r="AF8922" s="18"/>
    </row>
    <row r="8923" spans="32:32">
      <c r="AF8923" s="18"/>
    </row>
    <row r="8924" spans="32:32">
      <c r="AF8924" s="18"/>
    </row>
    <row r="8925" spans="32:32">
      <c r="AF8925" s="18"/>
    </row>
    <row r="8926" spans="32:32">
      <c r="AF8926" s="18"/>
    </row>
    <row r="8941" spans="32:32">
      <c r="AF8941" s="18"/>
    </row>
    <row r="8942" spans="32:32">
      <c r="AF8942" s="18"/>
    </row>
    <row r="8943" spans="32:32">
      <c r="AF8943" s="18"/>
    </row>
    <row r="8944" spans="32:32">
      <c r="AF8944" s="18"/>
    </row>
    <row r="8945" spans="32:32">
      <c r="AF8945" s="18"/>
    </row>
    <row r="8946" spans="32:32">
      <c r="AF8946" s="18"/>
    </row>
    <row r="8947" spans="32:32">
      <c r="AF8947" s="18"/>
    </row>
    <row r="8948" spans="32:32">
      <c r="AF8948" s="18"/>
    </row>
    <row r="8949" spans="32:32">
      <c r="AF8949" s="18"/>
    </row>
    <row r="8962" spans="32:32">
      <c r="AF8962" s="18"/>
    </row>
    <row r="8963" spans="32:32">
      <c r="AF8963" s="18"/>
    </row>
    <row r="8964" spans="32:32">
      <c r="AF8964" s="18"/>
    </row>
    <row r="8965" spans="32:32">
      <c r="AF8965" s="18"/>
    </row>
    <row r="8966" spans="32:32">
      <c r="AF8966" s="18"/>
    </row>
    <row r="8967" spans="32:32">
      <c r="AF8967" s="18"/>
    </row>
    <row r="8968" spans="32:32">
      <c r="AF8968" s="18"/>
    </row>
    <row r="8969" spans="32:32">
      <c r="AF8969" s="18"/>
    </row>
    <row r="8970" spans="32:32">
      <c r="AF8970" s="18"/>
    </row>
    <row r="8985" spans="32:32">
      <c r="AF8985" s="18"/>
    </row>
    <row r="8986" spans="32:32">
      <c r="AF8986" s="18"/>
    </row>
    <row r="8987" spans="32:32">
      <c r="AF8987" s="18"/>
    </row>
    <row r="8988" spans="32:32">
      <c r="AF8988" s="18"/>
    </row>
    <row r="8989" spans="32:32">
      <c r="AF8989" s="18"/>
    </row>
    <row r="8990" spans="32:32">
      <c r="AF8990" s="18"/>
    </row>
    <row r="8991" spans="32:32">
      <c r="AF8991" s="18"/>
    </row>
    <row r="8992" spans="32:32">
      <c r="AF8992" s="18"/>
    </row>
    <row r="9006" spans="32:32">
      <c r="AF9006" s="18"/>
    </row>
    <row r="9007" spans="32:32">
      <c r="AF9007" s="18"/>
    </row>
    <row r="9008" spans="32:32">
      <c r="AF9008" s="18"/>
    </row>
    <row r="9009" spans="32:32">
      <c r="AF9009" s="18"/>
    </row>
    <row r="9010" spans="32:32">
      <c r="AF9010" s="18"/>
    </row>
    <row r="9011" spans="32:32">
      <c r="AF9011" s="18"/>
    </row>
    <row r="9012" spans="32:32">
      <c r="AF9012" s="18"/>
    </row>
    <row r="9013" spans="32:32">
      <c r="AF9013" s="18"/>
    </row>
    <row r="9014" spans="32:32">
      <c r="AF9014" s="18"/>
    </row>
    <row r="9015" spans="32:32">
      <c r="AF9015" s="18"/>
    </row>
    <row r="9028" spans="32:32">
      <c r="AF9028" s="18"/>
    </row>
    <row r="9029" spans="32:32">
      <c r="AF9029" s="18"/>
    </row>
    <row r="9030" spans="32:32">
      <c r="AF9030" s="18"/>
    </row>
    <row r="9031" spans="32:32">
      <c r="AF9031" s="18"/>
    </row>
    <row r="9032" spans="32:32">
      <c r="AF9032" s="18"/>
    </row>
    <row r="9033" spans="32:32">
      <c r="AF9033" s="18"/>
    </row>
    <row r="9034" spans="32:32">
      <c r="AF9034" s="18"/>
    </row>
    <row r="9035" spans="32:32">
      <c r="AF9035" s="18"/>
    </row>
    <row r="9051" spans="32:32">
      <c r="AF9051" s="18"/>
    </row>
    <row r="9052" spans="32:32">
      <c r="AF9052" s="18"/>
    </row>
    <row r="9053" spans="32:32">
      <c r="AF9053" s="18"/>
    </row>
    <row r="9054" spans="32:32">
      <c r="AF9054" s="18"/>
    </row>
    <row r="9055" spans="32:32">
      <c r="AF9055" s="18"/>
    </row>
    <row r="9056" spans="32:32">
      <c r="AF9056" s="18"/>
    </row>
    <row r="9057" spans="32:32">
      <c r="AF9057" s="18"/>
    </row>
    <row r="9058" spans="32:32">
      <c r="AF9058" s="18"/>
    </row>
    <row r="9071" spans="32:32">
      <c r="AF9071" s="18"/>
    </row>
    <row r="9072" spans="32:32">
      <c r="AF9072" s="18"/>
    </row>
    <row r="9073" spans="32:32">
      <c r="AF9073" s="18"/>
    </row>
    <row r="9074" spans="32:32">
      <c r="AF9074" s="18"/>
    </row>
    <row r="9075" spans="32:32">
      <c r="AF9075" s="18"/>
    </row>
    <row r="9076" spans="32:32">
      <c r="AF9076" s="18"/>
    </row>
    <row r="9077" spans="32:32">
      <c r="AF9077" s="18"/>
    </row>
    <row r="9078" spans="32:32">
      <c r="AF9078" s="18"/>
    </row>
    <row r="9079" spans="32:32">
      <c r="AF9079" s="18"/>
    </row>
    <row r="9080" spans="32:32">
      <c r="AF9080" s="18"/>
    </row>
    <row r="9093" spans="32:32">
      <c r="AF9093" s="18"/>
    </row>
    <row r="9094" spans="32:32">
      <c r="AF9094" s="18"/>
    </row>
    <row r="9095" spans="32:32">
      <c r="AF9095" s="18"/>
    </row>
    <row r="9096" spans="32:32">
      <c r="AF9096" s="18"/>
    </row>
    <row r="9097" spans="32:32">
      <c r="AF9097" s="18"/>
    </row>
    <row r="9098" spans="32:32">
      <c r="AF9098" s="18"/>
    </row>
    <row r="9099" spans="32:32">
      <c r="AF9099" s="18"/>
    </row>
    <row r="9114" spans="32:32">
      <c r="AF9114" s="18"/>
    </row>
    <row r="9115" spans="32:32">
      <c r="AF9115" s="18"/>
    </row>
    <row r="9116" spans="32:32">
      <c r="AF9116" s="18"/>
    </row>
    <row r="9117" spans="32:32">
      <c r="AF9117" s="18"/>
    </row>
    <row r="9118" spans="32:32">
      <c r="AF9118" s="18"/>
    </row>
    <row r="9119" spans="32:32">
      <c r="AF9119" s="18"/>
    </row>
    <row r="9120" spans="32:32">
      <c r="AF9120" s="18"/>
    </row>
    <row r="9121" spans="32:32">
      <c r="AF9121" s="18"/>
    </row>
    <row r="9122" spans="32:32">
      <c r="AF9122" s="18"/>
    </row>
    <row r="9134" spans="32:32">
      <c r="AF9134" s="18"/>
    </row>
    <row r="9135" spans="32:32">
      <c r="AF9135" s="18"/>
    </row>
    <row r="9136" spans="32:32">
      <c r="AF9136" s="18"/>
    </row>
    <row r="9137" spans="32:32">
      <c r="AF9137" s="18"/>
    </row>
    <row r="9138" spans="32:32">
      <c r="AF9138" s="18"/>
    </row>
    <row r="9139" spans="32:32">
      <c r="AF9139" s="18"/>
    </row>
    <row r="9140" spans="32:32">
      <c r="AF9140" s="18"/>
    </row>
    <row r="9141" spans="32:32">
      <c r="AF9141" s="18"/>
    </row>
    <row r="9142" spans="32:32">
      <c r="AF9142" s="18"/>
    </row>
    <row r="9156" spans="32:32">
      <c r="AF9156" s="18"/>
    </row>
    <row r="9157" spans="32:32">
      <c r="AF9157" s="18"/>
    </row>
    <row r="9158" spans="32:32">
      <c r="AF9158" s="18"/>
    </row>
    <row r="9159" spans="32:32">
      <c r="AF9159" s="18"/>
    </row>
    <row r="9160" spans="32:32">
      <c r="AF9160" s="18"/>
    </row>
    <row r="9161" spans="32:32">
      <c r="AF9161" s="18"/>
    </row>
    <row r="9162" spans="32:32">
      <c r="AF9162" s="18"/>
    </row>
    <row r="9177" spans="32:32">
      <c r="AF9177" s="18"/>
    </row>
    <row r="9178" spans="32:32">
      <c r="AF9178" s="18"/>
    </row>
    <row r="9179" spans="32:32">
      <c r="AF9179" s="18"/>
    </row>
    <row r="9180" spans="32:32">
      <c r="AF9180" s="18"/>
    </row>
    <row r="9181" spans="32:32">
      <c r="AF9181" s="18"/>
    </row>
    <row r="9182" spans="32:32">
      <c r="AF9182" s="18"/>
    </row>
    <row r="9183" spans="32:32">
      <c r="AF9183" s="18"/>
    </row>
    <row r="9184" spans="32:32">
      <c r="AF9184" s="18"/>
    </row>
    <row r="9198" spans="32:32">
      <c r="AF9198" s="18"/>
    </row>
    <row r="9199" spans="32:32">
      <c r="AF9199" s="18"/>
    </row>
    <row r="9200" spans="32:32">
      <c r="AF9200" s="18"/>
    </row>
    <row r="9201" spans="32:32">
      <c r="AF9201" s="18"/>
    </row>
    <row r="9202" spans="32:32">
      <c r="AF9202" s="18"/>
    </row>
    <row r="9203" spans="32:32">
      <c r="AF9203" s="18"/>
    </row>
    <row r="9204" spans="32:32">
      <c r="AF9204" s="18"/>
    </row>
    <row r="9205" spans="32:32">
      <c r="AF9205" s="18"/>
    </row>
    <row r="9206" spans="32:32">
      <c r="AF9206" s="18"/>
    </row>
    <row r="9207" spans="32:32">
      <c r="AF9207" s="18"/>
    </row>
    <row r="9220" spans="32:32">
      <c r="AF9220" s="18"/>
    </row>
    <row r="9221" spans="32:32">
      <c r="AF9221" s="18"/>
    </row>
    <row r="9222" spans="32:32">
      <c r="AF9222" s="18"/>
    </row>
    <row r="9223" spans="32:32">
      <c r="AF9223" s="18"/>
    </row>
    <row r="9224" spans="32:32">
      <c r="AF9224" s="18"/>
    </row>
    <row r="9225" spans="32:32">
      <c r="AF9225" s="18"/>
    </row>
    <row r="9226" spans="32:32">
      <c r="AF9226" s="18"/>
    </row>
    <row r="9227" spans="32:32">
      <c r="AF9227" s="18"/>
    </row>
    <row r="9243" spans="32:32">
      <c r="AF9243" s="18"/>
    </row>
    <row r="9244" spans="32:32">
      <c r="AF9244" s="18"/>
    </row>
    <row r="9245" spans="32:32">
      <c r="AF9245" s="18"/>
    </row>
    <row r="9246" spans="32:32">
      <c r="AF9246" s="18"/>
    </row>
    <row r="9247" spans="32:32">
      <c r="AF9247" s="18"/>
    </row>
    <row r="9248" spans="32:32">
      <c r="AF9248" s="18"/>
    </row>
    <row r="9249" spans="32:32">
      <c r="AF9249" s="18"/>
    </row>
    <row r="9250" spans="32:32">
      <c r="AF925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03"/>
  <sheetViews>
    <sheetView topLeftCell="B1" zoomScale="70" zoomScaleNormal="70" workbookViewId="0">
      <selection activeCell="H43" sqref="H43"/>
    </sheetView>
  </sheetViews>
  <sheetFormatPr defaultColWidth="9.109375" defaultRowHeight="14.4"/>
  <cols>
    <col min="1" max="1" width="16.44140625" style="1" hidden="1" customWidth="1"/>
    <col min="2" max="2" width="19.6640625" style="1" customWidth="1"/>
    <col min="3" max="3" width="18.6640625" style="1" customWidth="1"/>
    <col min="4" max="4" width="11.109375" style="1" customWidth="1"/>
    <col min="5" max="5" width="23.33203125" style="1" customWidth="1"/>
    <col min="6" max="11" width="9.109375" style="1" customWidth="1"/>
    <col min="12" max="13" width="23" style="1" customWidth="1"/>
    <col min="14" max="14" width="23.88671875" style="1" customWidth="1"/>
    <col min="15" max="15" width="23" style="1" customWidth="1"/>
    <col min="16" max="16" width="13" style="1" customWidth="1"/>
    <col min="17" max="17" width="19.5546875" style="1" customWidth="1"/>
    <col min="18" max="18" width="19.88671875" style="1" customWidth="1"/>
    <col min="19" max="19" width="18.6640625" style="1" customWidth="1"/>
    <col min="20" max="20" width="16.6640625" style="1" customWidth="1"/>
    <col min="21" max="27" width="9.109375" style="1" customWidth="1"/>
    <col min="28" max="16384" width="9.109375" style="1"/>
  </cols>
  <sheetData>
    <row r="1" spans="2:20">
      <c r="L1" s="22" t="s">
        <v>218</v>
      </c>
      <c r="M1" s="23" t="s">
        <v>219</v>
      </c>
      <c r="N1" s="23" t="s">
        <v>220</v>
      </c>
      <c r="O1" s="24" t="s">
        <v>221</v>
      </c>
      <c r="Q1" s="3" t="s">
        <v>222</v>
      </c>
      <c r="R1" s="3" t="s">
        <v>223</v>
      </c>
      <c r="S1" s="2" t="s">
        <v>224</v>
      </c>
      <c r="T1" s="3" t="s">
        <v>225</v>
      </c>
    </row>
    <row r="2" spans="2:20">
      <c r="B2" s="34" t="s">
        <v>226</v>
      </c>
      <c r="C2" s="35"/>
      <c r="D2" s="35"/>
      <c r="E2" s="36"/>
      <c r="J2" s="1" t="s">
        <v>227</v>
      </c>
      <c r="L2" s="4" t="str">
        <f>Trades!P2</f>
        <v>signal</v>
      </c>
      <c r="M2" s="5">
        <f>Trades!T2</f>
        <v>138.93</v>
      </c>
      <c r="N2" s="5">
        <f>Trades!U2</f>
        <v>0.32285625941740792</v>
      </c>
      <c r="O2" s="5">
        <f>Trades!W2</f>
        <v>166.40739060887299</v>
      </c>
      <c r="Q2" s="1">
        <v>0</v>
      </c>
      <c r="R2" s="1">
        <v>3</v>
      </c>
      <c r="S2" s="1" t="e">
        <f>AVERAGEIFS(Trades!W:W,Trades!N:N,"&gt;="&amp;Q2,Trades!N:N,"&lt;="&amp;R2)</f>
        <v>#DIV/0!</v>
      </c>
      <c r="T2" s="1">
        <f>COUNTIFS(Trades!N:N,"&gt;="&amp;Q2,Trades!N:N,"&lt;="&amp;R2)</f>
        <v>0</v>
      </c>
    </row>
    <row r="3" spans="2:20">
      <c r="L3" s="4" t="str">
        <f>Trades!P3</f>
        <v>signal</v>
      </c>
      <c r="M3" s="5">
        <f>M2+Trades!T3</f>
        <v>274.64999999999998</v>
      </c>
      <c r="N3" s="5">
        <f>N2+Trades!U3</f>
        <v>0.59790224992176821</v>
      </c>
      <c r="O3" s="5">
        <f>O2+Trades!W3</f>
        <v>984.01730614216319</v>
      </c>
      <c r="Q3" s="1">
        <v>4</v>
      </c>
      <c r="R3" s="1">
        <v>7</v>
      </c>
      <c r="S3" s="1" t="e">
        <f>AVERAGEIFS(Trades!W:W,Trades!N:N,"&gt;="&amp;Q3,Trades!N:N,"&lt;="&amp;R3)</f>
        <v>#DIV/0!</v>
      </c>
      <c r="T3" s="1">
        <f>COUNTIFS(Trades!N:N,"&gt;="&amp;Q3,Trades!N:N,"&lt;="&amp;R3)</f>
        <v>0</v>
      </c>
    </row>
    <row r="4" spans="2:20">
      <c r="B4" s="1" t="s">
        <v>228</v>
      </c>
      <c r="C4" s="1" t="s">
        <v>229</v>
      </c>
      <c r="D4" s="1" t="s">
        <v>230</v>
      </c>
      <c r="E4" s="1" t="s">
        <v>231</v>
      </c>
      <c r="L4" s="4" t="str">
        <f>Trades!P4</f>
        <v>signal</v>
      </c>
      <c r="M4" s="5">
        <f>M3+Trades!T4</f>
        <v>410.03999999999996</v>
      </c>
      <c r="N4" s="5">
        <f>N3+Trades!U4</f>
        <v>0.50394977438569699</v>
      </c>
      <c r="O4" s="5">
        <f>O3+Trades!W4</f>
        <v>1455.8565473547562</v>
      </c>
      <c r="Q4" s="1">
        <v>8</v>
      </c>
      <c r="R4" s="1">
        <v>11</v>
      </c>
      <c r="S4" s="1" t="e">
        <f>AVERAGEIFS(Trades!W:W,Trades!N:N,"&gt;="&amp;Q4,Trades!N:N,"&lt;="&amp;R4)</f>
        <v>#DIV/0!</v>
      </c>
      <c r="T4" s="1">
        <f>COUNTIFS(Trades!N:N,"&gt;="&amp;Q4,Trades!N:N,"&lt;="&amp;R4)</f>
        <v>0</v>
      </c>
    </row>
    <row r="5" spans="2:20">
      <c r="B5" s="1" t="s">
        <v>232</v>
      </c>
      <c r="C5" s="6">
        <f>SUM(Trades!T2:T9652)</f>
        <v>10285.490000000005</v>
      </c>
      <c r="D5" s="6">
        <f>SUM(Trades!U2:U9652)</f>
        <v>1389.7017116056932</v>
      </c>
      <c r="E5" s="6">
        <f>SUM(Trades!W2:W9652)</f>
        <v>13126.940054603632</v>
      </c>
      <c r="L5" s="4" t="str">
        <f>Trades!P5</f>
        <v>signal</v>
      </c>
      <c r="M5" s="5">
        <f>M4+Trades!T5</f>
        <v>546.07999999999993</v>
      </c>
      <c r="N5" s="5">
        <f>N4+Trades!U5</f>
        <v>0.18880803704292698</v>
      </c>
      <c r="O5" s="5">
        <f>O4+Trades!W5</f>
        <v>1554.7247516909786</v>
      </c>
      <c r="Q5" s="1">
        <v>12</v>
      </c>
      <c r="R5" s="1">
        <v>15</v>
      </c>
      <c r="S5" s="1" t="e">
        <f>AVERAGEIFS(Trades!W:W,Trades!N:N,"&gt;="&amp;Q5,Trades!N:N,"&lt;="&amp;R5)</f>
        <v>#DIV/0!</v>
      </c>
      <c r="T5" s="1">
        <f>COUNTIFS(Trades!N:N,"&gt;="&amp;Q5,Trades!N:N,"&lt;="&amp;R5)</f>
        <v>0</v>
      </c>
    </row>
    <row r="6" spans="2:20">
      <c r="B6" s="1" t="s">
        <v>233</v>
      </c>
      <c r="C6" s="6">
        <f>AVERAGE(Trades!T:T)</f>
        <v>118.22402298850581</v>
      </c>
      <c r="D6" s="6">
        <f>AVERAGE(Trades!U:U)</f>
        <v>15.441130128952146</v>
      </c>
      <c r="E6" s="6">
        <f>AVERAGE(Trades!W:W)</f>
        <v>150.88436844371992</v>
      </c>
      <c r="F6" s="7"/>
      <c r="L6" s="4" t="str">
        <f>Trades!P6</f>
        <v>signal</v>
      </c>
      <c r="M6" s="5">
        <f>M5+Trades!T6</f>
        <v>680.53</v>
      </c>
      <c r="N6" s="5">
        <f>N5+Trades!U6</f>
        <v>0.48700867879096477</v>
      </c>
      <c r="O6" s="5">
        <f>O5+Trades!W6</f>
        <v>1876.8777167490261</v>
      </c>
      <c r="Q6" s="1">
        <v>16</v>
      </c>
      <c r="R6" s="1">
        <v>19</v>
      </c>
      <c r="S6" s="1" t="e">
        <f>AVERAGEIFS(Trades!W:W,Trades!N:N,"&gt;="&amp;Q6,Trades!N:N,"&lt;="&amp;R6)</f>
        <v>#DIV/0!</v>
      </c>
      <c r="T6" s="1">
        <f>COUNTIFS(Trades!N:N,"&gt;="&amp;Q6,Trades!N:N,"&lt;="&amp;R6)</f>
        <v>0</v>
      </c>
    </row>
    <row r="7" spans="2:20">
      <c r="B7" s="1" t="s">
        <v>234</v>
      </c>
      <c r="C7" s="6">
        <f>MEDIAN(Trades!T:T)</f>
        <v>139.61000000000001</v>
      </c>
      <c r="D7" s="6">
        <f>MEDIAN(Trades!U:U)</f>
        <v>0.11686958024110741</v>
      </c>
      <c r="E7" s="6">
        <f>MEDIAN(Trades!W:W)</f>
        <v>114.35879310293841</v>
      </c>
      <c r="L7" s="4" t="str">
        <f>Trades!P7</f>
        <v>signal</v>
      </c>
      <c r="M7" s="5">
        <f>M6+Trades!T7</f>
        <v>816.59500000000003</v>
      </c>
      <c r="N7" s="5">
        <f>N6+Trades!U7</f>
        <v>0.49237588534910609</v>
      </c>
      <c r="O7" s="5">
        <f>O6+Trades!W7</f>
        <v>2171.2661393031876</v>
      </c>
      <c r="Q7" s="1">
        <v>20</v>
      </c>
      <c r="R7" s="1">
        <v>23</v>
      </c>
      <c r="S7" s="1" t="e">
        <f>AVERAGEIFS(Trades!W:W,Trades!N:N,"&gt;="&amp;Q7,Trades!N:N,"&lt;="&amp;R7)</f>
        <v>#DIV/0!</v>
      </c>
      <c r="T7" s="1">
        <f>COUNTIFS(Trades!N:N,"&gt;="&amp;Q7,Trades!N:N,"&lt;="&amp;R7)</f>
        <v>0</v>
      </c>
    </row>
    <row r="8" spans="2:20">
      <c r="B8" s="1" t="s">
        <v>235</v>
      </c>
      <c r="C8" s="6">
        <f>MIN(Trades!T:T)</f>
        <v>43.83</v>
      </c>
      <c r="D8" s="6">
        <f>MIN(Trades!U:U)</f>
        <v>-0.49856160850762649</v>
      </c>
      <c r="E8" s="6">
        <f>MIN(Trades!W:W)</f>
        <v>-2017.4321107550891</v>
      </c>
      <c r="L8" s="4" t="str">
        <f>Trades!P8</f>
        <v>signal</v>
      </c>
      <c r="M8" s="5">
        <f>M7+Trades!T8</f>
        <v>956.20500000000004</v>
      </c>
      <c r="N8" s="5">
        <f>N7+Trades!U8</f>
        <v>0.17411608031346698</v>
      </c>
      <c r="O8" s="5">
        <f>O7+Trades!W8</f>
        <v>1963.2325751816686</v>
      </c>
      <c r="Q8" s="1">
        <v>24</v>
      </c>
      <c r="R8" s="1">
        <v>27</v>
      </c>
      <c r="S8" s="1" t="e">
        <f>AVERAGEIFS(Trades!W:W,Trades!N:N,"&gt;="&amp;Q8,Trades!N:N,"&lt;="&amp;R8)</f>
        <v>#DIV/0!</v>
      </c>
      <c r="T8" s="1">
        <f>COUNTIFS(Trades!N:N,"&gt;="&amp;Q8,Trades!N:N,"&lt;="&amp;R8)</f>
        <v>0</v>
      </c>
    </row>
    <row r="9" spans="2:20">
      <c r="B9" s="1" t="s">
        <v>236</v>
      </c>
      <c r="C9" s="6">
        <f>MAX(Trades!T:T)</f>
        <v>187.5</v>
      </c>
      <c r="D9" s="6">
        <f>MAX(Trades!U:U)</f>
        <v>1239.3579159999999</v>
      </c>
      <c r="E9" s="6">
        <f>MAX(Trades!W:W)</f>
        <v>1920.4505186003439</v>
      </c>
      <c r="L9" s="4" t="str">
        <f>Trades!P9</f>
        <v>signal</v>
      </c>
      <c r="M9" s="5">
        <f>M8+Trades!T9</f>
        <v>1093.6500000000001</v>
      </c>
      <c r="N9" s="5">
        <f>N8+Trades!U9</f>
        <v>0.49821397474970819</v>
      </c>
      <c r="O9" s="5">
        <f>O8+Trades!W9</f>
        <v>2145.6452322254568</v>
      </c>
      <c r="Q9" s="1">
        <v>28</v>
      </c>
      <c r="R9" s="1">
        <v>34</v>
      </c>
      <c r="S9" s="1" t="e">
        <f>AVERAGEIFS(Trades!W:W,Trades!N:N,"&gt;="&amp;Q9,Trades!N:N,"&lt;="&amp;R9)</f>
        <v>#DIV/0!</v>
      </c>
      <c r="T9" s="1">
        <f>COUNTIFS(Trades!N:N,"&gt;="&amp;Q9,Trades!N:N,"&lt;="&amp;R9)</f>
        <v>0</v>
      </c>
    </row>
    <row r="10" spans="2:20">
      <c r="B10" s="1" t="s">
        <v>46</v>
      </c>
      <c r="C10" s="8">
        <f>COUNTIF(Trades!T:T,"&gt;0")/(COUNTIF(Trades!T:T,"&gt;0")+COUNTIF(Trades!T:T,"&lt;0"))</f>
        <v>1</v>
      </c>
      <c r="D10" s="8">
        <f>COUNTIF(Trades!U:U,"&gt;0")/(COUNTIF(Trades!U:U,"&gt;0")+COUNTIF(Trades!U:U,"&lt;0"))</f>
        <v>0.55555555555555558</v>
      </c>
      <c r="E10" s="8">
        <f>COUNTIF(Trades!W:W,"&gt;0")/(COUNTIF(Trades!W:W,"&gt;0")+COUNTIF(Trades!W:W,"&lt;0"))</f>
        <v>0.64367816091954022</v>
      </c>
      <c r="L10" s="4" t="str">
        <f>Trades!P10</f>
        <v>signal</v>
      </c>
      <c r="M10" s="5">
        <f>M9+Trades!T10</f>
        <v>1230.3200000000002</v>
      </c>
      <c r="N10" s="5">
        <f>N9+Trades!U10</f>
        <v>0.12006464490556257</v>
      </c>
      <c r="O10" s="5">
        <f>O9+Trades!W10</f>
        <v>1704.6712354851475</v>
      </c>
      <c r="Q10" s="1">
        <v>35</v>
      </c>
      <c r="R10" s="1">
        <v>40</v>
      </c>
      <c r="S10" s="1" t="e">
        <f>AVERAGEIFS(Trades!W:W,Trades!N:N,"&gt;="&amp;Q10,Trades!N:N,"&lt;="&amp;R10)</f>
        <v>#DIV/0!</v>
      </c>
      <c r="T10" s="1">
        <f>COUNTIFS(Trades!N:N,"&gt;="&amp;Q10,Trades!N:N,"&lt;="&amp;R10)</f>
        <v>0</v>
      </c>
    </row>
    <row r="11" spans="2:20">
      <c r="B11" s="9" t="s">
        <v>237</v>
      </c>
      <c r="C11" s="10" t="e">
        <f>SUMIF(Trades!T:T,"&gt;0",Trades!T:T)/ABS(SUMIF(Trades!T:T,"&lt;0",Trades!T:T))</f>
        <v>#DIV/0!</v>
      </c>
      <c r="D11" s="10">
        <f>SUMIF(Trades!U:U,"&gt;0",Trades!U:U)/ABS(SUMIF(Trades!U:U,"&lt;0",Trades!U:U))</f>
        <v>129.34521043076231</v>
      </c>
      <c r="E11" s="10">
        <f>SUMIF(Trades!W:W,"&gt;0",Trades!W:W)/ABS(SUMIF(Trades!W:W,"&lt;0",Trades!W:W))</f>
        <v>2.2161258617316868</v>
      </c>
      <c r="L11" s="4" t="str">
        <f>Trades!P11</f>
        <v>signal</v>
      </c>
      <c r="M11" s="5">
        <f>M9+Trades!T11</f>
        <v>1235.98</v>
      </c>
      <c r="N11" s="5">
        <f>N9+Trades!U11</f>
        <v>0.62656581735118466</v>
      </c>
      <c r="O11" s="5">
        <f>O9+Trades!W11</f>
        <v>2308.5077647194471</v>
      </c>
    </row>
    <row r="12" spans="2:20">
      <c r="L12" s="4" t="str">
        <f>Trades!P12</f>
        <v>signal</v>
      </c>
      <c r="M12" s="5">
        <f>M11+Trades!T12</f>
        <v>1376.39</v>
      </c>
      <c r="N12" s="5">
        <f>N11+Trades!U12</f>
        <v>0.35596762893101896</v>
      </c>
      <c r="O12" s="5">
        <f>O11+Trades!W12</f>
        <v>1832.1564467210674</v>
      </c>
      <c r="Q12" s="1">
        <v>41</v>
      </c>
      <c r="R12" s="1">
        <v>47</v>
      </c>
      <c r="S12" s="1" t="e">
        <f>AVERAGEIFS(Trades!W:W,Trades!N:N,"&gt;="&amp;Q12,Trades!N:N,"&lt;="&amp;R12)</f>
        <v>#DIV/0!</v>
      </c>
      <c r="T12" s="1">
        <f>COUNTIFS(Trades!N:N,"&gt;="&amp;Q12,Trades!N:N,"&lt;="&amp;R12)</f>
        <v>0</v>
      </c>
    </row>
    <row r="13" spans="2:20">
      <c r="B13" s="1" t="s">
        <v>228</v>
      </c>
      <c r="C13" s="1" t="s">
        <v>238</v>
      </c>
      <c r="L13" s="4" t="str">
        <f>Trades!P20</f>
        <v>signal</v>
      </c>
      <c r="M13" s="5">
        <f>M12+Trades!T20</f>
        <v>1554.8000000000002</v>
      </c>
      <c r="N13" s="5">
        <f>N12+Trades!U20</f>
        <v>0.48279195070568504</v>
      </c>
      <c r="O13" s="5">
        <f>O12+Trades!W20</f>
        <v>2125.7185754429056</v>
      </c>
    </row>
    <row r="14" spans="2:20">
      <c r="B14" s="1" t="s">
        <v>239</v>
      </c>
      <c r="C14" s="1">
        <f>COUNTA(Trades!A:A)-1</f>
        <v>87</v>
      </c>
      <c r="L14" s="4" t="str">
        <f>Trades!P13</f>
        <v>signal</v>
      </c>
      <c r="M14" s="5">
        <f>M13+Trades!T13</f>
        <v>1732.5100000000002</v>
      </c>
      <c r="N14" s="5">
        <f>N13+Trades!U13</f>
        <v>0.13270712080587466</v>
      </c>
      <c r="O14" s="5">
        <f>O13+Trades!W13</f>
        <v>2240.0773685458439</v>
      </c>
    </row>
    <row r="15" spans="2:20">
      <c r="B15" s="1" t="s">
        <v>240</v>
      </c>
      <c r="C15" s="1" t="e">
        <f>AVERAGE(Trades!N:N)</f>
        <v>#DIV/0!</v>
      </c>
      <c r="F15" s="11"/>
      <c r="L15" s="4" t="str">
        <f>Trades!P21</f>
        <v>signal</v>
      </c>
      <c r="M15" s="5">
        <f>M14+Trades!T21</f>
        <v>1905.13</v>
      </c>
      <c r="N15" s="5">
        <f>N14+Trades!U21</f>
        <v>-8.8578729809542733E-2</v>
      </c>
      <c r="O15" s="5">
        <f>O14+Trades!W21</f>
        <v>2497.5250784660498</v>
      </c>
    </row>
    <row r="16" spans="2:20">
      <c r="B16" s="1" t="s">
        <v>241</v>
      </c>
      <c r="C16" s="1" t="e">
        <f>MEDIAN(Trades!N:N)</f>
        <v>#NUM!</v>
      </c>
      <c r="L16" s="4" t="str">
        <f>Trades!P22</f>
        <v>signal</v>
      </c>
      <c r="M16" s="5">
        <f>M15+Trades!T22</f>
        <v>2078.71</v>
      </c>
      <c r="N16" s="5">
        <f>N15+Trades!U22</f>
        <v>0.40243136022950288</v>
      </c>
      <c r="O16" s="5">
        <f>O15+Trades!W22</f>
        <v>480.09296771096069</v>
      </c>
    </row>
    <row r="17" spans="2:15">
      <c r="B17" s="1" t="s">
        <v>242</v>
      </c>
      <c r="C17" s="1">
        <f>MAX(Trades!N:N)</f>
        <v>0</v>
      </c>
      <c r="L17" s="4" t="str">
        <f>Trades!P23</f>
        <v>signal</v>
      </c>
      <c r="M17" s="5">
        <f>M16+Trades!T23</f>
        <v>2252.7649999999999</v>
      </c>
      <c r="N17" s="5">
        <f>N16+Trades!U23</f>
        <v>0.54593177491916067</v>
      </c>
      <c r="O17" s="5">
        <f>O16+Trades!W23</f>
        <v>34.028193333817512</v>
      </c>
    </row>
    <row r="18" spans="2:15">
      <c r="L18" s="4" t="str">
        <f>Trades!P14</f>
        <v>signal</v>
      </c>
      <c r="M18" s="5">
        <f>M17+Trades!T14</f>
        <v>2430.1949999999997</v>
      </c>
      <c r="N18" s="5">
        <f>N17+Trades!U14</f>
        <v>5.9731094322283351E-2</v>
      </c>
      <c r="O18" s="5">
        <f>O17+Trades!W14</f>
        <v>46.501551605890882</v>
      </c>
    </row>
    <row r="19" spans="2:15">
      <c r="B19" s="1" t="s">
        <v>228</v>
      </c>
      <c r="C19" s="1" t="s">
        <v>243</v>
      </c>
      <c r="D19" s="1" t="s">
        <v>244</v>
      </c>
      <c r="L19" s="4" t="str">
        <f>Trades!P15</f>
        <v>signal</v>
      </c>
      <c r="M19" s="5">
        <f>M18+Trades!T15</f>
        <v>2611.8449999999998</v>
      </c>
      <c r="N19" s="5">
        <f>N18+Trades!U15</f>
        <v>-0.20790767018993883</v>
      </c>
      <c r="O19" s="5">
        <f>O18+Trades!W15</f>
        <v>-117.95808678190861</v>
      </c>
    </row>
    <row r="20" spans="2:15">
      <c r="B20" s="1" t="s">
        <v>245</v>
      </c>
      <c r="C20" s="1">
        <f>AVERAGEIF(Trades!I:I,"&gt;0",Trades!I:I)</f>
        <v>118.11758168390807</v>
      </c>
      <c r="D20" s="1" t="e">
        <f>AVERAGEIF(Trades!I:I,"&lt;0",Trades!I:I)</f>
        <v>#DIV/0!</v>
      </c>
      <c r="L20" s="4" t="str">
        <f>Trades!P24</f>
        <v>signal</v>
      </c>
      <c r="M20" s="5">
        <f>M19+Trades!T24</f>
        <v>2788.3649999999998</v>
      </c>
      <c r="N20" s="5">
        <f>N19+Trades!U24</f>
        <v>-0.64870004115791224</v>
      </c>
      <c r="O20" s="5">
        <f>O19+Trades!W24</f>
        <v>-132.36950607041419</v>
      </c>
    </row>
    <row r="21" spans="2:15">
      <c r="B21" s="1" t="s">
        <v>246</v>
      </c>
      <c r="C21" s="1">
        <f t="array" ref="C21">MEDIAN(_xlfn._xlws.FILTER(Trades!I:I,Trades!I:I&gt;0))</f>
        <v>138.86388500000001</v>
      </c>
      <c r="D21" s="1" t="e" vm="1">
        <f t="array" ref="D21">MEDIAN(_xlfn._xlws.FILTER(Trades!I:I,Trades!I:I&lt;0))</f>
        <v>#VALUE!</v>
      </c>
      <c r="L21" s="4" t="str">
        <f>Trades!P25</f>
        <v>signal</v>
      </c>
      <c r="M21" s="5">
        <f>M20+Trades!T25</f>
        <v>2964.395</v>
      </c>
      <c r="N21" s="5">
        <f>N20+Trades!U25</f>
        <v>-0.96170554778091843</v>
      </c>
      <c r="O21" s="5">
        <f>O20+Trades!W25</f>
        <v>-47.445823702656753</v>
      </c>
    </row>
    <row r="22" spans="2:15">
      <c r="B22" s="1" t="s">
        <v>247</v>
      </c>
      <c r="C22" s="1">
        <f>_xlfn.MAXIFS(Trades!I:I,Trades!I:I,"&gt;0")</f>
        <v>187.30626749999999</v>
      </c>
      <c r="D22" s="1">
        <f>_xlfn.MINIFS(Trades!I:I,Trades!I:I,"&lt;0")</f>
        <v>0</v>
      </c>
      <c r="L22" s="4" t="str">
        <f>Trades!P16</f>
        <v>signal</v>
      </c>
      <c r="M22" s="5">
        <f>M21+Trades!T16</f>
        <v>3144.5299999999997</v>
      </c>
      <c r="N22" s="5">
        <f>N21+Trades!U16</f>
        <v>-0.58933354032702934</v>
      </c>
      <c r="O22" s="5">
        <f>O21+Trades!W16</f>
        <v>307.91451095254274</v>
      </c>
    </row>
    <row r="23" spans="2:15">
      <c r="B23" s="1" t="s">
        <v>248</v>
      </c>
      <c r="C23" s="1">
        <f>AVERAGEIF(Trades!S:S,"&gt;0",Trades!S:S)</f>
        <v>172.00810344827588</v>
      </c>
      <c r="D23" s="1" t="e">
        <f>AVERAGEIF(Trades!S:S,"&lt;0",Trades!S:S)</f>
        <v>#DIV/0!</v>
      </c>
      <c r="L23" s="4" t="str">
        <f>Trades!P26</f>
        <v>signal</v>
      </c>
      <c r="M23" s="5">
        <f>M22+Trades!T26</f>
        <v>3317.54</v>
      </c>
      <c r="N23" s="5">
        <f>N22+Trades!U26</f>
        <v>-9.1670784581330544E-2</v>
      </c>
      <c r="O23" s="5">
        <f>O22+Trades!W26</f>
        <v>196.71394907151773</v>
      </c>
    </row>
    <row r="24" spans="2:15">
      <c r="B24" s="1" t="s">
        <v>249</v>
      </c>
      <c r="C24" s="1">
        <f t="array" ref="C24">MEDIAN(_xlfn._xlws.FILTER(Trades!S:S,Trades!S:S&gt;0))</f>
        <v>183.48500000000001</v>
      </c>
      <c r="D24" s="1" t="e" vm="1">
        <f t="array" ref="D24">MEDIAN(_xlfn._xlws.FILTER(Trades!S:S,Trades!S:S&lt;0))</f>
        <v>#VALUE!</v>
      </c>
      <c r="L24" s="4" t="str">
        <f>Trades!P27</f>
        <v>signal</v>
      </c>
      <c r="M24" s="5">
        <f>M23+Trades!T27</f>
        <v>3362.42</v>
      </c>
      <c r="N24" s="5">
        <f>N23+Trades!U27</f>
        <v>-0.12266820975211624</v>
      </c>
      <c r="O24" s="5">
        <f>O23+Trades!W27</f>
        <v>949.81715875737245</v>
      </c>
    </row>
    <row r="25" spans="2:15">
      <c r="B25" s="1" t="s">
        <v>250</v>
      </c>
      <c r="C25" s="1">
        <f>_xlfn.MAXIFS(Trades!S:S,Trades!S:S,"&gt;0")</f>
        <v>251.31</v>
      </c>
      <c r="D25" s="1">
        <f>_xlfn.MINIFS(Trades!S:S,Trades!S:S,"&lt;0")</f>
        <v>0</v>
      </c>
      <c r="L25" s="4" t="str">
        <f>Trades!P17</f>
        <v>signal</v>
      </c>
      <c r="M25" s="5">
        <f>M24+Trades!T17</f>
        <v>3539.89</v>
      </c>
      <c r="N25" s="5">
        <f>N24+Trades!U17</f>
        <v>-0.25282199380085102</v>
      </c>
      <c r="O25" s="5">
        <f>O24+Trades!W17</f>
        <v>1445.0831206322662</v>
      </c>
    </row>
    <row r="26" spans="2:15">
      <c r="G26" s="12">
        <v>1</v>
      </c>
      <c r="H26" s="12" t="s">
        <v>251</v>
      </c>
      <c r="L26" s="4" t="str">
        <f>Trades!P18</f>
        <v>signal</v>
      </c>
      <c r="M26" s="5">
        <f>M25+Trades!T18</f>
        <v>3718.46</v>
      </c>
      <c r="N26" s="5">
        <f>N25+Trades!U18</f>
        <v>0.10783598823791191</v>
      </c>
      <c r="O26" s="5">
        <f>O25+Trades!W18</f>
        <v>2067.129583911722</v>
      </c>
    </row>
    <row r="27" spans="2:15">
      <c r="B27" s="1" t="s">
        <v>228</v>
      </c>
      <c r="C27" s="1" t="s">
        <v>252</v>
      </c>
      <c r="D27" s="1" t="s">
        <v>253</v>
      </c>
      <c r="E27" s="1" t="s">
        <v>254</v>
      </c>
      <c r="F27" s="1" t="s">
        <v>255</v>
      </c>
      <c r="L27" s="4" t="str">
        <f>Trades!P19</f>
        <v>signal</v>
      </c>
      <c r="M27" s="5">
        <f>M26+Trades!T19</f>
        <v>3890.7</v>
      </c>
      <c r="N27" s="5">
        <f>N26+Trades!U19</f>
        <v>-0.16607106324501841</v>
      </c>
      <c r="O27" s="5">
        <f>O26+Trades!W19</f>
        <v>2260.5068258549877</v>
      </c>
    </row>
    <row r="28" spans="2:15">
      <c r="B28" s="1" t="s">
        <v>256</v>
      </c>
      <c r="C28" s="1">
        <f>SUMIF(Trades!M:M,"LONG",Trades!T:T)</f>
        <v>0</v>
      </c>
      <c r="D28" s="1">
        <f>SUMIF(Trades!M:M,"SHORT",Trades!T:T)</f>
        <v>0</v>
      </c>
      <c r="E28" s="1">
        <f>SUMIF(Trades!O:O,"Signal",Trades!T:T)</f>
        <v>0</v>
      </c>
      <c r="F28" s="1">
        <f>SUMIF(Trades!O:O,"Forced",Trades!T:T)</f>
        <v>0</v>
      </c>
      <c r="L28" s="4" t="str">
        <f>Trades!P28</f>
        <v>signal</v>
      </c>
      <c r="M28" s="5">
        <f>M27+Trades!T28</f>
        <v>3935.39</v>
      </c>
      <c r="N28" s="5">
        <f>N27+Trades!U28</f>
        <v>0.21899699623792268</v>
      </c>
      <c r="O28" s="5">
        <f>O27+Trades!W28</f>
        <v>2815.8245094006866</v>
      </c>
    </row>
    <row r="29" spans="2:15">
      <c r="B29" s="1" t="s">
        <v>257</v>
      </c>
      <c r="C29" s="1">
        <f>COUNTIF(Trades!M:M,"LONG")</f>
        <v>0</v>
      </c>
      <c r="D29" s="1">
        <f>COUNTIF(Trades!M:M,"SHORT")</f>
        <v>0</v>
      </c>
      <c r="E29" s="1">
        <f>COUNTIF(Trades!O:O,"Signal")</f>
        <v>0</v>
      </c>
      <c r="F29" s="1">
        <f>COUNTIF(Trades!O:O,"Forced")</f>
        <v>0</v>
      </c>
      <c r="L29" s="4" t="str">
        <f>Trades!P35</f>
        <v>signal</v>
      </c>
      <c r="M29" s="5">
        <f>M28+Trades!T35</f>
        <v>3982.15</v>
      </c>
      <c r="N29" s="5">
        <f>N28+Trades!U35</f>
        <v>0.4910238293550907</v>
      </c>
      <c r="O29" s="5">
        <f>O28+Trades!W35</f>
        <v>2114.7341343513381</v>
      </c>
    </row>
    <row r="30" spans="2:15">
      <c r="L30" s="4" t="str">
        <f>Trades!P44</f>
        <v>signal</v>
      </c>
      <c r="M30" s="5">
        <f>M29+Trades!T44</f>
        <v>4032.25</v>
      </c>
      <c r="N30" s="5">
        <f>N29+Trades!U44</f>
        <v>0.87027992664398734</v>
      </c>
      <c r="O30" s="5">
        <f>O29+Trades!W44</f>
        <v>1426.0269755964277</v>
      </c>
    </row>
    <row r="31" spans="2:15">
      <c r="B31" s="1" t="s">
        <v>258</v>
      </c>
      <c r="C31" s="1" t="s">
        <v>259</v>
      </c>
      <c r="D31" s="1" t="s">
        <v>46</v>
      </c>
      <c r="L31" s="4" t="str">
        <f>Trades!P52</f>
        <v>signal</v>
      </c>
      <c r="M31" s="5">
        <f>M30+Trades!T52</f>
        <v>4197.3100000000004</v>
      </c>
      <c r="N31" s="5">
        <f>N30+Trades!U52</f>
        <v>0.42909392147133135</v>
      </c>
      <c r="O31" s="5">
        <f>O30+Trades!W52</f>
        <v>2588.3465959907426</v>
      </c>
    </row>
    <row r="32" spans="2:15">
      <c r="B32" s="1">
        <v>0</v>
      </c>
      <c r="C32" s="1">
        <v>3</v>
      </c>
      <c r="D32" s="1" t="e">
        <f>COUNTIFS(Trades!N:N,"&gt;="&amp;B32,Trades!N:N,"&lt;="&amp;C32,Trades!T:T,"&gt;0")/(COUNTIFS(Trades!N:N,"&gt;="&amp;B32,Trades!N:N,"&lt;="&amp;C32,Trades!T:T,"&gt;0")+COUNTIFS(Trades!N:N,"&gt;="&amp;B32,Trades!N:N,"&lt;="&amp;C32,Trades!T:T,"&lt;0"))</f>
        <v>#DIV/0!</v>
      </c>
      <c r="L32" s="4" t="str">
        <f>Trades!P36</f>
        <v>signal</v>
      </c>
      <c r="M32" s="5">
        <f>M31+Trades!T36</f>
        <v>4242.7650000000003</v>
      </c>
      <c r="N32" s="5">
        <f>N31+Trades!U36</f>
        <v>0.63654799032150544</v>
      </c>
      <c r="O32" s="5">
        <f>O31+Trades!W36</f>
        <v>2847.6983989512887</v>
      </c>
    </row>
    <row r="33" spans="2:26">
      <c r="B33" s="1">
        <v>4</v>
      </c>
      <c r="C33" s="1">
        <v>7</v>
      </c>
      <c r="D33" s="1" t="e">
        <f>COUNTIFS(Trades!N:N,"&gt;="&amp;B33,Trades!N:N,"&lt;="&amp;C33,Trades!T:T,"&gt;0")/(COUNTIFS(Trades!N:N,"&gt;="&amp;B33,Trades!N:N,"&lt;="&amp;C33,Trades!T:T,"&gt;0")+COUNTIFS(Trades!N:N,"&gt;="&amp;B33,Trades!N:N,"&lt;="&amp;C33,Trades!T:T,"&lt;0"))</f>
        <v>#DIV/0!</v>
      </c>
      <c r="L33" s="4" t="str">
        <f>Trades!P45</f>
        <v>signal</v>
      </c>
      <c r="M33" s="5">
        <f>M32+Trades!T45</f>
        <v>4428.3150000000005</v>
      </c>
      <c r="N33" s="5">
        <f>N32+Trades!U45</f>
        <v>1.1212994773277236</v>
      </c>
      <c r="O33" s="5">
        <f>O32+Trades!W45</f>
        <v>3144.1991281519468</v>
      </c>
    </row>
    <row r="34" spans="2:26">
      <c r="B34" s="1">
        <v>8</v>
      </c>
      <c r="C34" s="1">
        <v>11</v>
      </c>
      <c r="D34" s="1" t="e">
        <f>COUNTIFS(Trades!N:N,"&gt;="&amp;B34,Trades!N:N,"&lt;="&amp;C34,Trades!T:T,"&gt;0")/(COUNTIFS(Trades!N:N,"&gt;="&amp;B34,Trades!N:N,"&lt;="&amp;C34,Trades!T:T,"&gt;0")+COUNTIFS(Trades!N:N,"&gt;="&amp;B34,Trades!N:N,"&lt;="&amp;C34,Trades!T:T,"&lt;0"))</f>
        <v>#DIV/0!</v>
      </c>
      <c r="L34" s="4" t="str">
        <f>Trades!P29</f>
        <v>signal</v>
      </c>
      <c r="M34" s="5">
        <f>M33+Trades!T29</f>
        <v>4473.3950000000004</v>
      </c>
      <c r="N34" s="5">
        <f>N33+Trades!U29</f>
        <v>0.74932506081823813</v>
      </c>
      <c r="O34" s="5">
        <f>O33+Trades!W29</f>
        <v>4239.8210081259422</v>
      </c>
    </row>
    <row r="35" spans="2:26">
      <c r="B35" s="1">
        <v>12</v>
      </c>
      <c r="C35" s="1">
        <v>15</v>
      </c>
      <c r="D35" s="1" t="e">
        <f>COUNTIFS(Trades!N:N,"&gt;="&amp;B35,Trades!N:N,"&lt;="&amp;C35,Trades!T:T,"&gt;0")/(COUNTIFS(Trades!N:N,"&gt;="&amp;B35,Trades!N:N,"&lt;="&amp;C35,Trades!T:T,"&gt;0")+COUNTIFS(Trades!N:N,"&gt;="&amp;B35,Trades!N:N,"&lt;="&amp;C35,Trades!T:T,"&lt;0"))</f>
        <v>#DIV/0!</v>
      </c>
      <c r="L35" s="4" t="str">
        <f>Trades!P30</f>
        <v>signal</v>
      </c>
      <c r="M35" s="5">
        <f>M34+Trades!T30</f>
        <v>4518.13</v>
      </c>
      <c r="N35" s="5">
        <f>N34+Trades!U30</f>
        <v>1.1148411330471419</v>
      </c>
      <c r="O35" s="5">
        <f>O34+Trades!W30</f>
        <v>4967.278885350016</v>
      </c>
    </row>
    <row r="36" spans="2:26">
      <c r="B36" s="1">
        <v>16</v>
      </c>
      <c r="C36" s="1">
        <v>1000000</v>
      </c>
      <c r="D36" s="1" t="e">
        <f>COUNTIFS(Trades!N:N,"&gt;="&amp;B36,Trades!N:N,"&lt;="&amp;C36,Trades!T:T,"&gt;0")/(COUNTIFS(Trades!N:N,"&gt;="&amp;B36,Trades!N:N,"&lt;="&amp;C36,Trades!T:T,"&gt;0")+COUNTIFS(Trades!N:N,"&gt;="&amp;B36,Trades!N:N,"&lt;="&amp;C36,Trades!T:T,"&lt;0"))</f>
        <v>#DIV/0!</v>
      </c>
      <c r="L36" s="4" t="str">
        <f>Trades!P37</f>
        <v>signal</v>
      </c>
      <c r="M36" s="5">
        <f>M35+Trades!T37</f>
        <v>4563.7300000000005</v>
      </c>
      <c r="N36" s="5">
        <f>N35+Trades!U37</f>
        <v>0.6162795245395154</v>
      </c>
      <c r="O36" s="5">
        <f>O35+Trades!W37</f>
        <v>5575.5009242770921</v>
      </c>
    </row>
    <row r="37" spans="2:26">
      <c r="L37" s="4" t="str">
        <f>Trades!P53</f>
        <v>signal</v>
      </c>
      <c r="M37" s="5">
        <f>M36+Trades!T53</f>
        <v>4724.1450000000004</v>
      </c>
      <c r="N37" s="5">
        <f>N36+Trades!U53</f>
        <v>1.0585862132503083</v>
      </c>
      <c r="O37" s="5">
        <f>O36+Trades!W53</f>
        <v>5671.7691852102398</v>
      </c>
    </row>
    <row r="38" spans="2:26">
      <c r="L38" s="4" t="str">
        <f>Trades!P54</f>
        <v>signal</v>
      </c>
      <c r="M38" s="5">
        <f>M37+Trades!T54</f>
        <v>4884.7650000000003</v>
      </c>
      <c r="N38" s="5">
        <f>N37+Trades!U54</f>
        <v>0.57031584089375675</v>
      </c>
      <c r="O38" s="5">
        <f>O37+Trades!W54</f>
        <v>5881.3630440609904</v>
      </c>
    </row>
    <row r="39" spans="2:26">
      <c r="B39" s="13" t="s">
        <v>260</v>
      </c>
      <c r="C39" s="34"/>
      <c r="D39" s="35"/>
      <c r="E39" s="36"/>
      <c r="L39" s="4" t="str">
        <f>Trades!P31</f>
        <v>signal</v>
      </c>
      <c r="M39" s="5">
        <f>M38+Trades!T31</f>
        <v>4928.9500000000007</v>
      </c>
      <c r="N39" s="5">
        <f>N38+Trades!U31</f>
        <v>0.91235225055200153</v>
      </c>
      <c r="O39" s="5">
        <f>O38+Trades!W31</f>
        <v>5655.4477804966909</v>
      </c>
    </row>
    <row r="40" spans="2:26">
      <c r="B40" s="37" t="s">
        <v>261</v>
      </c>
      <c r="C40" s="38"/>
      <c r="D40" s="38"/>
      <c r="E40" s="39"/>
      <c r="L40" s="4" t="str">
        <f>Trades!P32</f>
        <v>signal</v>
      </c>
      <c r="M40" s="5">
        <f>M39+Trades!T32</f>
        <v>4972.7800000000007</v>
      </c>
      <c r="N40" s="5">
        <f>N39+Trades!U32</f>
        <v>1.3289206022929476</v>
      </c>
      <c r="O40" s="5">
        <f>O39+Trades!W32</f>
        <v>6943.7943459914968</v>
      </c>
    </row>
    <row r="41" spans="2:26">
      <c r="B41" s="40"/>
      <c r="C41" s="41"/>
      <c r="D41" s="41"/>
      <c r="E41" s="42"/>
      <c r="L41" s="4" t="str">
        <f>Trades!P46</f>
        <v>signal</v>
      </c>
      <c r="M41" s="5">
        <f>M40+Trades!T46</f>
        <v>5160.2800000000007</v>
      </c>
      <c r="N41" s="5">
        <f>N40+Trades!U46</f>
        <v>1.1940242971836039</v>
      </c>
      <c r="O41" s="5">
        <f>O40+Trades!W46</f>
        <v>6676.0433114159032</v>
      </c>
    </row>
    <row r="42" spans="2:26">
      <c r="B42" s="40"/>
      <c r="C42" s="41"/>
      <c r="D42" s="41"/>
      <c r="E42" s="42"/>
      <c r="L42" s="4" t="str">
        <f>Trades!P55</f>
        <v>signal</v>
      </c>
      <c r="M42" s="5">
        <f>M41+Trades!T55</f>
        <v>5318.880000000001</v>
      </c>
      <c r="N42" s="5">
        <f>N41+Trades!U55</f>
        <v>1.6416909183174777</v>
      </c>
      <c r="O42" s="5">
        <f>O41+Trades!W55</f>
        <v>6729.4435011157138</v>
      </c>
    </row>
    <row r="43" spans="2:26">
      <c r="B43" s="40"/>
      <c r="C43" s="41"/>
      <c r="D43" s="41"/>
      <c r="E43" s="42"/>
      <c r="L43" s="4" t="str">
        <f>Trades!P47</f>
        <v>signal</v>
      </c>
      <c r="M43" s="5">
        <f>M42+Trades!T47</f>
        <v>5504.0100000000011</v>
      </c>
      <c r="N43" s="5">
        <f>N42+Trades!U47</f>
        <v>2.132438892327174</v>
      </c>
      <c r="O43" s="5">
        <f>O42+Trades!W47</f>
        <v>6976.4519889865569</v>
      </c>
    </row>
    <row r="44" spans="2:26">
      <c r="B44" s="43"/>
      <c r="C44" s="44"/>
      <c r="D44" s="44"/>
      <c r="E44" s="45"/>
      <c r="L44" s="4" t="str">
        <f>Trades!P38</f>
        <v>signal</v>
      </c>
      <c r="M44" s="5">
        <f>M43+Trades!T38</f>
        <v>5549.9400000000014</v>
      </c>
      <c r="N44" s="5">
        <f>N43+Trades!U38</f>
        <v>2.3246524149289032</v>
      </c>
      <c r="O44" s="5">
        <f>O43+Trades!W38</f>
        <v>7032.6972022350437</v>
      </c>
    </row>
    <row r="45" spans="2:26">
      <c r="L45" s="4" t="str">
        <f>Trades!P48</f>
        <v>signal</v>
      </c>
      <c r="M45" s="5">
        <f>M44+Trades!T48</f>
        <v>5733.7700000000013</v>
      </c>
      <c r="N45" s="5">
        <f>N44+Trades!U48</f>
        <v>2.0313786660412925</v>
      </c>
      <c r="O45" s="5">
        <f>O44+Trades!W48</f>
        <v>7715.585408317269</v>
      </c>
    </row>
    <row r="46" spans="2:26">
      <c r="G46" s="12">
        <v>2</v>
      </c>
      <c r="H46" s="12" t="s">
        <v>262</v>
      </c>
      <c r="L46" s="4" t="str">
        <f>Trades!P39</f>
        <v>signal</v>
      </c>
      <c r="M46" s="5">
        <f>M45+Trades!T39</f>
        <v>5779.5600000000013</v>
      </c>
      <c r="N46" s="5">
        <f>N45+Trades!U39</f>
        <v>1.9809282476590486</v>
      </c>
      <c r="O46" s="5">
        <f>O45+Trades!W39</f>
        <v>7993.8684684233795</v>
      </c>
      <c r="Y46" s="12">
        <v>3</v>
      </c>
      <c r="Z46" s="12" t="s">
        <v>263</v>
      </c>
    </row>
    <row r="47" spans="2:26">
      <c r="L47" s="4" t="str">
        <f>Trades!P40</f>
        <v>signal</v>
      </c>
      <c r="M47" s="5">
        <f>M46+Trades!T40</f>
        <v>5825.8300000000017</v>
      </c>
      <c r="N47" s="5">
        <f>N46+Trades!U40</f>
        <v>1.5104066134914813</v>
      </c>
      <c r="O47" s="5">
        <f>O46+Trades!W40</f>
        <v>8525.7022817825873</v>
      </c>
    </row>
    <row r="48" spans="2:26">
      <c r="L48" s="4" t="str">
        <f>Trades!P56</f>
        <v>signal</v>
      </c>
      <c r="M48" s="5">
        <f>M47+Trades!T56</f>
        <v>5986.1000000000022</v>
      </c>
      <c r="N48" s="5">
        <f>N47+Trades!U56</f>
        <v>1.888787995938076</v>
      </c>
      <c r="O48" s="5">
        <f>O47+Trades!W56</f>
        <v>8254.0815821434917</v>
      </c>
    </row>
    <row r="49" spans="3:15">
      <c r="L49" s="4" t="str">
        <f>Trades!P49</f>
        <v>signal</v>
      </c>
      <c r="M49" s="5">
        <f>M48+Trades!T49</f>
        <v>6159.9100000000026</v>
      </c>
      <c r="N49" s="5">
        <f>N48+Trades!U49</f>
        <v>2.0075447844553636</v>
      </c>
      <c r="O49" s="5">
        <f>O48+Trades!W49</f>
        <v>8519.4227899064063</v>
      </c>
    </row>
    <row r="50" spans="3:15">
      <c r="C50" s="16"/>
      <c r="D50" s="17"/>
      <c r="E50" s="17"/>
      <c r="F50" s="17"/>
      <c r="G50" s="17"/>
      <c r="H50" s="17"/>
      <c r="I50" s="17"/>
      <c r="L50" s="4" t="str">
        <f>Trades!P57</f>
        <v>signal</v>
      </c>
      <c r="M50" s="5">
        <f>M49+Trades!T57</f>
        <v>6317.6000000000022</v>
      </c>
      <c r="N50" s="5">
        <f>N49+Trades!U57</f>
        <v>1.9702127148100572</v>
      </c>
      <c r="O50" s="5">
        <f>O49+Trades!W57</f>
        <v>8952.0074482153232</v>
      </c>
    </row>
    <row r="51" spans="3:15">
      <c r="C51" s="15"/>
      <c r="D51" s="14"/>
      <c r="E51" s="14"/>
      <c r="F51" s="14"/>
      <c r="G51" s="14"/>
      <c r="H51" s="14"/>
      <c r="I51" s="14"/>
      <c r="L51" s="4" t="str">
        <f>Trades!P50</f>
        <v>signal</v>
      </c>
      <c r="M51" s="5">
        <f>M50+Trades!T50</f>
        <v>6494.0300000000025</v>
      </c>
      <c r="N51" s="5">
        <f>N50+Trades!U50</f>
        <v>1.9501826932221009</v>
      </c>
      <c r="O51" s="5">
        <f>O50+Trades!W50</f>
        <v>8903.602426342266</v>
      </c>
    </row>
    <row r="52" spans="3:15">
      <c r="C52" s="15"/>
      <c r="D52" s="14"/>
      <c r="E52" s="14"/>
      <c r="F52" s="14"/>
      <c r="G52" s="14"/>
      <c r="H52" s="14"/>
      <c r="I52" s="14"/>
      <c r="L52" s="4" t="str">
        <f>Trades!P58</f>
        <v>signal</v>
      </c>
      <c r="M52" s="5">
        <f>M51+Trades!T58</f>
        <v>6650.7800000000025</v>
      </c>
      <c r="N52" s="5">
        <f>N51+Trades!U58</f>
        <v>1.5355145348885459</v>
      </c>
      <c r="O52" s="5">
        <f>O51+Trades!W58</f>
        <v>9497.2552115338349</v>
      </c>
    </row>
    <row r="53" spans="3:15">
      <c r="C53" s="15"/>
      <c r="D53" s="14"/>
      <c r="E53" s="14"/>
      <c r="F53" s="14"/>
      <c r="G53" s="14"/>
      <c r="H53" s="14"/>
      <c r="I53" s="14"/>
      <c r="L53" s="4" t="str">
        <f>Trades!P33</f>
        <v>signal</v>
      </c>
      <c r="M53" s="5">
        <f>M52+Trades!T33</f>
        <v>6696.3900000000021</v>
      </c>
      <c r="N53" s="5">
        <f>N52+Trades!U33</f>
        <v>1.4505233125289516</v>
      </c>
      <c r="O53" s="5">
        <f>O52+Trades!W33</f>
        <v>10277.848770223602</v>
      </c>
    </row>
    <row r="54" spans="3:15">
      <c r="L54" s="4" t="str">
        <f>Trades!P41</f>
        <v>signal</v>
      </c>
      <c r="M54" s="5">
        <f>M53+Trades!T41</f>
        <v>6743.6150000000025</v>
      </c>
      <c r="N54" s="5">
        <f>N53+Trades!U41</f>
        <v>1.4246953133460023</v>
      </c>
      <c r="O54" s="5">
        <f>O53+Trades!W41</f>
        <v>10383.409739817014</v>
      </c>
    </row>
    <row r="55" spans="3:15">
      <c r="L55" s="4" t="str">
        <f>Trades!P59</f>
        <v>signal</v>
      </c>
      <c r="M55" s="5">
        <f>M54+Trades!T59</f>
        <v>6899.6750000000029</v>
      </c>
      <c r="N55" s="5">
        <f>N54+Trades!U59</f>
        <v>1.3556587602255381</v>
      </c>
      <c r="O55" s="5">
        <f>O54+Trades!W59</f>
        <v>10815.634709113372</v>
      </c>
    </row>
    <row r="56" spans="3:15">
      <c r="L56" s="4" t="str">
        <f>Trades!P51</f>
        <v>signal</v>
      </c>
      <c r="M56" s="5">
        <f>M55+Trades!T51</f>
        <v>7076.0850000000028</v>
      </c>
      <c r="N56" s="5">
        <f>N55+Trades!U51</f>
        <v>1.7905198015025967</v>
      </c>
      <c r="O56" s="5">
        <f>O55+Trades!W51</f>
        <v>12736.085227713716</v>
      </c>
    </row>
    <row r="57" spans="3:15">
      <c r="L57" s="4" t="str">
        <f>Trades!P60</f>
        <v>signal</v>
      </c>
      <c r="M57" s="5">
        <f>M56+Trades!T60</f>
        <v>7232.3600000000024</v>
      </c>
      <c r="N57" s="5">
        <f>N56+Trades!U60</f>
        <v>1.3514761618959552</v>
      </c>
      <c r="O57" s="5">
        <f>O56+Trades!W60</f>
        <v>12608.56444932205</v>
      </c>
    </row>
    <row r="58" spans="3:15">
      <c r="L58" s="4" t="str">
        <f>Trades!P42</f>
        <v>signal</v>
      </c>
      <c r="M58" s="5">
        <f>M57+Trades!T42</f>
        <v>7283.7400000000025</v>
      </c>
      <c r="N58" s="5">
        <f>N57+Trades!U42</f>
        <v>1.6997354475976136</v>
      </c>
      <c r="O58" s="5">
        <f>O57+Trades!W42</f>
        <v>13282.951581290676</v>
      </c>
    </row>
    <row r="59" spans="3:15">
      <c r="L59" s="4" t="str">
        <f>Trades!P61</f>
        <v>signal</v>
      </c>
      <c r="M59" s="5">
        <f>M58+Trades!T61</f>
        <v>7444.6050000000023</v>
      </c>
      <c r="N59" s="5">
        <f>N58+Trades!U61</f>
        <v>2.1503858974431433</v>
      </c>
      <c r="O59" s="5">
        <f>O58+Trades!W61</f>
        <v>13366.316814437412</v>
      </c>
    </row>
    <row r="60" spans="3:15">
      <c r="L60" s="4" t="str">
        <f>Trades!P34</f>
        <v>signal</v>
      </c>
      <c r="M60" s="5">
        <f>M59+Trades!T34</f>
        <v>7490.8750000000027</v>
      </c>
      <c r="N60" s="5">
        <f>N59+Trades!U34</f>
        <v>2.5207142295808089</v>
      </c>
      <c r="O60" s="5">
        <f>O59+Trades!W34</f>
        <v>13263.258566788094</v>
      </c>
    </row>
    <row r="61" spans="3:15">
      <c r="L61" s="4" t="str">
        <f>Trades!P43</f>
        <v>signal</v>
      </c>
      <c r="M61" s="5">
        <f>M60+Trades!T43</f>
        <v>7541.9150000000027</v>
      </c>
      <c r="N61" s="5">
        <f>N60+Trades!U43</f>
        <v>2.9197573053671855</v>
      </c>
      <c r="O61" s="5">
        <f>O60+Trades!W43</f>
        <v>12849.924886038863</v>
      </c>
    </row>
    <row r="62" spans="3:15">
      <c r="L62" s="4" t="str">
        <f>Trades!P62</f>
        <v>signal</v>
      </c>
      <c r="M62" s="5">
        <f>M61+Trades!T62</f>
        <v>7703.9650000000029</v>
      </c>
      <c r="N62" s="5">
        <f>N61+Trades!U62</f>
        <v>2.724947819956749</v>
      </c>
      <c r="O62" s="5">
        <f>O61+Trades!W62</f>
        <v>13053.231976433064</v>
      </c>
    </row>
    <row r="63" spans="3:15">
      <c r="L63" s="4" t="str">
        <f>Trades!P63</f>
        <v>signal</v>
      </c>
      <c r="M63" s="5">
        <f>M62+Trades!T63</f>
        <v>7865.3300000000027</v>
      </c>
      <c r="N63" s="5">
        <f>N62+Trades!U63</f>
        <v>2.3173493759369839</v>
      </c>
      <c r="O63" s="5">
        <f>O62+Trades!W63</f>
        <v>12557.370942364078</v>
      </c>
    </row>
    <row r="64" spans="3:15">
      <c r="L64" s="4" t="str">
        <f>Trades!P74</f>
        <v>signal</v>
      </c>
      <c r="M64" s="5">
        <f>M63+Trades!T74</f>
        <v>7924.220000000003</v>
      </c>
      <c r="N64" s="5">
        <f>N63+Trades!U74</f>
        <v>2.1539525756903002</v>
      </c>
      <c r="O64" s="5">
        <f>O63+Trades!W74</f>
        <v>12517.250328746462</v>
      </c>
    </row>
    <row r="65" spans="12:15">
      <c r="L65" s="4" t="str">
        <f>Trades!P85</f>
        <v>signal</v>
      </c>
      <c r="M65" s="5">
        <f>M64+Trades!T85</f>
        <v>7972.7900000000027</v>
      </c>
      <c r="N65" s="5">
        <f>N64+Trades!U85</f>
        <v>1.6979657727827542</v>
      </c>
      <c r="O65" s="5">
        <f>O64+Trades!W85</f>
        <v>12598.175172117295</v>
      </c>
    </row>
    <row r="66" spans="12:15">
      <c r="L66" s="4" t="str">
        <f>Trades!P75</f>
        <v>signal</v>
      </c>
      <c r="M66" s="5">
        <f>M65+Trades!T75</f>
        <v>8031.805000000003</v>
      </c>
      <c r="N66" s="5">
        <f>N65+Trades!U75</f>
        <v>2.0719277256366908</v>
      </c>
      <c r="O66" s="5">
        <f>O65+Trades!W75</f>
        <v>12532.903186903799</v>
      </c>
    </row>
    <row r="67" spans="12:15">
      <c r="L67" s="4" t="str">
        <f>Trades!P64</f>
        <v>signal</v>
      </c>
      <c r="M67" s="5">
        <f>M66+Trades!T64</f>
        <v>8197.0400000000027</v>
      </c>
      <c r="N67" s="5">
        <f>N66+Trades!U64</f>
        <v>2.3631198486591365</v>
      </c>
      <c r="O67" s="5">
        <f>O66+Trades!W64</f>
        <v>13070.696217376108</v>
      </c>
    </row>
    <row r="68" spans="12:15">
      <c r="L68" s="4" t="str">
        <f>Trades!P86</f>
        <v>signal</v>
      </c>
      <c r="M68" s="5">
        <f>M67+Trades!T86</f>
        <v>8246.2750000000033</v>
      </c>
      <c r="N68" s="5">
        <f>N67+Trades!U86</f>
        <v>2.2001178378286581</v>
      </c>
      <c r="O68" s="5">
        <f>O67+Trades!W86</f>
        <v>12688.898701675649</v>
      </c>
    </row>
    <row r="69" spans="12:15">
      <c r="L69" s="4" t="str">
        <f>Trades!P65</f>
        <v>signal</v>
      </c>
      <c r="M69" s="5">
        <f>M68+Trades!T65</f>
        <v>8411.3550000000032</v>
      </c>
      <c r="N69" s="5">
        <f>N68+Trades!U65</f>
        <v>2.692746864093464</v>
      </c>
      <c r="O69" s="5">
        <f>O68+Trades!W65</f>
        <v>12134.43423957465</v>
      </c>
    </row>
    <row r="70" spans="12:15">
      <c r="L70" s="4" t="str">
        <f>Trades!P76</f>
        <v>signal</v>
      </c>
      <c r="M70" s="5">
        <f>M69+Trades!T76</f>
        <v>8471.6500000000033</v>
      </c>
      <c r="N70" s="5">
        <f>N69+Trades!U76</f>
        <v>2.8964037799720321</v>
      </c>
      <c r="O70" s="5">
        <f>O69+Trades!W76</f>
        <v>12077.850905572179</v>
      </c>
    </row>
    <row r="71" spans="12:15">
      <c r="L71" s="4" t="str">
        <f>Trades!P77</f>
        <v>signal</v>
      </c>
      <c r="M71" s="5">
        <f>M70+Trades!T77</f>
        <v>8530.0900000000038</v>
      </c>
      <c r="N71" s="5">
        <f>N70+Trades!U77</f>
        <v>3.3922020313273746</v>
      </c>
      <c r="O71" s="5">
        <f>O70+Trades!W77</f>
        <v>11421.086448485808</v>
      </c>
    </row>
    <row r="72" spans="12:15">
      <c r="L72" s="4" t="str">
        <f>Trades!P78</f>
        <v>signal</v>
      </c>
      <c r="M72" s="5">
        <f>M71+Trades!T78</f>
        <v>8588.600000000004</v>
      </c>
      <c r="N72" s="5">
        <f>N71+Trades!U78</f>
        <v>3.3380449985375722</v>
      </c>
      <c r="O72" s="5">
        <f>O71+Trades!W78</f>
        <v>11409.086326398819</v>
      </c>
    </row>
    <row r="73" spans="12:15">
      <c r="L73" s="4" t="str">
        <f>Trades!P87</f>
        <v>signal</v>
      </c>
      <c r="M73" s="5">
        <f>M72+Trades!T87</f>
        <v>8637.350000000004</v>
      </c>
      <c r="N73" s="5">
        <f>N72+Trades!U87</f>
        <v>3.5235640267615409</v>
      </c>
      <c r="O73" s="5">
        <f>O72+Trades!W87</f>
        <v>11483.335800867571</v>
      </c>
    </row>
    <row r="74" spans="12:15">
      <c r="L74" s="4" t="str">
        <f>Trades!P66</f>
        <v>signal</v>
      </c>
      <c r="M74" s="5">
        <f>M73+Trades!T66</f>
        <v>8809.4700000000048</v>
      </c>
      <c r="N74" s="5">
        <f>N73+Trades!U66</f>
        <v>3.7106424884114322</v>
      </c>
      <c r="O74" s="5">
        <f>O73+Trades!W66</f>
        <v>10813.367145897284</v>
      </c>
    </row>
    <row r="75" spans="12:15">
      <c r="L75" s="4" t="str">
        <f>Trades!P67</f>
        <v>signal</v>
      </c>
      <c r="M75" s="5">
        <f>M74+Trades!T67</f>
        <v>8985.2000000000044</v>
      </c>
      <c r="N75" s="5">
        <f>N74+Trades!U67</f>
        <v>3.2743727922089163</v>
      </c>
      <c r="O75" s="5">
        <f>O74+Trades!W67</f>
        <v>10996.184470077262</v>
      </c>
    </row>
    <row r="76" spans="12:15">
      <c r="L76" s="4" t="str">
        <f>Trades!P88</f>
        <v>signal</v>
      </c>
      <c r="M76" s="5">
        <f>M75+Trades!T88</f>
        <v>9035.3900000000049</v>
      </c>
      <c r="N76" s="5">
        <f>N75+Trades!U88</f>
        <v>3.3071550841069941</v>
      </c>
      <c r="O76" s="5">
        <f>O75+Trades!W88</f>
        <v>11607.333632548962</v>
      </c>
    </row>
    <row r="77" spans="12:15">
      <c r="L77" s="4" t="str">
        <f>Trades!P79</f>
        <v>forced</v>
      </c>
      <c r="M77" s="5">
        <f>M76+Trades!T79</f>
        <v>9092.725000000004</v>
      </c>
      <c r="N77" s="5">
        <f>N76+Trades!U79</f>
        <v>3.3071550841069941</v>
      </c>
      <c r="O77" s="5">
        <f>O76+Trades!W79</f>
        <v>11395.993238444798</v>
      </c>
    </row>
    <row r="78" spans="12:15">
      <c r="L78" s="4" t="str">
        <f>Trades!P68</f>
        <v>signal</v>
      </c>
      <c r="M78" s="5">
        <f>M77+Trades!T68</f>
        <v>9271.0450000000037</v>
      </c>
      <c r="N78" s="5">
        <f>N77+Trades!U68</f>
        <v>3.2690625633996735</v>
      </c>
      <c r="O78" s="5">
        <f>O77+Trades!W68</f>
        <v>12762.587489929161</v>
      </c>
    </row>
    <row r="79" spans="12:15">
      <c r="L79" s="4" t="str">
        <f>Trades!P80</f>
        <v>signal</v>
      </c>
      <c r="M79" s="5">
        <f>M78+Trades!T80</f>
        <v>9321.5900000000038</v>
      </c>
      <c r="N79" s="5">
        <f>N78+Trades!U80</f>
        <v>3.6454932272192906</v>
      </c>
      <c r="O79" s="5">
        <f>O78+Trades!W80</f>
        <v>12977.264340384814</v>
      </c>
    </row>
    <row r="80" spans="12:15">
      <c r="L80" s="4" t="str">
        <f>Trades!P69</f>
        <v>signal</v>
      </c>
      <c r="M80" s="5">
        <f>M79+Trades!T69</f>
        <v>9501.0100000000039</v>
      </c>
      <c r="N80" s="5">
        <f>N79+Trades!U69</f>
        <v>3.7005003907199603</v>
      </c>
      <c r="O80" s="5">
        <f>O79+Trades!W69</f>
        <v>12947.875314701756</v>
      </c>
    </row>
    <row r="81" spans="12:15">
      <c r="L81" s="4">
        <f>Trades!P89</f>
        <v>0</v>
      </c>
      <c r="M81" s="5">
        <f>M80+Trades!T89</f>
        <v>9501.0100000000039</v>
      </c>
      <c r="N81" s="5">
        <f>N80+Trades!U89</f>
        <v>3.7005003907199603</v>
      </c>
      <c r="O81" s="5">
        <f>O80+Trades!W89</f>
        <v>12947.875314701756</v>
      </c>
    </row>
    <row r="82" spans="12:15">
      <c r="L82" s="4">
        <f>Trades!P90</f>
        <v>0</v>
      </c>
      <c r="M82" s="5">
        <f>M81+Trades!T90</f>
        <v>9501.0100000000039</v>
      </c>
      <c r="N82" s="5">
        <f>N81+Trades!U90</f>
        <v>3.7005003907199603</v>
      </c>
      <c r="O82" s="5">
        <f>O81+Trades!W90</f>
        <v>12947.875314701756</v>
      </c>
    </row>
    <row r="83" spans="12:15">
      <c r="L83" s="4" t="str">
        <f>Trades!P81</f>
        <v>signal</v>
      </c>
      <c r="M83" s="5">
        <f>M82+Trades!T81</f>
        <v>9550.9250000000047</v>
      </c>
      <c r="N83" s="5">
        <f>N82+Trades!U81</f>
        <v>3.9909451905045921</v>
      </c>
      <c r="O83" s="5">
        <f>O82+Trades!W81</f>
        <v>13061.003456121862</v>
      </c>
    </row>
    <row r="84" spans="12:15">
      <c r="L84" s="4" t="str">
        <f>Trades!P70</f>
        <v>signal</v>
      </c>
      <c r="M84" s="5">
        <f>M83+Trades!T70</f>
        <v>9719.5400000000045</v>
      </c>
      <c r="N84" s="5">
        <f>N83+Trades!U70</f>
        <v>3.6136604987237404</v>
      </c>
      <c r="O84" s="5">
        <f>O83+Trades!W70</f>
        <v>13701.82755371241</v>
      </c>
    </row>
    <row r="85" spans="12:15">
      <c r="L85" s="4">
        <f>Trades!P91</f>
        <v>0</v>
      </c>
      <c r="M85" s="5">
        <f>M84+Trades!T91</f>
        <v>9719.5400000000045</v>
      </c>
      <c r="N85" s="5">
        <f>N84+Trades!U91</f>
        <v>3.6136604987237404</v>
      </c>
      <c r="O85" s="5">
        <f>O84+Trades!W91</f>
        <v>13701.82755371241</v>
      </c>
    </row>
    <row r="86" spans="12:15">
      <c r="L86" s="4" t="str">
        <f>Trades!P71</f>
        <v>signal</v>
      </c>
      <c r="M86" s="5">
        <f>M85+Trades!T71</f>
        <v>9886.7400000000052</v>
      </c>
      <c r="N86" s="5">
        <f>N85+Trades!U71</f>
        <v>3.7286428706886676</v>
      </c>
      <c r="O86" s="5">
        <f>O85+Trades!W71</f>
        <v>14188.592230687878</v>
      </c>
    </row>
    <row r="87" spans="12:15">
      <c r="L87" s="4" t="str">
        <f>Trades!P72</f>
        <v>signal</v>
      </c>
      <c r="M87" s="5">
        <f>M86+Trades!T72</f>
        <v>9945.7200000000048</v>
      </c>
      <c r="N87" s="5">
        <f>N86+Trades!U72</f>
        <v>3.4149467743804864</v>
      </c>
      <c r="O87" s="5">
        <f>O86+Trades!W72</f>
        <v>13893.528994879251</v>
      </c>
    </row>
    <row r="88" spans="12:15">
      <c r="L88" s="4">
        <f>Trades!P92</f>
        <v>0</v>
      </c>
      <c r="M88" s="5">
        <f>M87+Trades!T92</f>
        <v>9945.7200000000048</v>
      </c>
      <c r="N88" s="5">
        <f>N87+Trades!U92</f>
        <v>1242.7728627743804</v>
      </c>
      <c r="O88" s="5">
        <f>O87+Trades!W92</f>
        <v>13893.528994879251</v>
      </c>
    </row>
    <row r="89" spans="12:15">
      <c r="L89" s="4" t="str">
        <f>Trades!P82</f>
        <v>signal</v>
      </c>
      <c r="M89" s="5">
        <f>M88+Trades!T82</f>
        <v>9995.2200000000048</v>
      </c>
      <c r="N89" s="5">
        <f>N88+Trades!U82</f>
        <v>1242.2795459265333</v>
      </c>
      <c r="O89" s="5">
        <f>O88+Trades!W82</f>
        <v>14102.339558558122</v>
      </c>
    </row>
    <row r="90" spans="12:15">
      <c r="L90" s="4" t="str">
        <f>Trades!P83</f>
        <v>signal</v>
      </c>
      <c r="M90" s="5">
        <f>M89+Trades!T83</f>
        <v>10043.665000000005</v>
      </c>
      <c r="N90" s="5">
        <f>N89+Trades!U83</f>
        <v>1242.6447062957291</v>
      </c>
      <c r="O90" s="5">
        <f>O89+Trades!W83</f>
        <v>13928.055047309952</v>
      </c>
    </row>
    <row r="91" spans="12:15">
      <c r="L91" s="4" t="str">
        <f>Trades!P73</f>
        <v>signal</v>
      </c>
      <c r="M91" s="5">
        <f>M90+Trades!T73</f>
        <v>10099.890000000005</v>
      </c>
      <c r="N91" s="5">
        <f>N90+Trades!U73</f>
        <v>1242.8299612181329</v>
      </c>
      <c r="O91" s="5">
        <f>O90+Trades!W73</f>
        <v>13503.230307315454</v>
      </c>
    </row>
    <row r="92" spans="12:15">
      <c r="L92" s="4" t="str">
        <f>Trades!P84</f>
        <v>signal</v>
      </c>
      <c r="M92" s="5">
        <f>M91+Trades!T84</f>
        <v>10148.820000000005</v>
      </c>
      <c r="N92" s="5">
        <f>N91+Trades!U84</f>
        <v>1243.267081716187</v>
      </c>
      <c r="O92" s="5">
        <f>O91+Trades!W84</f>
        <v>13567.914051343943</v>
      </c>
    </row>
    <row r="93" spans="12:15">
      <c r="L93" s="4">
        <f>Trades!P93</f>
        <v>0</v>
      </c>
      <c r="M93" s="5">
        <f>M92+Trades!T93</f>
        <v>10148.820000000005</v>
      </c>
      <c r="N93" s="5">
        <f>N92+Trades!U93</f>
        <v>1252.267081716187</v>
      </c>
      <c r="O93" s="5">
        <f>O92+Trades!W93</f>
        <v>13567.914051343943</v>
      </c>
    </row>
    <row r="94" spans="12:15">
      <c r="L94" s="4">
        <f>Trades!P94</f>
        <v>0</v>
      </c>
      <c r="M94" s="5">
        <f>M93+Trades!T94</f>
        <v>10148.820000000005</v>
      </c>
      <c r="N94" s="5">
        <f>N93+Trades!U94</f>
        <v>1389.9735168272982</v>
      </c>
      <c r="O94" s="5">
        <f>O93+Trades!W94</f>
        <v>13567.914051343943</v>
      </c>
    </row>
    <row r="95" spans="12:15">
      <c r="L95" s="4">
        <f>Trades!P105</f>
        <v>0</v>
      </c>
      <c r="M95" s="5">
        <f>M94+Trades!T105</f>
        <v>10148.820000000005</v>
      </c>
      <c r="N95" s="5">
        <f>N94+Trades!U105</f>
        <v>1389.9735168272982</v>
      </c>
      <c r="O95" s="5">
        <f>O94+Trades!W105</f>
        <v>13567.914051343943</v>
      </c>
    </row>
    <row r="96" spans="12:15">
      <c r="L96" s="4">
        <f>Trades!P95</f>
        <v>0</v>
      </c>
      <c r="M96" s="5">
        <f>M95+Trades!T95</f>
        <v>10148.820000000005</v>
      </c>
      <c r="N96" s="5">
        <f>N95+Trades!U95</f>
        <v>1390.0798609355375</v>
      </c>
      <c r="O96" s="5">
        <f>O95+Trades!W95</f>
        <v>13567.914051343943</v>
      </c>
    </row>
    <row r="97" spans="12:15">
      <c r="L97" s="4">
        <f>Trades!P106</f>
        <v>0</v>
      </c>
      <c r="M97" s="5">
        <f>M96+Trades!T106</f>
        <v>10148.820000000005</v>
      </c>
      <c r="N97" s="5">
        <f>N96+Trades!U106</f>
        <v>1390.0798609355375</v>
      </c>
      <c r="O97" s="5">
        <f>O96+Trades!W106</f>
        <v>13567.914051343943</v>
      </c>
    </row>
    <row r="98" spans="12:15">
      <c r="L98" s="4">
        <f>Trades!P96</f>
        <v>0</v>
      </c>
      <c r="M98" s="5">
        <f>M97+Trades!T96</f>
        <v>10148.820000000005</v>
      </c>
      <c r="N98" s="5">
        <f>N97+Trades!U96</f>
        <v>1390.0798609355375</v>
      </c>
      <c r="O98" s="5">
        <f>O97+Trades!W96</f>
        <v>13567.914051343943</v>
      </c>
    </row>
    <row r="99" spans="12:15">
      <c r="L99" s="4">
        <f>Trades!P97</f>
        <v>0</v>
      </c>
      <c r="M99" s="5">
        <f>M98+Trades!T97</f>
        <v>10148.820000000005</v>
      </c>
      <c r="N99" s="5">
        <f>N98+Trades!U97</f>
        <v>1390.0798609355375</v>
      </c>
      <c r="O99" s="5">
        <f>O98+Trades!W97</f>
        <v>13567.914051343943</v>
      </c>
    </row>
    <row r="100" spans="12:15">
      <c r="L100" s="4">
        <f>Trades!P98</f>
        <v>0</v>
      </c>
      <c r="M100" s="5">
        <f>M99+Trades!T98</f>
        <v>10148.820000000005</v>
      </c>
      <c r="N100" s="5">
        <f>N99+Trades!U98</f>
        <v>1390.0798609355375</v>
      </c>
      <c r="O100" s="5">
        <f>O99+Trades!W98</f>
        <v>13567.914051343943</v>
      </c>
    </row>
    <row r="101" spans="12:15">
      <c r="L101" s="4">
        <f>Trades!P107</f>
        <v>0</v>
      </c>
      <c r="M101" s="5">
        <f>M100+Trades!T107</f>
        <v>10148.820000000005</v>
      </c>
      <c r="N101" s="5">
        <f>N100+Trades!U107</f>
        <v>1390.0798609355375</v>
      </c>
      <c r="O101" s="5">
        <f>O100+Trades!W107</f>
        <v>13567.914051343943</v>
      </c>
    </row>
    <row r="102" spans="12:15">
      <c r="L102" s="4">
        <f>Trades!P99</f>
        <v>0</v>
      </c>
      <c r="M102" s="5">
        <f>M101+Trades!T99</f>
        <v>10148.820000000005</v>
      </c>
      <c r="N102" s="5">
        <f>N101+Trades!U99</f>
        <v>1390.0798609355375</v>
      </c>
      <c r="O102" s="5">
        <f>O101+Trades!W99</f>
        <v>13567.914051343943</v>
      </c>
    </row>
    <row r="103" spans="12:15">
      <c r="L103" s="4">
        <f>Trades!P108</f>
        <v>0</v>
      </c>
      <c r="M103" s="5">
        <f>M102+Trades!T108</f>
        <v>10148.820000000005</v>
      </c>
      <c r="N103" s="5">
        <f>N102+Trades!U108</f>
        <v>1390.0798609355375</v>
      </c>
      <c r="O103" s="5">
        <f>O102+Trades!W108</f>
        <v>13567.914051343943</v>
      </c>
    </row>
    <row r="104" spans="12:15">
      <c r="L104" s="4">
        <f>Trades!P100</f>
        <v>0</v>
      </c>
      <c r="M104" s="5">
        <f>M103+Trades!T100</f>
        <v>10148.820000000005</v>
      </c>
      <c r="N104" s="5">
        <f>N103+Trades!U100</f>
        <v>1390.0798609355375</v>
      </c>
      <c r="O104" s="5">
        <f>O103+Trades!W100</f>
        <v>13567.914051343943</v>
      </c>
    </row>
    <row r="105" spans="12:15">
      <c r="L105" s="4">
        <f>Trades!P109</f>
        <v>0</v>
      </c>
      <c r="M105" s="5">
        <f>M104+Trades!T109</f>
        <v>10148.820000000005</v>
      </c>
      <c r="N105" s="5">
        <f>N104+Trades!U109</f>
        <v>1390.0798609355375</v>
      </c>
      <c r="O105" s="5">
        <f>O104+Trades!W109</f>
        <v>13567.914051343943</v>
      </c>
    </row>
    <row r="106" spans="12:15">
      <c r="L106" s="4">
        <f>Trades!P110</f>
        <v>0</v>
      </c>
      <c r="M106" s="5">
        <f>M105+Trades!T110</f>
        <v>10148.820000000005</v>
      </c>
      <c r="N106" s="5">
        <f>N105+Trades!U110</f>
        <v>1390.0798609355375</v>
      </c>
      <c r="O106" s="5">
        <f>O105+Trades!W110</f>
        <v>13567.914051343943</v>
      </c>
    </row>
    <row r="107" spans="12:15">
      <c r="L107" s="4">
        <f>Trades!P101</f>
        <v>0</v>
      </c>
      <c r="M107" s="5">
        <f>M106+Trades!T101</f>
        <v>10148.820000000005</v>
      </c>
      <c r="N107" s="5">
        <f>N106+Trades!U101</f>
        <v>1390.0798609355375</v>
      </c>
      <c r="O107" s="5">
        <f>O106+Trades!W101</f>
        <v>13567.914051343943</v>
      </c>
    </row>
    <row r="108" spans="12:15">
      <c r="L108" s="4">
        <f>Trades!P111</f>
        <v>0</v>
      </c>
      <c r="M108" s="5">
        <f>M107+Trades!T111</f>
        <v>10148.820000000005</v>
      </c>
      <c r="N108" s="5">
        <f>N107+Trades!U111</f>
        <v>1390.0798609355375</v>
      </c>
      <c r="O108" s="5">
        <f>O107+Trades!W111</f>
        <v>13567.914051343943</v>
      </c>
    </row>
    <row r="109" spans="12:15">
      <c r="L109" s="4">
        <f>Trades!P102</f>
        <v>0</v>
      </c>
      <c r="M109" s="5">
        <f>M108+Trades!T102</f>
        <v>10148.820000000005</v>
      </c>
      <c r="N109" s="5">
        <f>N108+Trades!U102</f>
        <v>1390.0798609355375</v>
      </c>
      <c r="O109" s="5">
        <f>O108+Trades!W102</f>
        <v>13567.914051343943</v>
      </c>
    </row>
    <row r="110" spans="12:15">
      <c r="L110" s="4">
        <f>Trades!P112</f>
        <v>0</v>
      </c>
      <c r="M110" s="5">
        <f>M109+Trades!T112</f>
        <v>10148.820000000005</v>
      </c>
      <c r="N110" s="5">
        <f>N109+Trades!U112</f>
        <v>1390.0798609355375</v>
      </c>
      <c r="O110" s="5">
        <f>O109+Trades!W112</f>
        <v>13567.914051343943</v>
      </c>
    </row>
    <row r="111" spans="12:15">
      <c r="L111" s="4">
        <f>Trades!P103</f>
        <v>0</v>
      </c>
      <c r="M111" s="5">
        <f>M110+Trades!T103</f>
        <v>10148.820000000005</v>
      </c>
      <c r="N111" s="5">
        <f>N110+Trades!U103</f>
        <v>1390.0798609355375</v>
      </c>
      <c r="O111" s="5">
        <f>O110+Trades!W103</f>
        <v>13567.914051343943</v>
      </c>
    </row>
    <row r="112" spans="12:15">
      <c r="L112" s="4">
        <f>Trades!P113</f>
        <v>0</v>
      </c>
      <c r="M112" s="5">
        <f>M111+Trades!T113</f>
        <v>10148.820000000005</v>
      </c>
      <c r="N112" s="5">
        <f>N111+Trades!U113</f>
        <v>1390.0798609355375</v>
      </c>
      <c r="O112" s="5">
        <f>O111+Trades!W113</f>
        <v>13567.914051343943</v>
      </c>
    </row>
    <row r="113" spans="12:15">
      <c r="L113" s="4">
        <f>Trades!P104</f>
        <v>0</v>
      </c>
      <c r="M113" s="5">
        <f>M112+Trades!T104</f>
        <v>10148.820000000005</v>
      </c>
      <c r="N113" s="5">
        <f>N112+Trades!U104</f>
        <v>1390.0798609355375</v>
      </c>
      <c r="O113" s="5">
        <f>O112+Trades!W104</f>
        <v>13567.914051343943</v>
      </c>
    </row>
    <row r="114" spans="12:15">
      <c r="L114" s="4">
        <f>Trades!P248</f>
        <v>0</v>
      </c>
      <c r="M114" s="5">
        <f>M113+Trades!T248</f>
        <v>10148.820000000005</v>
      </c>
      <c r="N114" s="5">
        <f>N113+Trades!U248</f>
        <v>1390.0798609355375</v>
      </c>
      <c r="O114" s="5">
        <f>O113+Trades!W248</f>
        <v>13567.914051343943</v>
      </c>
    </row>
    <row r="115" spans="12:15">
      <c r="L115" s="4">
        <f>Trades!P114</f>
        <v>0</v>
      </c>
      <c r="M115" s="5">
        <f>M114+Trades!T114</f>
        <v>10148.820000000005</v>
      </c>
      <c r="N115" s="5">
        <f>N114+Trades!U114</f>
        <v>1390.0798609355375</v>
      </c>
      <c r="O115" s="5">
        <f>O114+Trades!W114</f>
        <v>13567.914051343943</v>
      </c>
    </row>
    <row r="116" spans="12:15">
      <c r="L116" s="4">
        <f>Trades!P126</f>
        <v>0</v>
      </c>
      <c r="M116" s="5">
        <f>M115+Trades!T126</f>
        <v>10148.820000000005</v>
      </c>
      <c r="N116" s="5">
        <f>N115+Trades!U126</f>
        <v>1390.0798609355375</v>
      </c>
      <c r="O116" s="5">
        <f>O115+Trades!W126</f>
        <v>13567.914051343943</v>
      </c>
    </row>
    <row r="117" spans="12:15">
      <c r="L117" s="4">
        <f>Trades!P137</f>
        <v>0</v>
      </c>
      <c r="M117" s="5">
        <f>M116+Trades!T137</f>
        <v>10148.820000000005</v>
      </c>
      <c r="N117" s="5">
        <f>N116+Trades!U137</f>
        <v>1390.0798609355375</v>
      </c>
      <c r="O117" s="5">
        <f>O116+Trades!W137</f>
        <v>13567.914051343943</v>
      </c>
    </row>
    <row r="118" spans="12:15">
      <c r="L118" s="4">
        <f>Trades!P148</f>
        <v>0</v>
      </c>
      <c r="M118" s="5">
        <f>M117+Trades!T148</f>
        <v>10148.820000000005</v>
      </c>
      <c r="N118" s="5">
        <f>N117+Trades!U148</f>
        <v>1390.0798609355375</v>
      </c>
      <c r="O118" s="5">
        <f>O117+Trades!W148</f>
        <v>13567.914051343943</v>
      </c>
    </row>
    <row r="119" spans="12:15">
      <c r="L119" s="4">
        <f>Trades!P159</f>
        <v>0</v>
      </c>
      <c r="M119" s="5">
        <f>M118+Trades!T159</f>
        <v>10148.820000000005</v>
      </c>
      <c r="N119" s="5">
        <f>N118+Trades!U159</f>
        <v>1390.0798609355375</v>
      </c>
      <c r="O119" s="5">
        <f>O118+Trades!W159</f>
        <v>13567.914051343943</v>
      </c>
    </row>
    <row r="120" spans="12:15">
      <c r="L120" s="4">
        <f>Trades!P166</f>
        <v>0</v>
      </c>
      <c r="M120" s="5">
        <f>M119+Trades!T166</f>
        <v>10148.820000000005</v>
      </c>
      <c r="N120" s="5">
        <f>N119+Trades!U166</f>
        <v>1390.0798609355375</v>
      </c>
      <c r="O120" s="5">
        <f>O119+Trades!W166</f>
        <v>13567.914051343943</v>
      </c>
    </row>
    <row r="121" spans="12:15">
      <c r="L121" s="4">
        <f>Trades!P177</f>
        <v>0</v>
      </c>
      <c r="M121" s="5">
        <f>M120+Trades!T177</f>
        <v>10148.820000000005</v>
      </c>
      <c r="N121" s="5">
        <f>N120+Trades!U177</f>
        <v>1390.0798609355375</v>
      </c>
      <c r="O121" s="5">
        <f>O120+Trades!W177</f>
        <v>13567.914051343943</v>
      </c>
    </row>
    <row r="122" spans="12:15">
      <c r="L122" s="4">
        <f>Trades!P200</f>
        <v>0</v>
      </c>
      <c r="M122" s="5">
        <f>M121+Trades!T200</f>
        <v>10148.820000000005</v>
      </c>
      <c r="N122" s="5">
        <f>N121+Trades!U200</f>
        <v>1390.0798609355375</v>
      </c>
      <c r="O122" s="5">
        <f>O121+Trades!W200</f>
        <v>13567.914051343943</v>
      </c>
    </row>
    <row r="123" spans="12:15">
      <c r="L123" s="4">
        <f>Trades!P212</f>
        <v>0</v>
      </c>
      <c r="M123" s="5">
        <f>M122+Trades!T212</f>
        <v>10148.820000000005</v>
      </c>
      <c r="N123" s="5">
        <f>N122+Trades!U212</f>
        <v>1390.0798609355375</v>
      </c>
      <c r="O123" s="5">
        <f>O122+Trades!W212</f>
        <v>13567.914051343943</v>
      </c>
    </row>
    <row r="124" spans="12:15">
      <c r="L124" s="4">
        <f>Trades!P226</f>
        <v>0</v>
      </c>
      <c r="M124" s="5">
        <f>M123+Trades!T226</f>
        <v>10148.820000000005</v>
      </c>
      <c r="N124" s="5">
        <f>N123+Trades!U226</f>
        <v>1390.0798609355375</v>
      </c>
      <c r="O124" s="5">
        <f>O123+Trades!W226</f>
        <v>13567.914051343943</v>
      </c>
    </row>
    <row r="125" spans="12:15">
      <c r="L125" s="4">
        <f>Trades!P237</f>
        <v>0</v>
      </c>
      <c r="M125" s="5">
        <f>M124+Trades!T237</f>
        <v>10148.820000000005</v>
      </c>
      <c r="N125" s="5">
        <f>N124+Trades!U237</f>
        <v>1390.0798609355375</v>
      </c>
      <c r="O125" s="5">
        <f>O124+Trades!W237</f>
        <v>13567.914051343943</v>
      </c>
    </row>
    <row r="126" spans="12:15">
      <c r="L126" s="4">
        <f>Trades!P256</f>
        <v>0</v>
      </c>
      <c r="M126" s="5">
        <f>M125+Trades!T256</f>
        <v>10148.820000000005</v>
      </c>
      <c r="N126" s="5">
        <f>N125+Trades!U256</f>
        <v>1390.0798609355375</v>
      </c>
      <c r="O126" s="5">
        <f>O125+Trades!W256</f>
        <v>13567.914051343943</v>
      </c>
    </row>
    <row r="127" spans="12:15">
      <c r="L127" s="4">
        <f>Trades!P268</f>
        <v>0</v>
      </c>
      <c r="M127" s="5">
        <f>M126+Trades!T268</f>
        <v>10148.820000000005</v>
      </c>
      <c r="N127" s="5">
        <f>N126+Trades!U268</f>
        <v>1390.0798609355375</v>
      </c>
      <c r="O127" s="5">
        <f>O126+Trades!W268</f>
        <v>13567.914051343943</v>
      </c>
    </row>
    <row r="128" spans="12:15">
      <c r="L128" s="4">
        <f>Trades!P281</f>
        <v>0</v>
      </c>
      <c r="M128" s="5">
        <f>M127+Trades!T281</f>
        <v>10148.820000000005</v>
      </c>
      <c r="N128" s="5">
        <f>N127+Trades!U281</f>
        <v>1390.0798609355375</v>
      </c>
      <c r="O128" s="5">
        <f>O127+Trades!W281</f>
        <v>13567.914051343943</v>
      </c>
    </row>
    <row r="129" spans="12:15">
      <c r="L129" s="4">
        <f>Trades!P291</f>
        <v>0</v>
      </c>
      <c r="M129" s="5">
        <f>M128+Trades!T291</f>
        <v>10148.820000000005</v>
      </c>
      <c r="N129" s="5">
        <f>N128+Trades!U291</f>
        <v>1390.0798609355375</v>
      </c>
      <c r="O129" s="5">
        <f>O128+Trades!W291</f>
        <v>13567.914051343943</v>
      </c>
    </row>
    <row r="130" spans="12:15">
      <c r="L130" s="4">
        <f>Trades!P308</f>
        <v>0</v>
      </c>
      <c r="M130" s="5">
        <f>M129+Trades!T308</f>
        <v>10148.820000000005</v>
      </c>
      <c r="N130" s="5">
        <f>N129+Trades!U308</f>
        <v>1390.0798609355375</v>
      </c>
      <c r="O130" s="5">
        <f>O129+Trades!W308</f>
        <v>13567.914051343943</v>
      </c>
    </row>
    <row r="131" spans="12:15">
      <c r="L131" s="4">
        <f>Trades!P318</f>
        <v>0</v>
      </c>
      <c r="M131" s="5">
        <f>M130+Trades!T318</f>
        <v>10148.820000000005</v>
      </c>
      <c r="N131" s="5">
        <f>N130+Trades!U318</f>
        <v>1390.0798609355375</v>
      </c>
      <c r="O131" s="5">
        <f>O130+Trades!W318</f>
        <v>13567.914051343943</v>
      </c>
    </row>
    <row r="132" spans="12:15">
      <c r="L132" s="4">
        <f>Trades!P327</f>
        <v>0</v>
      </c>
      <c r="M132" s="5">
        <f>M131+Trades!T327</f>
        <v>10148.820000000005</v>
      </c>
      <c r="N132" s="5">
        <f>N131+Trades!U327</f>
        <v>1390.0798609355375</v>
      </c>
      <c r="O132" s="5">
        <f>O131+Trades!W327</f>
        <v>13567.914051343943</v>
      </c>
    </row>
    <row r="133" spans="12:15">
      <c r="L133" s="4">
        <f>Trades!P337</f>
        <v>0</v>
      </c>
      <c r="M133" s="5">
        <f>M132+Trades!T337</f>
        <v>10148.820000000005</v>
      </c>
      <c r="N133" s="5">
        <f>N132+Trades!U337</f>
        <v>1390.0798609355375</v>
      </c>
      <c r="O133" s="5">
        <f>O132+Trades!W337</f>
        <v>13567.914051343943</v>
      </c>
    </row>
    <row r="134" spans="12:15">
      <c r="L134" s="4">
        <f>Trades!P191</f>
        <v>0</v>
      </c>
      <c r="M134" s="5">
        <f>M133+Trades!T191</f>
        <v>10148.820000000005</v>
      </c>
      <c r="N134" s="5">
        <f>N133+Trades!U191</f>
        <v>1390.0798609355375</v>
      </c>
      <c r="O134" s="5">
        <f>O133+Trades!W191</f>
        <v>13567.914051343943</v>
      </c>
    </row>
    <row r="135" spans="12:15">
      <c r="L135" s="4">
        <f>Trades!P257</f>
        <v>0</v>
      </c>
      <c r="M135" s="5">
        <f>M134+Trades!T257</f>
        <v>10148.820000000005</v>
      </c>
      <c r="N135" s="5">
        <f>N134+Trades!U257</f>
        <v>1390.0798609355375</v>
      </c>
      <c r="O135" s="5">
        <f>O134+Trades!W257</f>
        <v>13567.914051343943</v>
      </c>
    </row>
    <row r="136" spans="12:15">
      <c r="L136" s="4">
        <f>Trades!P213</f>
        <v>0</v>
      </c>
      <c r="M136" s="5">
        <f>M135+Trades!T213</f>
        <v>10148.820000000005</v>
      </c>
      <c r="N136" s="5">
        <f>N135+Trades!U213</f>
        <v>1390.0798609355375</v>
      </c>
      <c r="O136" s="5">
        <f>O135+Trades!W213</f>
        <v>13567.914051343943</v>
      </c>
    </row>
    <row r="137" spans="12:15">
      <c r="L137" s="4">
        <f>Trades!P282</f>
        <v>0</v>
      </c>
      <c r="M137" s="5">
        <f>M136+Trades!T282</f>
        <v>10148.820000000005</v>
      </c>
      <c r="N137" s="5">
        <f>N136+Trades!U282</f>
        <v>1390.0798609355375</v>
      </c>
      <c r="O137" s="5">
        <f>O136+Trades!W282</f>
        <v>13567.914051343943</v>
      </c>
    </row>
    <row r="138" spans="12:15">
      <c r="L138" s="4">
        <f>Trades!P328</f>
        <v>0</v>
      </c>
      <c r="M138" s="5">
        <f>M137+Trades!T328</f>
        <v>10148.820000000005</v>
      </c>
      <c r="N138" s="5">
        <f>N137+Trades!U328</f>
        <v>1390.0798609355375</v>
      </c>
      <c r="O138" s="5">
        <f>O137+Trades!W328</f>
        <v>13567.914051343943</v>
      </c>
    </row>
    <row r="139" spans="12:15">
      <c r="L139" s="4">
        <f>Trades!P178</f>
        <v>0</v>
      </c>
      <c r="M139" s="5">
        <f>M138+Trades!T178</f>
        <v>10148.820000000005</v>
      </c>
      <c r="N139" s="5">
        <f>N138+Trades!U178</f>
        <v>1390.0798609355375</v>
      </c>
      <c r="O139" s="5">
        <f>O138+Trades!W178</f>
        <v>13567.914051343943</v>
      </c>
    </row>
    <row r="140" spans="12:15">
      <c r="L140" s="4">
        <f>Trades!P127</f>
        <v>0</v>
      </c>
      <c r="M140" s="5">
        <f>M139+Trades!T127</f>
        <v>10148.820000000005</v>
      </c>
      <c r="N140" s="5">
        <f>N139+Trades!U127</f>
        <v>1390.0798609355375</v>
      </c>
      <c r="O140" s="5">
        <f>O139+Trades!W127</f>
        <v>13567.914051343943</v>
      </c>
    </row>
    <row r="141" spans="12:15">
      <c r="L141" s="4">
        <f>Trades!P201</f>
        <v>0</v>
      </c>
      <c r="M141" s="5">
        <f>M140+Trades!T201</f>
        <v>10148.820000000005</v>
      </c>
      <c r="N141" s="5">
        <f>N140+Trades!U201</f>
        <v>1390.0798609355375</v>
      </c>
      <c r="O141" s="5">
        <f>O140+Trades!W201</f>
        <v>13567.914051343943</v>
      </c>
    </row>
    <row r="142" spans="12:15">
      <c r="L142" s="4">
        <f>Trades!P292</f>
        <v>0</v>
      </c>
      <c r="M142" s="5">
        <f>M141+Trades!T292</f>
        <v>10148.820000000005</v>
      </c>
      <c r="N142" s="5">
        <f>N141+Trades!U292</f>
        <v>1390.0798609355375</v>
      </c>
      <c r="O142" s="5">
        <f>O141+Trades!W292</f>
        <v>13567.914051343943</v>
      </c>
    </row>
    <row r="143" spans="12:15">
      <c r="L143" s="4">
        <f>Trades!P293</f>
        <v>0</v>
      </c>
      <c r="M143" s="5">
        <f>M142+Trades!T293</f>
        <v>10148.820000000005</v>
      </c>
      <c r="N143" s="5">
        <f>N142+Trades!U293</f>
        <v>1390.0798609355375</v>
      </c>
      <c r="O143" s="5">
        <f>O142+Trades!W293</f>
        <v>13567.914051343943</v>
      </c>
    </row>
    <row r="144" spans="12:15">
      <c r="L144" s="4">
        <f>Trades!P249</f>
        <v>0</v>
      </c>
      <c r="M144" s="5">
        <f>M143+Trades!T249</f>
        <v>10148.820000000005</v>
      </c>
      <c r="N144" s="5">
        <f>N143+Trades!U249</f>
        <v>1390.0798609355375</v>
      </c>
      <c r="O144" s="5">
        <f>O143+Trades!W249</f>
        <v>13567.914051343943</v>
      </c>
    </row>
    <row r="145" spans="12:15">
      <c r="L145" s="4">
        <f>Trades!P238</f>
        <v>0</v>
      </c>
      <c r="M145" s="5">
        <f>M144+Trades!T238</f>
        <v>10148.820000000005</v>
      </c>
      <c r="N145" s="5">
        <f>N144+Trades!U238</f>
        <v>1390.0798609355375</v>
      </c>
      <c r="O145" s="5">
        <f>O144+Trades!W238</f>
        <v>13567.914051343943</v>
      </c>
    </row>
    <row r="146" spans="12:15">
      <c r="L146" s="4">
        <f>Trades!P214</f>
        <v>0</v>
      </c>
      <c r="M146" s="5">
        <f>M145+Trades!T214</f>
        <v>10148.820000000005</v>
      </c>
      <c r="N146" s="5">
        <f>N145+Trades!U214</f>
        <v>1390.0798609355375</v>
      </c>
      <c r="O146" s="5">
        <f>O145+Trades!W214</f>
        <v>13567.914051343943</v>
      </c>
    </row>
    <row r="147" spans="12:15">
      <c r="L147" s="4">
        <f>Trades!P283</f>
        <v>0</v>
      </c>
      <c r="M147" s="5">
        <f>M146+Trades!T283</f>
        <v>10148.820000000005</v>
      </c>
      <c r="N147" s="5">
        <f>N146+Trades!U283</f>
        <v>1390.0798609355375</v>
      </c>
      <c r="O147" s="5">
        <f>O146+Trades!W283</f>
        <v>13567.914051343943</v>
      </c>
    </row>
    <row r="148" spans="12:15">
      <c r="L148" s="4">
        <f>Trades!P319</f>
        <v>0</v>
      </c>
      <c r="M148" s="5">
        <f>M147+Trades!T319</f>
        <v>10148.820000000005</v>
      </c>
      <c r="N148" s="5">
        <f>N147+Trades!U319</f>
        <v>1390.0798609355375</v>
      </c>
      <c r="O148" s="5">
        <f>O147+Trades!W319</f>
        <v>13567.914051343943</v>
      </c>
    </row>
    <row r="149" spans="12:15">
      <c r="L149" s="4">
        <f>Trades!P258</f>
        <v>0</v>
      </c>
      <c r="M149" s="5">
        <f>M148+Trades!T258</f>
        <v>10148.820000000005</v>
      </c>
      <c r="N149" s="5">
        <f>N148+Trades!U258</f>
        <v>1390.0798609355375</v>
      </c>
      <c r="O149" s="5">
        <f>O148+Trades!W258</f>
        <v>13567.914051343943</v>
      </c>
    </row>
    <row r="150" spans="12:15">
      <c r="L150" s="4">
        <f>Trades!P338</f>
        <v>0</v>
      </c>
      <c r="M150" s="5">
        <f>M149+Trades!T338</f>
        <v>10148.820000000005</v>
      </c>
      <c r="N150" s="5">
        <f>N149+Trades!U338</f>
        <v>1390.0798609355375</v>
      </c>
      <c r="O150" s="5">
        <f>O149+Trades!W338</f>
        <v>13567.914051343943</v>
      </c>
    </row>
    <row r="151" spans="12:15">
      <c r="L151" s="4">
        <f>Trades!P138</f>
        <v>0</v>
      </c>
      <c r="M151" s="5">
        <f>M150+Trades!T138</f>
        <v>10148.820000000005</v>
      </c>
      <c r="N151" s="5">
        <f>N150+Trades!U138</f>
        <v>1390.0798609355375</v>
      </c>
      <c r="O151" s="5">
        <f>O150+Trades!W138</f>
        <v>13567.914051343943</v>
      </c>
    </row>
    <row r="152" spans="12:15">
      <c r="L152" s="4">
        <f>Trades!P294</f>
        <v>0</v>
      </c>
      <c r="M152" s="5">
        <f>M151+Trades!T294</f>
        <v>10148.820000000005</v>
      </c>
      <c r="N152" s="5">
        <f>N151+Trades!U294</f>
        <v>1390.0798609355375</v>
      </c>
      <c r="O152" s="5">
        <f>O151+Trades!W294</f>
        <v>13567.914051343943</v>
      </c>
    </row>
    <row r="153" spans="12:15">
      <c r="L153" s="4">
        <f>Trades!P269</f>
        <v>0</v>
      </c>
      <c r="M153" s="5">
        <f>M152+Trades!T269</f>
        <v>10148.820000000005</v>
      </c>
      <c r="N153" s="5">
        <f>N152+Trades!U269</f>
        <v>1390.0798609355375</v>
      </c>
      <c r="O153" s="5">
        <f>O152+Trades!W269</f>
        <v>13567.914051343943</v>
      </c>
    </row>
    <row r="154" spans="12:15">
      <c r="L154" s="4">
        <f>Trades!P149</f>
        <v>0</v>
      </c>
      <c r="M154" s="5">
        <f>M153+Trades!T149</f>
        <v>10148.820000000005</v>
      </c>
      <c r="N154" s="5">
        <f>N153+Trades!U149</f>
        <v>1390.0798609355375</v>
      </c>
      <c r="O154" s="5">
        <f>O153+Trades!W149</f>
        <v>13567.914051343943</v>
      </c>
    </row>
    <row r="155" spans="12:15">
      <c r="L155" s="4">
        <f>Trades!P160</f>
        <v>0</v>
      </c>
      <c r="M155" s="5">
        <f>M154+Trades!T160</f>
        <v>10148.820000000005</v>
      </c>
      <c r="N155" s="5">
        <f>N154+Trades!U160</f>
        <v>1390.0798609355375</v>
      </c>
      <c r="O155" s="5">
        <f>O154+Trades!W160</f>
        <v>13567.914051343943</v>
      </c>
    </row>
    <row r="156" spans="12:15">
      <c r="L156" s="4">
        <f>Trades!P179</f>
        <v>0</v>
      </c>
      <c r="M156" s="5">
        <f>M155+Trades!T179</f>
        <v>10148.820000000005</v>
      </c>
      <c r="N156" s="5">
        <f>N155+Trades!U179</f>
        <v>1390.0798609355375</v>
      </c>
      <c r="O156" s="5">
        <f>O155+Trades!W179</f>
        <v>13567.914051343943</v>
      </c>
    </row>
    <row r="157" spans="12:15">
      <c r="L157" s="4">
        <f>Trades!P202</f>
        <v>0</v>
      </c>
      <c r="M157" s="5">
        <f>M156+Trades!T202</f>
        <v>10148.820000000005</v>
      </c>
      <c r="N157" s="5">
        <f>N156+Trades!U202</f>
        <v>1390.0798609355375</v>
      </c>
      <c r="O157" s="5">
        <f>O156+Trades!W202</f>
        <v>13567.914051343943</v>
      </c>
    </row>
    <row r="158" spans="12:15">
      <c r="L158" s="4">
        <f>Trades!P227</f>
        <v>0</v>
      </c>
      <c r="M158" s="5">
        <f>M157+Trades!T227</f>
        <v>10148.820000000005</v>
      </c>
      <c r="N158" s="5">
        <f>N157+Trades!U227</f>
        <v>1390.0798609355375</v>
      </c>
      <c r="O158" s="5">
        <f>O157+Trades!W227</f>
        <v>13567.914051343943</v>
      </c>
    </row>
    <row r="159" spans="12:15">
      <c r="L159" s="4">
        <f>Trades!P250</f>
        <v>0</v>
      </c>
      <c r="M159" s="5">
        <f>M158+Trades!T250</f>
        <v>10148.820000000005</v>
      </c>
      <c r="N159" s="5">
        <f>N158+Trades!U250</f>
        <v>1390.0798609355375</v>
      </c>
      <c r="O159" s="5">
        <f>O158+Trades!W250</f>
        <v>13567.914051343943</v>
      </c>
    </row>
    <row r="160" spans="12:15">
      <c r="L160" s="4">
        <f>Trades!P115</f>
        <v>0</v>
      </c>
      <c r="M160" s="5">
        <f>M159+Trades!T115</f>
        <v>10148.820000000005</v>
      </c>
      <c r="N160" s="5">
        <f>N159+Trades!U115</f>
        <v>1390.0798609355375</v>
      </c>
      <c r="O160" s="5">
        <f>O159+Trades!W115</f>
        <v>13567.914051343943</v>
      </c>
    </row>
    <row r="161" spans="12:15">
      <c r="L161" s="4">
        <f>Trades!P192</f>
        <v>0</v>
      </c>
      <c r="M161" s="5">
        <f>M160+Trades!T192</f>
        <v>10148.820000000005</v>
      </c>
      <c r="N161" s="5">
        <f>N160+Trades!U192</f>
        <v>1390.0798609355375</v>
      </c>
      <c r="O161" s="5">
        <f>O160+Trades!W192</f>
        <v>13567.914051343943</v>
      </c>
    </row>
    <row r="162" spans="12:15">
      <c r="L162" s="4">
        <f>Trades!P215</f>
        <v>0</v>
      </c>
      <c r="M162" s="5">
        <f>M161+Trades!T215</f>
        <v>10148.820000000005</v>
      </c>
      <c r="N162" s="5">
        <f>N161+Trades!U215</f>
        <v>1390.0798609355375</v>
      </c>
      <c r="O162" s="5">
        <f>O161+Trades!W215</f>
        <v>13567.914051343943</v>
      </c>
    </row>
    <row r="163" spans="12:15">
      <c r="L163" s="4">
        <f>Trades!P309</f>
        <v>0</v>
      </c>
      <c r="M163" s="5">
        <f>M162+Trades!T309</f>
        <v>10148.820000000005</v>
      </c>
      <c r="N163" s="5">
        <f>N162+Trades!U309</f>
        <v>1390.0798609355375</v>
      </c>
      <c r="O163" s="5">
        <f>O162+Trades!W309</f>
        <v>13567.914051343943</v>
      </c>
    </row>
    <row r="164" spans="12:15">
      <c r="L164" s="4">
        <f>Trades!P329</f>
        <v>0</v>
      </c>
      <c r="M164" s="5">
        <f>M163+Trades!T329</f>
        <v>10148.820000000005</v>
      </c>
      <c r="N164" s="5">
        <f>N163+Trades!U329</f>
        <v>1390.0798609355375</v>
      </c>
      <c r="O164" s="5">
        <f>O163+Trades!W329</f>
        <v>13567.914051343943</v>
      </c>
    </row>
    <row r="165" spans="12:15">
      <c r="L165" s="4">
        <f>Trades!P116</f>
        <v>0</v>
      </c>
      <c r="M165" s="5">
        <f>M164+Trades!T116</f>
        <v>10148.820000000005</v>
      </c>
      <c r="N165" s="5">
        <f>N164+Trades!U116</f>
        <v>1390.0798609355375</v>
      </c>
      <c r="O165" s="5">
        <f>O164+Trades!W116</f>
        <v>13567.914051343943</v>
      </c>
    </row>
    <row r="166" spans="12:15">
      <c r="L166" s="4">
        <f>Trades!P270</f>
        <v>0</v>
      </c>
      <c r="M166" s="5">
        <f>M165+Trades!T270</f>
        <v>10148.820000000005</v>
      </c>
      <c r="N166" s="5">
        <f>N165+Trades!U270</f>
        <v>1390.0798609355375</v>
      </c>
      <c r="O166" s="5">
        <f>O165+Trades!W270</f>
        <v>13567.914051343943</v>
      </c>
    </row>
    <row r="167" spans="12:15">
      <c r="L167" s="4">
        <f>Trades!P239</f>
        <v>0</v>
      </c>
      <c r="M167" s="5">
        <f>M166+Trades!T239</f>
        <v>10148.820000000005</v>
      </c>
      <c r="N167" s="5">
        <f>N166+Trades!U239</f>
        <v>1390.0798609355375</v>
      </c>
      <c r="O167" s="5">
        <f>O166+Trades!W239</f>
        <v>13567.914051343943</v>
      </c>
    </row>
    <row r="168" spans="12:15">
      <c r="L168" s="4">
        <f>Trades!P216</f>
        <v>0</v>
      </c>
      <c r="M168" s="5">
        <f>M167+Trades!T216</f>
        <v>10148.820000000005</v>
      </c>
      <c r="N168" s="5">
        <f>N167+Trades!U216</f>
        <v>1390.0798609355375</v>
      </c>
      <c r="O168" s="5">
        <f>O167+Trades!W216</f>
        <v>13567.914051343943</v>
      </c>
    </row>
    <row r="169" spans="12:15">
      <c r="L169" s="4">
        <f>Trades!P259</f>
        <v>0</v>
      </c>
      <c r="M169" s="5">
        <f>M168+Trades!T259</f>
        <v>10148.820000000005</v>
      </c>
      <c r="N169" s="5">
        <f>N168+Trades!U259</f>
        <v>1390.0798609355375</v>
      </c>
      <c r="O169" s="5">
        <f>O168+Trades!W259</f>
        <v>13567.914051343943</v>
      </c>
    </row>
    <row r="170" spans="12:15">
      <c r="L170" s="4">
        <f>Trades!P139</f>
        <v>0</v>
      </c>
      <c r="M170" s="5">
        <f>M169+Trades!T139</f>
        <v>10148.820000000005</v>
      </c>
      <c r="N170" s="5">
        <f>N169+Trades!U139</f>
        <v>1390.0798609355375</v>
      </c>
      <c r="O170" s="5">
        <f>O169+Trades!W139</f>
        <v>13567.914051343943</v>
      </c>
    </row>
    <row r="171" spans="12:15">
      <c r="L171" s="4">
        <f>Trades!P339</f>
        <v>0</v>
      </c>
      <c r="M171" s="5">
        <f>M170+Trades!T339</f>
        <v>10148.820000000005</v>
      </c>
      <c r="N171" s="5">
        <f>N170+Trades!U339</f>
        <v>1390.0798609355375</v>
      </c>
      <c r="O171" s="5">
        <f>O170+Trades!W339</f>
        <v>13567.914051343943</v>
      </c>
    </row>
    <row r="172" spans="12:15">
      <c r="L172" s="4">
        <f>Trades!P167</f>
        <v>0</v>
      </c>
      <c r="M172" s="5">
        <f>M171+Trades!T167</f>
        <v>10148.820000000005</v>
      </c>
      <c r="N172" s="5">
        <f>N171+Trades!U167</f>
        <v>1390.0798609355375</v>
      </c>
      <c r="O172" s="5">
        <f>O171+Trades!W167</f>
        <v>13567.914051343943</v>
      </c>
    </row>
    <row r="173" spans="12:15">
      <c r="L173" s="4">
        <f>Trades!P128</f>
        <v>0</v>
      </c>
      <c r="M173" s="5">
        <f>M172+Trades!T128</f>
        <v>10148.820000000005</v>
      </c>
      <c r="N173" s="5">
        <f>N172+Trades!U128</f>
        <v>1390.0798609355375</v>
      </c>
      <c r="O173" s="5">
        <f>O172+Trades!W128</f>
        <v>13567.914051343943</v>
      </c>
    </row>
    <row r="174" spans="12:15">
      <c r="L174" s="4">
        <f>Trades!P320</f>
        <v>0</v>
      </c>
      <c r="M174" s="5">
        <f>M173+Trades!T320</f>
        <v>10148.820000000005</v>
      </c>
      <c r="N174" s="5">
        <f>N173+Trades!U320</f>
        <v>1390.0798609355375</v>
      </c>
      <c r="O174" s="5">
        <f>O173+Trades!W320</f>
        <v>13567.914051343943</v>
      </c>
    </row>
    <row r="175" spans="12:15">
      <c r="L175" s="4">
        <f>Trades!P217</f>
        <v>0</v>
      </c>
      <c r="M175" s="5">
        <f>M174+Trades!T217</f>
        <v>10148.820000000005</v>
      </c>
      <c r="N175" s="5">
        <f>N174+Trades!U217</f>
        <v>1390.0798609355375</v>
      </c>
      <c r="O175" s="5">
        <f>O174+Trades!W217</f>
        <v>13567.914051343943</v>
      </c>
    </row>
    <row r="176" spans="12:15">
      <c r="L176" s="4">
        <f>Trades!P330</f>
        <v>0</v>
      </c>
      <c r="M176" s="5">
        <f>M175+Trades!T330</f>
        <v>10148.820000000005</v>
      </c>
      <c r="N176" s="5">
        <f>N175+Trades!U330</f>
        <v>1390.0798609355375</v>
      </c>
      <c r="O176" s="5">
        <f>O175+Trades!W330</f>
        <v>13567.914051343943</v>
      </c>
    </row>
    <row r="177" spans="12:15">
      <c r="L177" s="4">
        <f>Trades!P340</f>
        <v>0</v>
      </c>
      <c r="M177" s="5">
        <f>M176+Trades!T340</f>
        <v>10148.820000000005</v>
      </c>
      <c r="N177" s="5">
        <f>N176+Trades!U340</f>
        <v>1390.0798609355375</v>
      </c>
      <c r="O177" s="5">
        <f>O176+Trades!W340</f>
        <v>13567.914051343943</v>
      </c>
    </row>
    <row r="178" spans="12:15">
      <c r="L178" s="4">
        <f>Trades!P193</f>
        <v>0</v>
      </c>
      <c r="M178" s="5">
        <f>M177+Trades!T193</f>
        <v>10148.820000000005</v>
      </c>
      <c r="N178" s="5">
        <f>N177+Trades!U193</f>
        <v>1390.0798609355375</v>
      </c>
      <c r="O178" s="5">
        <f>O177+Trades!W193</f>
        <v>13567.914051343943</v>
      </c>
    </row>
    <row r="179" spans="12:15">
      <c r="L179" s="4">
        <f>Trades!P260</f>
        <v>0</v>
      </c>
      <c r="M179" s="5">
        <f>M178+Trades!T260</f>
        <v>10148.820000000005</v>
      </c>
      <c r="N179" s="5">
        <f>N178+Trades!U260</f>
        <v>1390.0798609355375</v>
      </c>
      <c r="O179" s="5">
        <f>O178+Trades!W260</f>
        <v>13567.914051343943</v>
      </c>
    </row>
    <row r="180" spans="12:15">
      <c r="L180" s="4">
        <f>Trades!P284</f>
        <v>0</v>
      </c>
      <c r="M180" s="5">
        <f>M179+Trades!T284</f>
        <v>10148.820000000005</v>
      </c>
      <c r="N180" s="5">
        <f>N179+Trades!U284</f>
        <v>1390.0798609355375</v>
      </c>
      <c r="O180" s="5">
        <f>O179+Trades!W284</f>
        <v>13567.914051343943</v>
      </c>
    </row>
    <row r="181" spans="12:15">
      <c r="L181" s="4">
        <f>Trades!P140</f>
        <v>0</v>
      </c>
      <c r="M181" s="5">
        <f>M180+Trades!T140</f>
        <v>10148.820000000005</v>
      </c>
      <c r="N181" s="5">
        <f>N180+Trades!U140</f>
        <v>1390.0798609355375</v>
      </c>
      <c r="O181" s="5">
        <f>O180+Trades!W140</f>
        <v>13567.914051343943</v>
      </c>
    </row>
    <row r="182" spans="12:15">
      <c r="L182" s="4">
        <f>Trades!P271</f>
        <v>0</v>
      </c>
      <c r="M182" s="5">
        <f>M181+Trades!T271</f>
        <v>10148.820000000005</v>
      </c>
      <c r="N182" s="5">
        <f>N181+Trades!U271</f>
        <v>1390.0798609355375</v>
      </c>
      <c r="O182" s="5">
        <f>O181+Trades!W271</f>
        <v>13567.914051343943</v>
      </c>
    </row>
    <row r="183" spans="12:15">
      <c r="L183" s="4">
        <f>Trades!P295</f>
        <v>0</v>
      </c>
      <c r="M183" s="5">
        <f>M182+Trades!T295</f>
        <v>10148.820000000005</v>
      </c>
      <c r="N183" s="5">
        <f>N182+Trades!U295</f>
        <v>1390.0798609355375</v>
      </c>
      <c r="O183" s="5">
        <f>O182+Trades!W295</f>
        <v>13567.914051343943</v>
      </c>
    </row>
    <row r="184" spans="12:15">
      <c r="L184" s="4">
        <f>Trades!P218</f>
        <v>0</v>
      </c>
      <c r="M184" s="5">
        <f>M183+Trades!T218</f>
        <v>10148.820000000005</v>
      </c>
      <c r="N184" s="5">
        <f>N183+Trades!U218</f>
        <v>1390.0798609355375</v>
      </c>
      <c r="O184" s="5">
        <f>O183+Trades!W218</f>
        <v>13567.914051343943</v>
      </c>
    </row>
    <row r="185" spans="12:15">
      <c r="L185" s="4">
        <f>Trades!P341</f>
        <v>0</v>
      </c>
      <c r="M185" s="5">
        <f>M184+Trades!T341</f>
        <v>10148.820000000005</v>
      </c>
      <c r="N185" s="5">
        <f>N184+Trades!U341</f>
        <v>1390.0798609355375</v>
      </c>
      <c r="O185" s="5">
        <f>O184+Trades!W341</f>
        <v>13567.914051343943</v>
      </c>
    </row>
    <row r="186" spans="12:15">
      <c r="L186" s="4">
        <f>Trades!P180</f>
        <v>0</v>
      </c>
      <c r="M186" s="5">
        <f>M185+Trades!T180</f>
        <v>10148.820000000005</v>
      </c>
      <c r="N186" s="5">
        <f>N185+Trades!U180</f>
        <v>1390.0798609355375</v>
      </c>
      <c r="O186" s="5">
        <f>O185+Trades!W180</f>
        <v>13567.914051343943</v>
      </c>
    </row>
    <row r="187" spans="12:15">
      <c r="L187" s="4">
        <f>Trades!P168</f>
        <v>0</v>
      </c>
      <c r="M187" s="5">
        <f>M186+Trades!T168</f>
        <v>10148.820000000005</v>
      </c>
      <c r="N187" s="5">
        <f>N186+Trades!U168</f>
        <v>1390.0798609355375</v>
      </c>
      <c r="O187" s="5">
        <f>O186+Trades!W168</f>
        <v>13567.914051343943</v>
      </c>
    </row>
    <row r="188" spans="12:15">
      <c r="L188" s="4">
        <f>Trades!P251</f>
        <v>0</v>
      </c>
      <c r="M188" s="5">
        <f>M187+Trades!T251</f>
        <v>10148.820000000005</v>
      </c>
      <c r="N188" s="5">
        <f>N187+Trades!U251</f>
        <v>1390.0798609355375</v>
      </c>
      <c r="O188" s="5">
        <f>O187+Trades!W251</f>
        <v>13567.914051343943</v>
      </c>
    </row>
    <row r="189" spans="12:15">
      <c r="L189" s="4">
        <f>Trades!P161</f>
        <v>0</v>
      </c>
      <c r="M189" s="5">
        <f>M188+Trades!T161</f>
        <v>10148.820000000005</v>
      </c>
      <c r="N189" s="5">
        <f>N188+Trades!U161</f>
        <v>1390.0798609355375</v>
      </c>
      <c r="O189" s="5">
        <f>O188+Trades!W161</f>
        <v>13567.914051343943</v>
      </c>
    </row>
    <row r="190" spans="12:15">
      <c r="L190" s="4">
        <f>Trades!P203</f>
        <v>0</v>
      </c>
      <c r="M190" s="5">
        <f>M189+Trades!T203</f>
        <v>10148.820000000005</v>
      </c>
      <c r="N190" s="5">
        <f>N189+Trades!U203</f>
        <v>1390.0798609355375</v>
      </c>
      <c r="O190" s="5">
        <f>O189+Trades!W203</f>
        <v>13567.914051343943</v>
      </c>
    </row>
    <row r="191" spans="12:15">
      <c r="L191" s="4">
        <f>Trades!P272</f>
        <v>0</v>
      </c>
      <c r="M191" s="5">
        <f>M190+Trades!T272</f>
        <v>10148.820000000005</v>
      </c>
      <c r="N191" s="5">
        <f>N190+Trades!U272</f>
        <v>1390.0798609355375</v>
      </c>
      <c r="O191" s="5">
        <f>O190+Trades!W272</f>
        <v>13567.914051343943</v>
      </c>
    </row>
    <row r="192" spans="12:15">
      <c r="L192" s="4">
        <f>Trades!P310</f>
        <v>0</v>
      </c>
      <c r="M192" s="5">
        <f>M191+Trades!T310</f>
        <v>10148.820000000005</v>
      </c>
      <c r="N192" s="5">
        <f>N191+Trades!U310</f>
        <v>1390.0798609355375</v>
      </c>
      <c r="O192" s="5">
        <f>O191+Trades!W310</f>
        <v>13567.914051343943</v>
      </c>
    </row>
    <row r="193" spans="12:15">
      <c r="L193" s="4">
        <f>Trades!P240</f>
        <v>0</v>
      </c>
      <c r="M193" s="5">
        <f>M192+Trades!T240</f>
        <v>10148.820000000005</v>
      </c>
      <c r="N193" s="5">
        <f>N192+Trades!U240</f>
        <v>1390.0798609355375</v>
      </c>
      <c r="O193" s="5">
        <f>O192+Trades!W240</f>
        <v>13567.914051343943</v>
      </c>
    </row>
    <row r="194" spans="12:15">
      <c r="L194" s="4">
        <f>Trades!P228</f>
        <v>0</v>
      </c>
      <c r="M194" s="5">
        <f>M193+Trades!T228</f>
        <v>10148.820000000005</v>
      </c>
      <c r="N194" s="5">
        <f>N193+Trades!U228</f>
        <v>1390.0798609355375</v>
      </c>
      <c r="O194" s="5">
        <f>O193+Trades!W228</f>
        <v>13567.914051343943</v>
      </c>
    </row>
    <row r="195" spans="12:15">
      <c r="L195" s="4">
        <f>Trades!P261</f>
        <v>0</v>
      </c>
      <c r="M195" s="5">
        <f>M194+Trades!T261</f>
        <v>10148.820000000005</v>
      </c>
      <c r="N195" s="5">
        <f>N194+Trades!U261</f>
        <v>1390.0798609355375</v>
      </c>
      <c r="O195" s="5">
        <f>O194+Trades!W261</f>
        <v>13567.914051343943</v>
      </c>
    </row>
    <row r="196" spans="12:15">
      <c r="L196" s="4">
        <f>Trades!P181</f>
        <v>0</v>
      </c>
      <c r="M196" s="5">
        <f>M195+Trades!T181</f>
        <v>10148.820000000005</v>
      </c>
      <c r="N196" s="5">
        <f>N195+Trades!U181</f>
        <v>1390.0798609355375</v>
      </c>
      <c r="O196" s="5">
        <f>O195+Trades!W181</f>
        <v>13567.914051343943</v>
      </c>
    </row>
    <row r="197" spans="12:15">
      <c r="L197" s="4">
        <f>Trades!P296</f>
        <v>0</v>
      </c>
      <c r="M197" s="5">
        <f>M196+Trades!T296</f>
        <v>10148.820000000005</v>
      </c>
      <c r="N197" s="5">
        <f>N196+Trades!U296</f>
        <v>1390.0798609355375</v>
      </c>
      <c r="O197" s="5">
        <f>O196+Trades!W296</f>
        <v>13567.914051343943</v>
      </c>
    </row>
    <row r="198" spans="12:15">
      <c r="L198" s="4">
        <f>Trades!P117</f>
        <v>0</v>
      </c>
      <c r="M198" s="5">
        <f>M197+Trades!T117</f>
        <v>10148.820000000005</v>
      </c>
      <c r="N198" s="5">
        <f>N197+Trades!U117</f>
        <v>1390.0798609355375</v>
      </c>
      <c r="O198" s="5">
        <f>O197+Trades!W117</f>
        <v>13567.914051343943</v>
      </c>
    </row>
    <row r="199" spans="12:15">
      <c r="L199" s="4">
        <f>Trades!P129</f>
        <v>0</v>
      </c>
      <c r="M199" s="5">
        <f>M198+Trades!T129</f>
        <v>10148.820000000005</v>
      </c>
      <c r="N199" s="5">
        <f>N198+Trades!U129</f>
        <v>1390.0798609355375</v>
      </c>
      <c r="O199" s="5">
        <f>O198+Trades!W129</f>
        <v>13567.914051343943</v>
      </c>
    </row>
    <row r="200" spans="12:15">
      <c r="L200" s="4">
        <f>Trades!P252</f>
        <v>0</v>
      </c>
      <c r="M200" s="5">
        <f>M199+Trades!T252</f>
        <v>10148.820000000005</v>
      </c>
      <c r="N200" s="5">
        <f>N199+Trades!U252</f>
        <v>1390.0798609355375</v>
      </c>
      <c r="O200" s="5">
        <f>O199+Trades!W252</f>
        <v>13567.914051343943</v>
      </c>
    </row>
    <row r="201" spans="12:15">
      <c r="L201" s="4">
        <f>Trades!P150</f>
        <v>0</v>
      </c>
      <c r="M201" s="5">
        <f>M200+Trades!T150</f>
        <v>10148.820000000005</v>
      </c>
      <c r="N201" s="5">
        <f>N200+Trades!U150</f>
        <v>1390.0798609355375</v>
      </c>
      <c r="O201" s="5">
        <f>O200+Trades!W150</f>
        <v>13567.914051343943</v>
      </c>
    </row>
    <row r="202" spans="12:15">
      <c r="L202" s="4">
        <f>Trades!P169</f>
        <v>0</v>
      </c>
      <c r="M202" s="5">
        <f>M201+Trades!T169</f>
        <v>10148.820000000005</v>
      </c>
      <c r="N202" s="5">
        <f>N201+Trades!U169</f>
        <v>1390.0798609355375</v>
      </c>
      <c r="O202" s="5">
        <f>O201+Trades!W169</f>
        <v>13567.914051343943</v>
      </c>
    </row>
    <row r="203" spans="12:15">
      <c r="L203" s="4">
        <f>Trades!P194</f>
        <v>0</v>
      </c>
      <c r="M203" s="5">
        <f>M202+Trades!T194</f>
        <v>10148.820000000005</v>
      </c>
      <c r="N203" s="5">
        <f>N202+Trades!U194</f>
        <v>1390.0798609355375</v>
      </c>
      <c r="O203" s="5">
        <f>O202+Trades!W194</f>
        <v>13567.914051343943</v>
      </c>
    </row>
    <row r="204" spans="12:15">
      <c r="L204" s="4">
        <f>Trades!P321</f>
        <v>0</v>
      </c>
      <c r="M204" s="5">
        <f>M203+Trades!T321</f>
        <v>10148.820000000005</v>
      </c>
      <c r="N204" s="5">
        <f>N203+Trades!U321</f>
        <v>1390.0798609355375</v>
      </c>
      <c r="O204" s="5">
        <f>O203+Trades!W321</f>
        <v>13567.914051343943</v>
      </c>
    </row>
    <row r="205" spans="12:15">
      <c r="L205" s="4">
        <f>Trades!P170</f>
        <v>0</v>
      </c>
      <c r="M205" s="5">
        <f>M204+Trades!T170</f>
        <v>10148.820000000005</v>
      </c>
      <c r="N205" s="5">
        <f>N204+Trades!U170</f>
        <v>1390.0798609355375</v>
      </c>
      <c r="O205" s="5">
        <f>O204+Trades!W170</f>
        <v>13567.914051343943</v>
      </c>
    </row>
    <row r="206" spans="12:15">
      <c r="L206" s="4">
        <f>Trades!P130</f>
        <v>0</v>
      </c>
      <c r="M206" s="5">
        <f>M205+Trades!T130</f>
        <v>10148.820000000005</v>
      </c>
      <c r="N206" s="5">
        <f>N205+Trades!U130</f>
        <v>1390.0798609355375</v>
      </c>
      <c r="O206" s="5">
        <f>O205+Trades!W130</f>
        <v>13567.914051343943</v>
      </c>
    </row>
    <row r="207" spans="12:15">
      <c r="L207" s="4">
        <f>Trades!P182</f>
        <v>0</v>
      </c>
      <c r="M207" s="5">
        <f>M206+Trades!T182</f>
        <v>10148.820000000005</v>
      </c>
      <c r="N207" s="5">
        <f>N206+Trades!U182</f>
        <v>1390.0798609355375</v>
      </c>
      <c r="O207" s="5">
        <f>O206+Trades!W182</f>
        <v>13567.914051343943</v>
      </c>
    </row>
    <row r="208" spans="12:15">
      <c r="L208" s="4">
        <f>Trades!P131</f>
        <v>0</v>
      </c>
      <c r="M208" s="5">
        <f>M207+Trades!T131</f>
        <v>10148.820000000005</v>
      </c>
      <c r="N208" s="5">
        <f>N207+Trades!U131</f>
        <v>1390.0798609355375</v>
      </c>
      <c r="O208" s="5">
        <f>O207+Trades!W131</f>
        <v>13567.914051343943</v>
      </c>
    </row>
    <row r="209" spans="12:15">
      <c r="L209" s="4">
        <f>Trades!P285</f>
        <v>0</v>
      </c>
      <c r="M209" s="5">
        <f>M208+Trades!T285</f>
        <v>10148.820000000005</v>
      </c>
      <c r="N209" s="5">
        <f>N208+Trades!U285</f>
        <v>1390.0798609355375</v>
      </c>
      <c r="O209" s="5">
        <f>O208+Trades!W285</f>
        <v>13567.914051343943</v>
      </c>
    </row>
    <row r="210" spans="12:15">
      <c r="L210" s="4">
        <f>Trades!P297</f>
        <v>0</v>
      </c>
      <c r="M210" s="5">
        <f>M209+Trades!T297</f>
        <v>10148.820000000005</v>
      </c>
      <c r="N210" s="5">
        <f>N209+Trades!U297</f>
        <v>1390.0798609355375</v>
      </c>
      <c r="O210" s="5">
        <f>O209+Trades!W297</f>
        <v>13567.914051343943</v>
      </c>
    </row>
    <row r="211" spans="12:15">
      <c r="L211" s="4">
        <f>Trades!P298</f>
        <v>0</v>
      </c>
      <c r="M211" s="5">
        <f>M210+Trades!T298</f>
        <v>10148.820000000005</v>
      </c>
      <c r="N211" s="5">
        <f>N210+Trades!U298</f>
        <v>1390.0798609355375</v>
      </c>
      <c r="O211" s="5">
        <f>O210+Trades!W298</f>
        <v>13567.914051343943</v>
      </c>
    </row>
    <row r="212" spans="12:15">
      <c r="L212" s="4">
        <f>Trades!P118</f>
        <v>0</v>
      </c>
      <c r="M212" s="5">
        <f>M211+Trades!T118</f>
        <v>10148.820000000005</v>
      </c>
      <c r="N212" s="5">
        <f>N211+Trades!U118</f>
        <v>1390.0798609355375</v>
      </c>
      <c r="O212" s="5">
        <f>O211+Trades!W118</f>
        <v>13567.914051343943</v>
      </c>
    </row>
    <row r="213" spans="12:15">
      <c r="L213" s="4">
        <f>Trades!P151</f>
        <v>0</v>
      </c>
      <c r="M213" s="5">
        <f>M212+Trades!T151</f>
        <v>10148.820000000005</v>
      </c>
      <c r="N213" s="5">
        <f>N212+Trades!U151</f>
        <v>1390.0798609355375</v>
      </c>
      <c r="O213" s="5">
        <f>O212+Trades!W151</f>
        <v>13567.914051343943</v>
      </c>
    </row>
    <row r="214" spans="12:15">
      <c r="L214" s="4">
        <f>Trades!P119</f>
        <v>0</v>
      </c>
      <c r="M214" s="5">
        <f>M213+Trades!T119</f>
        <v>10148.820000000005</v>
      </c>
      <c r="N214" s="5">
        <f>N213+Trades!U119</f>
        <v>1390.0798609355375</v>
      </c>
      <c r="O214" s="5">
        <f>O213+Trades!W119</f>
        <v>13567.914051343943</v>
      </c>
    </row>
    <row r="215" spans="12:15">
      <c r="L215" s="4">
        <f>Trades!P253</f>
        <v>0</v>
      </c>
      <c r="M215" s="5">
        <f>M214+Trades!T253</f>
        <v>10148.820000000005</v>
      </c>
      <c r="N215" s="5">
        <f>N214+Trades!U253</f>
        <v>1390.0798609355375</v>
      </c>
      <c r="O215" s="5">
        <f>O214+Trades!W253</f>
        <v>13567.914051343943</v>
      </c>
    </row>
    <row r="216" spans="12:15">
      <c r="L216" s="4">
        <f>Trades!P141</f>
        <v>0</v>
      </c>
      <c r="M216" s="5">
        <f>M215+Trades!T141</f>
        <v>10148.820000000005</v>
      </c>
      <c r="N216" s="5">
        <f>N215+Trades!U141</f>
        <v>1390.0798609355375</v>
      </c>
      <c r="O216" s="5">
        <f>O215+Trades!W141</f>
        <v>13567.914051343943</v>
      </c>
    </row>
    <row r="217" spans="12:15">
      <c r="L217" s="4">
        <f>Trades!P152</f>
        <v>0</v>
      </c>
      <c r="M217" s="5">
        <f>M216+Trades!T152</f>
        <v>10148.820000000005</v>
      </c>
      <c r="N217" s="5">
        <f>N216+Trades!U152</f>
        <v>1390.0798609355375</v>
      </c>
      <c r="O217" s="5">
        <f>O216+Trades!W152</f>
        <v>13567.914051343943</v>
      </c>
    </row>
    <row r="218" spans="12:15">
      <c r="L218" s="4">
        <f>Trades!P183</f>
        <v>0</v>
      </c>
      <c r="M218" s="5">
        <f>M217+Trades!T183</f>
        <v>10148.820000000005</v>
      </c>
      <c r="N218" s="5">
        <f>N217+Trades!U183</f>
        <v>1390.0798609355375</v>
      </c>
      <c r="O218" s="5">
        <f>O217+Trades!W183</f>
        <v>13567.914051343943</v>
      </c>
    </row>
    <row r="219" spans="12:15">
      <c r="L219" s="4">
        <f>Trades!P229</f>
        <v>0</v>
      </c>
      <c r="M219" s="5">
        <f>M218+Trades!T229</f>
        <v>10148.820000000005</v>
      </c>
      <c r="N219" s="5">
        <f>N218+Trades!U229</f>
        <v>1390.0798609355375</v>
      </c>
      <c r="O219" s="5">
        <f>O218+Trades!W229</f>
        <v>13567.914051343943</v>
      </c>
    </row>
    <row r="220" spans="12:15">
      <c r="L220" s="4">
        <f>Trades!P241</f>
        <v>0</v>
      </c>
      <c r="M220" s="5">
        <f>M219+Trades!T241</f>
        <v>10148.820000000005</v>
      </c>
      <c r="N220" s="5">
        <f>N219+Trades!U241</f>
        <v>1390.0798609355375</v>
      </c>
      <c r="O220" s="5">
        <f>O219+Trades!W241</f>
        <v>13567.914051343943</v>
      </c>
    </row>
    <row r="221" spans="12:15">
      <c r="L221" s="4">
        <f>Trades!P219</f>
        <v>0</v>
      </c>
      <c r="M221" s="5">
        <f>M220+Trades!T219</f>
        <v>10148.820000000005</v>
      </c>
      <c r="N221" s="5">
        <f>N220+Trades!U219</f>
        <v>1390.0798609355375</v>
      </c>
      <c r="O221" s="5">
        <f>O220+Trades!W219</f>
        <v>13567.914051343943</v>
      </c>
    </row>
    <row r="222" spans="12:15">
      <c r="L222" s="4">
        <f>Trades!P331</f>
        <v>0</v>
      </c>
      <c r="M222" s="5">
        <f>M221+Trades!T331</f>
        <v>10148.820000000005</v>
      </c>
      <c r="N222" s="5">
        <f>N221+Trades!U331</f>
        <v>1390.0798609355375</v>
      </c>
      <c r="O222" s="5">
        <f>O221+Trades!W331</f>
        <v>13567.914051343943</v>
      </c>
    </row>
    <row r="223" spans="12:15">
      <c r="L223" s="4">
        <f>Trades!P204</f>
        <v>0</v>
      </c>
      <c r="M223" s="5">
        <f>M222+Trades!T204</f>
        <v>10148.820000000005</v>
      </c>
      <c r="N223" s="5">
        <f>N222+Trades!U204</f>
        <v>1390.0798609355375</v>
      </c>
      <c r="O223" s="5">
        <f>O222+Trades!W204</f>
        <v>13567.914051343943</v>
      </c>
    </row>
    <row r="224" spans="12:15">
      <c r="L224" s="4">
        <f>Trades!P195</f>
        <v>0</v>
      </c>
      <c r="M224" s="5">
        <f>M223+Trades!T195</f>
        <v>10148.820000000005</v>
      </c>
      <c r="N224" s="5">
        <f>N223+Trades!U195</f>
        <v>1390.0798609355375</v>
      </c>
      <c r="O224" s="5">
        <f>O223+Trades!W195</f>
        <v>13567.914051343943</v>
      </c>
    </row>
    <row r="225" spans="12:15">
      <c r="L225" s="4">
        <f>Trades!P262</f>
        <v>0</v>
      </c>
      <c r="M225" s="5">
        <f>M224+Trades!T262</f>
        <v>10148.820000000005</v>
      </c>
      <c r="N225" s="5">
        <f>N224+Trades!U262</f>
        <v>1390.0798609355375</v>
      </c>
      <c r="O225" s="5">
        <f>O224+Trades!W262</f>
        <v>13567.914051343943</v>
      </c>
    </row>
    <row r="226" spans="12:15">
      <c r="L226" s="4">
        <f>Trades!P286</f>
        <v>0</v>
      </c>
      <c r="M226" s="5">
        <f>M225+Trades!T286</f>
        <v>10148.820000000005</v>
      </c>
      <c r="N226" s="5">
        <f>N225+Trades!U286</f>
        <v>1390.0798609355375</v>
      </c>
      <c r="O226" s="5">
        <f>O225+Trades!W286</f>
        <v>13567.914051343943</v>
      </c>
    </row>
    <row r="227" spans="12:15">
      <c r="L227" s="4">
        <f>Trades!P299</f>
        <v>0</v>
      </c>
      <c r="M227" s="5">
        <f>M226+Trades!T299</f>
        <v>10148.820000000005</v>
      </c>
      <c r="N227" s="5">
        <f>N226+Trades!U299</f>
        <v>1390.0798609355375</v>
      </c>
      <c r="O227" s="5">
        <f>O226+Trades!W299</f>
        <v>13567.914051343943</v>
      </c>
    </row>
    <row r="228" spans="12:15">
      <c r="L228" s="4">
        <f>Trades!P311</f>
        <v>0</v>
      </c>
      <c r="M228" s="5">
        <f>M227+Trades!T311</f>
        <v>10148.820000000005</v>
      </c>
      <c r="N228" s="5">
        <f>N227+Trades!U311</f>
        <v>1390.0798609355375</v>
      </c>
      <c r="O228" s="5">
        <f>O227+Trades!W311</f>
        <v>13567.914051343943</v>
      </c>
    </row>
    <row r="229" spans="12:15">
      <c r="L229" s="4">
        <f>Trades!P132</f>
        <v>0</v>
      </c>
      <c r="M229" s="5">
        <f>M228+Trades!T132</f>
        <v>10148.820000000005</v>
      </c>
      <c r="N229" s="5">
        <f>N228+Trades!U132</f>
        <v>1390.0798609355375</v>
      </c>
      <c r="O229" s="5">
        <f>O228+Trades!W132</f>
        <v>13567.914051343943</v>
      </c>
    </row>
    <row r="230" spans="12:15">
      <c r="L230" s="4">
        <f>Trades!P153</f>
        <v>0</v>
      </c>
      <c r="M230" s="5">
        <f>M229+Trades!T153</f>
        <v>10148.820000000005</v>
      </c>
      <c r="N230" s="5">
        <f>N229+Trades!U153</f>
        <v>1390.0798609355375</v>
      </c>
      <c r="O230" s="5">
        <f>O229+Trades!W153</f>
        <v>13567.914051343943</v>
      </c>
    </row>
    <row r="231" spans="12:15">
      <c r="L231" s="4">
        <f>Trades!P332</f>
        <v>0</v>
      </c>
      <c r="M231" s="5">
        <f>M230+Trades!T332</f>
        <v>10148.820000000005</v>
      </c>
      <c r="N231" s="5">
        <f>N230+Trades!U332</f>
        <v>1390.0798609355375</v>
      </c>
      <c r="O231" s="5">
        <f>O230+Trades!W332</f>
        <v>13567.914051343943</v>
      </c>
    </row>
    <row r="232" spans="12:15">
      <c r="L232" s="4">
        <f>Trades!P342</f>
        <v>0</v>
      </c>
      <c r="M232" s="5">
        <f>M231+Trades!T342</f>
        <v>10148.820000000005</v>
      </c>
      <c r="N232" s="5">
        <f>N231+Trades!U342</f>
        <v>1390.0798609355375</v>
      </c>
      <c r="O232" s="5">
        <f>O231+Trades!W342</f>
        <v>13567.914051343943</v>
      </c>
    </row>
    <row r="233" spans="12:15">
      <c r="L233" s="4">
        <f>Trades!P273</f>
        <v>0</v>
      </c>
      <c r="M233" s="5">
        <f>M232+Trades!T273</f>
        <v>10148.820000000005</v>
      </c>
      <c r="N233" s="5">
        <f>N232+Trades!U273</f>
        <v>1390.0798609355375</v>
      </c>
      <c r="O233" s="5">
        <f>O232+Trades!W273</f>
        <v>13567.914051343943</v>
      </c>
    </row>
    <row r="234" spans="12:15">
      <c r="L234" s="4">
        <f>Trades!P220</f>
        <v>0</v>
      </c>
      <c r="M234" s="5">
        <f>M233+Trades!T220</f>
        <v>10148.820000000005</v>
      </c>
      <c r="N234" s="5">
        <f>N233+Trades!U220</f>
        <v>1390.0798609355375</v>
      </c>
      <c r="O234" s="5">
        <f>O233+Trades!W220</f>
        <v>13567.914051343943</v>
      </c>
    </row>
    <row r="235" spans="12:15">
      <c r="L235" s="4">
        <f>Trades!P333</f>
        <v>0</v>
      </c>
      <c r="M235" s="5">
        <f>M234+Trades!T333</f>
        <v>10148.820000000005</v>
      </c>
      <c r="N235" s="5">
        <f>N234+Trades!U333</f>
        <v>1390.0798609355375</v>
      </c>
      <c r="O235" s="5">
        <f>O234+Trades!W333</f>
        <v>13567.914051343943</v>
      </c>
    </row>
    <row r="236" spans="12:15">
      <c r="L236" s="4">
        <f>Trades!P300</f>
        <v>0</v>
      </c>
      <c r="M236" s="5">
        <f>M235+Trades!T300</f>
        <v>10148.820000000005</v>
      </c>
      <c r="N236" s="5">
        <f>N235+Trades!U300</f>
        <v>1390.0798609355375</v>
      </c>
      <c r="O236" s="5">
        <f>O235+Trades!W300</f>
        <v>13567.914051343943</v>
      </c>
    </row>
    <row r="237" spans="12:15">
      <c r="L237" s="4">
        <f>Trades!P343</f>
        <v>0</v>
      </c>
      <c r="M237" s="5">
        <f>M236+Trades!T343</f>
        <v>10148.820000000005</v>
      </c>
      <c r="N237" s="5">
        <f>N236+Trades!U343</f>
        <v>1390.0798609355375</v>
      </c>
      <c r="O237" s="5">
        <f>O236+Trades!W343</f>
        <v>13567.914051343943</v>
      </c>
    </row>
    <row r="238" spans="12:15">
      <c r="L238" s="4">
        <f>Trades!P334</f>
        <v>0</v>
      </c>
      <c r="M238" s="5">
        <f>M237+Trades!T334</f>
        <v>10148.820000000005</v>
      </c>
      <c r="N238" s="5">
        <f>N237+Trades!U334</f>
        <v>1390.0798609355375</v>
      </c>
      <c r="O238" s="5">
        <f>O237+Trades!W334</f>
        <v>13567.914051343943</v>
      </c>
    </row>
    <row r="239" spans="12:15">
      <c r="L239" s="4">
        <f>Trades!P171</f>
        <v>0</v>
      </c>
      <c r="M239" s="5">
        <f>M238+Trades!T171</f>
        <v>10148.820000000005</v>
      </c>
      <c r="N239" s="5">
        <f>N238+Trades!U171</f>
        <v>1390.0798609355375</v>
      </c>
      <c r="O239" s="5">
        <f>O238+Trades!W171</f>
        <v>13567.914051343943</v>
      </c>
    </row>
    <row r="240" spans="12:15">
      <c r="L240" s="4">
        <f>Trades!P230</f>
        <v>0</v>
      </c>
      <c r="M240" s="5">
        <f>M239+Trades!T230</f>
        <v>10148.820000000005</v>
      </c>
      <c r="N240" s="5">
        <f>N239+Trades!U230</f>
        <v>1390.0798609355375</v>
      </c>
      <c r="O240" s="5">
        <f>O239+Trades!W230</f>
        <v>13567.914051343943</v>
      </c>
    </row>
    <row r="241" spans="12:15">
      <c r="L241" s="4">
        <f>Trades!P221</f>
        <v>0</v>
      </c>
      <c r="M241" s="5">
        <f>M240+Trades!T221</f>
        <v>10148.820000000005</v>
      </c>
      <c r="N241" s="5">
        <f>N240+Trades!U221</f>
        <v>1390.0798609355375</v>
      </c>
      <c r="O241" s="5">
        <f>O240+Trades!W221</f>
        <v>13567.914051343943</v>
      </c>
    </row>
    <row r="242" spans="12:15">
      <c r="L242" s="4">
        <f>Trades!P312</f>
        <v>0</v>
      </c>
      <c r="M242" s="5">
        <f>M241+Trades!T312</f>
        <v>10148.820000000005</v>
      </c>
      <c r="N242" s="5">
        <f>N241+Trades!U312</f>
        <v>1390.0798609355375</v>
      </c>
      <c r="O242" s="5">
        <f>O241+Trades!W312</f>
        <v>13567.914051343943</v>
      </c>
    </row>
    <row r="243" spans="12:15">
      <c r="L243" s="4">
        <f>Trades!P196</f>
        <v>0</v>
      </c>
      <c r="M243" s="5">
        <f>M242+Trades!T196</f>
        <v>10148.820000000005</v>
      </c>
      <c r="N243" s="5">
        <f>N242+Trades!U196</f>
        <v>1390.0798609355375</v>
      </c>
      <c r="O243" s="5">
        <f>O242+Trades!W196</f>
        <v>13567.914051343943</v>
      </c>
    </row>
    <row r="244" spans="12:15">
      <c r="L244" s="4">
        <f>Trades!P322</f>
        <v>0</v>
      </c>
      <c r="M244" s="5">
        <f>M243+Trades!T322</f>
        <v>10148.820000000005</v>
      </c>
      <c r="N244" s="5">
        <f>N243+Trades!U322</f>
        <v>1390.0798609355375</v>
      </c>
      <c r="O244" s="5">
        <f>O243+Trades!W322</f>
        <v>13567.914051343943</v>
      </c>
    </row>
    <row r="245" spans="12:15">
      <c r="L245" s="4">
        <f>Trades!P287</f>
        <v>0</v>
      </c>
      <c r="M245" s="5">
        <f>M244+Trades!T287</f>
        <v>10148.820000000005</v>
      </c>
      <c r="N245" s="5">
        <f>N244+Trades!U287</f>
        <v>1390.0798609355375</v>
      </c>
      <c r="O245" s="5">
        <f>O244+Trades!W287</f>
        <v>13567.914051343943</v>
      </c>
    </row>
    <row r="246" spans="12:15">
      <c r="L246" s="4">
        <f>Trades!P120</f>
        <v>0</v>
      </c>
      <c r="M246" s="5">
        <f>M245+Trades!T120</f>
        <v>10148.820000000005</v>
      </c>
      <c r="N246" s="5">
        <f>N245+Trades!U120</f>
        <v>1390.0798609355375</v>
      </c>
      <c r="O246" s="5">
        <f>O245+Trades!W120</f>
        <v>13567.914051343943</v>
      </c>
    </row>
    <row r="247" spans="12:15">
      <c r="L247" s="4">
        <f>Trades!P242</f>
        <v>0</v>
      </c>
      <c r="M247" s="5">
        <f>M246+Trades!T242</f>
        <v>10148.820000000005</v>
      </c>
      <c r="N247" s="5">
        <f>N246+Trades!U242</f>
        <v>1390.0798609355375</v>
      </c>
      <c r="O247" s="5">
        <f>O246+Trades!W242</f>
        <v>13567.914051343943</v>
      </c>
    </row>
    <row r="248" spans="12:15">
      <c r="L248" s="4">
        <f>Trades!P274</f>
        <v>0</v>
      </c>
      <c r="M248" s="5">
        <f>M247+Trades!T274</f>
        <v>10148.820000000005</v>
      </c>
      <c r="N248" s="5">
        <f>N247+Trades!U274</f>
        <v>1390.0798609355375</v>
      </c>
      <c r="O248" s="5">
        <f>O247+Trades!W274</f>
        <v>13567.914051343943</v>
      </c>
    </row>
    <row r="249" spans="12:15">
      <c r="L249" s="4">
        <f>Trades!P344</f>
        <v>0</v>
      </c>
      <c r="M249" s="5">
        <f>M248+Trades!T344</f>
        <v>10148.820000000005</v>
      </c>
      <c r="N249" s="5">
        <f>N248+Trades!U344</f>
        <v>1390.0798609355375</v>
      </c>
      <c r="O249" s="5">
        <f>O248+Trades!W344</f>
        <v>13567.914051343943</v>
      </c>
    </row>
    <row r="250" spans="12:15">
      <c r="L250" s="4">
        <f>Trades!P121</f>
        <v>0</v>
      </c>
      <c r="M250" s="5">
        <f>M249+Trades!T121</f>
        <v>10148.820000000005</v>
      </c>
      <c r="N250" s="5">
        <f>N249+Trades!U121</f>
        <v>1390.0798609355375</v>
      </c>
      <c r="O250" s="5">
        <f>O249+Trades!W121</f>
        <v>13567.914051343943</v>
      </c>
    </row>
    <row r="251" spans="12:15">
      <c r="L251" s="4">
        <f>Trades!P172</f>
        <v>0</v>
      </c>
      <c r="M251" s="5">
        <f>M250+Trades!T172</f>
        <v>10148.820000000005</v>
      </c>
      <c r="N251" s="5">
        <f>N250+Trades!U172</f>
        <v>1390.0798609355375</v>
      </c>
      <c r="O251" s="5">
        <f>O250+Trades!W172</f>
        <v>13567.914051343943</v>
      </c>
    </row>
    <row r="252" spans="12:15">
      <c r="L252" s="4">
        <f>Trades!P301</f>
        <v>0</v>
      </c>
      <c r="M252" s="5">
        <f>M251+Trades!T301</f>
        <v>10148.820000000005</v>
      </c>
      <c r="N252" s="5">
        <f>N251+Trades!U301</f>
        <v>1390.0798609355375</v>
      </c>
      <c r="O252" s="5">
        <f>O251+Trades!W301</f>
        <v>13567.914051343943</v>
      </c>
    </row>
    <row r="253" spans="12:15">
      <c r="L253" s="4">
        <f>Trades!P323</f>
        <v>0</v>
      </c>
      <c r="M253" s="5">
        <f>M252+Trades!T323</f>
        <v>10148.820000000005</v>
      </c>
      <c r="N253" s="5">
        <f>N252+Trades!U323</f>
        <v>1390.0798609355375</v>
      </c>
      <c r="O253" s="5">
        <f>O252+Trades!W323</f>
        <v>13567.914051343943</v>
      </c>
    </row>
    <row r="254" spans="12:15">
      <c r="L254" s="4">
        <f>Trades!P313</f>
        <v>0</v>
      </c>
      <c r="M254" s="5">
        <f>M253+Trades!T313</f>
        <v>10148.820000000005</v>
      </c>
      <c r="N254" s="5">
        <f>N253+Trades!U313</f>
        <v>1390.0798609355375</v>
      </c>
      <c r="O254" s="5">
        <f>O253+Trades!W313</f>
        <v>13567.914051343943</v>
      </c>
    </row>
    <row r="255" spans="12:15">
      <c r="L255" s="4">
        <f>Trades!P243</f>
        <v>0</v>
      </c>
      <c r="M255" s="5">
        <f>M254+Trades!T243</f>
        <v>10148.820000000005</v>
      </c>
      <c r="N255" s="5">
        <f>N254+Trades!U243</f>
        <v>1390.0798609355375</v>
      </c>
      <c r="O255" s="5">
        <f>O254+Trades!W243</f>
        <v>13567.914051343943</v>
      </c>
    </row>
    <row r="256" spans="12:15">
      <c r="L256" s="4">
        <f>Trades!P205</f>
        <v>0</v>
      </c>
      <c r="M256" s="5">
        <f>M255+Trades!T205</f>
        <v>10148.820000000005</v>
      </c>
      <c r="N256" s="5">
        <f>N255+Trades!U205</f>
        <v>1390.0798609355375</v>
      </c>
      <c r="O256" s="5">
        <f>O255+Trades!W205</f>
        <v>13567.914051343943</v>
      </c>
    </row>
    <row r="257" spans="12:15">
      <c r="L257" s="4">
        <f>Trades!P184</f>
        <v>0</v>
      </c>
      <c r="M257" s="5">
        <f>M256+Trades!T184</f>
        <v>10148.820000000005</v>
      </c>
      <c r="N257" s="5">
        <f>N256+Trades!U184</f>
        <v>1390.0798609355375</v>
      </c>
      <c r="O257" s="5">
        <f>O256+Trades!W184</f>
        <v>13567.914051343943</v>
      </c>
    </row>
    <row r="258" spans="12:15">
      <c r="L258" s="4">
        <f>Trades!P231</f>
        <v>0</v>
      </c>
      <c r="M258" s="5">
        <f>M257+Trades!T231</f>
        <v>10148.820000000005</v>
      </c>
      <c r="N258" s="5">
        <f>N257+Trades!U231</f>
        <v>1390.0798609355375</v>
      </c>
      <c r="O258" s="5">
        <f>O257+Trades!W231</f>
        <v>13567.914051343943</v>
      </c>
    </row>
    <row r="259" spans="12:15">
      <c r="L259" s="4">
        <f>Trades!P142</f>
        <v>0</v>
      </c>
      <c r="M259" s="5">
        <f>M258+Trades!T142</f>
        <v>10148.820000000005</v>
      </c>
      <c r="N259" s="5">
        <f>N258+Trades!U142</f>
        <v>1390.0798609355375</v>
      </c>
      <c r="O259" s="5">
        <f>O258+Trades!W142</f>
        <v>13567.914051343943</v>
      </c>
    </row>
    <row r="260" spans="12:15">
      <c r="L260" s="4">
        <f>Trades!P154</f>
        <v>0</v>
      </c>
      <c r="M260" s="5">
        <f>M259+Trades!T154</f>
        <v>10148.820000000005</v>
      </c>
      <c r="N260" s="5">
        <f>N259+Trades!U154</f>
        <v>1390.0798609355375</v>
      </c>
      <c r="O260" s="5">
        <f>O259+Trades!W154</f>
        <v>13567.914051343943</v>
      </c>
    </row>
    <row r="261" spans="12:15">
      <c r="L261" s="4">
        <f>Trades!P275</f>
        <v>0</v>
      </c>
      <c r="M261" s="5">
        <f>M260+Trades!T275</f>
        <v>10148.820000000005</v>
      </c>
      <c r="N261" s="5">
        <f>N260+Trades!U275</f>
        <v>1390.0798609355375</v>
      </c>
      <c r="O261" s="5">
        <f>O260+Trades!W275</f>
        <v>13567.914051343943</v>
      </c>
    </row>
    <row r="262" spans="12:15">
      <c r="L262" s="4">
        <f>Trades!P133</f>
        <v>0</v>
      </c>
      <c r="M262" s="5">
        <f>M261+Trades!T133</f>
        <v>10148.820000000005</v>
      </c>
      <c r="N262" s="5">
        <f>N261+Trades!U133</f>
        <v>1390.0798609355375</v>
      </c>
      <c r="O262" s="5">
        <f>O261+Trades!W133</f>
        <v>13567.914051343943</v>
      </c>
    </row>
    <row r="263" spans="12:15">
      <c r="L263" s="4">
        <f>Trades!P244</f>
        <v>0</v>
      </c>
      <c r="M263" s="5">
        <f>M262+Trades!T244</f>
        <v>10148.820000000005</v>
      </c>
      <c r="N263" s="5">
        <f>N262+Trades!U244</f>
        <v>1390.0798609355375</v>
      </c>
      <c r="O263" s="5">
        <f>O262+Trades!W244</f>
        <v>13567.914051343943</v>
      </c>
    </row>
    <row r="264" spans="12:15">
      <c r="L264" s="4">
        <f>Trades!P162</f>
        <v>0</v>
      </c>
      <c r="M264" s="5">
        <f>M263+Trades!T162</f>
        <v>10148.820000000005</v>
      </c>
      <c r="N264" s="5">
        <f>N263+Trades!U162</f>
        <v>1390.0798609355375</v>
      </c>
      <c r="O264" s="5">
        <f>O263+Trades!W162</f>
        <v>13567.914051343943</v>
      </c>
    </row>
    <row r="265" spans="12:15">
      <c r="L265" s="4">
        <f>Trades!P185</f>
        <v>0</v>
      </c>
      <c r="M265" s="5">
        <f>M264+Trades!T185</f>
        <v>10148.820000000005</v>
      </c>
      <c r="N265" s="5">
        <f>N264+Trades!U185</f>
        <v>1390.0798609355375</v>
      </c>
      <c r="O265" s="5">
        <f>O264+Trades!W185</f>
        <v>13567.914051343943</v>
      </c>
    </row>
    <row r="266" spans="12:15">
      <c r="L266" s="4">
        <f>Trades!P173</f>
        <v>0</v>
      </c>
      <c r="M266" s="5">
        <f>M265+Trades!T173</f>
        <v>10148.820000000005</v>
      </c>
      <c r="N266" s="5">
        <f>N265+Trades!U173</f>
        <v>1390.0798609355375</v>
      </c>
      <c r="O266" s="5">
        <f>O265+Trades!W173</f>
        <v>13567.914051343943</v>
      </c>
    </row>
    <row r="267" spans="12:15">
      <c r="L267" s="4">
        <f>Trades!P232</f>
        <v>0</v>
      </c>
      <c r="M267" s="5">
        <f>M266+Trades!T232</f>
        <v>10148.820000000005</v>
      </c>
      <c r="N267" s="5">
        <f>N266+Trades!U232</f>
        <v>1390.0798609355375</v>
      </c>
      <c r="O267" s="5">
        <f>O266+Trades!W232</f>
        <v>13567.914051343943</v>
      </c>
    </row>
    <row r="268" spans="12:15">
      <c r="L268" s="4">
        <f>Trades!P122</f>
        <v>0</v>
      </c>
      <c r="M268" s="5">
        <f>M267+Trades!T122</f>
        <v>10148.820000000005</v>
      </c>
      <c r="N268" s="5">
        <f>N267+Trades!U122</f>
        <v>1390.0798609355375</v>
      </c>
      <c r="O268" s="5">
        <f>O267+Trades!W122</f>
        <v>13567.914051343943</v>
      </c>
    </row>
    <row r="269" spans="12:15">
      <c r="L269" s="4">
        <f>Trades!P134</f>
        <v>0</v>
      </c>
      <c r="M269" s="5">
        <f>M268+Trades!T134</f>
        <v>10148.820000000005</v>
      </c>
      <c r="N269" s="5">
        <f>N268+Trades!U134</f>
        <v>1390.0798609355375</v>
      </c>
      <c r="O269" s="5">
        <f>O268+Trades!W134</f>
        <v>13567.914051343943</v>
      </c>
    </row>
    <row r="270" spans="12:15">
      <c r="L270" s="4">
        <f>Trades!P302</f>
        <v>0</v>
      </c>
      <c r="M270" s="5">
        <f>M269+Trades!T302</f>
        <v>10148.820000000005</v>
      </c>
      <c r="N270" s="5">
        <f>N269+Trades!U302</f>
        <v>1390.0798609355375</v>
      </c>
      <c r="O270" s="5">
        <f>O269+Trades!W302</f>
        <v>13567.914051343943</v>
      </c>
    </row>
    <row r="271" spans="12:15">
      <c r="L271" s="4">
        <f>Trades!P276</f>
        <v>0</v>
      </c>
      <c r="M271" s="5">
        <f>M270+Trades!T276</f>
        <v>10148.820000000005</v>
      </c>
      <c r="N271" s="5">
        <f>N270+Trades!U276</f>
        <v>1390.0798609355375</v>
      </c>
      <c r="O271" s="5">
        <f>O270+Trades!W276</f>
        <v>13567.914051343943</v>
      </c>
    </row>
    <row r="272" spans="12:15">
      <c r="L272" s="4">
        <f>Trades!P135</f>
        <v>0</v>
      </c>
      <c r="M272" s="5">
        <f>M271+Trades!T135</f>
        <v>10148.820000000005</v>
      </c>
      <c r="N272" s="5">
        <f>N271+Trades!U135</f>
        <v>1390.0798609355375</v>
      </c>
      <c r="O272" s="5">
        <f>O271+Trades!W135</f>
        <v>13567.914051343943</v>
      </c>
    </row>
    <row r="273" spans="12:15">
      <c r="L273" s="4">
        <f>Trades!P277</f>
        <v>0</v>
      </c>
      <c r="M273" s="5">
        <f>M272+Trades!T277</f>
        <v>10148.820000000005</v>
      </c>
      <c r="N273" s="5">
        <f>N272+Trades!U277</f>
        <v>1390.0798609355375</v>
      </c>
      <c r="O273" s="5">
        <f>O272+Trades!W277</f>
        <v>13567.914051343943</v>
      </c>
    </row>
    <row r="274" spans="12:15">
      <c r="L274" s="4">
        <f>Trades!P123</f>
        <v>0</v>
      </c>
      <c r="M274" s="5">
        <f>M273+Trades!T123</f>
        <v>10148.820000000005</v>
      </c>
      <c r="N274" s="5">
        <f>N273+Trades!U123</f>
        <v>1390.0798609355375</v>
      </c>
      <c r="O274" s="5">
        <f>O273+Trades!W123</f>
        <v>13567.914051343943</v>
      </c>
    </row>
    <row r="275" spans="12:15">
      <c r="L275" s="4">
        <f>Trades!P222</f>
        <v>0</v>
      </c>
      <c r="M275" s="5">
        <f>M274+Trades!T222</f>
        <v>10148.820000000005</v>
      </c>
      <c r="N275" s="5">
        <f>N274+Trades!U222</f>
        <v>1390.0798609355375</v>
      </c>
      <c r="O275" s="5">
        <f>O274+Trades!W222</f>
        <v>13567.914051343943</v>
      </c>
    </row>
    <row r="276" spans="12:15">
      <c r="L276" s="4">
        <f>Trades!P254</f>
        <v>0</v>
      </c>
      <c r="M276" s="5">
        <f>M275+Trades!T254</f>
        <v>10148.820000000005</v>
      </c>
      <c r="N276" s="5">
        <f>N275+Trades!U254</f>
        <v>1390.0798609355375</v>
      </c>
      <c r="O276" s="5">
        <f>O275+Trades!W254</f>
        <v>13567.914051343943</v>
      </c>
    </row>
    <row r="277" spans="12:15">
      <c r="L277" s="4">
        <f>Trades!P163</f>
        <v>0</v>
      </c>
      <c r="M277" s="5">
        <f>M276+Trades!T163</f>
        <v>10148.820000000005</v>
      </c>
      <c r="N277" s="5">
        <f>N276+Trades!U163</f>
        <v>1390.0798609355375</v>
      </c>
      <c r="O277" s="5">
        <f>O276+Trades!W163</f>
        <v>13567.914051343943</v>
      </c>
    </row>
    <row r="278" spans="12:15">
      <c r="L278" s="4">
        <f>Trades!P303</f>
        <v>0</v>
      </c>
      <c r="M278" s="5">
        <f>M277+Trades!T303</f>
        <v>10148.820000000005</v>
      </c>
      <c r="N278" s="5">
        <f>N277+Trades!U303</f>
        <v>1390.0798609355375</v>
      </c>
      <c r="O278" s="5">
        <f>O277+Trades!W303</f>
        <v>13567.914051343943</v>
      </c>
    </row>
    <row r="279" spans="12:15">
      <c r="L279" s="4">
        <f>Trades!P186</f>
        <v>0</v>
      </c>
      <c r="M279" s="5">
        <f>M278+Trades!T186</f>
        <v>10148.820000000005</v>
      </c>
      <c r="N279" s="5">
        <f>N278+Trades!U186</f>
        <v>1390.0798609355375</v>
      </c>
      <c r="O279" s="5">
        <f>O278+Trades!W186</f>
        <v>13567.914051343943</v>
      </c>
    </row>
    <row r="280" spans="12:15">
      <c r="L280" s="4">
        <f>Trades!P197</f>
        <v>0</v>
      </c>
      <c r="M280" s="5">
        <f>M279+Trades!T197</f>
        <v>10148.820000000005</v>
      </c>
      <c r="N280" s="5">
        <f>N279+Trades!U197</f>
        <v>1390.0798609355375</v>
      </c>
      <c r="O280" s="5">
        <f>O279+Trades!W197</f>
        <v>13567.914051343943</v>
      </c>
    </row>
    <row r="281" spans="12:15">
      <c r="L281" s="4">
        <f>Trades!P155</f>
        <v>0</v>
      </c>
      <c r="M281" s="5">
        <f>M280+Trades!T155</f>
        <v>10148.820000000005</v>
      </c>
      <c r="N281" s="5">
        <f>N280+Trades!U155</f>
        <v>1390.0798609355375</v>
      </c>
      <c r="O281" s="5">
        <f>O280+Trades!W155</f>
        <v>13567.914051343943</v>
      </c>
    </row>
    <row r="282" spans="12:15">
      <c r="L282" s="4">
        <f>Trades!P245</f>
        <v>0</v>
      </c>
      <c r="M282" s="5">
        <f>M281+Trades!T245</f>
        <v>10148.820000000005</v>
      </c>
      <c r="N282" s="5">
        <f>N281+Trades!U245</f>
        <v>1390.0798609355375</v>
      </c>
      <c r="O282" s="5">
        <f>O281+Trades!W245</f>
        <v>13567.914051343943</v>
      </c>
    </row>
    <row r="283" spans="12:15">
      <c r="L283" s="4">
        <f>Trades!P324</f>
        <v>0</v>
      </c>
      <c r="M283" s="5">
        <f>M282+Trades!T324</f>
        <v>10148.820000000005</v>
      </c>
      <c r="N283" s="5">
        <f>N282+Trades!U324</f>
        <v>1390.0798609355375</v>
      </c>
      <c r="O283" s="5">
        <f>O282+Trades!W324</f>
        <v>13567.914051343943</v>
      </c>
    </row>
    <row r="284" spans="12:15">
      <c r="L284" s="4">
        <f>Trades!P288</f>
        <v>0</v>
      </c>
      <c r="M284" s="5">
        <f>M283+Trades!T288</f>
        <v>10148.820000000005</v>
      </c>
      <c r="N284" s="5">
        <f>N283+Trades!U288</f>
        <v>1390.0798609355375</v>
      </c>
      <c r="O284" s="5">
        <f>O283+Trades!W288</f>
        <v>13567.914051343943</v>
      </c>
    </row>
    <row r="285" spans="12:15">
      <c r="L285" s="4">
        <f>Trades!P335</f>
        <v>0</v>
      </c>
      <c r="M285" s="5">
        <f>M284+Trades!T335</f>
        <v>10148.820000000005</v>
      </c>
      <c r="N285" s="5">
        <f>N284+Trades!U335</f>
        <v>1390.0798609355375</v>
      </c>
      <c r="O285" s="5">
        <f>O284+Trades!W335</f>
        <v>13567.914051343943</v>
      </c>
    </row>
    <row r="286" spans="12:15">
      <c r="L286" s="4">
        <f>Trades!P314</f>
        <v>0</v>
      </c>
      <c r="M286" s="5">
        <f>M285+Trades!T314</f>
        <v>10148.820000000005</v>
      </c>
      <c r="N286" s="5">
        <f>N285+Trades!U314</f>
        <v>1390.0798609355375</v>
      </c>
      <c r="O286" s="5">
        <f>O285+Trades!W314</f>
        <v>13567.914051343943</v>
      </c>
    </row>
    <row r="287" spans="12:15">
      <c r="L287" s="4">
        <f>Trades!P206</f>
        <v>0</v>
      </c>
      <c r="M287" s="5">
        <f>M286+Trades!T206</f>
        <v>10148.820000000005</v>
      </c>
      <c r="N287" s="5">
        <f>N286+Trades!U206</f>
        <v>1390.0798609355375</v>
      </c>
      <c r="O287" s="5">
        <f>O286+Trades!W206</f>
        <v>13567.914051343943</v>
      </c>
    </row>
    <row r="288" spans="12:15">
      <c r="L288" s="4">
        <f>Trades!P233</f>
        <v>0</v>
      </c>
      <c r="M288" s="5">
        <f>M287+Trades!T233</f>
        <v>10148.820000000005</v>
      </c>
      <c r="N288" s="5">
        <f>N287+Trades!U233</f>
        <v>1390.0798609355375</v>
      </c>
      <c r="O288" s="5">
        <f>O287+Trades!W233</f>
        <v>13567.914051343943</v>
      </c>
    </row>
    <row r="289" spans="12:15">
      <c r="L289" s="4">
        <f>Trades!P143</f>
        <v>0</v>
      </c>
      <c r="M289" s="5">
        <f>M288+Trades!T143</f>
        <v>10148.820000000005</v>
      </c>
      <c r="N289" s="5">
        <f>N288+Trades!U143</f>
        <v>1390.0798609355375</v>
      </c>
      <c r="O289" s="5">
        <f>O288+Trades!W143</f>
        <v>13567.914051343943</v>
      </c>
    </row>
    <row r="290" spans="12:15">
      <c r="L290" s="4">
        <f>Trades!P345</f>
        <v>0</v>
      </c>
      <c r="M290" s="5">
        <f>M289+Trades!T345</f>
        <v>10148.820000000005</v>
      </c>
      <c r="N290" s="5">
        <f>N289+Trades!U345</f>
        <v>1390.0798609355375</v>
      </c>
      <c r="O290" s="5">
        <f>O289+Trades!W345</f>
        <v>13567.914051343943</v>
      </c>
    </row>
    <row r="291" spans="12:15">
      <c r="L291" s="4">
        <f>Trades!P263</f>
        <v>0</v>
      </c>
      <c r="M291" s="5">
        <f>M290+Trades!T263</f>
        <v>10148.820000000005</v>
      </c>
      <c r="N291" s="5">
        <f>N290+Trades!U263</f>
        <v>1390.0798609355375</v>
      </c>
      <c r="O291" s="5">
        <f>O290+Trades!W263</f>
        <v>13567.914051343943</v>
      </c>
    </row>
    <row r="292" spans="12:15">
      <c r="L292" s="4">
        <f>Trades!P207</f>
        <v>0</v>
      </c>
      <c r="M292" s="5">
        <f>M291+Trades!T207</f>
        <v>10148.820000000005</v>
      </c>
      <c r="N292" s="5">
        <f>N291+Trades!U207</f>
        <v>1390.0798609355375</v>
      </c>
      <c r="O292" s="5">
        <f>O291+Trades!W207</f>
        <v>13567.914051343943</v>
      </c>
    </row>
    <row r="293" spans="12:15">
      <c r="L293" s="4">
        <f>Trades!P346</f>
        <v>0</v>
      </c>
      <c r="M293" s="5">
        <f>M292+Trades!T346</f>
        <v>10148.820000000005</v>
      </c>
      <c r="N293" s="5">
        <f>N292+Trades!U346</f>
        <v>1390.0798609355375</v>
      </c>
      <c r="O293" s="5">
        <f>O292+Trades!W346</f>
        <v>13567.914051343943</v>
      </c>
    </row>
    <row r="294" spans="12:15">
      <c r="L294" s="4">
        <f>Trades!P174</f>
        <v>0</v>
      </c>
      <c r="M294" s="5">
        <f>M293+Trades!T174</f>
        <v>10148.820000000005</v>
      </c>
      <c r="N294" s="5">
        <f>N293+Trades!U174</f>
        <v>1390.0798609355375</v>
      </c>
      <c r="O294" s="5">
        <f>O293+Trades!W174</f>
        <v>13567.914051343943</v>
      </c>
    </row>
    <row r="295" spans="12:15">
      <c r="L295" s="4">
        <f>Trades!P208</f>
        <v>0</v>
      </c>
      <c r="M295" s="5">
        <f>M294+Trades!T208</f>
        <v>10148.820000000005</v>
      </c>
      <c r="N295" s="5">
        <f>N294+Trades!U208</f>
        <v>1390.0798609355375</v>
      </c>
      <c r="O295" s="5">
        <f>O294+Trades!W208</f>
        <v>13567.914051343943</v>
      </c>
    </row>
    <row r="296" spans="12:15">
      <c r="L296" s="4">
        <f>Trades!P223</f>
        <v>0</v>
      </c>
      <c r="M296" s="5">
        <f>M295+Trades!T223</f>
        <v>10148.820000000005</v>
      </c>
      <c r="N296" s="5">
        <f>N295+Trades!U223</f>
        <v>1390.0798609355375</v>
      </c>
      <c r="O296" s="5">
        <f>O295+Trades!W223</f>
        <v>13567.914051343943</v>
      </c>
    </row>
    <row r="297" spans="12:15">
      <c r="L297" s="4">
        <f>Trades!P246</f>
        <v>0</v>
      </c>
      <c r="M297" s="5">
        <f>M296+Trades!T246</f>
        <v>10148.820000000005</v>
      </c>
      <c r="N297" s="5">
        <f>N296+Trades!U246</f>
        <v>1390.0798609355375</v>
      </c>
      <c r="O297" s="5">
        <f>O296+Trades!W246</f>
        <v>13567.914051343943</v>
      </c>
    </row>
    <row r="298" spans="12:15">
      <c r="L298" s="4">
        <f>Trades!P304</f>
        <v>0</v>
      </c>
      <c r="M298" s="5">
        <f>M297+Trades!T304</f>
        <v>10148.820000000005</v>
      </c>
      <c r="N298" s="5">
        <f>N297+Trades!U304</f>
        <v>1390.0798609355375</v>
      </c>
      <c r="O298" s="5">
        <f>O297+Trades!W304</f>
        <v>13567.914051343943</v>
      </c>
    </row>
    <row r="299" spans="12:15">
      <c r="L299" s="4">
        <f>Trades!P278</f>
        <v>0</v>
      </c>
      <c r="M299" s="5">
        <f>M298+Trades!T278</f>
        <v>10148.820000000005</v>
      </c>
      <c r="N299" s="5">
        <f>N298+Trades!U278</f>
        <v>1390.0798609355375</v>
      </c>
      <c r="O299" s="5">
        <f>O298+Trades!W278</f>
        <v>13567.914051343943</v>
      </c>
    </row>
    <row r="300" spans="12:15">
      <c r="L300" s="4">
        <f>Trades!P325</f>
        <v>0</v>
      </c>
      <c r="M300" s="5">
        <f>M299+Trades!T325</f>
        <v>10148.820000000005</v>
      </c>
      <c r="N300" s="5">
        <f>N299+Trades!U325</f>
        <v>1390.0798609355375</v>
      </c>
      <c r="O300" s="5">
        <f>O299+Trades!W325</f>
        <v>13567.914051343943</v>
      </c>
    </row>
    <row r="301" spans="12:15">
      <c r="L301" s="4">
        <f>Trades!P347</f>
        <v>0</v>
      </c>
      <c r="M301" s="5">
        <f>M300+Trades!T347</f>
        <v>10148.820000000005</v>
      </c>
      <c r="N301" s="5">
        <f>N300+Trades!U347</f>
        <v>1390.0798609355375</v>
      </c>
      <c r="O301" s="5">
        <f>O300+Trades!W347</f>
        <v>13567.914051343943</v>
      </c>
    </row>
    <row r="302" spans="12:15">
      <c r="L302" s="4">
        <f>Trades!P289</f>
        <v>0</v>
      </c>
      <c r="M302" s="5">
        <f>M301+Trades!T289</f>
        <v>10148.820000000005</v>
      </c>
      <c r="N302" s="5">
        <f>N301+Trades!U289</f>
        <v>1390.0798609355375</v>
      </c>
      <c r="O302" s="5">
        <f>O301+Trades!W289</f>
        <v>13567.914051343943</v>
      </c>
    </row>
    <row r="303" spans="12:15">
      <c r="L303" s="4">
        <f>Trades!P144</f>
        <v>0</v>
      </c>
      <c r="M303" s="5">
        <f>M302+Trades!T144</f>
        <v>10148.820000000005</v>
      </c>
      <c r="N303" s="5">
        <f>N302+Trades!U144</f>
        <v>1390.0798609355375</v>
      </c>
      <c r="O303" s="5">
        <f>O302+Trades!W144</f>
        <v>13567.914051343943</v>
      </c>
    </row>
    <row r="304" spans="12:15">
      <c r="L304" s="4">
        <f>Trades!P255</f>
        <v>0</v>
      </c>
      <c r="M304" s="5">
        <f>M303+Trades!T255</f>
        <v>10148.820000000005</v>
      </c>
      <c r="N304" s="5">
        <f>N303+Trades!U255</f>
        <v>1390.0798609355375</v>
      </c>
      <c r="O304" s="5">
        <f>O303+Trades!W255</f>
        <v>13567.914051343943</v>
      </c>
    </row>
    <row r="305" spans="12:15">
      <c r="L305" s="4">
        <f>Trades!P156</f>
        <v>0</v>
      </c>
      <c r="M305" s="5">
        <f>M304+Trades!T156</f>
        <v>10148.820000000005</v>
      </c>
      <c r="N305" s="5">
        <f>N304+Trades!U156</f>
        <v>1390.0798609355375</v>
      </c>
      <c r="O305" s="5">
        <f>O304+Trades!W156</f>
        <v>13567.914051343943</v>
      </c>
    </row>
    <row r="306" spans="12:15">
      <c r="L306" s="4">
        <f>Trades!P198</f>
        <v>0</v>
      </c>
      <c r="M306" s="5">
        <f>M305+Trades!T198</f>
        <v>10148.820000000005</v>
      </c>
      <c r="N306" s="5">
        <f>N305+Trades!U198</f>
        <v>1390.0798609355375</v>
      </c>
      <c r="O306" s="5">
        <f>O305+Trades!W198</f>
        <v>13567.914051343943</v>
      </c>
    </row>
    <row r="307" spans="12:15">
      <c r="L307" s="4">
        <f>Trades!P209</f>
        <v>0</v>
      </c>
      <c r="M307" s="5">
        <f>M306+Trades!T209</f>
        <v>10148.820000000005</v>
      </c>
      <c r="N307" s="5">
        <f>N306+Trades!U209</f>
        <v>1390.0798609355375</v>
      </c>
      <c r="O307" s="5">
        <f>O306+Trades!W209</f>
        <v>13567.914051343943</v>
      </c>
    </row>
    <row r="308" spans="12:15">
      <c r="L308" s="4">
        <f>Trades!P264</f>
        <v>0</v>
      </c>
      <c r="M308" s="5">
        <f>M307+Trades!T264</f>
        <v>10148.820000000005</v>
      </c>
      <c r="N308" s="5">
        <f>N307+Trades!U264</f>
        <v>1390.0798609355375</v>
      </c>
      <c r="O308" s="5">
        <f>O307+Trades!W264</f>
        <v>13567.914051343943</v>
      </c>
    </row>
    <row r="309" spans="12:15">
      <c r="L309" s="4">
        <f>Trades!P145</f>
        <v>0</v>
      </c>
      <c r="M309" s="5">
        <f>M308+Trades!T145</f>
        <v>10148.820000000005</v>
      </c>
      <c r="N309" s="5">
        <f>N308+Trades!U145</f>
        <v>1390.0798609355375</v>
      </c>
      <c r="O309" s="5">
        <f>O308+Trades!W145</f>
        <v>13567.914051343943</v>
      </c>
    </row>
    <row r="310" spans="12:15">
      <c r="L310" s="4">
        <f>Trades!P187</f>
        <v>0</v>
      </c>
      <c r="M310" s="5">
        <f>M309+Trades!T187</f>
        <v>10148.820000000005</v>
      </c>
      <c r="N310" s="5">
        <f>N309+Trades!U187</f>
        <v>1390.0798609355375</v>
      </c>
      <c r="O310" s="5">
        <f>O309+Trades!W187</f>
        <v>13567.914051343943</v>
      </c>
    </row>
    <row r="311" spans="12:15">
      <c r="L311" s="4">
        <f>Trades!P175</f>
        <v>0</v>
      </c>
      <c r="M311" s="5">
        <f>M310+Trades!T175</f>
        <v>10148.820000000005</v>
      </c>
      <c r="N311" s="5">
        <f>N310+Trades!U175</f>
        <v>1390.0798609355375</v>
      </c>
      <c r="O311" s="5">
        <f>O310+Trades!W175</f>
        <v>13567.914051343943</v>
      </c>
    </row>
    <row r="312" spans="12:15">
      <c r="L312" s="4">
        <f>Trades!P265</f>
        <v>0</v>
      </c>
      <c r="M312" s="5">
        <f>M311+Trades!T265</f>
        <v>10148.820000000005</v>
      </c>
      <c r="N312" s="5">
        <f>N311+Trades!U265</f>
        <v>1390.0798609355375</v>
      </c>
      <c r="O312" s="5">
        <f>O311+Trades!W265</f>
        <v>13567.914051343943</v>
      </c>
    </row>
    <row r="313" spans="12:15">
      <c r="L313" s="4">
        <f>Trades!P234</f>
        <v>0</v>
      </c>
      <c r="M313" s="5">
        <f>M312+Trades!T234</f>
        <v>10148.820000000005</v>
      </c>
      <c r="N313" s="5">
        <f>N312+Trades!U234</f>
        <v>1390.0798609355375</v>
      </c>
      <c r="O313" s="5">
        <f>O312+Trades!W234</f>
        <v>13567.914051343943</v>
      </c>
    </row>
    <row r="314" spans="12:15">
      <c r="L314" s="4">
        <f>Trades!P305</f>
        <v>0</v>
      </c>
      <c r="M314" s="5">
        <f>M313+Trades!T305</f>
        <v>10148.820000000005</v>
      </c>
      <c r="N314" s="5">
        <f>N313+Trades!U305</f>
        <v>1390.0798609355375</v>
      </c>
      <c r="O314" s="5">
        <f>O313+Trades!W305</f>
        <v>13567.914051343943</v>
      </c>
    </row>
    <row r="315" spans="12:15">
      <c r="L315" s="4">
        <f>Trades!P306</f>
        <v>0</v>
      </c>
      <c r="M315" s="5">
        <f>M314+Trades!T306</f>
        <v>10148.820000000005</v>
      </c>
      <c r="N315" s="5">
        <f>N314+Trades!U306</f>
        <v>1390.0798609355375</v>
      </c>
      <c r="O315" s="5">
        <f>O314+Trades!W306</f>
        <v>13567.914051343943</v>
      </c>
    </row>
    <row r="316" spans="12:15">
      <c r="L316" s="4">
        <f>Trades!P157</f>
        <v>0</v>
      </c>
      <c r="M316" s="5">
        <f>M315+Trades!T157</f>
        <v>10148.820000000005</v>
      </c>
      <c r="N316" s="5">
        <f>N315+Trades!U157</f>
        <v>1390.0798609355375</v>
      </c>
      <c r="O316" s="5">
        <f>O315+Trades!W157</f>
        <v>13567.914051343943</v>
      </c>
    </row>
    <row r="317" spans="12:15">
      <c r="L317" s="4">
        <f>Trades!P210</f>
        <v>0</v>
      </c>
      <c r="M317" s="5">
        <f>M316+Trades!T210</f>
        <v>10148.820000000005</v>
      </c>
      <c r="N317" s="5">
        <f>N316+Trades!U210</f>
        <v>1390.0798609355375</v>
      </c>
      <c r="O317" s="5">
        <f>O316+Trades!W210</f>
        <v>13567.914051343943</v>
      </c>
    </row>
    <row r="318" spans="12:15">
      <c r="L318" s="4">
        <f>Trades!P315</f>
        <v>0</v>
      </c>
      <c r="M318" s="5">
        <f>M317+Trades!T315</f>
        <v>10148.820000000005</v>
      </c>
      <c r="N318" s="5">
        <f>N317+Trades!U315</f>
        <v>1390.0798609355375</v>
      </c>
      <c r="O318" s="5">
        <f>O317+Trades!W315</f>
        <v>13567.914051343943</v>
      </c>
    </row>
    <row r="319" spans="12:15">
      <c r="L319" s="4">
        <f>Trades!P266</f>
        <v>0</v>
      </c>
      <c r="M319" s="5">
        <f>M318+Trades!T266</f>
        <v>10148.820000000005</v>
      </c>
      <c r="N319" s="5">
        <f>N318+Trades!U266</f>
        <v>1390.0798609355375</v>
      </c>
      <c r="O319" s="5">
        <f>O318+Trades!W266</f>
        <v>13567.914051343943</v>
      </c>
    </row>
    <row r="320" spans="12:15">
      <c r="L320" s="4">
        <f>Trades!P279</f>
        <v>0</v>
      </c>
      <c r="M320" s="5">
        <f>M319+Trades!T279</f>
        <v>10148.820000000005</v>
      </c>
      <c r="N320" s="5">
        <f>N319+Trades!U279</f>
        <v>1390.0798609355375</v>
      </c>
      <c r="O320" s="5">
        <f>O319+Trades!W279</f>
        <v>13567.914051343943</v>
      </c>
    </row>
    <row r="321" spans="12:15">
      <c r="L321" s="4">
        <f>Trades!P146</f>
        <v>0</v>
      </c>
      <c r="M321" s="5">
        <f>M320+Trades!T146</f>
        <v>10148.820000000005</v>
      </c>
      <c r="N321" s="5">
        <f>N320+Trades!U146</f>
        <v>1390.0798609355375</v>
      </c>
      <c r="O321" s="5">
        <f>O320+Trades!W146</f>
        <v>13567.914051343943</v>
      </c>
    </row>
    <row r="322" spans="12:15">
      <c r="L322" s="4">
        <f>Trades!P199</f>
        <v>0</v>
      </c>
      <c r="M322" s="5">
        <f>M321+Trades!T199</f>
        <v>10148.820000000005</v>
      </c>
      <c r="N322" s="5">
        <f>N321+Trades!U199</f>
        <v>1390.0798609355375</v>
      </c>
      <c r="O322" s="5">
        <f>O321+Trades!W199</f>
        <v>13567.914051343943</v>
      </c>
    </row>
    <row r="323" spans="12:15">
      <c r="L323" s="4">
        <f>Trades!P224</f>
        <v>0</v>
      </c>
      <c r="M323" s="5">
        <f>M322+Trades!T224</f>
        <v>10148.820000000005</v>
      </c>
      <c r="N323" s="5">
        <f>N322+Trades!U224</f>
        <v>1390.0798609355375</v>
      </c>
      <c r="O323" s="5">
        <f>O322+Trades!W224</f>
        <v>13567.914051343943</v>
      </c>
    </row>
    <row r="324" spans="12:15">
      <c r="L324" s="4">
        <f>Trades!P290</f>
        <v>0</v>
      </c>
      <c r="M324" s="5">
        <f>M323+Trades!T290</f>
        <v>10148.820000000005</v>
      </c>
      <c r="N324" s="5">
        <f>N323+Trades!U290</f>
        <v>1390.0798609355375</v>
      </c>
      <c r="O324" s="5">
        <f>O323+Trades!W290</f>
        <v>13567.914051343943</v>
      </c>
    </row>
    <row r="325" spans="12:15">
      <c r="L325" s="4">
        <f>Trades!P164</f>
        <v>0</v>
      </c>
      <c r="M325" s="5">
        <f>M324+Trades!T164</f>
        <v>10148.820000000005</v>
      </c>
      <c r="N325" s="5">
        <f>N324+Trades!U164</f>
        <v>1390.0798609355375</v>
      </c>
      <c r="O325" s="5">
        <f>O324+Trades!W164</f>
        <v>13567.914051343943</v>
      </c>
    </row>
    <row r="326" spans="12:15">
      <c r="L326" s="4">
        <f>Trades!P188</f>
        <v>0</v>
      </c>
      <c r="M326" s="5">
        <f>M325+Trades!T188</f>
        <v>10148.820000000005</v>
      </c>
      <c r="N326" s="5">
        <f>N325+Trades!U188</f>
        <v>1390.0798609355375</v>
      </c>
      <c r="O326" s="5">
        <f>O325+Trades!W188</f>
        <v>13567.914051343943</v>
      </c>
    </row>
    <row r="327" spans="12:15">
      <c r="L327" s="4">
        <f>Trades!P348</f>
        <v>0</v>
      </c>
      <c r="M327" s="5">
        <f>M326+Trades!T348</f>
        <v>10148.820000000005</v>
      </c>
      <c r="N327" s="5">
        <f>N326+Trades!U348</f>
        <v>1390.0798609355375</v>
      </c>
      <c r="O327" s="5">
        <f>O326+Trades!W348</f>
        <v>13567.914051343943</v>
      </c>
    </row>
    <row r="328" spans="12:15">
      <c r="L328" s="4">
        <f>Trades!P235</f>
        <v>0</v>
      </c>
      <c r="M328" s="5">
        <f>M327+Trades!T235</f>
        <v>10148.820000000005</v>
      </c>
      <c r="N328" s="5">
        <f>N327+Trades!U235</f>
        <v>1390.0798609355375</v>
      </c>
      <c r="O328" s="5">
        <f>O327+Trades!W235</f>
        <v>13567.914051343943</v>
      </c>
    </row>
    <row r="329" spans="12:15">
      <c r="L329" s="4">
        <f>Trades!P326</f>
        <v>0</v>
      </c>
      <c r="M329" s="5">
        <f>M328+Trades!T326</f>
        <v>10148.820000000005</v>
      </c>
      <c r="N329" s="5">
        <f>N328+Trades!U326</f>
        <v>1390.0798609355375</v>
      </c>
      <c r="O329" s="5">
        <f>O328+Trades!W326</f>
        <v>13567.914051343943</v>
      </c>
    </row>
    <row r="330" spans="12:15">
      <c r="L330" s="4">
        <f>Trades!P189</f>
        <v>0</v>
      </c>
      <c r="M330" s="5">
        <f>M329+Trades!T189</f>
        <v>10148.820000000005</v>
      </c>
      <c r="N330" s="5">
        <f>N329+Trades!U189</f>
        <v>1390.0798609355375</v>
      </c>
      <c r="O330" s="5">
        <f>O329+Trades!W189</f>
        <v>13567.914051343943</v>
      </c>
    </row>
    <row r="331" spans="12:15">
      <c r="L331" s="4">
        <f>Trades!P124</f>
        <v>0</v>
      </c>
      <c r="M331" s="5">
        <f>M330+Trades!T124</f>
        <v>10148.820000000005</v>
      </c>
      <c r="N331" s="5">
        <f>N330+Trades!U124</f>
        <v>1390.0798609355375</v>
      </c>
      <c r="O331" s="5">
        <f>O330+Trades!W124</f>
        <v>13567.914051343943</v>
      </c>
    </row>
    <row r="332" spans="12:15">
      <c r="L332" s="4">
        <f>Trades!P316</f>
        <v>0</v>
      </c>
      <c r="M332" s="5">
        <f>M331+Trades!T316</f>
        <v>10148.820000000005</v>
      </c>
      <c r="N332" s="5">
        <f>N331+Trades!U316</f>
        <v>1390.0798609355375</v>
      </c>
      <c r="O332" s="5">
        <f>O331+Trades!W316</f>
        <v>13567.914051343943</v>
      </c>
    </row>
    <row r="333" spans="12:15">
      <c r="L333" s="4">
        <f>Trades!P336</f>
        <v>0</v>
      </c>
      <c r="M333" s="5">
        <f>M332+Trades!T336</f>
        <v>10148.820000000005</v>
      </c>
      <c r="N333" s="5">
        <f>N332+Trades!U336</f>
        <v>1390.0798609355375</v>
      </c>
      <c r="O333" s="5">
        <f>O332+Trades!W336</f>
        <v>13567.914051343943</v>
      </c>
    </row>
    <row r="334" spans="12:15">
      <c r="L334" s="4">
        <f>Trades!P349</f>
        <v>0</v>
      </c>
      <c r="M334" s="5">
        <f>M333+Trades!T349</f>
        <v>10148.820000000005</v>
      </c>
      <c r="N334" s="5">
        <f>N333+Trades!U349</f>
        <v>1390.0798609355375</v>
      </c>
      <c r="O334" s="5">
        <f>O333+Trades!W349</f>
        <v>13567.914051343943</v>
      </c>
    </row>
    <row r="335" spans="12:15">
      <c r="L335" s="4">
        <f>Trades!P158</f>
        <v>0</v>
      </c>
      <c r="M335" s="5">
        <f>M334+Trades!T158</f>
        <v>10148.820000000005</v>
      </c>
      <c r="N335" s="5">
        <f>N334+Trades!U158</f>
        <v>1390.0798609355375</v>
      </c>
      <c r="O335" s="5">
        <f>O334+Trades!W158</f>
        <v>13567.914051343943</v>
      </c>
    </row>
    <row r="336" spans="12:15">
      <c r="L336" s="4">
        <f>Trades!P280</f>
        <v>0</v>
      </c>
      <c r="M336" s="5">
        <f>M335+Trades!T280</f>
        <v>10148.820000000005</v>
      </c>
      <c r="N336" s="5">
        <f>N335+Trades!U280</f>
        <v>1390.0798609355375</v>
      </c>
      <c r="O336" s="5">
        <f>O335+Trades!W280</f>
        <v>13567.914051343943</v>
      </c>
    </row>
    <row r="337" spans="12:15">
      <c r="L337" s="4">
        <f>Trades!P211</f>
        <v>0</v>
      </c>
      <c r="M337" s="5">
        <f>M336+Trades!T211</f>
        <v>10148.820000000005</v>
      </c>
      <c r="N337" s="5">
        <f>N336+Trades!U211</f>
        <v>1390.0798609355375</v>
      </c>
      <c r="O337" s="5">
        <f>O336+Trades!W211</f>
        <v>13567.914051343943</v>
      </c>
    </row>
    <row r="338" spans="12:15">
      <c r="L338" s="4">
        <f>Trades!P307</f>
        <v>0</v>
      </c>
      <c r="M338" s="5">
        <f>M337+Trades!T307</f>
        <v>10148.820000000005</v>
      </c>
      <c r="N338" s="5">
        <f>N337+Trades!U307</f>
        <v>1390.0798609355375</v>
      </c>
      <c r="O338" s="5">
        <f>O337+Trades!W307</f>
        <v>13567.914051343943</v>
      </c>
    </row>
    <row r="339" spans="12:15">
      <c r="L339" s="4">
        <f>Trades!P190</f>
        <v>0</v>
      </c>
      <c r="M339" s="5">
        <f>M338+Trades!T190</f>
        <v>10148.820000000005</v>
      </c>
      <c r="N339" s="5">
        <f>N338+Trades!U190</f>
        <v>1390.0798609355375</v>
      </c>
      <c r="O339" s="5">
        <f>O338+Trades!W190</f>
        <v>13567.914051343943</v>
      </c>
    </row>
    <row r="340" spans="12:15">
      <c r="L340" s="4">
        <f>Trades!P125</f>
        <v>0</v>
      </c>
      <c r="M340" s="5">
        <f>M339+Trades!T125</f>
        <v>10148.820000000005</v>
      </c>
      <c r="N340" s="5">
        <f>N339+Trades!U125</f>
        <v>1390.0798609355375</v>
      </c>
      <c r="O340" s="5">
        <f>O339+Trades!W125</f>
        <v>13567.914051343943</v>
      </c>
    </row>
    <row r="341" spans="12:15">
      <c r="L341" s="4">
        <f>Trades!P267</f>
        <v>0</v>
      </c>
      <c r="M341" s="5">
        <f>M340+Trades!T267</f>
        <v>10148.820000000005</v>
      </c>
      <c r="N341" s="5">
        <f>N340+Trades!U267</f>
        <v>1390.0798609355375</v>
      </c>
      <c r="O341" s="5">
        <f>O340+Trades!W267</f>
        <v>13567.914051343943</v>
      </c>
    </row>
    <row r="342" spans="12:15">
      <c r="L342" s="4">
        <f>Trades!P225</f>
        <v>0</v>
      </c>
      <c r="M342" s="5">
        <f>M341+Trades!T225</f>
        <v>10148.820000000005</v>
      </c>
      <c r="N342" s="5">
        <f>N341+Trades!U225</f>
        <v>1390.0798609355375</v>
      </c>
      <c r="O342" s="5">
        <f>O341+Trades!W225</f>
        <v>13567.914051343943</v>
      </c>
    </row>
    <row r="343" spans="12:15">
      <c r="L343" s="4">
        <f>Trades!P236</f>
        <v>0</v>
      </c>
      <c r="M343" s="5">
        <f>M342+Trades!T236</f>
        <v>10148.820000000005</v>
      </c>
      <c r="N343" s="5">
        <f>N342+Trades!U236</f>
        <v>1390.0798609355375</v>
      </c>
      <c r="O343" s="5">
        <f>O342+Trades!W236</f>
        <v>13567.914051343943</v>
      </c>
    </row>
    <row r="344" spans="12:15">
      <c r="L344" s="4">
        <f>Trades!P136</f>
        <v>0</v>
      </c>
      <c r="M344" s="5">
        <f>M343+Trades!T136</f>
        <v>10148.820000000005</v>
      </c>
      <c r="N344" s="5">
        <f>N343+Trades!U136</f>
        <v>1390.0798609355375</v>
      </c>
      <c r="O344" s="5">
        <f>O343+Trades!W136</f>
        <v>13567.914051343943</v>
      </c>
    </row>
    <row r="345" spans="12:15">
      <c r="L345" s="4">
        <f>Trades!P176</f>
        <v>0</v>
      </c>
      <c r="M345" s="5">
        <f>M344+Trades!T176</f>
        <v>10148.820000000005</v>
      </c>
      <c r="N345" s="5">
        <f>N344+Trades!U176</f>
        <v>1390.0798609355375</v>
      </c>
      <c r="O345" s="5">
        <f>O344+Trades!W176</f>
        <v>13567.914051343943</v>
      </c>
    </row>
    <row r="346" spans="12:15">
      <c r="L346" s="4">
        <f>Trades!P247</f>
        <v>0</v>
      </c>
      <c r="M346" s="5">
        <f>M345+Trades!T247</f>
        <v>10148.820000000005</v>
      </c>
      <c r="N346" s="5">
        <f>N345+Trades!U247</f>
        <v>1390.0798609355375</v>
      </c>
      <c r="O346" s="5">
        <f>O345+Trades!W247</f>
        <v>13567.914051343943</v>
      </c>
    </row>
    <row r="347" spans="12:15">
      <c r="L347" s="4">
        <f>Trades!P317</f>
        <v>0</v>
      </c>
      <c r="M347" s="5">
        <f>M346+Trades!T317</f>
        <v>10148.820000000005</v>
      </c>
      <c r="N347" s="5">
        <f>N346+Trades!U317</f>
        <v>1390.0798609355375</v>
      </c>
      <c r="O347" s="5">
        <f>O346+Trades!W317</f>
        <v>13567.914051343943</v>
      </c>
    </row>
    <row r="348" spans="12:15">
      <c r="L348" s="4">
        <f>Trades!P147</f>
        <v>0</v>
      </c>
      <c r="M348" s="5">
        <f>M347+Trades!T147</f>
        <v>10148.820000000005</v>
      </c>
      <c r="N348" s="5">
        <f>N347+Trades!U147</f>
        <v>1390.0798609355375</v>
      </c>
      <c r="O348" s="5">
        <f>O347+Trades!W147</f>
        <v>13567.914051343943</v>
      </c>
    </row>
    <row r="349" spans="12:15">
      <c r="L349" s="4">
        <f>Trades!P165</f>
        <v>0</v>
      </c>
      <c r="M349" s="5">
        <f>M348+Trades!T165</f>
        <v>10148.820000000005</v>
      </c>
      <c r="N349" s="5">
        <f>N348+Trades!U165</f>
        <v>1390.0798609355375</v>
      </c>
      <c r="O349" s="5">
        <f>O348+Trades!W165</f>
        <v>13567.914051343943</v>
      </c>
    </row>
    <row r="350" spans="12:15">
      <c r="L350" s="4">
        <f>Trades!P350</f>
        <v>0</v>
      </c>
      <c r="M350" s="5">
        <f>M349+Trades!T350</f>
        <v>10148.820000000005</v>
      </c>
      <c r="N350" s="5">
        <f>N349+Trades!U350</f>
        <v>1390.0798609355375</v>
      </c>
      <c r="O350" s="5">
        <f>O349+Trades!W350</f>
        <v>13567.914051343943</v>
      </c>
    </row>
    <row r="351" spans="12:15">
      <c r="L351" s="4">
        <f>Trades!P361</f>
        <v>0</v>
      </c>
      <c r="M351" s="5">
        <f>M350+Trades!T361</f>
        <v>10148.820000000005</v>
      </c>
      <c r="N351" s="5">
        <f>N350+Trades!U361</f>
        <v>1390.0798609355375</v>
      </c>
      <c r="O351" s="5">
        <f>O350+Trades!W361</f>
        <v>13567.914051343943</v>
      </c>
    </row>
    <row r="352" spans="12:15">
      <c r="L352" s="4">
        <f>Trades!P374</f>
        <v>0</v>
      </c>
      <c r="M352" s="5">
        <f>M351+Trades!T374</f>
        <v>10148.820000000005</v>
      </c>
      <c r="N352" s="5">
        <f>N351+Trades!U374</f>
        <v>1390.0798609355375</v>
      </c>
      <c r="O352" s="5">
        <f>O351+Trades!W374</f>
        <v>13567.914051343943</v>
      </c>
    </row>
    <row r="353" spans="12:15">
      <c r="L353" s="4">
        <f>Trades!P362</f>
        <v>0</v>
      </c>
      <c r="M353" s="5">
        <f>M352+Trades!T362</f>
        <v>10148.820000000005</v>
      </c>
      <c r="N353" s="5">
        <f>N352+Trades!U362</f>
        <v>1390.0798609355375</v>
      </c>
      <c r="O353" s="5">
        <f>O352+Trades!W362</f>
        <v>13567.914051343943</v>
      </c>
    </row>
    <row r="354" spans="12:15">
      <c r="L354" s="4">
        <f>Trades!P351</f>
        <v>0</v>
      </c>
      <c r="M354" s="5">
        <f>M353+Trades!T351</f>
        <v>10148.820000000005</v>
      </c>
      <c r="N354" s="5">
        <f>N353+Trades!U351</f>
        <v>1390.0798609355375</v>
      </c>
      <c r="O354" s="5">
        <f>O353+Trades!W351</f>
        <v>13567.914051343943</v>
      </c>
    </row>
    <row r="355" spans="12:15">
      <c r="L355" s="4">
        <f>Trades!P363</f>
        <v>0</v>
      </c>
      <c r="M355" s="5">
        <f>M354+Trades!T363</f>
        <v>10148.820000000005</v>
      </c>
      <c r="N355" s="5">
        <f>N354+Trades!U363</f>
        <v>1390.0798609355375</v>
      </c>
      <c r="O355" s="5">
        <f>O354+Trades!W363</f>
        <v>13567.914051343943</v>
      </c>
    </row>
    <row r="356" spans="12:15">
      <c r="L356" s="4">
        <f>Trades!P352</f>
        <v>0</v>
      </c>
      <c r="M356" s="5">
        <f>M355+Trades!T352</f>
        <v>10148.820000000005</v>
      </c>
      <c r="N356" s="5">
        <f>N355+Trades!U352</f>
        <v>1390.0798609355375</v>
      </c>
      <c r="O356" s="5">
        <f>O355+Trades!W352</f>
        <v>13567.914051343943</v>
      </c>
    </row>
    <row r="357" spans="12:15">
      <c r="L357" s="4">
        <f>Trades!P364</f>
        <v>0</v>
      </c>
      <c r="M357" s="5">
        <f>M356+Trades!T364</f>
        <v>10148.820000000005</v>
      </c>
      <c r="N357" s="5">
        <f>N356+Trades!U364</f>
        <v>1390.0798609355375</v>
      </c>
      <c r="O357" s="5">
        <f>O356+Trades!W364</f>
        <v>13567.914051343943</v>
      </c>
    </row>
    <row r="358" spans="12:15">
      <c r="L358" s="4">
        <f>Trades!P353</f>
        <v>0</v>
      </c>
      <c r="M358" s="5">
        <f>M357+Trades!T353</f>
        <v>10148.820000000005</v>
      </c>
      <c r="N358" s="5">
        <f>N357+Trades!U353</f>
        <v>1390.0798609355375</v>
      </c>
      <c r="O358" s="5">
        <f>O357+Trades!W353</f>
        <v>13567.914051343943</v>
      </c>
    </row>
    <row r="359" spans="12:15">
      <c r="L359" s="4">
        <f>Trades!P365</f>
        <v>0</v>
      </c>
      <c r="M359" s="5">
        <f>M358+Trades!T365</f>
        <v>10148.820000000005</v>
      </c>
      <c r="N359" s="5">
        <f>N358+Trades!U365</f>
        <v>1390.0798609355375</v>
      </c>
      <c r="O359" s="5">
        <f>O358+Trades!W365</f>
        <v>13567.914051343943</v>
      </c>
    </row>
    <row r="360" spans="12:15">
      <c r="L360" s="4">
        <f>Trades!P366</f>
        <v>0</v>
      </c>
      <c r="M360" s="5">
        <f>M359+Trades!T366</f>
        <v>10148.820000000005</v>
      </c>
      <c r="N360" s="5">
        <f>N359+Trades!U366</f>
        <v>1390.0798609355375</v>
      </c>
      <c r="O360" s="5">
        <f>O359+Trades!W366</f>
        <v>13567.914051343943</v>
      </c>
    </row>
    <row r="361" spans="12:15">
      <c r="L361" s="4">
        <f>Trades!P375</f>
        <v>0</v>
      </c>
      <c r="M361" s="5">
        <f>M360+Trades!T375</f>
        <v>10148.820000000005</v>
      </c>
      <c r="N361" s="5">
        <f>N360+Trades!U375</f>
        <v>1390.0798609355375</v>
      </c>
      <c r="O361" s="5">
        <f>O360+Trades!W375</f>
        <v>13567.914051343943</v>
      </c>
    </row>
    <row r="362" spans="12:15">
      <c r="L362" s="4">
        <f>Trades!P354</f>
        <v>0</v>
      </c>
      <c r="M362" s="5">
        <f>M361+Trades!T354</f>
        <v>10148.820000000005</v>
      </c>
      <c r="N362" s="5">
        <f>N361+Trades!U354</f>
        <v>1390.0798609355375</v>
      </c>
      <c r="O362" s="5">
        <f>O361+Trades!W354</f>
        <v>13567.914051343943</v>
      </c>
    </row>
    <row r="363" spans="12:15">
      <c r="L363" s="4">
        <f>Trades!P367</f>
        <v>0</v>
      </c>
      <c r="M363" s="5">
        <f>M362+Trades!T367</f>
        <v>10148.820000000005</v>
      </c>
      <c r="N363" s="5">
        <f>N362+Trades!U367</f>
        <v>1390.0798609355375</v>
      </c>
      <c r="O363" s="5">
        <f>O362+Trades!W367</f>
        <v>13567.914051343943</v>
      </c>
    </row>
    <row r="364" spans="12:15">
      <c r="L364" s="4">
        <f>Trades!P368</f>
        <v>0</v>
      </c>
      <c r="M364" s="5">
        <f>M363+Trades!T368</f>
        <v>10148.820000000005</v>
      </c>
      <c r="N364" s="5">
        <f>N363+Trades!U368</f>
        <v>1390.0798609355375</v>
      </c>
      <c r="O364" s="5">
        <f>O363+Trades!W368</f>
        <v>13567.914051343943</v>
      </c>
    </row>
    <row r="365" spans="12:15">
      <c r="L365" s="4">
        <f>Trades!P355</f>
        <v>0</v>
      </c>
      <c r="M365" s="5">
        <f>M364+Trades!T355</f>
        <v>10148.820000000005</v>
      </c>
      <c r="N365" s="5">
        <f>N364+Trades!U355</f>
        <v>1390.0798609355375</v>
      </c>
      <c r="O365" s="5">
        <f>O364+Trades!W355</f>
        <v>13567.914051343943</v>
      </c>
    </row>
    <row r="366" spans="12:15">
      <c r="L366" s="4">
        <f>Trades!P376</f>
        <v>0</v>
      </c>
      <c r="M366" s="5">
        <f>M365+Trades!T376</f>
        <v>10148.820000000005</v>
      </c>
      <c r="N366" s="5">
        <f>N365+Trades!U376</f>
        <v>1390.0798609355375</v>
      </c>
      <c r="O366" s="5">
        <f>O365+Trades!W376</f>
        <v>13567.914051343943</v>
      </c>
    </row>
    <row r="367" spans="12:15">
      <c r="L367" s="4">
        <f>Trades!P369</f>
        <v>0</v>
      </c>
      <c r="M367" s="5">
        <f>M366+Trades!T369</f>
        <v>10148.820000000005</v>
      </c>
      <c r="N367" s="5">
        <f>N366+Trades!U369</f>
        <v>1390.0798609355375</v>
      </c>
      <c r="O367" s="5">
        <f>O366+Trades!W369</f>
        <v>13567.914051343943</v>
      </c>
    </row>
    <row r="368" spans="12:15">
      <c r="L368" s="4">
        <f>Trades!P356</f>
        <v>0</v>
      </c>
      <c r="M368" s="5">
        <f>M367+Trades!T356</f>
        <v>10148.820000000005</v>
      </c>
      <c r="N368" s="5">
        <f>N367+Trades!U356</f>
        <v>1390.0798609355375</v>
      </c>
      <c r="O368" s="5">
        <f>O367+Trades!W356</f>
        <v>13567.914051343943</v>
      </c>
    </row>
    <row r="369" spans="12:15">
      <c r="L369" s="4">
        <f>Trades!P377</f>
        <v>0</v>
      </c>
      <c r="M369" s="5">
        <f>M368+Trades!T377</f>
        <v>10148.820000000005</v>
      </c>
      <c r="N369" s="5">
        <f>N368+Trades!U377</f>
        <v>1390.0798609355375</v>
      </c>
      <c r="O369" s="5">
        <f>O368+Trades!W377</f>
        <v>13567.914051343943</v>
      </c>
    </row>
    <row r="370" spans="12:15">
      <c r="L370" s="4">
        <f>Trades!P370</f>
        <v>0</v>
      </c>
      <c r="M370" s="5">
        <f>M369+Trades!T370</f>
        <v>10148.820000000005</v>
      </c>
      <c r="N370" s="5">
        <f>N369+Trades!U370</f>
        <v>1390.0798609355375</v>
      </c>
      <c r="O370" s="5">
        <f>O369+Trades!W370</f>
        <v>13567.914051343943</v>
      </c>
    </row>
    <row r="371" spans="12:15">
      <c r="L371" s="4">
        <f>Trades!P357</f>
        <v>0</v>
      </c>
      <c r="M371" s="5">
        <f>M370+Trades!T357</f>
        <v>10148.820000000005</v>
      </c>
      <c r="N371" s="5">
        <f>N370+Trades!U357</f>
        <v>1390.0798609355375</v>
      </c>
      <c r="O371" s="5">
        <f>O370+Trades!W357</f>
        <v>13567.914051343943</v>
      </c>
    </row>
    <row r="372" spans="12:15">
      <c r="L372" s="4">
        <f>Trades!P358</f>
        <v>0</v>
      </c>
      <c r="M372" s="5">
        <f>M371+Trades!T358</f>
        <v>10148.820000000005</v>
      </c>
      <c r="N372" s="5">
        <f>N371+Trades!U358</f>
        <v>1390.0798609355375</v>
      </c>
      <c r="O372" s="5">
        <f>O371+Trades!W358</f>
        <v>13567.914051343943</v>
      </c>
    </row>
    <row r="373" spans="12:15">
      <c r="L373" s="4">
        <f>Trades!P378</f>
        <v>0</v>
      </c>
      <c r="M373" s="5">
        <f>M372+Trades!T378</f>
        <v>10148.820000000005</v>
      </c>
      <c r="N373" s="5">
        <f>N372+Trades!U378</f>
        <v>1390.0798609355375</v>
      </c>
      <c r="O373" s="5">
        <f>O372+Trades!W378</f>
        <v>13567.914051343943</v>
      </c>
    </row>
    <row r="374" spans="12:15">
      <c r="L374" s="4">
        <f>Trades!P371</f>
        <v>0</v>
      </c>
      <c r="M374" s="5">
        <f>M373+Trades!T371</f>
        <v>10148.820000000005</v>
      </c>
      <c r="N374" s="5">
        <f>N373+Trades!U371</f>
        <v>1390.0798609355375</v>
      </c>
      <c r="O374" s="5">
        <f>O373+Trades!W371</f>
        <v>13567.914051343943</v>
      </c>
    </row>
    <row r="375" spans="12:15">
      <c r="L375" s="4">
        <f>Trades!P372</f>
        <v>0</v>
      </c>
      <c r="M375" s="5">
        <f>M374+Trades!T372</f>
        <v>10148.820000000005</v>
      </c>
      <c r="N375" s="5">
        <f>N374+Trades!U372</f>
        <v>1390.0798609355375</v>
      </c>
      <c r="O375" s="5">
        <f>O374+Trades!W372</f>
        <v>13567.914051343943</v>
      </c>
    </row>
    <row r="376" spans="12:15">
      <c r="L376" s="4">
        <f>Trades!P359</f>
        <v>0</v>
      </c>
      <c r="M376" s="5">
        <f>M375+Trades!T359</f>
        <v>10148.820000000005</v>
      </c>
      <c r="N376" s="5">
        <f>N375+Trades!U359</f>
        <v>1390.0798609355375</v>
      </c>
      <c r="O376" s="5">
        <f>O375+Trades!W359</f>
        <v>13567.914051343943</v>
      </c>
    </row>
    <row r="377" spans="12:15">
      <c r="L377" s="4">
        <f>Trades!P373</f>
        <v>0</v>
      </c>
      <c r="M377" s="5">
        <f>M376+Trades!T373</f>
        <v>10148.820000000005</v>
      </c>
      <c r="N377" s="5">
        <f>N376+Trades!U373</f>
        <v>1390.0798609355375</v>
      </c>
      <c r="O377" s="5">
        <f>O376+Trades!W373</f>
        <v>13567.914051343943</v>
      </c>
    </row>
    <row r="378" spans="12:15">
      <c r="L378" s="4">
        <f>Trades!P360</f>
        <v>0</v>
      </c>
      <c r="M378" s="5">
        <f>M377+Trades!T360</f>
        <v>10148.820000000005</v>
      </c>
      <c r="N378" s="5">
        <f>N377+Trades!U360</f>
        <v>1390.0798609355375</v>
      </c>
      <c r="O378" s="5">
        <f>O377+Trades!W360</f>
        <v>13567.914051343943</v>
      </c>
    </row>
    <row r="379" spans="12:15">
      <c r="L379" s="4">
        <f>Trades!P379</f>
        <v>0</v>
      </c>
      <c r="M379" s="5">
        <f>M378+Trades!T379</f>
        <v>10148.820000000005</v>
      </c>
      <c r="N379" s="5">
        <f>N378+Trades!U379</f>
        <v>1390.0798609355375</v>
      </c>
      <c r="O379" s="5">
        <f>O378+Trades!W379</f>
        <v>13567.914051343943</v>
      </c>
    </row>
    <row r="380" spans="12:15">
      <c r="L380" s="4">
        <f>Trades!P380</f>
        <v>0</v>
      </c>
      <c r="M380" s="5">
        <f>M379+Trades!T380</f>
        <v>10148.820000000005</v>
      </c>
      <c r="N380" s="5">
        <f>N379+Trades!U380</f>
        <v>1390.0798609355375</v>
      </c>
      <c r="O380" s="5">
        <f>O379+Trades!W380</f>
        <v>13567.914051343943</v>
      </c>
    </row>
    <row r="381" spans="12:15">
      <c r="L381" s="4">
        <f>Trades!P381</f>
        <v>0</v>
      </c>
      <c r="M381" s="5">
        <f>M380+Trades!T381</f>
        <v>10148.820000000005</v>
      </c>
      <c r="N381" s="5">
        <f>N380+Trades!U381</f>
        <v>1390.0798609355375</v>
      </c>
      <c r="O381" s="5">
        <f>O380+Trades!W381</f>
        <v>13567.914051343943</v>
      </c>
    </row>
    <row r="382" spans="12:15">
      <c r="L382" s="4">
        <f>Trades!P382</f>
        <v>0</v>
      </c>
      <c r="M382" s="5">
        <f>M381+Trades!T382</f>
        <v>10148.820000000005</v>
      </c>
      <c r="N382" s="5">
        <f>N381+Trades!U382</f>
        <v>1390.0798609355375</v>
      </c>
      <c r="O382" s="5">
        <f>O381+Trades!W382</f>
        <v>13567.914051343943</v>
      </c>
    </row>
    <row r="383" spans="12:15">
      <c r="L383" s="4">
        <f>Trades!P383</f>
        <v>0</v>
      </c>
      <c r="M383" s="5">
        <f>M382+Trades!T383</f>
        <v>10148.820000000005</v>
      </c>
      <c r="N383" s="5">
        <f>N382+Trades!U383</f>
        <v>1390.0798609355375</v>
      </c>
      <c r="O383" s="5">
        <f>O382+Trades!W383</f>
        <v>13567.914051343943</v>
      </c>
    </row>
    <row r="384" spans="12:15">
      <c r="L384" s="4">
        <f>Trades!P384</f>
        <v>0</v>
      </c>
      <c r="M384" s="5">
        <f>M383+Trades!T384</f>
        <v>10148.820000000005</v>
      </c>
      <c r="N384" s="5">
        <f>N383+Trades!U384</f>
        <v>1390.0798609355375</v>
      </c>
      <c r="O384" s="5">
        <f>O383+Trades!W384</f>
        <v>13567.914051343943</v>
      </c>
    </row>
    <row r="385" spans="12:15">
      <c r="L385" s="4">
        <f>Trades!P385</f>
        <v>0</v>
      </c>
      <c r="M385" s="5">
        <f>M384+Trades!T385</f>
        <v>10148.820000000005</v>
      </c>
      <c r="N385" s="5">
        <f>N384+Trades!U385</f>
        <v>1390.0798609355375</v>
      </c>
      <c r="O385" s="5">
        <f>O384+Trades!W385</f>
        <v>13567.914051343943</v>
      </c>
    </row>
    <row r="386" spans="12:15">
      <c r="L386" s="4">
        <f>Trades!P386</f>
        <v>0</v>
      </c>
      <c r="M386" s="5">
        <f>M385+Trades!T386</f>
        <v>10148.820000000005</v>
      </c>
      <c r="N386" s="5">
        <f>N385+Trades!U386</f>
        <v>1390.0798609355375</v>
      </c>
      <c r="O386" s="5">
        <f>O385+Trades!W386</f>
        <v>13567.914051343943</v>
      </c>
    </row>
    <row r="387" spans="12:15">
      <c r="L387" s="4">
        <f>Trades!P387</f>
        <v>0</v>
      </c>
      <c r="M387" s="5">
        <f>M386+Trades!T387</f>
        <v>10148.820000000005</v>
      </c>
      <c r="N387" s="5">
        <f>N386+Trades!U387</f>
        <v>1390.0798609355375</v>
      </c>
      <c r="O387" s="5">
        <f>O386+Trades!W387</f>
        <v>13567.914051343943</v>
      </c>
    </row>
    <row r="388" spans="12:15">
      <c r="L388" s="4">
        <f>Trades!P388</f>
        <v>0</v>
      </c>
      <c r="M388" s="5">
        <f>M387+Trades!T388</f>
        <v>10148.820000000005</v>
      </c>
      <c r="N388" s="5">
        <f>N387+Trades!U388</f>
        <v>1390.0798609355375</v>
      </c>
      <c r="O388" s="5">
        <f>O387+Trades!W388</f>
        <v>13567.914051343943</v>
      </c>
    </row>
    <row r="389" spans="12:15">
      <c r="L389" s="4">
        <f>Trades!P399</f>
        <v>0</v>
      </c>
      <c r="M389" s="5">
        <f>M388+Trades!T399</f>
        <v>10148.820000000005</v>
      </c>
      <c r="N389" s="5">
        <f>N388+Trades!U399</f>
        <v>1390.0798609355375</v>
      </c>
      <c r="O389" s="5">
        <f>O388+Trades!W399</f>
        <v>13567.914051343943</v>
      </c>
    </row>
    <row r="390" spans="12:15">
      <c r="L390" s="4">
        <f>Trades!P400</f>
        <v>0</v>
      </c>
      <c r="M390" s="5">
        <f>M389+Trades!T400</f>
        <v>10148.820000000005</v>
      </c>
      <c r="N390" s="5">
        <f>N389+Trades!U400</f>
        <v>1390.0798609355375</v>
      </c>
      <c r="O390" s="5">
        <f>O389+Trades!W400</f>
        <v>13567.914051343943</v>
      </c>
    </row>
    <row r="391" spans="12:15">
      <c r="L391" s="4">
        <f>Trades!P389</f>
        <v>0</v>
      </c>
      <c r="M391" s="5">
        <f>M390+Trades!T389</f>
        <v>10148.820000000005</v>
      </c>
      <c r="N391" s="5">
        <f>N390+Trades!U389</f>
        <v>1390.0798609355375</v>
      </c>
      <c r="O391" s="5">
        <f>O390+Trades!W389</f>
        <v>13567.914051343943</v>
      </c>
    </row>
    <row r="392" spans="12:15">
      <c r="L392" s="4">
        <f>Trades!P401</f>
        <v>0</v>
      </c>
      <c r="M392" s="5">
        <f>M391+Trades!T401</f>
        <v>10148.820000000005</v>
      </c>
      <c r="N392" s="5">
        <f>N391+Trades!U401</f>
        <v>1390.0798609355375</v>
      </c>
      <c r="O392" s="5">
        <f>O391+Trades!W401</f>
        <v>13567.914051343943</v>
      </c>
    </row>
    <row r="393" spans="12:15">
      <c r="L393" s="4">
        <f>Trades!P390</f>
        <v>0</v>
      </c>
      <c r="M393" s="5">
        <f>M392+Trades!T390</f>
        <v>10148.820000000005</v>
      </c>
      <c r="N393" s="5">
        <f>N392+Trades!U390</f>
        <v>1390.0798609355375</v>
      </c>
      <c r="O393" s="5">
        <f>O392+Trades!W390</f>
        <v>13567.914051343943</v>
      </c>
    </row>
    <row r="394" spans="12:15">
      <c r="L394" s="4">
        <f>Trades!P402</f>
        <v>0</v>
      </c>
      <c r="M394" s="5">
        <f>M393+Trades!T402</f>
        <v>10148.820000000005</v>
      </c>
      <c r="N394" s="5">
        <f>N393+Trades!U402</f>
        <v>1390.0798609355375</v>
      </c>
      <c r="O394" s="5">
        <f>O393+Trades!W402</f>
        <v>13567.914051343943</v>
      </c>
    </row>
    <row r="395" spans="12:15">
      <c r="L395" s="4">
        <f>Trades!P391</f>
        <v>0</v>
      </c>
      <c r="M395" s="5">
        <f>M394+Trades!T391</f>
        <v>10148.820000000005</v>
      </c>
      <c r="N395" s="5">
        <f>N394+Trades!U391</f>
        <v>1390.0798609355375</v>
      </c>
      <c r="O395" s="5">
        <f>O394+Trades!W391</f>
        <v>13567.914051343943</v>
      </c>
    </row>
    <row r="396" spans="12:15">
      <c r="L396" s="4">
        <f>Trades!P403</f>
        <v>0</v>
      </c>
      <c r="M396" s="5">
        <f>M395+Trades!T403</f>
        <v>10148.820000000005</v>
      </c>
      <c r="N396" s="5">
        <f>N395+Trades!U403</f>
        <v>1390.0798609355375</v>
      </c>
      <c r="O396" s="5">
        <f>O395+Trades!W403</f>
        <v>13567.914051343943</v>
      </c>
    </row>
    <row r="397" spans="12:15">
      <c r="L397" s="4">
        <f>Trades!P404</f>
        <v>0</v>
      </c>
      <c r="M397" s="5">
        <f>M396+Trades!T404</f>
        <v>10148.820000000005</v>
      </c>
      <c r="N397" s="5">
        <f>N396+Trades!U404</f>
        <v>1390.0798609355375</v>
      </c>
      <c r="O397" s="5">
        <f>O396+Trades!W404</f>
        <v>13567.914051343943</v>
      </c>
    </row>
    <row r="398" spans="12:15">
      <c r="L398" s="4">
        <f>Trades!P405</f>
        <v>0</v>
      </c>
      <c r="M398" s="5">
        <f>M397+Trades!T405</f>
        <v>10148.820000000005</v>
      </c>
      <c r="N398" s="5">
        <f>N397+Trades!U405</f>
        <v>1390.0798609355375</v>
      </c>
      <c r="O398" s="5">
        <f>O397+Trades!W405</f>
        <v>13567.914051343943</v>
      </c>
    </row>
    <row r="399" spans="12:15">
      <c r="L399" s="4">
        <f>Trades!P406</f>
        <v>0</v>
      </c>
      <c r="M399" s="5">
        <f>M398+Trades!T406</f>
        <v>10148.820000000005</v>
      </c>
      <c r="N399" s="5">
        <f>N398+Trades!U406</f>
        <v>1390.0798609355375</v>
      </c>
      <c r="O399" s="5">
        <f>O398+Trades!W406</f>
        <v>13567.914051343943</v>
      </c>
    </row>
    <row r="400" spans="12:15">
      <c r="L400" s="4">
        <f>Trades!P392</f>
        <v>0</v>
      </c>
      <c r="M400" s="5">
        <f>M399+Trades!T392</f>
        <v>10148.820000000005</v>
      </c>
      <c r="N400" s="5">
        <f>N399+Trades!U392</f>
        <v>1390.0798609355375</v>
      </c>
      <c r="O400" s="5">
        <f>O399+Trades!W392</f>
        <v>13567.914051343943</v>
      </c>
    </row>
    <row r="401" spans="12:15">
      <c r="L401" s="4">
        <f>Trades!P393</f>
        <v>0</v>
      </c>
      <c r="M401" s="5">
        <f>M400+Trades!T393</f>
        <v>10148.820000000005</v>
      </c>
      <c r="N401" s="5">
        <f>N400+Trades!U393</f>
        <v>1390.0798609355375</v>
      </c>
      <c r="O401" s="5">
        <f>O400+Trades!W393</f>
        <v>13567.914051343943</v>
      </c>
    </row>
    <row r="402" spans="12:15">
      <c r="L402" s="4">
        <f>Trades!P407</f>
        <v>0</v>
      </c>
      <c r="M402" s="5">
        <f>M401+Trades!T407</f>
        <v>10148.820000000005</v>
      </c>
      <c r="N402" s="5">
        <f>N401+Trades!U407</f>
        <v>1390.0798609355375</v>
      </c>
      <c r="O402" s="5">
        <f>O401+Trades!W407</f>
        <v>13567.914051343943</v>
      </c>
    </row>
    <row r="403" spans="12:15">
      <c r="L403" s="4">
        <f>Trades!P408</f>
        <v>0</v>
      </c>
      <c r="M403" s="5">
        <f>M402+Trades!T408</f>
        <v>10148.820000000005</v>
      </c>
      <c r="N403" s="5">
        <f>N402+Trades!U408</f>
        <v>1390.0798609355375</v>
      </c>
      <c r="O403" s="5">
        <f>O402+Trades!W408</f>
        <v>13567.914051343943</v>
      </c>
    </row>
    <row r="404" spans="12:15">
      <c r="L404" s="4">
        <f>Trades!P394</f>
        <v>0</v>
      </c>
      <c r="M404" s="5">
        <f>M403+Trades!T394</f>
        <v>10148.820000000005</v>
      </c>
      <c r="N404" s="5">
        <f>N403+Trades!U394</f>
        <v>1390.0798609355375</v>
      </c>
      <c r="O404" s="5">
        <f>O403+Trades!W394</f>
        <v>13567.914051343943</v>
      </c>
    </row>
    <row r="405" spans="12:15">
      <c r="L405" s="4">
        <f>Trades!P409</f>
        <v>0</v>
      </c>
      <c r="M405" s="5">
        <f>M404+Trades!T409</f>
        <v>10148.820000000005</v>
      </c>
      <c r="N405" s="5">
        <f>N404+Trades!U409</f>
        <v>1390.0798609355375</v>
      </c>
      <c r="O405" s="5">
        <f>O404+Trades!W409</f>
        <v>13567.914051343943</v>
      </c>
    </row>
    <row r="406" spans="12:15">
      <c r="L406" s="4">
        <f>Trades!P395</f>
        <v>0</v>
      </c>
      <c r="M406" s="5">
        <f>M405+Trades!T395</f>
        <v>10148.820000000005</v>
      </c>
      <c r="N406" s="5">
        <f>N405+Trades!U395</f>
        <v>1390.0798609355375</v>
      </c>
      <c r="O406" s="5">
        <f>O405+Trades!W395</f>
        <v>13567.914051343943</v>
      </c>
    </row>
    <row r="407" spans="12:15">
      <c r="L407" s="4">
        <f>Trades!P410</f>
        <v>0</v>
      </c>
      <c r="M407" s="5">
        <f>M406+Trades!T410</f>
        <v>10148.820000000005</v>
      </c>
      <c r="N407" s="5">
        <f>N406+Trades!U410</f>
        <v>1390.0798609355375</v>
      </c>
      <c r="O407" s="5">
        <f>O406+Trades!W410</f>
        <v>13567.914051343943</v>
      </c>
    </row>
    <row r="408" spans="12:15">
      <c r="L408" s="4">
        <f>Trades!P396</f>
        <v>0</v>
      </c>
      <c r="M408" s="5">
        <f>M407+Trades!T396</f>
        <v>10148.820000000005</v>
      </c>
      <c r="N408" s="5">
        <f>N407+Trades!U396</f>
        <v>1390.0798609355375</v>
      </c>
      <c r="O408" s="5">
        <f>O407+Trades!W396</f>
        <v>13567.914051343943</v>
      </c>
    </row>
    <row r="409" spans="12:15">
      <c r="L409" s="4">
        <f>Trades!P397</f>
        <v>0</v>
      </c>
      <c r="M409" s="5">
        <f>M408+Trades!T397</f>
        <v>10148.820000000005</v>
      </c>
      <c r="N409" s="5">
        <f>N408+Trades!U397</f>
        <v>1390.0798609355375</v>
      </c>
      <c r="O409" s="5">
        <f>O408+Trades!W397</f>
        <v>13567.914051343943</v>
      </c>
    </row>
    <row r="410" spans="12:15">
      <c r="L410" s="4">
        <f>Trades!P411</f>
        <v>0</v>
      </c>
      <c r="M410" s="5">
        <f>M409+Trades!T411</f>
        <v>10148.820000000005</v>
      </c>
      <c r="N410" s="5">
        <f>N409+Trades!U411</f>
        <v>1390.0798609355375</v>
      </c>
      <c r="O410" s="5">
        <f>O409+Trades!W411</f>
        <v>13567.914051343943</v>
      </c>
    </row>
    <row r="411" spans="12:15">
      <c r="L411" s="4">
        <f>Trades!P412</f>
        <v>0</v>
      </c>
      <c r="M411" s="5">
        <f>M410+Trades!T412</f>
        <v>10148.820000000005</v>
      </c>
      <c r="N411" s="5">
        <f>N410+Trades!U412</f>
        <v>1390.0798609355375</v>
      </c>
      <c r="O411" s="5">
        <f>O410+Trades!W412</f>
        <v>13567.914051343943</v>
      </c>
    </row>
    <row r="412" spans="12:15">
      <c r="L412" s="4">
        <f>Trades!P398</f>
        <v>0</v>
      </c>
      <c r="M412" s="5">
        <f>M411+Trades!T398</f>
        <v>10148.820000000005</v>
      </c>
      <c r="N412" s="5">
        <f>N411+Trades!U398</f>
        <v>1390.0798609355375</v>
      </c>
      <c r="O412" s="5">
        <f>O411+Trades!W398</f>
        <v>13567.914051343943</v>
      </c>
    </row>
    <row r="413" spans="12:15">
      <c r="L413" s="4">
        <f>Trades!P413</f>
        <v>0</v>
      </c>
      <c r="M413" s="5">
        <f>M412+Trades!T413</f>
        <v>10148.820000000005</v>
      </c>
      <c r="N413" s="5">
        <f>N412+Trades!U413</f>
        <v>1390.0798609355375</v>
      </c>
      <c r="O413" s="5">
        <f>O412+Trades!W413</f>
        <v>13567.914051343943</v>
      </c>
    </row>
    <row r="414" spans="12:15">
      <c r="L414" s="4">
        <f>Trades!P422</f>
        <v>0</v>
      </c>
      <c r="M414" s="5">
        <f>M413+Trades!T422</f>
        <v>10148.820000000005</v>
      </c>
      <c r="N414" s="5">
        <f>N413+Trades!U422</f>
        <v>1390.0798609355375</v>
      </c>
      <c r="O414" s="5">
        <f>O413+Trades!W422</f>
        <v>13567.914051343943</v>
      </c>
    </row>
    <row r="415" spans="12:15">
      <c r="L415" s="4">
        <f>Trades!P431</f>
        <v>0</v>
      </c>
      <c r="M415" s="5">
        <f>M414+Trades!T431</f>
        <v>10148.820000000005</v>
      </c>
      <c r="N415" s="5">
        <f>N414+Trades!U431</f>
        <v>1390.0798609355375</v>
      </c>
      <c r="O415" s="5">
        <f>O414+Trades!W431</f>
        <v>13567.914051343943</v>
      </c>
    </row>
    <row r="416" spans="12:15">
      <c r="L416" s="4">
        <f>Trades!P423</f>
        <v>0</v>
      </c>
      <c r="M416" s="5">
        <f>M415+Trades!T423</f>
        <v>10148.820000000005</v>
      </c>
      <c r="N416" s="5">
        <f>N415+Trades!U423</f>
        <v>1390.0798609355375</v>
      </c>
      <c r="O416" s="5">
        <f>O415+Trades!W423</f>
        <v>13567.914051343943</v>
      </c>
    </row>
    <row r="417" spans="12:15">
      <c r="L417" s="4">
        <f>Trades!P432</f>
        <v>0</v>
      </c>
      <c r="M417" s="5">
        <f>M416+Trades!T432</f>
        <v>10148.820000000005</v>
      </c>
      <c r="N417" s="5">
        <f>N416+Trades!U432</f>
        <v>1390.0798609355375</v>
      </c>
      <c r="O417" s="5">
        <f>O416+Trades!W432</f>
        <v>13567.914051343943</v>
      </c>
    </row>
    <row r="418" spans="12:15">
      <c r="L418" s="4">
        <f>Trades!P424</f>
        <v>0</v>
      </c>
      <c r="M418" s="5">
        <f>M417+Trades!T424</f>
        <v>10148.820000000005</v>
      </c>
      <c r="N418" s="5">
        <f>N417+Trades!U424</f>
        <v>1390.0798609355375</v>
      </c>
      <c r="O418" s="5">
        <f>O417+Trades!W424</f>
        <v>13567.914051343943</v>
      </c>
    </row>
    <row r="419" spans="12:15">
      <c r="L419" s="4">
        <f>Trades!P433</f>
        <v>0</v>
      </c>
      <c r="M419" s="5">
        <f>M418+Trades!T433</f>
        <v>10148.820000000005</v>
      </c>
      <c r="N419" s="5">
        <f>N418+Trades!U433</f>
        <v>1390.0798609355375</v>
      </c>
      <c r="O419" s="5">
        <f>O418+Trades!W433</f>
        <v>13567.914051343943</v>
      </c>
    </row>
    <row r="420" spans="12:15">
      <c r="L420" s="4">
        <f>Trades!P414</f>
        <v>0</v>
      </c>
      <c r="M420" s="5">
        <f>M419+Trades!T414</f>
        <v>10148.820000000005</v>
      </c>
      <c r="N420" s="5">
        <f>N419+Trades!U414</f>
        <v>1390.0798609355375</v>
      </c>
      <c r="O420" s="5">
        <f>O419+Trades!W414</f>
        <v>13567.914051343943</v>
      </c>
    </row>
    <row r="421" spans="12:15">
      <c r="L421" s="4">
        <f>Trades!P415</f>
        <v>0</v>
      </c>
      <c r="M421" s="5">
        <f>M420+Trades!T415</f>
        <v>10148.820000000005</v>
      </c>
      <c r="N421" s="5">
        <f>N420+Trades!U415</f>
        <v>1390.0798609355375</v>
      </c>
      <c r="O421" s="5">
        <f>O420+Trades!W415</f>
        <v>13567.914051343943</v>
      </c>
    </row>
    <row r="422" spans="12:15">
      <c r="L422" s="4">
        <f>Trades!P425</f>
        <v>0</v>
      </c>
      <c r="M422" s="5">
        <f>M421+Trades!T425</f>
        <v>10148.820000000005</v>
      </c>
      <c r="N422" s="5">
        <f>N421+Trades!U425</f>
        <v>1390.0798609355375</v>
      </c>
      <c r="O422" s="5">
        <f>O421+Trades!W425</f>
        <v>13567.914051343943</v>
      </c>
    </row>
    <row r="423" spans="12:15">
      <c r="L423" s="4">
        <f>Trades!P416</f>
        <v>0</v>
      </c>
      <c r="M423" s="5">
        <f>M422+Trades!T416</f>
        <v>10148.820000000005</v>
      </c>
      <c r="N423" s="5">
        <f>N422+Trades!U416</f>
        <v>1390.0798609355375</v>
      </c>
      <c r="O423" s="5">
        <f>O422+Trades!W416</f>
        <v>13567.914051343943</v>
      </c>
    </row>
    <row r="424" spans="12:15">
      <c r="L424" s="4">
        <f>Trades!P434</f>
        <v>0</v>
      </c>
      <c r="M424" s="5">
        <f>M423+Trades!T434</f>
        <v>10148.820000000005</v>
      </c>
      <c r="N424" s="5">
        <f>N423+Trades!U434</f>
        <v>1390.0798609355375</v>
      </c>
      <c r="O424" s="5">
        <f>O423+Trades!W434</f>
        <v>13567.914051343943</v>
      </c>
    </row>
    <row r="425" spans="12:15">
      <c r="L425" s="4">
        <f>Trades!P426</f>
        <v>0</v>
      </c>
      <c r="M425" s="5">
        <f>M424+Trades!T426</f>
        <v>10148.820000000005</v>
      </c>
      <c r="N425" s="5">
        <f>N424+Trades!U426</f>
        <v>1390.0798609355375</v>
      </c>
      <c r="O425" s="5">
        <f>O424+Trades!W426</f>
        <v>13567.914051343943</v>
      </c>
    </row>
    <row r="426" spans="12:15">
      <c r="L426" s="4">
        <f>Trades!P435</f>
        <v>0</v>
      </c>
      <c r="M426" s="5">
        <f>M425+Trades!T435</f>
        <v>10148.820000000005</v>
      </c>
      <c r="N426" s="5">
        <f>N425+Trades!U435</f>
        <v>1390.0798609355375</v>
      </c>
      <c r="O426" s="5">
        <f>O425+Trades!W435</f>
        <v>13567.914051343943</v>
      </c>
    </row>
    <row r="427" spans="12:15">
      <c r="L427" s="4">
        <f>Trades!P417</f>
        <v>0</v>
      </c>
      <c r="M427" s="5">
        <f>M426+Trades!T417</f>
        <v>10148.820000000005</v>
      </c>
      <c r="N427" s="5">
        <f>N426+Trades!U417</f>
        <v>1390.0798609355375</v>
      </c>
      <c r="O427" s="5">
        <f>O426+Trades!W417</f>
        <v>13567.914051343943</v>
      </c>
    </row>
    <row r="428" spans="12:15">
      <c r="L428" s="4">
        <f>Trades!P427</f>
        <v>0</v>
      </c>
      <c r="M428" s="5">
        <f>M427+Trades!T427</f>
        <v>10148.820000000005</v>
      </c>
      <c r="N428" s="5">
        <f>N427+Trades!U427</f>
        <v>1390.0798609355375</v>
      </c>
      <c r="O428" s="5">
        <f>O427+Trades!W427</f>
        <v>13567.914051343943</v>
      </c>
    </row>
    <row r="429" spans="12:15">
      <c r="L429" s="4">
        <f>Trades!P436</f>
        <v>0</v>
      </c>
      <c r="M429" s="5">
        <f>M428+Trades!T436</f>
        <v>10148.820000000005</v>
      </c>
      <c r="N429" s="5">
        <f>N428+Trades!U436</f>
        <v>1390.0798609355375</v>
      </c>
      <c r="O429" s="5">
        <f>O428+Trades!W436</f>
        <v>13567.914051343943</v>
      </c>
    </row>
    <row r="430" spans="12:15">
      <c r="L430" s="4">
        <f>Trades!P428</f>
        <v>0</v>
      </c>
      <c r="M430" s="5">
        <f>M429+Trades!T428</f>
        <v>10148.820000000005</v>
      </c>
      <c r="N430" s="5">
        <f>N429+Trades!U428</f>
        <v>1390.0798609355375</v>
      </c>
      <c r="O430" s="5">
        <f>O429+Trades!W428</f>
        <v>13567.914051343943</v>
      </c>
    </row>
    <row r="431" spans="12:15">
      <c r="L431" s="4">
        <f>Trades!P418</f>
        <v>0</v>
      </c>
      <c r="M431" s="5">
        <f>M430+Trades!T418</f>
        <v>10148.820000000005</v>
      </c>
      <c r="N431" s="5">
        <f>N430+Trades!U418</f>
        <v>1390.0798609355375</v>
      </c>
      <c r="O431" s="5">
        <f>O430+Trades!W418</f>
        <v>13567.914051343943</v>
      </c>
    </row>
    <row r="432" spans="12:15">
      <c r="L432" s="4">
        <f>Trades!P429</f>
        <v>0</v>
      </c>
      <c r="M432" s="5">
        <f>M431+Trades!T429</f>
        <v>10148.820000000005</v>
      </c>
      <c r="N432" s="5">
        <f>N431+Trades!U429</f>
        <v>1390.0798609355375</v>
      </c>
      <c r="O432" s="5">
        <f>O431+Trades!W429</f>
        <v>13567.914051343943</v>
      </c>
    </row>
    <row r="433" spans="12:15">
      <c r="L433" s="4">
        <f>Trades!P419</f>
        <v>0</v>
      </c>
      <c r="M433" s="5">
        <f>M432+Trades!T419</f>
        <v>10148.820000000005</v>
      </c>
      <c r="N433" s="5">
        <f>N432+Trades!U419</f>
        <v>1390.0798609355375</v>
      </c>
      <c r="O433" s="5">
        <f>O432+Trades!W419</f>
        <v>13567.914051343943</v>
      </c>
    </row>
    <row r="434" spans="12:15">
      <c r="L434" s="4">
        <f>Trades!P430</f>
        <v>0</v>
      </c>
      <c r="M434" s="5">
        <f>M433+Trades!T430</f>
        <v>10148.820000000005</v>
      </c>
      <c r="N434" s="5">
        <f>N433+Trades!U430</f>
        <v>1390.0798609355375</v>
      </c>
      <c r="O434" s="5">
        <f>O433+Trades!W430</f>
        <v>13567.914051343943</v>
      </c>
    </row>
    <row r="435" spans="12:15">
      <c r="L435" s="4">
        <f>Trades!P437</f>
        <v>0</v>
      </c>
      <c r="M435" s="5">
        <f>M434+Trades!T437</f>
        <v>10148.820000000005</v>
      </c>
      <c r="N435" s="5">
        <f>N434+Trades!U437</f>
        <v>1390.0798609355375</v>
      </c>
      <c r="O435" s="5">
        <f>O434+Trades!W437</f>
        <v>13567.914051343943</v>
      </c>
    </row>
    <row r="436" spans="12:15">
      <c r="L436" s="4">
        <f>Trades!P420</f>
        <v>0</v>
      </c>
      <c r="M436" s="5">
        <f>M435+Trades!T420</f>
        <v>10148.820000000005</v>
      </c>
      <c r="N436" s="5">
        <f>N435+Trades!U420</f>
        <v>1390.0798609355375</v>
      </c>
      <c r="O436" s="5">
        <f>O435+Trades!W420</f>
        <v>13567.914051343943</v>
      </c>
    </row>
    <row r="437" spans="12:15">
      <c r="L437" s="4">
        <f>Trades!P421</f>
        <v>0</v>
      </c>
      <c r="M437" s="5">
        <f>M436+Trades!T421</f>
        <v>10148.820000000005</v>
      </c>
      <c r="N437" s="5">
        <f>N436+Trades!U421</f>
        <v>1390.0798609355375</v>
      </c>
      <c r="O437" s="5">
        <f>O436+Trades!W421</f>
        <v>13567.914051343943</v>
      </c>
    </row>
    <row r="438" spans="12:15">
      <c r="L438" s="4">
        <f>Trades!P438</f>
        <v>0</v>
      </c>
      <c r="M438" s="5">
        <f>M437+Trades!T438</f>
        <v>10148.820000000005</v>
      </c>
      <c r="N438" s="5">
        <f>N437+Trades!U438</f>
        <v>1390.0798609355375</v>
      </c>
      <c r="O438" s="5">
        <f>O437+Trades!W438</f>
        <v>13567.914051343943</v>
      </c>
    </row>
    <row r="439" spans="12:15">
      <c r="L439" s="4">
        <f>Trades!P452</f>
        <v>0</v>
      </c>
      <c r="M439" s="5">
        <f>M438+Trades!T452</f>
        <v>10148.820000000005</v>
      </c>
      <c r="N439" s="5">
        <f>N438+Trades!U452</f>
        <v>1390.0798609355375</v>
      </c>
      <c r="O439" s="5">
        <f>O438+Trades!W452</f>
        <v>13567.914051343943</v>
      </c>
    </row>
    <row r="440" spans="12:15">
      <c r="L440" s="4">
        <f>Trades!P470</f>
        <v>0</v>
      </c>
      <c r="M440" s="5">
        <f>M439+Trades!T470</f>
        <v>10148.820000000005</v>
      </c>
      <c r="N440" s="5">
        <f>N439+Trades!U470</f>
        <v>1390.0798609355375</v>
      </c>
      <c r="O440" s="5">
        <f>O439+Trades!W470</f>
        <v>13567.914051343943</v>
      </c>
    </row>
    <row r="441" spans="12:15">
      <c r="L441" s="4">
        <f>Trades!P439</f>
        <v>0</v>
      </c>
      <c r="M441" s="5">
        <f>M440+Trades!T439</f>
        <v>10148.820000000005</v>
      </c>
      <c r="N441" s="5">
        <f>N440+Trades!U439</f>
        <v>1390.0798609355375</v>
      </c>
      <c r="O441" s="5">
        <f>O440+Trades!W439</f>
        <v>13567.914051343943</v>
      </c>
    </row>
    <row r="442" spans="12:15">
      <c r="L442" s="4">
        <f>Trades!P453</f>
        <v>0</v>
      </c>
      <c r="M442" s="5">
        <f>M441+Trades!T453</f>
        <v>10148.820000000005</v>
      </c>
      <c r="N442" s="5">
        <f>N441+Trades!U453</f>
        <v>1390.0798609355375</v>
      </c>
      <c r="O442" s="5">
        <f>O441+Trades!W453</f>
        <v>13567.914051343943</v>
      </c>
    </row>
    <row r="443" spans="12:15">
      <c r="L443" s="4">
        <f>Trades!P454</f>
        <v>0</v>
      </c>
      <c r="M443" s="5">
        <f>M442+Trades!T454</f>
        <v>10148.820000000005</v>
      </c>
      <c r="N443" s="5">
        <f>N442+Trades!U454</f>
        <v>1390.0798609355375</v>
      </c>
      <c r="O443" s="5">
        <f>O442+Trades!W454</f>
        <v>13567.914051343943</v>
      </c>
    </row>
    <row r="444" spans="12:15">
      <c r="L444" s="4">
        <f>Trades!P440</f>
        <v>0</v>
      </c>
      <c r="M444" s="5">
        <f>M443+Trades!T440</f>
        <v>10148.820000000005</v>
      </c>
      <c r="N444" s="5">
        <f>N443+Trades!U440</f>
        <v>1390.0798609355375</v>
      </c>
      <c r="O444" s="5">
        <f>O443+Trades!W440</f>
        <v>13567.914051343943</v>
      </c>
    </row>
    <row r="445" spans="12:15">
      <c r="L445" s="4">
        <f>Trades!P455</f>
        <v>0</v>
      </c>
      <c r="M445" s="5">
        <f>M444+Trades!T455</f>
        <v>10148.820000000005</v>
      </c>
      <c r="N445" s="5">
        <f>N444+Trades!U455</f>
        <v>1390.0798609355375</v>
      </c>
      <c r="O445" s="5">
        <f>O444+Trades!W455</f>
        <v>13567.914051343943</v>
      </c>
    </row>
    <row r="446" spans="12:15">
      <c r="L446" s="4">
        <f>Trades!P456</f>
        <v>0</v>
      </c>
      <c r="M446" s="5">
        <f>M445+Trades!T456</f>
        <v>10148.820000000005</v>
      </c>
      <c r="N446" s="5">
        <f>N445+Trades!U456</f>
        <v>1390.0798609355375</v>
      </c>
      <c r="O446" s="5">
        <f>O445+Trades!W456</f>
        <v>13567.914051343943</v>
      </c>
    </row>
    <row r="447" spans="12:15">
      <c r="L447" s="4">
        <f>Trades!P441</f>
        <v>0</v>
      </c>
      <c r="M447" s="5">
        <f>M446+Trades!T441</f>
        <v>10148.820000000005</v>
      </c>
      <c r="N447" s="5">
        <f>N446+Trades!U441</f>
        <v>1390.0798609355375</v>
      </c>
      <c r="O447" s="5">
        <f>O446+Trades!W441</f>
        <v>13567.914051343943</v>
      </c>
    </row>
    <row r="448" spans="12:15">
      <c r="L448" s="4">
        <f>Trades!P457</f>
        <v>0</v>
      </c>
      <c r="M448" s="5">
        <f>M447+Trades!T457</f>
        <v>10148.820000000005</v>
      </c>
      <c r="N448" s="5">
        <f>N447+Trades!U457</f>
        <v>1390.0798609355375</v>
      </c>
      <c r="O448" s="5">
        <f>O447+Trades!W457</f>
        <v>13567.914051343943</v>
      </c>
    </row>
    <row r="449" spans="12:15">
      <c r="L449" s="4">
        <f>Trades!P471</f>
        <v>0</v>
      </c>
      <c r="M449" s="5">
        <f>M448+Trades!T471</f>
        <v>10148.820000000005</v>
      </c>
      <c r="N449" s="5">
        <f>N448+Trades!U471</f>
        <v>1390.0798609355375</v>
      </c>
      <c r="O449" s="5">
        <f>O448+Trades!W471</f>
        <v>13567.914051343943</v>
      </c>
    </row>
    <row r="450" spans="12:15">
      <c r="L450" s="4">
        <f>Trades!P472</f>
        <v>0</v>
      </c>
      <c r="M450" s="5">
        <f>M449+Trades!T472</f>
        <v>10148.820000000005</v>
      </c>
      <c r="N450" s="5">
        <f>N449+Trades!U472</f>
        <v>1390.0798609355375</v>
      </c>
      <c r="O450" s="5">
        <f>O449+Trades!W472</f>
        <v>13567.914051343943</v>
      </c>
    </row>
    <row r="451" spans="12:15">
      <c r="L451" s="4">
        <f>Trades!P458</f>
        <v>0</v>
      </c>
      <c r="M451" s="5">
        <f>M450+Trades!T458</f>
        <v>10148.820000000005</v>
      </c>
      <c r="N451" s="5">
        <f>N450+Trades!U458</f>
        <v>1390.0798609355375</v>
      </c>
      <c r="O451" s="5">
        <f>O450+Trades!W458</f>
        <v>13567.914051343943</v>
      </c>
    </row>
    <row r="452" spans="12:15">
      <c r="L452" s="4">
        <f>Trades!P442</f>
        <v>0</v>
      </c>
      <c r="M452" s="5">
        <f>M451+Trades!T442</f>
        <v>10148.820000000005</v>
      </c>
      <c r="N452" s="5">
        <f>N451+Trades!U442</f>
        <v>1390.0798609355375</v>
      </c>
      <c r="O452" s="5">
        <f>O451+Trades!W442</f>
        <v>13567.914051343943</v>
      </c>
    </row>
    <row r="453" spans="12:15">
      <c r="L453" s="4">
        <f>Trades!P459</f>
        <v>0</v>
      </c>
      <c r="M453" s="5">
        <f>M452+Trades!T459</f>
        <v>10148.820000000005</v>
      </c>
      <c r="N453" s="5">
        <f>N452+Trades!U459</f>
        <v>1390.0798609355375</v>
      </c>
      <c r="O453" s="5">
        <f>O452+Trades!W459</f>
        <v>13567.914051343943</v>
      </c>
    </row>
    <row r="454" spans="12:15">
      <c r="L454" s="4">
        <f>Trades!P460</f>
        <v>0</v>
      </c>
      <c r="M454" s="5">
        <f>M453+Trades!T460</f>
        <v>10148.820000000005</v>
      </c>
      <c r="N454" s="5">
        <f>N453+Trades!U460</f>
        <v>1390.0798609355375</v>
      </c>
      <c r="O454" s="5">
        <f>O453+Trades!W460</f>
        <v>13567.914051343943</v>
      </c>
    </row>
    <row r="455" spans="12:15">
      <c r="L455" s="4">
        <f>Trades!P473</f>
        <v>0</v>
      </c>
      <c r="M455" s="5">
        <f>M454+Trades!T473</f>
        <v>10148.820000000005</v>
      </c>
      <c r="N455" s="5">
        <f>N454+Trades!U473</f>
        <v>1390.0798609355375</v>
      </c>
      <c r="O455" s="5">
        <f>O454+Trades!W473</f>
        <v>13567.914051343943</v>
      </c>
    </row>
    <row r="456" spans="12:15">
      <c r="L456" s="4">
        <f>Trades!P461</f>
        <v>0</v>
      </c>
      <c r="M456" s="5">
        <f>M455+Trades!T461</f>
        <v>10148.820000000005</v>
      </c>
      <c r="N456" s="5">
        <f>N455+Trades!U461</f>
        <v>1390.0798609355375</v>
      </c>
      <c r="O456" s="5">
        <f>O455+Trades!W461</f>
        <v>13567.914051343943</v>
      </c>
    </row>
    <row r="457" spans="12:15">
      <c r="L457" s="4">
        <f>Trades!P443</f>
        <v>0</v>
      </c>
      <c r="M457" s="5">
        <f>M456+Trades!T443</f>
        <v>10148.820000000005</v>
      </c>
      <c r="N457" s="5">
        <f>N456+Trades!U443</f>
        <v>1390.0798609355375</v>
      </c>
      <c r="O457" s="5">
        <f>O456+Trades!W443</f>
        <v>13567.914051343943</v>
      </c>
    </row>
    <row r="458" spans="12:15">
      <c r="L458" s="4">
        <f>Trades!P462</f>
        <v>0</v>
      </c>
      <c r="M458" s="5">
        <f>M457+Trades!T462</f>
        <v>10148.820000000005</v>
      </c>
      <c r="N458" s="5">
        <f>N457+Trades!U462</f>
        <v>1390.0798609355375</v>
      </c>
      <c r="O458" s="5">
        <f>O457+Trades!W462</f>
        <v>13567.914051343943</v>
      </c>
    </row>
    <row r="459" spans="12:15">
      <c r="L459" s="4">
        <f>Trades!P444</f>
        <v>0</v>
      </c>
      <c r="M459" s="5">
        <f>M458+Trades!T444</f>
        <v>10148.820000000005</v>
      </c>
      <c r="N459" s="5">
        <f>N458+Trades!U444</f>
        <v>1390.0798609355375</v>
      </c>
      <c r="O459" s="5">
        <f>O458+Trades!W444</f>
        <v>13567.914051343943</v>
      </c>
    </row>
    <row r="460" spans="12:15">
      <c r="L460" s="4">
        <f>Trades!P445</f>
        <v>0</v>
      </c>
      <c r="M460" s="5">
        <f>M459+Trades!T445</f>
        <v>10148.820000000005</v>
      </c>
      <c r="N460" s="5">
        <f>N459+Trades!U445</f>
        <v>1390.0798609355375</v>
      </c>
      <c r="O460" s="5">
        <f>O459+Trades!W445</f>
        <v>13567.914051343943</v>
      </c>
    </row>
    <row r="461" spans="12:15">
      <c r="L461" s="4">
        <f>Trades!P463</f>
        <v>0</v>
      </c>
      <c r="M461" s="5">
        <f>M460+Trades!T463</f>
        <v>10148.820000000005</v>
      </c>
      <c r="N461" s="5">
        <f>N460+Trades!U463</f>
        <v>1390.0798609355375</v>
      </c>
      <c r="O461" s="5">
        <f>O460+Trades!W463</f>
        <v>13567.914051343943</v>
      </c>
    </row>
    <row r="462" spans="12:15">
      <c r="L462" s="4">
        <f>Trades!P464</f>
        <v>0</v>
      </c>
      <c r="M462" s="5">
        <f>M461+Trades!T464</f>
        <v>10148.820000000005</v>
      </c>
      <c r="N462" s="5">
        <f>N461+Trades!U464</f>
        <v>1390.0798609355375</v>
      </c>
      <c r="O462" s="5">
        <f>O461+Trades!W464</f>
        <v>13567.914051343943</v>
      </c>
    </row>
    <row r="463" spans="12:15">
      <c r="L463" s="4">
        <f>Trades!P446</f>
        <v>0</v>
      </c>
      <c r="M463" s="5">
        <f>M462+Trades!T446</f>
        <v>10148.820000000005</v>
      </c>
      <c r="N463" s="5">
        <f>N462+Trades!U446</f>
        <v>1390.0798609355375</v>
      </c>
      <c r="O463" s="5">
        <f>O462+Trades!W446</f>
        <v>13567.914051343943</v>
      </c>
    </row>
    <row r="464" spans="12:15">
      <c r="L464" s="4">
        <f>Trades!P474</f>
        <v>0</v>
      </c>
      <c r="M464" s="5">
        <f>M463+Trades!T474</f>
        <v>10148.820000000005</v>
      </c>
      <c r="N464" s="5">
        <f>N463+Trades!U474</f>
        <v>1390.0798609355375</v>
      </c>
      <c r="O464" s="5">
        <f>O463+Trades!W474</f>
        <v>13567.914051343943</v>
      </c>
    </row>
    <row r="465" spans="12:15">
      <c r="L465" s="4">
        <f>Trades!P465</f>
        <v>0</v>
      </c>
      <c r="M465" s="5">
        <f>M464+Trades!T465</f>
        <v>10148.820000000005</v>
      </c>
      <c r="N465" s="5">
        <f>N464+Trades!U465</f>
        <v>1390.0798609355375</v>
      </c>
      <c r="O465" s="5">
        <f>O464+Trades!W465</f>
        <v>13567.914051343943</v>
      </c>
    </row>
    <row r="466" spans="12:15">
      <c r="L466" s="4">
        <f>Trades!P475</f>
        <v>0</v>
      </c>
      <c r="M466" s="5">
        <f>M465+Trades!T475</f>
        <v>10148.820000000005</v>
      </c>
      <c r="N466" s="5">
        <f>N465+Trades!U475</f>
        <v>1390.0798609355375</v>
      </c>
      <c r="O466" s="5">
        <f>O465+Trades!W475</f>
        <v>13567.914051343943</v>
      </c>
    </row>
    <row r="467" spans="12:15">
      <c r="L467" s="4">
        <f>Trades!P447</f>
        <v>0</v>
      </c>
      <c r="M467" s="5">
        <f>M466+Trades!T447</f>
        <v>10148.820000000005</v>
      </c>
      <c r="N467" s="5">
        <f>N466+Trades!U447</f>
        <v>1390.0798609355375</v>
      </c>
      <c r="O467" s="5">
        <f>O466+Trades!W447</f>
        <v>13567.914051343943</v>
      </c>
    </row>
    <row r="468" spans="12:15">
      <c r="L468" s="4">
        <f>Trades!P448</f>
        <v>0</v>
      </c>
      <c r="M468" s="5">
        <f>M467+Trades!T448</f>
        <v>10148.820000000005</v>
      </c>
      <c r="N468" s="5">
        <f>N467+Trades!U448</f>
        <v>1390.0798609355375</v>
      </c>
      <c r="O468" s="5">
        <f>O467+Trades!W448</f>
        <v>13567.914051343943</v>
      </c>
    </row>
    <row r="469" spans="12:15">
      <c r="L469" s="4">
        <f>Trades!P466</f>
        <v>0</v>
      </c>
      <c r="M469" s="5">
        <f>M468+Trades!T466</f>
        <v>10148.820000000005</v>
      </c>
      <c r="N469" s="5">
        <f>N468+Trades!U466</f>
        <v>1390.0798609355375</v>
      </c>
      <c r="O469" s="5">
        <f>O468+Trades!W466</f>
        <v>13567.914051343943</v>
      </c>
    </row>
    <row r="470" spans="12:15">
      <c r="L470" s="4">
        <f>Trades!P467</f>
        <v>0</v>
      </c>
      <c r="M470" s="5">
        <f>M469+Trades!T467</f>
        <v>10148.820000000005</v>
      </c>
      <c r="N470" s="5">
        <f>N469+Trades!U467</f>
        <v>1390.0798609355375</v>
      </c>
      <c r="O470" s="5">
        <f>O469+Trades!W467</f>
        <v>13567.914051343943</v>
      </c>
    </row>
    <row r="471" spans="12:15">
      <c r="L471" s="4">
        <f>Trades!P476</f>
        <v>0</v>
      </c>
      <c r="M471" s="5">
        <f>M470+Trades!T476</f>
        <v>10148.820000000005</v>
      </c>
      <c r="N471" s="5">
        <f>N470+Trades!U476</f>
        <v>1390.0798609355375</v>
      </c>
      <c r="O471" s="5">
        <f>O470+Trades!W476</f>
        <v>13567.914051343943</v>
      </c>
    </row>
    <row r="472" spans="12:15">
      <c r="L472" s="4">
        <f>Trades!P449</f>
        <v>0</v>
      </c>
      <c r="M472" s="5">
        <f>M471+Trades!T449</f>
        <v>10148.820000000005</v>
      </c>
      <c r="N472" s="5">
        <f>N471+Trades!U449</f>
        <v>1390.0798609355375</v>
      </c>
      <c r="O472" s="5">
        <f>O471+Trades!W449</f>
        <v>13567.914051343943</v>
      </c>
    </row>
    <row r="473" spans="12:15">
      <c r="L473" s="4">
        <f>Trades!P468</f>
        <v>0</v>
      </c>
      <c r="M473" s="5">
        <f>M472+Trades!T468</f>
        <v>10148.820000000005</v>
      </c>
      <c r="N473" s="5">
        <f>N472+Trades!U468</f>
        <v>1390.0798609355375</v>
      </c>
      <c r="O473" s="5">
        <f>O472+Trades!W468</f>
        <v>13567.914051343943</v>
      </c>
    </row>
    <row r="474" spans="12:15">
      <c r="L474" s="4">
        <f>Trades!P477</f>
        <v>0</v>
      </c>
      <c r="M474" s="5">
        <f>M473+Trades!T477</f>
        <v>10148.820000000005</v>
      </c>
      <c r="N474" s="5">
        <f>N473+Trades!U477</f>
        <v>1390.0798609355375</v>
      </c>
      <c r="O474" s="5">
        <f>O473+Trades!W477</f>
        <v>13567.914051343943</v>
      </c>
    </row>
    <row r="475" spans="12:15">
      <c r="L475" s="4">
        <f>Trades!P450</f>
        <v>0</v>
      </c>
      <c r="M475" s="5">
        <f>M474+Trades!T450</f>
        <v>10148.820000000005</v>
      </c>
      <c r="N475" s="5">
        <f>N474+Trades!U450</f>
        <v>1390.0798609355375</v>
      </c>
      <c r="O475" s="5">
        <f>O474+Trades!W450</f>
        <v>13567.914051343943</v>
      </c>
    </row>
    <row r="476" spans="12:15">
      <c r="L476" s="4">
        <f>Trades!P478</f>
        <v>0</v>
      </c>
      <c r="M476" s="5">
        <f>M475+Trades!T478</f>
        <v>10148.820000000005</v>
      </c>
      <c r="N476" s="5">
        <f>N475+Trades!U478</f>
        <v>1390.0798609355375</v>
      </c>
      <c r="O476" s="5">
        <f>O475+Trades!W478</f>
        <v>13567.914051343943</v>
      </c>
    </row>
    <row r="477" spans="12:15">
      <c r="L477" s="4">
        <f>Trades!P469</f>
        <v>0</v>
      </c>
      <c r="M477" s="5">
        <f>M476+Trades!T469</f>
        <v>10148.820000000005</v>
      </c>
      <c r="N477" s="5">
        <f>N476+Trades!U469</f>
        <v>1390.0798609355375</v>
      </c>
      <c r="O477" s="5">
        <f>O476+Trades!W469</f>
        <v>13567.914051343943</v>
      </c>
    </row>
    <row r="478" spans="12:15">
      <c r="L478" s="4">
        <f>Trades!P451</f>
        <v>0</v>
      </c>
      <c r="M478" s="5">
        <f>M477+Trades!T451</f>
        <v>10148.820000000005</v>
      </c>
      <c r="N478" s="5">
        <f>N477+Trades!U451</f>
        <v>1390.0798609355375</v>
      </c>
      <c r="O478" s="5">
        <f>O477+Trades!W451</f>
        <v>13567.914051343943</v>
      </c>
    </row>
    <row r="479" spans="12:15">
      <c r="L479" s="4">
        <f>Trades!P479</f>
        <v>0</v>
      </c>
      <c r="M479" s="5">
        <f>M478+Trades!T479</f>
        <v>10148.820000000005</v>
      </c>
      <c r="N479" s="5">
        <f>N478+Trades!U479</f>
        <v>1390.0798609355375</v>
      </c>
      <c r="O479" s="5">
        <f>O478+Trades!W479</f>
        <v>13567.914051343943</v>
      </c>
    </row>
    <row r="480" spans="12:15">
      <c r="L480" s="4">
        <f>Trades!P480</f>
        <v>0</v>
      </c>
      <c r="M480" s="5">
        <f>M479+Trades!T480</f>
        <v>10148.820000000005</v>
      </c>
      <c r="N480" s="5">
        <f>N479+Trades!U480</f>
        <v>1390.0798609355375</v>
      </c>
      <c r="O480" s="5">
        <f>O479+Trades!W480</f>
        <v>13567.914051343943</v>
      </c>
    </row>
    <row r="481" spans="12:15">
      <c r="L481" s="4">
        <f>Trades!P490</f>
        <v>0</v>
      </c>
      <c r="M481" s="5">
        <f>M480+Trades!T490</f>
        <v>10148.820000000005</v>
      </c>
      <c r="N481" s="5">
        <f>N480+Trades!U490</f>
        <v>1390.0798609355375</v>
      </c>
      <c r="O481" s="5">
        <f>O480+Trades!W490</f>
        <v>13567.914051343943</v>
      </c>
    </row>
    <row r="482" spans="12:15">
      <c r="L482" s="4">
        <f>Trades!P504</f>
        <v>0</v>
      </c>
      <c r="M482" s="5">
        <f>M481+Trades!T504</f>
        <v>10148.820000000005</v>
      </c>
      <c r="N482" s="5">
        <f>N481+Trades!U504</f>
        <v>1390.0798609355375</v>
      </c>
      <c r="O482" s="5">
        <f>O481+Trades!W504</f>
        <v>13567.914051343943</v>
      </c>
    </row>
    <row r="483" spans="12:15">
      <c r="L483" s="4">
        <f>Trades!P513</f>
        <v>0</v>
      </c>
      <c r="M483" s="5">
        <f>M482+Trades!T513</f>
        <v>10148.820000000005</v>
      </c>
      <c r="N483" s="5">
        <f>N482+Trades!U513</f>
        <v>1390.0798609355375</v>
      </c>
      <c r="O483" s="5">
        <f>O482+Trades!W513</f>
        <v>13567.914051343943</v>
      </c>
    </row>
    <row r="484" spans="12:15">
      <c r="L484" s="4">
        <f>Trades!P523</f>
        <v>0</v>
      </c>
      <c r="M484" s="5">
        <f>M483+Trades!T523</f>
        <v>10148.820000000005</v>
      </c>
      <c r="N484" s="5">
        <f>N483+Trades!U523</f>
        <v>1390.0798609355375</v>
      </c>
      <c r="O484" s="5">
        <f>O483+Trades!W523</f>
        <v>13567.914051343943</v>
      </c>
    </row>
    <row r="485" spans="12:15">
      <c r="L485" s="4">
        <f>Trades!P536</f>
        <v>0</v>
      </c>
      <c r="M485" s="5">
        <f>M484+Trades!T536</f>
        <v>10148.820000000005</v>
      </c>
      <c r="N485" s="5">
        <f>N484+Trades!U536</f>
        <v>1390.0798609355375</v>
      </c>
      <c r="O485" s="5">
        <f>O484+Trades!W536</f>
        <v>13567.914051343943</v>
      </c>
    </row>
    <row r="486" spans="12:15">
      <c r="L486" s="4">
        <f>Trades!P547</f>
        <v>0</v>
      </c>
      <c r="M486" s="5">
        <f>M485+Trades!T547</f>
        <v>10148.820000000005</v>
      </c>
      <c r="N486" s="5">
        <f>N485+Trades!U547</f>
        <v>1390.0798609355375</v>
      </c>
      <c r="O486" s="5">
        <f>O485+Trades!W547</f>
        <v>13567.914051343943</v>
      </c>
    </row>
    <row r="487" spans="12:15">
      <c r="L487" s="4">
        <f>Trades!P558</f>
        <v>0</v>
      </c>
      <c r="M487" s="5">
        <f>M486+Trades!T558</f>
        <v>10148.820000000005</v>
      </c>
      <c r="N487" s="5">
        <f>N486+Trades!U558</f>
        <v>1390.0798609355375</v>
      </c>
      <c r="O487" s="5">
        <f>O486+Trades!W558</f>
        <v>13567.914051343943</v>
      </c>
    </row>
    <row r="488" spans="12:15">
      <c r="L488" s="4">
        <f>Trades!P568</f>
        <v>0</v>
      </c>
      <c r="M488" s="5">
        <f>M487+Trades!T568</f>
        <v>10148.820000000005</v>
      </c>
      <c r="N488" s="5">
        <f>N487+Trades!U568</f>
        <v>1390.0798609355375</v>
      </c>
      <c r="O488" s="5">
        <f>O487+Trades!W568</f>
        <v>13567.914051343943</v>
      </c>
    </row>
    <row r="489" spans="12:15">
      <c r="L489" s="4">
        <f>Trades!P575</f>
        <v>0</v>
      </c>
      <c r="M489" s="5">
        <f>M488+Trades!T575</f>
        <v>10148.820000000005</v>
      </c>
      <c r="N489" s="5">
        <f>N488+Trades!U575</f>
        <v>1390.0798609355375</v>
      </c>
      <c r="O489" s="5">
        <f>O488+Trades!W575</f>
        <v>13567.914051343943</v>
      </c>
    </row>
    <row r="490" spans="12:15">
      <c r="L490" s="4">
        <f>Trades!P586</f>
        <v>0</v>
      </c>
      <c r="M490" s="5">
        <f>M489+Trades!T586</f>
        <v>10148.820000000005</v>
      </c>
      <c r="N490" s="5">
        <f>N489+Trades!U586</f>
        <v>1390.0798609355375</v>
      </c>
      <c r="O490" s="5">
        <f>O489+Trades!W586</f>
        <v>13567.914051343943</v>
      </c>
    </row>
    <row r="491" spans="12:15">
      <c r="L491" s="4">
        <f>Trades!P596</f>
        <v>0</v>
      </c>
      <c r="M491" s="5">
        <f>M490+Trades!T596</f>
        <v>10148.820000000005</v>
      </c>
      <c r="N491" s="5">
        <f>N490+Trades!U596</f>
        <v>1390.0798609355375</v>
      </c>
      <c r="O491" s="5">
        <f>O490+Trades!W596</f>
        <v>13567.914051343943</v>
      </c>
    </row>
    <row r="492" spans="12:15">
      <c r="L492" s="4">
        <f>Trades!P514</f>
        <v>0</v>
      </c>
      <c r="M492" s="5">
        <f>M491+Trades!T514</f>
        <v>10148.820000000005</v>
      </c>
      <c r="N492" s="5">
        <f>N491+Trades!U514</f>
        <v>1390.0798609355375</v>
      </c>
      <c r="O492" s="5">
        <f>O491+Trades!W514</f>
        <v>13567.914051343943</v>
      </c>
    </row>
    <row r="493" spans="12:15">
      <c r="L493" s="4">
        <f>Trades!P597</f>
        <v>0</v>
      </c>
      <c r="M493" s="5">
        <f>M492+Trades!T597</f>
        <v>10148.820000000005</v>
      </c>
      <c r="N493" s="5">
        <f>N492+Trades!U597</f>
        <v>1390.0798609355375</v>
      </c>
      <c r="O493" s="5">
        <f>O492+Trades!W597</f>
        <v>13567.914051343943</v>
      </c>
    </row>
    <row r="494" spans="12:15">
      <c r="L494" s="4">
        <f>Trades!P598</f>
        <v>0</v>
      </c>
      <c r="M494" s="5">
        <f>M493+Trades!T598</f>
        <v>10148.820000000005</v>
      </c>
      <c r="N494" s="5">
        <f>N493+Trades!U598</f>
        <v>1390.0798609355375</v>
      </c>
      <c r="O494" s="5">
        <f>O493+Trades!W598</f>
        <v>13567.914051343943</v>
      </c>
    </row>
    <row r="495" spans="12:15">
      <c r="L495" s="4">
        <f>Trades!P515</f>
        <v>0</v>
      </c>
      <c r="M495" s="5">
        <f>M494+Trades!T515</f>
        <v>10148.820000000005</v>
      </c>
      <c r="N495" s="5">
        <f>N494+Trades!U515</f>
        <v>1390.0798609355375</v>
      </c>
      <c r="O495" s="5">
        <f>O494+Trades!W515</f>
        <v>13567.914051343943</v>
      </c>
    </row>
    <row r="496" spans="12:15">
      <c r="L496" s="4">
        <f>Trades!P491</f>
        <v>0</v>
      </c>
      <c r="M496" s="5">
        <f>M495+Trades!T491</f>
        <v>10148.820000000005</v>
      </c>
      <c r="N496" s="5">
        <f>N495+Trades!U491</f>
        <v>1390.0798609355375</v>
      </c>
      <c r="O496" s="5">
        <f>O495+Trades!W491</f>
        <v>13567.914051343943</v>
      </c>
    </row>
    <row r="497" spans="12:15">
      <c r="L497" s="4">
        <f>Trades!P537</f>
        <v>0</v>
      </c>
      <c r="M497" s="5">
        <f>M496+Trades!T537</f>
        <v>10148.820000000005</v>
      </c>
      <c r="N497" s="5">
        <f>N496+Trades!U537</f>
        <v>1390.0798609355375</v>
      </c>
      <c r="O497" s="5">
        <f>O496+Trades!W537</f>
        <v>13567.914051343943</v>
      </c>
    </row>
    <row r="498" spans="12:15">
      <c r="L498" s="4">
        <f>Trades!P569</f>
        <v>0</v>
      </c>
      <c r="M498" s="5">
        <f>M497+Trades!T569</f>
        <v>10148.820000000005</v>
      </c>
      <c r="N498" s="5">
        <f>N497+Trades!U569</f>
        <v>1390.0798609355375</v>
      </c>
      <c r="O498" s="5">
        <f>O497+Trades!W569</f>
        <v>13567.914051343943</v>
      </c>
    </row>
    <row r="499" spans="12:15">
      <c r="L499" s="4">
        <f>Trades!P599</f>
        <v>0</v>
      </c>
      <c r="M499" s="5">
        <f>M498+Trades!T599</f>
        <v>10148.820000000005</v>
      </c>
      <c r="N499" s="5">
        <f>N498+Trades!U599</f>
        <v>1390.0798609355375</v>
      </c>
      <c r="O499" s="5">
        <f>O498+Trades!W599</f>
        <v>13567.914051343943</v>
      </c>
    </row>
    <row r="500" spans="12:15">
      <c r="L500" s="4">
        <f>Trades!P548</f>
        <v>0</v>
      </c>
      <c r="M500" s="5">
        <f>M499+Trades!T548</f>
        <v>10148.820000000005</v>
      </c>
      <c r="N500" s="5">
        <f>N499+Trades!U548</f>
        <v>1390.0798609355375</v>
      </c>
      <c r="O500" s="5">
        <f>O499+Trades!W548</f>
        <v>13567.914051343943</v>
      </c>
    </row>
    <row r="501" spans="12:15">
      <c r="L501" s="4">
        <f>Trades!P524</f>
        <v>0</v>
      </c>
      <c r="M501" s="5">
        <f>M500+Trades!T524</f>
        <v>10148.820000000005</v>
      </c>
      <c r="N501" s="5">
        <f>N500+Trades!U524</f>
        <v>1390.0798609355375</v>
      </c>
      <c r="O501" s="5">
        <f>O500+Trades!W524</f>
        <v>13567.914051343943</v>
      </c>
    </row>
    <row r="502" spans="12:15">
      <c r="L502" s="4">
        <f>Trades!P481</f>
        <v>0</v>
      </c>
      <c r="M502" s="5">
        <f>M501+Trades!T481</f>
        <v>10148.820000000005</v>
      </c>
      <c r="N502" s="5">
        <f>N501+Trades!U481</f>
        <v>1390.0798609355375</v>
      </c>
      <c r="O502" s="5">
        <f>O501+Trades!W481</f>
        <v>13567.914051343943</v>
      </c>
    </row>
    <row r="503" spans="12:15">
      <c r="L503" s="4">
        <f>Trades!P492</f>
        <v>0</v>
      </c>
      <c r="M503" s="5">
        <f>M502+Trades!T492</f>
        <v>10148.820000000005</v>
      </c>
      <c r="N503" s="5">
        <f>N502+Trades!U492</f>
        <v>1390.0798609355375</v>
      </c>
      <c r="O503" s="5">
        <f>O502+Trades!W492</f>
        <v>13567.914051343943</v>
      </c>
    </row>
    <row r="504" spans="12:15">
      <c r="L504" s="4">
        <f>Trades!P559</f>
        <v>0</v>
      </c>
      <c r="M504" s="5">
        <f>M503+Trades!T559</f>
        <v>10148.820000000005</v>
      </c>
      <c r="N504" s="5">
        <f>N503+Trades!U559</f>
        <v>1390.0798609355375</v>
      </c>
      <c r="O504" s="5">
        <f>O503+Trades!W559</f>
        <v>13567.914051343943</v>
      </c>
    </row>
    <row r="505" spans="12:15">
      <c r="L505" s="4">
        <f>Trades!P587</f>
        <v>0</v>
      </c>
      <c r="M505" s="5">
        <f>M504+Trades!T587</f>
        <v>10148.820000000005</v>
      </c>
      <c r="N505" s="5">
        <f>N504+Trades!U587</f>
        <v>1390.0798609355375</v>
      </c>
      <c r="O505" s="5">
        <f>O504+Trades!W587</f>
        <v>13567.914051343943</v>
      </c>
    </row>
    <row r="506" spans="12:15">
      <c r="L506" s="4">
        <f>Trades!P588</f>
        <v>0</v>
      </c>
      <c r="M506" s="5">
        <f>M505+Trades!T588</f>
        <v>10148.820000000005</v>
      </c>
      <c r="N506" s="5">
        <f>N505+Trades!U588</f>
        <v>1390.0798609355375</v>
      </c>
      <c r="O506" s="5">
        <f>O505+Trades!W588</f>
        <v>13567.914051343943</v>
      </c>
    </row>
    <row r="507" spans="12:15">
      <c r="L507" s="4">
        <f>Trades!P525</f>
        <v>0</v>
      </c>
      <c r="M507" s="5">
        <f>M506+Trades!T525</f>
        <v>10148.820000000005</v>
      </c>
      <c r="N507" s="5">
        <f>N506+Trades!U525</f>
        <v>1390.0798609355375</v>
      </c>
      <c r="O507" s="5">
        <f>O506+Trades!W525</f>
        <v>13567.914051343943</v>
      </c>
    </row>
    <row r="508" spans="12:15">
      <c r="L508" s="4">
        <f>Trades!P505</f>
        <v>0</v>
      </c>
      <c r="M508" s="5">
        <f>M507+Trades!T505</f>
        <v>10148.820000000005</v>
      </c>
      <c r="N508" s="5">
        <f>N507+Trades!U505</f>
        <v>1390.0798609355375</v>
      </c>
      <c r="O508" s="5">
        <f>O507+Trades!W505</f>
        <v>13567.914051343943</v>
      </c>
    </row>
    <row r="509" spans="12:15">
      <c r="L509" s="4">
        <f>Trades!P493</f>
        <v>0</v>
      </c>
      <c r="M509" s="5">
        <f>M508+Trades!T493</f>
        <v>10148.820000000005</v>
      </c>
      <c r="N509" s="5">
        <f>N508+Trades!U493</f>
        <v>1390.0798609355375</v>
      </c>
      <c r="O509" s="5">
        <f>O508+Trades!W493</f>
        <v>13567.914051343943</v>
      </c>
    </row>
    <row r="510" spans="12:15">
      <c r="L510" s="4">
        <f>Trades!P560</f>
        <v>0</v>
      </c>
      <c r="M510" s="5">
        <f>M509+Trades!T560</f>
        <v>10148.820000000005</v>
      </c>
      <c r="N510" s="5">
        <f>N509+Trades!U560</f>
        <v>1390.0798609355375</v>
      </c>
      <c r="O510" s="5">
        <f>O509+Trades!W560</f>
        <v>13567.914051343943</v>
      </c>
    </row>
    <row r="511" spans="12:15">
      <c r="L511" s="4">
        <f>Trades!P482</f>
        <v>0</v>
      </c>
      <c r="M511" s="5">
        <f>M510+Trades!T482</f>
        <v>10148.820000000005</v>
      </c>
      <c r="N511" s="5">
        <f>N510+Trades!U482</f>
        <v>1390.0798609355375</v>
      </c>
      <c r="O511" s="5">
        <f>O510+Trades!W482</f>
        <v>13567.914051343943</v>
      </c>
    </row>
    <row r="512" spans="12:15">
      <c r="L512" s="4">
        <f>Trades!P494</f>
        <v>0</v>
      </c>
      <c r="M512" s="5">
        <f>M511+Trades!T494</f>
        <v>10148.820000000005</v>
      </c>
      <c r="N512" s="5">
        <f>N511+Trades!U494</f>
        <v>1390.0798609355375</v>
      </c>
      <c r="O512" s="5">
        <f>O511+Trades!W494</f>
        <v>13567.914051343943</v>
      </c>
    </row>
    <row r="513" spans="12:15">
      <c r="L513" s="4">
        <f>Trades!P506</f>
        <v>0</v>
      </c>
      <c r="M513" s="5">
        <f>M512+Trades!T506</f>
        <v>10148.820000000005</v>
      </c>
      <c r="N513" s="5">
        <f>N512+Trades!U506</f>
        <v>1390.0798609355375</v>
      </c>
      <c r="O513" s="5">
        <f>O512+Trades!W506</f>
        <v>13567.914051343943</v>
      </c>
    </row>
    <row r="514" spans="12:15">
      <c r="L514" s="4">
        <f>Trades!P589</f>
        <v>0</v>
      </c>
      <c r="M514" s="5">
        <f>M513+Trades!T589</f>
        <v>10148.820000000005</v>
      </c>
      <c r="N514" s="5">
        <f>N513+Trades!U589</f>
        <v>1390.0798609355375</v>
      </c>
      <c r="O514" s="5">
        <f>O513+Trades!W589</f>
        <v>13567.914051343943</v>
      </c>
    </row>
    <row r="515" spans="12:15">
      <c r="L515" s="4">
        <f>Trades!P576</f>
        <v>0</v>
      </c>
      <c r="M515" s="5">
        <f>M514+Trades!T576</f>
        <v>10148.820000000005</v>
      </c>
      <c r="N515" s="5">
        <f>N514+Trades!U576</f>
        <v>1390.0798609355375</v>
      </c>
      <c r="O515" s="5">
        <f>O514+Trades!W576</f>
        <v>13567.914051343943</v>
      </c>
    </row>
    <row r="516" spans="12:15">
      <c r="L516" s="4">
        <f>Trades!P526</f>
        <v>0</v>
      </c>
      <c r="M516" s="5">
        <f>M515+Trades!T526</f>
        <v>10148.820000000005</v>
      </c>
      <c r="N516" s="5">
        <f>N515+Trades!U526</f>
        <v>1390.0798609355375</v>
      </c>
      <c r="O516" s="5">
        <f>O515+Trades!W526</f>
        <v>13567.914051343943</v>
      </c>
    </row>
    <row r="517" spans="12:15">
      <c r="L517" s="4">
        <f>Trades!P516</f>
        <v>0</v>
      </c>
      <c r="M517" s="5">
        <f>M516+Trades!T516</f>
        <v>10148.820000000005</v>
      </c>
      <c r="N517" s="5">
        <f>N516+Trades!U516</f>
        <v>1390.0798609355375</v>
      </c>
      <c r="O517" s="5">
        <f>O516+Trades!W516</f>
        <v>13567.914051343943</v>
      </c>
    </row>
    <row r="518" spans="12:15">
      <c r="L518" s="4">
        <f>Trades!P600</f>
        <v>0</v>
      </c>
      <c r="M518" s="5">
        <f>M517+Trades!T600</f>
        <v>10148.820000000005</v>
      </c>
      <c r="N518" s="5">
        <f>N517+Trades!U600</f>
        <v>1390.0798609355375</v>
      </c>
      <c r="O518" s="5">
        <f>O517+Trades!W600</f>
        <v>13567.914051343943</v>
      </c>
    </row>
    <row r="519" spans="12:15">
      <c r="L519" s="4">
        <f>Trades!P549</f>
        <v>0</v>
      </c>
      <c r="M519" s="5">
        <f>M518+Trades!T549</f>
        <v>10148.820000000005</v>
      </c>
      <c r="N519" s="5">
        <f>N518+Trades!U549</f>
        <v>1390.0798609355375</v>
      </c>
      <c r="O519" s="5">
        <f>O518+Trades!W549</f>
        <v>13567.914051343943</v>
      </c>
    </row>
    <row r="520" spans="12:15">
      <c r="L520" s="4">
        <f>Trades!P561</f>
        <v>0</v>
      </c>
      <c r="M520" s="5">
        <f>M519+Trades!T561</f>
        <v>10148.820000000005</v>
      </c>
      <c r="N520" s="5">
        <f>N519+Trades!U561</f>
        <v>1390.0798609355375</v>
      </c>
      <c r="O520" s="5">
        <f>O519+Trades!W561</f>
        <v>13567.914051343943</v>
      </c>
    </row>
    <row r="521" spans="12:15">
      <c r="L521" s="4">
        <f>Trades!P577</f>
        <v>0</v>
      </c>
      <c r="M521" s="5">
        <f>M520+Trades!T577</f>
        <v>10148.820000000005</v>
      </c>
      <c r="N521" s="5">
        <f>N520+Trades!U577</f>
        <v>1390.0798609355375</v>
      </c>
      <c r="O521" s="5">
        <f>O520+Trades!W577</f>
        <v>13567.914051343943</v>
      </c>
    </row>
    <row r="522" spans="12:15">
      <c r="L522" s="4">
        <f>Trades!P590</f>
        <v>0</v>
      </c>
      <c r="M522" s="5">
        <f>M521+Trades!T590</f>
        <v>10148.820000000005</v>
      </c>
      <c r="N522" s="5">
        <f>N521+Trades!U590</f>
        <v>1390.0798609355375</v>
      </c>
      <c r="O522" s="5">
        <f>O521+Trades!W590</f>
        <v>13567.914051343943</v>
      </c>
    </row>
    <row r="523" spans="12:15">
      <c r="L523" s="4">
        <f>Trades!P570</f>
        <v>0</v>
      </c>
      <c r="M523" s="5">
        <f>M522+Trades!T570</f>
        <v>10148.820000000005</v>
      </c>
      <c r="N523" s="5">
        <f>N522+Trades!U570</f>
        <v>1390.0798609355375</v>
      </c>
      <c r="O523" s="5">
        <f>O522+Trades!W570</f>
        <v>13567.914051343943</v>
      </c>
    </row>
    <row r="524" spans="12:15">
      <c r="L524" s="4">
        <f>Trades!P483</f>
        <v>0</v>
      </c>
      <c r="M524" s="5">
        <f>M523+Trades!T483</f>
        <v>10148.820000000005</v>
      </c>
      <c r="N524" s="5">
        <f>N523+Trades!U483</f>
        <v>1390.0798609355375</v>
      </c>
      <c r="O524" s="5">
        <f>O523+Trades!W483</f>
        <v>13567.914051343943</v>
      </c>
    </row>
    <row r="525" spans="12:15">
      <c r="L525" s="4">
        <f>Trades!P495</f>
        <v>0</v>
      </c>
      <c r="M525" s="5">
        <f>M524+Trades!T495</f>
        <v>10148.820000000005</v>
      </c>
      <c r="N525" s="5">
        <f>N524+Trades!U495</f>
        <v>1390.0798609355375</v>
      </c>
      <c r="O525" s="5">
        <f>O524+Trades!W495</f>
        <v>13567.914051343943</v>
      </c>
    </row>
    <row r="526" spans="12:15">
      <c r="L526" s="4">
        <f>Trades!P507</f>
        <v>0</v>
      </c>
      <c r="M526" s="5">
        <f>M525+Trades!T507</f>
        <v>10148.820000000005</v>
      </c>
      <c r="N526" s="5">
        <f>N525+Trades!U507</f>
        <v>1390.0798609355375</v>
      </c>
      <c r="O526" s="5">
        <f>O525+Trades!W507</f>
        <v>13567.914051343943</v>
      </c>
    </row>
    <row r="527" spans="12:15">
      <c r="L527" s="4">
        <f>Trades!P538</f>
        <v>0</v>
      </c>
      <c r="M527" s="5">
        <f>M526+Trades!T538</f>
        <v>10148.820000000005</v>
      </c>
      <c r="N527" s="5">
        <f>N526+Trades!U538</f>
        <v>1390.0798609355375</v>
      </c>
      <c r="O527" s="5">
        <f>O526+Trades!W538</f>
        <v>13567.914051343943</v>
      </c>
    </row>
    <row r="528" spans="12:15">
      <c r="L528" s="4">
        <f>Trades!P562</f>
        <v>0</v>
      </c>
      <c r="M528" s="5">
        <f>M527+Trades!T562</f>
        <v>10148.820000000005</v>
      </c>
      <c r="N528" s="5">
        <f>N527+Trades!U562</f>
        <v>1390.0798609355375</v>
      </c>
      <c r="O528" s="5">
        <f>O527+Trades!W562</f>
        <v>13567.914051343943</v>
      </c>
    </row>
    <row r="529" spans="12:15">
      <c r="L529" s="4">
        <f>Trades!P550</f>
        <v>0</v>
      </c>
      <c r="M529" s="5">
        <f>M528+Trades!T550</f>
        <v>10148.820000000005</v>
      </c>
      <c r="N529" s="5">
        <f>N528+Trades!U550</f>
        <v>1390.0798609355375</v>
      </c>
      <c r="O529" s="5">
        <f>O528+Trades!W550</f>
        <v>13567.914051343943</v>
      </c>
    </row>
    <row r="530" spans="12:15">
      <c r="L530" s="4">
        <f>Trades!P601</f>
        <v>0</v>
      </c>
      <c r="M530" s="5">
        <f>M529+Trades!T601</f>
        <v>10148.820000000005</v>
      </c>
      <c r="N530" s="5">
        <f>N529+Trades!U601</f>
        <v>1390.0798609355375</v>
      </c>
      <c r="O530" s="5">
        <f>O529+Trades!W601</f>
        <v>13567.914051343943</v>
      </c>
    </row>
    <row r="531" spans="12:15">
      <c r="L531" s="4">
        <f>Trades!P539</f>
        <v>0</v>
      </c>
      <c r="M531" s="5">
        <f>M530+Trades!T539</f>
        <v>10148.820000000005</v>
      </c>
      <c r="N531" s="5">
        <f>N530+Trades!U539</f>
        <v>1390.0798609355375</v>
      </c>
      <c r="O531" s="5">
        <f>O530+Trades!W539</f>
        <v>13567.914051343943</v>
      </c>
    </row>
    <row r="532" spans="12:15">
      <c r="L532" s="4">
        <f>Trades!P591</f>
        <v>0</v>
      </c>
      <c r="M532" s="5">
        <f>M531+Trades!T591</f>
        <v>10148.820000000005</v>
      </c>
      <c r="N532" s="5">
        <f>N531+Trades!U591</f>
        <v>1390.0798609355375</v>
      </c>
      <c r="O532" s="5">
        <f>O531+Trades!W591</f>
        <v>13567.914051343943</v>
      </c>
    </row>
    <row r="533" spans="12:15">
      <c r="L533" s="4">
        <f>Trades!P496</f>
        <v>0</v>
      </c>
      <c r="M533" s="5">
        <f>M532+Trades!T496</f>
        <v>10148.820000000005</v>
      </c>
      <c r="N533" s="5">
        <f>N532+Trades!U496</f>
        <v>1390.0798609355375</v>
      </c>
      <c r="O533" s="5">
        <f>O532+Trades!W496</f>
        <v>13567.914051343943</v>
      </c>
    </row>
    <row r="534" spans="12:15">
      <c r="L534" s="4">
        <f>Trades!P571</f>
        <v>0</v>
      </c>
      <c r="M534" s="5">
        <f>M533+Trades!T571</f>
        <v>10148.820000000005</v>
      </c>
      <c r="N534" s="5">
        <f>N533+Trades!U571</f>
        <v>1390.0798609355375</v>
      </c>
      <c r="O534" s="5">
        <f>O533+Trades!W571</f>
        <v>13567.914051343943</v>
      </c>
    </row>
    <row r="535" spans="12:15">
      <c r="L535" s="4">
        <f>Trades!P578</f>
        <v>0</v>
      </c>
      <c r="M535" s="5">
        <f>M534+Trades!T578</f>
        <v>10148.820000000005</v>
      </c>
      <c r="N535" s="5">
        <f>N534+Trades!U578</f>
        <v>1390.0798609355375</v>
      </c>
      <c r="O535" s="5">
        <f>O534+Trades!W578</f>
        <v>13567.914051343943</v>
      </c>
    </row>
    <row r="536" spans="12:15">
      <c r="L536" s="4">
        <f>Trades!P527</f>
        <v>0</v>
      </c>
      <c r="M536" s="5">
        <f>M535+Trades!T527</f>
        <v>10148.820000000005</v>
      </c>
      <c r="N536" s="5">
        <f>N535+Trades!U527</f>
        <v>1390.0798609355375</v>
      </c>
      <c r="O536" s="5">
        <f>O535+Trades!W527</f>
        <v>13567.914051343943</v>
      </c>
    </row>
    <row r="537" spans="12:15">
      <c r="L537" s="4">
        <f>Trades!P540</f>
        <v>0</v>
      </c>
      <c r="M537" s="5">
        <f>M536+Trades!T540</f>
        <v>10148.820000000005</v>
      </c>
      <c r="N537" s="5">
        <f>N536+Trades!U540</f>
        <v>1390.0798609355375</v>
      </c>
      <c r="O537" s="5">
        <f>O536+Trades!W540</f>
        <v>13567.914051343943</v>
      </c>
    </row>
    <row r="538" spans="12:15">
      <c r="L538" s="4">
        <f>Trades!P563</f>
        <v>0</v>
      </c>
      <c r="M538" s="5">
        <f>M537+Trades!T563</f>
        <v>10148.820000000005</v>
      </c>
      <c r="N538" s="5">
        <f>N537+Trades!U563</f>
        <v>1390.0798609355375</v>
      </c>
      <c r="O538" s="5">
        <f>O537+Trades!W563</f>
        <v>13567.914051343943</v>
      </c>
    </row>
    <row r="539" spans="12:15">
      <c r="L539" s="4">
        <f>Trades!P602</f>
        <v>0</v>
      </c>
      <c r="M539" s="5">
        <f>M538+Trades!T602</f>
        <v>10148.820000000005</v>
      </c>
      <c r="N539" s="5">
        <f>N538+Trades!U602</f>
        <v>1390.0798609355375</v>
      </c>
      <c r="O539" s="5">
        <f>O538+Trades!W602</f>
        <v>13567.914051343943</v>
      </c>
    </row>
    <row r="540" spans="12:15">
      <c r="L540" s="4">
        <f>Trades!P528</f>
        <v>0</v>
      </c>
      <c r="M540" s="5">
        <f>M539+Trades!T528</f>
        <v>10148.820000000005</v>
      </c>
      <c r="N540" s="5">
        <f>N539+Trades!U528</f>
        <v>1390.0798609355375</v>
      </c>
      <c r="O540" s="5">
        <f>O539+Trades!W528</f>
        <v>13567.914051343943</v>
      </c>
    </row>
    <row r="541" spans="12:15">
      <c r="L541" s="4">
        <f>Trades!P484</f>
        <v>0</v>
      </c>
      <c r="M541" s="5">
        <f>M540+Trades!T484</f>
        <v>10148.820000000005</v>
      </c>
      <c r="N541" s="5">
        <f>N540+Trades!U484</f>
        <v>1390.0798609355375</v>
      </c>
      <c r="O541" s="5">
        <f>O540+Trades!W484</f>
        <v>13567.914051343943</v>
      </c>
    </row>
    <row r="542" spans="12:15">
      <c r="L542" s="4">
        <f>Trades!P497</f>
        <v>0</v>
      </c>
      <c r="M542" s="5">
        <f>M541+Trades!T497</f>
        <v>10148.820000000005</v>
      </c>
      <c r="N542" s="5">
        <f>N541+Trades!U497</f>
        <v>1390.0798609355375</v>
      </c>
      <c r="O542" s="5">
        <f>O541+Trades!W497</f>
        <v>13567.914051343943</v>
      </c>
    </row>
    <row r="543" spans="12:15">
      <c r="L543" s="4">
        <f>Trades!P517</f>
        <v>0</v>
      </c>
      <c r="M543" s="5">
        <f>M542+Trades!T517</f>
        <v>10148.820000000005</v>
      </c>
      <c r="N543" s="5">
        <f>N542+Trades!U517</f>
        <v>1390.0798609355375</v>
      </c>
      <c r="O543" s="5">
        <f>O542+Trades!W517</f>
        <v>13567.914051343943</v>
      </c>
    </row>
    <row r="544" spans="12:15">
      <c r="L544" s="4">
        <f>Trades!P572</f>
        <v>0</v>
      </c>
      <c r="M544" s="5">
        <f>M543+Trades!T572</f>
        <v>10148.820000000005</v>
      </c>
      <c r="N544" s="5">
        <f>N543+Trades!U572</f>
        <v>1390.0798609355375</v>
      </c>
      <c r="O544" s="5">
        <f>O543+Trades!W572</f>
        <v>13567.914051343943</v>
      </c>
    </row>
    <row r="545" spans="12:15">
      <c r="L545" s="4">
        <f>Trades!P541</f>
        <v>0</v>
      </c>
      <c r="M545" s="5">
        <f>M544+Trades!T541</f>
        <v>10148.820000000005</v>
      </c>
      <c r="N545" s="5">
        <f>N544+Trades!U541</f>
        <v>1390.0798609355375</v>
      </c>
      <c r="O545" s="5">
        <f>O544+Trades!W541</f>
        <v>13567.914051343943</v>
      </c>
    </row>
    <row r="546" spans="12:15">
      <c r="L546" s="4">
        <f>Trades!P498</f>
        <v>0</v>
      </c>
      <c r="M546" s="5">
        <f>M545+Trades!T498</f>
        <v>10148.820000000005</v>
      </c>
      <c r="N546" s="5">
        <f>N545+Trades!U498</f>
        <v>1390.0798609355375</v>
      </c>
      <c r="O546" s="5">
        <f>O545+Trades!W498</f>
        <v>13567.914051343943</v>
      </c>
    </row>
    <row r="547" spans="12:15">
      <c r="L547" s="4">
        <f>Trades!P579</f>
        <v>0</v>
      </c>
      <c r="M547" s="5">
        <f>M546+Trades!T579</f>
        <v>10148.820000000005</v>
      </c>
      <c r="N547" s="5">
        <f>N546+Trades!U579</f>
        <v>1390.0798609355375</v>
      </c>
      <c r="O547" s="5">
        <f>O546+Trades!W579</f>
        <v>13567.914051343943</v>
      </c>
    </row>
    <row r="548" spans="12:15">
      <c r="L548" s="4">
        <f>Trades!P542</f>
        <v>0</v>
      </c>
      <c r="M548" s="5">
        <f>M547+Trades!T542</f>
        <v>10148.820000000005</v>
      </c>
      <c r="N548" s="5">
        <f>N547+Trades!U542</f>
        <v>1390.0798609355375</v>
      </c>
      <c r="O548" s="5">
        <f>O547+Trades!W542</f>
        <v>13567.914051343943</v>
      </c>
    </row>
    <row r="549" spans="12:15">
      <c r="L549" s="4">
        <f>Trades!P518</f>
        <v>0</v>
      </c>
      <c r="M549" s="5">
        <f>M548+Trades!T518</f>
        <v>10148.820000000005</v>
      </c>
      <c r="N549" s="5">
        <f>N548+Trades!U518</f>
        <v>1390.0798609355375</v>
      </c>
      <c r="O549" s="5">
        <f>O548+Trades!W518</f>
        <v>13567.914051343943</v>
      </c>
    </row>
    <row r="550" spans="12:15">
      <c r="L550" s="4">
        <f>Trades!P580</f>
        <v>0</v>
      </c>
      <c r="M550" s="5">
        <f>M549+Trades!T580</f>
        <v>10148.820000000005</v>
      </c>
      <c r="N550" s="5">
        <f>N549+Trades!U580</f>
        <v>1390.0798609355375</v>
      </c>
      <c r="O550" s="5">
        <f>O549+Trades!W580</f>
        <v>13567.914051343943</v>
      </c>
    </row>
    <row r="551" spans="12:15">
      <c r="L551" s="4">
        <f>Trades!P529</f>
        <v>0</v>
      </c>
      <c r="M551" s="5">
        <f>M550+Trades!T529</f>
        <v>10148.820000000005</v>
      </c>
      <c r="N551" s="5">
        <f>N550+Trades!U529</f>
        <v>1390.0798609355375</v>
      </c>
      <c r="O551" s="5">
        <f>O550+Trades!W529</f>
        <v>13567.914051343943</v>
      </c>
    </row>
    <row r="552" spans="12:15">
      <c r="L552" s="4">
        <f>Trades!P592</f>
        <v>0</v>
      </c>
      <c r="M552" s="5">
        <f>M551+Trades!T592</f>
        <v>10148.820000000005</v>
      </c>
      <c r="N552" s="5">
        <f>N551+Trades!U592</f>
        <v>1390.0798609355375</v>
      </c>
      <c r="O552" s="5">
        <f>O551+Trades!W592</f>
        <v>13567.914051343943</v>
      </c>
    </row>
    <row r="553" spans="12:15">
      <c r="L553" s="4">
        <f>Trades!P508</f>
        <v>0</v>
      </c>
      <c r="M553" s="5">
        <f>M552+Trades!T508</f>
        <v>10148.820000000005</v>
      </c>
      <c r="N553" s="5">
        <f>N552+Trades!U508</f>
        <v>1390.0798609355375</v>
      </c>
      <c r="O553" s="5">
        <f>O552+Trades!W508</f>
        <v>13567.914051343943</v>
      </c>
    </row>
    <row r="554" spans="12:15">
      <c r="L554" s="4">
        <f>Trades!P485</f>
        <v>0</v>
      </c>
      <c r="M554" s="5">
        <f>M553+Trades!T485</f>
        <v>10148.820000000005</v>
      </c>
      <c r="N554" s="5">
        <f>N553+Trades!U485</f>
        <v>1390.0798609355375</v>
      </c>
      <c r="O554" s="5">
        <f>O553+Trades!W485</f>
        <v>13567.914051343943</v>
      </c>
    </row>
    <row r="555" spans="12:15">
      <c r="L555" s="4">
        <f>Trades!P499</f>
        <v>0</v>
      </c>
      <c r="M555" s="5">
        <f>M554+Trades!T499</f>
        <v>10148.820000000005</v>
      </c>
      <c r="N555" s="5">
        <f>N554+Trades!U499</f>
        <v>1390.0798609355375</v>
      </c>
      <c r="O555" s="5">
        <f>O554+Trades!W499</f>
        <v>13567.914051343943</v>
      </c>
    </row>
    <row r="556" spans="12:15">
      <c r="L556" s="4">
        <f>Trades!P564</f>
        <v>0</v>
      </c>
      <c r="M556" s="5">
        <f>M555+Trades!T564</f>
        <v>10148.820000000005</v>
      </c>
      <c r="N556" s="5">
        <f>N555+Trades!U564</f>
        <v>1390.0798609355375</v>
      </c>
      <c r="O556" s="5">
        <f>O555+Trades!W564</f>
        <v>13567.914051343943</v>
      </c>
    </row>
    <row r="557" spans="12:15">
      <c r="L557" s="4">
        <f>Trades!P593</f>
        <v>0</v>
      </c>
      <c r="M557" s="5">
        <f>M556+Trades!T593</f>
        <v>10148.820000000005</v>
      </c>
      <c r="N557" s="5">
        <f>N556+Trades!U593</f>
        <v>1390.0798609355375</v>
      </c>
      <c r="O557" s="5">
        <f>O556+Trades!W593</f>
        <v>13567.914051343943</v>
      </c>
    </row>
    <row r="558" spans="12:15">
      <c r="L558" s="4">
        <f>Trades!P519</f>
        <v>0</v>
      </c>
      <c r="M558" s="5">
        <f>M557+Trades!T519</f>
        <v>10148.820000000005</v>
      </c>
      <c r="N558" s="5">
        <f>N557+Trades!U519</f>
        <v>1390.0798609355375</v>
      </c>
      <c r="O558" s="5">
        <f>O557+Trades!W519</f>
        <v>13567.914051343943</v>
      </c>
    </row>
    <row r="559" spans="12:15">
      <c r="L559" s="4">
        <f>Trades!P581</f>
        <v>0</v>
      </c>
      <c r="M559" s="5">
        <f>M558+Trades!T581</f>
        <v>10148.820000000005</v>
      </c>
      <c r="N559" s="5">
        <f>N558+Trades!U581</f>
        <v>1390.0798609355375</v>
      </c>
      <c r="O559" s="5">
        <f>O558+Trades!W581</f>
        <v>13567.914051343943</v>
      </c>
    </row>
    <row r="560" spans="12:15">
      <c r="L560" s="4">
        <f>Trades!P486</f>
        <v>0</v>
      </c>
      <c r="M560" s="5">
        <f>M559+Trades!T486</f>
        <v>10148.820000000005</v>
      </c>
      <c r="N560" s="5">
        <f>N559+Trades!U486</f>
        <v>1390.0798609355375</v>
      </c>
      <c r="O560" s="5">
        <f>O559+Trades!W486</f>
        <v>13567.914051343943</v>
      </c>
    </row>
    <row r="561" spans="12:15">
      <c r="L561" s="4">
        <f>Trades!P543</f>
        <v>0</v>
      </c>
      <c r="M561" s="5">
        <f>M560+Trades!T543</f>
        <v>10148.820000000005</v>
      </c>
      <c r="N561" s="5">
        <f>N560+Trades!U543</f>
        <v>1390.0798609355375</v>
      </c>
      <c r="O561" s="5">
        <f>O560+Trades!W543</f>
        <v>13567.914051343943</v>
      </c>
    </row>
    <row r="562" spans="12:15">
      <c r="L562" s="4">
        <f>Trades!P551</f>
        <v>0</v>
      </c>
      <c r="M562" s="5">
        <f>M561+Trades!T551</f>
        <v>10148.820000000005</v>
      </c>
      <c r="N562" s="5">
        <f>N561+Trades!U551</f>
        <v>1390.0798609355375</v>
      </c>
      <c r="O562" s="5">
        <f>O561+Trades!W551</f>
        <v>13567.914051343943</v>
      </c>
    </row>
    <row r="563" spans="12:15">
      <c r="L563" s="4">
        <f>Trades!P509</f>
        <v>0</v>
      </c>
      <c r="M563" s="5">
        <f>M562+Trades!T509</f>
        <v>10148.820000000005</v>
      </c>
      <c r="N563" s="5">
        <f>N562+Trades!U509</f>
        <v>1390.0798609355375</v>
      </c>
      <c r="O563" s="5">
        <f>O562+Trades!W509</f>
        <v>13567.914051343943</v>
      </c>
    </row>
    <row r="564" spans="12:15">
      <c r="L564" s="4">
        <f>Trades!P603</f>
        <v>0</v>
      </c>
      <c r="M564" s="5">
        <f>M563+Trades!T603</f>
        <v>10148.820000000005</v>
      </c>
      <c r="N564" s="5">
        <f>N563+Trades!U603</f>
        <v>1390.0798609355375</v>
      </c>
      <c r="O564" s="5">
        <f>O563+Trades!W603</f>
        <v>13567.914051343943</v>
      </c>
    </row>
    <row r="565" spans="12:15">
      <c r="L565" s="4">
        <f>Trades!P500</f>
        <v>0</v>
      </c>
      <c r="M565" s="5">
        <f>M564+Trades!T500</f>
        <v>10148.820000000005</v>
      </c>
      <c r="N565" s="5">
        <f>N564+Trades!U500</f>
        <v>1390.0798609355375</v>
      </c>
      <c r="O565" s="5">
        <f>O564+Trades!W500</f>
        <v>13567.914051343943</v>
      </c>
    </row>
    <row r="566" spans="12:15">
      <c r="L566" s="4">
        <f>Trades!P530</f>
        <v>0</v>
      </c>
      <c r="M566" s="5">
        <f>M565+Trades!T530</f>
        <v>10148.820000000005</v>
      </c>
      <c r="N566" s="5">
        <f>N565+Trades!U530</f>
        <v>1390.0798609355375</v>
      </c>
      <c r="O566" s="5">
        <f>O565+Trades!W530</f>
        <v>13567.914051343943</v>
      </c>
    </row>
    <row r="567" spans="12:15">
      <c r="L567" s="4">
        <f>Trades!P544</f>
        <v>0</v>
      </c>
      <c r="M567" s="5">
        <f>M566+Trades!T544</f>
        <v>10148.820000000005</v>
      </c>
      <c r="N567" s="5">
        <f>N566+Trades!U544</f>
        <v>1390.0798609355375</v>
      </c>
      <c r="O567" s="5">
        <f>O566+Trades!W544</f>
        <v>13567.914051343943</v>
      </c>
    </row>
    <row r="568" spans="12:15">
      <c r="L568" s="4">
        <f>Trades!P552</f>
        <v>0</v>
      </c>
      <c r="M568" s="5">
        <f>M567+Trades!T552</f>
        <v>10148.820000000005</v>
      </c>
      <c r="N568" s="5">
        <f>N567+Trades!U552</f>
        <v>1390.0798609355375</v>
      </c>
      <c r="O568" s="5">
        <f>O567+Trades!W552</f>
        <v>13567.914051343943</v>
      </c>
    </row>
    <row r="569" spans="12:15">
      <c r="L569" s="4">
        <f>Trades!P531</f>
        <v>0</v>
      </c>
      <c r="M569" s="5">
        <f>M568+Trades!T531</f>
        <v>10148.820000000005</v>
      </c>
      <c r="N569" s="5">
        <f>N568+Trades!U531</f>
        <v>1390.0798609355375</v>
      </c>
      <c r="O569" s="5">
        <f>O568+Trades!W531</f>
        <v>13567.914051343943</v>
      </c>
    </row>
    <row r="570" spans="12:15">
      <c r="L570" s="4">
        <f>Trades!P582</f>
        <v>0</v>
      </c>
      <c r="M570" s="5">
        <f>M569+Trades!T582</f>
        <v>10148.820000000005</v>
      </c>
      <c r="N570" s="5">
        <f>N569+Trades!U582</f>
        <v>1390.0798609355375</v>
      </c>
      <c r="O570" s="5">
        <f>O569+Trades!W582</f>
        <v>13567.914051343943</v>
      </c>
    </row>
    <row r="571" spans="12:15">
      <c r="L571" s="4">
        <f>Trades!P565</f>
        <v>0</v>
      </c>
      <c r="M571" s="5">
        <f>M570+Trades!T565</f>
        <v>10148.820000000005</v>
      </c>
      <c r="N571" s="5">
        <f>N570+Trades!U565</f>
        <v>1390.0798609355375</v>
      </c>
      <c r="O571" s="5">
        <f>O570+Trades!W565</f>
        <v>13567.914051343943</v>
      </c>
    </row>
    <row r="572" spans="12:15">
      <c r="L572" s="4">
        <f>Trades!P532</f>
        <v>0</v>
      </c>
      <c r="M572" s="5">
        <f>M571+Trades!T532</f>
        <v>10148.820000000005</v>
      </c>
      <c r="N572" s="5">
        <f>N571+Trades!U532</f>
        <v>1390.0798609355375</v>
      </c>
      <c r="O572" s="5">
        <f>O571+Trades!W532</f>
        <v>13567.914051343943</v>
      </c>
    </row>
    <row r="573" spans="12:15">
      <c r="L573" s="4">
        <f>Trades!P604</f>
        <v>0</v>
      </c>
      <c r="M573" s="5">
        <f>M572+Trades!T604</f>
        <v>10148.820000000005</v>
      </c>
      <c r="N573" s="5">
        <f>N572+Trades!U604</f>
        <v>1390.0798609355375</v>
      </c>
      <c r="O573" s="5">
        <f>O572+Trades!W604</f>
        <v>13567.914051343943</v>
      </c>
    </row>
    <row r="574" spans="12:15">
      <c r="L574" s="4">
        <f>Trades!P520</f>
        <v>0</v>
      </c>
      <c r="M574" s="5">
        <f>M573+Trades!T520</f>
        <v>10148.820000000005</v>
      </c>
      <c r="N574" s="5">
        <f>N573+Trades!U520</f>
        <v>1390.0798609355375</v>
      </c>
      <c r="O574" s="5">
        <f>O573+Trades!W520</f>
        <v>13567.914051343943</v>
      </c>
    </row>
    <row r="575" spans="12:15">
      <c r="L575" s="4">
        <f>Trades!P553</f>
        <v>0</v>
      </c>
      <c r="M575" s="5">
        <f>M574+Trades!T553</f>
        <v>10148.820000000005</v>
      </c>
      <c r="N575" s="5">
        <f>N574+Trades!U553</f>
        <v>1390.0798609355375</v>
      </c>
      <c r="O575" s="5">
        <f>O574+Trades!W553</f>
        <v>13567.914051343943</v>
      </c>
    </row>
    <row r="576" spans="12:15">
      <c r="L576" s="4">
        <f>Trades!P501</f>
        <v>0</v>
      </c>
      <c r="M576" s="5">
        <f>M575+Trades!T501</f>
        <v>10148.820000000005</v>
      </c>
      <c r="N576" s="5">
        <f>N575+Trades!U501</f>
        <v>1390.0798609355375</v>
      </c>
      <c r="O576" s="5">
        <f>O575+Trades!W501</f>
        <v>13567.914051343943</v>
      </c>
    </row>
    <row r="577" spans="12:15">
      <c r="L577" s="4">
        <f>Trades!P533</f>
        <v>0</v>
      </c>
      <c r="M577" s="5">
        <f>M576+Trades!T533</f>
        <v>10148.820000000005</v>
      </c>
      <c r="N577" s="5">
        <f>N576+Trades!U533</f>
        <v>1390.0798609355375</v>
      </c>
      <c r="O577" s="5">
        <f>O576+Trades!W533</f>
        <v>13567.914051343943</v>
      </c>
    </row>
    <row r="578" spans="12:15">
      <c r="L578" s="4">
        <f>Trades!P487</f>
        <v>0</v>
      </c>
      <c r="M578" s="5">
        <f>M577+Trades!T487</f>
        <v>10148.820000000005</v>
      </c>
      <c r="N578" s="5">
        <f>N577+Trades!U487</f>
        <v>1390.0798609355375</v>
      </c>
      <c r="O578" s="5">
        <f>O577+Trades!W487</f>
        <v>13567.914051343943</v>
      </c>
    </row>
    <row r="579" spans="12:15">
      <c r="L579" s="4">
        <f>Trades!P554</f>
        <v>0</v>
      </c>
      <c r="M579" s="5">
        <f>M578+Trades!T554</f>
        <v>10148.820000000005</v>
      </c>
      <c r="N579" s="5">
        <f>N578+Trades!U554</f>
        <v>1390.0798609355375</v>
      </c>
      <c r="O579" s="5">
        <f>O578+Trades!W554</f>
        <v>13567.914051343943</v>
      </c>
    </row>
    <row r="580" spans="12:15">
      <c r="L580" s="4">
        <f>Trades!P502</f>
        <v>0</v>
      </c>
      <c r="M580" s="5">
        <f>M579+Trades!T502</f>
        <v>10148.820000000005</v>
      </c>
      <c r="N580" s="5">
        <f>N579+Trades!U502</f>
        <v>1390.0798609355375</v>
      </c>
      <c r="O580" s="5">
        <f>O579+Trades!W502</f>
        <v>13567.914051343943</v>
      </c>
    </row>
    <row r="581" spans="12:15">
      <c r="L581" s="4">
        <f>Trades!P566</f>
        <v>0</v>
      </c>
      <c r="M581" s="5">
        <f>M580+Trades!T566</f>
        <v>10148.820000000005</v>
      </c>
      <c r="N581" s="5">
        <f>N580+Trades!U566</f>
        <v>1390.0798609355375</v>
      </c>
      <c r="O581" s="5">
        <f>O580+Trades!W566</f>
        <v>13567.914051343943</v>
      </c>
    </row>
    <row r="582" spans="12:15">
      <c r="L582" s="4">
        <f>Trades!P510</f>
        <v>0</v>
      </c>
      <c r="M582" s="5">
        <f>M581+Trades!T510</f>
        <v>10148.820000000005</v>
      </c>
      <c r="N582" s="5">
        <f>N581+Trades!U510</f>
        <v>1390.0798609355375</v>
      </c>
      <c r="O582" s="5">
        <f>O581+Trades!W510</f>
        <v>13567.914051343943</v>
      </c>
    </row>
    <row r="583" spans="12:15">
      <c r="L583" s="4">
        <f>Trades!P555</f>
        <v>0</v>
      </c>
      <c r="M583" s="5">
        <f>M582+Trades!T555</f>
        <v>10148.820000000005</v>
      </c>
      <c r="N583" s="5">
        <f>N582+Trades!U555</f>
        <v>1390.0798609355375</v>
      </c>
      <c r="O583" s="5">
        <f>O582+Trades!W555</f>
        <v>13567.914051343943</v>
      </c>
    </row>
    <row r="584" spans="12:15">
      <c r="L584" s="4">
        <f>Trades!P545</f>
        <v>0</v>
      </c>
      <c r="M584" s="5">
        <f>M583+Trades!T545</f>
        <v>10148.820000000005</v>
      </c>
      <c r="N584" s="5">
        <f>N583+Trades!U545</f>
        <v>1390.0798609355375</v>
      </c>
      <c r="O584" s="5">
        <f>O583+Trades!W545</f>
        <v>13567.914051343943</v>
      </c>
    </row>
    <row r="585" spans="12:15">
      <c r="L585" s="4">
        <f>Trades!P583</f>
        <v>0</v>
      </c>
      <c r="M585" s="5">
        <f>M584+Trades!T583</f>
        <v>10148.820000000005</v>
      </c>
      <c r="N585" s="5">
        <f>N584+Trades!U583</f>
        <v>1390.0798609355375</v>
      </c>
      <c r="O585" s="5">
        <f>O584+Trades!W583</f>
        <v>13567.914051343943</v>
      </c>
    </row>
    <row r="586" spans="12:15">
      <c r="L586" s="4">
        <f>Trades!P594</f>
        <v>0</v>
      </c>
      <c r="M586" s="5">
        <f>M585+Trades!T594</f>
        <v>10148.820000000005</v>
      </c>
      <c r="N586" s="5">
        <f>N585+Trades!U594</f>
        <v>1390.0798609355375</v>
      </c>
      <c r="O586" s="5">
        <f>O585+Trades!W594</f>
        <v>13567.914051343943</v>
      </c>
    </row>
    <row r="587" spans="12:15">
      <c r="L587" s="4">
        <f>Trades!P573</f>
        <v>0</v>
      </c>
      <c r="M587" s="5">
        <f>M586+Trades!T573</f>
        <v>10148.820000000005</v>
      </c>
      <c r="N587" s="5">
        <f>N586+Trades!U573</f>
        <v>1390.0798609355375</v>
      </c>
      <c r="O587" s="5">
        <f>O586+Trades!W573</f>
        <v>13567.914051343943</v>
      </c>
    </row>
    <row r="588" spans="12:15">
      <c r="L588" s="4">
        <f>Trades!P584</f>
        <v>0</v>
      </c>
      <c r="M588" s="5">
        <f>M587+Trades!T584</f>
        <v>10148.820000000005</v>
      </c>
      <c r="N588" s="5">
        <f>N587+Trades!U584</f>
        <v>1390.0798609355375</v>
      </c>
      <c r="O588" s="5">
        <f>O587+Trades!W584</f>
        <v>13567.914051343943</v>
      </c>
    </row>
    <row r="589" spans="12:15">
      <c r="L589" s="4">
        <f>Trades!P521</f>
        <v>0</v>
      </c>
      <c r="M589" s="5">
        <f>M588+Trades!T521</f>
        <v>10148.820000000005</v>
      </c>
      <c r="N589" s="5">
        <f>N588+Trades!U521</f>
        <v>1390.0798609355375</v>
      </c>
      <c r="O589" s="5">
        <f>O588+Trades!W521</f>
        <v>13567.914051343943</v>
      </c>
    </row>
    <row r="590" spans="12:15">
      <c r="L590" s="4">
        <f>Trades!P556</f>
        <v>0</v>
      </c>
      <c r="M590" s="5">
        <f>M589+Trades!T556</f>
        <v>10148.820000000005</v>
      </c>
      <c r="N590" s="5">
        <f>N589+Trades!U556</f>
        <v>1390.0798609355375</v>
      </c>
      <c r="O590" s="5">
        <f>O589+Trades!W556</f>
        <v>13567.914051343943</v>
      </c>
    </row>
    <row r="591" spans="12:15">
      <c r="L591" s="4">
        <f>Trades!P511</f>
        <v>0</v>
      </c>
      <c r="M591" s="5">
        <f>M590+Trades!T511</f>
        <v>10148.820000000005</v>
      </c>
      <c r="N591" s="5">
        <f>N590+Trades!U511</f>
        <v>1390.0798609355375</v>
      </c>
      <c r="O591" s="5">
        <f>O590+Trades!W511</f>
        <v>13567.914051343943</v>
      </c>
    </row>
    <row r="592" spans="12:15">
      <c r="L592" s="4">
        <f>Trades!P557</f>
        <v>0</v>
      </c>
      <c r="M592" s="5">
        <f>M591+Trades!T557</f>
        <v>10148.820000000005</v>
      </c>
      <c r="N592" s="5">
        <f>N591+Trades!U557</f>
        <v>1390.0798609355375</v>
      </c>
      <c r="O592" s="5">
        <f>O591+Trades!W557</f>
        <v>13567.914051343943</v>
      </c>
    </row>
    <row r="593" spans="12:15">
      <c r="L593" s="4">
        <f>Trades!P605</f>
        <v>0</v>
      </c>
      <c r="M593" s="5">
        <f>M592+Trades!T605</f>
        <v>10148.820000000005</v>
      </c>
      <c r="N593" s="5">
        <f>N592+Trades!U605</f>
        <v>1390.0798609355375</v>
      </c>
      <c r="O593" s="5">
        <f>O592+Trades!W605</f>
        <v>13567.914051343943</v>
      </c>
    </row>
    <row r="594" spans="12:15">
      <c r="L594" s="4">
        <f>Trades!P546</f>
        <v>0</v>
      </c>
      <c r="M594" s="5">
        <f>M593+Trades!T546</f>
        <v>10148.820000000005</v>
      </c>
      <c r="N594" s="5">
        <f>N593+Trades!U546</f>
        <v>1390.0798609355375</v>
      </c>
      <c r="O594" s="5">
        <f>O593+Trades!W546</f>
        <v>13567.914051343943</v>
      </c>
    </row>
    <row r="595" spans="12:15">
      <c r="L595" s="4">
        <f>Trades!P488</f>
        <v>0</v>
      </c>
      <c r="M595" s="5">
        <f>M594+Trades!T488</f>
        <v>10148.820000000005</v>
      </c>
      <c r="N595" s="5">
        <f>N594+Trades!U488</f>
        <v>1390.0798609355375</v>
      </c>
      <c r="O595" s="5">
        <f>O594+Trades!W488</f>
        <v>13567.914051343943</v>
      </c>
    </row>
    <row r="596" spans="12:15">
      <c r="L596" s="4">
        <f>Trades!P585</f>
        <v>0</v>
      </c>
      <c r="M596" s="5">
        <f>M595+Trades!T585</f>
        <v>10148.820000000005</v>
      </c>
      <c r="N596" s="5">
        <f>N595+Trades!U585</f>
        <v>1390.0798609355375</v>
      </c>
      <c r="O596" s="5">
        <f>O595+Trades!W585</f>
        <v>13567.914051343943</v>
      </c>
    </row>
    <row r="597" spans="12:15">
      <c r="L597" s="4">
        <f>Trades!P595</f>
        <v>0</v>
      </c>
      <c r="M597" s="5">
        <f>M596+Trades!T595</f>
        <v>10148.820000000005</v>
      </c>
      <c r="N597" s="5">
        <f>N596+Trades!U595</f>
        <v>1390.0798609355375</v>
      </c>
      <c r="O597" s="5">
        <f>O596+Trades!W595</f>
        <v>13567.914051343943</v>
      </c>
    </row>
    <row r="598" spans="12:15">
      <c r="L598" s="4">
        <f>Trades!P534</f>
        <v>0</v>
      </c>
      <c r="M598" s="5">
        <f>M597+Trades!T534</f>
        <v>10148.820000000005</v>
      </c>
      <c r="N598" s="5">
        <f>N597+Trades!U534</f>
        <v>1390.0798609355375</v>
      </c>
      <c r="O598" s="5">
        <f>O597+Trades!W534</f>
        <v>13567.914051343943</v>
      </c>
    </row>
    <row r="599" spans="12:15">
      <c r="L599" s="4">
        <f>Trades!P512</f>
        <v>0</v>
      </c>
      <c r="M599" s="5">
        <f>M598+Trades!T512</f>
        <v>10148.820000000005</v>
      </c>
      <c r="N599" s="5">
        <f>N598+Trades!U512</f>
        <v>1390.0798609355375</v>
      </c>
      <c r="O599" s="5">
        <f>O598+Trades!W512</f>
        <v>13567.914051343943</v>
      </c>
    </row>
    <row r="600" spans="12:15">
      <c r="L600" s="4">
        <f>Trades!P574</f>
        <v>0</v>
      </c>
      <c r="M600" s="5">
        <f>M599+Trades!T574</f>
        <v>10148.820000000005</v>
      </c>
      <c r="N600" s="5">
        <f>N599+Trades!U574</f>
        <v>1390.0798609355375</v>
      </c>
      <c r="O600" s="5">
        <f>O599+Trades!W574</f>
        <v>13567.914051343943</v>
      </c>
    </row>
    <row r="601" spans="12:15">
      <c r="L601" s="4">
        <f>Trades!P535</f>
        <v>0</v>
      </c>
      <c r="M601" s="5">
        <f>M600+Trades!T535</f>
        <v>10148.820000000005</v>
      </c>
      <c r="N601" s="5">
        <f>N600+Trades!U535</f>
        <v>1390.0798609355375</v>
      </c>
      <c r="O601" s="5">
        <f>O600+Trades!W535</f>
        <v>13567.914051343943</v>
      </c>
    </row>
    <row r="602" spans="12:15">
      <c r="L602" s="4">
        <f>Trades!P522</f>
        <v>0</v>
      </c>
      <c r="M602" s="5">
        <f>M601+Trades!T522</f>
        <v>10148.820000000005</v>
      </c>
      <c r="N602" s="5">
        <f>N601+Trades!U522</f>
        <v>1390.0798609355375</v>
      </c>
      <c r="O602" s="5">
        <f>O601+Trades!W522</f>
        <v>13567.914051343943</v>
      </c>
    </row>
    <row r="603" spans="12:15">
      <c r="L603" s="4">
        <f>Trades!P489</f>
        <v>0</v>
      </c>
      <c r="M603" s="5">
        <f>M602+Trades!T489</f>
        <v>10148.820000000005</v>
      </c>
      <c r="N603" s="5">
        <f>N602+Trades!U489</f>
        <v>1390.0798609355375</v>
      </c>
      <c r="O603" s="5">
        <f>O602+Trades!W489</f>
        <v>13567.914051343943</v>
      </c>
    </row>
    <row r="604" spans="12:15">
      <c r="L604" s="4">
        <f>Trades!P567</f>
        <v>0</v>
      </c>
      <c r="M604" s="5">
        <f>M603+Trades!T567</f>
        <v>10148.820000000005</v>
      </c>
      <c r="N604" s="5">
        <f>N603+Trades!U567</f>
        <v>1390.0798609355375</v>
      </c>
      <c r="O604" s="5">
        <f>O603+Trades!W567</f>
        <v>13567.914051343943</v>
      </c>
    </row>
    <row r="605" spans="12:15">
      <c r="L605" s="4">
        <f>Trades!P503</f>
        <v>0</v>
      </c>
      <c r="M605" s="5">
        <f>M604+Trades!T503</f>
        <v>10148.820000000005</v>
      </c>
      <c r="N605" s="5">
        <f>N604+Trades!U503</f>
        <v>1390.0798609355375</v>
      </c>
      <c r="O605" s="5">
        <f>O604+Trades!W503</f>
        <v>13567.914051343943</v>
      </c>
    </row>
    <row r="606" spans="12:15">
      <c r="L606" s="4">
        <f>Trades!P606</f>
        <v>0</v>
      </c>
      <c r="M606" s="5">
        <f>M605+Trades!T606</f>
        <v>10148.820000000005</v>
      </c>
      <c r="N606" s="5">
        <f>N605+Trades!U606</f>
        <v>1390.0798609355375</v>
      </c>
      <c r="O606" s="5">
        <f>O605+Trades!W606</f>
        <v>13567.914051343943</v>
      </c>
    </row>
    <row r="607" spans="12:15">
      <c r="L607" s="4">
        <f>Trades!P617</f>
        <v>0</v>
      </c>
      <c r="M607" s="5">
        <f>M606+Trades!T617</f>
        <v>10148.820000000005</v>
      </c>
      <c r="N607" s="5">
        <f>N606+Trades!U617</f>
        <v>1390.0798609355375</v>
      </c>
      <c r="O607" s="5">
        <f>O606+Trades!W617</f>
        <v>13567.914051343943</v>
      </c>
    </row>
    <row r="608" spans="12:15">
      <c r="L608" s="4">
        <f>Trades!P628</f>
        <v>0</v>
      </c>
      <c r="M608" s="5">
        <f>M607+Trades!T628</f>
        <v>10148.820000000005</v>
      </c>
      <c r="N608" s="5">
        <f>N607+Trades!U628</f>
        <v>1390.0798609355375</v>
      </c>
      <c r="O608" s="5">
        <f>O607+Trades!W628</f>
        <v>13567.914051343943</v>
      </c>
    </row>
    <row r="609" spans="12:15">
      <c r="L609" s="4">
        <f>Trades!P638</f>
        <v>0</v>
      </c>
      <c r="M609" s="5">
        <f>M608+Trades!T638</f>
        <v>10148.820000000005</v>
      </c>
      <c r="N609" s="5">
        <f>N608+Trades!U638</f>
        <v>1390.0798609355375</v>
      </c>
      <c r="O609" s="5">
        <f>O608+Trades!W638</f>
        <v>13567.914051343943</v>
      </c>
    </row>
    <row r="610" spans="12:15">
      <c r="L610" s="4">
        <f>Trades!P639</f>
        <v>0</v>
      </c>
      <c r="M610" s="5">
        <f>M609+Trades!T639</f>
        <v>10148.820000000005</v>
      </c>
      <c r="N610" s="5">
        <f>N609+Trades!U639</f>
        <v>1390.0798609355375</v>
      </c>
      <c r="O610" s="5">
        <f>O609+Trades!W639</f>
        <v>13567.914051343943</v>
      </c>
    </row>
    <row r="611" spans="12:15">
      <c r="L611" s="4">
        <f>Trades!P618</f>
        <v>0</v>
      </c>
      <c r="M611" s="5">
        <f>M610+Trades!T618</f>
        <v>10148.820000000005</v>
      </c>
      <c r="N611" s="5">
        <f>N610+Trades!U618</f>
        <v>1390.0798609355375</v>
      </c>
      <c r="O611" s="5">
        <f>O610+Trades!W618</f>
        <v>13567.914051343943</v>
      </c>
    </row>
    <row r="612" spans="12:15">
      <c r="L612" s="4">
        <f>Trades!P607</f>
        <v>0</v>
      </c>
      <c r="M612" s="5">
        <f>M611+Trades!T607</f>
        <v>10148.820000000005</v>
      </c>
      <c r="N612" s="5">
        <f>N611+Trades!U607</f>
        <v>1390.0798609355375</v>
      </c>
      <c r="O612" s="5">
        <f>O611+Trades!W607</f>
        <v>13567.914051343943</v>
      </c>
    </row>
    <row r="613" spans="12:15">
      <c r="L613" s="4">
        <f>Trades!P619</f>
        <v>0</v>
      </c>
      <c r="M613" s="5">
        <f>M612+Trades!T619</f>
        <v>10148.820000000005</v>
      </c>
      <c r="N613" s="5">
        <f>N612+Trades!U619</f>
        <v>1390.0798609355375</v>
      </c>
      <c r="O613" s="5">
        <f>O612+Trades!W619</f>
        <v>13567.914051343943</v>
      </c>
    </row>
    <row r="614" spans="12:15">
      <c r="L614" s="4">
        <f>Trades!P640</f>
        <v>0</v>
      </c>
      <c r="M614" s="5">
        <f>M613+Trades!T640</f>
        <v>10148.820000000005</v>
      </c>
      <c r="N614" s="5">
        <f>N613+Trades!U640</f>
        <v>1390.0798609355375</v>
      </c>
      <c r="O614" s="5">
        <f>O613+Trades!W640</f>
        <v>13567.914051343943</v>
      </c>
    </row>
    <row r="615" spans="12:15">
      <c r="L615" s="4">
        <f>Trades!P608</f>
        <v>0</v>
      </c>
      <c r="M615" s="5">
        <f>M614+Trades!T608</f>
        <v>10148.820000000005</v>
      </c>
      <c r="N615" s="5">
        <f>N614+Trades!U608</f>
        <v>1390.0798609355375</v>
      </c>
      <c r="O615" s="5">
        <f>O614+Trades!W608</f>
        <v>13567.914051343943</v>
      </c>
    </row>
    <row r="616" spans="12:15">
      <c r="L616" s="4">
        <f>Trades!P620</f>
        <v>0</v>
      </c>
      <c r="M616" s="5">
        <f>M615+Trades!T620</f>
        <v>10148.820000000005</v>
      </c>
      <c r="N616" s="5">
        <f>N615+Trades!U620</f>
        <v>1390.0798609355375</v>
      </c>
      <c r="O616" s="5">
        <f>O615+Trades!W620</f>
        <v>13567.914051343943</v>
      </c>
    </row>
    <row r="617" spans="12:15">
      <c r="L617" s="4">
        <f>Trades!P609</f>
        <v>0</v>
      </c>
      <c r="M617" s="5">
        <f>M616+Trades!T609</f>
        <v>10148.820000000005</v>
      </c>
      <c r="N617" s="5">
        <f>N616+Trades!U609</f>
        <v>1390.0798609355375</v>
      </c>
      <c r="O617" s="5">
        <f>O616+Trades!W609</f>
        <v>13567.914051343943</v>
      </c>
    </row>
    <row r="618" spans="12:15">
      <c r="L618" s="4">
        <f>Trades!P621</f>
        <v>0</v>
      </c>
      <c r="M618" s="5">
        <f>M617+Trades!T621</f>
        <v>10148.820000000005</v>
      </c>
      <c r="N618" s="5">
        <f>N617+Trades!U621</f>
        <v>1390.0798609355375</v>
      </c>
      <c r="O618" s="5">
        <f>O617+Trades!W621</f>
        <v>13567.914051343943</v>
      </c>
    </row>
    <row r="619" spans="12:15">
      <c r="L619" s="4">
        <f>Trades!P641</f>
        <v>0</v>
      </c>
      <c r="M619" s="5">
        <f>M618+Trades!T641</f>
        <v>10148.820000000005</v>
      </c>
      <c r="N619" s="5">
        <f>N618+Trades!U641</f>
        <v>1390.0798609355375</v>
      </c>
      <c r="O619" s="5">
        <f>O618+Trades!W641</f>
        <v>13567.914051343943</v>
      </c>
    </row>
    <row r="620" spans="12:15">
      <c r="L620" s="4">
        <f>Trades!P610</f>
        <v>0</v>
      </c>
      <c r="M620" s="5">
        <f>M619+Trades!T610</f>
        <v>10148.820000000005</v>
      </c>
      <c r="N620" s="5">
        <f>N619+Trades!U610</f>
        <v>1390.0798609355375</v>
      </c>
      <c r="O620" s="5">
        <f>O619+Trades!W610</f>
        <v>13567.914051343943</v>
      </c>
    </row>
    <row r="621" spans="12:15">
      <c r="L621" s="4">
        <f>Trades!P629</f>
        <v>0</v>
      </c>
      <c r="M621" s="5">
        <f>M620+Trades!T629</f>
        <v>10148.820000000005</v>
      </c>
      <c r="N621" s="5">
        <f>N620+Trades!U629</f>
        <v>1390.0798609355375</v>
      </c>
      <c r="O621" s="5">
        <f>O620+Trades!W629</f>
        <v>13567.914051343943</v>
      </c>
    </row>
    <row r="622" spans="12:15">
      <c r="L622" s="4">
        <f>Trades!P630</f>
        <v>0</v>
      </c>
      <c r="M622" s="5">
        <f>M621+Trades!T630</f>
        <v>10148.820000000005</v>
      </c>
      <c r="N622" s="5">
        <f>N621+Trades!U630</f>
        <v>1390.0798609355375</v>
      </c>
      <c r="O622" s="5">
        <f>O621+Trades!W630</f>
        <v>13567.914051343943</v>
      </c>
    </row>
    <row r="623" spans="12:15">
      <c r="L623" s="4">
        <f>Trades!P611</f>
        <v>0</v>
      </c>
      <c r="M623" s="5">
        <f>M622+Trades!T611</f>
        <v>10148.820000000005</v>
      </c>
      <c r="N623" s="5">
        <f>N622+Trades!U611</f>
        <v>1390.0798609355375</v>
      </c>
      <c r="O623" s="5">
        <f>O622+Trades!W611</f>
        <v>13567.914051343943</v>
      </c>
    </row>
    <row r="624" spans="12:15">
      <c r="L624" s="4">
        <f>Trades!P642</f>
        <v>0</v>
      </c>
      <c r="M624" s="5">
        <f>M623+Trades!T642</f>
        <v>10148.820000000005</v>
      </c>
      <c r="N624" s="5">
        <f>N623+Trades!U642</f>
        <v>1390.0798609355375</v>
      </c>
      <c r="O624" s="5">
        <f>O623+Trades!W642</f>
        <v>13567.914051343943</v>
      </c>
    </row>
    <row r="625" spans="12:15">
      <c r="L625" s="4">
        <f>Trades!P622</f>
        <v>0</v>
      </c>
      <c r="M625" s="5">
        <f>M624+Trades!T622</f>
        <v>10148.820000000005</v>
      </c>
      <c r="N625" s="5">
        <f>N624+Trades!U622</f>
        <v>1390.0798609355375</v>
      </c>
      <c r="O625" s="5">
        <f>O624+Trades!W622</f>
        <v>13567.914051343943</v>
      </c>
    </row>
    <row r="626" spans="12:15">
      <c r="L626" s="4">
        <f>Trades!P612</f>
        <v>0</v>
      </c>
      <c r="M626" s="5">
        <f>M625+Trades!T612</f>
        <v>10148.820000000005</v>
      </c>
      <c r="N626" s="5">
        <f>N625+Trades!U612</f>
        <v>1390.0798609355375</v>
      </c>
      <c r="O626" s="5">
        <f>O625+Trades!W612</f>
        <v>13567.914051343943</v>
      </c>
    </row>
    <row r="627" spans="12:15">
      <c r="L627" s="4">
        <f>Trades!P631</f>
        <v>0</v>
      </c>
      <c r="M627" s="5">
        <f>M626+Trades!T631</f>
        <v>10148.820000000005</v>
      </c>
      <c r="N627" s="5">
        <f>N626+Trades!U631</f>
        <v>1390.0798609355375</v>
      </c>
      <c r="O627" s="5">
        <f>O626+Trades!W631</f>
        <v>13567.914051343943</v>
      </c>
    </row>
    <row r="628" spans="12:15">
      <c r="L628" s="4">
        <f>Trades!P613</f>
        <v>0</v>
      </c>
      <c r="M628" s="5">
        <f>M627+Trades!T613</f>
        <v>10148.820000000005</v>
      </c>
      <c r="N628" s="5">
        <f>N627+Trades!U613</f>
        <v>1390.0798609355375</v>
      </c>
      <c r="O628" s="5">
        <f>O627+Trades!W613</f>
        <v>13567.914051343943</v>
      </c>
    </row>
    <row r="629" spans="12:15">
      <c r="L629" s="4">
        <f>Trades!P643</f>
        <v>0</v>
      </c>
      <c r="M629" s="5">
        <f>M628+Trades!T643</f>
        <v>10148.820000000005</v>
      </c>
      <c r="N629" s="5">
        <f>N628+Trades!U643</f>
        <v>1390.0798609355375</v>
      </c>
      <c r="O629" s="5">
        <f>O628+Trades!W643</f>
        <v>13567.914051343943</v>
      </c>
    </row>
    <row r="630" spans="12:15">
      <c r="L630" s="4">
        <f>Trades!P644</f>
        <v>0</v>
      </c>
      <c r="M630" s="5">
        <f>M629+Trades!T644</f>
        <v>10148.820000000005</v>
      </c>
      <c r="N630" s="5">
        <f>N629+Trades!U644</f>
        <v>1390.0798609355375</v>
      </c>
      <c r="O630" s="5">
        <f>O629+Trades!W644</f>
        <v>13567.914051343943</v>
      </c>
    </row>
    <row r="631" spans="12:15">
      <c r="L631" s="4">
        <f>Trades!P645</f>
        <v>0</v>
      </c>
      <c r="M631" s="5">
        <f>M630+Trades!T645</f>
        <v>10148.820000000005</v>
      </c>
      <c r="N631" s="5">
        <f>N630+Trades!U645</f>
        <v>1390.0798609355375</v>
      </c>
      <c r="O631" s="5">
        <f>O630+Trades!W645</f>
        <v>13567.914051343943</v>
      </c>
    </row>
    <row r="632" spans="12:15">
      <c r="L632" s="4">
        <f>Trades!P632</f>
        <v>0</v>
      </c>
      <c r="M632" s="5">
        <f>M631+Trades!T632</f>
        <v>10148.820000000005</v>
      </c>
      <c r="N632" s="5">
        <f>N631+Trades!U632</f>
        <v>1390.0798609355375</v>
      </c>
      <c r="O632" s="5">
        <f>O631+Trades!W632</f>
        <v>13567.914051343943</v>
      </c>
    </row>
    <row r="633" spans="12:15">
      <c r="L633" s="4">
        <f>Trades!P614</f>
        <v>0</v>
      </c>
      <c r="M633" s="5">
        <f>M632+Trades!T614</f>
        <v>10148.820000000005</v>
      </c>
      <c r="N633" s="5">
        <f>N632+Trades!U614</f>
        <v>1390.0798609355375</v>
      </c>
      <c r="O633" s="5">
        <f>O632+Trades!W614</f>
        <v>13567.914051343943</v>
      </c>
    </row>
    <row r="634" spans="12:15">
      <c r="L634" s="4">
        <f>Trades!P623</f>
        <v>0</v>
      </c>
      <c r="M634" s="5">
        <f>M633+Trades!T623</f>
        <v>10148.820000000005</v>
      </c>
      <c r="N634" s="5">
        <f>N633+Trades!U623</f>
        <v>1390.0798609355375</v>
      </c>
      <c r="O634" s="5">
        <f>O633+Trades!W623</f>
        <v>13567.914051343943</v>
      </c>
    </row>
    <row r="635" spans="12:15">
      <c r="L635" s="4">
        <f>Trades!P646</f>
        <v>0</v>
      </c>
      <c r="M635" s="5">
        <f>M634+Trades!T646</f>
        <v>10148.820000000005</v>
      </c>
      <c r="N635" s="5">
        <f>N634+Trades!U646</f>
        <v>1390.0798609355375</v>
      </c>
      <c r="O635" s="5">
        <f>O634+Trades!W646</f>
        <v>13567.914051343943</v>
      </c>
    </row>
    <row r="636" spans="12:15">
      <c r="L636" s="4">
        <f>Trades!P624</f>
        <v>0</v>
      </c>
      <c r="M636" s="5">
        <f>M635+Trades!T624</f>
        <v>10148.820000000005</v>
      </c>
      <c r="N636" s="5">
        <f>N635+Trades!U624</f>
        <v>1390.0798609355375</v>
      </c>
      <c r="O636" s="5">
        <f>O635+Trades!W624</f>
        <v>13567.914051343943</v>
      </c>
    </row>
    <row r="637" spans="12:15">
      <c r="L637" s="4">
        <f>Trades!P625</f>
        <v>0</v>
      </c>
      <c r="M637" s="5">
        <f>M636+Trades!T625</f>
        <v>10148.820000000005</v>
      </c>
      <c r="N637" s="5">
        <f>N636+Trades!U625</f>
        <v>1390.0798609355375</v>
      </c>
      <c r="O637" s="5">
        <f>O636+Trades!W625</f>
        <v>13567.914051343943</v>
      </c>
    </row>
    <row r="638" spans="12:15">
      <c r="L638" s="4">
        <f>Trades!P615</f>
        <v>0</v>
      </c>
      <c r="M638" s="5">
        <f>M637+Trades!T615</f>
        <v>10148.820000000005</v>
      </c>
      <c r="N638" s="5">
        <f>N637+Trades!U615</f>
        <v>1390.0798609355375</v>
      </c>
      <c r="O638" s="5">
        <f>O637+Trades!W615</f>
        <v>13567.914051343943</v>
      </c>
    </row>
    <row r="639" spans="12:15">
      <c r="L639" s="4">
        <f>Trades!P647</f>
        <v>0</v>
      </c>
      <c r="M639" s="5">
        <f>M638+Trades!T647</f>
        <v>10148.820000000005</v>
      </c>
      <c r="N639" s="5">
        <f>N638+Trades!U647</f>
        <v>1390.0798609355375</v>
      </c>
      <c r="O639" s="5">
        <f>O638+Trades!W647</f>
        <v>13567.914051343943</v>
      </c>
    </row>
    <row r="640" spans="12:15">
      <c r="L640" s="4">
        <f>Trades!P616</f>
        <v>0</v>
      </c>
      <c r="M640" s="5">
        <f>M639+Trades!T616</f>
        <v>10148.820000000005</v>
      </c>
      <c r="N640" s="5">
        <f>N639+Trades!U616</f>
        <v>1390.0798609355375</v>
      </c>
      <c r="O640" s="5">
        <f>O639+Trades!W616</f>
        <v>13567.914051343943</v>
      </c>
    </row>
    <row r="641" spans="12:15">
      <c r="L641" s="4">
        <f>Trades!P626</f>
        <v>0</v>
      </c>
      <c r="M641" s="5">
        <f>M640+Trades!T626</f>
        <v>10148.820000000005</v>
      </c>
      <c r="N641" s="5">
        <f>N640+Trades!U626</f>
        <v>1390.0798609355375</v>
      </c>
      <c r="O641" s="5">
        <f>O640+Trades!W626</f>
        <v>13567.914051343943</v>
      </c>
    </row>
    <row r="642" spans="12:15">
      <c r="L642" s="4">
        <f>Trades!P633</f>
        <v>0</v>
      </c>
      <c r="M642" s="5">
        <f>M641+Trades!T633</f>
        <v>10148.820000000005</v>
      </c>
      <c r="N642" s="5">
        <f>N641+Trades!U633</f>
        <v>1390.0798609355375</v>
      </c>
      <c r="O642" s="5">
        <f>O641+Trades!W633</f>
        <v>13567.914051343943</v>
      </c>
    </row>
    <row r="643" spans="12:15">
      <c r="L643" s="4">
        <f>Trades!P627</f>
        <v>0</v>
      </c>
      <c r="M643" s="5">
        <f>M642+Trades!T627</f>
        <v>10148.820000000005</v>
      </c>
      <c r="N643" s="5">
        <f>N642+Trades!U627</f>
        <v>1390.0798609355375</v>
      </c>
      <c r="O643" s="5">
        <f>O642+Trades!W627</f>
        <v>13567.914051343943</v>
      </c>
    </row>
    <row r="644" spans="12:15">
      <c r="L644" s="4">
        <f>Trades!P634</f>
        <v>0</v>
      </c>
      <c r="M644" s="5">
        <f>M643+Trades!T634</f>
        <v>10148.820000000005</v>
      </c>
      <c r="N644" s="5">
        <f>N643+Trades!U634</f>
        <v>1390.0798609355375</v>
      </c>
      <c r="O644" s="5">
        <f>O643+Trades!W634</f>
        <v>13567.914051343943</v>
      </c>
    </row>
    <row r="645" spans="12:15">
      <c r="L645" s="4">
        <f>Trades!P635</f>
        <v>0</v>
      </c>
      <c r="M645" s="5">
        <f>M644+Trades!T635</f>
        <v>10148.820000000005</v>
      </c>
      <c r="N645" s="5">
        <f>N644+Trades!U635</f>
        <v>1390.0798609355375</v>
      </c>
      <c r="O645" s="5">
        <f>O644+Trades!W635</f>
        <v>13567.914051343943</v>
      </c>
    </row>
    <row r="646" spans="12:15">
      <c r="L646" s="4">
        <f>Trades!P648</f>
        <v>0</v>
      </c>
      <c r="M646" s="5">
        <f>M645+Trades!T648</f>
        <v>10148.820000000005</v>
      </c>
      <c r="N646" s="5">
        <f>N645+Trades!U648</f>
        <v>1390.0798609355375</v>
      </c>
      <c r="O646" s="5">
        <f>O645+Trades!W648</f>
        <v>13567.914051343943</v>
      </c>
    </row>
    <row r="647" spans="12:15">
      <c r="L647" s="4">
        <f>Trades!P636</f>
        <v>0</v>
      </c>
      <c r="M647" s="5">
        <f>M646+Trades!T636</f>
        <v>10148.820000000005</v>
      </c>
      <c r="N647" s="5">
        <f>N646+Trades!U636</f>
        <v>1390.0798609355375</v>
      </c>
      <c r="O647" s="5">
        <f>O646+Trades!W636</f>
        <v>13567.914051343943</v>
      </c>
    </row>
    <row r="648" spans="12:15">
      <c r="L648" s="4">
        <f>Trades!P637</f>
        <v>0</v>
      </c>
      <c r="M648" s="5">
        <f>M647+Trades!T637</f>
        <v>10148.820000000005</v>
      </c>
      <c r="N648" s="5">
        <f>N647+Trades!U637</f>
        <v>1390.0798609355375</v>
      </c>
      <c r="O648" s="5">
        <f>O647+Trades!W637</f>
        <v>13567.914051343943</v>
      </c>
    </row>
    <row r="649" spans="12:15">
      <c r="L649" s="4">
        <f>Trades!P649</f>
        <v>0</v>
      </c>
      <c r="M649" s="5">
        <f>M648+Trades!T649</f>
        <v>10148.820000000005</v>
      </c>
      <c r="N649" s="5">
        <f>N648+Trades!U649</f>
        <v>1390.0798609355375</v>
      </c>
      <c r="O649" s="5">
        <f>O648+Trades!W649</f>
        <v>13567.914051343943</v>
      </c>
    </row>
    <row r="650" spans="12:15">
      <c r="L650" s="4">
        <f>Trades!P658</f>
        <v>0</v>
      </c>
      <c r="M650" s="5">
        <f>M649+Trades!T658</f>
        <v>10148.820000000005</v>
      </c>
      <c r="N650" s="5">
        <f>N649+Trades!U658</f>
        <v>1390.0798609355375</v>
      </c>
      <c r="O650" s="5">
        <f>O649+Trades!W658</f>
        <v>13567.914051343943</v>
      </c>
    </row>
    <row r="651" spans="12:15">
      <c r="L651" s="4">
        <f>Trades!P669</f>
        <v>0</v>
      </c>
      <c r="M651" s="5">
        <f>M650+Trades!T669</f>
        <v>10148.820000000005</v>
      </c>
      <c r="N651" s="5">
        <f>N650+Trades!U669</f>
        <v>1390.0798609355375</v>
      </c>
      <c r="O651" s="5">
        <f>O650+Trades!W669</f>
        <v>13567.914051343943</v>
      </c>
    </row>
    <row r="652" spans="12:15">
      <c r="L652" s="4">
        <f>Trades!P682</f>
        <v>0</v>
      </c>
      <c r="M652" s="5">
        <f>M651+Trades!T682</f>
        <v>10148.820000000005</v>
      </c>
      <c r="N652" s="5">
        <f>N651+Trades!U682</f>
        <v>1390.0798609355375</v>
      </c>
      <c r="O652" s="5">
        <f>O651+Trades!W682</f>
        <v>13567.914051343943</v>
      </c>
    </row>
    <row r="653" spans="12:15">
      <c r="L653" s="4">
        <f>Trades!P692</f>
        <v>0</v>
      </c>
      <c r="M653" s="5">
        <f>M652+Trades!T692</f>
        <v>10148.820000000005</v>
      </c>
      <c r="N653" s="5">
        <f>N652+Trades!U692</f>
        <v>1390.0798609355375</v>
      </c>
      <c r="O653" s="5">
        <f>O652+Trades!W692</f>
        <v>13567.914051343943</v>
      </c>
    </row>
    <row r="654" spans="12:15">
      <c r="L654" s="4">
        <f>Trades!P693</f>
        <v>0</v>
      </c>
      <c r="M654" s="5">
        <f>M653+Trades!T693</f>
        <v>10148.820000000005</v>
      </c>
      <c r="N654" s="5">
        <f>N653+Trades!U693</f>
        <v>1390.0798609355375</v>
      </c>
      <c r="O654" s="5">
        <f>O653+Trades!W693</f>
        <v>13567.914051343943</v>
      </c>
    </row>
    <row r="655" spans="12:15">
      <c r="L655" s="4">
        <f>Trades!P670</f>
        <v>0</v>
      </c>
      <c r="M655" s="5">
        <f>M654+Trades!T670</f>
        <v>10148.820000000005</v>
      </c>
      <c r="N655" s="5">
        <f>N654+Trades!U670</f>
        <v>1390.0798609355375</v>
      </c>
      <c r="O655" s="5">
        <f>O654+Trades!W670</f>
        <v>13567.914051343943</v>
      </c>
    </row>
    <row r="656" spans="12:15">
      <c r="L656" s="4">
        <f>Trades!P659</f>
        <v>0</v>
      </c>
      <c r="M656" s="5">
        <f>M655+Trades!T659</f>
        <v>10148.820000000005</v>
      </c>
      <c r="N656" s="5">
        <f>N655+Trades!U659</f>
        <v>1390.0798609355375</v>
      </c>
      <c r="O656" s="5">
        <f>O655+Trades!W659</f>
        <v>13567.914051343943</v>
      </c>
    </row>
    <row r="657" spans="12:15">
      <c r="L657" s="4">
        <f>Trades!P683</f>
        <v>0</v>
      </c>
      <c r="M657" s="5">
        <f>M656+Trades!T683</f>
        <v>10148.820000000005</v>
      </c>
      <c r="N657" s="5">
        <f>N656+Trades!U683</f>
        <v>1390.0798609355375</v>
      </c>
      <c r="O657" s="5">
        <f>O656+Trades!W683</f>
        <v>13567.914051343943</v>
      </c>
    </row>
    <row r="658" spans="12:15">
      <c r="L658" s="4">
        <f>Trades!P671</f>
        <v>0</v>
      </c>
      <c r="M658" s="5">
        <f>M657+Trades!T671</f>
        <v>10148.820000000005</v>
      </c>
      <c r="N658" s="5">
        <f>N657+Trades!U671</f>
        <v>1390.0798609355375</v>
      </c>
      <c r="O658" s="5">
        <f>O657+Trades!W671</f>
        <v>13567.914051343943</v>
      </c>
    </row>
    <row r="659" spans="12:15">
      <c r="L659" s="4">
        <f>Trades!P660</f>
        <v>0</v>
      </c>
      <c r="M659" s="5">
        <f>M658+Trades!T660</f>
        <v>10148.820000000005</v>
      </c>
      <c r="N659" s="5">
        <f>N658+Trades!U660</f>
        <v>1390.0798609355375</v>
      </c>
      <c r="O659" s="5">
        <f>O658+Trades!W660</f>
        <v>13567.914051343943</v>
      </c>
    </row>
    <row r="660" spans="12:15">
      <c r="L660" s="4">
        <f>Trades!P650</f>
        <v>0</v>
      </c>
      <c r="M660" s="5">
        <f>M659+Trades!T650</f>
        <v>10148.820000000005</v>
      </c>
      <c r="N660" s="5">
        <f>N659+Trades!U650</f>
        <v>1390.0798609355375</v>
      </c>
      <c r="O660" s="5">
        <f>O659+Trades!W650</f>
        <v>13567.914051343943</v>
      </c>
    </row>
    <row r="661" spans="12:15">
      <c r="L661" s="4">
        <f>Trades!P672</f>
        <v>0</v>
      </c>
      <c r="M661" s="5">
        <f>M660+Trades!T672</f>
        <v>10148.820000000005</v>
      </c>
      <c r="N661" s="5">
        <f>N660+Trades!U672</f>
        <v>1390.0798609355375</v>
      </c>
      <c r="O661" s="5">
        <f>O660+Trades!W672</f>
        <v>13567.914051343943</v>
      </c>
    </row>
    <row r="662" spans="12:15">
      <c r="L662" s="4">
        <f>Trades!P694</f>
        <v>0</v>
      </c>
      <c r="M662" s="5">
        <f>M661+Trades!T694</f>
        <v>10148.820000000005</v>
      </c>
      <c r="N662" s="5">
        <f>N661+Trades!U694</f>
        <v>1390.0798609355375</v>
      </c>
      <c r="O662" s="5">
        <f>O661+Trades!W694</f>
        <v>13567.914051343943</v>
      </c>
    </row>
    <row r="663" spans="12:15">
      <c r="L663" s="4">
        <f>Trades!P684</f>
        <v>0</v>
      </c>
      <c r="M663" s="5">
        <f>M662+Trades!T684</f>
        <v>10148.820000000005</v>
      </c>
      <c r="N663" s="5">
        <f>N662+Trades!U684</f>
        <v>1390.0798609355375</v>
      </c>
      <c r="O663" s="5">
        <f>O662+Trades!W684</f>
        <v>13567.914051343943</v>
      </c>
    </row>
    <row r="664" spans="12:15">
      <c r="L664" s="4">
        <f>Trades!P661</f>
        <v>0</v>
      </c>
      <c r="M664" s="5">
        <f>M663+Trades!T661</f>
        <v>10148.820000000005</v>
      </c>
      <c r="N664" s="5">
        <f>N663+Trades!U661</f>
        <v>1390.0798609355375</v>
      </c>
      <c r="O664" s="5">
        <f>O663+Trades!W661</f>
        <v>13567.914051343943</v>
      </c>
    </row>
    <row r="665" spans="12:15">
      <c r="L665" s="4">
        <f>Trades!P651</f>
        <v>0</v>
      </c>
      <c r="M665" s="5">
        <f>M664+Trades!T651</f>
        <v>10148.820000000005</v>
      </c>
      <c r="N665" s="5">
        <f>N664+Trades!U651</f>
        <v>1390.0798609355375</v>
      </c>
      <c r="O665" s="5">
        <f>O664+Trades!W651</f>
        <v>13567.914051343943</v>
      </c>
    </row>
    <row r="666" spans="12:15">
      <c r="L666" s="4">
        <f>Trades!P695</f>
        <v>0</v>
      </c>
      <c r="M666" s="5">
        <f>M665+Trades!T695</f>
        <v>10148.820000000005</v>
      </c>
      <c r="N666" s="5">
        <f>N665+Trades!U695</f>
        <v>1390.0798609355375</v>
      </c>
      <c r="O666" s="5">
        <f>O665+Trades!W695</f>
        <v>13567.914051343943</v>
      </c>
    </row>
    <row r="667" spans="12:15">
      <c r="L667" s="4">
        <f>Trades!P673</f>
        <v>0</v>
      </c>
      <c r="M667" s="5">
        <f>M666+Trades!T673</f>
        <v>10148.820000000005</v>
      </c>
      <c r="N667" s="5">
        <f>N666+Trades!U673</f>
        <v>1390.0798609355375</v>
      </c>
      <c r="O667" s="5">
        <f>O666+Trades!W673</f>
        <v>13567.914051343943</v>
      </c>
    </row>
    <row r="668" spans="12:15">
      <c r="L668" s="4">
        <f>Trades!P685</f>
        <v>0</v>
      </c>
      <c r="M668" s="5">
        <f>M667+Trades!T685</f>
        <v>10148.820000000005</v>
      </c>
      <c r="N668" s="5">
        <f>N667+Trades!U685</f>
        <v>1390.0798609355375</v>
      </c>
      <c r="O668" s="5">
        <f>O667+Trades!W685</f>
        <v>13567.914051343943</v>
      </c>
    </row>
    <row r="669" spans="12:15">
      <c r="L669" s="4">
        <f>Trades!P652</f>
        <v>0</v>
      </c>
      <c r="M669" s="5">
        <f>M668+Trades!T652</f>
        <v>10148.820000000005</v>
      </c>
      <c r="N669" s="5">
        <f>N668+Trades!U652</f>
        <v>1390.0798609355375</v>
      </c>
      <c r="O669" s="5">
        <f>O668+Trades!W652</f>
        <v>13567.914051343943</v>
      </c>
    </row>
    <row r="670" spans="12:15">
      <c r="L670" s="4">
        <f>Trades!P674</f>
        <v>0</v>
      </c>
      <c r="M670" s="5">
        <f>M669+Trades!T674</f>
        <v>10148.820000000005</v>
      </c>
      <c r="N670" s="5">
        <f>N669+Trades!U674</f>
        <v>1390.0798609355375</v>
      </c>
      <c r="O670" s="5">
        <f>O669+Trades!W674</f>
        <v>13567.914051343943</v>
      </c>
    </row>
    <row r="671" spans="12:15">
      <c r="L671" s="4">
        <f>Trades!P675</f>
        <v>0</v>
      </c>
      <c r="M671" s="5">
        <f>M670+Trades!T675</f>
        <v>10148.820000000005</v>
      </c>
      <c r="N671" s="5">
        <f>N670+Trades!U675</f>
        <v>1390.0798609355375</v>
      </c>
      <c r="O671" s="5">
        <f>O670+Trades!W675</f>
        <v>13567.914051343943</v>
      </c>
    </row>
    <row r="672" spans="12:15">
      <c r="L672" s="4">
        <f>Trades!P662</f>
        <v>0</v>
      </c>
      <c r="M672" s="5">
        <f>M671+Trades!T662</f>
        <v>10148.820000000005</v>
      </c>
      <c r="N672" s="5">
        <f>N671+Trades!U662</f>
        <v>1390.0798609355375</v>
      </c>
      <c r="O672" s="5">
        <f>O671+Trades!W662</f>
        <v>13567.914051343943</v>
      </c>
    </row>
    <row r="673" spans="12:15">
      <c r="L673" s="4">
        <f>Trades!P653</f>
        <v>0</v>
      </c>
      <c r="M673" s="5">
        <f>M672+Trades!T653</f>
        <v>10148.820000000005</v>
      </c>
      <c r="N673" s="5">
        <f>N672+Trades!U653</f>
        <v>1390.0798609355375</v>
      </c>
      <c r="O673" s="5">
        <f>O672+Trades!W653</f>
        <v>13567.914051343943</v>
      </c>
    </row>
    <row r="674" spans="12:15">
      <c r="L674" s="4">
        <f>Trades!P663</f>
        <v>0</v>
      </c>
      <c r="M674" s="5">
        <f>M673+Trades!T663</f>
        <v>10148.820000000005</v>
      </c>
      <c r="N674" s="5">
        <f>N673+Trades!U663</f>
        <v>1390.0798609355375</v>
      </c>
      <c r="O674" s="5">
        <f>O673+Trades!W663</f>
        <v>13567.914051343943</v>
      </c>
    </row>
    <row r="675" spans="12:15">
      <c r="L675" s="4">
        <f>Trades!P696</f>
        <v>0</v>
      </c>
      <c r="M675" s="5">
        <f>M674+Trades!T696</f>
        <v>10148.820000000005</v>
      </c>
      <c r="N675" s="5">
        <f>N674+Trades!U696</f>
        <v>1390.0798609355375</v>
      </c>
      <c r="O675" s="5">
        <f>O674+Trades!W696</f>
        <v>13567.914051343943</v>
      </c>
    </row>
    <row r="676" spans="12:15">
      <c r="L676" s="4">
        <f>Trades!P676</f>
        <v>0</v>
      </c>
      <c r="M676" s="5">
        <f>M675+Trades!T676</f>
        <v>10148.820000000005</v>
      </c>
      <c r="N676" s="5">
        <f>N675+Trades!U676</f>
        <v>1390.0798609355375</v>
      </c>
      <c r="O676" s="5">
        <f>O675+Trades!W676</f>
        <v>13567.914051343943</v>
      </c>
    </row>
    <row r="677" spans="12:15">
      <c r="L677" s="4">
        <f>Trades!P686</f>
        <v>0</v>
      </c>
      <c r="M677" s="5">
        <f>M676+Trades!T686</f>
        <v>10148.820000000005</v>
      </c>
      <c r="N677" s="5">
        <f>N676+Trades!U686</f>
        <v>1390.0798609355375</v>
      </c>
      <c r="O677" s="5">
        <f>O676+Trades!W686</f>
        <v>13567.914051343943</v>
      </c>
    </row>
    <row r="678" spans="12:15">
      <c r="L678" s="4">
        <f>Trades!P687</f>
        <v>0</v>
      </c>
      <c r="M678" s="5">
        <f>M677+Trades!T687</f>
        <v>10148.820000000005</v>
      </c>
      <c r="N678" s="5">
        <f>N677+Trades!U687</f>
        <v>1390.0798609355375</v>
      </c>
      <c r="O678" s="5">
        <f>O677+Trades!W687</f>
        <v>13567.914051343943</v>
      </c>
    </row>
    <row r="679" spans="12:15">
      <c r="L679" s="4">
        <f>Trades!P664</f>
        <v>0</v>
      </c>
      <c r="M679" s="5">
        <f>M678+Trades!T664</f>
        <v>10148.820000000005</v>
      </c>
      <c r="N679" s="5">
        <f>N678+Trades!U664</f>
        <v>1390.0798609355375</v>
      </c>
      <c r="O679" s="5">
        <f>O678+Trades!W664</f>
        <v>13567.914051343943</v>
      </c>
    </row>
    <row r="680" spans="12:15">
      <c r="L680" s="4">
        <f>Trades!P654</f>
        <v>0</v>
      </c>
      <c r="M680" s="5">
        <f>M679+Trades!T654</f>
        <v>10148.820000000005</v>
      </c>
      <c r="N680" s="5">
        <f>N679+Trades!U654</f>
        <v>1390.0798609355375</v>
      </c>
      <c r="O680" s="5">
        <f>O679+Trades!W654</f>
        <v>13567.914051343943</v>
      </c>
    </row>
    <row r="681" spans="12:15">
      <c r="L681" s="4">
        <f>Trades!P655</f>
        <v>0</v>
      </c>
      <c r="M681" s="5">
        <f>M680+Trades!T655</f>
        <v>10148.820000000005</v>
      </c>
      <c r="N681" s="5">
        <f>N680+Trades!U655</f>
        <v>1390.0798609355375</v>
      </c>
      <c r="O681" s="5">
        <f>O680+Trades!W655</f>
        <v>13567.914051343943</v>
      </c>
    </row>
    <row r="682" spans="12:15">
      <c r="L682" s="4">
        <f>Trades!P697</f>
        <v>0</v>
      </c>
      <c r="M682" s="5">
        <f>M681+Trades!T697</f>
        <v>10148.820000000005</v>
      </c>
      <c r="N682" s="5">
        <f>N681+Trades!U697</f>
        <v>1390.0798609355375</v>
      </c>
      <c r="O682" s="5">
        <f>O681+Trades!W697</f>
        <v>13567.914051343943</v>
      </c>
    </row>
    <row r="683" spans="12:15">
      <c r="L683" s="4">
        <f>Trades!P677</f>
        <v>0</v>
      </c>
      <c r="M683" s="5">
        <f>M682+Trades!T677</f>
        <v>10148.820000000005</v>
      </c>
      <c r="N683" s="5">
        <f>N682+Trades!U677</f>
        <v>1390.0798609355375</v>
      </c>
      <c r="O683" s="5">
        <f>O682+Trades!W677</f>
        <v>13567.914051343943</v>
      </c>
    </row>
    <row r="684" spans="12:15">
      <c r="L684" s="4">
        <f>Trades!P688</f>
        <v>0</v>
      </c>
      <c r="M684" s="5">
        <f>M683+Trades!T688</f>
        <v>10148.820000000005</v>
      </c>
      <c r="N684" s="5">
        <f>N683+Trades!U688</f>
        <v>1390.0798609355375</v>
      </c>
      <c r="O684" s="5">
        <f>O683+Trades!W688</f>
        <v>13567.914051343943</v>
      </c>
    </row>
    <row r="685" spans="12:15">
      <c r="L685" s="4">
        <f>Trades!P665</f>
        <v>0</v>
      </c>
      <c r="M685" s="5">
        <f>M684+Trades!T665</f>
        <v>10148.820000000005</v>
      </c>
      <c r="N685" s="5">
        <f>N684+Trades!U665</f>
        <v>1390.0798609355375</v>
      </c>
      <c r="O685" s="5">
        <f>O684+Trades!W665</f>
        <v>13567.914051343943</v>
      </c>
    </row>
    <row r="686" spans="12:15">
      <c r="L686" s="4">
        <f>Trades!P666</f>
        <v>0</v>
      </c>
      <c r="M686" s="5">
        <f>M685+Trades!T666</f>
        <v>10148.820000000005</v>
      </c>
      <c r="N686" s="5">
        <f>N685+Trades!U666</f>
        <v>1390.0798609355375</v>
      </c>
      <c r="O686" s="5">
        <f>O685+Trades!W666</f>
        <v>13567.914051343943</v>
      </c>
    </row>
    <row r="687" spans="12:15">
      <c r="L687" s="4">
        <f>Trades!P656</f>
        <v>0</v>
      </c>
      <c r="M687" s="5">
        <f>M686+Trades!T656</f>
        <v>10148.820000000005</v>
      </c>
      <c r="N687" s="5">
        <f>N686+Trades!U656</f>
        <v>1390.0798609355375</v>
      </c>
      <c r="O687" s="5">
        <f>O686+Trades!W656</f>
        <v>13567.914051343943</v>
      </c>
    </row>
    <row r="688" spans="12:15">
      <c r="L688" s="4">
        <f>Trades!P689</f>
        <v>0</v>
      </c>
      <c r="M688" s="5">
        <f>M687+Trades!T689</f>
        <v>10148.820000000005</v>
      </c>
      <c r="N688" s="5">
        <f>N687+Trades!U689</f>
        <v>1390.0798609355375</v>
      </c>
      <c r="O688" s="5">
        <f>O687+Trades!W689</f>
        <v>13567.914051343943</v>
      </c>
    </row>
    <row r="689" spans="12:15">
      <c r="L689" s="4">
        <f>Trades!P678</f>
        <v>0</v>
      </c>
      <c r="M689" s="5">
        <f>M688+Trades!T678</f>
        <v>10148.820000000005</v>
      </c>
      <c r="N689" s="5">
        <f>N688+Trades!U678</f>
        <v>1390.0798609355375</v>
      </c>
      <c r="O689" s="5">
        <f>O688+Trades!W678</f>
        <v>13567.914051343943</v>
      </c>
    </row>
    <row r="690" spans="12:15">
      <c r="L690" s="4">
        <f>Trades!P698</f>
        <v>0</v>
      </c>
      <c r="M690" s="5">
        <f>M689+Trades!T698</f>
        <v>10148.820000000005</v>
      </c>
      <c r="N690" s="5">
        <f>N689+Trades!U698</f>
        <v>1390.0798609355375</v>
      </c>
      <c r="O690" s="5">
        <f>O689+Trades!W698</f>
        <v>13567.914051343943</v>
      </c>
    </row>
    <row r="691" spans="12:15">
      <c r="L691" s="4">
        <f>Trades!P667</f>
        <v>0</v>
      </c>
      <c r="M691" s="5">
        <f>M690+Trades!T667</f>
        <v>10148.820000000005</v>
      </c>
      <c r="N691" s="5">
        <f>N690+Trades!U667</f>
        <v>1390.0798609355375</v>
      </c>
      <c r="O691" s="5">
        <f>O690+Trades!W667</f>
        <v>13567.914051343943</v>
      </c>
    </row>
    <row r="692" spans="12:15">
      <c r="L692" s="4">
        <f>Trades!P690</f>
        <v>0</v>
      </c>
      <c r="M692" s="5">
        <f>M691+Trades!T690</f>
        <v>10148.820000000005</v>
      </c>
      <c r="N692" s="5">
        <f>N691+Trades!U690</f>
        <v>1390.0798609355375</v>
      </c>
      <c r="O692" s="5">
        <f>O691+Trades!W690</f>
        <v>13567.914051343943</v>
      </c>
    </row>
    <row r="693" spans="12:15">
      <c r="L693" s="4">
        <f>Trades!P679</f>
        <v>0</v>
      </c>
      <c r="M693" s="5">
        <f>M692+Trades!T679</f>
        <v>10148.820000000005</v>
      </c>
      <c r="N693" s="5">
        <f>N692+Trades!U679</f>
        <v>1390.0798609355375</v>
      </c>
      <c r="O693" s="5">
        <f>O692+Trades!W679</f>
        <v>13567.914051343943</v>
      </c>
    </row>
    <row r="694" spans="12:15">
      <c r="L694" s="4">
        <f>Trades!P657</f>
        <v>0</v>
      </c>
      <c r="M694" s="5">
        <f>M693+Trades!T657</f>
        <v>10148.820000000005</v>
      </c>
      <c r="N694" s="5">
        <f>N693+Trades!U657</f>
        <v>1390.0798609355375</v>
      </c>
      <c r="O694" s="5">
        <f>O693+Trades!W657</f>
        <v>13567.914051343943</v>
      </c>
    </row>
    <row r="695" spans="12:15">
      <c r="L695" s="4">
        <f>Trades!P668</f>
        <v>0</v>
      </c>
      <c r="M695" s="5">
        <f>M694+Trades!T668</f>
        <v>10148.820000000005</v>
      </c>
      <c r="N695" s="5">
        <f>N694+Trades!U668</f>
        <v>1390.0798609355375</v>
      </c>
      <c r="O695" s="5">
        <f>O694+Trades!W668</f>
        <v>13567.914051343943</v>
      </c>
    </row>
    <row r="696" spans="12:15">
      <c r="L696" s="4">
        <f>Trades!P680</f>
        <v>0</v>
      </c>
      <c r="M696" s="5">
        <f>M695+Trades!T680</f>
        <v>10148.820000000005</v>
      </c>
      <c r="N696" s="5">
        <f>N695+Trades!U680</f>
        <v>1390.0798609355375</v>
      </c>
      <c r="O696" s="5">
        <f>O695+Trades!W680</f>
        <v>13567.914051343943</v>
      </c>
    </row>
    <row r="697" spans="12:15">
      <c r="L697" s="4">
        <f>Trades!P691</f>
        <v>0</v>
      </c>
      <c r="M697" s="5">
        <f>M696+Trades!T691</f>
        <v>10148.820000000005</v>
      </c>
      <c r="N697" s="5">
        <f>N696+Trades!U691</f>
        <v>1390.0798609355375</v>
      </c>
      <c r="O697" s="5">
        <f>O696+Trades!W691</f>
        <v>13567.914051343943</v>
      </c>
    </row>
    <row r="698" spans="12:15">
      <c r="L698" s="4">
        <f>Trades!P699</f>
        <v>0</v>
      </c>
      <c r="M698" s="5">
        <f>M697+Trades!T699</f>
        <v>10148.820000000005</v>
      </c>
      <c r="N698" s="5">
        <f>N697+Trades!U699</f>
        <v>1390.0798609355375</v>
      </c>
      <c r="O698" s="5">
        <f>O697+Trades!W699</f>
        <v>13567.914051343943</v>
      </c>
    </row>
    <row r="699" spans="12:15">
      <c r="L699" s="4">
        <f>Trades!P681</f>
        <v>0</v>
      </c>
      <c r="M699" s="5">
        <f>M698+Trades!T681</f>
        <v>10148.820000000005</v>
      </c>
      <c r="N699" s="5">
        <f>N698+Trades!U681</f>
        <v>1390.0798609355375</v>
      </c>
      <c r="O699" s="5">
        <f>O698+Trades!W681</f>
        <v>13567.914051343943</v>
      </c>
    </row>
    <row r="700" spans="12:15">
      <c r="L700" s="4">
        <f>Trades!P700</f>
        <v>0</v>
      </c>
      <c r="M700" s="5">
        <f>M699+Trades!T700</f>
        <v>10148.820000000005</v>
      </c>
      <c r="N700" s="5">
        <f>N699+Trades!U700</f>
        <v>1390.0798609355375</v>
      </c>
      <c r="O700" s="5">
        <f>O699+Trades!W700</f>
        <v>13567.914051343943</v>
      </c>
    </row>
    <row r="701" spans="12:15">
      <c r="L701" s="4">
        <f>Trades!P701</f>
        <v>0</v>
      </c>
      <c r="M701" s="5">
        <f>M700+Trades!T701</f>
        <v>10148.820000000005</v>
      </c>
      <c r="N701" s="5">
        <f>N700+Trades!U701</f>
        <v>1390.0798609355375</v>
      </c>
      <c r="O701" s="5">
        <f>O700+Trades!W701</f>
        <v>13567.914051343943</v>
      </c>
    </row>
    <row r="702" spans="12:15">
      <c r="L702" s="4">
        <f>Trades!P714</f>
        <v>0</v>
      </c>
      <c r="M702" s="5">
        <f>M701+Trades!T714</f>
        <v>10148.820000000005</v>
      </c>
      <c r="N702" s="5">
        <f>N701+Trades!U714</f>
        <v>1390.0798609355375</v>
      </c>
      <c r="O702" s="5">
        <f>O701+Trades!W714</f>
        <v>13567.914051343943</v>
      </c>
    </row>
    <row r="703" spans="12:15">
      <c r="L703" s="4">
        <f>Trades!P730</f>
        <v>0</v>
      </c>
      <c r="M703" s="5">
        <f>M702+Trades!T730</f>
        <v>10148.820000000005</v>
      </c>
      <c r="N703" s="5">
        <f>N702+Trades!U730</f>
        <v>1390.0798609355375</v>
      </c>
      <c r="O703" s="5">
        <f>O702+Trades!W730</f>
        <v>13567.914051343943</v>
      </c>
    </row>
    <row r="704" spans="12:15">
      <c r="L704" s="4">
        <f>Trades!P741</f>
        <v>0</v>
      </c>
      <c r="M704" s="5">
        <f>M703+Trades!T741</f>
        <v>10148.820000000005</v>
      </c>
      <c r="N704" s="5">
        <f>N703+Trades!U741</f>
        <v>1390.0798609355375</v>
      </c>
      <c r="O704" s="5">
        <f>O703+Trades!W741</f>
        <v>13567.914051343943</v>
      </c>
    </row>
    <row r="705" spans="12:15">
      <c r="L705" s="4">
        <f>Trades!P756</f>
        <v>0</v>
      </c>
      <c r="M705" s="5">
        <f>M704+Trades!T756</f>
        <v>10148.820000000005</v>
      </c>
      <c r="N705" s="5">
        <f>N704+Trades!U756</f>
        <v>1390.0798609355375</v>
      </c>
      <c r="O705" s="5">
        <f>O704+Trades!W756</f>
        <v>13567.914051343943</v>
      </c>
    </row>
    <row r="706" spans="12:15">
      <c r="L706" s="4">
        <f>Trades!P766</f>
        <v>0</v>
      </c>
      <c r="M706" s="5">
        <f>M705+Trades!T766</f>
        <v>10148.820000000005</v>
      </c>
      <c r="N706" s="5">
        <f>N705+Trades!U766</f>
        <v>1390.0798609355375</v>
      </c>
      <c r="O706" s="5">
        <f>O705+Trades!W766</f>
        <v>13567.914051343943</v>
      </c>
    </row>
    <row r="707" spans="12:15">
      <c r="L707" s="4">
        <f>Trades!P777</f>
        <v>0</v>
      </c>
      <c r="M707" s="5">
        <f>M706+Trades!T777</f>
        <v>10148.820000000005</v>
      </c>
      <c r="N707" s="5">
        <f>N706+Trades!U777</f>
        <v>1390.0798609355375</v>
      </c>
      <c r="O707" s="5">
        <f>O706+Trades!W777</f>
        <v>13567.914051343943</v>
      </c>
    </row>
    <row r="708" spans="12:15">
      <c r="L708" s="4">
        <f>Trades!P778</f>
        <v>0</v>
      </c>
      <c r="M708" s="5">
        <f>M707+Trades!T778</f>
        <v>10148.820000000005</v>
      </c>
      <c r="N708" s="5">
        <f>N707+Trades!U778</f>
        <v>1390.0798609355375</v>
      </c>
      <c r="O708" s="5">
        <f>O707+Trades!W778</f>
        <v>13567.914051343943</v>
      </c>
    </row>
    <row r="709" spans="12:15">
      <c r="L709" s="4">
        <f>Trades!P779</f>
        <v>0</v>
      </c>
      <c r="M709" s="5">
        <f>M708+Trades!T779</f>
        <v>10148.820000000005</v>
      </c>
      <c r="N709" s="5">
        <f>N708+Trades!U779</f>
        <v>1390.0798609355375</v>
      </c>
      <c r="O709" s="5">
        <f>O708+Trades!W779</f>
        <v>13567.914051343943</v>
      </c>
    </row>
    <row r="710" spans="12:15">
      <c r="L710" s="4">
        <f>Trades!P702</f>
        <v>0</v>
      </c>
      <c r="M710" s="5">
        <f>M709+Trades!T702</f>
        <v>10148.820000000005</v>
      </c>
      <c r="N710" s="5">
        <f>N709+Trades!U702</f>
        <v>1390.0798609355375</v>
      </c>
      <c r="O710" s="5">
        <f>O709+Trades!W702</f>
        <v>13567.914051343943</v>
      </c>
    </row>
    <row r="711" spans="12:15">
      <c r="L711" s="4">
        <f>Trades!P742</f>
        <v>0</v>
      </c>
      <c r="M711" s="5">
        <f>M710+Trades!T742</f>
        <v>10148.820000000005</v>
      </c>
      <c r="N711" s="5">
        <f>N710+Trades!U742</f>
        <v>1390.0798609355375</v>
      </c>
      <c r="O711" s="5">
        <f>O710+Trades!W742</f>
        <v>13567.914051343943</v>
      </c>
    </row>
    <row r="712" spans="12:15">
      <c r="L712" s="4">
        <f>Trades!P703</f>
        <v>0</v>
      </c>
      <c r="M712" s="5">
        <f>M711+Trades!T703</f>
        <v>10148.820000000005</v>
      </c>
      <c r="N712" s="5">
        <f>N711+Trades!U703</f>
        <v>1390.0798609355375</v>
      </c>
      <c r="O712" s="5">
        <f>O711+Trades!W703</f>
        <v>13567.914051343943</v>
      </c>
    </row>
    <row r="713" spans="12:15">
      <c r="L713" s="4">
        <f>Trades!P715</f>
        <v>0</v>
      </c>
      <c r="M713" s="5">
        <f>M712+Trades!T715</f>
        <v>10148.820000000005</v>
      </c>
      <c r="N713" s="5">
        <f>N712+Trades!U715</f>
        <v>1390.0798609355375</v>
      </c>
      <c r="O713" s="5">
        <f>O712+Trades!W715</f>
        <v>13567.914051343943</v>
      </c>
    </row>
    <row r="714" spans="12:15">
      <c r="L714" s="4">
        <f>Trades!P731</f>
        <v>0</v>
      </c>
      <c r="M714" s="5">
        <f>M713+Trades!T731</f>
        <v>10148.820000000005</v>
      </c>
      <c r="N714" s="5">
        <f>N713+Trades!U731</f>
        <v>1390.0798609355375</v>
      </c>
      <c r="O714" s="5">
        <f>O713+Trades!W731</f>
        <v>13567.914051343943</v>
      </c>
    </row>
    <row r="715" spans="12:15">
      <c r="L715" s="4">
        <f>Trades!P757</f>
        <v>0</v>
      </c>
      <c r="M715" s="5">
        <f>M714+Trades!T757</f>
        <v>10148.820000000005</v>
      </c>
      <c r="N715" s="5">
        <f>N714+Trades!U757</f>
        <v>1390.0798609355375</v>
      </c>
      <c r="O715" s="5">
        <f>O714+Trades!W757</f>
        <v>13567.914051343943</v>
      </c>
    </row>
    <row r="716" spans="12:15">
      <c r="L716" s="4">
        <f>Trades!P780</f>
        <v>0</v>
      </c>
      <c r="M716" s="5">
        <f>M715+Trades!T780</f>
        <v>10148.820000000005</v>
      </c>
      <c r="N716" s="5">
        <f>N715+Trades!U780</f>
        <v>1390.0798609355375</v>
      </c>
      <c r="O716" s="5">
        <f>O715+Trades!W780</f>
        <v>13567.914051343943</v>
      </c>
    </row>
    <row r="717" spans="12:15">
      <c r="L717" s="4">
        <f>Trades!P767</f>
        <v>0</v>
      </c>
      <c r="M717" s="5">
        <f>M716+Trades!T767</f>
        <v>10148.820000000005</v>
      </c>
      <c r="N717" s="5">
        <f>N716+Trades!U767</f>
        <v>1390.0798609355375</v>
      </c>
      <c r="O717" s="5">
        <f>O716+Trades!W767</f>
        <v>13567.914051343943</v>
      </c>
    </row>
    <row r="718" spans="12:15">
      <c r="L718" s="4">
        <f>Trades!P732</f>
        <v>0</v>
      </c>
      <c r="M718" s="5">
        <f>M717+Trades!T732</f>
        <v>10148.820000000005</v>
      </c>
      <c r="N718" s="5">
        <f>N717+Trades!U732</f>
        <v>1390.0798609355375</v>
      </c>
      <c r="O718" s="5">
        <f>O717+Trades!W732</f>
        <v>13567.914051343943</v>
      </c>
    </row>
    <row r="719" spans="12:15">
      <c r="L719" s="4">
        <f>Trades!P716</f>
        <v>0</v>
      </c>
      <c r="M719" s="5">
        <f>M718+Trades!T716</f>
        <v>10148.820000000005</v>
      </c>
      <c r="N719" s="5">
        <f>N718+Trades!U716</f>
        <v>1390.0798609355375</v>
      </c>
      <c r="O719" s="5">
        <f>O718+Trades!W716</f>
        <v>13567.914051343943</v>
      </c>
    </row>
    <row r="720" spans="12:15">
      <c r="L720" s="4">
        <f>Trades!P704</f>
        <v>0</v>
      </c>
      <c r="M720" s="5">
        <f>M719+Trades!T704</f>
        <v>10148.820000000005</v>
      </c>
      <c r="N720" s="5">
        <f>N719+Trades!U704</f>
        <v>1390.0798609355375</v>
      </c>
      <c r="O720" s="5">
        <f>O719+Trades!W704</f>
        <v>13567.914051343943</v>
      </c>
    </row>
    <row r="721" spans="12:15">
      <c r="L721" s="4">
        <f>Trades!P758</f>
        <v>0</v>
      </c>
      <c r="M721" s="5">
        <f>M720+Trades!T758</f>
        <v>10148.820000000005</v>
      </c>
      <c r="N721" s="5">
        <f>N720+Trades!U758</f>
        <v>1390.0798609355375</v>
      </c>
      <c r="O721" s="5">
        <f>O720+Trades!W758</f>
        <v>13567.914051343943</v>
      </c>
    </row>
    <row r="722" spans="12:15">
      <c r="L722" s="4">
        <f>Trades!P781</f>
        <v>0</v>
      </c>
      <c r="M722" s="5">
        <f>M721+Trades!T781</f>
        <v>10148.820000000005</v>
      </c>
      <c r="N722" s="5">
        <f>N721+Trades!U781</f>
        <v>1390.0798609355375</v>
      </c>
      <c r="O722" s="5">
        <f>O721+Trades!W781</f>
        <v>13567.914051343943</v>
      </c>
    </row>
    <row r="723" spans="12:15">
      <c r="L723" s="4">
        <f>Trades!P768</f>
        <v>0</v>
      </c>
      <c r="M723" s="5">
        <f>M722+Trades!T768</f>
        <v>10148.820000000005</v>
      </c>
      <c r="N723" s="5">
        <f>N722+Trades!U768</f>
        <v>1390.0798609355375</v>
      </c>
      <c r="O723" s="5">
        <f>O722+Trades!W768</f>
        <v>13567.914051343943</v>
      </c>
    </row>
    <row r="724" spans="12:15">
      <c r="L724" s="4">
        <f>Trades!P733</f>
        <v>0</v>
      </c>
      <c r="M724" s="5">
        <f>M723+Trades!T733</f>
        <v>10148.820000000005</v>
      </c>
      <c r="N724" s="5">
        <f>N723+Trades!U733</f>
        <v>1390.0798609355375</v>
      </c>
      <c r="O724" s="5">
        <f>O723+Trades!W733</f>
        <v>13567.914051343943</v>
      </c>
    </row>
    <row r="725" spans="12:15">
      <c r="L725" s="4">
        <f>Trades!P743</f>
        <v>0</v>
      </c>
      <c r="M725" s="5">
        <f>M724+Trades!T743</f>
        <v>10148.820000000005</v>
      </c>
      <c r="N725" s="5">
        <f>N724+Trades!U743</f>
        <v>1390.0798609355375</v>
      </c>
      <c r="O725" s="5">
        <f>O724+Trades!W743</f>
        <v>13567.914051343943</v>
      </c>
    </row>
    <row r="726" spans="12:15">
      <c r="L726" s="4">
        <f>Trades!P717</f>
        <v>0</v>
      </c>
      <c r="M726" s="5">
        <f>M725+Trades!T717</f>
        <v>10148.820000000005</v>
      </c>
      <c r="N726" s="5">
        <f>N725+Trades!U717</f>
        <v>1390.0798609355375</v>
      </c>
      <c r="O726" s="5">
        <f>O725+Trades!W717</f>
        <v>13567.914051343943</v>
      </c>
    </row>
    <row r="727" spans="12:15">
      <c r="L727" s="4">
        <f>Trades!P744</f>
        <v>0</v>
      </c>
      <c r="M727" s="5">
        <f>M726+Trades!T744</f>
        <v>10148.820000000005</v>
      </c>
      <c r="N727" s="5">
        <f>N726+Trades!U744</f>
        <v>1390.0798609355375</v>
      </c>
      <c r="O727" s="5">
        <f>O726+Trades!W744</f>
        <v>13567.914051343943</v>
      </c>
    </row>
    <row r="728" spans="12:15">
      <c r="L728" s="4">
        <f>Trades!P718</f>
        <v>0</v>
      </c>
      <c r="M728" s="5">
        <f>M727+Trades!T718</f>
        <v>10148.820000000005</v>
      </c>
      <c r="N728" s="5">
        <f>N727+Trades!U718</f>
        <v>1390.0798609355375</v>
      </c>
      <c r="O728" s="5">
        <f>O727+Trades!W718</f>
        <v>13567.914051343943</v>
      </c>
    </row>
    <row r="729" spans="12:15">
      <c r="L729" s="4">
        <f>Trades!P734</f>
        <v>0</v>
      </c>
      <c r="M729" s="5">
        <f>M728+Trades!T734</f>
        <v>10148.820000000005</v>
      </c>
      <c r="N729" s="5">
        <f>N728+Trades!U734</f>
        <v>1390.0798609355375</v>
      </c>
      <c r="O729" s="5">
        <f>O728+Trades!W734</f>
        <v>13567.914051343943</v>
      </c>
    </row>
    <row r="730" spans="12:15">
      <c r="L730" s="4">
        <f>Trades!P745</f>
        <v>0</v>
      </c>
      <c r="M730" s="5">
        <f>M729+Trades!T745</f>
        <v>10148.820000000005</v>
      </c>
      <c r="N730" s="5">
        <f>N729+Trades!U745</f>
        <v>1390.0798609355375</v>
      </c>
      <c r="O730" s="5">
        <f>O729+Trades!W745</f>
        <v>13567.914051343943</v>
      </c>
    </row>
    <row r="731" spans="12:15">
      <c r="L731" s="4">
        <f>Trades!P705</f>
        <v>0</v>
      </c>
      <c r="M731" s="5">
        <f>M730+Trades!T705</f>
        <v>10148.820000000005</v>
      </c>
      <c r="N731" s="5">
        <f>N730+Trades!U705</f>
        <v>1390.0798609355375</v>
      </c>
      <c r="O731" s="5">
        <f>O730+Trades!W705</f>
        <v>13567.914051343943</v>
      </c>
    </row>
    <row r="732" spans="12:15">
      <c r="L732" s="4">
        <f>Trades!P769</f>
        <v>0</v>
      </c>
      <c r="M732" s="5">
        <f>M731+Trades!T769</f>
        <v>10148.820000000005</v>
      </c>
      <c r="N732" s="5">
        <f>N731+Trades!U769</f>
        <v>1390.0798609355375</v>
      </c>
      <c r="O732" s="5">
        <f>O731+Trades!W769</f>
        <v>13567.914051343943</v>
      </c>
    </row>
    <row r="733" spans="12:15">
      <c r="L733" s="4">
        <f>Trades!P770</f>
        <v>0</v>
      </c>
      <c r="M733" s="5">
        <f>M732+Trades!T770</f>
        <v>10148.820000000005</v>
      </c>
      <c r="N733" s="5">
        <f>N732+Trades!U770</f>
        <v>1390.0798609355375</v>
      </c>
      <c r="O733" s="5">
        <f>O732+Trades!W770</f>
        <v>13567.914051343943</v>
      </c>
    </row>
    <row r="734" spans="12:15">
      <c r="L734" s="4">
        <f>Trades!P759</f>
        <v>0</v>
      </c>
      <c r="M734" s="5">
        <f>M733+Trades!T759</f>
        <v>10148.820000000005</v>
      </c>
      <c r="N734" s="5">
        <f>N733+Trades!U759</f>
        <v>1390.0798609355375</v>
      </c>
      <c r="O734" s="5">
        <f>O733+Trades!W759</f>
        <v>13567.914051343943</v>
      </c>
    </row>
    <row r="735" spans="12:15">
      <c r="L735" s="4">
        <f>Trades!P746</f>
        <v>0</v>
      </c>
      <c r="M735" s="5">
        <f>M734+Trades!T746</f>
        <v>10148.820000000005</v>
      </c>
      <c r="N735" s="5">
        <f>N734+Trades!U746</f>
        <v>1390.0798609355375</v>
      </c>
      <c r="O735" s="5">
        <f>O734+Trades!W746</f>
        <v>13567.914051343943</v>
      </c>
    </row>
    <row r="736" spans="12:15">
      <c r="L736" s="4">
        <f>Trades!P782</f>
        <v>0</v>
      </c>
      <c r="M736" s="5">
        <f>M735+Trades!T782</f>
        <v>10148.820000000005</v>
      </c>
      <c r="N736" s="5">
        <f>N735+Trades!U782</f>
        <v>1390.0798609355375</v>
      </c>
      <c r="O736" s="5">
        <f>O735+Trades!W782</f>
        <v>13567.914051343943</v>
      </c>
    </row>
    <row r="737" spans="12:15">
      <c r="L737" s="4">
        <f>Trades!P783</f>
        <v>0</v>
      </c>
      <c r="M737" s="5">
        <f>M736+Trades!T783</f>
        <v>10148.820000000005</v>
      </c>
      <c r="N737" s="5">
        <f>N736+Trades!U783</f>
        <v>1390.0798609355375</v>
      </c>
      <c r="O737" s="5">
        <f>O736+Trades!W783</f>
        <v>13567.914051343943</v>
      </c>
    </row>
    <row r="738" spans="12:15">
      <c r="L738" s="4">
        <f>Trades!P719</f>
        <v>0</v>
      </c>
      <c r="M738" s="5">
        <f>M737+Trades!T719</f>
        <v>10148.820000000005</v>
      </c>
      <c r="N738" s="5">
        <f>N737+Trades!U719</f>
        <v>1390.0798609355375</v>
      </c>
      <c r="O738" s="5">
        <f>O737+Trades!W719</f>
        <v>13567.914051343943</v>
      </c>
    </row>
    <row r="739" spans="12:15">
      <c r="L739" s="4">
        <f>Trades!P747</f>
        <v>0</v>
      </c>
      <c r="M739" s="5">
        <f>M738+Trades!T747</f>
        <v>10148.820000000005</v>
      </c>
      <c r="N739" s="5">
        <f>N738+Trades!U747</f>
        <v>1390.0798609355375</v>
      </c>
      <c r="O739" s="5">
        <f>O738+Trades!W747</f>
        <v>13567.914051343943</v>
      </c>
    </row>
    <row r="740" spans="12:15">
      <c r="L740" s="4">
        <f>Trades!P735</f>
        <v>0</v>
      </c>
      <c r="M740" s="5">
        <f>M739+Trades!T735</f>
        <v>10148.820000000005</v>
      </c>
      <c r="N740" s="5">
        <f>N739+Trades!U735</f>
        <v>1390.0798609355375</v>
      </c>
      <c r="O740" s="5">
        <f>O739+Trades!W735</f>
        <v>13567.914051343943</v>
      </c>
    </row>
    <row r="741" spans="12:15">
      <c r="L741" s="4">
        <f>Trades!P771</f>
        <v>0</v>
      </c>
      <c r="M741" s="5">
        <f>M740+Trades!T771</f>
        <v>10148.820000000005</v>
      </c>
      <c r="N741" s="5">
        <f>N740+Trades!U771</f>
        <v>1390.0798609355375</v>
      </c>
      <c r="O741" s="5">
        <f>O740+Trades!W771</f>
        <v>13567.914051343943</v>
      </c>
    </row>
    <row r="742" spans="12:15">
      <c r="L742" s="4">
        <f>Trades!P720</f>
        <v>0</v>
      </c>
      <c r="M742" s="5">
        <f>M741+Trades!T720</f>
        <v>10148.820000000005</v>
      </c>
      <c r="N742" s="5">
        <f>N741+Trades!U720</f>
        <v>1390.0798609355375</v>
      </c>
      <c r="O742" s="5">
        <f>O741+Trades!W720</f>
        <v>13567.914051343943</v>
      </c>
    </row>
    <row r="743" spans="12:15">
      <c r="L743" s="4">
        <f>Trades!P760</f>
        <v>0</v>
      </c>
      <c r="M743" s="5">
        <f>M742+Trades!T760</f>
        <v>10148.820000000005</v>
      </c>
      <c r="N743" s="5">
        <f>N742+Trades!U760</f>
        <v>1390.0798609355375</v>
      </c>
      <c r="O743" s="5">
        <f>O742+Trades!W760</f>
        <v>13567.914051343943</v>
      </c>
    </row>
    <row r="744" spans="12:15">
      <c r="L744" s="4">
        <f>Trades!P784</f>
        <v>0</v>
      </c>
      <c r="M744" s="5">
        <f>M743+Trades!T784</f>
        <v>10148.820000000005</v>
      </c>
      <c r="N744" s="5">
        <f>N743+Trades!U784</f>
        <v>1390.0798609355375</v>
      </c>
      <c r="O744" s="5">
        <f>O743+Trades!W784</f>
        <v>13567.914051343943</v>
      </c>
    </row>
    <row r="745" spans="12:15">
      <c r="L745" s="4">
        <f>Trades!P748</f>
        <v>0</v>
      </c>
      <c r="M745" s="5">
        <f>M744+Trades!T748</f>
        <v>10148.820000000005</v>
      </c>
      <c r="N745" s="5">
        <f>N744+Trades!U748</f>
        <v>1390.0798609355375</v>
      </c>
      <c r="O745" s="5">
        <f>O744+Trades!W748</f>
        <v>13567.914051343943</v>
      </c>
    </row>
    <row r="746" spans="12:15">
      <c r="L746" s="4">
        <f>Trades!P785</f>
        <v>0</v>
      </c>
      <c r="M746" s="5">
        <f>M745+Trades!T785</f>
        <v>10148.820000000005</v>
      </c>
      <c r="N746" s="5">
        <f>N745+Trades!U785</f>
        <v>1390.0798609355375</v>
      </c>
      <c r="O746" s="5">
        <f>O745+Trades!W785</f>
        <v>13567.914051343943</v>
      </c>
    </row>
    <row r="747" spans="12:15">
      <c r="L747" s="4">
        <f>Trades!P749</f>
        <v>0</v>
      </c>
      <c r="M747" s="5">
        <f>M746+Trades!T749</f>
        <v>10148.820000000005</v>
      </c>
      <c r="N747" s="5">
        <f>N746+Trades!U749</f>
        <v>1390.0798609355375</v>
      </c>
      <c r="O747" s="5">
        <f>O746+Trades!W749</f>
        <v>13567.914051343943</v>
      </c>
    </row>
    <row r="748" spans="12:15">
      <c r="L748" s="4">
        <f>Trades!P750</f>
        <v>0</v>
      </c>
      <c r="M748" s="5">
        <f>M747+Trades!T750</f>
        <v>10148.820000000005</v>
      </c>
      <c r="N748" s="5">
        <f>N747+Trades!U750</f>
        <v>1390.0798609355375</v>
      </c>
      <c r="O748" s="5">
        <f>O747+Trades!W750</f>
        <v>13567.914051343943</v>
      </c>
    </row>
    <row r="749" spans="12:15">
      <c r="L749" s="4">
        <f>Trades!P761</f>
        <v>0</v>
      </c>
      <c r="M749" s="5">
        <f>M748+Trades!T761</f>
        <v>10148.820000000005</v>
      </c>
      <c r="N749" s="5">
        <f>N748+Trades!U761</f>
        <v>1390.0798609355375</v>
      </c>
      <c r="O749" s="5">
        <f>O748+Trades!W761</f>
        <v>13567.914051343943</v>
      </c>
    </row>
    <row r="750" spans="12:15">
      <c r="L750" s="4">
        <f>Trades!P751</f>
        <v>0</v>
      </c>
      <c r="M750" s="5">
        <f>M749+Trades!T751</f>
        <v>10148.820000000005</v>
      </c>
      <c r="N750" s="5">
        <f>N749+Trades!U751</f>
        <v>1390.0798609355375</v>
      </c>
      <c r="O750" s="5">
        <f>O749+Trades!W751</f>
        <v>13567.914051343943</v>
      </c>
    </row>
    <row r="751" spans="12:15">
      <c r="L751" s="4">
        <f>Trades!P721</f>
        <v>0</v>
      </c>
      <c r="M751" s="5">
        <f>M750+Trades!T721</f>
        <v>10148.820000000005</v>
      </c>
      <c r="N751" s="5">
        <f>N750+Trades!U721</f>
        <v>1390.0798609355375</v>
      </c>
      <c r="O751" s="5">
        <f>O750+Trades!W721</f>
        <v>13567.914051343943</v>
      </c>
    </row>
    <row r="752" spans="12:15">
      <c r="L752" s="4">
        <f>Trades!P786</f>
        <v>0</v>
      </c>
      <c r="M752" s="5">
        <f>M751+Trades!T786</f>
        <v>10148.820000000005</v>
      </c>
      <c r="N752" s="5">
        <f>N751+Trades!U786</f>
        <v>1390.0798609355375</v>
      </c>
      <c r="O752" s="5">
        <f>O751+Trades!W786</f>
        <v>13567.914051343943</v>
      </c>
    </row>
    <row r="753" spans="12:15">
      <c r="L753" s="4">
        <f>Trades!P706</f>
        <v>0</v>
      </c>
      <c r="M753" s="5">
        <f>M752+Trades!T706</f>
        <v>10148.820000000005</v>
      </c>
      <c r="N753" s="5">
        <f>N752+Trades!U706</f>
        <v>1390.0798609355375</v>
      </c>
      <c r="O753" s="5">
        <f>O752+Trades!W706</f>
        <v>13567.914051343943</v>
      </c>
    </row>
    <row r="754" spans="12:15">
      <c r="L754" s="4">
        <f>Trades!P772</f>
        <v>0</v>
      </c>
      <c r="M754" s="5">
        <f>M753+Trades!T772</f>
        <v>10148.820000000005</v>
      </c>
      <c r="N754" s="5">
        <f>N753+Trades!U772</f>
        <v>1390.0798609355375</v>
      </c>
      <c r="O754" s="5">
        <f>O753+Trades!W772</f>
        <v>13567.914051343943</v>
      </c>
    </row>
    <row r="755" spans="12:15">
      <c r="L755" s="4">
        <f>Trades!P722</f>
        <v>0</v>
      </c>
      <c r="M755" s="5">
        <f>M754+Trades!T722</f>
        <v>10148.820000000005</v>
      </c>
      <c r="N755" s="5">
        <f>N754+Trades!U722</f>
        <v>1390.0798609355375</v>
      </c>
      <c r="O755" s="5">
        <f>O754+Trades!W722</f>
        <v>13567.914051343943</v>
      </c>
    </row>
    <row r="756" spans="12:15">
      <c r="L756" s="4">
        <f>Trades!P773</f>
        <v>0</v>
      </c>
      <c r="M756" s="5">
        <f>M755+Trades!T773</f>
        <v>10148.820000000005</v>
      </c>
      <c r="N756" s="5">
        <f>N755+Trades!U773</f>
        <v>1390.0798609355375</v>
      </c>
      <c r="O756" s="5">
        <f>O755+Trades!W773</f>
        <v>13567.914051343943</v>
      </c>
    </row>
    <row r="757" spans="12:15">
      <c r="L757" s="4">
        <f>Trades!P707</f>
        <v>0</v>
      </c>
      <c r="M757" s="5">
        <f>M756+Trades!T707</f>
        <v>10148.820000000005</v>
      </c>
      <c r="N757" s="5">
        <f>N756+Trades!U707</f>
        <v>1390.0798609355375</v>
      </c>
      <c r="O757" s="5">
        <f>O756+Trades!W707</f>
        <v>13567.914051343943</v>
      </c>
    </row>
    <row r="758" spans="12:15">
      <c r="L758" s="4">
        <f>Trades!P752</f>
        <v>0</v>
      </c>
      <c r="M758" s="5">
        <f>M757+Trades!T752</f>
        <v>10148.820000000005</v>
      </c>
      <c r="N758" s="5">
        <f>N757+Trades!U752</f>
        <v>1390.0798609355375</v>
      </c>
      <c r="O758" s="5">
        <f>O757+Trades!W752</f>
        <v>13567.914051343943</v>
      </c>
    </row>
    <row r="759" spans="12:15">
      <c r="L759" s="4">
        <f>Trades!P787</f>
        <v>0</v>
      </c>
      <c r="M759" s="5">
        <f>M758+Trades!T787</f>
        <v>10148.820000000005</v>
      </c>
      <c r="N759" s="5">
        <f>N758+Trades!U787</f>
        <v>1390.0798609355375</v>
      </c>
      <c r="O759" s="5">
        <f>O758+Trades!W787</f>
        <v>13567.914051343943</v>
      </c>
    </row>
    <row r="760" spans="12:15">
      <c r="L760" s="4">
        <f>Trades!P708</f>
        <v>0</v>
      </c>
      <c r="M760" s="5">
        <f>M759+Trades!T708</f>
        <v>10148.820000000005</v>
      </c>
      <c r="N760" s="5">
        <f>N759+Trades!U708</f>
        <v>1390.0798609355375</v>
      </c>
      <c r="O760" s="5">
        <f>O759+Trades!W708</f>
        <v>13567.914051343943</v>
      </c>
    </row>
    <row r="761" spans="12:15">
      <c r="L761" s="4">
        <f>Trades!P723</f>
        <v>0</v>
      </c>
      <c r="M761" s="5">
        <f>M760+Trades!T723</f>
        <v>10148.820000000005</v>
      </c>
      <c r="N761" s="5">
        <f>N760+Trades!U723</f>
        <v>1390.0798609355375</v>
      </c>
      <c r="O761" s="5">
        <f>O760+Trades!W723</f>
        <v>13567.914051343943</v>
      </c>
    </row>
    <row r="762" spans="12:15">
      <c r="L762" s="4">
        <f>Trades!P788</f>
        <v>0</v>
      </c>
      <c r="M762" s="5">
        <f>M761+Trades!T788</f>
        <v>10148.820000000005</v>
      </c>
      <c r="N762" s="5">
        <f>N761+Trades!U788</f>
        <v>1390.0798609355375</v>
      </c>
      <c r="O762" s="5">
        <f>O761+Trades!W788</f>
        <v>13567.914051343943</v>
      </c>
    </row>
    <row r="763" spans="12:15">
      <c r="L763" s="4">
        <f>Trades!P736</f>
        <v>0</v>
      </c>
      <c r="M763" s="5">
        <f>M762+Trades!T736</f>
        <v>10148.820000000005</v>
      </c>
      <c r="N763" s="5">
        <f>N762+Trades!U736</f>
        <v>1390.0798609355375</v>
      </c>
      <c r="O763" s="5">
        <f>O762+Trades!W736</f>
        <v>13567.914051343943</v>
      </c>
    </row>
    <row r="764" spans="12:15">
      <c r="L764" s="4">
        <f>Trades!P724</f>
        <v>0</v>
      </c>
      <c r="M764" s="5">
        <f>M763+Trades!T724</f>
        <v>10148.820000000005</v>
      </c>
      <c r="N764" s="5">
        <f>N763+Trades!U724</f>
        <v>1390.0798609355375</v>
      </c>
      <c r="O764" s="5">
        <f>O763+Trades!W724</f>
        <v>13567.914051343943</v>
      </c>
    </row>
    <row r="765" spans="12:15">
      <c r="L765" s="4">
        <f>Trades!P789</f>
        <v>0</v>
      </c>
      <c r="M765" s="5">
        <f>M764+Trades!T789</f>
        <v>10148.820000000005</v>
      </c>
      <c r="N765" s="5">
        <f>N764+Trades!U789</f>
        <v>1390.0798609355375</v>
      </c>
      <c r="O765" s="5">
        <f>O764+Trades!W789</f>
        <v>13567.914051343943</v>
      </c>
    </row>
    <row r="766" spans="12:15">
      <c r="L766" s="4">
        <f>Trades!P762</f>
        <v>0</v>
      </c>
      <c r="M766" s="5">
        <f>M765+Trades!T762</f>
        <v>10148.820000000005</v>
      </c>
      <c r="N766" s="5">
        <f>N765+Trades!U762</f>
        <v>1390.0798609355375</v>
      </c>
      <c r="O766" s="5">
        <f>O765+Trades!W762</f>
        <v>13567.914051343943</v>
      </c>
    </row>
    <row r="767" spans="12:15">
      <c r="L767" s="4">
        <f>Trades!P737</f>
        <v>0</v>
      </c>
      <c r="M767" s="5">
        <f>M766+Trades!T737</f>
        <v>10148.820000000005</v>
      </c>
      <c r="N767" s="5">
        <f>N766+Trades!U737</f>
        <v>1390.0798609355375</v>
      </c>
      <c r="O767" s="5">
        <f>O766+Trades!W737</f>
        <v>13567.914051343943</v>
      </c>
    </row>
    <row r="768" spans="12:15">
      <c r="L768" s="4">
        <f>Trades!P763</f>
        <v>0</v>
      </c>
      <c r="M768" s="5">
        <f>M767+Trades!T763</f>
        <v>10148.820000000005</v>
      </c>
      <c r="N768" s="5">
        <f>N767+Trades!U763</f>
        <v>1390.0798609355375</v>
      </c>
      <c r="O768" s="5">
        <f>O767+Trades!W763</f>
        <v>13567.914051343943</v>
      </c>
    </row>
    <row r="769" spans="12:15">
      <c r="L769" s="4">
        <f>Trades!P709</f>
        <v>0</v>
      </c>
      <c r="M769" s="5">
        <f>M768+Trades!T709</f>
        <v>10148.820000000005</v>
      </c>
      <c r="N769" s="5">
        <f>N768+Trades!U709</f>
        <v>1390.0798609355375</v>
      </c>
      <c r="O769" s="5">
        <f>O768+Trades!W709</f>
        <v>13567.914051343943</v>
      </c>
    </row>
    <row r="770" spans="12:15">
      <c r="L770" s="4">
        <f>Trades!P790</f>
        <v>0</v>
      </c>
      <c r="M770" s="5">
        <f>M769+Trades!T790</f>
        <v>10148.820000000005</v>
      </c>
      <c r="N770" s="5">
        <f>N769+Trades!U790</f>
        <v>1390.0798609355375</v>
      </c>
      <c r="O770" s="5">
        <f>O769+Trades!W790</f>
        <v>13567.914051343943</v>
      </c>
    </row>
    <row r="771" spans="12:15">
      <c r="L771" s="4">
        <f>Trades!P725</f>
        <v>0</v>
      </c>
      <c r="M771" s="5">
        <f>M770+Trades!T725</f>
        <v>10148.820000000005</v>
      </c>
      <c r="N771" s="5">
        <f>N770+Trades!U725</f>
        <v>1390.0798609355375</v>
      </c>
      <c r="O771" s="5">
        <f>O770+Trades!W725</f>
        <v>13567.914051343943</v>
      </c>
    </row>
    <row r="772" spans="12:15">
      <c r="L772" s="4">
        <f>Trades!P764</f>
        <v>0</v>
      </c>
      <c r="M772" s="5">
        <f>M771+Trades!T764</f>
        <v>10148.820000000005</v>
      </c>
      <c r="N772" s="5">
        <f>N771+Trades!U764</f>
        <v>1390.0798609355375</v>
      </c>
      <c r="O772" s="5">
        <f>O771+Trades!W764</f>
        <v>13567.914051343943</v>
      </c>
    </row>
    <row r="773" spans="12:15">
      <c r="L773" s="4">
        <f>Trades!P738</f>
        <v>0</v>
      </c>
      <c r="M773" s="5">
        <f>M772+Trades!T738</f>
        <v>10148.820000000005</v>
      </c>
      <c r="N773" s="5">
        <f>N772+Trades!U738</f>
        <v>1390.0798609355375</v>
      </c>
      <c r="O773" s="5">
        <f>O772+Trades!W738</f>
        <v>13567.914051343943</v>
      </c>
    </row>
    <row r="774" spans="12:15">
      <c r="L774" s="4">
        <f>Trades!P753</f>
        <v>0</v>
      </c>
      <c r="M774" s="5">
        <f>M773+Trades!T753</f>
        <v>10148.820000000005</v>
      </c>
      <c r="N774" s="5">
        <f>N773+Trades!U753</f>
        <v>1390.0798609355375</v>
      </c>
      <c r="O774" s="5">
        <f>O773+Trades!W753</f>
        <v>13567.914051343943</v>
      </c>
    </row>
    <row r="775" spans="12:15">
      <c r="L775" s="4">
        <f>Trades!P710</f>
        <v>0</v>
      </c>
      <c r="M775" s="5">
        <f>M774+Trades!T710</f>
        <v>10148.820000000005</v>
      </c>
      <c r="N775" s="5">
        <f>N774+Trades!U710</f>
        <v>1390.0798609355375</v>
      </c>
      <c r="O775" s="5">
        <f>O774+Trades!W710</f>
        <v>13567.914051343943</v>
      </c>
    </row>
    <row r="776" spans="12:15">
      <c r="L776" s="4">
        <f>Trades!P726</f>
        <v>0</v>
      </c>
      <c r="M776" s="5">
        <f>M775+Trades!T726</f>
        <v>10148.820000000005</v>
      </c>
      <c r="N776" s="5">
        <f>N775+Trades!U726</f>
        <v>1390.0798609355375</v>
      </c>
      <c r="O776" s="5">
        <f>O775+Trades!W726</f>
        <v>13567.914051343943</v>
      </c>
    </row>
    <row r="777" spans="12:15">
      <c r="L777" s="4">
        <f>Trades!P711</f>
        <v>0</v>
      </c>
      <c r="M777" s="5">
        <f>M776+Trades!T711</f>
        <v>10148.820000000005</v>
      </c>
      <c r="N777" s="5">
        <f>N776+Trades!U711</f>
        <v>1390.0798609355375</v>
      </c>
      <c r="O777" s="5">
        <f>O776+Trades!W711</f>
        <v>13567.914051343943</v>
      </c>
    </row>
    <row r="778" spans="12:15">
      <c r="L778" s="4">
        <f>Trades!P774</f>
        <v>0</v>
      </c>
      <c r="M778" s="5">
        <f>M777+Trades!T774</f>
        <v>10148.820000000005</v>
      </c>
      <c r="N778" s="5">
        <f>N777+Trades!U774</f>
        <v>1390.0798609355375</v>
      </c>
      <c r="O778" s="5">
        <f>O777+Trades!W774</f>
        <v>13567.914051343943</v>
      </c>
    </row>
    <row r="779" spans="12:15">
      <c r="L779" s="4">
        <f>Trades!P791</f>
        <v>0</v>
      </c>
      <c r="M779" s="5">
        <f>M778+Trades!T791</f>
        <v>10148.820000000005</v>
      </c>
      <c r="N779" s="5">
        <f>N778+Trades!U791</f>
        <v>1390.0798609355375</v>
      </c>
      <c r="O779" s="5">
        <f>O778+Trades!W791</f>
        <v>13567.914051343943</v>
      </c>
    </row>
    <row r="780" spans="12:15">
      <c r="L780" s="4">
        <f>Trades!P739</f>
        <v>0</v>
      </c>
      <c r="M780" s="5">
        <f>M779+Trades!T739</f>
        <v>10148.820000000005</v>
      </c>
      <c r="N780" s="5">
        <f>N779+Trades!U739</f>
        <v>1390.0798609355375</v>
      </c>
      <c r="O780" s="5">
        <f>O779+Trades!W739</f>
        <v>13567.914051343943</v>
      </c>
    </row>
    <row r="781" spans="12:15">
      <c r="L781" s="4">
        <f>Trades!P792</f>
        <v>0</v>
      </c>
      <c r="M781" s="5">
        <f>M780+Trades!T792</f>
        <v>10148.820000000005</v>
      </c>
      <c r="N781" s="5">
        <f>N780+Trades!U792</f>
        <v>1390.0798609355375</v>
      </c>
      <c r="O781" s="5">
        <f>O780+Trades!W792</f>
        <v>13567.914051343943</v>
      </c>
    </row>
    <row r="782" spans="12:15">
      <c r="L782" s="4">
        <f>Trades!P727</f>
        <v>0</v>
      </c>
      <c r="M782" s="5">
        <f>M781+Trades!T727</f>
        <v>10148.820000000005</v>
      </c>
      <c r="N782" s="5">
        <f>N781+Trades!U727</f>
        <v>1390.0798609355375</v>
      </c>
      <c r="O782" s="5">
        <f>O781+Trades!W727</f>
        <v>13567.914051343943</v>
      </c>
    </row>
    <row r="783" spans="12:15">
      <c r="L783" s="4">
        <f>Trades!P754</f>
        <v>0</v>
      </c>
      <c r="M783" s="5">
        <f>M782+Trades!T754</f>
        <v>10148.820000000005</v>
      </c>
      <c r="N783" s="5">
        <f>N782+Trades!U754</f>
        <v>1390.0798609355375</v>
      </c>
      <c r="O783" s="5">
        <f>O782+Trades!W754</f>
        <v>13567.914051343943</v>
      </c>
    </row>
    <row r="784" spans="12:15">
      <c r="L784" s="4">
        <f>Trades!P712</f>
        <v>0</v>
      </c>
      <c r="M784" s="5">
        <f>M783+Trades!T712</f>
        <v>10148.820000000005</v>
      </c>
      <c r="N784" s="5">
        <f>N783+Trades!U712</f>
        <v>1390.0798609355375</v>
      </c>
      <c r="O784" s="5">
        <f>O783+Trades!W712</f>
        <v>13567.914051343943</v>
      </c>
    </row>
    <row r="785" spans="12:15">
      <c r="L785" s="4">
        <f>Trades!P775</f>
        <v>0</v>
      </c>
      <c r="M785" s="5">
        <f>M784+Trades!T775</f>
        <v>10148.820000000005</v>
      </c>
      <c r="N785" s="5">
        <f>N784+Trades!U775</f>
        <v>1390.0798609355375</v>
      </c>
      <c r="O785" s="5">
        <f>O784+Trades!W775</f>
        <v>13567.914051343943</v>
      </c>
    </row>
    <row r="786" spans="12:15">
      <c r="L786" s="4">
        <f>Trades!P728</f>
        <v>0</v>
      </c>
      <c r="M786" s="5">
        <f>M785+Trades!T728</f>
        <v>10148.820000000005</v>
      </c>
      <c r="N786" s="5">
        <f>N785+Trades!U728</f>
        <v>1390.0798609355375</v>
      </c>
      <c r="O786" s="5">
        <f>O785+Trades!W728</f>
        <v>13567.914051343943</v>
      </c>
    </row>
    <row r="787" spans="12:15">
      <c r="L787" s="4">
        <f>Trades!P776</f>
        <v>0</v>
      </c>
      <c r="M787" s="5">
        <f>M786+Trades!T776</f>
        <v>10148.820000000005</v>
      </c>
      <c r="N787" s="5">
        <f>N786+Trades!U776</f>
        <v>1390.0798609355375</v>
      </c>
      <c r="O787" s="5">
        <f>O786+Trades!W776</f>
        <v>13567.914051343943</v>
      </c>
    </row>
    <row r="788" spans="12:15">
      <c r="L788" s="4">
        <f>Trades!P793</f>
        <v>0</v>
      </c>
      <c r="M788" s="5">
        <f>M787+Trades!T793</f>
        <v>10148.820000000005</v>
      </c>
      <c r="N788" s="5">
        <f>N787+Trades!U793</f>
        <v>1390.0798609355375</v>
      </c>
      <c r="O788" s="5">
        <f>O787+Trades!W793</f>
        <v>13567.914051343943</v>
      </c>
    </row>
    <row r="789" spans="12:15">
      <c r="L789" s="4">
        <f>Trades!P755</f>
        <v>0</v>
      </c>
      <c r="M789" s="5">
        <f>M788+Trades!T755</f>
        <v>10148.820000000005</v>
      </c>
      <c r="N789" s="5">
        <f>N788+Trades!U755</f>
        <v>1390.0798609355375</v>
      </c>
      <c r="O789" s="5">
        <f>O788+Trades!W755</f>
        <v>13567.914051343943</v>
      </c>
    </row>
    <row r="790" spans="12:15">
      <c r="L790" s="4">
        <f>Trades!P729</f>
        <v>0</v>
      </c>
      <c r="M790" s="5">
        <f>M789+Trades!T729</f>
        <v>10148.820000000005</v>
      </c>
      <c r="N790" s="5">
        <f>N789+Trades!U729</f>
        <v>1390.0798609355375</v>
      </c>
      <c r="O790" s="5">
        <f>O789+Trades!W729</f>
        <v>13567.914051343943</v>
      </c>
    </row>
    <row r="791" spans="12:15">
      <c r="L791" s="4">
        <f>Trades!P765</f>
        <v>0</v>
      </c>
      <c r="M791" s="5">
        <f>M790+Trades!T765</f>
        <v>10148.820000000005</v>
      </c>
      <c r="N791" s="5">
        <f>N790+Trades!U765</f>
        <v>1390.0798609355375</v>
      </c>
      <c r="O791" s="5">
        <f>O790+Trades!W765</f>
        <v>13567.914051343943</v>
      </c>
    </row>
    <row r="792" spans="12:15">
      <c r="L792" s="4">
        <f>Trades!P713</f>
        <v>0</v>
      </c>
      <c r="M792" s="5">
        <f>M791+Trades!T713</f>
        <v>10148.820000000005</v>
      </c>
      <c r="N792" s="5">
        <f>N791+Trades!U713</f>
        <v>1390.0798609355375</v>
      </c>
      <c r="O792" s="5">
        <f>O791+Trades!W713</f>
        <v>13567.914051343943</v>
      </c>
    </row>
    <row r="793" spans="12:15">
      <c r="L793" s="4">
        <f>Trades!P740</f>
        <v>0</v>
      </c>
      <c r="M793" s="5">
        <f>M792+Trades!T740</f>
        <v>10148.820000000005</v>
      </c>
      <c r="N793" s="5">
        <f>N792+Trades!U740</f>
        <v>1390.0798609355375</v>
      </c>
      <c r="O793" s="5">
        <f>O792+Trades!W740</f>
        <v>13567.914051343943</v>
      </c>
    </row>
    <row r="794" spans="12:15">
      <c r="L794" s="4">
        <f>Trades!P794</f>
        <v>0</v>
      </c>
      <c r="M794" s="5">
        <f>M793+Trades!T794</f>
        <v>10148.820000000005</v>
      </c>
      <c r="N794" s="5">
        <f>N793+Trades!U794</f>
        <v>1390.0798609355375</v>
      </c>
      <c r="O794" s="5">
        <f>O793+Trades!W794</f>
        <v>13567.914051343943</v>
      </c>
    </row>
    <row r="795" spans="12:15">
      <c r="L795" s="4">
        <f>Trades!P805</f>
        <v>0</v>
      </c>
      <c r="M795" s="5">
        <f>M794+Trades!T805</f>
        <v>10148.820000000005</v>
      </c>
      <c r="N795" s="5">
        <f>N794+Trades!U805</f>
        <v>1390.0798609355375</v>
      </c>
      <c r="O795" s="5">
        <f>O794+Trades!W805</f>
        <v>13567.914051343943</v>
      </c>
    </row>
    <row r="796" spans="12:15">
      <c r="L796" s="4">
        <f>Trades!P815</f>
        <v>0</v>
      </c>
      <c r="M796" s="5">
        <f>M795+Trades!T815</f>
        <v>10148.820000000005</v>
      </c>
      <c r="N796" s="5">
        <f>N795+Trades!U815</f>
        <v>1390.0798609355375</v>
      </c>
      <c r="O796" s="5">
        <f>O795+Trades!W815</f>
        <v>13567.914051343943</v>
      </c>
    </row>
    <row r="797" spans="12:15">
      <c r="L797" s="4">
        <f>Trades!P827</f>
        <v>0</v>
      </c>
      <c r="M797" s="5">
        <f>M796+Trades!T827</f>
        <v>10148.820000000005</v>
      </c>
      <c r="N797" s="5">
        <f>N796+Trades!U827</f>
        <v>1390.0798609355375</v>
      </c>
      <c r="O797" s="5">
        <f>O796+Trades!W827</f>
        <v>13567.914051343943</v>
      </c>
    </row>
    <row r="798" spans="12:15">
      <c r="L798" s="4">
        <f>Trades!P838</f>
        <v>0</v>
      </c>
      <c r="M798" s="5">
        <f>M797+Trades!T838</f>
        <v>10148.820000000005</v>
      </c>
      <c r="N798" s="5">
        <f>N797+Trades!U838</f>
        <v>1390.0798609355375</v>
      </c>
      <c r="O798" s="5">
        <f>O797+Trades!W838</f>
        <v>13567.914051343943</v>
      </c>
    </row>
    <row r="799" spans="12:15">
      <c r="L799" s="4">
        <f>Trades!P851</f>
        <v>0</v>
      </c>
      <c r="M799" s="5">
        <f>M798+Trades!T851</f>
        <v>10148.820000000005</v>
      </c>
      <c r="N799" s="5">
        <f>N798+Trades!U851</f>
        <v>1390.0798609355375</v>
      </c>
      <c r="O799" s="5">
        <f>O798+Trades!W851</f>
        <v>13567.914051343943</v>
      </c>
    </row>
    <row r="800" spans="12:15">
      <c r="L800" s="4">
        <f>Trades!P795</f>
        <v>0</v>
      </c>
      <c r="M800" s="5">
        <f>M799+Trades!T795</f>
        <v>10148.820000000005</v>
      </c>
      <c r="N800" s="5">
        <f>N799+Trades!U795</f>
        <v>1390.0798609355375</v>
      </c>
      <c r="O800" s="5">
        <f>O799+Trades!W795</f>
        <v>13567.914051343943</v>
      </c>
    </row>
    <row r="801" spans="12:15">
      <c r="L801" s="4">
        <f>Trades!P796</f>
        <v>0</v>
      </c>
      <c r="M801" s="5">
        <f>M800+Trades!T796</f>
        <v>10148.820000000005</v>
      </c>
      <c r="N801" s="5">
        <f>N800+Trades!U796</f>
        <v>1390.0798609355375</v>
      </c>
      <c r="O801" s="5">
        <f>O800+Trades!W796</f>
        <v>13567.914051343943</v>
      </c>
    </row>
    <row r="802" spans="12:15">
      <c r="L802" s="4">
        <f>Trades!P806</f>
        <v>0</v>
      </c>
      <c r="M802" s="5">
        <f>M801+Trades!T806</f>
        <v>10148.820000000005</v>
      </c>
      <c r="N802" s="5">
        <f>N801+Trades!U806</f>
        <v>1390.0798609355375</v>
      </c>
      <c r="O802" s="5">
        <f>O801+Trades!W806</f>
        <v>13567.914051343943</v>
      </c>
    </row>
    <row r="803" spans="12:15">
      <c r="L803" s="4">
        <f>Trades!P839</f>
        <v>0</v>
      </c>
      <c r="M803" s="5">
        <f>M802+Trades!T839</f>
        <v>10148.820000000005</v>
      </c>
      <c r="N803" s="5">
        <f>N802+Trades!U839</f>
        <v>1390.0798609355375</v>
      </c>
      <c r="O803" s="5">
        <f>O802+Trades!W839</f>
        <v>13567.914051343943</v>
      </c>
    </row>
    <row r="804" spans="12:15">
      <c r="L804" s="4">
        <f>Trades!P816</f>
        <v>0</v>
      </c>
      <c r="M804" s="5">
        <f>M803+Trades!T816</f>
        <v>10148.820000000005</v>
      </c>
      <c r="N804" s="5">
        <f>N803+Trades!U816</f>
        <v>1390.0798609355375</v>
      </c>
      <c r="O804" s="5">
        <f>O803+Trades!W816</f>
        <v>13567.914051343943</v>
      </c>
    </row>
    <row r="805" spans="12:15">
      <c r="L805" s="4">
        <f>Trades!P852</f>
        <v>0</v>
      </c>
      <c r="M805" s="5">
        <f>M804+Trades!T852</f>
        <v>10148.820000000005</v>
      </c>
      <c r="N805" s="5">
        <f>N804+Trades!U852</f>
        <v>1390.0798609355375</v>
      </c>
      <c r="O805" s="5">
        <f>O804+Trades!W852</f>
        <v>13567.914051343943</v>
      </c>
    </row>
    <row r="806" spans="12:15">
      <c r="L806" s="4">
        <f>Trades!P797</f>
        <v>0</v>
      </c>
      <c r="M806" s="5">
        <f>M805+Trades!T797</f>
        <v>10148.820000000005</v>
      </c>
      <c r="N806" s="5">
        <f>N805+Trades!U797</f>
        <v>1390.0798609355375</v>
      </c>
      <c r="O806" s="5">
        <f>O805+Trades!W797</f>
        <v>13567.914051343943</v>
      </c>
    </row>
    <row r="807" spans="12:15">
      <c r="L807" s="4">
        <f>Trades!P828</f>
        <v>0</v>
      </c>
      <c r="M807" s="5">
        <f>M806+Trades!T828</f>
        <v>10148.820000000005</v>
      </c>
      <c r="N807" s="5">
        <f>N806+Trades!U828</f>
        <v>1390.0798609355375</v>
      </c>
      <c r="O807" s="5">
        <f>O806+Trades!W828</f>
        <v>13567.914051343943</v>
      </c>
    </row>
    <row r="808" spans="12:15">
      <c r="L808" s="4">
        <f>Trades!P817</f>
        <v>0</v>
      </c>
      <c r="M808" s="5">
        <f>M807+Trades!T817</f>
        <v>10148.820000000005</v>
      </c>
      <c r="N808" s="5">
        <f>N807+Trades!U817</f>
        <v>1390.0798609355375</v>
      </c>
      <c r="O808" s="5">
        <f>O807+Trades!W817</f>
        <v>13567.914051343943</v>
      </c>
    </row>
    <row r="809" spans="12:15">
      <c r="L809" s="4">
        <f>Trades!P840</f>
        <v>0</v>
      </c>
      <c r="M809" s="5">
        <f>M808+Trades!T840</f>
        <v>10148.820000000005</v>
      </c>
      <c r="N809" s="5">
        <f>N808+Trades!U840</f>
        <v>1390.0798609355375</v>
      </c>
      <c r="O809" s="5">
        <f>O808+Trades!W840</f>
        <v>13567.914051343943</v>
      </c>
    </row>
    <row r="810" spans="12:15">
      <c r="L810" s="4">
        <f>Trades!P807</f>
        <v>0</v>
      </c>
      <c r="M810" s="5">
        <f>M809+Trades!T807</f>
        <v>10148.820000000005</v>
      </c>
      <c r="N810" s="5">
        <f>N809+Trades!U807</f>
        <v>1390.0798609355375</v>
      </c>
      <c r="O810" s="5">
        <f>O809+Trades!W807</f>
        <v>13567.914051343943</v>
      </c>
    </row>
    <row r="811" spans="12:15">
      <c r="L811" s="4">
        <f>Trades!P829</f>
        <v>0</v>
      </c>
      <c r="M811" s="5">
        <f>M810+Trades!T829</f>
        <v>10148.820000000005</v>
      </c>
      <c r="N811" s="5">
        <f>N810+Trades!U829</f>
        <v>1390.0798609355375</v>
      </c>
      <c r="O811" s="5">
        <f>O810+Trades!W829</f>
        <v>13567.914051343943</v>
      </c>
    </row>
    <row r="812" spans="12:15">
      <c r="L812" s="4">
        <f>Trades!P830</f>
        <v>0</v>
      </c>
      <c r="M812" s="5">
        <f>M811+Trades!T830</f>
        <v>10148.820000000005</v>
      </c>
      <c r="N812" s="5">
        <f>N811+Trades!U830</f>
        <v>1390.0798609355375</v>
      </c>
      <c r="O812" s="5">
        <f>O811+Trades!W830</f>
        <v>13567.914051343943</v>
      </c>
    </row>
    <row r="813" spans="12:15">
      <c r="L813" s="4">
        <f>Trades!P818</f>
        <v>0</v>
      </c>
      <c r="M813" s="5">
        <f>M812+Trades!T818</f>
        <v>10148.820000000005</v>
      </c>
      <c r="N813" s="5">
        <f>N812+Trades!U818</f>
        <v>1390.0798609355375</v>
      </c>
      <c r="O813" s="5">
        <f>O812+Trades!W818</f>
        <v>13567.914051343943</v>
      </c>
    </row>
    <row r="814" spans="12:15">
      <c r="L814" s="4">
        <f>Trades!P798</f>
        <v>0</v>
      </c>
      <c r="M814" s="5">
        <f>M813+Trades!T798</f>
        <v>10148.820000000005</v>
      </c>
      <c r="N814" s="5">
        <f>N813+Trades!U798</f>
        <v>1390.0798609355375</v>
      </c>
      <c r="O814" s="5">
        <f>O813+Trades!W798</f>
        <v>13567.914051343943</v>
      </c>
    </row>
    <row r="815" spans="12:15">
      <c r="L815" s="4">
        <f>Trades!P853</f>
        <v>0</v>
      </c>
      <c r="M815" s="5">
        <f>M814+Trades!T853</f>
        <v>10148.820000000005</v>
      </c>
      <c r="N815" s="5">
        <f>N814+Trades!U853</f>
        <v>1390.0798609355375</v>
      </c>
      <c r="O815" s="5">
        <f>O814+Trades!W853</f>
        <v>13567.914051343943</v>
      </c>
    </row>
    <row r="816" spans="12:15">
      <c r="L816" s="4">
        <f>Trades!P841</f>
        <v>0</v>
      </c>
      <c r="M816" s="5">
        <f>M815+Trades!T841</f>
        <v>10148.820000000005</v>
      </c>
      <c r="N816" s="5">
        <f>N815+Trades!U841</f>
        <v>1390.0798609355375</v>
      </c>
      <c r="O816" s="5">
        <f>O815+Trades!W841</f>
        <v>13567.914051343943</v>
      </c>
    </row>
    <row r="817" spans="12:15">
      <c r="L817" s="4">
        <f>Trades!P819</f>
        <v>0</v>
      </c>
      <c r="M817" s="5">
        <f>M816+Trades!T819</f>
        <v>10148.820000000005</v>
      </c>
      <c r="N817" s="5">
        <f>N816+Trades!U819</f>
        <v>1390.0798609355375</v>
      </c>
      <c r="O817" s="5">
        <f>O816+Trades!W819</f>
        <v>13567.914051343943</v>
      </c>
    </row>
    <row r="818" spans="12:15">
      <c r="L818" s="4">
        <f>Trades!P808</f>
        <v>0</v>
      </c>
      <c r="M818" s="5">
        <f>M817+Trades!T808</f>
        <v>10148.820000000005</v>
      </c>
      <c r="N818" s="5">
        <f>N817+Trades!U808</f>
        <v>1390.0798609355375</v>
      </c>
      <c r="O818" s="5">
        <f>O817+Trades!W808</f>
        <v>13567.914051343943</v>
      </c>
    </row>
    <row r="819" spans="12:15">
      <c r="L819" s="4">
        <f>Trades!P842</f>
        <v>0</v>
      </c>
      <c r="M819" s="5">
        <f>M818+Trades!T842</f>
        <v>10148.820000000005</v>
      </c>
      <c r="N819" s="5">
        <f>N818+Trades!U842</f>
        <v>1390.0798609355375</v>
      </c>
      <c r="O819" s="5">
        <f>O818+Trades!W842</f>
        <v>13567.914051343943</v>
      </c>
    </row>
    <row r="820" spans="12:15">
      <c r="L820" s="4">
        <f>Trades!P799</f>
        <v>0</v>
      </c>
      <c r="M820" s="5">
        <f>M819+Trades!T799</f>
        <v>10148.820000000005</v>
      </c>
      <c r="N820" s="5">
        <f>N819+Trades!U799</f>
        <v>1390.0798609355375</v>
      </c>
      <c r="O820" s="5">
        <f>O819+Trades!W799</f>
        <v>13567.914051343943</v>
      </c>
    </row>
    <row r="821" spans="12:15">
      <c r="L821" s="4">
        <f>Trades!P800</f>
        <v>0</v>
      </c>
      <c r="M821" s="5">
        <f>M820+Trades!T800</f>
        <v>10148.820000000005</v>
      </c>
      <c r="N821" s="5">
        <f>N820+Trades!U800</f>
        <v>1390.0798609355375</v>
      </c>
      <c r="O821" s="5">
        <f>O820+Trades!W800</f>
        <v>13567.914051343943</v>
      </c>
    </row>
    <row r="822" spans="12:15">
      <c r="L822" s="4">
        <f>Trades!P809</f>
        <v>0</v>
      </c>
      <c r="M822" s="5">
        <f>M821+Trades!T809</f>
        <v>10148.820000000005</v>
      </c>
      <c r="N822" s="5">
        <f>N821+Trades!U809</f>
        <v>1390.0798609355375</v>
      </c>
      <c r="O822" s="5">
        <f>O821+Trades!W809</f>
        <v>13567.914051343943</v>
      </c>
    </row>
    <row r="823" spans="12:15">
      <c r="L823" s="4">
        <f>Trades!P854</f>
        <v>0</v>
      </c>
      <c r="M823" s="5">
        <f>M822+Trades!T854</f>
        <v>10148.820000000005</v>
      </c>
      <c r="N823" s="5">
        <f>N822+Trades!U854</f>
        <v>1390.0798609355375</v>
      </c>
      <c r="O823" s="5">
        <f>O822+Trades!W854</f>
        <v>13567.914051343943</v>
      </c>
    </row>
    <row r="824" spans="12:15">
      <c r="L824" s="4">
        <f>Trades!P820</f>
        <v>0</v>
      </c>
      <c r="M824" s="5">
        <f>M823+Trades!T820</f>
        <v>10148.820000000005</v>
      </c>
      <c r="N824" s="5">
        <f>N823+Trades!U820</f>
        <v>1390.0798609355375</v>
      </c>
      <c r="O824" s="5">
        <f>O823+Trades!W820</f>
        <v>13567.914051343943</v>
      </c>
    </row>
    <row r="825" spans="12:15">
      <c r="L825" s="4">
        <f>Trades!P810</f>
        <v>0</v>
      </c>
      <c r="M825" s="5">
        <f>M824+Trades!T810</f>
        <v>10148.820000000005</v>
      </c>
      <c r="N825" s="5">
        <f>N824+Trades!U810</f>
        <v>1390.0798609355375</v>
      </c>
      <c r="O825" s="5">
        <f>O824+Trades!W810</f>
        <v>13567.914051343943</v>
      </c>
    </row>
    <row r="826" spans="12:15">
      <c r="L826" s="4">
        <f>Trades!P831</f>
        <v>0</v>
      </c>
      <c r="M826" s="5">
        <f>M825+Trades!T831</f>
        <v>10148.820000000005</v>
      </c>
      <c r="N826" s="5">
        <f>N825+Trades!U831</f>
        <v>1390.0798609355375</v>
      </c>
      <c r="O826" s="5">
        <f>O825+Trades!W831</f>
        <v>13567.914051343943</v>
      </c>
    </row>
    <row r="827" spans="12:15">
      <c r="L827" s="4">
        <f>Trades!P843</f>
        <v>0</v>
      </c>
      <c r="M827" s="5">
        <f>M826+Trades!T843</f>
        <v>10148.820000000005</v>
      </c>
      <c r="N827" s="5">
        <f>N826+Trades!U843</f>
        <v>1390.0798609355375</v>
      </c>
      <c r="O827" s="5">
        <f>O826+Trades!W843</f>
        <v>13567.914051343943</v>
      </c>
    </row>
    <row r="828" spans="12:15">
      <c r="L828" s="4">
        <f>Trades!P855</f>
        <v>0</v>
      </c>
      <c r="M828" s="5">
        <f>M827+Trades!T855</f>
        <v>10148.820000000005</v>
      </c>
      <c r="N828" s="5">
        <f>N827+Trades!U855</f>
        <v>1390.0798609355375</v>
      </c>
      <c r="O828" s="5">
        <f>O827+Trades!W855</f>
        <v>13567.914051343943</v>
      </c>
    </row>
    <row r="829" spans="12:15">
      <c r="L829" s="4">
        <f>Trades!P821</f>
        <v>0</v>
      </c>
      <c r="M829" s="5">
        <f>M828+Trades!T821</f>
        <v>10148.820000000005</v>
      </c>
      <c r="N829" s="5">
        <f>N828+Trades!U821</f>
        <v>1390.0798609355375</v>
      </c>
      <c r="O829" s="5">
        <f>O828+Trades!W821</f>
        <v>13567.914051343943</v>
      </c>
    </row>
    <row r="830" spans="12:15">
      <c r="L830" s="4">
        <f>Trades!P832</f>
        <v>0</v>
      </c>
      <c r="M830" s="5">
        <f>M829+Trades!T832</f>
        <v>10148.820000000005</v>
      </c>
      <c r="N830" s="5">
        <f>N829+Trades!U832</f>
        <v>1390.0798609355375</v>
      </c>
      <c r="O830" s="5">
        <f>O829+Trades!W832</f>
        <v>13567.914051343943</v>
      </c>
    </row>
    <row r="831" spans="12:15">
      <c r="L831" s="4">
        <f>Trades!P801</f>
        <v>0</v>
      </c>
      <c r="M831" s="5">
        <f>M830+Trades!T801</f>
        <v>10148.820000000005</v>
      </c>
      <c r="N831" s="5">
        <f>N830+Trades!U801</f>
        <v>1390.0798609355375</v>
      </c>
      <c r="O831" s="5">
        <f>O830+Trades!W801</f>
        <v>13567.914051343943</v>
      </c>
    </row>
    <row r="832" spans="12:15">
      <c r="L832" s="4">
        <f>Trades!P822</f>
        <v>0</v>
      </c>
      <c r="M832" s="5">
        <f>M831+Trades!T822</f>
        <v>10148.820000000005</v>
      </c>
      <c r="N832" s="5">
        <f>N831+Trades!U822</f>
        <v>1390.0798609355375</v>
      </c>
      <c r="O832" s="5">
        <f>O831+Trades!W822</f>
        <v>13567.914051343943</v>
      </c>
    </row>
    <row r="833" spans="12:15">
      <c r="L833" s="4">
        <f>Trades!P856</f>
        <v>0</v>
      </c>
      <c r="M833" s="5">
        <f>M832+Trades!T856</f>
        <v>10148.820000000005</v>
      </c>
      <c r="N833" s="5">
        <f>N832+Trades!U856</f>
        <v>1390.0798609355375</v>
      </c>
      <c r="O833" s="5">
        <f>O832+Trades!W856</f>
        <v>13567.914051343943</v>
      </c>
    </row>
    <row r="834" spans="12:15">
      <c r="L834" s="4">
        <f>Trades!P811</f>
        <v>0</v>
      </c>
      <c r="M834" s="5">
        <f>M833+Trades!T811</f>
        <v>10148.820000000005</v>
      </c>
      <c r="N834" s="5">
        <f>N833+Trades!U811</f>
        <v>1390.0798609355375</v>
      </c>
      <c r="O834" s="5">
        <f>O833+Trades!W811</f>
        <v>13567.914051343943</v>
      </c>
    </row>
    <row r="835" spans="12:15">
      <c r="L835" s="4">
        <f>Trades!P844</f>
        <v>0</v>
      </c>
      <c r="M835" s="5">
        <f>M834+Trades!T844</f>
        <v>10148.820000000005</v>
      </c>
      <c r="N835" s="5">
        <f>N834+Trades!U844</f>
        <v>1390.0798609355375</v>
      </c>
      <c r="O835" s="5">
        <f>O834+Trades!W844</f>
        <v>13567.914051343943</v>
      </c>
    </row>
    <row r="836" spans="12:15">
      <c r="L836" s="4">
        <f>Trades!P833</f>
        <v>0</v>
      </c>
      <c r="M836" s="5">
        <f>M835+Trades!T833</f>
        <v>10148.820000000005</v>
      </c>
      <c r="N836" s="5">
        <f>N835+Trades!U833</f>
        <v>1390.0798609355375</v>
      </c>
      <c r="O836" s="5">
        <f>O835+Trades!W833</f>
        <v>13567.914051343943</v>
      </c>
    </row>
    <row r="837" spans="12:15">
      <c r="L837" s="4">
        <f>Trades!P845</f>
        <v>0</v>
      </c>
      <c r="M837" s="5">
        <f>M836+Trades!T845</f>
        <v>10148.820000000005</v>
      </c>
      <c r="N837" s="5">
        <f>N836+Trades!U845</f>
        <v>1390.0798609355375</v>
      </c>
      <c r="O837" s="5">
        <f>O836+Trades!W845</f>
        <v>13567.914051343943</v>
      </c>
    </row>
    <row r="838" spans="12:15">
      <c r="L838" s="4">
        <f>Trades!P846</f>
        <v>0</v>
      </c>
      <c r="M838" s="5">
        <f>M837+Trades!T846</f>
        <v>10148.820000000005</v>
      </c>
      <c r="N838" s="5">
        <f>N837+Trades!U846</f>
        <v>1390.0798609355375</v>
      </c>
      <c r="O838" s="5">
        <f>O837+Trades!W846</f>
        <v>13567.914051343943</v>
      </c>
    </row>
    <row r="839" spans="12:15">
      <c r="L839" s="4">
        <f>Trades!P857</f>
        <v>0</v>
      </c>
      <c r="M839" s="5">
        <f>M838+Trades!T857</f>
        <v>10148.820000000005</v>
      </c>
      <c r="N839" s="5">
        <f>N838+Trades!U857</f>
        <v>1390.0798609355375</v>
      </c>
      <c r="O839" s="5">
        <f>O838+Trades!W857</f>
        <v>13567.914051343943</v>
      </c>
    </row>
    <row r="840" spans="12:15">
      <c r="L840" s="4">
        <f>Trades!P802</f>
        <v>0</v>
      </c>
      <c r="M840" s="5">
        <f>M839+Trades!T802</f>
        <v>10148.820000000005</v>
      </c>
      <c r="N840" s="5">
        <f>N839+Trades!U802</f>
        <v>1390.0798609355375</v>
      </c>
      <c r="O840" s="5">
        <f>O839+Trades!W802</f>
        <v>13567.914051343943</v>
      </c>
    </row>
    <row r="841" spans="12:15">
      <c r="L841" s="4">
        <f>Trades!P812</f>
        <v>0</v>
      </c>
      <c r="M841" s="5">
        <f>M840+Trades!T812</f>
        <v>10148.820000000005</v>
      </c>
      <c r="N841" s="5">
        <f>N840+Trades!U812</f>
        <v>1390.0798609355375</v>
      </c>
      <c r="O841" s="5">
        <f>O840+Trades!W812</f>
        <v>13567.914051343943</v>
      </c>
    </row>
    <row r="842" spans="12:15">
      <c r="L842" s="4">
        <f>Trades!P823</f>
        <v>0</v>
      </c>
      <c r="M842" s="5">
        <f>M841+Trades!T823</f>
        <v>10148.820000000005</v>
      </c>
      <c r="N842" s="5">
        <f>N841+Trades!U823</f>
        <v>1390.0798609355375</v>
      </c>
      <c r="O842" s="5">
        <f>O841+Trades!W823</f>
        <v>13567.914051343943</v>
      </c>
    </row>
    <row r="843" spans="12:15">
      <c r="L843" s="4">
        <f>Trades!P834</f>
        <v>0</v>
      </c>
      <c r="M843" s="5">
        <f>M842+Trades!T834</f>
        <v>10148.820000000005</v>
      </c>
      <c r="N843" s="5">
        <f>N842+Trades!U834</f>
        <v>1390.0798609355375</v>
      </c>
      <c r="O843" s="5">
        <f>O842+Trades!W834</f>
        <v>13567.914051343943</v>
      </c>
    </row>
    <row r="844" spans="12:15">
      <c r="L844" s="4">
        <f>Trades!P813</f>
        <v>0</v>
      </c>
      <c r="M844" s="5">
        <f>M843+Trades!T813</f>
        <v>10148.820000000005</v>
      </c>
      <c r="N844" s="5">
        <f>N843+Trades!U813</f>
        <v>1390.0798609355375</v>
      </c>
      <c r="O844" s="5">
        <f>O843+Trades!W813</f>
        <v>13567.914051343943</v>
      </c>
    </row>
    <row r="845" spans="12:15">
      <c r="L845" s="4">
        <f>Trades!P858</f>
        <v>0</v>
      </c>
      <c r="M845" s="5">
        <f>M844+Trades!T858</f>
        <v>10148.820000000005</v>
      </c>
      <c r="N845" s="5">
        <f>N844+Trades!U858</f>
        <v>1390.0798609355375</v>
      </c>
      <c r="O845" s="5">
        <f>O844+Trades!W858</f>
        <v>13567.914051343943</v>
      </c>
    </row>
    <row r="846" spans="12:15">
      <c r="L846" s="4">
        <f>Trades!P835</f>
        <v>0</v>
      </c>
      <c r="M846" s="5">
        <f>M845+Trades!T835</f>
        <v>10148.820000000005</v>
      </c>
      <c r="N846" s="5">
        <f>N845+Trades!U835</f>
        <v>1390.0798609355375</v>
      </c>
      <c r="O846" s="5">
        <f>O845+Trades!W835</f>
        <v>13567.914051343943</v>
      </c>
    </row>
    <row r="847" spans="12:15">
      <c r="L847" s="4">
        <f>Trades!P824</f>
        <v>0</v>
      </c>
      <c r="M847" s="5">
        <f>M846+Trades!T824</f>
        <v>10148.820000000005</v>
      </c>
      <c r="N847" s="5">
        <f>N846+Trades!U824</f>
        <v>1390.0798609355375</v>
      </c>
      <c r="O847" s="5">
        <f>O846+Trades!W824</f>
        <v>13567.914051343943</v>
      </c>
    </row>
    <row r="848" spans="12:15">
      <c r="L848" s="4">
        <f>Trades!P847</f>
        <v>0</v>
      </c>
      <c r="M848" s="5">
        <f>M847+Trades!T847</f>
        <v>10148.820000000005</v>
      </c>
      <c r="N848" s="5">
        <f>N847+Trades!U847</f>
        <v>1390.0798609355375</v>
      </c>
      <c r="O848" s="5">
        <f>O847+Trades!W847</f>
        <v>13567.914051343943</v>
      </c>
    </row>
    <row r="849" spans="12:15">
      <c r="L849" s="4">
        <f>Trades!P836</f>
        <v>0</v>
      </c>
      <c r="M849" s="5">
        <f>M848+Trades!T836</f>
        <v>10148.820000000005</v>
      </c>
      <c r="N849" s="5">
        <f>N848+Trades!U836</f>
        <v>1390.0798609355375</v>
      </c>
      <c r="O849" s="5">
        <f>O848+Trades!W836</f>
        <v>13567.914051343943</v>
      </c>
    </row>
    <row r="850" spans="12:15">
      <c r="L850" s="4">
        <f>Trades!P848</f>
        <v>0</v>
      </c>
      <c r="M850" s="5">
        <f>M849+Trades!T848</f>
        <v>10148.820000000005</v>
      </c>
      <c r="N850" s="5">
        <f>N849+Trades!U848</f>
        <v>1390.0798609355375</v>
      </c>
      <c r="O850" s="5">
        <f>O849+Trades!W848</f>
        <v>13567.914051343943</v>
      </c>
    </row>
    <row r="851" spans="12:15">
      <c r="L851" s="4">
        <f>Trades!P849</f>
        <v>0</v>
      </c>
      <c r="M851" s="5">
        <f>M850+Trades!T849</f>
        <v>10148.820000000005</v>
      </c>
      <c r="N851" s="5">
        <f>N850+Trades!U849</f>
        <v>1390.0798609355375</v>
      </c>
      <c r="O851" s="5">
        <f>O850+Trades!W849</f>
        <v>13567.914051343943</v>
      </c>
    </row>
    <row r="852" spans="12:15">
      <c r="L852" s="4">
        <f>Trades!P803</f>
        <v>0</v>
      </c>
      <c r="M852" s="5">
        <f>M851+Trades!T803</f>
        <v>10148.820000000005</v>
      </c>
      <c r="N852" s="5">
        <f>N851+Trades!U803</f>
        <v>1390.0798609355375</v>
      </c>
      <c r="O852" s="5">
        <f>O851+Trades!W803</f>
        <v>13567.914051343943</v>
      </c>
    </row>
    <row r="853" spans="12:15">
      <c r="L853" s="4">
        <f>Trades!P859</f>
        <v>0</v>
      </c>
      <c r="M853" s="5">
        <f>M852+Trades!T859</f>
        <v>10148.820000000005</v>
      </c>
      <c r="N853" s="5">
        <f>N852+Trades!U859</f>
        <v>1390.0798609355375</v>
      </c>
      <c r="O853" s="5">
        <f>O852+Trades!W859</f>
        <v>13567.914051343943</v>
      </c>
    </row>
    <row r="854" spans="12:15">
      <c r="L854" s="4">
        <f>Trades!P825</f>
        <v>0</v>
      </c>
      <c r="M854" s="5">
        <f>M853+Trades!T825</f>
        <v>10148.820000000005</v>
      </c>
      <c r="N854" s="5">
        <f>N853+Trades!U825</f>
        <v>1390.0798609355375</v>
      </c>
      <c r="O854" s="5">
        <f>O853+Trades!W825</f>
        <v>13567.914051343943</v>
      </c>
    </row>
    <row r="855" spans="12:15">
      <c r="L855" s="4">
        <f>Trades!P804</f>
        <v>0</v>
      </c>
      <c r="M855" s="5">
        <f>M854+Trades!T804</f>
        <v>10148.820000000005</v>
      </c>
      <c r="N855" s="5">
        <f>N854+Trades!U804</f>
        <v>1390.0798609355375</v>
      </c>
      <c r="O855" s="5">
        <f>O854+Trades!W804</f>
        <v>13567.914051343943</v>
      </c>
    </row>
    <row r="856" spans="12:15">
      <c r="L856" s="4">
        <f>Trades!P826</f>
        <v>0</v>
      </c>
      <c r="M856" s="5">
        <f>M855+Trades!T826</f>
        <v>10148.820000000005</v>
      </c>
      <c r="N856" s="5">
        <f>N855+Trades!U826</f>
        <v>1390.0798609355375</v>
      </c>
      <c r="O856" s="5">
        <f>O855+Trades!W826</f>
        <v>13567.914051343943</v>
      </c>
    </row>
    <row r="857" spans="12:15">
      <c r="L857" s="4">
        <f>Trades!P814</f>
        <v>0</v>
      </c>
      <c r="M857" s="5">
        <f>M856+Trades!T814</f>
        <v>10148.820000000005</v>
      </c>
      <c r="N857" s="5">
        <f>N856+Trades!U814</f>
        <v>1390.0798609355375</v>
      </c>
      <c r="O857" s="5">
        <f>O856+Trades!W814</f>
        <v>13567.914051343943</v>
      </c>
    </row>
    <row r="858" spans="12:15">
      <c r="L858" s="4">
        <f>Trades!P850</f>
        <v>0</v>
      </c>
      <c r="M858" s="5">
        <f>M857+Trades!T850</f>
        <v>10148.820000000005</v>
      </c>
      <c r="N858" s="5">
        <f>N857+Trades!U850</f>
        <v>1390.0798609355375</v>
      </c>
      <c r="O858" s="5">
        <f>O857+Trades!W850</f>
        <v>13567.914051343943</v>
      </c>
    </row>
    <row r="859" spans="12:15">
      <c r="L859" s="4">
        <f>Trades!P860</f>
        <v>0</v>
      </c>
      <c r="M859" s="5">
        <f>M858+Trades!T860</f>
        <v>10148.820000000005</v>
      </c>
      <c r="N859" s="5">
        <f>N858+Trades!U860</f>
        <v>1390.0798609355375</v>
      </c>
      <c r="O859" s="5">
        <f>O858+Trades!W860</f>
        <v>13567.914051343943</v>
      </c>
    </row>
    <row r="860" spans="12:15">
      <c r="L860" s="4">
        <f>Trades!P837</f>
        <v>0</v>
      </c>
      <c r="M860" s="5">
        <f>M859+Trades!T837</f>
        <v>10148.820000000005</v>
      </c>
      <c r="N860" s="5">
        <f>N859+Trades!U837</f>
        <v>1390.0798609355375</v>
      </c>
      <c r="O860" s="5">
        <f>O859+Trades!W837</f>
        <v>13567.914051343943</v>
      </c>
    </row>
    <row r="861" spans="12:15">
      <c r="L861" s="4">
        <f>Trades!P861</f>
        <v>0</v>
      </c>
      <c r="M861" s="5">
        <f>M860+Trades!T861</f>
        <v>10148.820000000005</v>
      </c>
      <c r="N861" s="5">
        <f>N860+Trades!U861</f>
        <v>1390.0798609355375</v>
      </c>
      <c r="O861" s="5">
        <f>O860+Trades!W861</f>
        <v>13567.914051343943</v>
      </c>
    </row>
    <row r="862" spans="12:15">
      <c r="L862" s="4">
        <f>Trades!P871</f>
        <v>0</v>
      </c>
      <c r="M862" s="5">
        <f>M861+Trades!T871</f>
        <v>10148.820000000005</v>
      </c>
      <c r="N862" s="5">
        <f>N861+Trades!U871</f>
        <v>1390.0798609355375</v>
      </c>
      <c r="O862" s="5">
        <f>O861+Trades!W871</f>
        <v>13567.914051343943</v>
      </c>
    </row>
    <row r="863" spans="12:15">
      <c r="L863" s="4">
        <f>Trades!P882</f>
        <v>0</v>
      </c>
      <c r="M863" s="5">
        <f>M862+Trades!T882</f>
        <v>10148.820000000005</v>
      </c>
      <c r="N863" s="5">
        <f>N862+Trades!U882</f>
        <v>1390.0798609355375</v>
      </c>
      <c r="O863" s="5">
        <f>O862+Trades!W882</f>
        <v>13567.914051343943</v>
      </c>
    </row>
    <row r="864" spans="12:15">
      <c r="L864" s="4">
        <f>Trades!P891</f>
        <v>0</v>
      </c>
      <c r="M864" s="5">
        <f>M863+Trades!T891</f>
        <v>10148.820000000005</v>
      </c>
      <c r="N864" s="5">
        <f>N863+Trades!U891</f>
        <v>1390.0798609355375</v>
      </c>
      <c r="O864" s="5">
        <f>O863+Trades!W891</f>
        <v>13567.914051343943</v>
      </c>
    </row>
    <row r="865" spans="12:15">
      <c r="L865" s="4">
        <f>Trades!P892</f>
        <v>0</v>
      </c>
      <c r="M865" s="5">
        <f>M864+Trades!T892</f>
        <v>10148.820000000005</v>
      </c>
      <c r="N865" s="5">
        <f>N864+Trades!U892</f>
        <v>1390.0798609355375</v>
      </c>
      <c r="O865" s="5">
        <f>O864+Trades!W892</f>
        <v>13567.914051343943</v>
      </c>
    </row>
    <row r="866" spans="12:15">
      <c r="L866" s="4">
        <f>Trades!P862</f>
        <v>0</v>
      </c>
      <c r="M866" s="5">
        <f>M865+Trades!T862</f>
        <v>10148.820000000005</v>
      </c>
      <c r="N866" s="5">
        <f>N865+Trades!U862</f>
        <v>1390.0798609355375</v>
      </c>
      <c r="O866" s="5">
        <f>O865+Trades!W862</f>
        <v>13567.914051343943</v>
      </c>
    </row>
    <row r="867" spans="12:15">
      <c r="L867" s="4">
        <f>Trades!P893</f>
        <v>0</v>
      </c>
      <c r="M867" s="5">
        <f>M866+Trades!T893</f>
        <v>10148.820000000005</v>
      </c>
      <c r="N867" s="5">
        <f>N866+Trades!U893</f>
        <v>1390.0798609355375</v>
      </c>
      <c r="O867" s="5">
        <f>O866+Trades!W893</f>
        <v>13567.914051343943</v>
      </c>
    </row>
    <row r="868" spans="12:15">
      <c r="L868" s="4">
        <f>Trades!P894</f>
        <v>0</v>
      </c>
      <c r="M868" s="5">
        <f>M867+Trades!T894</f>
        <v>10148.820000000005</v>
      </c>
      <c r="N868" s="5">
        <f>N867+Trades!U894</f>
        <v>1390.0798609355375</v>
      </c>
      <c r="O868" s="5">
        <f>O867+Trades!W894</f>
        <v>13567.914051343943</v>
      </c>
    </row>
    <row r="869" spans="12:15">
      <c r="L869" s="4">
        <f>Trades!P872</f>
        <v>0</v>
      </c>
      <c r="M869" s="5">
        <f>M868+Trades!T872</f>
        <v>10148.820000000005</v>
      </c>
      <c r="N869" s="5">
        <f>N868+Trades!U872</f>
        <v>1390.0798609355375</v>
      </c>
      <c r="O869" s="5">
        <f>O868+Trades!W872</f>
        <v>13567.914051343943</v>
      </c>
    </row>
    <row r="870" spans="12:15">
      <c r="L870" s="4">
        <f>Trades!P883</f>
        <v>0</v>
      </c>
      <c r="M870" s="5">
        <f>M869+Trades!T883</f>
        <v>10148.820000000005</v>
      </c>
      <c r="N870" s="5">
        <f>N869+Trades!U883</f>
        <v>1390.0798609355375</v>
      </c>
      <c r="O870" s="5">
        <f>O869+Trades!W883</f>
        <v>13567.914051343943</v>
      </c>
    </row>
    <row r="871" spans="12:15">
      <c r="L871" s="4">
        <f>Trades!P863</f>
        <v>0</v>
      </c>
      <c r="M871" s="5">
        <f>M870+Trades!T863</f>
        <v>10148.820000000005</v>
      </c>
      <c r="N871" s="5">
        <f>N870+Trades!U863</f>
        <v>1390.0798609355375</v>
      </c>
      <c r="O871" s="5">
        <f>O870+Trades!W863</f>
        <v>13567.914051343943</v>
      </c>
    </row>
    <row r="872" spans="12:15">
      <c r="L872" s="4">
        <f>Trades!P873</f>
        <v>0</v>
      </c>
      <c r="M872" s="5">
        <f>M871+Trades!T873</f>
        <v>10148.820000000005</v>
      </c>
      <c r="N872" s="5">
        <f>N871+Trades!U873</f>
        <v>1390.0798609355375</v>
      </c>
      <c r="O872" s="5">
        <f>O871+Trades!W873</f>
        <v>13567.914051343943</v>
      </c>
    </row>
    <row r="873" spans="12:15">
      <c r="L873" s="4">
        <f>Trades!P895</f>
        <v>0</v>
      </c>
      <c r="M873" s="5">
        <f>M872+Trades!T895</f>
        <v>10148.820000000005</v>
      </c>
      <c r="N873" s="5">
        <f>N872+Trades!U895</f>
        <v>1390.0798609355375</v>
      </c>
      <c r="O873" s="5">
        <f>O872+Trades!W895</f>
        <v>13567.914051343943</v>
      </c>
    </row>
    <row r="874" spans="12:15">
      <c r="L874" s="4">
        <f>Trades!P864</f>
        <v>0</v>
      </c>
      <c r="M874" s="5">
        <f>M873+Trades!T864</f>
        <v>10148.820000000005</v>
      </c>
      <c r="N874" s="5">
        <f>N873+Trades!U864</f>
        <v>1390.0798609355375</v>
      </c>
      <c r="O874" s="5">
        <f>O873+Trades!W864</f>
        <v>13567.914051343943</v>
      </c>
    </row>
    <row r="875" spans="12:15">
      <c r="L875" s="4">
        <f>Trades!P896</f>
        <v>0</v>
      </c>
      <c r="M875" s="5">
        <f>M874+Trades!T896</f>
        <v>10148.820000000005</v>
      </c>
      <c r="N875" s="5">
        <f>N874+Trades!U896</f>
        <v>1390.0798609355375</v>
      </c>
      <c r="O875" s="5">
        <f>O874+Trades!W896</f>
        <v>13567.914051343943</v>
      </c>
    </row>
    <row r="876" spans="12:15">
      <c r="L876" s="4">
        <f>Trades!P865</f>
        <v>0</v>
      </c>
      <c r="M876" s="5">
        <f>M875+Trades!T865</f>
        <v>10148.820000000005</v>
      </c>
      <c r="N876" s="5">
        <f>N875+Trades!U865</f>
        <v>1390.0798609355375</v>
      </c>
      <c r="O876" s="5">
        <f>O875+Trades!W865</f>
        <v>13567.914051343943</v>
      </c>
    </row>
    <row r="877" spans="12:15">
      <c r="L877" s="4">
        <f>Trades!P884</f>
        <v>0</v>
      </c>
      <c r="M877" s="5">
        <f>M876+Trades!T884</f>
        <v>10148.820000000005</v>
      </c>
      <c r="N877" s="5">
        <f>N876+Trades!U884</f>
        <v>1390.0798609355375</v>
      </c>
      <c r="O877" s="5">
        <f>O876+Trades!W884</f>
        <v>13567.914051343943</v>
      </c>
    </row>
    <row r="878" spans="12:15">
      <c r="L878" s="4">
        <f>Trades!P897</f>
        <v>0</v>
      </c>
      <c r="M878" s="5">
        <f>M877+Trades!T897</f>
        <v>10148.820000000005</v>
      </c>
      <c r="N878" s="5">
        <f>N877+Trades!U897</f>
        <v>1390.0798609355375</v>
      </c>
      <c r="O878" s="5">
        <f>O877+Trades!W897</f>
        <v>13567.914051343943</v>
      </c>
    </row>
    <row r="879" spans="12:15">
      <c r="L879" s="4">
        <f>Trades!P898</f>
        <v>0</v>
      </c>
      <c r="M879" s="5">
        <f>M878+Trades!T898</f>
        <v>10148.820000000005</v>
      </c>
      <c r="N879" s="5">
        <f>N878+Trades!U898</f>
        <v>1390.0798609355375</v>
      </c>
      <c r="O879" s="5">
        <f>O878+Trades!W898</f>
        <v>13567.914051343943</v>
      </c>
    </row>
    <row r="880" spans="12:15">
      <c r="L880" s="4">
        <f>Trades!P866</f>
        <v>0</v>
      </c>
      <c r="M880" s="5">
        <f>M879+Trades!T866</f>
        <v>10148.820000000005</v>
      </c>
      <c r="N880" s="5">
        <f>N879+Trades!U866</f>
        <v>1390.0798609355375</v>
      </c>
      <c r="O880" s="5">
        <f>O879+Trades!W866</f>
        <v>13567.914051343943</v>
      </c>
    </row>
    <row r="881" spans="12:15">
      <c r="L881" s="4">
        <f>Trades!P874</f>
        <v>0</v>
      </c>
      <c r="M881" s="5">
        <f>M880+Trades!T874</f>
        <v>10148.820000000005</v>
      </c>
      <c r="N881" s="5">
        <f>N880+Trades!U874</f>
        <v>1390.0798609355375</v>
      </c>
      <c r="O881" s="5">
        <f>O880+Trades!W874</f>
        <v>13567.914051343943</v>
      </c>
    </row>
    <row r="882" spans="12:15">
      <c r="L882" s="4">
        <f>Trades!P885</f>
        <v>0</v>
      </c>
      <c r="M882" s="5">
        <f>M881+Trades!T885</f>
        <v>10148.820000000005</v>
      </c>
      <c r="N882" s="5">
        <f>N881+Trades!U885</f>
        <v>1390.0798609355375</v>
      </c>
      <c r="O882" s="5">
        <f>O881+Trades!W885</f>
        <v>13567.914051343943</v>
      </c>
    </row>
    <row r="883" spans="12:15">
      <c r="L883" s="4">
        <f>Trades!P899</f>
        <v>0</v>
      </c>
      <c r="M883" s="5">
        <f>M882+Trades!T899</f>
        <v>10148.820000000005</v>
      </c>
      <c r="N883" s="5">
        <f>N882+Trades!U899</f>
        <v>1390.0798609355375</v>
      </c>
      <c r="O883" s="5">
        <f>O882+Trades!W899</f>
        <v>13567.914051343943</v>
      </c>
    </row>
    <row r="884" spans="12:15">
      <c r="L884" s="4">
        <f>Trades!P886</f>
        <v>0</v>
      </c>
      <c r="M884" s="5">
        <f>M883+Trades!T886</f>
        <v>10148.820000000005</v>
      </c>
      <c r="N884" s="5">
        <f>N883+Trades!U886</f>
        <v>1390.0798609355375</v>
      </c>
      <c r="O884" s="5">
        <f>O883+Trades!W886</f>
        <v>13567.914051343943</v>
      </c>
    </row>
    <row r="885" spans="12:15">
      <c r="L885" s="4">
        <f>Trades!P867</f>
        <v>0</v>
      </c>
      <c r="M885" s="5">
        <f>M884+Trades!T867</f>
        <v>10148.820000000005</v>
      </c>
      <c r="N885" s="5">
        <f>N884+Trades!U867</f>
        <v>1390.0798609355375</v>
      </c>
      <c r="O885" s="5">
        <f>O884+Trades!W867</f>
        <v>13567.914051343943</v>
      </c>
    </row>
    <row r="886" spans="12:15">
      <c r="L886" s="4">
        <f>Trades!P875</f>
        <v>0</v>
      </c>
      <c r="M886" s="5">
        <f>M885+Trades!T875</f>
        <v>10148.820000000005</v>
      </c>
      <c r="N886" s="5">
        <f>N885+Trades!U875</f>
        <v>1390.0798609355375</v>
      </c>
      <c r="O886" s="5">
        <f>O885+Trades!W875</f>
        <v>13567.914051343943</v>
      </c>
    </row>
    <row r="887" spans="12:15">
      <c r="L887" s="4">
        <f>Trades!P876</f>
        <v>0</v>
      </c>
      <c r="M887" s="5">
        <f>M886+Trades!T876</f>
        <v>10148.820000000005</v>
      </c>
      <c r="N887" s="5">
        <f>N886+Trades!U876</f>
        <v>1390.0798609355375</v>
      </c>
      <c r="O887" s="5">
        <f>O886+Trades!W876</f>
        <v>13567.914051343943</v>
      </c>
    </row>
    <row r="888" spans="12:15">
      <c r="L888" s="4">
        <f>Trades!P877</f>
        <v>0</v>
      </c>
      <c r="M888" s="5">
        <f>M887+Trades!T877</f>
        <v>10148.820000000005</v>
      </c>
      <c r="N888" s="5">
        <f>N887+Trades!U877</f>
        <v>1390.0798609355375</v>
      </c>
      <c r="O888" s="5">
        <f>O887+Trades!W877</f>
        <v>13567.914051343943</v>
      </c>
    </row>
    <row r="889" spans="12:15">
      <c r="L889" s="4">
        <f>Trades!P900</f>
        <v>0</v>
      </c>
      <c r="M889" s="5">
        <f>M888+Trades!T900</f>
        <v>10148.820000000005</v>
      </c>
      <c r="N889" s="5">
        <f>N888+Trades!U900</f>
        <v>1390.0798609355375</v>
      </c>
      <c r="O889" s="5">
        <f>O888+Trades!W900</f>
        <v>13567.914051343943</v>
      </c>
    </row>
    <row r="890" spans="12:15">
      <c r="L890" s="4">
        <f>Trades!P887</f>
        <v>0</v>
      </c>
      <c r="M890" s="5">
        <f>M889+Trades!T887</f>
        <v>10148.820000000005</v>
      </c>
      <c r="N890" s="5">
        <f>N889+Trades!U887</f>
        <v>1390.0798609355375</v>
      </c>
      <c r="O890" s="5">
        <f>O889+Trades!W887</f>
        <v>13567.914051343943</v>
      </c>
    </row>
    <row r="891" spans="12:15">
      <c r="L891" s="4">
        <f>Trades!P868</f>
        <v>0</v>
      </c>
      <c r="M891" s="5">
        <f>M890+Trades!T868</f>
        <v>10148.820000000005</v>
      </c>
      <c r="N891" s="5">
        <f>N890+Trades!U868</f>
        <v>1390.0798609355375</v>
      </c>
      <c r="O891" s="5">
        <f>O890+Trades!W868</f>
        <v>13567.914051343943</v>
      </c>
    </row>
    <row r="892" spans="12:15">
      <c r="L892" s="4">
        <f>Trades!P878</f>
        <v>0</v>
      </c>
      <c r="M892" s="5">
        <f>M891+Trades!T878</f>
        <v>10148.820000000005</v>
      </c>
      <c r="N892" s="5">
        <f>N891+Trades!U878</f>
        <v>1390.0798609355375</v>
      </c>
      <c r="O892" s="5">
        <f>O891+Trades!W878</f>
        <v>13567.914051343943</v>
      </c>
    </row>
    <row r="893" spans="12:15">
      <c r="L893" s="4">
        <f>Trades!P879</f>
        <v>0</v>
      </c>
      <c r="M893" s="5">
        <f>M892+Trades!T879</f>
        <v>10148.820000000005</v>
      </c>
      <c r="N893" s="5">
        <f>N892+Trades!U879</f>
        <v>1390.0798609355375</v>
      </c>
      <c r="O893" s="5">
        <f>O892+Trades!W879</f>
        <v>13567.914051343943</v>
      </c>
    </row>
    <row r="894" spans="12:15">
      <c r="L894" s="4">
        <f>Trades!P888</f>
        <v>0</v>
      </c>
      <c r="M894" s="5">
        <f>M893+Trades!T888</f>
        <v>10148.820000000005</v>
      </c>
      <c r="N894" s="5">
        <f>N893+Trades!U888</f>
        <v>1390.0798609355375</v>
      </c>
      <c r="O894" s="5">
        <f>O893+Trades!W888</f>
        <v>13567.914051343943</v>
      </c>
    </row>
    <row r="895" spans="12:15">
      <c r="L895" s="4">
        <f>Trades!P901</f>
        <v>0</v>
      </c>
      <c r="M895" s="5">
        <f>M894+Trades!T901</f>
        <v>10148.820000000005</v>
      </c>
      <c r="N895" s="5">
        <f>N894+Trades!U901</f>
        <v>1390.0798609355375</v>
      </c>
      <c r="O895" s="5">
        <f>O894+Trades!W901</f>
        <v>13567.914051343943</v>
      </c>
    </row>
    <row r="896" spans="12:15">
      <c r="L896" s="4">
        <f>Trades!P869</f>
        <v>0</v>
      </c>
      <c r="M896" s="5">
        <f>M895+Trades!T869</f>
        <v>10148.820000000005</v>
      </c>
      <c r="N896" s="5">
        <f>N895+Trades!U869</f>
        <v>1390.0798609355375</v>
      </c>
      <c r="O896" s="5">
        <f>O895+Trades!W869</f>
        <v>13567.914051343943</v>
      </c>
    </row>
    <row r="897" spans="12:15">
      <c r="L897" s="4">
        <f>Trades!P889</f>
        <v>0</v>
      </c>
      <c r="M897" s="5">
        <f>M896+Trades!T889</f>
        <v>10148.820000000005</v>
      </c>
      <c r="N897" s="5">
        <f>N896+Trades!U889</f>
        <v>1390.0798609355375</v>
      </c>
      <c r="O897" s="5">
        <f>O896+Trades!W889</f>
        <v>13567.914051343943</v>
      </c>
    </row>
    <row r="898" spans="12:15">
      <c r="L898" s="4">
        <f>Trades!P880</f>
        <v>0</v>
      </c>
      <c r="M898" s="5">
        <f>M897+Trades!T880</f>
        <v>10148.820000000005</v>
      </c>
      <c r="N898" s="5">
        <f>N897+Trades!U880</f>
        <v>1390.0798609355375</v>
      </c>
      <c r="O898" s="5">
        <f>O897+Trades!W880</f>
        <v>13567.914051343943</v>
      </c>
    </row>
    <row r="899" spans="12:15">
      <c r="L899" s="4">
        <f>Trades!P890</f>
        <v>0</v>
      </c>
      <c r="M899" s="5">
        <f>M898+Trades!T890</f>
        <v>10148.820000000005</v>
      </c>
      <c r="N899" s="5">
        <f>N898+Trades!U890</f>
        <v>1390.0798609355375</v>
      </c>
      <c r="O899" s="5">
        <f>O898+Trades!W890</f>
        <v>13567.914051343943</v>
      </c>
    </row>
    <row r="900" spans="12:15">
      <c r="L900" s="4">
        <f>Trades!P881</f>
        <v>0</v>
      </c>
      <c r="M900" s="5">
        <f>M899+Trades!T881</f>
        <v>10148.820000000005</v>
      </c>
      <c r="N900" s="5">
        <f>N899+Trades!U881</f>
        <v>1390.0798609355375</v>
      </c>
      <c r="O900" s="5">
        <f>O899+Trades!W881</f>
        <v>13567.914051343943</v>
      </c>
    </row>
    <row r="901" spans="12:15">
      <c r="L901" s="4">
        <f>Trades!P902</f>
        <v>0</v>
      </c>
      <c r="M901" s="5">
        <f>M900+Trades!T902</f>
        <v>10148.820000000005</v>
      </c>
      <c r="N901" s="5">
        <f>N900+Trades!U902</f>
        <v>1390.0798609355375</v>
      </c>
      <c r="O901" s="5">
        <f>O900+Trades!W902</f>
        <v>13567.914051343943</v>
      </c>
    </row>
    <row r="902" spans="12:15">
      <c r="L902" s="4">
        <f>Trades!P870</f>
        <v>0</v>
      </c>
      <c r="M902" s="5">
        <f>M901+Trades!T870</f>
        <v>10148.820000000005</v>
      </c>
      <c r="N902" s="5">
        <f>N901+Trades!U870</f>
        <v>1390.0798609355375</v>
      </c>
      <c r="O902" s="5">
        <f>O901+Trades!W870</f>
        <v>13567.914051343943</v>
      </c>
    </row>
    <row r="903" spans="12:15">
      <c r="L903" s="4"/>
      <c r="M903" s="5"/>
      <c r="N903" s="5"/>
      <c r="O903" s="5"/>
    </row>
  </sheetData>
  <mergeCells count="3">
    <mergeCell ref="B2:E2"/>
    <mergeCell ref="C39:E39"/>
    <mergeCell ref="B40:E44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63"/>
  <sheetViews>
    <sheetView workbookViewId="0">
      <selection activeCell="O22" sqref="O22"/>
    </sheetView>
  </sheetViews>
  <sheetFormatPr defaultRowHeight="14.4"/>
  <cols>
    <col min="2" max="2" width="24" bestFit="1" customWidth="1"/>
    <col min="3" max="3" width="12.6640625" bestFit="1" customWidth="1"/>
  </cols>
  <sheetData>
    <row r="2" spans="2:11">
      <c r="B2" s="16" t="s">
        <v>51</v>
      </c>
      <c r="C2" s="16" t="s">
        <v>264</v>
      </c>
      <c r="J2" t="s">
        <v>265</v>
      </c>
    </row>
    <row r="3" spans="2:11">
      <c r="B3" s="20" t="s">
        <v>58</v>
      </c>
      <c r="C3" s="33">
        <f>SUM(Trades!Z2:Z9652)</f>
        <v>11654.222656866388</v>
      </c>
    </row>
    <row r="4" spans="2:11">
      <c r="B4" s="20" t="s">
        <v>225</v>
      </c>
      <c r="C4" s="20">
        <f>COUNTA(Trades!A:A)-1</f>
        <v>87</v>
      </c>
      <c r="J4">
        <f t="array" ref="J4:J263">_xlfn.LET(
_xlpm.dates,_xlfn.SEQUENCE(DATE(2026,8,2)-DATE(2025,8,2)+1,,DATE(2025,8,2)),
_xlfn._xlws.FILTER(_xlpm.dates,WEEKDAY(_xlpm.dates,2)&lt;=5)
)</f>
        <v>45873</v>
      </c>
      <c r="K4" cm="1">
        <f t="array" ref="K4:K263">SUMIFS('trades edited'!$Z$2:$Z$100000,'trades edited'!$AC$2:$AC$100000,_xlfn.ANCHORARRAY(J4))</f>
        <v>0</v>
      </c>
    </row>
    <row r="5" spans="2:11">
      <c r="B5" s="20" t="s">
        <v>266</v>
      </c>
      <c r="C5" s="20">
        <f>AVERAGE(Trades!W:W)</f>
        <v>150.88436844371992</v>
      </c>
      <c r="J5">
        <v>45874</v>
      </c>
      <c r="K5">
        <v>0</v>
      </c>
    </row>
    <row r="6" spans="2:11">
      <c r="B6" s="20" t="s">
        <v>267</v>
      </c>
      <c r="C6" s="20">
        <f>_xlfn.STDEV.S(_xlfn.ANCHORARRAY(K4))</f>
        <v>322.65549815426039</v>
      </c>
      <c r="J6">
        <v>45875</v>
      </c>
      <c r="K6">
        <v>0</v>
      </c>
    </row>
    <row r="7" spans="2:11">
      <c r="B7" s="20" t="s">
        <v>268</v>
      </c>
      <c r="C7" s="20">
        <f>AVERAGE(_xlfn.ANCHORARRAY(K4))/_xlfn.STDEV.S(_xlfn.ANCHORARRAY(K4))*SQRT(252)</f>
        <v>2.2053177019282462</v>
      </c>
      <c r="J7">
        <v>45876</v>
      </c>
      <c r="K7">
        <v>0</v>
      </c>
    </row>
    <row r="8" spans="2:11">
      <c r="B8" s="20" t="s">
        <v>235</v>
      </c>
      <c r="C8" s="20">
        <f>MIN(Trades!W:W)</f>
        <v>-2017.4321107550891</v>
      </c>
      <c r="J8">
        <v>45877</v>
      </c>
      <c r="K8">
        <v>0</v>
      </c>
    </row>
    <row r="9" spans="2:11">
      <c r="B9" s="20" t="s">
        <v>269</v>
      </c>
      <c r="C9" s="20">
        <f>C8/C3</f>
        <v>-0.17310739378799037</v>
      </c>
      <c r="J9">
        <v>45880</v>
      </c>
      <c r="K9">
        <v>0</v>
      </c>
    </row>
    <row r="10" spans="2:11">
      <c r="B10" s="20" t="s">
        <v>270</v>
      </c>
      <c r="C10" s="20"/>
      <c r="J10">
        <v>45881</v>
      </c>
      <c r="K10">
        <v>0</v>
      </c>
    </row>
    <row r="11" spans="2:11">
      <c r="B11" s="20" t="s">
        <v>271</v>
      </c>
      <c r="C11" s="20"/>
      <c r="J11">
        <v>45882</v>
      </c>
      <c r="K11">
        <v>0</v>
      </c>
    </row>
    <row r="12" spans="2:11">
      <c r="B12" s="20" t="s">
        <v>272</v>
      </c>
      <c r="C12" s="20"/>
      <c r="J12">
        <v>45883</v>
      </c>
      <c r="K12">
        <v>0</v>
      </c>
    </row>
    <row r="13" spans="2:11">
      <c r="J13">
        <v>45884</v>
      </c>
      <c r="K13">
        <v>0</v>
      </c>
    </row>
    <row r="14" spans="2:11">
      <c r="J14">
        <v>45887</v>
      </c>
      <c r="K14">
        <v>0</v>
      </c>
    </row>
    <row r="15" spans="2:11">
      <c r="J15">
        <v>45888</v>
      </c>
      <c r="K15">
        <v>0</v>
      </c>
    </row>
    <row r="16" spans="2:11" ht="14.4" customHeight="1">
      <c r="B16" s="46" t="s">
        <v>273</v>
      </c>
      <c r="C16" s="38"/>
      <c r="D16" s="38"/>
      <c r="E16" s="39"/>
      <c r="J16">
        <v>45889</v>
      </c>
      <c r="K16">
        <v>0</v>
      </c>
    </row>
    <row r="17" spans="2:11">
      <c r="B17" s="40"/>
      <c r="C17" s="47"/>
      <c r="D17" s="47"/>
      <c r="E17" s="42"/>
      <c r="J17">
        <v>45890</v>
      </c>
      <c r="K17">
        <v>0</v>
      </c>
    </row>
    <row r="18" spans="2:11">
      <c r="B18" s="40"/>
      <c r="C18" s="47"/>
      <c r="D18" s="47"/>
      <c r="E18" s="42"/>
      <c r="J18">
        <v>45891</v>
      </c>
      <c r="K18">
        <v>0</v>
      </c>
    </row>
    <row r="19" spans="2:11">
      <c r="B19" s="40"/>
      <c r="C19" s="47"/>
      <c r="D19" s="47"/>
      <c r="E19" s="42"/>
      <c r="J19">
        <v>45894</v>
      </c>
      <c r="K19">
        <v>0</v>
      </c>
    </row>
    <row r="20" spans="2:11">
      <c r="B20" s="40"/>
      <c r="C20" s="47"/>
      <c r="D20" s="47"/>
      <c r="E20" s="42"/>
      <c r="J20">
        <v>45895</v>
      </c>
      <c r="K20">
        <v>0</v>
      </c>
    </row>
    <row r="21" spans="2:11">
      <c r="B21" s="40"/>
      <c r="C21" s="47"/>
      <c r="D21" s="47"/>
      <c r="E21" s="42"/>
      <c r="J21">
        <v>45896</v>
      </c>
      <c r="K21">
        <v>0</v>
      </c>
    </row>
    <row r="22" spans="2:11">
      <c r="B22" s="40"/>
      <c r="C22" s="47"/>
      <c r="D22" s="47"/>
      <c r="E22" s="42"/>
      <c r="J22">
        <v>45897</v>
      </c>
      <c r="K22">
        <v>0</v>
      </c>
    </row>
    <row r="23" spans="2:11">
      <c r="B23" s="43"/>
      <c r="C23" s="44"/>
      <c r="D23" s="44"/>
      <c r="E23" s="45"/>
      <c r="J23">
        <v>45898</v>
      </c>
      <c r="K23">
        <v>0</v>
      </c>
    </row>
    <row r="24" spans="2:11">
      <c r="J24">
        <v>45901</v>
      </c>
      <c r="K24">
        <v>0</v>
      </c>
    </row>
    <row r="25" spans="2:11">
      <c r="J25">
        <v>45902</v>
      </c>
      <c r="K25">
        <v>0</v>
      </c>
    </row>
    <row r="26" spans="2:11">
      <c r="J26">
        <v>45903</v>
      </c>
      <c r="K26">
        <v>0</v>
      </c>
    </row>
    <row r="27" spans="2:11">
      <c r="J27">
        <v>45904</v>
      </c>
      <c r="K27">
        <v>0</v>
      </c>
    </row>
    <row r="28" spans="2:11">
      <c r="J28">
        <v>45905</v>
      </c>
      <c r="K28">
        <v>0</v>
      </c>
    </row>
    <row r="29" spans="2:11">
      <c r="J29">
        <v>45908</v>
      </c>
      <c r="K29">
        <v>0</v>
      </c>
    </row>
    <row r="30" spans="2:11">
      <c r="J30">
        <v>45909</v>
      </c>
      <c r="K30">
        <v>0</v>
      </c>
    </row>
    <row r="31" spans="2:11">
      <c r="J31">
        <v>45910</v>
      </c>
      <c r="K31">
        <v>0</v>
      </c>
    </row>
    <row r="32" spans="2:11">
      <c r="J32">
        <v>45911</v>
      </c>
      <c r="K32">
        <v>0</v>
      </c>
    </row>
    <row r="33" spans="10:11">
      <c r="J33">
        <v>45912</v>
      </c>
      <c r="K33">
        <v>0</v>
      </c>
    </row>
    <row r="34" spans="10:11">
      <c r="J34">
        <v>45915</v>
      </c>
      <c r="K34">
        <v>0</v>
      </c>
    </row>
    <row r="35" spans="10:11">
      <c r="J35">
        <v>45916</v>
      </c>
      <c r="K35">
        <v>0</v>
      </c>
    </row>
    <row r="36" spans="10:11">
      <c r="J36">
        <v>45917</v>
      </c>
      <c r="K36">
        <v>0</v>
      </c>
    </row>
    <row r="37" spans="10:11">
      <c r="J37">
        <v>45918</v>
      </c>
      <c r="K37">
        <v>0</v>
      </c>
    </row>
    <row r="38" spans="10:11">
      <c r="J38">
        <v>45919</v>
      </c>
      <c r="K38">
        <v>0</v>
      </c>
    </row>
    <row r="39" spans="10:11">
      <c r="J39">
        <v>45922</v>
      </c>
      <c r="K39">
        <v>0</v>
      </c>
    </row>
    <row r="40" spans="10:11">
      <c r="J40">
        <v>45923</v>
      </c>
      <c r="K40">
        <v>0</v>
      </c>
    </row>
    <row r="41" spans="10:11">
      <c r="J41">
        <v>45924</v>
      </c>
      <c r="K41">
        <v>0</v>
      </c>
    </row>
    <row r="42" spans="10:11">
      <c r="J42">
        <v>45925</v>
      </c>
      <c r="K42">
        <v>0</v>
      </c>
    </row>
    <row r="43" spans="10:11">
      <c r="J43">
        <v>45926</v>
      </c>
      <c r="K43">
        <v>0</v>
      </c>
    </row>
    <row r="44" spans="10:11">
      <c r="J44">
        <v>45929</v>
      </c>
      <c r="K44">
        <v>0</v>
      </c>
    </row>
    <row r="45" spans="10:11">
      <c r="J45">
        <v>45930</v>
      </c>
      <c r="K45">
        <v>0</v>
      </c>
    </row>
    <row r="46" spans="10:11">
      <c r="J46">
        <v>45931</v>
      </c>
      <c r="K46">
        <v>0</v>
      </c>
    </row>
    <row r="47" spans="10:11">
      <c r="J47">
        <v>45932</v>
      </c>
      <c r="K47">
        <v>0</v>
      </c>
    </row>
    <row r="48" spans="10:11">
      <c r="J48">
        <v>45933</v>
      </c>
      <c r="K48">
        <v>0</v>
      </c>
    </row>
    <row r="49" spans="10:11">
      <c r="J49">
        <v>45936</v>
      </c>
      <c r="K49">
        <v>0</v>
      </c>
    </row>
    <row r="50" spans="10:11">
      <c r="J50">
        <v>45937</v>
      </c>
      <c r="K50">
        <v>0</v>
      </c>
    </row>
    <row r="51" spans="10:11">
      <c r="J51">
        <v>45938</v>
      </c>
      <c r="K51">
        <v>0</v>
      </c>
    </row>
    <row r="52" spans="10:11">
      <c r="J52">
        <v>45939</v>
      </c>
      <c r="K52">
        <v>0</v>
      </c>
    </row>
    <row r="53" spans="10:11">
      <c r="J53">
        <v>45940</v>
      </c>
      <c r="K53">
        <v>0</v>
      </c>
    </row>
    <row r="54" spans="10:11">
      <c r="J54">
        <v>45943</v>
      </c>
      <c r="K54">
        <v>0</v>
      </c>
    </row>
    <row r="55" spans="10:11">
      <c r="J55">
        <v>45944</v>
      </c>
      <c r="K55">
        <v>0</v>
      </c>
    </row>
    <row r="56" spans="10:11">
      <c r="J56">
        <v>45945</v>
      </c>
      <c r="K56">
        <v>0</v>
      </c>
    </row>
    <row r="57" spans="10:11">
      <c r="J57">
        <v>45946</v>
      </c>
      <c r="K57">
        <v>0</v>
      </c>
    </row>
    <row r="58" spans="10:11">
      <c r="J58">
        <v>45947</v>
      </c>
      <c r="K58">
        <v>0</v>
      </c>
    </row>
    <row r="59" spans="10:11">
      <c r="J59">
        <v>45950</v>
      </c>
      <c r="K59">
        <v>0</v>
      </c>
    </row>
    <row r="60" spans="10:11">
      <c r="J60">
        <v>45951</v>
      </c>
      <c r="K60">
        <v>0</v>
      </c>
    </row>
    <row r="61" spans="10:11">
      <c r="J61">
        <v>45952</v>
      </c>
      <c r="K61">
        <v>0</v>
      </c>
    </row>
    <row r="62" spans="10:11">
      <c r="J62">
        <v>45953</v>
      </c>
      <c r="K62">
        <v>0</v>
      </c>
    </row>
    <row r="63" spans="10:11">
      <c r="J63">
        <v>45954</v>
      </c>
      <c r="K63">
        <v>0</v>
      </c>
    </row>
    <row r="64" spans="10:11">
      <c r="J64">
        <v>45957</v>
      </c>
      <c r="K64">
        <v>0</v>
      </c>
    </row>
    <row r="65" spans="10:11">
      <c r="J65">
        <v>45958</v>
      </c>
      <c r="K65">
        <v>0</v>
      </c>
    </row>
    <row r="66" spans="10:11">
      <c r="J66">
        <v>45959</v>
      </c>
      <c r="K66">
        <v>0</v>
      </c>
    </row>
    <row r="67" spans="10:11">
      <c r="J67">
        <v>45960</v>
      </c>
      <c r="K67">
        <v>153.463346200008</v>
      </c>
    </row>
    <row r="68" spans="10:11">
      <c r="J68">
        <v>45961</v>
      </c>
      <c r="K68">
        <v>804.44570306154787</v>
      </c>
    </row>
    <row r="69" spans="10:11">
      <c r="J69">
        <v>45964</v>
      </c>
      <c r="K69">
        <v>544.42724354421227</v>
      </c>
    </row>
    <row r="70" spans="10:11">
      <c r="J70">
        <v>45965</v>
      </c>
      <c r="K70">
        <v>308.9055684263916</v>
      </c>
    </row>
    <row r="71" spans="10:11">
      <c r="J71">
        <v>45966</v>
      </c>
      <c r="K71">
        <v>281.22830785091941</v>
      </c>
    </row>
    <row r="72" spans="10:11">
      <c r="J72">
        <v>45967</v>
      </c>
      <c r="K72">
        <v>-221.1814260419643</v>
      </c>
    </row>
    <row r="73" spans="10:11">
      <c r="J73">
        <v>45968</v>
      </c>
      <c r="K73">
        <v>0</v>
      </c>
    </row>
    <row r="74" spans="10:11">
      <c r="J74">
        <v>45971</v>
      </c>
      <c r="K74">
        <v>-284.44585568474889</v>
      </c>
    </row>
    <row r="75" spans="10:11">
      <c r="J75">
        <v>45972</v>
      </c>
      <c r="K75">
        <v>150.33795889073431</v>
      </c>
    </row>
    <row r="76" spans="10:11">
      <c r="J76">
        <v>45973</v>
      </c>
      <c r="K76">
        <v>-489.02467551887759</v>
      </c>
    </row>
    <row r="77" spans="10:11">
      <c r="J77">
        <v>45974</v>
      </c>
      <c r="K77">
        <v>108.31956797314801</v>
      </c>
    </row>
    <row r="78" spans="10:11">
      <c r="J78">
        <v>45975</v>
      </c>
      <c r="K78">
        <v>0</v>
      </c>
    </row>
    <row r="79" spans="10:11">
      <c r="J79">
        <v>45978</v>
      </c>
      <c r="K79">
        <v>-173.62030651471409</v>
      </c>
    </row>
    <row r="80" spans="10:11">
      <c r="J80">
        <v>45979</v>
      </c>
      <c r="K80">
        <v>346.14038786702241</v>
      </c>
    </row>
    <row r="81" spans="10:11">
      <c r="J81">
        <v>45980</v>
      </c>
      <c r="K81">
        <v>485.94097120298483</v>
      </c>
    </row>
    <row r="82" spans="10:11">
      <c r="J82">
        <v>45981</v>
      </c>
      <c r="K82">
        <v>796.50224270955198</v>
      </c>
    </row>
    <row r="83" spans="10:11">
      <c r="J83">
        <v>45982</v>
      </c>
      <c r="K83">
        <v>0</v>
      </c>
    </row>
    <row r="84" spans="10:11">
      <c r="J84">
        <v>45985</v>
      </c>
      <c r="K84">
        <v>0</v>
      </c>
    </row>
    <row r="85" spans="10:11">
      <c r="J85">
        <v>45986</v>
      </c>
      <c r="K85">
        <v>0</v>
      </c>
    </row>
    <row r="86" spans="10:11">
      <c r="J86">
        <v>45987</v>
      </c>
      <c r="K86">
        <v>0</v>
      </c>
    </row>
    <row r="87" spans="10:11">
      <c r="J87">
        <v>45988</v>
      </c>
      <c r="K87">
        <v>0</v>
      </c>
    </row>
    <row r="88" spans="10:11">
      <c r="J88">
        <v>45989</v>
      </c>
      <c r="K88">
        <v>0</v>
      </c>
    </row>
    <row r="89" spans="10:11">
      <c r="J89">
        <v>45992</v>
      </c>
      <c r="K89">
        <v>282.91152936454631</v>
      </c>
    </row>
    <row r="90" spans="10:11">
      <c r="J90">
        <v>45993</v>
      </c>
      <c r="K90">
        <v>0</v>
      </c>
    </row>
    <row r="91" spans="10:11">
      <c r="J91">
        <v>45994</v>
      </c>
      <c r="K91">
        <v>0</v>
      </c>
    </row>
    <row r="92" spans="10:11">
      <c r="J92">
        <v>45995</v>
      </c>
      <c r="K92">
        <v>0</v>
      </c>
    </row>
    <row r="93" spans="10:11">
      <c r="J93">
        <v>45996</v>
      </c>
      <c r="K93">
        <v>0</v>
      </c>
    </row>
    <row r="94" spans="10:11">
      <c r="J94">
        <v>45999</v>
      </c>
      <c r="K94">
        <v>246.65293095903851</v>
      </c>
    </row>
    <row r="95" spans="10:11">
      <c r="J95">
        <v>46000</v>
      </c>
      <c r="K95">
        <v>-2028.0678917453649</v>
      </c>
    </row>
    <row r="96" spans="10:11">
      <c r="J96">
        <v>46001</v>
      </c>
      <c r="K96">
        <v>-407.07802458384037</v>
      </c>
    </row>
    <row r="97" spans="10:11">
      <c r="J97">
        <v>46002</v>
      </c>
      <c r="K97">
        <v>-121.71361365032151</v>
      </c>
    </row>
    <row r="98" spans="10:11">
      <c r="J98">
        <v>46003</v>
      </c>
      <c r="K98">
        <v>0</v>
      </c>
    </row>
    <row r="99" spans="10:11">
      <c r="J99">
        <v>46006</v>
      </c>
      <c r="K99">
        <v>0</v>
      </c>
    </row>
    <row r="100" spans="10:11">
      <c r="J100">
        <v>46007</v>
      </c>
      <c r="K100">
        <v>0</v>
      </c>
    </row>
    <row r="101" spans="10:11">
      <c r="J101">
        <v>46008</v>
      </c>
      <c r="K101">
        <v>0</v>
      </c>
    </row>
    <row r="102" spans="10:11">
      <c r="J102">
        <v>46009</v>
      </c>
      <c r="K102">
        <v>0</v>
      </c>
    </row>
    <row r="103" spans="10:11">
      <c r="J103">
        <v>46010</v>
      </c>
      <c r="K103">
        <v>0</v>
      </c>
    </row>
    <row r="104" spans="10:11">
      <c r="J104">
        <v>46013</v>
      </c>
      <c r="K104">
        <v>0</v>
      </c>
    </row>
    <row r="105" spans="10:11">
      <c r="J105">
        <v>46014</v>
      </c>
      <c r="K105">
        <v>0</v>
      </c>
    </row>
    <row r="106" spans="10:11">
      <c r="J106">
        <v>46015</v>
      </c>
      <c r="K106">
        <v>0</v>
      </c>
    </row>
    <row r="107" spans="10:11">
      <c r="J107">
        <v>46016</v>
      </c>
      <c r="K107">
        <v>0</v>
      </c>
    </row>
    <row r="108" spans="10:11">
      <c r="J108">
        <v>46017</v>
      </c>
      <c r="K108">
        <v>0</v>
      </c>
    </row>
    <row r="109" spans="10:11">
      <c r="J109">
        <v>46020</v>
      </c>
      <c r="K109">
        <v>0</v>
      </c>
    </row>
    <row r="110" spans="10:11">
      <c r="J110">
        <v>46021</v>
      </c>
      <c r="K110">
        <v>0</v>
      </c>
    </row>
    <row r="111" spans="10:11">
      <c r="J111">
        <v>46022</v>
      </c>
      <c r="K111">
        <v>0</v>
      </c>
    </row>
    <row r="112" spans="10:11">
      <c r="J112">
        <v>46023</v>
      </c>
      <c r="K112">
        <v>0</v>
      </c>
    </row>
    <row r="113" spans="10:11">
      <c r="J113">
        <v>46024</v>
      </c>
      <c r="K113">
        <v>0</v>
      </c>
    </row>
    <row r="114" spans="10:11">
      <c r="J114">
        <v>46027</v>
      </c>
      <c r="K114">
        <v>0</v>
      </c>
    </row>
    <row r="115" spans="10:11">
      <c r="J115">
        <v>46028</v>
      </c>
      <c r="K115">
        <v>0</v>
      </c>
    </row>
    <row r="116" spans="10:11">
      <c r="J116">
        <v>46029</v>
      </c>
      <c r="K116">
        <v>0</v>
      </c>
    </row>
    <row r="117" spans="10:11">
      <c r="J117">
        <v>46030</v>
      </c>
      <c r="K117">
        <v>0</v>
      </c>
    </row>
    <row r="118" spans="10:11">
      <c r="J118">
        <v>46031</v>
      </c>
      <c r="K118">
        <v>0</v>
      </c>
    </row>
    <row r="119" spans="10:11">
      <c r="J119">
        <v>46034</v>
      </c>
      <c r="K119">
        <v>0</v>
      </c>
    </row>
    <row r="120" spans="10:11">
      <c r="J120">
        <v>46035</v>
      </c>
      <c r="K120">
        <v>0</v>
      </c>
    </row>
    <row r="121" spans="10:11">
      <c r="J121">
        <v>46036</v>
      </c>
      <c r="K121">
        <v>0</v>
      </c>
    </row>
    <row r="122" spans="10:11">
      <c r="J122">
        <v>46037</v>
      </c>
      <c r="K122">
        <v>0</v>
      </c>
    </row>
    <row r="123" spans="10:11">
      <c r="J123">
        <v>46038</v>
      </c>
      <c r="K123">
        <v>0</v>
      </c>
    </row>
    <row r="124" spans="10:11">
      <c r="J124">
        <v>46041</v>
      </c>
      <c r="K124">
        <v>0</v>
      </c>
    </row>
    <row r="125" spans="10:11">
      <c r="J125">
        <v>46042</v>
      </c>
      <c r="K125">
        <v>0</v>
      </c>
    </row>
    <row r="126" spans="10:11">
      <c r="J126">
        <v>46043</v>
      </c>
      <c r="K126">
        <v>0</v>
      </c>
    </row>
    <row r="127" spans="10:11">
      <c r="J127">
        <v>46044</v>
      </c>
      <c r="K127">
        <v>0</v>
      </c>
    </row>
    <row r="128" spans="10:11">
      <c r="J128">
        <v>46045</v>
      </c>
      <c r="K128">
        <v>0</v>
      </c>
    </row>
    <row r="129" spans="10:11">
      <c r="J129">
        <v>46048</v>
      </c>
      <c r="K129">
        <v>0</v>
      </c>
    </row>
    <row r="130" spans="10:11">
      <c r="J130">
        <v>46049</v>
      </c>
      <c r="K130">
        <v>0</v>
      </c>
    </row>
    <row r="131" spans="10:11">
      <c r="J131">
        <v>46050</v>
      </c>
      <c r="K131">
        <v>1243.4697333591557</v>
      </c>
    </row>
    <row r="132" spans="10:11">
      <c r="J132">
        <v>46051</v>
      </c>
      <c r="K132">
        <v>0</v>
      </c>
    </row>
    <row r="133" spans="10:11">
      <c r="J133">
        <v>46052</v>
      </c>
      <c r="K133">
        <v>1758.2265249646673</v>
      </c>
    </row>
    <row r="134" spans="10:11">
      <c r="J134">
        <v>46055</v>
      </c>
      <c r="K134">
        <v>-259.03604633190707</v>
      </c>
    </row>
    <row r="135" spans="10:11">
      <c r="J135">
        <v>46056</v>
      </c>
      <c r="K135">
        <v>1255.147909099458</v>
      </c>
    </row>
    <row r="136" spans="10:11">
      <c r="J136">
        <v>46057</v>
      </c>
      <c r="K136">
        <v>0</v>
      </c>
    </row>
    <row r="137" spans="10:11">
      <c r="J137">
        <v>46058</v>
      </c>
      <c r="K137">
        <v>748.78562076827961</v>
      </c>
    </row>
    <row r="138" spans="10:11">
      <c r="J138">
        <v>46059</v>
      </c>
      <c r="K138">
        <v>0</v>
      </c>
    </row>
    <row r="139" spans="10:11">
      <c r="J139">
        <v>46062</v>
      </c>
      <c r="K139">
        <v>0</v>
      </c>
    </row>
    <row r="140" spans="10:11">
      <c r="J140">
        <v>46063</v>
      </c>
      <c r="K140">
        <v>-134.14166262424169</v>
      </c>
    </row>
    <row r="141" spans="10:11">
      <c r="J141">
        <v>46064</v>
      </c>
      <c r="K141">
        <v>0</v>
      </c>
    </row>
    <row r="142" spans="10:11">
      <c r="J142">
        <v>46065</v>
      </c>
      <c r="K142">
        <v>-501.86507425356797</v>
      </c>
    </row>
    <row r="143" spans="10:11">
      <c r="J143">
        <v>46066</v>
      </c>
      <c r="K143">
        <v>577.60542077799516</v>
      </c>
    </row>
    <row r="144" spans="10:11">
      <c r="J144">
        <v>46069</v>
      </c>
      <c r="K144">
        <v>0</v>
      </c>
    </row>
    <row r="145" spans="10:11">
      <c r="J145">
        <v>46070</v>
      </c>
      <c r="K145">
        <v>274.26851209719911</v>
      </c>
    </row>
    <row r="146" spans="10:11">
      <c r="J146">
        <v>46071</v>
      </c>
      <c r="K146">
        <v>577.99912740617117</v>
      </c>
    </row>
    <row r="147" spans="10:11">
      <c r="J147">
        <v>46072</v>
      </c>
      <c r="K147">
        <v>0</v>
      </c>
    </row>
    <row r="148" spans="10:11">
      <c r="J148">
        <v>46073</v>
      </c>
      <c r="K148">
        <v>0</v>
      </c>
    </row>
    <row r="149" spans="10:11">
      <c r="J149">
        <v>46076</v>
      </c>
      <c r="K149">
        <v>0</v>
      </c>
    </row>
    <row r="150" spans="10:11">
      <c r="J150">
        <v>46077</v>
      </c>
      <c r="K150">
        <v>646.75203435736694</v>
      </c>
    </row>
    <row r="151" spans="10:11">
      <c r="J151">
        <v>46078</v>
      </c>
      <c r="K151">
        <v>-440.68495900434488</v>
      </c>
    </row>
    <row r="152" spans="10:11">
      <c r="J152">
        <v>46079</v>
      </c>
      <c r="K152">
        <v>-716.98076257616367</v>
      </c>
    </row>
    <row r="153" spans="10:11">
      <c r="J153">
        <v>46080</v>
      </c>
      <c r="K153">
        <v>0</v>
      </c>
    </row>
    <row r="154" spans="10:11">
      <c r="J154">
        <v>46083</v>
      </c>
      <c r="K154">
        <v>0</v>
      </c>
    </row>
    <row r="155" spans="10:11">
      <c r="J155">
        <v>46084</v>
      </c>
      <c r="K155">
        <v>0</v>
      </c>
    </row>
    <row r="156" spans="10:11">
      <c r="J156">
        <v>46085</v>
      </c>
      <c r="K156">
        <v>0</v>
      </c>
    </row>
    <row r="157" spans="10:11">
      <c r="J157">
        <v>46086</v>
      </c>
      <c r="K157">
        <v>0</v>
      </c>
    </row>
    <row r="158" spans="10:11">
      <c r="J158">
        <v>46087</v>
      </c>
      <c r="K158">
        <v>0</v>
      </c>
    </row>
    <row r="159" spans="10:11">
      <c r="J159">
        <v>46090</v>
      </c>
      <c r="K159">
        <v>0</v>
      </c>
    </row>
    <row r="160" spans="10:11">
      <c r="J160">
        <v>46091</v>
      </c>
      <c r="K160">
        <v>0</v>
      </c>
    </row>
    <row r="161" spans="10:11">
      <c r="J161">
        <v>46092</v>
      </c>
      <c r="K161">
        <v>0</v>
      </c>
    </row>
    <row r="162" spans="10:11">
      <c r="J162">
        <v>46093</v>
      </c>
      <c r="K162">
        <v>0</v>
      </c>
    </row>
    <row r="163" spans="10:11">
      <c r="J163">
        <v>46094</v>
      </c>
      <c r="K163">
        <v>0</v>
      </c>
    </row>
    <row r="164" spans="10:11">
      <c r="J164">
        <v>46097</v>
      </c>
      <c r="K164">
        <v>0</v>
      </c>
    </row>
    <row r="165" spans="10:11">
      <c r="J165">
        <v>46098</v>
      </c>
      <c r="K165">
        <v>0</v>
      </c>
    </row>
    <row r="166" spans="10:11">
      <c r="J166">
        <v>46099</v>
      </c>
      <c r="K166">
        <v>0</v>
      </c>
    </row>
    <row r="167" spans="10:11">
      <c r="J167">
        <v>46100</v>
      </c>
      <c r="K167">
        <v>0</v>
      </c>
    </row>
    <row r="168" spans="10:11">
      <c r="J168">
        <v>46101</v>
      </c>
      <c r="K168">
        <v>0</v>
      </c>
    </row>
    <row r="169" spans="10:11">
      <c r="J169">
        <v>46104</v>
      </c>
      <c r="K169">
        <v>0</v>
      </c>
    </row>
    <row r="170" spans="10:11">
      <c r="J170">
        <v>46105</v>
      </c>
      <c r="K170">
        <v>0</v>
      </c>
    </row>
    <row r="171" spans="10:11">
      <c r="J171">
        <v>46106</v>
      </c>
      <c r="K171">
        <v>0</v>
      </c>
    </row>
    <row r="172" spans="10:11">
      <c r="J172">
        <v>46107</v>
      </c>
      <c r="K172">
        <v>285.90312248410652</v>
      </c>
    </row>
    <row r="173" spans="10:11">
      <c r="J173">
        <v>46108</v>
      </c>
      <c r="K173">
        <v>-278.24189903813618</v>
      </c>
    </row>
    <row r="174" spans="10:11">
      <c r="J174">
        <v>46111</v>
      </c>
      <c r="K174">
        <v>0</v>
      </c>
    </row>
    <row r="175" spans="10:11">
      <c r="J175">
        <v>46112</v>
      </c>
      <c r="K175">
        <v>908.65710515052149</v>
      </c>
    </row>
    <row r="176" spans="10:11">
      <c r="J176">
        <v>46113</v>
      </c>
      <c r="K176">
        <v>254.03061100909619</v>
      </c>
    </row>
    <row r="177" spans="10:11">
      <c r="J177">
        <v>46114</v>
      </c>
      <c r="K177">
        <v>0</v>
      </c>
    </row>
    <row r="178" spans="10:11">
      <c r="J178">
        <v>46115</v>
      </c>
      <c r="K178">
        <v>0</v>
      </c>
    </row>
    <row r="179" spans="10:11">
      <c r="J179">
        <v>46118</v>
      </c>
      <c r="K179">
        <v>-59.46041189245831</v>
      </c>
    </row>
    <row r="180" spans="10:11">
      <c r="J180">
        <v>46119</v>
      </c>
      <c r="K180">
        <v>1909.3002602345241</v>
      </c>
    </row>
    <row r="181" spans="10:11">
      <c r="J181">
        <v>46120</v>
      </c>
      <c r="K181">
        <v>1150.5565612703761</v>
      </c>
    </row>
    <row r="182" spans="10:11">
      <c r="J182">
        <v>46121</v>
      </c>
      <c r="K182">
        <v>84.214243231166478</v>
      </c>
    </row>
    <row r="183" spans="10:11">
      <c r="J183">
        <v>46122</v>
      </c>
      <c r="K183">
        <v>240.67624601011056</v>
      </c>
    </row>
    <row r="184" spans="10:11">
      <c r="J184">
        <v>46125</v>
      </c>
      <c r="K184">
        <v>-281.67092294155952</v>
      </c>
    </row>
    <row r="185" spans="10:11">
      <c r="J185">
        <v>46126</v>
      </c>
      <c r="K185">
        <v>0</v>
      </c>
    </row>
    <row r="186" spans="10:11">
      <c r="J186">
        <v>46127</v>
      </c>
      <c r="K186">
        <v>422.32371384194289</v>
      </c>
    </row>
    <row r="187" spans="10:11">
      <c r="J187">
        <v>46128</v>
      </c>
      <c r="K187">
        <v>0</v>
      </c>
    </row>
    <row r="188" spans="10:11">
      <c r="J188">
        <v>46129</v>
      </c>
      <c r="K188">
        <v>583.18490404570036</v>
      </c>
    </row>
    <row r="189" spans="10:11">
      <c r="J189">
        <v>46132</v>
      </c>
      <c r="K189">
        <v>283.96341487920256</v>
      </c>
    </row>
    <row r="190" spans="10:11">
      <c r="J190">
        <v>46133</v>
      </c>
      <c r="K190">
        <v>0</v>
      </c>
    </row>
    <row r="191" spans="10:11">
      <c r="J191">
        <v>46134</v>
      </c>
      <c r="K191">
        <v>73.240365035516618</v>
      </c>
    </row>
    <row r="192" spans="10:11">
      <c r="J192">
        <v>46135</v>
      </c>
      <c r="K192">
        <v>193.1163851140885</v>
      </c>
    </row>
    <row r="193" spans="10:11">
      <c r="J193">
        <v>46136</v>
      </c>
      <c r="K193">
        <v>-506.06488985166192</v>
      </c>
    </row>
    <row r="194" spans="10:11">
      <c r="J194">
        <v>46139</v>
      </c>
      <c r="K194">
        <v>-36.147099252677549</v>
      </c>
    </row>
    <row r="195" spans="10:11">
      <c r="J195">
        <v>46140</v>
      </c>
      <c r="K195">
        <v>0</v>
      </c>
    </row>
    <row r="196" spans="10:11">
      <c r="J196">
        <v>46141</v>
      </c>
      <c r="K196">
        <v>-679.27237433094285</v>
      </c>
    </row>
    <row r="197" spans="10:11">
      <c r="J197">
        <v>46142</v>
      </c>
      <c r="K197">
        <v>173.3854730832422</v>
      </c>
    </row>
    <row r="198" spans="10:11">
      <c r="J198">
        <v>46143</v>
      </c>
      <c r="K198">
        <v>1357.366014888654</v>
      </c>
    </row>
    <row r="199" spans="10:11">
      <c r="J199">
        <v>46146</v>
      </c>
      <c r="K199">
        <v>0</v>
      </c>
    </row>
    <row r="200" spans="10:11">
      <c r="J200">
        <v>46147</v>
      </c>
      <c r="K200">
        <v>-38.610233834384672</v>
      </c>
    </row>
    <row r="201" spans="10:11">
      <c r="J201">
        <v>46148</v>
      </c>
      <c r="K201">
        <v>0</v>
      </c>
    </row>
    <row r="202" spans="10:11">
      <c r="J202">
        <v>46149</v>
      </c>
      <c r="K202">
        <v>631.04314866488915</v>
      </c>
    </row>
    <row r="203" spans="10:11">
      <c r="J203">
        <v>46150</v>
      </c>
      <c r="K203">
        <v>477.01767881483738</v>
      </c>
    </row>
    <row r="204" spans="10:11">
      <c r="J204">
        <v>46153</v>
      </c>
      <c r="K204">
        <v>0</v>
      </c>
    </row>
    <row r="205" spans="10:11">
      <c r="J205">
        <v>46154</v>
      </c>
      <c r="K205">
        <v>0</v>
      </c>
    </row>
    <row r="206" spans="10:11">
      <c r="J206">
        <v>46155</v>
      </c>
      <c r="K206">
        <v>0</v>
      </c>
    </row>
    <row r="207" spans="10:11">
      <c r="J207">
        <v>46156</v>
      </c>
      <c r="K207">
        <v>0</v>
      </c>
    </row>
    <row r="208" spans="10:11">
      <c r="J208">
        <v>46157</v>
      </c>
      <c r="K208">
        <v>0</v>
      </c>
    </row>
    <row r="209" spans="10:11">
      <c r="J209">
        <v>46160</v>
      </c>
      <c r="K209">
        <v>0</v>
      </c>
    </row>
    <row r="210" spans="10:11">
      <c r="J210">
        <v>46161</v>
      </c>
      <c r="K210">
        <v>0</v>
      </c>
    </row>
    <row r="211" spans="10:11">
      <c r="J211">
        <v>46162</v>
      </c>
      <c r="K211">
        <v>0</v>
      </c>
    </row>
    <row r="212" spans="10:11">
      <c r="J212">
        <v>46163</v>
      </c>
      <c r="K212">
        <v>0</v>
      </c>
    </row>
    <row r="213" spans="10:11">
      <c r="J213">
        <v>46164</v>
      </c>
      <c r="K213">
        <v>0</v>
      </c>
    </row>
    <row r="214" spans="10:11">
      <c r="J214">
        <v>46167</v>
      </c>
      <c r="K214">
        <v>0</v>
      </c>
    </row>
    <row r="215" spans="10:11">
      <c r="J215">
        <v>46168</v>
      </c>
      <c r="K215">
        <v>-316.50401581545282</v>
      </c>
    </row>
    <row r="216" spans="10:11">
      <c r="J216">
        <v>46169</v>
      </c>
      <c r="K216">
        <v>-446.99773915934537</v>
      </c>
    </row>
    <row r="217" spans="10:11">
      <c r="J217">
        <v>46170</v>
      </c>
      <c r="K217">
        <v>0</v>
      </c>
    </row>
    <row r="218" spans="10:11">
      <c r="J218">
        <v>46171</v>
      </c>
      <c r="K218">
        <v>0</v>
      </c>
    </row>
    <row r="219" spans="10:11">
      <c r="J219">
        <v>46174</v>
      </c>
      <c r="K219">
        <v>-61.494975436288563</v>
      </c>
    </row>
    <row r="220" spans="10:11">
      <c r="J220">
        <v>46175</v>
      </c>
      <c r="K220">
        <v>-86.769969851712929</v>
      </c>
    </row>
    <row r="221" spans="10:11">
      <c r="J221">
        <v>46176</v>
      </c>
      <c r="K221">
        <v>-77.41684246584704</v>
      </c>
    </row>
    <row r="222" spans="10:11">
      <c r="J222">
        <v>46177</v>
      </c>
      <c r="K222">
        <v>-711.42152680799268</v>
      </c>
    </row>
    <row r="223" spans="10:11">
      <c r="J223">
        <v>46178</v>
      </c>
      <c r="K223">
        <v>0</v>
      </c>
    </row>
    <row r="224" spans="10:11">
      <c r="J224">
        <v>46181</v>
      </c>
      <c r="K224">
        <v>-232.91981990803939</v>
      </c>
    </row>
    <row r="225" spans="10:11">
      <c r="J225">
        <v>46182</v>
      </c>
      <c r="K225">
        <v>0</v>
      </c>
    </row>
    <row r="226" spans="10:11">
      <c r="J226">
        <v>46183</v>
      </c>
      <c r="K226">
        <v>0</v>
      </c>
    </row>
    <row r="227" spans="10:11">
      <c r="J227">
        <v>46184</v>
      </c>
      <c r="K227">
        <v>0</v>
      </c>
    </row>
    <row r="228" spans="10:11">
      <c r="J228">
        <v>46185</v>
      </c>
      <c r="K228">
        <v>0</v>
      </c>
    </row>
    <row r="229" spans="10:11">
      <c r="J229">
        <v>46188</v>
      </c>
      <c r="K229">
        <v>0</v>
      </c>
    </row>
    <row r="230" spans="10:11">
      <c r="J230">
        <v>46189</v>
      </c>
      <c r="K230">
        <v>0</v>
      </c>
    </row>
    <row r="231" spans="10:11">
      <c r="J231">
        <v>46190</v>
      </c>
      <c r="K231">
        <v>0</v>
      </c>
    </row>
    <row r="232" spans="10:11">
      <c r="J232">
        <v>46191</v>
      </c>
      <c r="K232">
        <v>0</v>
      </c>
    </row>
    <row r="233" spans="10:11">
      <c r="J233">
        <v>46192</v>
      </c>
      <c r="K233">
        <v>0</v>
      </c>
    </row>
    <row r="234" spans="10:11">
      <c r="J234">
        <v>46195</v>
      </c>
      <c r="K234">
        <v>0</v>
      </c>
    </row>
    <row r="235" spans="10:11">
      <c r="J235">
        <v>46196</v>
      </c>
      <c r="K235">
        <v>0</v>
      </c>
    </row>
    <row r="236" spans="10:11">
      <c r="J236">
        <v>46197</v>
      </c>
      <c r="K236">
        <v>0</v>
      </c>
    </row>
    <row r="237" spans="10:11">
      <c r="J237">
        <v>46198</v>
      </c>
      <c r="K237">
        <v>0</v>
      </c>
    </row>
    <row r="238" spans="10:11">
      <c r="J238">
        <v>46199</v>
      </c>
      <c r="K238">
        <v>194.59004509043001</v>
      </c>
    </row>
    <row r="239" spans="10:11">
      <c r="J239">
        <v>46202</v>
      </c>
      <c r="K239">
        <v>92.688993565029762</v>
      </c>
    </row>
    <row r="240" spans="10:11">
      <c r="J240">
        <v>46203</v>
      </c>
      <c r="K240">
        <v>188.16772419545941</v>
      </c>
    </row>
    <row r="241" spans="10:11">
      <c r="J241">
        <v>46204</v>
      </c>
      <c r="K241">
        <v>-195.25086391994299</v>
      </c>
    </row>
    <row r="242" spans="10:11">
      <c r="J242">
        <v>46205</v>
      </c>
      <c r="K242">
        <v>103.80529067360982</v>
      </c>
    </row>
    <row r="243" spans="10:11">
      <c r="J243">
        <v>46206</v>
      </c>
      <c r="K243">
        <v>0</v>
      </c>
    </row>
    <row r="244" spans="10:11">
      <c r="J244">
        <v>46209</v>
      </c>
      <c r="K244">
        <v>-349.13948437960886</v>
      </c>
    </row>
    <row r="245" spans="10:11">
      <c r="J245">
        <v>46210</v>
      </c>
      <c r="K245">
        <v>590.68408211959354</v>
      </c>
    </row>
    <row r="246" spans="10:11">
      <c r="J246">
        <v>46211</v>
      </c>
      <c r="K246">
        <v>0</v>
      </c>
    </row>
    <row r="247" spans="10:11">
      <c r="J247">
        <v>46212</v>
      </c>
      <c r="K247">
        <v>0</v>
      </c>
    </row>
    <row r="248" spans="10:11">
      <c r="J248">
        <v>46213</v>
      </c>
      <c r="K248">
        <v>0</v>
      </c>
    </row>
    <row r="249" spans="10:11">
      <c r="J249">
        <v>46216</v>
      </c>
      <c r="K249">
        <v>0</v>
      </c>
    </row>
    <row r="250" spans="10:11">
      <c r="J250">
        <v>46217</v>
      </c>
      <c r="K250">
        <v>0</v>
      </c>
    </row>
    <row r="251" spans="10:11">
      <c r="J251">
        <v>46218</v>
      </c>
      <c r="K251">
        <v>0</v>
      </c>
    </row>
    <row r="252" spans="10:11">
      <c r="J252">
        <v>46219</v>
      </c>
      <c r="K252">
        <v>0</v>
      </c>
    </row>
    <row r="253" spans="10:11">
      <c r="J253">
        <v>46220</v>
      </c>
      <c r="K253">
        <v>0</v>
      </c>
    </row>
    <row r="254" spans="10:11">
      <c r="J254">
        <v>46223</v>
      </c>
      <c r="K254">
        <v>0</v>
      </c>
    </row>
    <row r="255" spans="10:11">
      <c r="J255">
        <v>46224</v>
      </c>
      <c r="K255">
        <v>0</v>
      </c>
    </row>
    <row r="256" spans="10:11">
      <c r="J256">
        <v>46225</v>
      </c>
      <c r="K256">
        <v>0</v>
      </c>
    </row>
    <row r="257" spans="10:11">
      <c r="J257">
        <v>46226</v>
      </c>
      <c r="K257">
        <v>0</v>
      </c>
    </row>
    <row r="258" spans="10:11">
      <c r="J258">
        <v>46227</v>
      </c>
      <c r="K258">
        <v>0</v>
      </c>
    </row>
    <row r="259" spans="10:11">
      <c r="J259">
        <v>46230</v>
      </c>
      <c r="K259">
        <v>0</v>
      </c>
    </row>
    <row r="260" spans="10:11">
      <c r="J260">
        <v>46231</v>
      </c>
      <c r="K260">
        <v>0</v>
      </c>
    </row>
    <row r="261" spans="10:11">
      <c r="J261">
        <v>46232</v>
      </c>
      <c r="K261">
        <v>0</v>
      </c>
    </row>
    <row r="262" spans="10:11">
      <c r="J262">
        <v>46233</v>
      </c>
      <c r="K262">
        <v>0</v>
      </c>
    </row>
    <row r="263" spans="10:11">
      <c r="J263">
        <v>46234</v>
      </c>
      <c r="K263">
        <v>0</v>
      </c>
    </row>
  </sheetData>
  <mergeCells count="1">
    <mergeCell ref="B16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trade study</vt:lpstr>
      <vt:lpstr>trades edited</vt:lpstr>
      <vt:lpstr>Analysis</vt:lpstr>
      <vt:lpstr>comparison with single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Bibby</cp:lastModifiedBy>
  <dcterms:created xsi:type="dcterms:W3CDTF">2026-08-14T19:11:45Z</dcterms:created>
  <dcterms:modified xsi:type="dcterms:W3CDTF">2026-09-03T20:11:13Z</dcterms:modified>
</cp:coreProperties>
</file>